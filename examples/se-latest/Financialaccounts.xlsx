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  <sheet name="Schedule" sheetId="11" state="visible" r:id="rId13"/>
    <sheet name="FAreconciliation" sheetId="12" state="visible" r:id="rId14"/>
    <sheet name="HPfinance" sheetId="13" state="visible" r:id="rId15"/>
    <sheet name="VATQtr1" sheetId="14" state="visible" r:id="rId16"/>
    <sheet name="VATQtr2" sheetId="15" state="visible" r:id="rId17"/>
    <sheet name="VATQtr3" sheetId="16" state="visible" r:id="rId18"/>
    <sheet name="VATQtr4" sheetId="17" state="visible" r:id="rId19"/>
    <sheet name="VATQtr5" sheetId="18" state="visible" r:id="rId20"/>
    <sheet name="Vatinterface" sheetId="19" state="visible" r:id="rId21"/>
    <sheet name="S02Y1" sheetId="20" state="visible" r:id="rId22"/>
    <sheet name="S03Y1" sheetId="21" state="visible" r:id="rId23"/>
    <sheet name="S04Y2" sheetId="22" state="visible" r:id="rId24"/>
    <sheet name="S05Y2" sheetId="23" state="visible" r:id="rId25"/>
    <sheet name="P02Y1" sheetId="24" state="visible" r:id="rId26"/>
    <sheet name="P03Y1" sheetId="25" state="visible" r:id="rId27"/>
    <sheet name="P04Y2" sheetId="26" state="visible" r:id="rId28"/>
    <sheet name="P05Y2" sheetId="27" state="visible" r:id="rId29"/>
  </sheets>
  <externalReferences>
    <externalReference r:id="rId30"/>
    <externalReference r:id="rId31"/>
    <externalReference r:id="rId32"/>
    <externalReference r:id="rId33"/>
    <externalReference r:id="rId34"/>
  </externalReferences>
  <definedNames>
    <definedName function="false" hidden="false" localSheetId="3" name="_xlnm.Print_Titles" vbProcedure="false">'Profit &amp; Loss Account'!$2:$4</definedName>
    <definedName function="false" hidden="false" localSheetId="13" name="_xlnm.Print_Area" vbProcedure="false">VATQtr1!$A$1:$I$32</definedName>
    <definedName function="false" hidden="false" localSheetId="14" name="_xlnm.Print_Area" vbProcedure="false">VATQtr2!$A$1:$I$31</definedName>
    <definedName function="false" hidden="false" localSheetId="15" name="_xlnm.Print_Area" vbProcedure="false">VATQtr3!$A$1:$I$31</definedName>
    <definedName function="false" hidden="false" localSheetId="16" name="_xlnm.Print_Area" vbProcedure="false">VATQtr4!$A$1:$I$31</definedName>
    <definedName function="false" hidden="false" localSheetId="17" name="_xlnm.Print_Area" vbProcedure="false">VATQtr5!$A$1:$I$31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  <definedName function="false" hidden="false" localSheetId="13" name="_xlnm_Print_Area" vbProcedure="false">VATQtr1!$A$1:$I$32</definedName>
    <definedName function="false" hidden="false" localSheetId="14" name="_xlnm_Print_Area" vbProcedure="false">VATQtr2!$A$1:$I$31</definedName>
    <definedName function="false" hidden="false" localSheetId="15" name="_xlnm_Print_Area" vbProcedure="false">VATQtr3!$A$1:$I$31</definedName>
    <definedName function="false" hidden="false" localSheetId="16" name="_xlnm_Print_Area" vbProcedure="false">VATQtr4!$A$1:$I$31</definedName>
    <definedName function="false" hidden="false" localSheetId="17" name="_xlnm_Print_Area" vbProcedure="false">VATQtr5!$A$1:$I$31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<sst xmlns="http://schemas.openxmlformats.org/spreadsheetml/2006/main" count="1085" uniqueCount="551">
  <si>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</si>
  <si>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</si>
  <si>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</si>
  <si>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</si>
  <si>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</si>
  <si>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</si>
  <si>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</si>
  <si>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</si>
  <si>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</si>
  <si>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</si>
  <si>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</si>
  <si>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</si>
  <si>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</si>
  <si>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</si>
  <si>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</si>
  <si>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</si>
  <si>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</si>
  <si>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</si>
  <si>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</si>
  <si>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</si>
  <si>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</si>
  <si>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</si>
  <si>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your accounting period has changed permanently</t>
  </si>
  <si>
    <t xml:space="preserve">If special arrangements apply put 'X' in the box - read</t>
  </si>
  <si>
    <t xml:space="preserve">put 'X' in the box</t>
  </si>
  <si>
    <t xml:space="preserve">page SEFN 3 of the notes</t>
  </si>
  <si>
    <t xml:space="preserve">If your accounting period has changed more than once</t>
  </si>
  <si>
    <t xml:space="preserve">since 2002 put 'X' in the box</t>
  </si>
  <si>
    <r>
      <rPr>
        <sz val="8"/>
        <rFont val="Arial"/>
        <family val="2"/>
        <charset val="1"/>
      </rPr>
      <t xml:space="preserve">profit on last year's Tax Return put 'X' in the box -</t>
    </r>
    <r>
      <rPr>
        <i val="true"/>
        <sz val="8"/>
        <rFont val="Arial"/>
        <family val="2"/>
        <charset val="1"/>
      </rPr>
      <t xml:space="preserve"> read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</si>
  <si>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</si>
  <si>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</si>
  <si>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</si>
  <si>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</si>
  <si>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</si>
  <si>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</si>
  <si>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</si>
  <si>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</si>
  <si>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</si>
  <si>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</si>
  <si>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</si>
  <si>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</si>
  <si>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</si>
  <si>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</si>
  <si>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</si>
  <si>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</si>
  <si>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</si>
  <si>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</si>
  <si>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</si>
  <si>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</si>
  <si>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</si>
  <si>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</si>
  <si>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</si>
  <si>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</si>
  <si>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</si>
  <si>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8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</si>
  <si>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</si>
  <si>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</si>
  <si>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</si>
  <si>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£30,000</t>
    </r>
  </si>
  <si>
    <t xml:space="preserve">you may just put your total expenses in box 19,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</si>
  <si>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</si>
  <si>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</si>
  <si>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</si>
  <si>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</si>
  <si>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</si>
  <si>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</si>
  <si>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</si>
  <si>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</si>
  <si>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</si>
  <si>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</si>
  <si>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</si>
  <si>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10 to 18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</si>
  <si>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</si>
  <si>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</si>
  <si>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</si>
  <si>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8 + box 9 minus box 19)</t>
  </si>
  <si>
    <t xml:space="preserve">income (box 8 + box 9 minus box 19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</si>
  <si>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</si>
  <si>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</si>
  <si>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</si>
  <si>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</si>
  <si>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</si>
  <si>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</si>
  <si>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</si>
  <si>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</si>
  <si>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</si>
  <si>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</si>
  <si>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</si>
  <si>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</si>
  <si>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</si>
  <si>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</si>
  <si>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</si>
  <si>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</si>
  <si>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27</t>
    </r>
  </si>
  <si>
    <t xml:space="preserve">Net business profit for tax purposes (if box 20 + box 25 +</t>
  </si>
  <si>
    <t xml:space="preserve">Any other business income not included in boxes 8 or 9</t>
  </si>
  <si>
    <t xml:space="preserve">box 26 minus boxes 21 to 24)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</si>
  <si>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</si>
  <si>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</si>
  <si>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</si>
  <si>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21 to 24</t>
  </si>
  <si>
    <t xml:space="preserve">if box 27 + box 29 minus box 28 is positive</t>
  </si>
  <si>
    <t xml:space="preserve">minus (box 20 + box 25 + box 26)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</si>
  <si>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</si>
  <si>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29),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30 to 32 as appropriate.</t>
    </r>
  </si>
  <si>
    <t xml:space="preserve">Loss from this tax year set-off against other income</t>
  </si>
  <si>
    <t xml:space="preserve">If you are exempt from paying Class 4 NICs, put 'X' in the</t>
  </si>
  <si>
    <t xml:space="preserve">for 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</si>
  <si>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</si>
  <si>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Loss to be carried back to previous year(s) and set-off</t>
  </si>
  <si>
    <t xml:space="preserve">If you have been given a </t>
  </si>
  <si>
    <t xml:space="preserve">Class 4 NICs</t>
  </si>
  <si>
    <t xml:space="preserve">against income (or capital gains)</t>
  </si>
  <si>
    <r>
      <rPr>
        <sz val="8"/>
        <rFont val="Arial"/>
        <family val="2"/>
        <charset val="1"/>
      </rPr>
      <t xml:space="preserve">deferment certificate, put 'X' in the box - </t>
    </r>
    <r>
      <rPr>
        <i val="true"/>
        <sz val="8"/>
        <rFont val="Arial"/>
        <family val="2"/>
        <charset val="1"/>
      </rPr>
      <t xml:space="preserve">read page SESN 10</t>
    </r>
  </si>
  <si>
    <t xml:space="preserve">of the notes</t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</si>
  <si>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</si>
  <si>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</si>
  <si>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</si>
  <si>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</si>
  <si>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</si>
  <si>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</si>
  <si>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you have provided the information about your 2007-08</t>
  </si>
  <si>
    <t xml:space="preserve">Business income</t>
  </si>
  <si>
    <t xml:space="preserve">Any other business income not included in box 14</t>
  </si>
  <si>
    <t xml:space="preserve">Business expenses</t>
  </si>
  <si>
    <r>
      <rPr>
        <sz val="8"/>
        <rFont val="Arial"/>
        <family val="2"/>
        <charset val="1"/>
      </rPr>
      <t xml:space="preserve">Read pages SEFN 5 to SEFN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what expenses are allowed for tax purposes.</t>
    </r>
  </si>
  <si>
    <t xml:space="preserve">Total expenses</t>
  </si>
  <si>
    <t xml:space="preserve">Disallowable expenses</t>
  </si>
  <si>
    <t xml:space="preserve">If your annual turnover was below £30,000 you may</t>
  </si>
  <si>
    <t xml:space="preserve">Use this column if the figures in boxes 16 to 29</t>
  </si>
  <si>
    <t xml:space="preserve">just put your total expenses in box 30</t>
  </si>
  <si>
    <t xml:space="preserve">include disallowable amounts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</si>
  <si>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</si>
  <si>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other travel expenses</t>
  </si>
  <si>
    <t xml:space="preserve">Repairs and renewals pf property and equipment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</si>
  <si>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</si>
  <si>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</si>
  <si>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</si>
  <si>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</si>
  <si>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loss/profit on sale of assets</t>
  </si>
  <si>
    <t xml:space="preserve">Other business expenses</t>
  </si>
  <si>
    <t xml:space="preserve">Total expenses in boxes 16 to 29</t>
  </si>
  <si>
    <t xml:space="preserve">Total disallowable expenses in boxes 31 to 44</t>
  </si>
  <si>
    <t xml:space="preserve">expenses (box 14 + box 15 minus box 30)</t>
  </si>
  <si>
    <t xml:space="preserve">income (box 14 + box 15 minus box 30 is negative)</t>
  </si>
  <si>
    <t xml:space="preserve">There are 'capital' tax allowances for vehicles, equipment and certain buildings used in your business (you should not have</t>
  </si>
  <si>
    <t xml:space="preserve">included the cost of these in your business expenses)  Read pages SEFN 10 to SEFN 15 of the notes and use the example and</t>
  </si>
  <si>
    <t xml:space="preserve">Working Sheets to work out your capital allowances.</t>
  </si>
  <si>
    <t xml:space="preserve">Annual Invetsment Allowances at</t>
  </si>
  <si>
    <r>
      <rPr>
        <sz val="8"/>
        <rFont val="Arial"/>
        <family val="2"/>
        <charset val="1"/>
      </rPr>
      <t xml:space="preserve">Enhanced 100% and other capital allowances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</si>
  <si>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12 of the notes</t>
  </si>
  <si>
    <t xml:space="preserve">Annual allowances at </t>
  </si>
  <si>
    <t xml:space="preserve">on cars costing £12,000</t>
  </si>
  <si>
    <t xml:space="preserve">Allowances on sale or cessation of business use (where</t>
  </si>
  <si>
    <t xml:space="preserve">or less, and equipment</t>
  </si>
  <si>
    <t xml:space="preserve">you have disposed of assets for less than their tax value)</t>
  </si>
  <si>
    <t xml:space="preserve">Annual Allowances at</t>
  </si>
  <si>
    <t xml:space="preserve">Total allowances (total of boxes 48 to 55)</t>
  </si>
  <si>
    <t xml:space="preserve">Restricted annual allowances for cars costing more</t>
  </si>
  <si>
    <t xml:space="preserve">than £12,000</t>
  </si>
  <si>
    <t xml:space="preserve">Charges on cessation of business use (only where Business</t>
  </si>
  <si>
    <t xml:space="preserve">Premises Renovation Allowance has been claimed before</t>
  </si>
  <si>
    <t xml:space="preserve">Agricultural or Industrial Buildings Allowance</t>
  </si>
  <si>
    <t xml:space="preserve">Balancing charge on sales of other assets or on the</t>
  </si>
  <si>
    <t xml:space="preserve">Business Premises Renovation Allowance (Assisted Areas</t>
  </si>
  <si>
    <t xml:space="preserve">cessation of business use (where you have disposed of</t>
  </si>
  <si>
    <r>
      <rPr>
        <sz val="8"/>
        <rFont val="Arial"/>
        <family val="2"/>
        <charset val="1"/>
      </rPr>
      <t xml:space="preserve">only) -</t>
    </r>
    <r>
      <rPr>
        <i val="true"/>
        <sz val="8"/>
        <rFont val="Arial"/>
        <family val="2"/>
        <charset val="1"/>
      </rPr>
      <t xml:space="preserve"> read page SEFN 12 of the notes</t>
    </r>
  </si>
  <si>
    <t xml:space="preserve"> assets for more than their tax value)</t>
  </si>
  <si>
    <t xml:space="preserve">Calculating your taxable profit or loss</t>
  </si>
  <si>
    <t xml:space="preserve">You may have to adjust your net profit or loss for disallowable expenses or capital allowances to arrive at your taxable profit or</t>
  </si>
  <si>
    <t xml:space="preserve">your loss for tax purposes. Read pages SEFN 15 and SEFN 16 of the notes and fill in the boxes below that apply.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</si>
  <si>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 SEFN 15</t>
    </r>
  </si>
  <si>
    <t xml:space="preserve">Total deductions from net profit or additions to</t>
  </si>
  <si>
    <t xml:space="preserve">net loss (box 56 + box 61)</t>
  </si>
  <si>
    <t xml:space="preserve">Total additions to net profit or deductions from net loss</t>
  </si>
  <si>
    <t xml:space="preserve">Net business profit for tax purposes (if box 46 + box 60</t>
  </si>
  <si>
    <t xml:space="preserve">(box 45 + box 57 + box 58 + box 59)</t>
  </si>
  <si>
    <t xml:space="preserve">minus (box 47 + box 62) is positive)</t>
  </si>
  <si>
    <t xml:space="preserve">Income, receipts and other profits included in business</t>
  </si>
  <si>
    <t xml:space="preserve">Net business loss for tax purposes (if box 47+ box 62</t>
  </si>
  <si>
    <t xml:space="preserve">income or expense but not taxable as business profits</t>
  </si>
  <si>
    <t xml:space="preserve">minus (box 46 + box 60) is negative)</t>
  </si>
  <si>
    <t xml:space="preserve">Calculating your taxable profit or loss (continued)</t>
  </si>
  <si>
    <t xml:space="preserve">If you start or finish self-employment and your accounting period is not the same as your basis period (or there are overlaps, or</t>
  </si>
  <si>
    <t xml:space="preserve">gaps in your basis periods), or in certain situations or trades or professions, you may need to make further adjustments</t>
  </si>
  <si>
    <t xml:space="preserve"> - read pages SEFN 13 to SEFN 15 of the notes.</t>
  </si>
  <si>
    <r>
      <rPr>
        <sz val="8"/>
        <rFont val="Arial"/>
        <family val="2"/>
        <charset val="1"/>
      </rPr>
      <t xml:space="preserve">Date your basis period began </t>
    </r>
    <r>
      <rPr>
        <i val="true"/>
        <sz val="8"/>
        <rFont val="Arial"/>
        <family val="2"/>
        <charset val="1"/>
      </rPr>
      <t xml:space="preserve">DD/MM/YYYY</t>
    </r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</si>
  <si>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</si>
  <si>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</si>
  <si>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 put a</t>
  </si>
  <si>
    <t xml:space="preserve">Date your basis period ended</t>
  </si>
  <si>
    <t xml:space="preserve">minus sign (-) in the box</t>
  </si>
  <si>
    <t xml:space="preserve"> —</t>
  </si>
  <si>
    <t xml:space="preserve">If your basis period is not the same as your accounting</t>
  </si>
  <si>
    <t xml:space="preserve">Adjusted profit for </t>
  </si>
  <si>
    <t xml:space="preserve">(box 63 or 64 + box 67 minus</t>
  </si>
  <si>
    <t xml:space="preserve">period, enter the adjustment needed to arrive at the</t>
  </si>
  <si>
    <t xml:space="preserve">box 68 +box 70 +box 71) - if a loss, enter it in box 76</t>
  </si>
  <si>
    <r>
      <rPr>
        <sz val="8"/>
        <rFont val="Arial"/>
        <family val="2"/>
        <charset val="1"/>
      </rPr>
      <t xml:space="preserve">profit or loss for the basis period -</t>
    </r>
    <r>
      <rPr>
        <i val="true"/>
        <sz val="8"/>
        <rFont val="Arial"/>
        <family val="2"/>
        <charset val="1"/>
      </rPr>
      <t xml:space="preserve"> if the adjustment</t>
    </r>
  </si>
  <si>
    <t xml:space="preserve">needs to be taken off the profit figure put a minus</t>
  </si>
  <si>
    <t xml:space="preserve">sign (-) in the box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</si>
  <si>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63 or box 72</t>
    </r>
  </si>
  <si>
    <t xml:space="preserve">whichever is greater</t>
  </si>
  <si>
    <r>
      <rPr>
        <sz val="8"/>
        <rFont val="Arial"/>
        <family val="2"/>
        <charset val="1"/>
      </rPr>
      <t xml:space="preserve">Overlap relief used this year - </t>
    </r>
    <r>
      <rPr>
        <i val="true"/>
        <sz val="8"/>
        <rFont val="Arial"/>
        <family val="2"/>
        <charset val="1"/>
      </rPr>
      <t xml:space="preserve">read page SEFN 17 of the notes</t>
    </r>
  </si>
  <si>
    <t xml:space="preserve">Any other business income not included in boxes 14, 15</t>
  </si>
  <si>
    <r>
      <rPr>
        <sz val="8"/>
        <rFont val="Arial"/>
        <family val="2"/>
        <charset val="1"/>
      </rPr>
      <t xml:space="preserve">or 59 -</t>
    </r>
    <r>
      <rPr>
        <i val="true"/>
        <sz val="8"/>
        <rFont val="Arial"/>
        <family val="2"/>
        <charset val="1"/>
      </rPr>
      <t xml:space="preserve"> for example, Business Start -up Allowance</t>
    </r>
  </si>
  <si>
    <t xml:space="preserve">Overlap profit carried forward</t>
  </si>
  <si>
    <t xml:space="preserve">Total taxable profits from this business (box 72 minus</t>
  </si>
  <si>
    <r>
      <rPr>
        <sz val="8"/>
        <rFont val="Arial"/>
        <family val="2"/>
        <charset val="1"/>
      </rPr>
      <t xml:space="preserve">box 73 + box 74 - </t>
    </r>
    <r>
      <rPr>
        <i val="true"/>
        <sz val="8"/>
        <rFont val="Arial"/>
        <family val="2"/>
        <charset val="1"/>
      </rPr>
      <t xml:space="preserve">or use the Working Sheet on</t>
    </r>
  </si>
  <si>
    <r>
      <rPr>
        <sz val="8"/>
        <rFont val="Arial"/>
        <family val="2"/>
        <charset val="1"/>
      </rPr>
      <t xml:space="preserve">Adjustment for change of accounting practise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</si>
  <si>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18)</t>
  </si>
  <si>
    <t xml:space="preserve">page SEFN 17 of the notes</t>
  </si>
  <si>
    <t xml:space="preserve">Losses</t>
  </si>
  <si>
    <r>
      <rPr>
        <sz val="8"/>
        <rFont val="Arial"/>
        <family val="2"/>
        <charset val="1"/>
      </rPr>
      <t xml:space="preserve">If you have made a net loss for tax purposes (in box 63), or if you have losses from previous years, read page SEFN 15 of the </t>
    </r>
    <r>
      <rPr>
        <i val="true"/>
        <sz val="8"/>
        <rFont val="Arial"/>
        <family val="2"/>
        <charset val="1"/>
      </rPr>
      <t xml:space="preserve">notes</t>
    </r>
  </si>
  <si>
    <t xml:space="preserve">and fill in boxes 75 to 78 as appropriate.</t>
  </si>
  <si>
    <t xml:space="preserve">Adjusted loss</t>
  </si>
  <si>
    <t xml:space="preserve">(box 63 or 64 + box 67</t>
  </si>
  <si>
    <t xml:space="preserve">Loss to be carried back to previous year(s) and set off</t>
  </si>
  <si>
    <t xml:space="preserve">,minus box 68 + box 70 + box 71)</t>
  </si>
  <si>
    <t xml:space="preserve">Loss from this tax year set off against other income</t>
  </si>
  <si>
    <t xml:space="preserve">Deductions and tax taken off</t>
  </si>
  <si>
    <t xml:space="preserve">Other tax taken off trading income</t>
  </si>
  <si>
    <r>
      <rPr>
        <sz val="8"/>
        <rFont val="Arial"/>
        <family val="2"/>
        <charset val="1"/>
      </rPr>
      <t xml:space="preserve">contractors - </t>
    </r>
    <r>
      <rPr>
        <i val="true"/>
        <sz val="8"/>
        <rFont val="Arial"/>
        <family val="2"/>
        <charset val="1"/>
      </rPr>
      <t xml:space="preserve">construction industry subcontractors only</t>
    </r>
  </si>
  <si>
    <t xml:space="preserve">Balance Sheet Optional</t>
  </si>
  <si>
    <t xml:space="preserve">If your business accounts include a Balance Sheet showing the assets, liabilities, and capital of the business, fill in the relevant</t>
  </si>
  <si>
    <t xml:space="preserve">boxes below. If you do not have a Balance Sheet, go to box 99.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</si>
  <si>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</si>
  <si>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</si>
  <si>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</si>
  <si>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</si>
  <si>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</si>
  <si>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</si>
  <si>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</si>
  <si>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</si>
  <si>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</si>
  <si>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</si>
  <si>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88 minus (boxes 89 to 91))</t>
  </si>
  <si>
    <t xml:space="preserve">Bank/building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</si>
  <si>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</si>
  <si>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</si>
  <si>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</si>
  <si>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</si>
  <si>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46 or box 47)</t>
  </si>
  <si>
    <t xml:space="preserve">Total assets (total of boxes 81 to 87)</t>
  </si>
  <si>
    <t xml:space="preserve">Capital introduced</t>
  </si>
  <si>
    <t xml:space="preserve">Drawings</t>
  </si>
  <si>
    <t xml:space="preserve">Balance at end of period</t>
  </si>
  <si>
    <t xml:space="preserve">Class 4 National Insurance contributions (NICs)</t>
  </si>
  <si>
    <t xml:space="preserve">If your self employed profits are more than £</t>
  </si>
  <si>
    <t xml:space="preserve">you must pay Class 4 NICs (unless you are exempt or your contributions</t>
  </si>
  <si>
    <r>
      <rPr>
        <sz val="8"/>
        <rFont val="Arial"/>
        <family val="2"/>
        <charset val="1"/>
      </rPr>
      <t xml:space="preserve">have been deferred) -</t>
    </r>
    <r>
      <rPr>
        <i val="true"/>
        <sz val="8"/>
        <rFont val="Arial"/>
        <family val="2"/>
        <charset val="1"/>
      </rPr>
      <t xml:space="preserve"> read page SEFN 20 of the notes.</t>
    </r>
  </si>
  <si>
    <t xml:space="preserve">If you are exempt from paying Class 4 NICs put 'X' in the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</si>
  <si>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</si>
  <si>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SEFN 20 of the notes</t>
    </r>
  </si>
  <si>
    <t xml:space="preserve">will not apply to most people</t>
  </si>
  <si>
    <t xml:space="preserve">Class 4 NICs deferment</t>
  </si>
  <si>
    <r>
      <rPr>
        <sz val="8"/>
        <rFont val="Arial"/>
        <family val="2"/>
        <charset val="1"/>
      </rPr>
      <t xml:space="preserve">certificate, put 'X' in the box - </t>
    </r>
    <r>
      <rPr>
        <i val="true"/>
        <sz val="8"/>
        <rFont val="Arial"/>
        <family val="2"/>
        <charset val="1"/>
      </rPr>
      <t xml:space="preserve">read page SEFN 20 of </t>
    </r>
  </si>
  <si>
    <t xml:space="preserve">the notes</t>
  </si>
  <si>
    <t xml:space="preserve">Any other information</t>
  </si>
  <si>
    <t xml:space="preserve">Please give any other information in this page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</si>
  <si>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</si>
  <si>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</si>
  <si>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</si>
  <si>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</si>
  <si>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</si>
  <si>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</si>
  <si>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</si>
  <si>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</si>
  <si>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</si>
  <si>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</si>
  <si>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</si>
  <si>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</si>
  <si>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</si>
  <si>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</si>
  <si>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</si>
  <si>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</si>
  <si>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</si>
  <si>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</si>
  <si>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</si>
  <si>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</si>
  <si>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</si>
  <si>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</si>
  <si>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</si>
  <si>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</si>
  <si>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</si>
  <si>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</si>
  <si>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</si>
  <si>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</si>
  <si>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</si>
  <si>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</si>
  <si>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</si>
  <si>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</si>
  <si>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</si>
  <si>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</si>
  <si>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</si>
  <si>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</si>
  <si>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</si>
  <si>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</si>
  <si>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</si>
  <si>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</si>
  <si>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</si>
  <si>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</si>
  <si>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</si>
  <si>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</si>
  <si>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</si>
  <si>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</si>
  <si>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</si>
  <si>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</si>
  <si>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</si>
  <si>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</si>
  <si>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</si>
  <si>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</si>
  <si>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</si>
  <si>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</si>
  <si>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</si>
  <si>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</si>
  <si>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</si>
  <si>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</si>
  <si>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</si>
  <si>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</si>
  <si>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</si>
  <si>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</si>
  <si>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</si>
  <si>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</si>
  <si>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</si>
  <si>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</si>
  <si>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</si>
  <si>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</si>
  <si>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</si>
  <si>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</si>
  <si>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</si>
  <si>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</si>
  <si>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</si>
  <si>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</si>
  <si>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</si>
  <si>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</si>
  <si>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</si>
  <si>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</si>
  <si>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</si>
  <si>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</si>
  <si>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</si>
  <si>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</si>
  <si>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</si>
  <si>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</si>
  <si>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</si>
  <si>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</si>
  <si>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</si>
  <si>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</si>
  <si>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</si>
  <si>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</si>
  <si>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</si>
  <si>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</si>
  <si>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</si>
  <si>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</si>
  <si>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</si>
  <si>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</si>
  <si>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</si>
  <si>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</si>
  <si>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</si>
  <si>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</si>
  <si>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</si>
  <si>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</si>
  <si>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</si>
  <si>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</si>
  <si>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</si>
  <si>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</si>
  <si>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</si>
  <si>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</si>
  <si>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</si>
  <si>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</si>
  <si>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</si>
  <si>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</si>
  <si>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</si>
  <si>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</si>
  <si>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</si>
  <si>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</si>
  <si>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</si>
  <si>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</si>
  <si>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</si>
  <si>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</si>
  <si>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</si>
  <si>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</si>
  <si>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</si>
  <si>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</si>
  <si>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</si>
  <si>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</si>
  <si>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</si>
  <si>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</si>
  <si>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</si>
  <si>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</si>
  <si>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</si>
  <si>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</si>
  <si>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</si>
  <si>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</si>
  <si>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</si>
  <si>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</si>
  <si>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</si>
  <si>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</si>
  <si>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</si>
  <si>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</si>
  <si>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</si>
  <si>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</si>
  <si>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</si>
  <si>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</si>
  <si>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</si>
  <si>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</si>
  <si>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</si>
  <si>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</si>
  <si>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</si>
  <si>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Costing over </t>
  </si>
  <si>
    <t xml:space="preserve">Restricted to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</si>
  <si>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</si>
  <si>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</si>
  <si>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</si>
  <si>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</si>
  <si>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</si>
  <si>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</si>
  <si>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</si>
  <si>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</si>
  <si>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</si>
  <si>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</si>
  <si>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</si>
  <si>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</si>
  <si>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</si>
  <si>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</si>
  <si>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</si>
  <si>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</si>
  <si>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</si>
  <si>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</si>
  <si>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</si>
  <si>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</si>
  <si>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</si>
  <si>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</si>
  <si>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</si>
  <si>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</si>
  <si>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</si>
  <si>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</si>
  <si>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</si>
  <si>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</si>
  <si>
    <t xml:space="preserve">Date Asset Purchased</t>
  </si>
  <si>
    <t xml:space="preserve">FIXED ASSETS</t>
  </si>
  <si>
    <t xml:space="preserve">Deprn Rate %</t>
  </si>
  <si>
    <t xml:space="preserve">Enter % Personal use of vehicles</t>
  </si>
  <si>
    <t xml:space="preserve">Annual Invest Allow</t>
  </si>
  <si>
    <t xml:space="preserve">Date          Asset Sold</t>
  </si>
  <si>
    <t xml:space="preserve">Asset Description</t>
  </si>
  <si>
    <t xml:space="preserve">Purchase Reference</t>
  </si>
  <si>
    <t xml:space="preserve">Original Cost</t>
  </si>
  <si>
    <t xml:space="preserve">Accumulated Depreciation</t>
  </si>
  <si>
    <t xml:space="preserve">Written Down Book Value</t>
  </si>
  <si>
    <t xml:space="preserve">Depreciation Charge current year</t>
  </si>
  <si>
    <t xml:space="preserve">Written Down   Book Value</t>
  </si>
  <si>
    <t xml:space="preserve">Written Down Tax Value</t>
  </si>
  <si>
    <t xml:space="preserve">First Year Allowance</t>
  </si>
  <si>
    <t xml:space="preserve">W Down Allowance</t>
  </si>
  <si>
    <t xml:space="preserve">Written Down   Tax Value</t>
  </si>
  <si>
    <r>
      <rPr>
        <sz val="10"/>
        <rFont val="Times New Roman"/>
        <family val="1"/>
        <charset val="1"/>
      </rPr>
      <t xml:space="preserve">Sales Value</t>
    </r>
    <r>
      <rPr>
        <sz val="9"/>
        <rFont val="Times New Roman"/>
        <family val="1"/>
        <charset val="1"/>
      </rPr>
      <t xml:space="preserve"> Assets Sold</t>
    </r>
  </si>
  <si>
    <r>
      <rPr>
        <sz val="10"/>
        <rFont val="Times New Roman"/>
        <family val="1"/>
        <charset val="1"/>
      </rPr>
      <t xml:space="preserve">Original Cost</t>
    </r>
    <r>
      <rPr>
        <sz val="9"/>
        <rFont val="Times New Roman"/>
        <family val="1"/>
        <charset val="1"/>
      </rPr>
      <t xml:space="preserve">      Assets Sold</t>
    </r>
  </si>
  <si>
    <r>
      <rPr>
        <sz val="10"/>
        <rFont val="Times New Roman"/>
        <family val="1"/>
        <charset val="1"/>
      </rPr>
      <t xml:space="preserve">Accumulated Depreciation</t>
    </r>
    <r>
      <rPr>
        <sz val="9"/>
        <rFont val="Times New Roman"/>
        <family val="1"/>
        <charset val="1"/>
      </rPr>
      <t xml:space="preserve"> Assets Sold</t>
    </r>
  </si>
  <si>
    <t xml:space="preserve">Capital Allowance</t>
  </si>
  <si>
    <t xml:space="preserve">Balancing Charge</t>
  </si>
  <si>
    <t xml:space="preserve">EXISTING FIXED ASSETS at </t>
  </si>
  <si>
    <t xml:space="preserve">Existing Land &amp; Property</t>
  </si>
  <si>
    <t xml:space="preserve">Existing Plant &amp; Machinery</t>
  </si>
  <si>
    <t xml:space="preserve">Existing Fixtures &amp; Fittings</t>
  </si>
  <si>
    <t xml:space="preserve">Computers</t>
  </si>
  <si>
    <t xml:space="preserve">Existing Computers</t>
  </si>
  <si>
    <t xml:space="preserve">Motor Vehicles - costing over £</t>
  </si>
  <si>
    <t xml:space="preserve">Motor Vehicles - costing under £</t>
  </si>
  <si>
    <t xml:space="preserve">Motor Vehicles - Vans &amp; Lorries</t>
  </si>
  <si>
    <t xml:space="preserve">Existing Motor Vehicles</t>
  </si>
  <si>
    <t xml:space="preserve">NEW FIXED ASSETS Bought AFTER </t>
  </si>
  <si>
    <t xml:space="preserve">New Land &amp; Property</t>
  </si>
  <si>
    <t xml:space="preserve">New Plant &amp; Machinery</t>
  </si>
  <si>
    <t xml:space="preserve">New Fixtures &amp; Fittings</t>
  </si>
  <si>
    <t xml:space="preserve">New Computers</t>
  </si>
  <si>
    <t xml:space="preserve">New Motor Vehicles</t>
  </si>
  <si>
    <t xml:space="preserve">FIXED ASSET RECONCILIATION</t>
  </si>
  <si>
    <t xml:space="preserve">FIXED ASSET PURCHASES</t>
  </si>
  <si>
    <t xml:space="preserve">FIXED ASSET SALES</t>
  </si>
  <si>
    <t xml:space="preserve">Sales Value</t>
  </si>
  <si>
    <r>
      <rPr>
        <sz val="9"/>
        <rFont val="Arial"/>
        <family val="2"/>
        <charset val="1"/>
      </rPr>
      <t xml:space="preserve">Reconciliation totals on Row 15 should be zero.                               If Row 15 not zero check all Fixed Assets entered on       </t>
    </r>
    <r>
      <rPr>
        <b val="true"/>
        <sz val="10"/>
        <color rgb="FF000080"/>
        <rFont val="Times New Roman"/>
        <family val="1"/>
        <charset val="1"/>
      </rPr>
      <t xml:space="preserve">Purhases and Sales Spreadsheets</t>
    </r>
    <r>
      <rPr>
        <sz val="10"/>
        <color rgb="FF000080"/>
        <rFont val="Times New Roman"/>
        <family val="1"/>
        <charset val="1"/>
      </rPr>
      <t xml:space="preserve">           have been recorded on the                       </t>
    </r>
    <r>
      <rPr>
        <b val="true"/>
        <sz val="10"/>
        <color rgb="FF000080"/>
        <rFont val="Times New Roman"/>
        <family val="1"/>
        <charset val="1"/>
      </rPr>
      <t xml:space="preserve">Fixed Asset Schedule.</t>
    </r>
  </si>
  <si>
    <t xml:space="preserve">Fixed Asset Schedule New Additions</t>
  </si>
  <si>
    <t xml:space="preserve">Fixed Asset Schedule Assets Sold</t>
  </si>
  <si>
    <t xml:space="preserve">Land &amp; Property Sold</t>
  </si>
  <si>
    <t xml:space="preserve">Plant &amp; Machinery Sold</t>
  </si>
  <si>
    <t xml:space="preserve">Fixtures &amp; Fittings Sold</t>
  </si>
  <si>
    <t xml:space="preserve">Computers Sold</t>
  </si>
  <si>
    <t xml:space="preserve">Motor Vehicles Sold</t>
  </si>
  <si>
    <t xml:space="preserve">  FIXED ASSETS SCHEDULE</t>
  </si>
  <si>
    <t xml:space="preserve">  PURCHASE SHEET FIXED ASSETS PURCHASES</t>
  </si>
  <si>
    <t xml:space="preserve">  SALES SHEET FIXED ASSETS SALES</t>
  </si>
  <si>
    <t xml:space="preserve">YEAR END LONG TERM CREDITORS</t>
  </si>
  <si>
    <t xml:space="preserve">Enter Finance Agreements due to end more than 12 months after the financial year end or leave blank</t>
  </si>
  <si>
    <t xml:space="preserve">New Hire Purchase Agreements</t>
  </si>
  <si>
    <t xml:space="preserve">Agreement Date</t>
  </si>
  <si>
    <t xml:space="preserve">Finance Company</t>
  </si>
  <si>
    <t xml:space="preserve">Agreement Refernce</t>
  </si>
  <si>
    <t xml:space="preserve">Total Amount Financed excluding Admin &amp; Interest</t>
  </si>
  <si>
    <t xml:space="preserve">Admin Charges</t>
  </si>
  <si>
    <t xml:space="preserve">Total Interest Charged</t>
  </si>
  <si>
    <t xml:space="preserve">Number of Months</t>
  </si>
  <si>
    <t xml:space="preserve">BANK ANALYSIS PURPOSES</t>
  </si>
  <si>
    <t xml:space="preserve">Enter Supplier Name as entered on Purchase Spreadsheet</t>
  </si>
  <si>
    <t xml:space="preserve">Monthly Payment</t>
  </si>
  <si>
    <t xml:space="preserve">Net Capital Repayment</t>
  </si>
  <si>
    <t xml:space="preserve">Monthly Interest</t>
  </si>
  <si>
    <t xml:space="preserve">Hire Purchase Agreements existing at start of financial year</t>
  </si>
  <si>
    <t xml:space="preserve">Required to calculate monthly interest liability</t>
  </si>
  <si>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</si>
  <si>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</si>
  <si>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</si>
  <si>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</si>
  <si>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</si>
  <si>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9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</si>
  <si>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9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</si>
  <si>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9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</si>
  <si>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9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</si>
  <si>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</si>
  <si>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</si>
  <si>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</si>
  <si>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Customs &amp; Excise on or before the due date to avoid surcharges</t>
  </si>
  <si>
    <t xml:space="preserve">Make cheques payable to "H M Customs and Excise" and write your VAT registration number on the back</t>
  </si>
  <si>
    <t xml:space="preserve">Quote your VAT registration number as a reference if paying direct by bank</t>
  </si>
  <si>
    <t xml:space="preserve">Account Name: HMCE VAT: Account No: 52055000 Sort Code: 10 00 00 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</si>
  <si>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</si>
  <si>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</si>
  <si>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</si>
  <si>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</si>
  <si>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</si>
  <si>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</si>
  <si>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</si>
  <si>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</si>
  <si>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</si>
  <si>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</si>
  <si>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</si>
  <si>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</si>
  <si>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</si>
  <si>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</si>
  <si>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</si>
  <si>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</si>
  <si>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Value including   Vat</t>
  </si>
  <si>
    <t xml:space="preserve">Sales         Net of Vat</t>
  </si>
  <si>
    <t xml:space="preserve">Vat       Output</t>
  </si>
  <si>
    <t xml:space="preserve">Entries below this row are not included in Row 1 Totals</t>
  </si>
  <si>
    <t xml:space="preserve">Purchase Invoice Number or Reference</t>
  </si>
  <si>
    <t xml:space="preserve">Purchase Date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</si>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</sst>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sz val="10"/>
      <color rgb="FF000080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53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0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3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21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43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0" fillId="2" borderId="4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2" borderId="4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3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3" fontId="32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1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38" fillId="2" borderId="0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0" fillId="2" borderId="4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1" fillId="2" borderId="5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30" fillId="2" borderId="5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2" borderId="5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30" fillId="2" borderId="28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43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2" borderId="3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7" fontId="30" fillId="2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4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5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3.xml"/><Relationship Id="rId33" Type="http://schemas.openxmlformats.org/officeDocument/2006/relationships/externalLink" Target="externalLinks/externalLink4.xml"/><Relationship Id="rId34" Type="http://schemas.openxmlformats.org/officeDocument/2006/relationships/externalLink" Target="externalLinks/externalLink5.xml"/><Relationship Id="rId3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4166.66666666667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4166.66666666667</v>
          </cell>
          <cell r="Q1">
            <v>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4166.66666666667</v>
          </cell>
          <cell r="Q1">
            <v>0</v>
          </cell>
          <cell r="R1">
            <v>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5833.33333333333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5833.33333333333</v>
          </cell>
          <cell r="Q1">
            <v>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5833.33333333333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5833.33333333333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4166.66666666667</v>
          </cell>
          <cell r="Q1">
            <v>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4166.66666666667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1250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333.333333333333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600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60</v>
          </cell>
          <cell r="W1">
            <v>300</v>
          </cell>
          <cell r="X1">
            <v>0</v>
          </cell>
          <cell r="Y1">
            <v>0</v>
          </cell>
          <cell r="Z1">
            <v>300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360</v>
          </cell>
          <cell r="S1">
            <v>0</v>
          </cell>
          <cell r="T1">
            <v>0</v>
          </cell>
          <cell r="U1">
            <v>0</v>
          </cell>
          <cell r="V1">
            <v>60</v>
          </cell>
          <cell r="W1">
            <v>0</v>
          </cell>
          <cell r="X1">
            <v>0</v>
          </cell>
          <cell r="Y1">
            <v>600</v>
          </cell>
          <cell r="Z1">
            <v>300</v>
          </cell>
          <cell r="AA1">
            <v>0</v>
          </cell>
        </row>
      </sheetData>
      <sheetData sheetId="3">
        <row r="1">
          <cell r="P1">
            <v>0</v>
          </cell>
          <cell r="Q1">
            <v>3600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60</v>
          </cell>
          <cell r="W1">
            <v>0</v>
          </cell>
          <cell r="X1">
            <v>720</v>
          </cell>
          <cell r="Y1">
            <v>0</v>
          </cell>
          <cell r="Z1">
            <v>300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60</v>
          </cell>
          <cell r="W1">
            <v>300</v>
          </cell>
          <cell r="X1">
            <v>0</v>
          </cell>
          <cell r="Y1">
            <v>0</v>
          </cell>
          <cell r="Z1">
            <v>300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800</v>
          </cell>
          <cell r="T1">
            <v>0</v>
          </cell>
          <cell r="U1">
            <v>0</v>
          </cell>
          <cell r="V1">
            <v>60</v>
          </cell>
          <cell r="W1">
            <v>0</v>
          </cell>
          <cell r="X1">
            <v>0</v>
          </cell>
          <cell r="Y1">
            <v>0</v>
          </cell>
          <cell r="Z1">
            <v>300</v>
          </cell>
          <cell r="AA1">
            <v>0</v>
          </cell>
        </row>
      </sheetData>
      <sheetData sheetId="6">
        <row r="1">
          <cell r="P1">
            <v>0</v>
          </cell>
          <cell r="Q1">
            <v>2400</v>
          </cell>
          <cell r="R1">
            <v>0</v>
          </cell>
          <cell r="S1">
            <v>0</v>
          </cell>
          <cell r="T1">
            <v>0</v>
          </cell>
          <cell r="U1">
            <v>480</v>
          </cell>
          <cell r="V1">
            <v>60</v>
          </cell>
          <cell r="W1">
            <v>0</v>
          </cell>
          <cell r="X1">
            <v>720</v>
          </cell>
          <cell r="Y1">
            <v>0</v>
          </cell>
          <cell r="Z1">
            <v>300</v>
          </cell>
          <cell r="AA1">
            <v>0</v>
          </cell>
        </row>
      </sheetData>
      <sheetData sheetId="7">
        <row r="1">
          <cell r="P1">
            <v>480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60</v>
          </cell>
          <cell r="W1">
            <v>300</v>
          </cell>
          <cell r="X1">
            <v>0</v>
          </cell>
          <cell r="Y1">
            <v>0</v>
          </cell>
          <cell r="Z1">
            <v>300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360</v>
          </cell>
          <cell r="S1">
            <v>0</v>
          </cell>
          <cell r="T1">
            <v>0</v>
          </cell>
          <cell r="U1">
            <v>0</v>
          </cell>
          <cell r="V1">
            <v>60</v>
          </cell>
          <cell r="W1">
            <v>0</v>
          </cell>
          <cell r="X1">
            <v>0</v>
          </cell>
          <cell r="Y1">
            <v>0</v>
          </cell>
          <cell r="Z1">
            <v>300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60</v>
          </cell>
          <cell r="W1">
            <v>0</v>
          </cell>
          <cell r="X1">
            <v>720</v>
          </cell>
          <cell r="Y1">
            <v>0</v>
          </cell>
          <cell r="Z1">
            <v>300</v>
          </cell>
          <cell r="AA1">
            <v>500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60</v>
          </cell>
          <cell r="W1">
            <v>300</v>
          </cell>
          <cell r="X1">
            <v>0</v>
          </cell>
          <cell r="Y1">
            <v>600</v>
          </cell>
          <cell r="Z1">
            <v>300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360</v>
          </cell>
          <cell r="V1">
            <v>60</v>
          </cell>
          <cell r="W1">
            <v>0</v>
          </cell>
          <cell r="X1">
            <v>0</v>
          </cell>
          <cell r="Y1">
            <v>0</v>
          </cell>
          <cell r="Z1">
            <v>300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60</v>
          </cell>
          <cell r="W1">
            <v>0</v>
          </cell>
          <cell r="X1">
            <v>720</v>
          </cell>
          <cell r="Y1">
            <v>0</v>
          </cell>
          <cell r="Z1">
            <v>300</v>
          </cell>
          <cell r="AA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9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/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3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4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5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6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7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8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9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/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10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11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12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13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14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15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16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17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18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19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20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21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22</v>
      </c>
      <c r="D36" s="8"/>
      <c r="E36" s="8"/>
      <c r="F36" s="8"/>
      <c r="G36" s="8"/>
      <c r="H36" s="8"/>
      <c r="I36" s="8"/>
      <c r="J36" s="8"/>
      <c r="K36" s="8"/>
      <c r="L36" s="21" t="n">
        <v>12</v>
      </c>
      <c r="M36" s="7"/>
      <c r="N36" s="8" t="s">
        <v>23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24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25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 t="n">
        <v>11</v>
      </c>
      <c r="B41" s="7"/>
      <c r="C41" s="8" t="s">
        <v>26</v>
      </c>
      <c r="D41" s="8"/>
      <c r="E41" s="8"/>
      <c r="F41" s="8"/>
      <c r="G41" s="8"/>
      <c r="H41" s="8"/>
      <c r="I41" s="8"/>
      <c r="J41" s="8"/>
      <c r="K41" s="8"/>
      <c r="L41" s="21" t="n">
        <v>13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 t="s">
        <v>27</v>
      </c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28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 t="s">
        <v>25</v>
      </c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29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30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31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32</v>
      </c>
      <c r="D50" s="41" t="n">
        <v>0</v>
      </c>
      <c r="E50" s="41"/>
      <c r="F50" s="41"/>
      <c r="G50" s="42" t="s">
        <v>33</v>
      </c>
      <c r="H50" s="43" t="n">
        <v>0</v>
      </c>
      <c r="I50" s="43" t="n">
        <v>0</v>
      </c>
      <c r="J50" s="7"/>
      <c r="K50" s="7"/>
      <c r="L50" s="8"/>
      <c r="M50" s="7"/>
      <c r="N50" s="40" t="s">
        <v>32</v>
      </c>
      <c r="O50" s="41"/>
      <c r="P50" s="41"/>
      <c r="Q50" s="41"/>
      <c r="R50" s="42" t="s">
        <v>33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34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35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36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36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32</v>
      </c>
      <c r="D55" s="49" t="n">
        <f aca="false">'SE Short'!O94</f>
        <v>0</v>
      </c>
      <c r="E55" s="49"/>
      <c r="F55" s="49"/>
      <c r="G55" s="42" t="s">
        <v>33</v>
      </c>
      <c r="H55" s="43" t="n">
        <v>0</v>
      </c>
      <c r="I55" s="43" t="n">
        <v>0</v>
      </c>
      <c r="J55" s="7"/>
      <c r="K55" s="7"/>
      <c r="L55" s="7"/>
      <c r="M55" s="7"/>
      <c r="N55" s="40" t="s">
        <v>32</v>
      </c>
      <c r="O55" s="49" t="n">
        <f aca="false">D50-D55+'SE Short'!O106</f>
        <v>0</v>
      </c>
      <c r="P55" s="49"/>
      <c r="Q55" s="49"/>
      <c r="R55" s="42" t="s">
        <v>33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37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52"/>
      <c r="O1" s="53" t="s">
        <v>39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40</v>
      </c>
      <c r="P2" s="54"/>
      <c r="Q2" s="55" t="n">
        <f aca="false">Admin!B4</f>
        <v>46118</v>
      </c>
      <c r="R2" s="55"/>
      <c r="S2" s="55"/>
      <c r="T2" s="55"/>
      <c r="U2" s="56" t="s">
        <v>41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 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3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8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42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 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43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44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45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17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46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47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12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48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49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50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51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52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8</v>
      </c>
      <c r="B35" s="63"/>
      <c r="C35" s="64" t="s">
        <v>53</v>
      </c>
      <c r="D35" s="64"/>
      <c r="E35" s="64"/>
      <c r="F35" s="64"/>
      <c r="G35" s="64"/>
      <c r="H35" s="64"/>
      <c r="I35" s="64"/>
      <c r="J35" s="64"/>
      <c r="K35" s="64"/>
      <c r="L35" s="75" t="n">
        <v>9</v>
      </c>
      <c r="M35" s="63"/>
      <c r="N35" s="64" t="s">
        <v>54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55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56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32</v>
      </c>
      <c r="D38" s="98" t="n">
        <f aca="false">'Profit &amp; Loss Account'!B9</f>
        <v>58416.6666666667</v>
      </c>
      <c r="E38" s="98"/>
      <c r="F38" s="98"/>
      <c r="G38" s="99" t="s">
        <v>33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32</v>
      </c>
      <c r="O38" s="98" t="n">
        <f aca="false">'Profit &amp; Loss Account'!B38</f>
        <v>0</v>
      </c>
      <c r="P38" s="98"/>
      <c r="Q38" s="98"/>
      <c r="R38" s="99" t="s">
        <v>33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57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58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59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10</v>
      </c>
      <c r="B44" s="63"/>
      <c r="C44" s="64" t="s">
        <v>60</v>
      </c>
      <c r="D44" s="64"/>
      <c r="E44" s="64"/>
      <c r="F44" s="64"/>
      <c r="G44" s="64"/>
      <c r="H44" s="64"/>
      <c r="I44" s="64"/>
      <c r="J44" s="64"/>
      <c r="K44" s="64"/>
      <c r="L44" s="75" t="n">
        <v>15</v>
      </c>
      <c r="M44" s="63"/>
      <c r="N44" s="64" t="s">
        <v>61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32</v>
      </c>
      <c r="D46" s="98" t="n">
        <f aca="false">IF('Profit &amp; Loss Account'!B9&gt;30000,'Profit &amp; Loss Account'!B17," ")</f>
        <v>7800</v>
      </c>
      <c r="E46" s="98"/>
      <c r="F46" s="98"/>
      <c r="G46" s="99" t="s">
        <v>33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32</v>
      </c>
      <c r="O46" s="98" t="n">
        <f aca="false">IF('Profit &amp; Loss Account'!B9&gt;30000,'Profit &amp; Loss Account'!B28," ")</f>
        <v>3600</v>
      </c>
      <c r="P46" s="98"/>
      <c r="Q46" s="98"/>
      <c r="R46" s="99" t="s">
        <v>33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11</v>
      </c>
      <c r="B48" s="63"/>
      <c r="C48" s="64" t="s">
        <v>62</v>
      </c>
      <c r="D48" s="64"/>
      <c r="E48" s="64"/>
      <c r="F48" s="64"/>
      <c r="G48" s="64"/>
      <c r="H48" s="64"/>
      <c r="I48" s="64"/>
      <c r="J48" s="64"/>
      <c r="K48" s="64"/>
      <c r="L48" s="75" t="n">
        <v>16</v>
      </c>
      <c r="M48" s="63"/>
      <c r="N48" s="64" t="s">
        <v>63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64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32</v>
      </c>
      <c r="D51" s="98" t="n">
        <f aca="false">IF('Profit &amp; Loss Account'!B9&gt;30000,'Profit &amp; Loss Account'!B25+'Profit &amp; Loss Account'!B26," ")</f>
        <v>4080</v>
      </c>
      <c r="E51" s="98"/>
      <c r="F51" s="98"/>
      <c r="G51" s="99" t="s">
        <v>33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32</v>
      </c>
      <c r="O51" s="98" t="n">
        <f aca="false">IF('Profit &amp; Loss Account'!B9&gt;30000,'Profit &amp; Loss Account'!B30+'Profit &amp; Loss Account'!B31," ")</f>
        <v>0</v>
      </c>
      <c r="P51" s="98"/>
      <c r="Q51" s="98"/>
      <c r="R51" s="99" t="s">
        <v>33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12</v>
      </c>
      <c r="B53" s="63"/>
      <c r="C53" s="64" t="s">
        <v>65</v>
      </c>
      <c r="D53" s="64"/>
      <c r="E53" s="64"/>
      <c r="F53" s="64"/>
      <c r="G53" s="64"/>
      <c r="H53" s="64"/>
      <c r="I53" s="64"/>
      <c r="J53" s="64"/>
      <c r="K53" s="64"/>
      <c r="L53" s="75" t="n">
        <v>17</v>
      </c>
      <c r="M53" s="63"/>
      <c r="N53" s="64" t="s">
        <v>66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n">
        <f aca="false">IF('Profit &amp; Loss Account'!B9&gt;30000,'Profit &amp; Loss Account'!B21," ")</f>
        <v>800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n">
        <f aca="false">IF('Profit &amp; Loss Account'!B9&gt;30000,'Profit &amp; Loss Account'!B24," ")</f>
        <v>720</v>
      </c>
      <c r="P55" s="98"/>
      <c r="Q55" s="98"/>
      <c r="R55" s="99" t="s">
        <v>33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13</v>
      </c>
      <c r="B57" s="63"/>
      <c r="C57" s="64" t="s">
        <v>67</v>
      </c>
      <c r="D57" s="64"/>
      <c r="E57" s="64"/>
      <c r="F57" s="64"/>
      <c r="G57" s="64"/>
      <c r="H57" s="64"/>
      <c r="I57" s="64"/>
      <c r="J57" s="64"/>
      <c r="K57" s="64"/>
      <c r="L57" s="75" t="n">
        <v>18</v>
      </c>
      <c r="M57" s="63"/>
      <c r="N57" s="64" t="s">
        <v>68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69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32</v>
      </c>
      <c r="D60" s="98" t="n">
        <f aca="false">IF('Profit &amp; Loss Account'!B9&gt;30000,'Profit &amp; Loss Account'!B22," ")</f>
        <v>4800</v>
      </c>
      <c r="E60" s="98"/>
      <c r="F60" s="98"/>
      <c r="G60" s="99" t="s">
        <v>33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32</v>
      </c>
      <c r="O60" s="98" t="n">
        <f aca="false">IF('Profit &amp; Loss Account'!B9&gt;30000,'Profit &amp; Loss Account'!B27+'Profit &amp; Loss Account'!B29+'Profit &amp; Loss Account'!B32+'Profit &amp; Loss Account'!B33," ")</f>
        <v>1366.66666666667</v>
      </c>
      <c r="P60" s="98"/>
      <c r="Q60" s="98"/>
      <c r="R60" s="99" t="s">
        <v>33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14</v>
      </c>
      <c r="B62" s="63"/>
      <c r="C62" s="64" t="s">
        <v>70</v>
      </c>
      <c r="D62" s="64"/>
      <c r="E62" s="64"/>
      <c r="F62" s="64"/>
      <c r="G62" s="64"/>
      <c r="H62" s="64"/>
      <c r="I62" s="64"/>
      <c r="J62" s="64"/>
      <c r="K62" s="64"/>
      <c r="L62" s="75" t="n">
        <v>19</v>
      </c>
      <c r="M62" s="63"/>
      <c r="N62" s="64" t="s">
        <v>71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32</v>
      </c>
      <c r="D64" s="98" t="n">
        <f aca="false">IF('Profit &amp; Loss Account'!B9&gt;30000,'Profit &amp; Loss Account'!B23," ")</f>
        <v>840</v>
      </c>
      <c r="E64" s="98"/>
      <c r="F64" s="98"/>
      <c r="G64" s="99" t="s">
        <v>33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32</v>
      </c>
      <c r="O64" s="98" t="n">
        <f aca="false">'Profit &amp; Loss Account'!B17+'Profit &amp; Loss Account'!B35-'Profit &amp; Loss Account'!B34</f>
        <v>24006.6666666667</v>
      </c>
      <c r="P64" s="98"/>
      <c r="Q64" s="98"/>
      <c r="R64" s="99" t="s">
        <v>33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72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20</v>
      </c>
      <c r="B68" s="63"/>
      <c r="C68" s="64" t="s">
        <v>73</v>
      </c>
      <c r="D68" s="64"/>
      <c r="E68" s="64"/>
      <c r="F68" s="64"/>
      <c r="G68" s="64"/>
      <c r="H68" s="64"/>
      <c r="I68" s="64"/>
      <c r="J68" s="64"/>
      <c r="K68" s="64"/>
      <c r="L68" s="75" t="n">
        <v>21</v>
      </c>
      <c r="M68" s="63"/>
      <c r="N68" s="64" t="s">
        <v>74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75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76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32</v>
      </c>
      <c r="D71" s="98" t="n">
        <f aca="false">IF((D38+O38-O64)&gt;=0,D38+O38-O64,0)</f>
        <v>34410</v>
      </c>
      <c r="E71" s="98"/>
      <c r="F71" s="98"/>
      <c r="G71" s="99" t="s">
        <v>33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32</v>
      </c>
      <c r="O71" s="98" t="n">
        <f aca="false">IF((D38+O38-O64)&lt;0,O64-D38-O38,0)</f>
        <v>0</v>
      </c>
      <c r="P71" s="98"/>
      <c r="Q71" s="98"/>
      <c r="R71" s="99" t="s">
        <v>33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77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78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79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80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22</v>
      </c>
      <c r="B78" s="63"/>
      <c r="C78" s="64" t="s">
        <v>81</v>
      </c>
      <c r="D78" s="64"/>
      <c r="E78" s="64"/>
      <c r="F78" s="64"/>
      <c r="G78" s="64"/>
      <c r="H78" s="64"/>
      <c r="I78" s="64"/>
      <c r="J78" s="64"/>
      <c r="K78" s="64"/>
      <c r="L78" s="75" t="n">
        <v>24</v>
      </c>
      <c r="M78" s="63"/>
      <c r="N78" s="64" t="s">
        <v>82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32</v>
      </c>
      <c r="D80" s="98" t="n">
        <f aca="false">IF((Schedule!$Q$1)&gt;0,Schedule!$Q$1,0)</f>
        <v>0</v>
      </c>
      <c r="E80" s="98"/>
      <c r="F80" s="98"/>
      <c r="G80" s="99" t="s">
        <v>33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32</v>
      </c>
      <c r="O80" s="98" t="n">
        <f aca="false">IF((Schedule!$R$1+Schedule!$Y$1)&gt;0,Schedule!$R$1+Schedule!$Y$1,0)</f>
        <v>0</v>
      </c>
      <c r="P80" s="98"/>
      <c r="Q80" s="98"/>
      <c r="R80" s="99" t="s">
        <v>33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23</v>
      </c>
      <c r="B82" s="63"/>
      <c r="C82" s="64" t="s">
        <v>83</v>
      </c>
      <c r="D82" s="63"/>
      <c r="E82" s="63"/>
      <c r="F82" s="63"/>
      <c r="G82" s="63"/>
      <c r="H82" s="63"/>
      <c r="I82" s="63"/>
      <c r="J82" s="63"/>
      <c r="K82" s="63"/>
      <c r="L82" s="75" t="n">
        <v>25</v>
      </c>
      <c r="M82" s="63"/>
      <c r="N82" s="64" t="s">
        <v>84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85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86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32</v>
      </c>
      <c r="D85" s="98" t="n">
        <f aca="false">IF((Schedule!$R$1+Schedule!$S$1)&lt;1000,Schedule!$S$1,0)</f>
        <v>0</v>
      </c>
      <c r="E85" s="98"/>
      <c r="F85" s="98"/>
      <c r="G85" s="99" t="s">
        <v>33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32</v>
      </c>
      <c r="O85" s="98" t="n">
        <f aca="false">IF(Schedule!$Z$1&gt;0,Schedule!$Z$1,0)</f>
        <v>0</v>
      </c>
      <c r="P85" s="98"/>
      <c r="Q85" s="98"/>
      <c r="R85" s="99" t="s">
        <v>33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87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88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89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26</v>
      </c>
      <c r="B91" s="63"/>
      <c r="C91" s="64" t="s">
        <v>90</v>
      </c>
      <c r="D91" s="64"/>
      <c r="E91" s="64"/>
      <c r="F91" s="64"/>
      <c r="G91" s="64"/>
      <c r="H91" s="64"/>
      <c r="I91" s="64"/>
      <c r="J91" s="64"/>
      <c r="K91" s="64"/>
      <c r="L91" s="75" t="n">
        <v>28</v>
      </c>
      <c r="M91" s="63"/>
      <c r="N91" s="64" t="s">
        <v>91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92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93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32</v>
      </c>
      <c r="D94" s="98" t="n">
        <f aca="false">'Business Details'!O50</f>
        <v>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27</v>
      </c>
      <c r="B96" s="63"/>
      <c r="C96" s="64" t="s">
        <v>94</v>
      </c>
      <c r="D96" s="64"/>
      <c r="E96" s="64"/>
      <c r="F96" s="64"/>
      <c r="G96" s="64"/>
      <c r="H96" s="64"/>
      <c r="I96" s="64"/>
      <c r="J96" s="64"/>
      <c r="K96" s="64"/>
      <c r="L96" s="75" t="n">
        <v>29</v>
      </c>
      <c r="M96" s="63"/>
      <c r="N96" s="64" t="s">
        <v>95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96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97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32</v>
      </c>
      <c r="D99" s="98" t="n">
        <f aca="false">IF((D71+O85+D94-O71-D80-D85-O80)&gt;0,D71+O85+D94-O71-D80-D85-O80,0)</f>
        <v>34410</v>
      </c>
      <c r="E99" s="98"/>
      <c r="F99" s="98"/>
      <c r="G99" s="99" t="s">
        <v>33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32</v>
      </c>
      <c r="O99" s="98" t="n">
        <f aca="false">'Profit &amp; Loss Account'!B11</f>
        <v>2083.33333333333</v>
      </c>
      <c r="P99" s="98"/>
      <c r="Q99" s="98"/>
      <c r="R99" s="99" t="s">
        <v>33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98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30</v>
      </c>
      <c r="B103" s="63"/>
      <c r="C103" s="64" t="s">
        <v>99</v>
      </c>
      <c r="D103" s="64"/>
      <c r="E103" s="64"/>
      <c r="F103" s="64"/>
      <c r="G103" s="64"/>
      <c r="H103" s="64"/>
      <c r="I103" s="64"/>
      <c r="J103" s="64"/>
      <c r="K103" s="64"/>
      <c r="L103" s="75" t="n">
        <v>31</v>
      </c>
      <c r="M103" s="63"/>
      <c r="N103" s="64" t="s">
        <v>100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101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102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32</v>
      </c>
      <c r="D106" s="98" t="n">
        <f aca="false">IF((D99+O99-O94)&gt;0,D99+O99-O94,0)</f>
        <v>36493.3333333333</v>
      </c>
      <c r="E106" s="98"/>
      <c r="F106" s="98"/>
      <c r="G106" s="99" t="s">
        <v>33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32</v>
      </c>
      <c r="O106" s="98" t="n">
        <f aca="false">IF((O71+D80+D85+O80-D71-O85-D94)&gt;=0,O71+D80+D85+O80-D71-O85-D94,0)</f>
        <v>0</v>
      </c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103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104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32</v>
      </c>
      <c r="B111" s="63"/>
      <c r="C111" s="64" t="s">
        <v>105</v>
      </c>
      <c r="D111" s="64"/>
      <c r="E111" s="64"/>
      <c r="F111" s="64"/>
      <c r="G111" s="64"/>
      <c r="H111" s="64"/>
      <c r="I111" s="64"/>
      <c r="J111" s="64"/>
      <c r="K111" s="64"/>
      <c r="L111" s="75" t="n">
        <v>35</v>
      </c>
      <c r="M111" s="63"/>
      <c r="N111" s="64" t="s">
        <v>106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107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108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/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33</v>
      </c>
      <c r="B116" s="63"/>
      <c r="C116" s="64" t="s">
        <v>109</v>
      </c>
      <c r="D116" s="64"/>
      <c r="E116" s="64"/>
      <c r="F116" s="64"/>
      <c r="G116" s="64"/>
      <c r="H116" s="64"/>
      <c r="I116" s="64"/>
      <c r="J116" s="64"/>
      <c r="K116" s="64"/>
      <c r="L116" s="75" t="n">
        <v>36</v>
      </c>
      <c r="M116" s="63"/>
      <c r="N116" s="64" t="s">
        <v>110</v>
      </c>
      <c r="O116" s="63"/>
      <c r="P116" s="63"/>
      <c r="Q116" s="63"/>
      <c r="R116" s="115" t="str">
        <f aca="false">Admin!G2</f>
        <v>2026-27</v>
      </c>
      <c r="S116" s="115"/>
      <c r="T116" s="115"/>
      <c r="U116" s="64" t="s">
        <v>111</v>
      </c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112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113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 t="s">
        <v>114</v>
      </c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32</v>
      </c>
      <c r="D119" s="98"/>
      <c r="E119" s="98"/>
      <c r="F119" s="98"/>
      <c r="G119" s="99" t="s">
        <v>33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34</v>
      </c>
      <c r="B121" s="63"/>
      <c r="C121" s="64" t="s">
        <v>115</v>
      </c>
      <c r="D121" s="64"/>
      <c r="E121" s="64"/>
      <c r="F121" s="64"/>
      <c r="G121" s="64"/>
      <c r="H121" s="64"/>
      <c r="I121" s="64"/>
      <c r="J121" s="64"/>
      <c r="K121" s="64"/>
      <c r="L121" s="75" t="n">
        <v>37</v>
      </c>
      <c r="M121" s="63"/>
      <c r="N121" s="64" t="s">
        <v>116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117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118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32</v>
      </c>
      <c r="D124" s="98" t="n">
        <f aca="false">'Business Details'!O55</f>
        <v>0</v>
      </c>
      <c r="E124" s="98"/>
      <c r="F124" s="98"/>
      <c r="G124" s="99" t="s">
        <v>33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32</v>
      </c>
      <c r="O124" s="98" t="n">
        <f aca="false">[1]Mar!$X$1</f>
        <v>0</v>
      </c>
      <c r="P124" s="98"/>
      <c r="Q124" s="98"/>
      <c r="R124" s="99" t="s">
        <v>33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119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121" t="s">
        <v>120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40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41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 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3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4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5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6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7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8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9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 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10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11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12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13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14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15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7" customFormat="tru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16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17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18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19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20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21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22</v>
      </c>
      <c r="D39" s="64"/>
      <c r="E39" s="64"/>
      <c r="F39" s="64"/>
      <c r="G39" s="64"/>
      <c r="H39" s="64"/>
      <c r="I39" s="64"/>
      <c r="J39" s="64"/>
      <c r="K39" s="64"/>
      <c r="L39" s="75" t="n">
        <v>12</v>
      </c>
      <c r="M39" s="63"/>
      <c r="N39" s="64" t="s">
        <v>23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24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25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 t="n">
        <v>11</v>
      </c>
      <c r="B44" s="63"/>
      <c r="C44" s="64" t="s">
        <v>26</v>
      </c>
      <c r="D44" s="64"/>
      <c r="E44" s="64"/>
      <c r="F44" s="64"/>
      <c r="G44" s="64"/>
      <c r="H44" s="64"/>
      <c r="I44" s="64"/>
      <c r="J44" s="64"/>
      <c r="K44" s="64"/>
      <c r="L44" s="75" t="n">
        <v>13</v>
      </c>
      <c r="M44" s="63"/>
      <c r="N44" s="64" t="s">
        <v>121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 t="s">
        <v>27</v>
      </c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28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 t="s">
        <v>25</v>
      </c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128" t="str">
        <f aca="false">IF('Business Details'!C45="x","x"," ")</f>
        <v> </v>
      </c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122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14</v>
      </c>
      <c r="B52" s="63"/>
      <c r="C52" s="64" t="s">
        <v>53</v>
      </c>
      <c r="D52" s="64"/>
      <c r="E52" s="64"/>
      <c r="F52" s="64"/>
      <c r="G52" s="64"/>
      <c r="H52" s="64"/>
      <c r="I52" s="64"/>
      <c r="J52" s="64"/>
      <c r="K52" s="64"/>
      <c r="L52" s="75" t="n">
        <v>15</v>
      </c>
      <c r="M52" s="63"/>
      <c r="N52" s="64" t="s">
        <v>123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55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 t="s">
        <v>56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n">
        <f aca="false">'Profit &amp; Loss Account'!B9</f>
        <v>58416.6666666667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n">
        <f aca="false">'Profit &amp; Loss Account'!B38</f>
        <v>0</v>
      </c>
      <c r="P55" s="98"/>
      <c r="Q55" s="98"/>
      <c r="R55" s="99" t="s">
        <v>33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124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125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126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127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128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129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130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131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16</v>
      </c>
      <c r="B64" s="63"/>
      <c r="C64" s="64" t="s">
        <v>60</v>
      </c>
      <c r="D64" s="64"/>
      <c r="E64" s="64"/>
      <c r="F64" s="64"/>
      <c r="G64" s="64"/>
      <c r="H64" s="64"/>
      <c r="I64" s="64"/>
      <c r="J64" s="64"/>
      <c r="K64" s="64"/>
      <c r="L64" s="75" t="n">
        <v>31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32</v>
      </c>
      <c r="D66" s="98" t="n">
        <f aca="false">'Profit &amp; Loss Account'!B14+'Profit &amp; Loss Account'!B16</f>
        <v>1800</v>
      </c>
      <c r="E66" s="98"/>
      <c r="F66" s="98"/>
      <c r="G66" s="99" t="s">
        <v>33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32</v>
      </c>
      <c r="O66" s="98"/>
      <c r="P66" s="98"/>
      <c r="Q66" s="98"/>
      <c r="R66" s="99" t="s">
        <v>33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17</v>
      </c>
      <c r="B68" s="63"/>
      <c r="C68" s="64" t="s">
        <v>132</v>
      </c>
      <c r="D68" s="64"/>
      <c r="E68" s="64"/>
      <c r="F68" s="64"/>
      <c r="G68" s="64"/>
      <c r="H68" s="64"/>
      <c r="I68" s="64"/>
      <c r="J68" s="64"/>
      <c r="K68" s="64"/>
      <c r="L68" s="75" t="n">
        <v>32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32</v>
      </c>
      <c r="D70" s="98" t="n">
        <f aca="false">'Profit &amp; Loss Account'!B15</f>
        <v>6000</v>
      </c>
      <c r="E70" s="98"/>
      <c r="F70" s="98"/>
      <c r="G70" s="99" t="s">
        <v>33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32</v>
      </c>
      <c r="O70" s="98"/>
      <c r="P70" s="98"/>
      <c r="Q70" s="98"/>
      <c r="R70" s="99" t="s">
        <v>33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18</v>
      </c>
      <c r="B72" s="63"/>
      <c r="C72" s="64" t="s">
        <v>65</v>
      </c>
      <c r="D72" s="64"/>
      <c r="E72" s="64"/>
      <c r="F72" s="64"/>
      <c r="G72" s="64"/>
      <c r="H72" s="64"/>
      <c r="I72" s="64"/>
      <c r="J72" s="64"/>
      <c r="K72" s="64"/>
      <c r="L72" s="75" t="n">
        <v>33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32</v>
      </c>
      <c r="D74" s="98" t="n">
        <f aca="false">'Profit &amp; Loss Account'!B21</f>
        <v>800</v>
      </c>
      <c r="E74" s="98"/>
      <c r="F74" s="98"/>
      <c r="G74" s="99" t="s">
        <v>33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32</v>
      </c>
      <c r="O74" s="98"/>
      <c r="P74" s="98"/>
      <c r="Q74" s="98"/>
      <c r="R74" s="99" t="s">
        <v>33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19</v>
      </c>
      <c r="B76" s="63"/>
      <c r="C76" s="64" t="s">
        <v>133</v>
      </c>
      <c r="D76" s="64"/>
      <c r="E76" s="64"/>
      <c r="F76" s="64"/>
      <c r="G76" s="64"/>
      <c r="H76" s="64"/>
      <c r="I76" s="64"/>
      <c r="J76" s="64"/>
      <c r="K76" s="64"/>
      <c r="L76" s="75" t="n">
        <v>34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32</v>
      </c>
      <c r="D78" s="98" t="n">
        <f aca="false">'Profit &amp; Loss Account'!B25+'Profit &amp; Loss Account'!B26</f>
        <v>4080</v>
      </c>
      <c r="E78" s="98"/>
      <c r="F78" s="98"/>
      <c r="G78" s="99" t="s">
        <v>33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32</v>
      </c>
      <c r="O78" s="98"/>
      <c r="P78" s="98"/>
      <c r="Q78" s="98"/>
      <c r="R78" s="99" t="s">
        <v>33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20</v>
      </c>
      <c r="B80" s="63"/>
      <c r="C80" s="64" t="s">
        <v>67</v>
      </c>
      <c r="D80" s="64"/>
      <c r="E80" s="64"/>
      <c r="F80" s="64"/>
      <c r="G80" s="64"/>
      <c r="H80" s="64"/>
      <c r="I80" s="64"/>
      <c r="J80" s="64"/>
      <c r="K80" s="64"/>
      <c r="L80" s="75" t="n">
        <v>35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32</v>
      </c>
      <c r="D82" s="98" t="n">
        <f aca="false">'Profit &amp; Loss Account'!B22</f>
        <v>4800</v>
      </c>
      <c r="E82" s="98"/>
      <c r="F82" s="98"/>
      <c r="G82" s="99" t="s">
        <v>33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32</v>
      </c>
      <c r="O82" s="98"/>
      <c r="P82" s="98"/>
      <c r="Q82" s="98"/>
      <c r="R82" s="99" t="s">
        <v>33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21</v>
      </c>
      <c r="B84" s="63"/>
      <c r="C84" s="64" t="s">
        <v>134</v>
      </c>
      <c r="D84" s="64"/>
      <c r="E84" s="64"/>
      <c r="F84" s="64"/>
      <c r="G84" s="64"/>
      <c r="H84" s="64"/>
      <c r="I84" s="64"/>
      <c r="J84" s="64"/>
      <c r="K84" s="64"/>
      <c r="L84" s="75" t="n">
        <v>36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32</v>
      </c>
      <c r="D86" s="98" t="n">
        <f aca="false">'Profit &amp; Loss Account'!B23</f>
        <v>840</v>
      </c>
      <c r="E86" s="98"/>
      <c r="F86" s="98"/>
      <c r="G86" s="99" t="s">
        <v>33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32</v>
      </c>
      <c r="O86" s="98"/>
      <c r="P86" s="98"/>
      <c r="Q86" s="98"/>
      <c r="R86" s="99" t="s">
        <v>33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22</v>
      </c>
      <c r="B88" s="63"/>
      <c r="C88" s="64" t="s">
        <v>66</v>
      </c>
      <c r="D88" s="64"/>
      <c r="E88" s="64"/>
      <c r="F88" s="64"/>
      <c r="G88" s="64"/>
      <c r="H88" s="64"/>
      <c r="I88" s="64"/>
      <c r="J88" s="64"/>
      <c r="K88" s="64"/>
      <c r="L88" s="75" t="n">
        <v>37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32</v>
      </c>
      <c r="D90" s="98" t="n">
        <f aca="false">'Profit &amp; Loss Account'!B24</f>
        <v>720</v>
      </c>
      <c r="E90" s="98"/>
      <c r="F90" s="98"/>
      <c r="G90" s="99" t="s">
        <v>33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32</v>
      </c>
      <c r="O90" s="98"/>
      <c r="P90" s="98"/>
      <c r="Q90" s="98"/>
      <c r="R90" s="99" t="s">
        <v>33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23</v>
      </c>
      <c r="B92" s="63"/>
      <c r="C92" s="64" t="s">
        <v>135</v>
      </c>
      <c r="D92" s="64"/>
      <c r="E92" s="64"/>
      <c r="F92" s="64"/>
      <c r="G92" s="64"/>
      <c r="H92" s="64"/>
      <c r="I92" s="64"/>
      <c r="J92" s="64"/>
      <c r="K92" s="64"/>
      <c r="L92" s="75" t="n">
        <v>38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32</v>
      </c>
      <c r="D94" s="98" t="n">
        <f aca="false">'Profit &amp; Loss Account'!B27</f>
        <v>1200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/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24</v>
      </c>
      <c r="B96" s="63"/>
      <c r="C96" s="64" t="s">
        <v>136</v>
      </c>
      <c r="D96" s="64"/>
      <c r="E96" s="64"/>
      <c r="F96" s="64"/>
      <c r="G96" s="64"/>
      <c r="H96" s="64"/>
      <c r="I96" s="64"/>
      <c r="J96" s="64"/>
      <c r="K96" s="64"/>
      <c r="L96" s="75" t="n">
        <v>39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32</v>
      </c>
      <c r="D98" s="98" t="n">
        <f aca="false">'Profit &amp; Loss Account'!B30</f>
        <v>0</v>
      </c>
      <c r="E98" s="98"/>
      <c r="F98" s="98"/>
      <c r="G98" s="99" t="s">
        <v>33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32</v>
      </c>
      <c r="O98" s="98"/>
      <c r="P98" s="98"/>
      <c r="Q98" s="98"/>
      <c r="R98" s="99" t="s">
        <v>33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25</v>
      </c>
      <c r="B100" s="63"/>
      <c r="C100" s="64" t="s">
        <v>137</v>
      </c>
      <c r="D100" s="64"/>
      <c r="E100" s="64"/>
      <c r="F100" s="64"/>
      <c r="G100" s="64"/>
      <c r="H100" s="64"/>
      <c r="I100" s="64"/>
      <c r="J100" s="64"/>
      <c r="K100" s="64"/>
      <c r="L100" s="75" t="n">
        <v>40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32</v>
      </c>
      <c r="D102" s="98" t="n">
        <f aca="false">'Profit &amp; Loss Account'!B31</f>
        <v>0</v>
      </c>
      <c r="E102" s="98"/>
      <c r="F102" s="98"/>
      <c r="G102" s="99" t="s">
        <v>33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32</v>
      </c>
      <c r="O102" s="98"/>
      <c r="P102" s="98"/>
      <c r="Q102" s="98"/>
      <c r="R102" s="99" t="s">
        <v>33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26</v>
      </c>
      <c r="B104" s="63"/>
      <c r="C104" s="64" t="s">
        <v>138</v>
      </c>
      <c r="D104" s="64"/>
      <c r="E104" s="64"/>
      <c r="F104" s="64"/>
      <c r="G104" s="64"/>
      <c r="H104" s="64"/>
      <c r="I104" s="64"/>
      <c r="J104" s="64"/>
      <c r="K104" s="64"/>
      <c r="L104" s="75" t="n">
        <v>41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32</v>
      </c>
      <c r="D106" s="98" t="n">
        <f aca="false">'Profit &amp; Loss Account'!B29</f>
        <v>-333.333333333333</v>
      </c>
      <c r="E106" s="98"/>
      <c r="F106" s="98"/>
      <c r="G106" s="99" t="s">
        <v>33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32</v>
      </c>
      <c r="O106" s="98"/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27</v>
      </c>
      <c r="B108" s="63"/>
      <c r="C108" s="64" t="s">
        <v>61</v>
      </c>
      <c r="D108" s="64"/>
      <c r="E108" s="64"/>
      <c r="F108" s="64"/>
      <c r="G108" s="64"/>
      <c r="H108" s="64"/>
      <c r="I108" s="64"/>
      <c r="J108" s="64"/>
      <c r="K108" s="64"/>
      <c r="L108" s="75" t="n">
        <v>42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32</v>
      </c>
      <c r="D110" s="98" t="n">
        <f aca="false">'Profit &amp; Loss Account'!B28</f>
        <v>3600</v>
      </c>
      <c r="E110" s="98"/>
      <c r="F110" s="98"/>
      <c r="G110" s="99" t="s">
        <v>33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32</v>
      </c>
      <c r="O110" s="98"/>
      <c r="P110" s="98"/>
      <c r="Q110" s="98"/>
      <c r="R110" s="99" t="s">
        <v>33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28</v>
      </c>
      <c r="B112" s="63"/>
      <c r="C112" s="64" t="s">
        <v>139</v>
      </c>
      <c r="D112" s="64"/>
      <c r="E112" s="64"/>
      <c r="F112" s="64"/>
      <c r="G112" s="64"/>
      <c r="H112" s="64"/>
      <c r="I112" s="64"/>
      <c r="J112" s="64"/>
      <c r="K112" s="64"/>
      <c r="L112" s="75" t="n">
        <v>43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 t="n">
        <f aca="false">'Profit &amp; Loss Account'!B33+'Profit &amp; Loss Account'!B34</f>
        <v>0</v>
      </c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32</v>
      </c>
      <c r="O114" s="98" t="n">
        <f aca="false">'Profit &amp; Loss Account'!B34</f>
        <v>0</v>
      </c>
      <c r="P114" s="98"/>
      <c r="Q114" s="98"/>
      <c r="R114" s="99" t="s">
        <v>33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29</v>
      </c>
      <c r="B116" s="63"/>
      <c r="C116" s="64" t="s">
        <v>140</v>
      </c>
      <c r="D116" s="64"/>
      <c r="E116" s="64"/>
      <c r="F116" s="64"/>
      <c r="G116" s="64"/>
      <c r="H116" s="64"/>
      <c r="I116" s="64"/>
      <c r="J116" s="64"/>
      <c r="K116" s="64"/>
      <c r="L116" s="75" t="n">
        <v>44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32</v>
      </c>
      <c r="D118" s="98" t="n">
        <f aca="false">'Profit &amp; Loss Account'!B32</f>
        <v>500</v>
      </c>
      <c r="E118" s="98"/>
      <c r="F118" s="98"/>
      <c r="G118" s="99" t="s">
        <v>33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32</v>
      </c>
      <c r="O118" s="98"/>
      <c r="P118" s="98"/>
      <c r="Q118" s="98"/>
      <c r="R118" s="99" t="s">
        <v>33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30</v>
      </c>
      <c r="B120" s="63"/>
      <c r="C120" s="64" t="s">
        <v>141</v>
      </c>
      <c r="D120" s="64"/>
      <c r="E120" s="64"/>
      <c r="F120" s="64"/>
      <c r="G120" s="64"/>
      <c r="H120" s="64"/>
      <c r="I120" s="64"/>
      <c r="J120" s="64"/>
      <c r="K120" s="64"/>
      <c r="L120" s="75" t="n">
        <v>45</v>
      </c>
      <c r="M120" s="63"/>
      <c r="N120" s="64" t="s">
        <v>142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32</v>
      </c>
      <c r="D122" s="98" t="n">
        <f aca="false">'Profit &amp; Loss Account'!B17+'Profit &amp; Loss Account'!B35</f>
        <v>24006.6666666667</v>
      </c>
      <c r="E122" s="98"/>
      <c r="F122" s="98"/>
      <c r="G122" s="99" t="s">
        <v>33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32</v>
      </c>
      <c r="O122" s="98" t="n">
        <f aca="false">'Profit &amp; Loss Account'!B34</f>
        <v>0</v>
      </c>
      <c r="P122" s="98"/>
      <c r="Q122" s="98"/>
      <c r="R122" s="99" t="s">
        <v>33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72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46</v>
      </c>
      <c r="B126" s="63"/>
      <c r="C126" s="64" t="s">
        <v>73</v>
      </c>
      <c r="D126" s="64"/>
      <c r="E126" s="64"/>
      <c r="F126" s="64"/>
      <c r="G126" s="64"/>
      <c r="H126" s="64"/>
      <c r="I126" s="64"/>
      <c r="J126" s="64"/>
      <c r="K126" s="64"/>
      <c r="L126" s="75" t="n">
        <v>47</v>
      </c>
      <c r="M126" s="63"/>
      <c r="N126" s="64" t="s">
        <v>74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143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144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32</v>
      </c>
      <c r="D129" s="98" t="n">
        <f aca="false">IF((D55+O55-D122)&gt;=0,D55+O55-D122,0)</f>
        <v>34410</v>
      </c>
      <c r="E129" s="98"/>
      <c r="F129" s="98"/>
      <c r="G129" s="99" t="s">
        <v>33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32</v>
      </c>
      <c r="O129" s="98" t="n">
        <f aca="false">IF((D55+O55-D122)&lt;0,D122-D55-O55,0)</f>
        <v>0</v>
      </c>
      <c r="P129" s="98"/>
      <c r="Q129" s="98"/>
      <c r="R129" s="99" t="s">
        <v>33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77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145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146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147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48</v>
      </c>
      <c r="B136" s="63"/>
      <c r="C136" s="130" t="s">
        <v>148</v>
      </c>
      <c r="D136" s="64"/>
      <c r="E136" s="64"/>
      <c r="F136" s="64"/>
      <c r="G136" s="64"/>
      <c r="H136" s="131" t="n">
        <f aca="false">Admin!G4</f>
        <v>1</v>
      </c>
      <c r="I136" s="131"/>
      <c r="J136" s="64"/>
      <c r="K136" s="64"/>
      <c r="L136" s="75" t="n">
        <v>54</v>
      </c>
      <c r="M136" s="63"/>
      <c r="N136" s="64" t="s">
        <v>149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 t="s">
        <v>150</v>
      </c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32</v>
      </c>
      <c r="D139" s="98" t="n">
        <f aca="false">IF(Schedule!$Q$1&gt;0,Schedule!$Q$1,0)</f>
        <v>0</v>
      </c>
      <c r="E139" s="98"/>
      <c r="F139" s="98"/>
      <c r="G139" s="99" t="s">
        <v>33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32</v>
      </c>
      <c r="O139" s="98" t="n">
        <f aca="false">IF((Schedule!$R$1+Schedule!$S$1)&lt;1000,Schedule!$S$1,0)</f>
        <v>0</v>
      </c>
      <c r="P139" s="98"/>
      <c r="Q139" s="98"/>
      <c r="R139" s="99" t="s">
        <v>33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49</v>
      </c>
      <c r="B141" s="63"/>
      <c r="C141" s="64" t="s">
        <v>151</v>
      </c>
      <c r="D141" s="64"/>
      <c r="E141" s="64"/>
      <c r="F141" s="64"/>
      <c r="G141" s="131" t="n">
        <f aca="false">Admin!G5</f>
        <v>0.14</v>
      </c>
      <c r="H141" s="131"/>
      <c r="I141" s="64" t="s">
        <v>152</v>
      </c>
      <c r="J141" s="64"/>
      <c r="K141" s="64"/>
      <c r="L141" s="75" t="n">
        <v>55</v>
      </c>
      <c r="M141" s="63"/>
      <c r="N141" s="64" t="s">
        <v>153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154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 t="s">
        <v>155</v>
      </c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32</v>
      </c>
      <c r="D144" s="98" t="n">
        <f aca="false">Schedule!$R$1-D152</f>
        <v>0</v>
      </c>
      <c r="E144" s="98"/>
      <c r="F144" s="98"/>
      <c r="G144" s="99" t="s">
        <v>33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32</v>
      </c>
      <c r="O144" s="98" t="n">
        <f aca="false">Schedule!$Y$1</f>
        <v>0</v>
      </c>
      <c r="P144" s="98"/>
      <c r="Q144" s="98"/>
      <c r="R144" s="99" t="s">
        <v>33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50</v>
      </c>
      <c r="B146" s="63"/>
      <c r="C146" s="130" t="s">
        <v>156</v>
      </c>
      <c r="D146" s="64"/>
      <c r="E146" s="64"/>
      <c r="F146" s="64"/>
      <c r="G146" s="64"/>
      <c r="H146" s="131" t="n">
        <v>0.1</v>
      </c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32</v>
      </c>
      <c r="D147" s="98"/>
      <c r="E147" s="98"/>
      <c r="F147" s="98"/>
      <c r="G147" s="99" t="s">
        <v>33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157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51</v>
      </c>
      <c r="B149" s="63"/>
      <c r="C149" s="64" t="s">
        <v>158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32</v>
      </c>
      <c r="O149" s="98" t="n">
        <f aca="false">D139+D144+D147+D152+D156+D160+O139+O144</f>
        <v>0</v>
      </c>
      <c r="P149" s="98"/>
      <c r="Q149" s="98"/>
      <c r="R149" s="99" t="s">
        <v>33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 t="s">
        <v>159</v>
      </c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160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32</v>
      </c>
      <c r="D152" s="98" t="n">
        <f aca="false">SUM(Schedule!$R$38:$R$42)+SUM(Schedule!$R$91:$R$95)</f>
        <v>0</v>
      </c>
      <c r="E152" s="98"/>
      <c r="F152" s="98"/>
      <c r="G152" s="99" t="s">
        <v>33</v>
      </c>
      <c r="H152" s="100" t="n">
        <v>0</v>
      </c>
      <c r="I152" s="100" t="n">
        <v>0</v>
      </c>
      <c r="J152" s="63"/>
      <c r="K152" s="63"/>
      <c r="L152" s="63"/>
      <c r="M152" s="63"/>
      <c r="N152" s="64" t="s">
        <v>161</v>
      </c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</v>
      </c>
      <c r="B154" s="63"/>
      <c r="C154" s="64" t="s">
        <v>162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32</v>
      </c>
      <c r="O154" s="98"/>
      <c r="P154" s="98"/>
      <c r="Q154" s="98"/>
      <c r="R154" s="99" t="s">
        <v>33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32</v>
      </c>
      <c r="D156" s="98"/>
      <c r="E156" s="98"/>
      <c r="F156" s="98"/>
      <c r="G156" s="99" t="s">
        <v>33</v>
      </c>
      <c r="H156" s="100" t="n">
        <v>0</v>
      </c>
      <c r="I156" s="100" t="n">
        <v>0</v>
      </c>
      <c r="J156" s="63"/>
      <c r="K156" s="63"/>
      <c r="L156" s="75" t="n">
        <v>58</v>
      </c>
      <c r="M156" s="63"/>
      <c r="N156" s="64" t="s">
        <v>163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164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165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 t="s">
        <v>166</v>
      </c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167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32</v>
      </c>
      <c r="D160" s="98"/>
      <c r="E160" s="98"/>
      <c r="F160" s="98"/>
      <c r="G160" s="99" t="s">
        <v>33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32</v>
      </c>
      <c r="O160" s="98" t="n">
        <f aca="false">Schedule!$Z$1</f>
        <v>0</v>
      </c>
      <c r="P160" s="98"/>
      <c r="Q160" s="98"/>
      <c r="R160" s="99" t="s">
        <v>33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168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169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170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59</v>
      </c>
      <c r="B166" s="63"/>
      <c r="C166" s="64" t="s">
        <v>171</v>
      </c>
      <c r="D166" s="64"/>
      <c r="E166" s="64"/>
      <c r="F166" s="64"/>
      <c r="G166" s="64"/>
      <c r="H166" s="64"/>
      <c r="I166" s="64"/>
      <c r="J166" s="64"/>
      <c r="K166" s="64"/>
      <c r="L166" s="75" t="n">
        <v>62</v>
      </c>
      <c r="M166" s="63"/>
      <c r="N166" s="64" t="s">
        <v>172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 t="s">
        <v>114</v>
      </c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173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32</v>
      </c>
      <c r="D169" s="98" t="n">
        <f aca="false">'Business Details'!O50</f>
        <v>0</v>
      </c>
      <c r="E169" s="98"/>
      <c r="F169" s="98"/>
      <c r="G169" s="99" t="s">
        <v>33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32</v>
      </c>
      <c r="O169" s="98" t="n">
        <f aca="false">O149+D179</f>
        <v>0</v>
      </c>
      <c r="P169" s="98"/>
      <c r="Q169" s="98"/>
      <c r="R169" s="99" t="s">
        <v>33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60</v>
      </c>
      <c r="B171" s="63"/>
      <c r="C171" s="64" t="s">
        <v>174</v>
      </c>
      <c r="D171" s="64"/>
      <c r="E171" s="64"/>
      <c r="F171" s="64"/>
      <c r="G171" s="64"/>
      <c r="H171" s="64"/>
      <c r="I171" s="64"/>
      <c r="J171" s="64"/>
      <c r="K171" s="64"/>
      <c r="L171" s="75" t="n">
        <v>63</v>
      </c>
      <c r="M171" s="63"/>
      <c r="N171" s="64" t="s">
        <v>175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176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177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32</v>
      </c>
      <c r="D174" s="98" t="n">
        <f aca="false">O122+O154+O160+D169</f>
        <v>0</v>
      </c>
      <c r="E174" s="98"/>
      <c r="F174" s="98"/>
      <c r="G174" s="99" t="s">
        <v>33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32</v>
      </c>
      <c r="O174" s="98" t="n">
        <f aca="false">IF((D129+D174-O169)&gt;0,(D129+D174-O169),IF((-O129+D174-O169)&gt;0,(-O129+D174-O169),0))</f>
        <v>34410</v>
      </c>
      <c r="P174" s="98"/>
      <c r="Q174" s="98"/>
      <c r="R174" s="99" t="s">
        <v>33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61</v>
      </c>
      <c r="B176" s="63"/>
      <c r="C176" s="64" t="s">
        <v>178</v>
      </c>
      <c r="D176" s="64"/>
      <c r="E176" s="64"/>
      <c r="F176" s="64"/>
      <c r="G176" s="64"/>
      <c r="H176" s="64"/>
      <c r="I176" s="64"/>
      <c r="J176" s="64"/>
      <c r="K176" s="64"/>
      <c r="L176" s="75" t="n">
        <v>64</v>
      </c>
      <c r="M176" s="63"/>
      <c r="N176" s="64" t="s">
        <v>179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180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181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32</v>
      </c>
      <c r="D179" s="98"/>
      <c r="E179" s="98"/>
      <c r="F179" s="98"/>
      <c r="G179" s="99" t="s">
        <v>33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32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33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182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183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184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185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 t="n">
        <v>65</v>
      </c>
      <c r="B186" s="63"/>
      <c r="C186" s="64" t="s">
        <v>186</v>
      </c>
      <c r="D186" s="64"/>
      <c r="E186" s="64"/>
      <c r="F186" s="64"/>
      <c r="G186" s="64"/>
      <c r="H186" s="64"/>
      <c r="I186" s="64"/>
      <c r="J186" s="64"/>
      <c r="K186" s="64"/>
      <c r="L186" s="75" t="n">
        <v>71</v>
      </c>
      <c r="M186" s="63"/>
      <c r="N186" s="64" t="s">
        <v>187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3.5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188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116"/>
      <c r="D188" s="135"/>
      <c r="E188" s="135"/>
      <c r="F188" s="135"/>
      <c r="G188" s="99"/>
      <c r="H188" s="102"/>
      <c r="I188" s="102"/>
      <c r="J188" s="63"/>
      <c r="K188" s="63"/>
      <c r="L188" s="64"/>
      <c r="M188" s="63"/>
      <c r="N188" s="92" t="s">
        <v>189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 t="n">
        <v>66</v>
      </c>
      <c r="B189" s="63"/>
      <c r="C189" s="64" t="s">
        <v>190</v>
      </c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191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32</v>
      </c>
      <c r="O190" s="136" t="s">
        <v>192</v>
      </c>
      <c r="P190" s="137"/>
      <c r="Q190" s="137"/>
      <c r="R190" s="99" t="s">
        <v>33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67</v>
      </c>
      <c r="B192" s="63"/>
      <c r="C192" s="64" t="s">
        <v>193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72</v>
      </c>
      <c r="M192" s="63"/>
      <c r="N192" s="64" t="s">
        <v>194</v>
      </c>
      <c r="O192" s="63"/>
      <c r="P192" s="63"/>
      <c r="Q192" s="138" t="str">
        <f aca="false">Admin!G2</f>
        <v>2026-27</v>
      </c>
      <c r="R192" s="64" t="s">
        <v>195</v>
      </c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196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197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198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32</v>
      </c>
      <c r="O194" s="98" t="n">
        <f aca="false">O174</f>
        <v>34410</v>
      </c>
      <c r="P194" s="98"/>
      <c r="Q194" s="98"/>
      <c r="R194" s="99" t="s">
        <v>33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 t="s">
        <v>199</v>
      </c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 t="s">
        <v>200</v>
      </c>
      <c r="D196" s="64"/>
      <c r="E196" s="64"/>
      <c r="F196" s="64"/>
      <c r="G196" s="64"/>
      <c r="H196" s="64"/>
      <c r="I196" s="64"/>
      <c r="J196" s="64"/>
      <c r="K196" s="64"/>
      <c r="L196" s="75" t="n">
        <v>73</v>
      </c>
      <c r="M196" s="63"/>
      <c r="N196" s="64" t="s">
        <v>91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32</v>
      </c>
      <c r="D197" s="136" t="s">
        <v>192</v>
      </c>
      <c r="E197" s="137"/>
      <c r="F197" s="137"/>
      <c r="G197" s="99" t="s">
        <v>33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201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 t="s">
        <v>202</v>
      </c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 t="n">
        <v>68</v>
      </c>
      <c r="B199" s="63"/>
      <c r="C199" s="64" t="s">
        <v>203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32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33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97" t="s">
        <v>32</v>
      </c>
      <c r="D201" s="98"/>
      <c r="E201" s="98"/>
      <c r="F201" s="98"/>
      <c r="G201" s="99" t="s">
        <v>33</v>
      </c>
      <c r="H201" s="100" t="n">
        <v>0</v>
      </c>
      <c r="I201" s="100" t="n">
        <v>0</v>
      </c>
      <c r="J201" s="63"/>
      <c r="K201" s="63"/>
      <c r="L201" s="75" t="n">
        <v>74</v>
      </c>
      <c r="M201" s="63"/>
      <c r="N201" s="64" t="s">
        <v>204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205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 t="n">
        <v>69</v>
      </c>
      <c r="B203" s="63"/>
      <c r="C203" s="64" t="s">
        <v>206</v>
      </c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32</v>
      </c>
      <c r="O204" s="98" t="n">
        <f aca="false">'Profit &amp; Loss Account'!B11</f>
        <v>2083.33333333333</v>
      </c>
      <c r="P204" s="98"/>
      <c r="Q204" s="98"/>
      <c r="R204" s="99" t="s">
        <v>33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97" t="s">
        <v>32</v>
      </c>
      <c r="D206" s="98"/>
      <c r="E206" s="98"/>
      <c r="F206" s="98"/>
      <c r="G206" s="99" t="s">
        <v>33</v>
      </c>
      <c r="H206" s="100" t="n">
        <v>0</v>
      </c>
      <c r="I206" s="100" t="n">
        <v>0</v>
      </c>
      <c r="J206" s="63"/>
      <c r="K206" s="63"/>
      <c r="L206" s="75" t="n">
        <v>75</v>
      </c>
      <c r="M206" s="63"/>
      <c r="N206" s="64" t="s">
        <v>207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208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70</v>
      </c>
      <c r="B208" s="63"/>
      <c r="C208" s="64" t="s">
        <v>209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 t="s">
        <v>210</v>
      </c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 t="s">
        <v>211</v>
      </c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32</v>
      </c>
      <c r="D210" s="98"/>
      <c r="E210" s="98"/>
      <c r="F210" s="98"/>
      <c r="G210" s="99" t="s">
        <v>33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32</v>
      </c>
      <c r="O210" s="98" t="n">
        <f aca="false">O194-O199+O204</f>
        <v>36493.3333333333</v>
      </c>
      <c r="P210" s="98"/>
      <c r="Q210" s="98"/>
      <c r="R210" s="99" t="s">
        <v>33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212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213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214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76</v>
      </c>
      <c r="B216" s="63"/>
      <c r="C216" s="64" t="s">
        <v>215</v>
      </c>
      <c r="D216" s="64"/>
      <c r="E216" s="64"/>
      <c r="F216" s="146" t="str">
        <f aca="false">Admin!G2</f>
        <v>2026-27</v>
      </c>
      <c r="G216" s="64" t="s">
        <v>216</v>
      </c>
      <c r="H216" s="64"/>
      <c r="I216" s="64"/>
      <c r="J216" s="63"/>
      <c r="K216" s="64"/>
      <c r="L216" s="75" t="n">
        <v>78</v>
      </c>
      <c r="M216" s="63"/>
      <c r="N216" s="64" t="s">
        <v>217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 t="s">
        <v>218</v>
      </c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112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32</v>
      </c>
      <c r="D219" s="98" t="n">
        <f aca="false">O179+E197-D201+D210+P190</f>
        <v>0</v>
      </c>
      <c r="E219" s="98"/>
      <c r="F219" s="98"/>
      <c r="G219" s="99" t="s">
        <v>33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32</v>
      </c>
      <c r="O219" s="98"/>
      <c r="P219" s="98"/>
      <c r="Q219" s="98"/>
      <c r="R219" s="99" t="s">
        <v>33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77</v>
      </c>
      <c r="B221" s="63"/>
      <c r="C221" s="64" t="s">
        <v>219</v>
      </c>
      <c r="D221" s="64"/>
      <c r="E221" s="64"/>
      <c r="F221" s="64"/>
      <c r="G221" s="64"/>
      <c r="H221" s="64"/>
      <c r="I221" s="64"/>
      <c r="J221" s="64"/>
      <c r="K221" s="64"/>
      <c r="L221" s="75" t="n">
        <v>79</v>
      </c>
      <c r="M221" s="63"/>
      <c r="N221" s="64" t="s">
        <v>115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107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117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32</v>
      </c>
      <c r="D224" s="98"/>
      <c r="E224" s="98"/>
      <c r="F224" s="98"/>
      <c r="G224" s="99" t="s">
        <v>33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32</v>
      </c>
      <c r="O224" s="98" t="n">
        <f aca="false">D219</f>
        <v>0</v>
      </c>
      <c r="P224" s="98"/>
      <c r="Q224" s="98"/>
      <c r="R224" s="99" t="s">
        <v>33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220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80</v>
      </c>
      <c r="B228" s="63"/>
      <c r="C228" s="64" t="s">
        <v>116</v>
      </c>
      <c r="D228" s="64"/>
      <c r="E228" s="64"/>
      <c r="F228" s="64"/>
      <c r="G228" s="64"/>
      <c r="H228" s="64"/>
      <c r="I228" s="64"/>
      <c r="J228" s="64"/>
      <c r="K228" s="64"/>
      <c r="L228" s="75" t="n">
        <v>81</v>
      </c>
      <c r="M228" s="63"/>
      <c r="N228" s="64" t="s">
        <v>221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222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32</v>
      </c>
      <c r="D231" s="98" t="n">
        <f aca="false">[1]Mar!$X$1</f>
        <v>0</v>
      </c>
      <c r="E231" s="98"/>
      <c r="F231" s="98"/>
      <c r="G231" s="99" t="s">
        <v>33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32</v>
      </c>
      <c r="O231" s="98"/>
      <c r="P231" s="98"/>
      <c r="Q231" s="98"/>
      <c r="R231" s="99" t="s">
        <v>33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223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224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225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226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227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82</v>
      </c>
      <c r="B239" s="63"/>
      <c r="C239" s="64" t="s">
        <v>228</v>
      </c>
      <c r="D239" s="64"/>
      <c r="E239" s="64"/>
      <c r="F239" s="64"/>
      <c r="G239" s="64"/>
      <c r="H239" s="64"/>
      <c r="I239" s="64"/>
      <c r="J239" s="64"/>
      <c r="K239" s="64"/>
      <c r="L239" s="75" t="n">
        <v>90</v>
      </c>
      <c r="M239" s="63"/>
      <c r="N239" s="64" t="s">
        <v>229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32</v>
      </c>
      <c r="D241" s="98"/>
      <c r="E241" s="98"/>
      <c r="F241" s="98"/>
      <c r="G241" s="99" t="s">
        <v>33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32</v>
      </c>
      <c r="O241" s="98"/>
      <c r="P241" s="98"/>
      <c r="Q241" s="98"/>
      <c r="R241" s="99" t="s">
        <v>33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83</v>
      </c>
      <c r="B243" s="63"/>
      <c r="C243" s="64" t="s">
        <v>230</v>
      </c>
      <c r="D243" s="64"/>
      <c r="E243" s="64"/>
      <c r="F243" s="64"/>
      <c r="G243" s="64"/>
      <c r="H243" s="64"/>
      <c r="I243" s="64"/>
      <c r="J243" s="64"/>
      <c r="K243" s="64"/>
      <c r="L243" s="75" t="n">
        <v>91</v>
      </c>
      <c r="M243" s="63"/>
      <c r="N243" s="64" t="s">
        <v>231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32</v>
      </c>
      <c r="D245" s="98"/>
      <c r="E245" s="98"/>
      <c r="F245" s="98"/>
      <c r="G245" s="99" t="s">
        <v>33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32</v>
      </c>
      <c r="O245" s="98"/>
      <c r="P245" s="98"/>
      <c r="Q245" s="98"/>
      <c r="R245" s="99" t="s">
        <v>33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84</v>
      </c>
      <c r="B247" s="63"/>
      <c r="C247" s="64" t="s">
        <v>232</v>
      </c>
      <c r="D247" s="64"/>
      <c r="E247" s="64"/>
      <c r="F247" s="64"/>
      <c r="G247" s="64"/>
      <c r="H247" s="64"/>
      <c r="I247" s="64"/>
      <c r="J247" s="64"/>
      <c r="K247" s="64"/>
      <c r="L247" s="75" t="n">
        <v>92</v>
      </c>
      <c r="M247" s="63"/>
      <c r="N247" s="64" t="s">
        <v>233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32</v>
      </c>
      <c r="D249" s="98"/>
      <c r="E249" s="98"/>
      <c r="F249" s="98"/>
      <c r="G249" s="99" t="s">
        <v>33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32</v>
      </c>
      <c r="O249" s="98"/>
      <c r="P249" s="98"/>
      <c r="Q249" s="98"/>
      <c r="R249" s="99" t="s">
        <v>33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85</v>
      </c>
      <c r="B251" s="63"/>
      <c r="C251" s="64" t="s">
        <v>234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235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32</v>
      </c>
      <c r="D253" s="98"/>
      <c r="E253" s="98"/>
      <c r="F253" s="98"/>
      <c r="G253" s="99" t="s">
        <v>33</v>
      </c>
      <c r="H253" s="100" t="n">
        <v>0</v>
      </c>
      <c r="I253" s="100" t="n">
        <v>0</v>
      </c>
      <c r="J253" s="63"/>
      <c r="K253" s="63"/>
      <c r="L253" s="75" t="n">
        <v>93</v>
      </c>
      <c r="M253" s="63"/>
      <c r="N253" s="64" t="s">
        <v>236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86</v>
      </c>
      <c r="B255" s="63"/>
      <c r="C255" s="64" t="s">
        <v>237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32</v>
      </c>
      <c r="O255" s="149" t="s">
        <v>192</v>
      </c>
      <c r="P255" s="98"/>
      <c r="Q255" s="98"/>
      <c r="R255" s="98"/>
      <c r="S255" s="99" t="s">
        <v>33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32</v>
      </c>
      <c r="D257" s="98"/>
      <c r="E257" s="98"/>
      <c r="F257" s="98"/>
      <c r="G257" s="99" t="s">
        <v>33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238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87</v>
      </c>
      <c r="B259" s="63"/>
      <c r="C259" s="64" t="s">
        <v>239</v>
      </c>
      <c r="D259" s="64"/>
      <c r="E259" s="64"/>
      <c r="F259" s="64"/>
      <c r="G259" s="64"/>
      <c r="H259" s="64"/>
      <c r="I259" s="64"/>
      <c r="J259" s="64"/>
      <c r="K259" s="64"/>
      <c r="L259" s="75" t="n">
        <v>94</v>
      </c>
      <c r="M259" s="63"/>
      <c r="N259" s="64" t="s">
        <v>240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32</v>
      </c>
      <c r="D261" s="98"/>
      <c r="E261" s="98"/>
      <c r="F261" s="98"/>
      <c r="G261" s="99" t="s">
        <v>33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32</v>
      </c>
      <c r="O261" s="136" t="s">
        <v>192</v>
      </c>
      <c r="P261" s="98"/>
      <c r="Q261" s="98"/>
      <c r="R261" s="98"/>
      <c r="S261" s="99" t="s">
        <v>33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88</v>
      </c>
      <c r="B263" s="63"/>
      <c r="C263" s="64" t="s">
        <v>241</v>
      </c>
      <c r="D263" s="64"/>
      <c r="E263" s="64"/>
      <c r="F263" s="64"/>
      <c r="G263" s="64"/>
      <c r="H263" s="64"/>
      <c r="I263" s="64"/>
      <c r="J263" s="64"/>
      <c r="K263" s="64"/>
      <c r="L263" s="75" t="n">
        <v>95</v>
      </c>
      <c r="M263" s="63"/>
      <c r="N263" s="64" t="s">
        <v>242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32</v>
      </c>
      <c r="D265" s="98"/>
      <c r="E265" s="98"/>
      <c r="F265" s="98"/>
      <c r="G265" s="99" t="s">
        <v>33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32</v>
      </c>
      <c r="O265" s="136" t="s">
        <v>192</v>
      </c>
      <c r="P265" s="98"/>
      <c r="Q265" s="98"/>
      <c r="R265" s="98"/>
      <c r="S265" s="99" t="s">
        <v>33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89</v>
      </c>
      <c r="B267" s="63"/>
      <c r="C267" s="64" t="s">
        <v>243</v>
      </c>
      <c r="D267" s="64"/>
      <c r="E267" s="64"/>
      <c r="F267" s="64"/>
      <c r="G267" s="64"/>
      <c r="H267" s="64"/>
      <c r="I267" s="64"/>
      <c r="J267" s="64"/>
      <c r="K267" s="64"/>
      <c r="L267" s="75" t="n">
        <v>96</v>
      </c>
      <c r="M267" s="63"/>
      <c r="N267" s="64" t="s">
        <v>244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32</v>
      </c>
      <c r="D269" s="98"/>
      <c r="E269" s="98"/>
      <c r="F269" s="98"/>
      <c r="G269" s="99" t="s">
        <v>33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32</v>
      </c>
      <c r="O269" s="98"/>
      <c r="P269" s="98"/>
      <c r="Q269" s="98"/>
      <c r="R269" s="99" t="s">
        <v>33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97</v>
      </c>
      <c r="M271" s="63"/>
      <c r="N271" s="64" t="s">
        <v>245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32</v>
      </c>
      <c r="O273" s="98"/>
      <c r="P273" s="98"/>
      <c r="Q273" s="98"/>
      <c r="R273" s="99" t="s">
        <v>33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98</v>
      </c>
      <c r="M275" s="63"/>
      <c r="N275" s="64" t="s">
        <v>246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32</v>
      </c>
      <c r="O277" s="136" t="s">
        <v>192</v>
      </c>
      <c r="P277" s="98"/>
      <c r="Q277" s="98"/>
      <c r="R277" s="98"/>
      <c r="S277" s="99" t="s">
        <v>33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247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248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Admin!N4</f>
        <v>12570</v>
      </c>
      <c r="K280" s="104" t="s">
        <v>249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250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99</v>
      </c>
      <c r="B283" s="63"/>
      <c r="C283" s="64" t="s">
        <v>251</v>
      </c>
      <c r="D283" s="63"/>
      <c r="E283" s="63"/>
      <c r="F283" s="63"/>
      <c r="G283" s="63"/>
      <c r="H283" s="63"/>
      <c r="I283" s="63"/>
      <c r="J283" s="63"/>
      <c r="K283" s="63"/>
      <c r="L283" s="75" t="n">
        <v>101</v>
      </c>
      <c r="M283" s="63"/>
      <c r="N283" s="64" t="s">
        <v>252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253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254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32</v>
      </c>
      <c r="O286" s="98"/>
      <c r="P286" s="98"/>
      <c r="Q286" s="98"/>
      <c r="R286" s="99" t="s">
        <v>33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100</v>
      </c>
      <c r="B288" s="63"/>
      <c r="C288" s="64" t="s">
        <v>110</v>
      </c>
      <c r="D288" s="63"/>
      <c r="E288" s="63"/>
      <c r="F288" s="63"/>
      <c r="G288" s="115" t="str">
        <f aca="false">Admin!G2</f>
        <v>2026-27</v>
      </c>
      <c r="H288" s="115"/>
      <c r="I288" s="115"/>
      <c r="J288" s="63" t="s">
        <v>255</v>
      </c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256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 t="s">
        <v>257</v>
      </c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258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102</v>
      </c>
      <c r="B296" s="63"/>
      <c r="C296" s="64" t="s">
        <v>259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260</v>
      </c>
      <c r="B2" s="161" t="s">
        <v>261</v>
      </c>
      <c r="C2" s="162" t="n">
        <f aca="false">Admin!B5</f>
        <v>46142</v>
      </c>
      <c r="D2" s="163" t="n">
        <f aca="false">Admin!B6</f>
        <v>46173</v>
      </c>
      <c r="E2" s="163" t="n">
        <f aca="false">Admin!B7</f>
        <v>46203</v>
      </c>
      <c r="F2" s="162" t="n">
        <f aca="false">Admin!B8</f>
        <v>46234</v>
      </c>
      <c r="G2" s="163" t="n">
        <f aca="false">Admin!B9</f>
        <v>46265</v>
      </c>
      <c r="H2" s="163" t="n">
        <f aca="false">Admin!B10</f>
        <v>46295</v>
      </c>
      <c r="I2" s="162" t="n">
        <f aca="false">Admin!B11</f>
        <v>46326</v>
      </c>
      <c r="J2" s="163" t="n">
        <f aca="false">Admin!B12</f>
        <v>46356</v>
      </c>
      <c r="K2" s="163" t="n">
        <f aca="false">Admin!B13</f>
        <v>46387</v>
      </c>
      <c r="L2" s="162" t="n">
        <f aca="false">Admin!B14</f>
        <v>46418</v>
      </c>
      <c r="M2" s="163" t="n">
        <f aca="false">Admin!B15</f>
        <v>46446</v>
      </c>
      <c r="N2" s="163" t="n">
        <f aca="false">Admin!B16</f>
        <v>46477</v>
      </c>
      <c r="O2" s="164"/>
    </row>
    <row r="3" customFormat="false" ht="12" hidden="false" customHeight="true" outlineLevel="0" collapsed="false">
      <c r="A3" s="160"/>
      <c r="B3" s="165" t="n">
        <f aca="false">Admin!B$17</f>
        <v>46482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32</v>
      </c>
      <c r="C4" s="166" t="s">
        <v>32</v>
      </c>
      <c r="D4" s="166" t="s">
        <v>32</v>
      </c>
      <c r="E4" s="166" t="s">
        <v>32</v>
      </c>
      <c r="F4" s="167" t="s">
        <v>32</v>
      </c>
      <c r="G4" s="166" t="s">
        <v>32</v>
      </c>
      <c r="H4" s="166" t="s">
        <v>32</v>
      </c>
      <c r="I4" s="167" t="s">
        <v>32</v>
      </c>
      <c r="J4" s="166" t="s">
        <v>32</v>
      </c>
      <c r="K4" s="166" t="s">
        <v>32</v>
      </c>
      <c r="L4" s="167" t="s">
        <v>32</v>
      </c>
      <c r="M4" s="168" t="s">
        <v>32</v>
      </c>
      <c r="N4" s="166" t="s">
        <v>32</v>
      </c>
      <c r="O4" s="164"/>
    </row>
    <row r="5" customFormat="false" ht="12" hidden="false" customHeight="false" outlineLevel="0" collapsed="false">
      <c r="A5" s="169" t="s">
        <v>262</v>
      </c>
      <c r="B5" s="170" t="n">
        <f aca="false">SUM(C5:N5)</f>
        <v>50416.6666666667</v>
      </c>
      <c r="C5" s="171" t="n">
        <f aca="false">[1]Apr!$P$1</f>
        <v>4166.66666666667</v>
      </c>
      <c r="D5" s="171" t="n">
        <f aca="false">[1]May!$P$1</f>
        <v>4166.66666666667</v>
      </c>
      <c r="E5" s="172" t="n">
        <f aca="false">[1]Jun!$P$1</f>
        <v>4166.66666666667</v>
      </c>
      <c r="F5" s="171" t="n">
        <f aca="false">[1]Jul!$P$1</f>
        <v>5833.33333333333</v>
      </c>
      <c r="G5" s="171" t="n">
        <f aca="false">[1]Aug!$P$1</f>
        <v>5833.33333333333</v>
      </c>
      <c r="H5" s="172" t="n">
        <f aca="false">[1]Sep!$P$1</f>
        <v>5833.33333333333</v>
      </c>
      <c r="I5" s="171" t="n">
        <f aca="false">[1]Oct!$P$1</f>
        <v>5833.33333333333</v>
      </c>
      <c r="J5" s="171" t="n">
        <f aca="false">[1]Nov!$P$1</f>
        <v>4166.66666666667</v>
      </c>
      <c r="K5" s="172" t="n">
        <f aca="false">[1]Dec!$P$1</f>
        <v>4166.66666666667</v>
      </c>
      <c r="L5" s="171" t="n">
        <f aca="false">[1]Jan!$P$1</f>
        <v>2500</v>
      </c>
      <c r="M5" s="171" t="n">
        <f aca="false">[1]Feb!$P$1</f>
        <v>2500</v>
      </c>
      <c r="N5" s="171" t="n">
        <f aca="false">[1]Mar!$P$1</f>
        <v>1250</v>
      </c>
      <c r="O5" s="164"/>
    </row>
    <row r="6" customFormat="false" ht="12" hidden="false" customHeight="false" outlineLevel="0" collapsed="false">
      <c r="A6" s="169" t="s">
        <v>263</v>
      </c>
      <c r="B6" s="170" t="n">
        <f aca="false">SUM(C6:N6)</f>
        <v>4000</v>
      </c>
      <c r="C6" s="171" t="n">
        <f aca="false">[1]Apr!$Q$1</f>
        <v>1000</v>
      </c>
      <c r="D6" s="171" t="n">
        <f aca="false">[1]May!$Q$1</f>
        <v>0</v>
      </c>
      <c r="E6" s="172" t="n">
        <f aca="false">[1]Jun!$Q$1</f>
        <v>0</v>
      </c>
      <c r="F6" s="171" t="n">
        <f aca="false">[1]Jul!$Q$1</f>
        <v>1000</v>
      </c>
      <c r="G6" s="171" t="n">
        <f aca="false">[1]Aug!$Q$1</f>
        <v>0</v>
      </c>
      <c r="H6" s="172" t="n">
        <f aca="false">[1]Sep!$Q$1</f>
        <v>0</v>
      </c>
      <c r="I6" s="171" t="n">
        <f aca="false">[1]Oct!$Q$1</f>
        <v>1000</v>
      </c>
      <c r="J6" s="171" t="n">
        <f aca="false">[1]Nov!$Q$1</f>
        <v>0</v>
      </c>
      <c r="K6" s="172" t="n">
        <f aca="false">[1]Dec!$Q$1</f>
        <v>0</v>
      </c>
      <c r="L6" s="171" t="n">
        <f aca="false">[1]Jan!$Q$1</f>
        <v>1000</v>
      </c>
      <c r="M6" s="171" t="n">
        <f aca="false">[1]Feb!$Q$1</f>
        <v>0</v>
      </c>
      <c r="N6" s="171" t="n">
        <f aca="false">[1]Mar!$Q$1</f>
        <v>0</v>
      </c>
      <c r="O6" s="164"/>
    </row>
    <row r="7" customFormat="false" ht="12" hidden="false" customHeight="false" outlineLevel="0" collapsed="false">
      <c r="A7" s="169" t="s">
        <v>264</v>
      </c>
      <c r="B7" s="170" t="n">
        <f aca="false">SUM(C7:N7)</f>
        <v>3500</v>
      </c>
      <c r="C7" s="171" t="n">
        <f aca="false">[1]Apr!$R$1</f>
        <v>0</v>
      </c>
      <c r="D7" s="171" t="n">
        <f aca="false">[1]May!$R$1</f>
        <v>2000</v>
      </c>
      <c r="E7" s="172" t="n">
        <f aca="false">[1]Jun!$R$1</f>
        <v>0</v>
      </c>
      <c r="F7" s="171" t="n">
        <f aca="false">[1]Jul!$R$1</f>
        <v>0</v>
      </c>
      <c r="G7" s="171" t="n">
        <f aca="false">[1]Aug!$R$1</f>
        <v>0</v>
      </c>
      <c r="H7" s="172" t="n">
        <f aca="false">[1]Sep!$R$1</f>
        <v>0</v>
      </c>
      <c r="I7" s="171" t="n">
        <f aca="false">[1]Oct!$R$1</f>
        <v>0</v>
      </c>
      <c r="J7" s="171" t="n">
        <f aca="false">[1]Nov!$R$1</f>
        <v>1500</v>
      </c>
      <c r="K7" s="172" t="n">
        <f aca="false">[1]Dec!$R$1</f>
        <v>0</v>
      </c>
      <c r="L7" s="171" t="n">
        <f aca="false">[1]Jan!$R$1</f>
        <v>0</v>
      </c>
      <c r="M7" s="171" t="n">
        <f aca="false">[1]Feb!$R$1</f>
        <v>0</v>
      </c>
      <c r="N7" s="171" t="n">
        <f aca="false">[1]Mar!$R$1</f>
        <v>0</v>
      </c>
      <c r="O7" s="164"/>
    </row>
    <row r="8" customFormat="false" ht="12" hidden="false" customHeight="false" outlineLevel="0" collapsed="false">
      <c r="A8" s="169" t="s">
        <v>265</v>
      </c>
      <c r="B8" s="170" t="n">
        <f aca="false">SUM(C8:N8)</f>
        <v>500</v>
      </c>
      <c r="C8" s="171" t="n">
        <f aca="false">[1]Apr!$S$1</f>
        <v>0</v>
      </c>
      <c r="D8" s="171" t="n">
        <f aca="false">[1]May!$S$1</f>
        <v>0</v>
      </c>
      <c r="E8" s="172" t="n">
        <f aca="false">[1]Jun!$S$1</f>
        <v>500</v>
      </c>
      <c r="F8" s="171" t="n">
        <f aca="false">[1]Jul!$S$1</f>
        <v>0</v>
      </c>
      <c r="G8" s="171" t="n">
        <f aca="false">[1]Aug!$S$1</f>
        <v>0</v>
      </c>
      <c r="H8" s="172" t="n">
        <f aca="false">[1]Sep!$S$1</f>
        <v>0</v>
      </c>
      <c r="I8" s="171" t="n">
        <f aca="false">[1]Oct!$S$1</f>
        <v>0</v>
      </c>
      <c r="J8" s="171" t="n">
        <f aca="false">[1]Nov!$S$1</f>
        <v>0</v>
      </c>
      <c r="K8" s="172" t="n">
        <f aca="false">[1]Dec!$S$1</f>
        <v>0</v>
      </c>
      <c r="L8" s="171" t="n">
        <f aca="false">[1]Jan!$S$1</f>
        <v>0</v>
      </c>
      <c r="M8" s="171" t="n">
        <f aca="false">[1]Feb!$S$1</f>
        <v>0</v>
      </c>
      <c r="N8" s="171" t="n">
        <f aca="false">[1]Mar!$S$1</f>
        <v>0</v>
      </c>
      <c r="O8" s="164"/>
    </row>
    <row r="9" s="176" customFormat="true" ht="12" hidden="false" customHeight="false" outlineLevel="0" collapsed="false">
      <c r="A9" s="173" t="s">
        <v>266</v>
      </c>
      <c r="B9" s="170" t="n">
        <f aca="false">SUM(B5:B8)</f>
        <v>58416.6666666667</v>
      </c>
      <c r="C9" s="170" t="n">
        <f aca="false">SUM(C5:C8)</f>
        <v>5166.66666666667</v>
      </c>
      <c r="D9" s="170" t="n">
        <f aca="false">SUM(D5:D8)</f>
        <v>6166.66666666667</v>
      </c>
      <c r="E9" s="170" t="n">
        <f aca="false">SUM(E5:E8)</f>
        <v>4666.66666666667</v>
      </c>
      <c r="F9" s="174" t="n">
        <f aca="false">SUM(F5:F8)</f>
        <v>6833.33333333333</v>
      </c>
      <c r="G9" s="170" t="n">
        <f aca="false">SUM(G5:G8)</f>
        <v>5833.33333333333</v>
      </c>
      <c r="H9" s="170" t="n">
        <f aca="false">SUM(H5:H8)</f>
        <v>5833.33333333333</v>
      </c>
      <c r="I9" s="174" t="n">
        <f aca="false">SUM(I5:I8)</f>
        <v>6833.33333333333</v>
      </c>
      <c r="J9" s="170" t="n">
        <f aca="false">SUM(J5:J8)</f>
        <v>5666.66666666667</v>
      </c>
      <c r="K9" s="170" t="n">
        <f aca="false">SUM(K5:K8)</f>
        <v>4166.66666666667</v>
      </c>
      <c r="L9" s="174" t="n">
        <f aca="false">SUM(L5:L8)</f>
        <v>3500</v>
      </c>
      <c r="M9" s="170" t="n">
        <f aca="false">SUM(M5:M8)</f>
        <v>2500</v>
      </c>
      <c r="N9" s="170" t="n">
        <f aca="false">SUM(N5:N8)</f>
        <v>1250</v>
      </c>
      <c r="O9" s="175"/>
    </row>
    <row r="10" s="178" customFormat="tru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</row>
    <row r="11" customFormat="false" ht="12" hidden="false" customHeight="false" outlineLevel="0" collapsed="false">
      <c r="A11" s="169" t="s">
        <v>267</v>
      </c>
      <c r="B11" s="170" t="n">
        <f aca="false">SUM(C11:N11)</f>
        <v>2083.33333333333</v>
      </c>
      <c r="C11" s="171" t="n">
        <f aca="false">[1]Apr!$T$1</f>
        <v>0</v>
      </c>
      <c r="D11" s="171" t="n">
        <f aca="false">[1]May!$T$1</f>
        <v>0</v>
      </c>
      <c r="E11" s="172" t="n">
        <f aca="false">[1]Jun!$T$1</f>
        <v>0</v>
      </c>
      <c r="F11" s="171" t="n">
        <f aca="false">[1]Jul!$T$1</f>
        <v>0</v>
      </c>
      <c r="G11" s="171" t="n">
        <f aca="false">[1]Aug!$T$1</f>
        <v>2083.33333333333</v>
      </c>
      <c r="H11" s="172" t="n">
        <f aca="false">[1]Sep!$T$1</f>
        <v>0</v>
      </c>
      <c r="I11" s="171" t="n">
        <f aca="false">[1]Oct!$T$1</f>
        <v>0</v>
      </c>
      <c r="J11" s="171" t="n">
        <f aca="false">[1]Nov!$T$1</f>
        <v>0</v>
      </c>
      <c r="K11" s="172" t="n">
        <f aca="false">[1]Dec!$T$1</f>
        <v>0</v>
      </c>
      <c r="L11" s="171" t="n">
        <f aca="false">[1]Jan!$T$1</f>
        <v>0</v>
      </c>
      <c r="M11" s="171" t="n">
        <f aca="false">[1]Feb!$T$1</f>
        <v>0</v>
      </c>
      <c r="N11" s="171" t="n">
        <f aca="false">[1]Mar!$T$1</f>
        <v>0</v>
      </c>
      <c r="O11" s="164"/>
    </row>
    <row r="12" s="158" customFormat="tru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</row>
    <row r="13" s="176" customFormat="true" ht="10.5" hidden="false" customHeight="true" outlineLevel="0" collapsed="false">
      <c r="A13" s="180" t="s">
        <v>268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</row>
    <row r="14" customFormat="false" ht="12" hidden="false" customHeight="false" outlineLevel="0" collapsed="false">
      <c r="A14" s="169" t="s">
        <v>269</v>
      </c>
      <c r="B14" s="170" t="n">
        <f aca="false">SUM(C14:N14)</f>
        <v>1080</v>
      </c>
      <c r="C14" s="171" t="n">
        <f aca="false">[2]Apr!$P$1+StockControl!AB6-StockControl!AB8</f>
        <v>600</v>
      </c>
      <c r="D14" s="171" t="n">
        <f aca="false">[2]May!$P$1+StockControl!AB8-StockControl!AB10</f>
        <v>0</v>
      </c>
      <c r="E14" s="172" t="n">
        <f aca="false">[2]Jun!$P$1+StockControl!AB10-StockControl!AB12</f>
        <v>0</v>
      </c>
      <c r="F14" s="171" t="n">
        <f aca="false">[2]Jul!$P$1+StockControl!AB12-StockControl!AB14</f>
        <v>0</v>
      </c>
      <c r="G14" s="171" t="n">
        <f aca="false">[2]Aug!$P$1+StockControl!AB14-StockControl!AB16</f>
        <v>0</v>
      </c>
      <c r="H14" s="172" t="n">
        <f aca="false">[2]Sep!$P$1+StockControl!AB16-StockControl!AB18</f>
        <v>0</v>
      </c>
      <c r="I14" s="171" t="n">
        <f aca="false">[2]Oct!$P$1+StockControl!AB18-StockControl!AB20</f>
        <v>480</v>
      </c>
      <c r="J14" s="171" t="n">
        <f aca="false">[2]Nov!$P$1+StockControl!AB20-StockControl!AB22</f>
        <v>0</v>
      </c>
      <c r="K14" s="172" t="n">
        <f aca="false">[2]Dec!$P$1+StockControl!AB22-StockControl!AB24</f>
        <v>0</v>
      </c>
      <c r="L14" s="171" t="n">
        <f aca="false">[2]Jan!$P$1+StockControl!AB24-StockControl!AB26</f>
        <v>0</v>
      </c>
      <c r="M14" s="171" t="n">
        <f aca="false">[2]Feb!$P$1+StockControl!AB26-StockControl!AB28</f>
        <v>0</v>
      </c>
      <c r="N14" s="171" t="n">
        <f aca="false">[2]Mar!$P$1+StockControl!AB28-StockControl!AB30</f>
        <v>0</v>
      </c>
      <c r="O14" s="164"/>
    </row>
    <row r="15" customFormat="false" ht="12" hidden="false" customHeight="false" outlineLevel="0" collapsed="false">
      <c r="A15" s="169" t="s">
        <v>270</v>
      </c>
      <c r="B15" s="170" t="n">
        <f aca="false">SUM(C15:N15)</f>
        <v>6000</v>
      </c>
      <c r="C15" s="171" t="n">
        <f aca="false">[2]Apr!$Q$1</f>
        <v>0</v>
      </c>
      <c r="D15" s="171" t="n">
        <f aca="false">[2]May!$Q$1</f>
        <v>0</v>
      </c>
      <c r="E15" s="172" t="n">
        <f aca="false">[2]Jun!$Q$1</f>
        <v>3600</v>
      </c>
      <c r="F15" s="171" t="n">
        <f aca="false">[2]Jul!$Q$1</f>
        <v>0</v>
      </c>
      <c r="G15" s="171" t="n">
        <f aca="false">[2]Aug!$Q$1</f>
        <v>0</v>
      </c>
      <c r="H15" s="172" t="n">
        <f aca="false">[2]Sep!$Q$1</f>
        <v>2400</v>
      </c>
      <c r="I15" s="171" t="n">
        <f aca="false">[2]Oct!$Q$1</f>
        <v>0</v>
      </c>
      <c r="J15" s="171" t="n">
        <f aca="false">[2]Nov!$Q$1</f>
        <v>0</v>
      </c>
      <c r="K15" s="172" t="n">
        <f aca="false">[2]Dec!$Q$1</f>
        <v>0</v>
      </c>
      <c r="L15" s="171" t="n">
        <f aca="false">[2]Jan!$Q$1</f>
        <v>0</v>
      </c>
      <c r="M15" s="171" t="n">
        <f aca="false">[2]Feb!$Q$1</f>
        <v>0</v>
      </c>
      <c r="N15" s="171" t="n">
        <f aca="false">[2]Mar!$Q$1</f>
        <v>0</v>
      </c>
      <c r="O15" s="164"/>
    </row>
    <row r="16" customFormat="false" ht="12" hidden="false" customHeight="false" outlineLevel="0" collapsed="false">
      <c r="A16" s="169" t="s">
        <v>271</v>
      </c>
      <c r="B16" s="170" t="n">
        <f aca="false">SUM(C16:N16)</f>
        <v>720</v>
      </c>
      <c r="C16" s="171" t="n">
        <f aca="false">[2]Apr!$R$1</f>
        <v>0</v>
      </c>
      <c r="D16" s="171" t="n">
        <f aca="false">[2]May!$R$1</f>
        <v>360</v>
      </c>
      <c r="E16" s="172" t="n">
        <f aca="false">[2]Jun!$R$1</f>
        <v>0</v>
      </c>
      <c r="F16" s="171" t="n">
        <f aca="false">[2]Jul!$R$1</f>
        <v>0</v>
      </c>
      <c r="G16" s="171" t="n">
        <f aca="false">[2]Aug!$R$1</f>
        <v>0</v>
      </c>
      <c r="H16" s="172" t="n">
        <f aca="false">[2]Sep!$R$1</f>
        <v>0</v>
      </c>
      <c r="I16" s="171" t="n">
        <f aca="false">[2]Oct!$R$1</f>
        <v>0</v>
      </c>
      <c r="J16" s="171" t="n">
        <f aca="false">[2]Nov!$R$1</f>
        <v>360</v>
      </c>
      <c r="K16" s="172" t="n">
        <f aca="false">[2]Dec!$R$1</f>
        <v>0</v>
      </c>
      <c r="L16" s="171" t="n">
        <f aca="false">[2]Jan!$R$1</f>
        <v>0</v>
      </c>
      <c r="M16" s="171" t="n">
        <f aca="false">[2]Feb!$R$1</f>
        <v>0</v>
      </c>
      <c r="N16" s="171" t="n">
        <f aca="false">[2]Mar!$R$1</f>
        <v>0</v>
      </c>
      <c r="O16" s="164"/>
    </row>
    <row r="17" s="176" customFormat="true" ht="12" hidden="false" customHeight="false" outlineLevel="0" collapsed="false">
      <c r="A17" s="173" t="s">
        <v>272</v>
      </c>
      <c r="B17" s="170" t="n">
        <f aca="false">SUM(B14:B16)</f>
        <v>7800</v>
      </c>
      <c r="C17" s="170" t="n">
        <f aca="false">SUM(C14:C16)</f>
        <v>600</v>
      </c>
      <c r="D17" s="170" t="n">
        <f aca="false">SUM(D14:D16)</f>
        <v>360</v>
      </c>
      <c r="E17" s="170" t="n">
        <f aca="false">SUM(E14:E16)</f>
        <v>3600</v>
      </c>
      <c r="F17" s="174" t="n">
        <f aca="false">SUM(F14:F16)</f>
        <v>0</v>
      </c>
      <c r="G17" s="170" t="n">
        <f aca="false">SUM(G14:G16)</f>
        <v>0</v>
      </c>
      <c r="H17" s="170" t="n">
        <f aca="false">SUM(H14:H16)</f>
        <v>2400</v>
      </c>
      <c r="I17" s="174" t="n">
        <f aca="false">SUM(I14:I16)</f>
        <v>480</v>
      </c>
      <c r="J17" s="170" t="n">
        <f aca="false">SUM(J14:J16)</f>
        <v>360</v>
      </c>
      <c r="K17" s="170" t="n">
        <f aca="false">SUM(K14:K16)</f>
        <v>0</v>
      </c>
      <c r="L17" s="174" t="n">
        <f aca="false">SUM(L14:L16)</f>
        <v>0</v>
      </c>
      <c r="M17" s="170" t="n">
        <f aca="false">SUM(M14:M16)</f>
        <v>0</v>
      </c>
      <c r="N17" s="170" t="n">
        <f aca="false">SUM(N14:N16)</f>
        <v>0</v>
      </c>
      <c r="O17" s="175"/>
    </row>
    <row r="18" s="176" customFormat="tru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</row>
    <row r="19" s="176" customFormat="true" ht="12" hidden="false" customHeight="false" outlineLevel="0" collapsed="false">
      <c r="A19" s="173" t="s">
        <v>273</v>
      </c>
      <c r="B19" s="170" t="n">
        <f aca="false">B9+B11-B17</f>
        <v>52700</v>
      </c>
      <c r="C19" s="170" t="n">
        <f aca="false">C9+C11-C17</f>
        <v>4566.66666666667</v>
      </c>
      <c r="D19" s="170" t="n">
        <f aca="false">D9+D11-D17</f>
        <v>5806.66666666667</v>
      </c>
      <c r="E19" s="170" t="n">
        <f aca="false">E9+E11-E17</f>
        <v>1066.66666666667</v>
      </c>
      <c r="F19" s="174" t="n">
        <f aca="false">F9+F11-F17</f>
        <v>6833.33333333333</v>
      </c>
      <c r="G19" s="170" t="n">
        <f aca="false">G9+G11-G17</f>
        <v>7916.66666666666</v>
      </c>
      <c r="H19" s="170" t="n">
        <f aca="false">H9+H11-H17</f>
        <v>3433.33333333333</v>
      </c>
      <c r="I19" s="174" t="n">
        <f aca="false">I9+I11-I17</f>
        <v>6353.33333333333</v>
      </c>
      <c r="J19" s="170" t="n">
        <f aca="false">J9+J11-J17</f>
        <v>5306.66666666667</v>
      </c>
      <c r="K19" s="170" t="n">
        <f aca="false">K9+K11-K17</f>
        <v>4166.66666666667</v>
      </c>
      <c r="L19" s="174" t="n">
        <f aca="false">L9+L11-L17</f>
        <v>3500</v>
      </c>
      <c r="M19" s="170" t="n">
        <f aca="false">M9+M11-M17</f>
        <v>2500</v>
      </c>
      <c r="N19" s="170" t="n">
        <f aca="false">N9+N11-N17</f>
        <v>1250</v>
      </c>
      <c r="O19" s="175"/>
    </row>
    <row r="20" s="176" customFormat="true" ht="10.5" hidden="false" customHeight="true" outlineLevel="0" collapsed="false">
      <c r="A20" s="180" t="s">
        <v>274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</row>
    <row r="21" customFormat="false" ht="12" hidden="false" customHeight="false" outlineLevel="0" collapsed="false">
      <c r="A21" s="169" t="s">
        <v>275</v>
      </c>
      <c r="B21" s="170" t="n">
        <f aca="false">SUM(C21:N21)</f>
        <v>800</v>
      </c>
      <c r="C21" s="171" t="n">
        <f aca="false">[2]Apr!$S$1+Wagesinterface!C4+Wagesinterface!H4-Wagesinterface!I4</f>
        <v>0</v>
      </c>
      <c r="D21" s="171" t="n">
        <f aca="false">[2]May!$S$1+Wagesinterface!C5+Wagesinterface!H5-Wagesinterface!I5</f>
        <v>0</v>
      </c>
      <c r="E21" s="172" t="n">
        <f aca="false">[2]Jun!$S$1+Wagesinterface!C6+Wagesinterface!H6-Wagesinterface!I6</f>
        <v>0</v>
      </c>
      <c r="F21" s="171" t="n">
        <f aca="false">[2]Jul!$S$1+Wagesinterface!C7+Wagesinterface!H7-Wagesinterface!I7</f>
        <v>0</v>
      </c>
      <c r="G21" s="171" t="n">
        <f aca="false">[2]Aug!$S$1+Wagesinterface!C8+Wagesinterface!H8-Wagesinterface!I8</f>
        <v>800</v>
      </c>
      <c r="H21" s="172" t="n">
        <f aca="false">[2]Sep!$S$1+Wagesinterface!C9+Wagesinterface!H9-Wagesinterface!I9</f>
        <v>0</v>
      </c>
      <c r="I21" s="171" t="n">
        <f aca="false">[2]Oct!$S$1+Wagesinterface!C10+Wagesinterface!H10-Wagesinterface!I10</f>
        <v>0</v>
      </c>
      <c r="J21" s="171" t="n">
        <f aca="false">[2]Nov!$S$1+Wagesinterface!C11+Wagesinterface!H11-Wagesinterface!I11</f>
        <v>0</v>
      </c>
      <c r="K21" s="172" t="n">
        <f aca="false">[2]Dec!$S$1+Wagesinterface!C12+Wagesinterface!H12-Wagesinterface!I12</f>
        <v>0</v>
      </c>
      <c r="L21" s="171" t="n">
        <f aca="false">[2]Jan!$S$1+Wagesinterface!C13+Wagesinterface!H13-Wagesinterface!I13</f>
        <v>0</v>
      </c>
      <c r="M21" s="171" t="n">
        <f aca="false">[2]Feb!$S$1+Wagesinterface!C14+Wagesinterface!H14-Wagesinterface!I14</f>
        <v>0</v>
      </c>
      <c r="N21" s="171" t="n">
        <f aca="false">[2]Mar!$S$1+Wagesinterface!C15+Wagesinterface!H15-Wagesinterface!I15</f>
        <v>0</v>
      </c>
      <c r="O21" s="164"/>
    </row>
    <row r="22" customFormat="false" ht="12" hidden="false" customHeight="false" outlineLevel="0" collapsed="false">
      <c r="A22" s="182" t="s">
        <v>276</v>
      </c>
      <c r="B22" s="170" t="n">
        <f aca="false">SUM(C22:N22)</f>
        <v>4800</v>
      </c>
      <c r="C22" s="171" t="n">
        <f aca="false">[2]Apr!$T$1</f>
        <v>1200</v>
      </c>
      <c r="D22" s="171" t="n">
        <f aca="false">[2]May!$T$1</f>
        <v>0</v>
      </c>
      <c r="E22" s="172" t="n">
        <f aca="false">[2]Jun!$T$1</f>
        <v>0</v>
      </c>
      <c r="F22" s="171" t="n">
        <f aca="false">[2]Jul!$T$1</f>
        <v>1200</v>
      </c>
      <c r="G22" s="171" t="n">
        <f aca="false">[2]Aug!$T$1</f>
        <v>0</v>
      </c>
      <c r="H22" s="172" t="n">
        <f aca="false">[2]Sep!$T$1</f>
        <v>0</v>
      </c>
      <c r="I22" s="171" t="n">
        <f aca="false">[2]Oct!$T$1</f>
        <v>1200</v>
      </c>
      <c r="J22" s="171" t="n">
        <f aca="false">[2]Nov!$T$1</f>
        <v>0</v>
      </c>
      <c r="K22" s="172" t="n">
        <f aca="false">[2]Dec!$T$1</f>
        <v>0</v>
      </c>
      <c r="L22" s="171" t="n">
        <f aca="false">[2]Jan!$T$1</f>
        <v>1200</v>
      </c>
      <c r="M22" s="171" t="n">
        <f aca="false">[2]Feb!$T$1</f>
        <v>0</v>
      </c>
      <c r="N22" s="171" t="n">
        <f aca="false">[2]Mar!$T$1</f>
        <v>0</v>
      </c>
      <c r="O22" s="164"/>
    </row>
    <row r="23" customFormat="false" ht="12" hidden="false" customHeight="false" outlineLevel="0" collapsed="false">
      <c r="A23" s="182" t="s">
        <v>277</v>
      </c>
      <c r="B23" s="170" t="n">
        <f aca="false">SUM(C23:N23)</f>
        <v>840</v>
      </c>
      <c r="C23" s="171" t="n">
        <f aca="false">[2]Apr!$U$1</f>
        <v>0</v>
      </c>
      <c r="D23" s="171" t="n">
        <f aca="false">[2]May!$U$1</f>
        <v>0</v>
      </c>
      <c r="E23" s="172" t="n">
        <f aca="false">[2]Jun!$U$1</f>
        <v>0</v>
      </c>
      <c r="F23" s="171" t="n">
        <f aca="false">[2]Jul!$U$1</f>
        <v>0</v>
      </c>
      <c r="G23" s="171" t="n">
        <f aca="false">[2]Aug!$U$1</f>
        <v>0</v>
      </c>
      <c r="H23" s="172" t="n">
        <f aca="false">[2]Sep!$U$1</f>
        <v>480</v>
      </c>
      <c r="I23" s="171" t="n">
        <f aca="false">[2]Oct!$U$1</f>
        <v>0</v>
      </c>
      <c r="J23" s="171" t="n">
        <f aca="false">[2]Nov!$U$1</f>
        <v>0</v>
      </c>
      <c r="K23" s="172" t="n">
        <f aca="false">[2]Dec!$U$1</f>
        <v>0</v>
      </c>
      <c r="L23" s="171" t="n">
        <f aca="false">[2]Jan!$U$1</f>
        <v>0</v>
      </c>
      <c r="M23" s="171" t="n">
        <f aca="false">[2]Feb!$U$1</f>
        <v>360</v>
      </c>
      <c r="N23" s="171" t="n">
        <f aca="false">[2]Mar!$U$1</f>
        <v>0</v>
      </c>
      <c r="O23" s="164"/>
    </row>
    <row r="24" customFormat="false" ht="12" hidden="false" customHeight="false" outlineLevel="0" collapsed="false">
      <c r="A24" s="182" t="s">
        <v>278</v>
      </c>
      <c r="B24" s="170" t="n">
        <f aca="false">SUM(C24:N24)</f>
        <v>720</v>
      </c>
      <c r="C24" s="171" t="n">
        <f aca="false">[2]Apr!$V$1</f>
        <v>60</v>
      </c>
      <c r="D24" s="171" t="n">
        <f aca="false">[2]May!$V$1</f>
        <v>60</v>
      </c>
      <c r="E24" s="172" t="n">
        <f aca="false">[2]Jun!$V$1</f>
        <v>60</v>
      </c>
      <c r="F24" s="171" t="n">
        <f aca="false">[2]Jul!$V$1</f>
        <v>60</v>
      </c>
      <c r="G24" s="171" t="n">
        <f aca="false">[2]Aug!$V$1</f>
        <v>60</v>
      </c>
      <c r="H24" s="172" t="n">
        <f aca="false">[2]Sep!$V$1</f>
        <v>60</v>
      </c>
      <c r="I24" s="171" t="n">
        <f aca="false">[2]Oct!$V$1</f>
        <v>60</v>
      </c>
      <c r="J24" s="171" t="n">
        <f aca="false">[2]Nov!$V$1</f>
        <v>60</v>
      </c>
      <c r="K24" s="172" t="n">
        <f aca="false">[2]Dec!$V$1</f>
        <v>60</v>
      </c>
      <c r="L24" s="171" t="n">
        <f aca="false">[2]Jan!$V$1</f>
        <v>60</v>
      </c>
      <c r="M24" s="171" t="n">
        <f aca="false">[2]Feb!$V$1</f>
        <v>60</v>
      </c>
      <c r="N24" s="171" t="n">
        <f aca="false">[2]Mar!$V$1</f>
        <v>60</v>
      </c>
      <c r="O24" s="164"/>
    </row>
    <row r="25" customFormat="false" ht="12" hidden="false" customHeight="false" outlineLevel="0" collapsed="false">
      <c r="A25" s="182" t="s">
        <v>279</v>
      </c>
      <c r="B25" s="170" t="n">
        <f aca="false">SUM(C25:N25)</f>
        <v>1200</v>
      </c>
      <c r="C25" s="171" t="n">
        <f aca="false">[2]Apr!$W$1</f>
        <v>300</v>
      </c>
      <c r="D25" s="171" t="n">
        <f aca="false">[2]May!$W$1</f>
        <v>0</v>
      </c>
      <c r="E25" s="172" t="n">
        <f aca="false">[2]Jun!$W$1</f>
        <v>0</v>
      </c>
      <c r="F25" s="171" t="n">
        <f aca="false">[2]Jul!$W$1</f>
        <v>300</v>
      </c>
      <c r="G25" s="171" t="n">
        <f aca="false">[2]Aug!$W$1</f>
        <v>0</v>
      </c>
      <c r="H25" s="172" t="n">
        <f aca="false">[2]Sep!$W$1</f>
        <v>0</v>
      </c>
      <c r="I25" s="171" t="n">
        <f aca="false">[2]Oct!$W$1</f>
        <v>300</v>
      </c>
      <c r="J25" s="171" t="n">
        <f aca="false">[2]Nov!$W$1</f>
        <v>0</v>
      </c>
      <c r="K25" s="172" t="n">
        <f aca="false">[2]Dec!$W$1</f>
        <v>0</v>
      </c>
      <c r="L25" s="171" t="n">
        <f aca="false">[2]Jan!$W$1</f>
        <v>300</v>
      </c>
      <c r="M25" s="171" t="n">
        <f aca="false">[2]Feb!$W$1</f>
        <v>0</v>
      </c>
      <c r="N25" s="171" t="n">
        <f aca="false">[2]Mar!$W$1</f>
        <v>0</v>
      </c>
      <c r="O25" s="164"/>
    </row>
    <row r="26" customFormat="false" ht="12" hidden="false" customHeight="false" outlineLevel="0" collapsed="false">
      <c r="A26" s="182" t="s">
        <v>280</v>
      </c>
      <c r="B26" s="170" t="n">
        <f aca="false">SUM(C26:N26)</f>
        <v>2880</v>
      </c>
      <c r="C26" s="171" t="n">
        <f aca="false">[2]Apr!$X$1</f>
        <v>0</v>
      </c>
      <c r="D26" s="171" t="n">
        <f aca="false">[2]May!$X$1</f>
        <v>0</v>
      </c>
      <c r="E26" s="172" t="n">
        <f aca="false">[2]Jun!$X$1</f>
        <v>720</v>
      </c>
      <c r="F26" s="171" t="n">
        <f aca="false">[2]Jul!$X$1</f>
        <v>0</v>
      </c>
      <c r="G26" s="171" t="n">
        <f aca="false">[2]Aug!$X$1</f>
        <v>0</v>
      </c>
      <c r="H26" s="172" t="n">
        <f aca="false">[2]Sep!$X$1</f>
        <v>720</v>
      </c>
      <c r="I26" s="171" t="n">
        <f aca="false">[2]Oct!$X$1</f>
        <v>0</v>
      </c>
      <c r="J26" s="171" t="n">
        <f aca="false">[2]Nov!$X$1</f>
        <v>0</v>
      </c>
      <c r="K26" s="172" t="n">
        <f aca="false">[2]Dec!$X$1</f>
        <v>720</v>
      </c>
      <c r="L26" s="171" t="n">
        <f aca="false">[2]Jan!$X$1</f>
        <v>0</v>
      </c>
      <c r="M26" s="171" t="n">
        <f aca="false">[2]Feb!$X$1</f>
        <v>0</v>
      </c>
      <c r="N26" s="171" t="n">
        <f aca="false">[2]Mar!$X$1</f>
        <v>720</v>
      </c>
      <c r="O26" s="164"/>
    </row>
    <row r="27" customFormat="false" ht="12" hidden="false" customHeight="false" outlineLevel="0" collapsed="false">
      <c r="A27" s="182" t="s">
        <v>281</v>
      </c>
      <c r="B27" s="170" t="n">
        <f aca="false">SUM(C27:N27)</f>
        <v>1200</v>
      </c>
      <c r="C27" s="171" t="n">
        <f aca="false">[2]Apr!$Y$1</f>
        <v>0</v>
      </c>
      <c r="D27" s="171" t="n">
        <f aca="false">[2]May!$Y$1</f>
        <v>600</v>
      </c>
      <c r="E27" s="172" t="n">
        <f aca="false">[2]Jun!$Y$1</f>
        <v>0</v>
      </c>
      <c r="F27" s="171" t="n">
        <f aca="false">[2]Jul!$Y$1</f>
        <v>0</v>
      </c>
      <c r="G27" s="171" t="n">
        <f aca="false">[2]Aug!$Y$1</f>
        <v>0</v>
      </c>
      <c r="H27" s="172" t="n">
        <f aca="false">[2]Sep!$Y$1</f>
        <v>0</v>
      </c>
      <c r="I27" s="171" t="n">
        <f aca="false">[2]Oct!$Y$1</f>
        <v>0</v>
      </c>
      <c r="J27" s="171" t="n">
        <f aca="false">[2]Nov!$Y$1</f>
        <v>0</v>
      </c>
      <c r="K27" s="172" t="n">
        <f aca="false">[2]Dec!$Y$1</f>
        <v>0</v>
      </c>
      <c r="L27" s="171" t="n">
        <f aca="false">[2]Jan!$Y$1</f>
        <v>600</v>
      </c>
      <c r="M27" s="171" t="n">
        <f aca="false">[2]Feb!$Y$1</f>
        <v>0</v>
      </c>
      <c r="N27" s="171" t="n">
        <f aca="false">[2]Mar!$Y$1</f>
        <v>0</v>
      </c>
      <c r="O27" s="164"/>
    </row>
    <row r="28" customFormat="false" ht="12" hidden="false" customHeight="false" outlineLevel="0" collapsed="false">
      <c r="A28" s="182" t="s">
        <v>282</v>
      </c>
      <c r="B28" s="170" t="n">
        <f aca="false">SUM(C28:N28)</f>
        <v>3600</v>
      </c>
      <c r="C28" s="171" t="n">
        <f aca="false">[2]Apr!$Z$1</f>
        <v>300</v>
      </c>
      <c r="D28" s="171" t="n">
        <f aca="false">[2]May!$Z$1</f>
        <v>300</v>
      </c>
      <c r="E28" s="172" t="n">
        <f aca="false">[2]Jun!$Z$1</f>
        <v>300</v>
      </c>
      <c r="F28" s="171" t="n">
        <f aca="false">[2]Jul!$Z$1</f>
        <v>300</v>
      </c>
      <c r="G28" s="171" t="n">
        <f aca="false">[2]Aug!$Z$1</f>
        <v>300</v>
      </c>
      <c r="H28" s="172" t="n">
        <f aca="false">[2]Sep!$Z$1</f>
        <v>300</v>
      </c>
      <c r="I28" s="171" t="n">
        <f aca="false">[2]Oct!$Z$1</f>
        <v>300</v>
      </c>
      <c r="J28" s="171" t="n">
        <f aca="false">[2]Nov!$Z$1</f>
        <v>300</v>
      </c>
      <c r="K28" s="172" t="n">
        <f aca="false">[2]Dec!$Z$1</f>
        <v>300</v>
      </c>
      <c r="L28" s="171" t="n">
        <f aca="false">[2]Jan!$Z$1</f>
        <v>300</v>
      </c>
      <c r="M28" s="171" t="n">
        <f aca="false">[2]Feb!$Z$1</f>
        <v>300</v>
      </c>
      <c r="N28" s="171" t="n">
        <f aca="false">[2]Mar!$Z$1</f>
        <v>300</v>
      </c>
      <c r="O28" s="164"/>
    </row>
    <row r="29" customFormat="false" ht="12" hidden="false" customHeight="false" outlineLevel="0" collapsed="false">
      <c r="A29" s="182" t="s">
        <v>283</v>
      </c>
      <c r="B29" s="170" t="n">
        <f aca="false">SUM(C29:N29)</f>
        <v>-333.333333333333</v>
      </c>
      <c r="C29" s="171" t="n">
        <f aca="false">-[1]Apr!$U$1</f>
        <v>-0</v>
      </c>
      <c r="D29" s="171" t="n">
        <f aca="false">-[1]May!$U$1</f>
        <v>-0</v>
      </c>
      <c r="E29" s="172" t="n">
        <f aca="false">-[1]Jun!$U$1</f>
        <v>-0</v>
      </c>
      <c r="F29" s="171" t="n">
        <f aca="false">-[1]Jul!$U$1</f>
        <v>-0</v>
      </c>
      <c r="G29" s="171" t="n">
        <f aca="false">-[1]Aug!$U$1</f>
        <v>-0</v>
      </c>
      <c r="H29" s="172" t="n">
        <f aca="false">-[1]Sep!$U$1</f>
        <v>-0</v>
      </c>
      <c r="I29" s="171" t="n">
        <f aca="false">-[1]Oct!$U$1</f>
        <v>-0</v>
      </c>
      <c r="J29" s="171" t="n">
        <f aca="false">-[1]Nov!$U$1</f>
        <v>-0</v>
      </c>
      <c r="K29" s="172" t="n">
        <f aca="false">-[1]Dec!$U$1</f>
        <v>-0</v>
      </c>
      <c r="L29" s="171" t="n">
        <f aca="false">-[1]Jan!$U$1</f>
        <v>-0</v>
      </c>
      <c r="M29" s="171" t="n">
        <f aca="false">-[1]Feb!$U$1</f>
        <v>-0</v>
      </c>
      <c r="N29" s="171" t="n">
        <f aca="false">-[1]Mar!$U$1</f>
        <v>-333.333333333333</v>
      </c>
      <c r="O29" s="164"/>
    </row>
    <row r="30" customFormat="false" ht="12" hidden="false" customHeight="false" outlineLevel="0" collapsed="false">
      <c r="A30" s="182" t="s">
        <v>284</v>
      </c>
      <c r="B30" s="170" t="n">
        <f aca="false">SUM(C30:N30)</f>
        <v>0</v>
      </c>
      <c r="C30" s="171" t="n">
        <f aca="false">[3]Apr!$Z$1</f>
        <v>0</v>
      </c>
      <c r="D30" s="171" t="n">
        <f aca="false">[3]May!$Z$1</f>
        <v>0</v>
      </c>
      <c r="E30" s="172" t="n">
        <f aca="false">[3]Jun!$Z$1</f>
        <v>0</v>
      </c>
      <c r="F30" s="171" t="n">
        <f aca="false">[3]Jul!$Z$1</f>
        <v>0</v>
      </c>
      <c r="G30" s="171" t="n">
        <f aca="false">[3]Aug!$Z$1</f>
        <v>0</v>
      </c>
      <c r="H30" s="172" t="n">
        <f aca="false">[3]Sep!$Z$1</f>
        <v>0</v>
      </c>
      <c r="I30" s="171" t="n">
        <f aca="false">[3]Oct!$Z$1</f>
        <v>0</v>
      </c>
      <c r="J30" s="171" t="n">
        <f aca="false">[3]Nov!$Z$1</f>
        <v>0</v>
      </c>
      <c r="K30" s="172" t="n">
        <f aca="false">[3]Dec!$Z$1</f>
        <v>0</v>
      </c>
      <c r="L30" s="171" t="n">
        <f aca="false">[3]Jan!$Z$1</f>
        <v>0</v>
      </c>
      <c r="M30" s="171" t="n">
        <f aca="false">[3]Feb!$Z$1</f>
        <v>0</v>
      </c>
      <c r="N30" s="171" t="n">
        <f aca="false">[3]Mar!$Z$1</f>
        <v>0</v>
      </c>
      <c r="O30" s="164"/>
    </row>
    <row r="31" customFormat="false" ht="12" hidden="false" customHeight="false" outlineLevel="0" collapsed="false">
      <c r="A31" s="182" t="s">
        <v>285</v>
      </c>
      <c r="B31" s="170" t="n">
        <f aca="false">SUM(C31:N31)</f>
        <v>0</v>
      </c>
      <c r="C31" s="171" t="n">
        <f aca="false">[4]Apr!$V$1+[3]Apr!$Y$1</f>
        <v>0</v>
      </c>
      <c r="D31" s="171" t="n">
        <f aca="false">[4]May!$V$1+[3]May!$Y$1</f>
        <v>0</v>
      </c>
      <c r="E31" s="172" t="n">
        <f aca="false">[4]Jun!$V$1+[3]Jun!$Y$1</f>
        <v>0</v>
      </c>
      <c r="F31" s="171" t="n">
        <f aca="false">[4]Jul!$V$1+[3]Jul!$Y$1</f>
        <v>0</v>
      </c>
      <c r="G31" s="171" t="n">
        <f aca="false">[4]Aug!$V$1+[3]Aug!$Y$1</f>
        <v>0</v>
      </c>
      <c r="H31" s="172" t="n">
        <f aca="false">[4]Sep!$V$1+[3]Sep!$Y$1</f>
        <v>0</v>
      </c>
      <c r="I31" s="171" t="n">
        <f aca="false">[4]Oct!$V$1+[3]Oct!$Y$1</f>
        <v>0</v>
      </c>
      <c r="J31" s="171" t="n">
        <f aca="false">[4]Nov!$V$1+[3]Nov!$Y$1</f>
        <v>0</v>
      </c>
      <c r="K31" s="172" t="n">
        <f aca="false">[4]Dec!$V$1+[3]Dec!$Y$1</f>
        <v>0</v>
      </c>
      <c r="L31" s="171" t="n">
        <f aca="false">[4]Jan!$V$1+[3]Jan!$Y$1</f>
        <v>0</v>
      </c>
      <c r="M31" s="171" t="n">
        <f aca="false">[4]Feb!$V$1+[3]Feb!$Y$1</f>
        <v>0</v>
      </c>
      <c r="N31" s="171" t="n">
        <f aca="false">[4]Mar!$V$1+[3]Mar!$Y$1</f>
        <v>0</v>
      </c>
      <c r="O31" s="164"/>
    </row>
    <row r="32" customFormat="false" ht="12" hidden="false" customHeight="false" outlineLevel="0" collapsed="false">
      <c r="A32" s="182" t="s">
        <v>286</v>
      </c>
      <c r="B32" s="170" t="n">
        <f aca="false">SUM(C32:N32)</f>
        <v>500</v>
      </c>
      <c r="C32" s="171" t="n">
        <f aca="false">[2]Apr!$AA$1</f>
        <v>0</v>
      </c>
      <c r="D32" s="171" t="n">
        <f aca="false">[2]May!$AA$1</f>
        <v>0</v>
      </c>
      <c r="E32" s="172" t="n">
        <f aca="false">[2]Jun!$AA$1</f>
        <v>0</v>
      </c>
      <c r="F32" s="171" t="n">
        <f aca="false">[2]Jul!$AA$1</f>
        <v>0</v>
      </c>
      <c r="G32" s="171" t="n">
        <f aca="false">[2]Aug!$AA$1</f>
        <v>0</v>
      </c>
      <c r="H32" s="172" t="n">
        <f aca="false">[2]Sep!$AA$1</f>
        <v>0</v>
      </c>
      <c r="I32" s="171" t="n">
        <f aca="false">[2]Oct!$AA$1</f>
        <v>0</v>
      </c>
      <c r="J32" s="171" t="n">
        <f aca="false">[2]Nov!$AA$1</f>
        <v>0</v>
      </c>
      <c r="K32" s="172" t="n">
        <f aca="false">[2]Dec!$AA$1</f>
        <v>500</v>
      </c>
      <c r="L32" s="171" t="n">
        <f aca="false">[2]Jan!$AA$1</f>
        <v>0</v>
      </c>
      <c r="M32" s="171" t="n">
        <f aca="false">[2]Feb!$AA$1</f>
        <v>0</v>
      </c>
      <c r="N32" s="171" t="n">
        <f aca="false">[2]Mar!$AA$1</f>
        <v>0</v>
      </c>
      <c r="O32" s="164"/>
    </row>
    <row r="33" customFormat="false" ht="12" hidden="false" customHeight="false" outlineLevel="0" collapsed="false">
      <c r="A33" s="169" t="s">
        <v>287</v>
      </c>
      <c r="B33" s="170" t="n">
        <f aca="false">SUM(C33:N33)</f>
        <v>0</v>
      </c>
      <c r="C33" s="171" t="n">
        <f aca="false">-(Schedule!$V$1-Schedule!$W$1+Schedule!$X$1)/12</f>
        <v>-0</v>
      </c>
      <c r="D33" s="171" t="n">
        <f aca="false">-(Schedule!$V$1-Schedule!$W$1+Schedule!$X$1)/12</f>
        <v>-0</v>
      </c>
      <c r="E33" s="172" t="n">
        <f aca="false">-(Schedule!$V$1-Schedule!$W$1+Schedule!$X$1)/12</f>
        <v>-0</v>
      </c>
      <c r="F33" s="171" t="n">
        <f aca="false">-(Schedule!$V$1-Schedule!$W$1+Schedule!$X$1)/12</f>
        <v>-0</v>
      </c>
      <c r="G33" s="171" t="n">
        <f aca="false">-(Schedule!$V$1-Schedule!$W$1+Schedule!$X$1)/12</f>
        <v>-0</v>
      </c>
      <c r="H33" s="172" t="n">
        <f aca="false">-(Schedule!$V$1-Schedule!$W$1+Schedule!$X$1)/12</f>
        <v>-0</v>
      </c>
      <c r="I33" s="171" t="n">
        <f aca="false">-(Schedule!$V$1-Schedule!$W$1+Schedule!$X$1)/12</f>
        <v>-0</v>
      </c>
      <c r="J33" s="171" t="n">
        <f aca="false">-(Schedule!$V$1-Schedule!$W$1+Schedule!$X$1)/12</f>
        <v>-0</v>
      </c>
      <c r="K33" s="172" t="n">
        <f aca="false">-(Schedule!$V$1-Schedule!$W$1+Schedule!$X$1)/12</f>
        <v>-0</v>
      </c>
      <c r="L33" s="171" t="n">
        <f aca="false">-(Schedule!$V$1-Schedule!$W$1+Schedule!$X$1)/12</f>
        <v>-0</v>
      </c>
      <c r="M33" s="171" t="n">
        <f aca="false">-(Schedule!$V$1-Schedule!$W$1+Schedule!$X$1)/12</f>
        <v>-0</v>
      </c>
      <c r="N33" s="171" t="n">
        <f aca="false">-(Schedule!$V$1-Schedule!$W$1+Schedule!$X$1)/12</f>
        <v>-0</v>
      </c>
      <c r="O33" s="164"/>
    </row>
    <row r="34" customFormat="false" ht="12" hidden="false" customHeight="false" outlineLevel="0" collapsed="false">
      <c r="A34" s="169" t="s">
        <v>288</v>
      </c>
      <c r="B34" s="170" t="n">
        <f aca="false">SUM(C34:N34)</f>
        <v>0</v>
      </c>
      <c r="C34" s="171" t="n">
        <f aca="false">(Schedule!$I$1)/12</f>
        <v>0</v>
      </c>
      <c r="D34" s="171" t="n">
        <f aca="false">(Schedule!$I$1)/12</f>
        <v>0</v>
      </c>
      <c r="E34" s="172" t="n">
        <f aca="false">(Schedule!$I$1)/12</f>
        <v>0</v>
      </c>
      <c r="F34" s="171" t="n">
        <f aca="false">(Schedule!$I$1)/12</f>
        <v>0</v>
      </c>
      <c r="G34" s="171" t="n">
        <f aca="false">(Schedule!$I$1)/12</f>
        <v>0</v>
      </c>
      <c r="H34" s="172" t="n">
        <f aca="false">(Schedule!$I$1)/12</f>
        <v>0</v>
      </c>
      <c r="I34" s="171" t="n">
        <f aca="false">(Schedule!$I$1)/12</f>
        <v>0</v>
      </c>
      <c r="J34" s="171" t="n">
        <f aca="false">(Schedule!$I$1)/12</f>
        <v>0</v>
      </c>
      <c r="K34" s="172" t="n">
        <f aca="false">(Schedule!$I$1)/12</f>
        <v>0</v>
      </c>
      <c r="L34" s="171" t="n">
        <f aca="false">(Schedule!$I$1)/12</f>
        <v>0</v>
      </c>
      <c r="M34" s="171" t="n">
        <f aca="false">(Schedule!$I$1)/12</f>
        <v>0</v>
      </c>
      <c r="N34" s="171" t="n">
        <f aca="false">(Schedule!$I$1)/12</f>
        <v>0</v>
      </c>
      <c r="O34" s="164"/>
    </row>
    <row r="35" customFormat="false" ht="12" hidden="false" customHeight="false" outlineLevel="0" collapsed="false">
      <c r="A35" s="173" t="s">
        <v>274</v>
      </c>
      <c r="B35" s="170" t="n">
        <f aca="false">SUM(B21:B34)</f>
        <v>16206.6666666667</v>
      </c>
      <c r="C35" s="170" t="n">
        <f aca="false">SUM(C21:C34)</f>
        <v>1860</v>
      </c>
      <c r="D35" s="170" t="n">
        <f aca="false">SUM(D21:D34)</f>
        <v>960</v>
      </c>
      <c r="E35" s="170" t="n">
        <f aca="false">SUM(E21:E34)</f>
        <v>1080</v>
      </c>
      <c r="F35" s="174" t="n">
        <f aca="false">SUM(F21:F34)</f>
        <v>1860</v>
      </c>
      <c r="G35" s="170" t="n">
        <f aca="false">SUM(G21:G34)</f>
        <v>1160</v>
      </c>
      <c r="H35" s="170" t="n">
        <f aca="false">SUM(H21:H34)</f>
        <v>1560</v>
      </c>
      <c r="I35" s="174" t="n">
        <f aca="false">SUM(I21:I34)</f>
        <v>1860</v>
      </c>
      <c r="J35" s="170" t="n">
        <f aca="false">SUM(J21:J34)</f>
        <v>360</v>
      </c>
      <c r="K35" s="170" t="n">
        <f aca="false">SUM(K21:K34)</f>
        <v>1580</v>
      </c>
      <c r="L35" s="174" t="n">
        <f aca="false">SUM(L21:L34)</f>
        <v>2460</v>
      </c>
      <c r="M35" s="170" t="n">
        <f aca="false">SUM(M21:M34)</f>
        <v>720</v>
      </c>
      <c r="N35" s="170" t="n">
        <f aca="false">SUM(N21:N34)</f>
        <v>746.666666666667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289</v>
      </c>
      <c r="B37" s="170" t="n">
        <f aca="false">B19-B35</f>
        <v>36493.3333333333</v>
      </c>
      <c r="C37" s="170" t="n">
        <f aca="false">C19-C35</f>
        <v>2706.66666666667</v>
      </c>
      <c r="D37" s="170" t="n">
        <f aca="false">D19-D35</f>
        <v>4846.66666666667</v>
      </c>
      <c r="E37" s="170" t="n">
        <f aca="false">E19-E35</f>
        <v>-13.3333333333303</v>
      </c>
      <c r="F37" s="174" t="n">
        <f aca="false">F19-F35</f>
        <v>4973.33333333333</v>
      </c>
      <c r="G37" s="170" t="n">
        <f aca="false">G19-G35</f>
        <v>6756.66666666666</v>
      </c>
      <c r="H37" s="170" t="n">
        <f aca="false">H19-H35</f>
        <v>1873.33333333333</v>
      </c>
      <c r="I37" s="174" t="n">
        <f aca="false">I19-I35</f>
        <v>4493.33333333333</v>
      </c>
      <c r="J37" s="170" t="n">
        <f aca="false">J19-J35</f>
        <v>4946.66666666667</v>
      </c>
      <c r="K37" s="170" t="n">
        <f aca="false">K19-K35</f>
        <v>2586.66666666667</v>
      </c>
      <c r="L37" s="174" t="n">
        <f aca="false">L19-L35</f>
        <v>1040</v>
      </c>
      <c r="M37" s="170" t="n">
        <f aca="false">M19-M35</f>
        <v>1780</v>
      </c>
      <c r="N37" s="170" t="n">
        <f aca="false">N19-N35</f>
        <v>503.333333333333</v>
      </c>
      <c r="O37" s="164"/>
    </row>
    <row r="38" customFormat="false" ht="12" hidden="false" customHeight="false" outlineLevel="0" collapsed="false">
      <c r="A38" s="169" t="s">
        <v>290</v>
      </c>
      <c r="B38" s="170" t="n">
        <f aca="false">SUM(C38:N38)</f>
        <v>0</v>
      </c>
      <c r="C38" s="171" t="n">
        <f aca="false">[3]Apr!$J$1</f>
        <v>0</v>
      </c>
      <c r="D38" s="171" t="n">
        <f aca="false">[3]May!$J$1</f>
        <v>0</v>
      </c>
      <c r="E38" s="172" t="n">
        <f aca="false">[3]Jun!$J$1</f>
        <v>0</v>
      </c>
      <c r="F38" s="171" t="n">
        <f aca="false">[3]Jul!$J$1</f>
        <v>0</v>
      </c>
      <c r="G38" s="171" t="n">
        <f aca="false">[3]Aug!$J$1</f>
        <v>0</v>
      </c>
      <c r="H38" s="172" t="n">
        <f aca="false">[3]Sep!$J$1</f>
        <v>0</v>
      </c>
      <c r="I38" s="171" t="n">
        <f aca="false">[3]Oct!$J$1</f>
        <v>0</v>
      </c>
      <c r="J38" s="171" t="n">
        <f aca="false">[3]Nov!$J$1</f>
        <v>0</v>
      </c>
      <c r="K38" s="172" t="n">
        <f aca="false">[3]Dec!$J$1</f>
        <v>0</v>
      </c>
      <c r="L38" s="171" t="n">
        <f aca="false">[3]Jan!$J$1</f>
        <v>0</v>
      </c>
      <c r="M38" s="171" t="n">
        <f aca="false">[3]Feb!$J$1</f>
        <v>0</v>
      </c>
      <c r="N38" s="171" t="n">
        <f aca="false">[3]Mar!$J$1</f>
        <v>0</v>
      </c>
      <c r="O38" s="164"/>
    </row>
    <row r="39" customFormat="false" ht="12" hidden="false" customHeight="false" outlineLevel="0" collapsed="false">
      <c r="A39" s="173" t="s">
        <v>291</v>
      </c>
      <c r="B39" s="170" t="n">
        <f aca="false">B37+B38</f>
        <v>36493.3333333333</v>
      </c>
      <c r="C39" s="170" t="n">
        <f aca="false">C37+C38</f>
        <v>2706.66666666667</v>
      </c>
      <c r="D39" s="170" t="n">
        <f aca="false">D37+D38</f>
        <v>4846.66666666667</v>
      </c>
      <c r="E39" s="170" t="n">
        <f aca="false">E37+E38</f>
        <v>-13.3333333333303</v>
      </c>
      <c r="F39" s="174" t="n">
        <f aca="false">F37+F38</f>
        <v>4973.33333333333</v>
      </c>
      <c r="G39" s="170" t="n">
        <f aca="false">G37+G38</f>
        <v>6756.66666666666</v>
      </c>
      <c r="H39" s="170" t="n">
        <f aca="false">H37+H38</f>
        <v>1873.33333333333</v>
      </c>
      <c r="I39" s="174" t="n">
        <f aca="false">I37+I38</f>
        <v>4493.33333333333</v>
      </c>
      <c r="J39" s="170" t="n">
        <f aca="false">J37+J38</f>
        <v>4946.66666666667</v>
      </c>
      <c r="K39" s="170" t="n">
        <f aca="false">K37+K38</f>
        <v>2586.66666666667</v>
      </c>
      <c r="L39" s="174" t="n">
        <f aca="false">L37+L38</f>
        <v>1040</v>
      </c>
      <c r="M39" s="170" t="n">
        <f aca="false">M37+M38</f>
        <v>1780</v>
      </c>
      <c r="N39" s="170" t="n">
        <f aca="false">N37+N38</f>
        <v>503.333333333333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292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293</v>
      </c>
      <c r="B42" s="177" t="n">
        <f aca="false">SUM(C42:N42)</f>
        <v>0</v>
      </c>
      <c r="C42" s="177" t="n">
        <f aca="false">[4]Apr!$X$1+[3]Apr!$AB$1</f>
        <v>0</v>
      </c>
      <c r="D42" s="177" t="n">
        <f aca="false">[4]May!$X$1+[3]May!$AB$1</f>
        <v>0</v>
      </c>
      <c r="E42" s="177" t="n">
        <f aca="false">[4]Jun!$X$1+[3]Jun!$AB$1</f>
        <v>0</v>
      </c>
      <c r="F42" s="177" t="n">
        <f aca="false">[4]Jul!$X$1+[3]Jul!$AB$1</f>
        <v>0</v>
      </c>
      <c r="G42" s="177" t="n">
        <f aca="false">[4]Aug!$X$1+[3]Aug!$AB$1</f>
        <v>0</v>
      </c>
      <c r="H42" s="177" t="n">
        <f aca="false">[4]Sep!$X$1+[3]Sep!$AB$1</f>
        <v>0</v>
      </c>
      <c r="I42" s="177" t="n">
        <f aca="false">[4]Oct!$X$1+[3]Oct!$AB$1</f>
        <v>0</v>
      </c>
      <c r="J42" s="177" t="n">
        <f aca="false">[4]Nov!$X$1+[3]Nov!$AB$1</f>
        <v>0</v>
      </c>
      <c r="K42" s="177" t="n">
        <f aca="false">[4]Dec!$X$1+[3]Dec!$AB$1</f>
        <v>0</v>
      </c>
      <c r="L42" s="177" t="n">
        <f aca="false">[4]Jan!$X$1+[3]Jan!$AB$1</f>
        <v>0</v>
      </c>
      <c r="M42" s="177" t="n">
        <f aca="false">[4]Feb!$X$1+[3]Feb!$AB$1</f>
        <v>0</v>
      </c>
      <c r="N42" s="177" t="n">
        <f aca="false">[4]Mar!$X$1+[3]Mar!$AB$1</f>
        <v>0</v>
      </c>
      <c r="O42" s="164"/>
    </row>
    <row r="43" customFormat="false" ht="12" hidden="false" customHeight="false" outlineLevel="0" collapsed="false">
      <c r="A43" s="182" t="s">
        <v>294</v>
      </c>
      <c r="B43" s="177" t="n">
        <f aca="false">SUM(C43:N43)</f>
        <v>0</v>
      </c>
      <c r="C43" s="177" t="n">
        <f aca="false">-[1]Apr!$W$1</f>
        <v>-0</v>
      </c>
      <c r="D43" s="177" t="n">
        <f aca="false">-[1]May!$W$1</f>
        <v>-0</v>
      </c>
      <c r="E43" s="177" t="n">
        <f aca="false">-[1]Jun!$W$1</f>
        <v>-0</v>
      </c>
      <c r="F43" s="177" t="n">
        <f aca="false">-[1]Jul!$W$1</f>
        <v>-0</v>
      </c>
      <c r="G43" s="177" t="n">
        <f aca="false">-[1]Aug!$W$1</f>
        <v>-0</v>
      </c>
      <c r="H43" s="177" t="n">
        <f aca="false">-[1]Sep!$W$1</f>
        <v>-0</v>
      </c>
      <c r="I43" s="177" t="n">
        <f aca="false">-[1]Oct!$W$1</f>
        <v>-0</v>
      </c>
      <c r="J43" s="177" t="n">
        <f aca="false">-[1]Nov!$W$1</f>
        <v>-0</v>
      </c>
      <c r="K43" s="177" t="n">
        <f aca="false">-[1]Dec!$W$1</f>
        <v>-0</v>
      </c>
      <c r="L43" s="177" t="n">
        <f aca="false">-[1]Jan!$W$1</f>
        <v>-0</v>
      </c>
      <c r="M43" s="177" t="n">
        <f aca="false">-[1]Feb!$W$1</f>
        <v>-0</v>
      </c>
      <c r="N43" s="177" t="n">
        <f aca="false">-[1]Mar!$W$1</f>
        <v>-0</v>
      </c>
      <c r="O43" s="164"/>
    </row>
    <row r="44" customFormat="false" ht="12" hidden="false" customHeight="false" outlineLevel="0" collapsed="false">
      <c r="A44" s="182" t="s">
        <v>295</v>
      </c>
      <c r="B44" s="177" t="n">
        <f aca="false">SUM(C44:N44)</f>
        <v>6220.06666666667</v>
      </c>
      <c r="C44" s="177" t="n">
        <f aca="false">IF(C9&gt;0,'Profit Forecast'!C$46/12,0)</f>
        <v>518.338888888889</v>
      </c>
      <c r="D44" s="177" t="n">
        <f aca="false">IF(D9&gt;0,'Profit Forecast'!C$46/12,0)</f>
        <v>518.338888888889</v>
      </c>
      <c r="E44" s="177" t="n">
        <f aca="false">IF(E9&gt;0,'Profit Forecast'!C$46/12,0)</f>
        <v>518.338888888889</v>
      </c>
      <c r="F44" s="177" t="n">
        <f aca="false">IF(F9&gt;0,'Profit Forecast'!C$46/12,0)</f>
        <v>518.338888888889</v>
      </c>
      <c r="G44" s="177" t="n">
        <f aca="false">IF(G9&gt;0,'Profit Forecast'!C$46/12,0)</f>
        <v>518.338888888889</v>
      </c>
      <c r="H44" s="177" t="n">
        <f aca="false">IF(H9&gt;0,'Profit Forecast'!C$46/12,0)</f>
        <v>518.338888888889</v>
      </c>
      <c r="I44" s="177" t="n">
        <f aca="false">IF(I9&gt;0,'Profit Forecast'!C$46/12,0)</f>
        <v>518.338888888889</v>
      </c>
      <c r="J44" s="177" t="n">
        <f aca="false">IF(J9&gt;0,'Profit Forecast'!C$46/12,0)</f>
        <v>518.338888888889</v>
      </c>
      <c r="K44" s="177" t="n">
        <f aca="false">IF(K9&gt;0,'Profit Forecast'!C$46/12,0)</f>
        <v>518.338888888889</v>
      </c>
      <c r="L44" s="177" t="n">
        <f aca="false">IF(L9&gt;0,'Profit Forecast'!C$46/12,0)</f>
        <v>518.338888888889</v>
      </c>
      <c r="M44" s="177" t="n">
        <f aca="false">IF(M9&gt;0,'Profit Forecast'!C$46/12,0)</f>
        <v>518.338888888889</v>
      </c>
      <c r="N44" s="177" t="n">
        <f aca="false">IF(N9&gt;0,'Profit Forecast'!C$46/12,0)</f>
        <v>518.338888888889</v>
      </c>
      <c r="O44" s="164"/>
    </row>
    <row r="45" customFormat="false" ht="12" hidden="false" customHeight="false" outlineLevel="0" collapsed="false">
      <c r="A45" s="188" t="s">
        <v>296</v>
      </c>
      <c r="B45" s="189" t="n">
        <f aca="false">SUM(C45:N45)</f>
        <v>30273.2666666667</v>
      </c>
      <c r="C45" s="190" t="n">
        <f aca="false">C39-C42-C44</f>
        <v>2188.32777777778</v>
      </c>
      <c r="D45" s="191" t="n">
        <f aca="false">D39-D42-D44</f>
        <v>4328.32777777778</v>
      </c>
      <c r="E45" s="191" t="n">
        <f aca="false">E39-E42-E44</f>
        <v>-531.672222222219</v>
      </c>
      <c r="F45" s="191" t="n">
        <f aca="false">F39-F42-F44</f>
        <v>4454.99444444444</v>
      </c>
      <c r="G45" s="191" t="n">
        <f aca="false">G39-G42-G44</f>
        <v>6238.32777777777</v>
      </c>
      <c r="H45" s="191" t="n">
        <f aca="false">H39-H42-H44</f>
        <v>1354.99444444444</v>
      </c>
      <c r="I45" s="191" t="n">
        <f aca="false">I39-I42-I44</f>
        <v>3974.99444444444</v>
      </c>
      <c r="J45" s="191" t="n">
        <f aca="false">J39-J42-J44</f>
        <v>4428.32777777778</v>
      </c>
      <c r="K45" s="191" t="n">
        <f aca="false">K39-K42-K44</f>
        <v>2068.32777777778</v>
      </c>
      <c r="L45" s="191" t="n">
        <f aca="false">L39-L42-L44</f>
        <v>521.661111111111</v>
      </c>
      <c r="M45" s="191" t="n">
        <f aca="false">M39-M42-M44</f>
        <v>1261.66111111111</v>
      </c>
      <c r="N45" s="191" t="n">
        <f aca="false">N39-N42-N44</f>
        <v>-15.0055555555559</v>
      </c>
      <c r="O45" s="164"/>
    </row>
    <row r="46" customFormat="false" ht="12" hidden="false" customHeight="false" outlineLevel="0" collapsed="false">
      <c r="A46" s="182" t="s">
        <v>244</v>
      </c>
      <c r="B46" s="177" t="n">
        <f aca="false">SUM(C46:N46)</f>
        <v>0</v>
      </c>
      <c r="C46" s="177" t="n">
        <f aca="false">[4]Apr!$J$1+[3]Apr!$L$1</f>
        <v>0</v>
      </c>
      <c r="D46" s="177" t="n">
        <f aca="false">[4]May!$J$1+[3]May!$L$1</f>
        <v>0</v>
      </c>
      <c r="E46" s="177" t="n">
        <f aca="false">[4]Jun!$J$1+[3]Jun!$L$1</f>
        <v>0</v>
      </c>
      <c r="F46" s="177" t="n">
        <f aca="false">[4]Jul!$J$1+[3]Jul!$L$1</f>
        <v>0</v>
      </c>
      <c r="G46" s="177" t="n">
        <f aca="false">[4]Aug!$J$1+[3]Aug!$L$1</f>
        <v>0</v>
      </c>
      <c r="H46" s="177" t="n">
        <f aca="false">[4]Sep!$J$1+[3]Sep!$L$1</f>
        <v>0</v>
      </c>
      <c r="I46" s="177" t="n">
        <f aca="false">[4]Oct!$J$1+[3]Oct!$L$1</f>
        <v>0</v>
      </c>
      <c r="J46" s="177" t="n">
        <f aca="false">[4]Nov!$J$1+[3]Nov!$L$1</f>
        <v>0</v>
      </c>
      <c r="K46" s="177" t="n">
        <f aca="false">[4]Dec!$J$1+[3]Dec!$L$1</f>
        <v>0</v>
      </c>
      <c r="L46" s="177" t="n">
        <f aca="false">[4]Jan!$J$1+[3]Jan!$L$1</f>
        <v>0</v>
      </c>
      <c r="M46" s="177" t="n">
        <f aca="false">[4]Feb!$J$1+[3]Feb!$L$1</f>
        <v>0</v>
      </c>
      <c r="N46" s="177" t="n">
        <f aca="false">[4]Mar!$J$1+[3]Mar!$L$1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s="196" customFormat="true" ht="12" hidden="false" customHeight="true" outlineLevel="0" collapsed="false">
      <c r="A2" s="195"/>
      <c r="B2" s="197" t="s">
        <v>297</v>
      </c>
      <c r="C2" s="197" t="s">
        <v>298</v>
      </c>
      <c r="D2" s="197" t="s">
        <v>299</v>
      </c>
      <c r="E2" s="197" t="s">
        <v>300</v>
      </c>
      <c r="F2" s="197" t="s">
        <v>301</v>
      </c>
      <c r="G2" s="197" t="s">
        <v>302</v>
      </c>
      <c r="H2" s="197" t="s">
        <v>303</v>
      </c>
      <c r="I2" s="195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s="198" customFormat="tru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</row>
    <row r="5" customFormat="false" ht="12.75" hidden="false" customHeight="false" outlineLevel="0" collapsed="false">
      <c r="A5" s="195"/>
      <c r="B5" s="195" t="s">
        <v>304</v>
      </c>
      <c r="C5" s="199" t="n">
        <f aca="false">SUM('Profit &amp; Loss Account'!C5:E7)</f>
        <v>15500</v>
      </c>
      <c r="D5" s="199" t="n">
        <f aca="false">SUM('Profit &amp; Loss Account'!F5:H7)</f>
        <v>18500</v>
      </c>
      <c r="E5" s="199" t="n">
        <f aca="false">SUM('Profit &amp; Loss Account'!I5:K7)</f>
        <v>16666.6666666667</v>
      </c>
      <c r="F5" s="199" t="n">
        <f aca="false">SUM('Profit &amp; Loss Account'!L5:N7)</f>
        <v>7250</v>
      </c>
      <c r="G5" s="200" t="n">
        <f aca="false">SUM(C5:F5)</f>
        <v>57916.6666666667</v>
      </c>
      <c r="H5" s="195"/>
      <c r="I5" s="195"/>
    </row>
    <row r="6" customFormat="false" ht="13.5" hidden="false" customHeight="true" outlineLevel="0" collapsed="false">
      <c r="A6" s="195"/>
      <c r="B6" s="195" t="s">
        <v>305</v>
      </c>
      <c r="C6" s="199" t="n">
        <f aca="false">SUM('Profit &amp; Loss Account'!C8:E8)+SUM('Profit &amp; Loss Account'!C11:E11)+SUM('Profit &amp; Loss Account'!C38:E38)</f>
        <v>500</v>
      </c>
      <c r="D6" s="199" t="n">
        <f aca="false">SUM('Profit &amp; Loss Account'!F8:H8)+SUM('Profit &amp; Loss Account'!F11:H11)+SUM('Profit &amp; Loss Account'!F38:H38)</f>
        <v>2083.33333333333</v>
      </c>
      <c r="E6" s="199" t="n">
        <f aca="false">SUM('Profit &amp; Loss Account'!I8:K8)+SUM('Profit &amp; Loss Account'!I11:K11)+SUM('Profit &amp; Loss Account'!I38:K38)</f>
        <v>0</v>
      </c>
      <c r="F6" s="199" t="n">
        <f aca="false">SUM('Profit &amp; Loss Account'!L8:N8)+SUM('Profit &amp; Loss Account'!L11:N11)+SUM('Profit &amp; Loss Account'!L38:N38)</f>
        <v>0</v>
      </c>
      <c r="G6" s="200" t="n">
        <f aca="false">SUM(C6:F6)</f>
        <v>2583.33333333333</v>
      </c>
      <c r="H6" s="195"/>
      <c r="I6" s="195"/>
    </row>
    <row r="7" customFormat="false" ht="12.75" hidden="false" customHeight="false" outlineLevel="0" collapsed="false">
      <c r="A7" s="195"/>
      <c r="B7" s="195" t="s">
        <v>306</v>
      </c>
      <c r="C7" s="199" t="n">
        <f aca="false">SUM('Profit &amp; Loss Account'!C14:E14)+SUM('Profit &amp; Loss Account'!C16:E16)</f>
        <v>960</v>
      </c>
      <c r="D7" s="199" t="n">
        <f aca="false">SUM('Profit &amp; Loss Account'!F14:H14)+SUM('Profit &amp; Loss Account'!F16:H16)</f>
        <v>0</v>
      </c>
      <c r="E7" s="199" t="n">
        <f aca="false">SUM('Profit &amp; Loss Account'!I14:K14)+SUM('Profit &amp; Loss Account'!I16:K16)</f>
        <v>840</v>
      </c>
      <c r="F7" s="199" t="n">
        <f aca="false">SUM('Profit &amp; Loss Account'!L14:N14)+SUM('Profit &amp; Loss Account'!L16:N16)</f>
        <v>0</v>
      </c>
      <c r="G7" s="200" t="n">
        <f aca="false">SUM(C7:F7)</f>
        <v>1800</v>
      </c>
      <c r="H7" s="195"/>
      <c r="I7" s="195"/>
    </row>
    <row r="8" s="201" customFormat="tru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307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308</v>
      </c>
      <c r="C12" s="200" t="n">
        <f aca="false">SUM('Profit &amp; Loss Account'!C21:E21)</f>
        <v>0</v>
      </c>
      <c r="D12" s="200" t="n">
        <f aca="false">SUM('Profit &amp; Loss Account'!F21:H21)</f>
        <v>800</v>
      </c>
      <c r="E12" s="200" t="n">
        <f aca="false">SUM('Profit &amp; Loss Account'!I21:K21)</f>
        <v>0</v>
      </c>
      <c r="F12" s="200" t="n">
        <f aca="false">SUM('Profit &amp; Loss Account'!L21:N21)</f>
        <v>0</v>
      </c>
      <c r="G12" s="200" t="n">
        <f aca="false">SUM(C12:F12)</f>
        <v>800</v>
      </c>
      <c r="H12" s="195"/>
      <c r="I12" s="195"/>
    </row>
    <row r="13" customFormat="false" ht="12.75" hidden="false" customHeight="false" outlineLevel="0" collapsed="false">
      <c r="A13" s="195"/>
      <c r="B13" s="195" t="s">
        <v>309</v>
      </c>
      <c r="C13" s="200" t="n">
        <f aca="false">SUM('Profit &amp; Loss Account'!C22:E22)</f>
        <v>1200</v>
      </c>
      <c r="D13" s="200" t="n">
        <f aca="false">SUM('Profit &amp; Loss Account'!F22:H22)</f>
        <v>1200</v>
      </c>
      <c r="E13" s="200" t="n">
        <f aca="false">SUM('Profit &amp; Loss Account'!I22:K22)</f>
        <v>1200</v>
      </c>
      <c r="F13" s="200" t="n">
        <f aca="false">SUM('Profit &amp; Loss Account'!L22:N22)</f>
        <v>1200</v>
      </c>
      <c r="G13" s="200" t="n">
        <f aca="false">SUM(C13:F13)</f>
        <v>4800</v>
      </c>
      <c r="H13" s="195"/>
      <c r="I13" s="195"/>
    </row>
    <row r="14" customFormat="false" ht="12.75" hidden="false" customHeight="false" outlineLevel="0" collapsed="false">
      <c r="A14" s="195"/>
      <c r="B14" s="195" t="s">
        <v>310</v>
      </c>
      <c r="C14" s="200" t="n">
        <f aca="false">SUM('Profit &amp; Loss Account'!C23:E23)</f>
        <v>0</v>
      </c>
      <c r="D14" s="200" t="n">
        <f aca="false">SUM('Profit &amp; Loss Account'!F23:H23)</f>
        <v>480</v>
      </c>
      <c r="E14" s="200" t="n">
        <f aca="false">SUM('Profit &amp; Loss Account'!I23:K23)</f>
        <v>0</v>
      </c>
      <c r="F14" s="200" t="n">
        <f aca="false">SUM('Profit &amp; Loss Account'!L23:N23)</f>
        <v>360</v>
      </c>
      <c r="G14" s="200" t="n">
        <f aca="false">SUM(C14:F14)</f>
        <v>840</v>
      </c>
      <c r="H14" s="195"/>
      <c r="I14" s="195"/>
    </row>
    <row r="15" customFormat="false" ht="12.75" hidden="false" customHeight="false" outlineLevel="0" collapsed="false">
      <c r="A15" s="195"/>
      <c r="B15" s="195" t="s">
        <v>311</v>
      </c>
      <c r="C15" s="200" t="n">
        <f aca="false">SUM('Profit &amp; Loss Account'!C24:E24)</f>
        <v>180</v>
      </c>
      <c r="D15" s="200" t="n">
        <f aca="false">SUM('Profit &amp; Loss Account'!F24:H24)</f>
        <v>180</v>
      </c>
      <c r="E15" s="200" t="n">
        <f aca="false">SUM('Profit &amp; Loss Account'!I24:K24)</f>
        <v>180</v>
      </c>
      <c r="F15" s="200" t="n">
        <f aca="false">SUM('Profit &amp; Loss Account'!L24:N24)</f>
        <v>180</v>
      </c>
      <c r="G15" s="200" t="n">
        <f aca="false">SUM(C15:F15)</f>
        <v>720</v>
      </c>
      <c r="H15" s="195"/>
      <c r="I15" s="195"/>
    </row>
    <row r="16" customFormat="false" ht="12.75" hidden="false" customHeight="false" outlineLevel="0" collapsed="false">
      <c r="A16" s="195"/>
      <c r="B16" s="195" t="s">
        <v>312</v>
      </c>
      <c r="C16" s="200" t="n">
        <f aca="false">SUM('Profit &amp; Loss Account'!C31:E31)</f>
        <v>0</v>
      </c>
      <c r="D16" s="200" t="n">
        <f aca="false">SUM('Profit &amp; Loss Account'!F31:H31)</f>
        <v>0</v>
      </c>
      <c r="E16" s="200" t="n">
        <f aca="false">SUM('Profit &amp; Loss Account'!I31:K31)</f>
        <v>0</v>
      </c>
      <c r="F16" s="200" t="n">
        <f aca="false">SUM('Profit &amp; Loss Account'!L31:N31)</f>
        <v>0</v>
      </c>
      <c r="G16" s="200" t="n">
        <f aca="false">SUM(C16:F16)</f>
        <v>0</v>
      </c>
      <c r="H16" s="195"/>
      <c r="I16" s="195"/>
    </row>
    <row r="17" customFormat="false" ht="12.75" hidden="false" customHeight="false" outlineLevel="0" collapsed="false">
      <c r="A17" s="195"/>
      <c r="B17" s="195" t="s">
        <v>313</v>
      </c>
      <c r="C17" s="200" t="n">
        <f aca="false">SUM('Profit &amp; Loss Account'!C25:E26)</f>
        <v>1020</v>
      </c>
      <c r="D17" s="200" t="n">
        <f aca="false">SUM('Profit &amp; Loss Account'!F25:H26)</f>
        <v>1020</v>
      </c>
      <c r="E17" s="200" t="n">
        <f aca="false">SUM('Profit &amp; Loss Account'!I25:K26)</f>
        <v>1020</v>
      </c>
      <c r="F17" s="200" t="n">
        <f aca="false">SUM('Profit &amp; Loss Account'!L25:N26)</f>
        <v>1020</v>
      </c>
      <c r="G17" s="200" t="n">
        <f aca="false">SUM(C17:F17)</f>
        <v>4080</v>
      </c>
      <c r="H17" s="195"/>
      <c r="I17" s="195"/>
    </row>
    <row r="18" customFormat="false" ht="12.75" hidden="false" customHeight="false" outlineLevel="0" collapsed="false">
      <c r="A18" s="195"/>
      <c r="B18" s="195" t="s">
        <v>314</v>
      </c>
      <c r="C18" s="200" t="n">
        <f aca="false">SUM('Profit &amp; Loss Account'!C27:E27)</f>
        <v>600</v>
      </c>
      <c r="D18" s="200" t="n">
        <f aca="false">SUM('Profit &amp; Loss Account'!F27:H27)</f>
        <v>0</v>
      </c>
      <c r="E18" s="200" t="n">
        <f aca="false">SUM('Profit &amp; Loss Account'!I27:K27)</f>
        <v>0</v>
      </c>
      <c r="F18" s="200" t="n">
        <f aca="false">SUM('Profit &amp; Loss Account'!L27:N27)</f>
        <v>600</v>
      </c>
      <c r="G18" s="200" t="n">
        <f aca="false">SUM(C18:F18)</f>
        <v>1200</v>
      </c>
      <c r="H18" s="195"/>
      <c r="I18" s="195"/>
    </row>
    <row r="19" customFormat="false" ht="12.75" hidden="false" customHeight="false" outlineLevel="0" collapsed="false">
      <c r="A19" s="195"/>
      <c r="B19" s="195" t="s">
        <v>315</v>
      </c>
      <c r="C19" s="200" t="n">
        <f aca="false">SUM('Profit &amp; Loss Account'!C28:E28)</f>
        <v>900</v>
      </c>
      <c r="D19" s="200" t="n">
        <f aca="false">SUM('Profit &amp; Loss Account'!F28:H28)</f>
        <v>900</v>
      </c>
      <c r="E19" s="200" t="n">
        <f aca="false">SUM('Profit &amp; Loss Account'!I28:K28)</f>
        <v>900</v>
      </c>
      <c r="F19" s="200" t="n">
        <f aca="false">SUM('Profit &amp; Loss Account'!L28:N28)</f>
        <v>900</v>
      </c>
      <c r="G19" s="200" t="n">
        <f aca="false">SUM(C19:F19)</f>
        <v>3600</v>
      </c>
      <c r="H19" s="195"/>
      <c r="I19" s="195"/>
    </row>
    <row r="20" customFormat="false" ht="12.75" hidden="false" customHeight="false" outlineLevel="0" collapsed="false">
      <c r="A20" s="195"/>
      <c r="B20" s="195" t="s">
        <v>316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-333.333333333333</v>
      </c>
      <c r="G20" s="200" t="n">
        <f aca="false">SUM(C20:F20)</f>
        <v>-333.333333333333</v>
      </c>
      <c r="H20" s="195"/>
      <c r="I20" s="195"/>
    </row>
    <row r="21" customFormat="false" ht="12.75" hidden="false" customHeight="false" outlineLevel="0" collapsed="false">
      <c r="A21" s="195"/>
      <c r="B21" s="195" t="s">
        <v>317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318</v>
      </c>
      <c r="C22" s="200" t="n">
        <f aca="false">SUM('Profit &amp; Loss Account'!C32:E32)</f>
        <v>0</v>
      </c>
      <c r="D22" s="200" t="n">
        <f aca="false">SUM('Profit &amp; Loss Account'!F32:H32)</f>
        <v>0</v>
      </c>
      <c r="E22" s="200" t="n">
        <f aca="false">SUM('Profit &amp; Loss Account'!I32:K32)</f>
        <v>500</v>
      </c>
      <c r="F22" s="200" t="n">
        <f aca="false">SUM('Profit &amp; Loss Account'!L32:N32)</f>
        <v>0</v>
      </c>
      <c r="G22" s="200" t="n">
        <f aca="false">SUM(C22:F22)</f>
        <v>500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319</v>
      </c>
      <c r="C24" s="200" t="n">
        <f aca="false">SUM('Profit &amp; Loss Account'!C15:E15)</f>
        <v>3600</v>
      </c>
      <c r="D24" s="200" t="n">
        <f aca="false">SUM('Profit &amp; Loss Account'!F15:H15)</f>
        <v>2400</v>
      </c>
      <c r="E24" s="200" t="n">
        <f aca="false">SUM('Profit &amp; Loss Account'!I15:K15)</f>
        <v>0</v>
      </c>
      <c r="F24" s="200" t="n">
        <f aca="false">SUM('Profit &amp; Loss Account'!L15:N15)</f>
        <v>0</v>
      </c>
      <c r="G24" s="200" t="n">
        <f aca="false">SUM(C24:F24)</f>
        <v>6000</v>
      </c>
      <c r="H24" s="195"/>
      <c r="I24" s="195"/>
    </row>
    <row r="25" customFormat="false" ht="12.75" hidden="false" customHeight="false" outlineLevel="0" collapsed="false">
      <c r="A25" s="195"/>
      <c r="B25" s="195" t="s">
        <v>320</v>
      </c>
      <c r="C25" s="200" t="n">
        <v>0</v>
      </c>
      <c r="D25" s="200" t="n">
        <v>0</v>
      </c>
      <c r="E25" s="200" t="n">
        <v>0</v>
      </c>
      <c r="F25" s="200" t="n">
        <v>0</v>
      </c>
      <c r="G25" s="200" t="n">
        <f aca="false">SUM(C25:F25)</f>
        <v>0</v>
      </c>
      <c r="H25" s="195" t="s">
        <v>321</v>
      </c>
      <c r="I25" s="195"/>
    </row>
    <row r="26" customFormat="false" ht="13.5" hidden="false" customHeight="true" outlineLevel="0" collapsed="false">
      <c r="A26" s="195"/>
      <c r="B26" s="195" t="s">
        <v>288</v>
      </c>
      <c r="C26" s="200" t="n">
        <f aca="false">SUM('Profit &amp; Loss Account'!C33:E34)</f>
        <v>0</v>
      </c>
      <c r="D26" s="200" t="n">
        <f aca="false">SUM('Profit &amp; Loss Account'!F33:H34)</f>
        <v>0</v>
      </c>
      <c r="E26" s="200" t="n">
        <f aca="false">SUM('Profit &amp; Loss Account'!I33:K34)</f>
        <v>0</v>
      </c>
      <c r="F26" s="200" t="n">
        <f aca="false">SUM('Profit &amp; Loss Account'!L33:N34)</f>
        <v>0</v>
      </c>
      <c r="G26" s="200" t="n">
        <f aca="false">SUM(C26:F26)</f>
        <v>0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322</v>
      </c>
      <c r="C29" s="203" t="n">
        <f aca="false">SUM(C7,C12,C13,C14,C15,C16,C17,C18,C19,C20,C21,C22,C24,C25,C26)</f>
        <v>8460</v>
      </c>
      <c r="D29" s="203" t="n">
        <f aca="false">SUM(D7,D12,D13,D14,D15,D16,D17,D18,D19,D20,D21,D22,D24,D25,D26)</f>
        <v>6980</v>
      </c>
      <c r="E29" s="203" t="n">
        <f aca="false">SUM(E7,E12,E13,E14,E15,E16,E17,E18,E19,E20,E21,E22,E24,E25,E26)</f>
        <v>4640</v>
      </c>
      <c r="F29" s="203" t="n">
        <f aca="false">SUM(F7,F12,F13,F14,F15,F16,F17,F18,F19,F20,F21,F22,F24,F25,F26)</f>
        <v>3926.66666666667</v>
      </c>
      <c r="G29" s="203" t="n">
        <f aca="false">SUM(G7,G12,G13,G14,G15,G16,G17,G18,G19,G20,G21,G22,G24,G25,G26)</f>
        <v>24006.6666666667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127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306</v>
      </c>
      <c r="C36" s="200" t="n">
        <v>0</v>
      </c>
      <c r="D36" s="200" t="n">
        <v>0</v>
      </c>
      <c r="E36" s="200" t="n">
        <v>0</v>
      </c>
      <c r="F36" s="200" t="n">
        <v>0</v>
      </c>
      <c r="G36" s="200" t="n">
        <f aca="false">SUM(C36:F36)</f>
        <v>0</v>
      </c>
      <c r="H36" s="195" t="s">
        <v>321</v>
      </c>
      <c r="I36" s="195"/>
    </row>
    <row r="37" customFormat="false" ht="13.5" hidden="false" customHeight="true" outlineLevel="0" collapsed="false">
      <c r="A37" s="195"/>
      <c r="B37" s="195" t="s">
        <v>319</v>
      </c>
      <c r="C37" s="200" t="n">
        <v>0</v>
      </c>
      <c r="D37" s="200" t="n">
        <v>0</v>
      </c>
      <c r="E37" s="200" t="n">
        <v>0</v>
      </c>
      <c r="F37" s="200" t="n">
        <v>0</v>
      </c>
      <c r="G37" s="200" t="n">
        <f aca="false">SUM(C37:F37)</f>
        <v>0</v>
      </c>
      <c r="H37" s="195" t="s">
        <v>321</v>
      </c>
      <c r="I37" s="195"/>
    </row>
    <row r="38" customFormat="false" ht="12.75" hidden="false" customHeight="false" outlineLevel="0" collapsed="false">
      <c r="A38" s="195"/>
      <c r="B38" s="195" t="s">
        <v>308</v>
      </c>
      <c r="C38" s="200" t="n">
        <v>0</v>
      </c>
      <c r="D38" s="200" t="n">
        <v>0</v>
      </c>
      <c r="E38" s="200" t="n">
        <v>0</v>
      </c>
      <c r="F38" s="200" t="n">
        <v>0</v>
      </c>
      <c r="G38" s="200" t="n">
        <f aca="false">SUM(C38:F38)</f>
        <v>0</v>
      </c>
      <c r="H38" s="195" t="s">
        <v>321</v>
      </c>
      <c r="I38" s="195"/>
    </row>
    <row r="39" customFormat="false" ht="13.5" hidden="false" customHeight="true" outlineLevel="0" collapsed="false">
      <c r="A39" s="195"/>
      <c r="B39" s="195" t="s">
        <v>323</v>
      </c>
      <c r="C39" s="200" t="n">
        <v>0</v>
      </c>
      <c r="D39" s="200" t="n">
        <v>0</v>
      </c>
      <c r="E39" s="200" t="n">
        <v>0</v>
      </c>
      <c r="F39" s="200" t="n">
        <v>0</v>
      </c>
      <c r="G39" s="200" t="n">
        <f aca="false">SUM(C39:F39)</f>
        <v>0</v>
      </c>
      <c r="H39" s="195" t="s">
        <v>321</v>
      </c>
      <c r="I39" s="195"/>
    </row>
    <row r="40" customFormat="false" ht="12.75" hidden="false" customHeight="false" outlineLevel="0" collapsed="false">
      <c r="A40" s="195"/>
      <c r="B40" s="195" t="s">
        <v>309</v>
      </c>
      <c r="C40" s="200" t="n">
        <v>0</v>
      </c>
      <c r="D40" s="200" t="n">
        <v>0</v>
      </c>
      <c r="E40" s="200" t="n">
        <v>0</v>
      </c>
      <c r="F40" s="200" t="n">
        <v>0</v>
      </c>
      <c r="G40" s="200" t="n">
        <f aca="false">SUM(C40:F40)</f>
        <v>0</v>
      </c>
      <c r="H40" s="195" t="s">
        <v>321</v>
      </c>
      <c r="I40" s="195"/>
    </row>
    <row r="41" customFormat="false" ht="12.75" hidden="false" customHeight="false" outlineLevel="0" collapsed="false">
      <c r="A41" s="195"/>
      <c r="B41" s="195" t="s">
        <v>310</v>
      </c>
      <c r="C41" s="200" t="n">
        <v>0</v>
      </c>
      <c r="D41" s="200" t="n">
        <v>0</v>
      </c>
      <c r="E41" s="200" t="n">
        <v>0</v>
      </c>
      <c r="F41" s="200" t="n">
        <v>0</v>
      </c>
      <c r="G41" s="200" t="n">
        <f aca="false">SUM(C41:F41)</f>
        <v>0</v>
      </c>
      <c r="H41" s="195" t="s">
        <v>321</v>
      </c>
      <c r="I41" s="195"/>
    </row>
    <row r="42" customFormat="false" ht="12.75" hidden="false" customHeight="false" outlineLevel="0" collapsed="false">
      <c r="A42" s="195"/>
      <c r="B42" s="195" t="s">
        <v>311</v>
      </c>
      <c r="C42" s="200" t="n">
        <v>0</v>
      </c>
      <c r="D42" s="200" t="n">
        <v>0</v>
      </c>
      <c r="E42" s="200" t="n">
        <v>0</v>
      </c>
      <c r="F42" s="200" t="n">
        <v>0</v>
      </c>
      <c r="G42" s="200" t="n">
        <f aca="false">SUM(C42:F42)</f>
        <v>0</v>
      </c>
      <c r="H42" s="195" t="s">
        <v>321</v>
      </c>
      <c r="I42" s="195"/>
    </row>
    <row r="43" customFormat="false" ht="12.75" hidden="false" customHeight="false" outlineLevel="0" collapsed="false">
      <c r="A43" s="195"/>
      <c r="B43" s="195" t="s">
        <v>314</v>
      </c>
      <c r="C43" s="200" t="n">
        <v>0</v>
      </c>
      <c r="D43" s="200" t="n">
        <v>0</v>
      </c>
      <c r="E43" s="200" t="n">
        <v>0</v>
      </c>
      <c r="F43" s="200" t="n">
        <v>0</v>
      </c>
      <c r="G43" s="200" t="n">
        <f aca="false">SUM(C43:F43)</f>
        <v>0</v>
      </c>
      <c r="H43" s="195" t="s">
        <v>321</v>
      </c>
      <c r="I43" s="195"/>
    </row>
    <row r="44" customFormat="false" ht="12.75" hidden="false" customHeight="false" outlineLevel="0" collapsed="false">
      <c r="A44" s="195"/>
      <c r="B44" s="195" t="s">
        <v>320</v>
      </c>
      <c r="C44" s="200" t="n">
        <v>0</v>
      </c>
      <c r="D44" s="200" t="n">
        <v>0</v>
      </c>
      <c r="E44" s="200" t="n">
        <v>0</v>
      </c>
      <c r="F44" s="200" t="n">
        <v>0</v>
      </c>
      <c r="G44" s="200" t="n">
        <f aca="false">SUM(C44:F44)</f>
        <v>0</v>
      </c>
      <c r="H44" s="195" t="s">
        <v>321</v>
      </c>
      <c r="I44" s="195"/>
    </row>
    <row r="45" customFormat="false" ht="12.75" hidden="false" customHeight="false" outlineLevel="0" collapsed="false">
      <c r="A45" s="195"/>
      <c r="B45" s="195" t="s">
        <v>317</v>
      </c>
      <c r="C45" s="200" t="n">
        <v>0</v>
      </c>
      <c r="D45" s="200" t="n">
        <v>0</v>
      </c>
      <c r="E45" s="200" t="n">
        <v>0</v>
      </c>
      <c r="F45" s="200" t="n">
        <v>0</v>
      </c>
      <c r="G45" s="200" t="n">
        <f aca="false">SUM(C45:F45)</f>
        <v>0</v>
      </c>
      <c r="H45" s="195" t="s">
        <v>321</v>
      </c>
      <c r="I45" s="195"/>
    </row>
    <row r="46" customFormat="false" ht="12.75" hidden="false" customHeight="false" outlineLevel="0" collapsed="false">
      <c r="A46" s="195"/>
      <c r="B46" s="195" t="s">
        <v>324</v>
      </c>
      <c r="C46" s="200" t="n">
        <v>0</v>
      </c>
      <c r="D46" s="200" t="n">
        <v>0</v>
      </c>
      <c r="E46" s="200" t="n">
        <v>0</v>
      </c>
      <c r="F46" s="200" t="n">
        <v>0</v>
      </c>
      <c r="G46" s="200" t="n">
        <f aca="false">SUM(C46:F46)</f>
        <v>0</v>
      </c>
      <c r="H46" s="195" t="s">
        <v>321</v>
      </c>
      <c r="I46" s="195"/>
    </row>
    <row r="47" customFormat="false" ht="12.75" hidden="false" customHeight="false" outlineLevel="0" collapsed="false">
      <c r="A47" s="195"/>
      <c r="B47" s="195" t="s">
        <v>325</v>
      </c>
      <c r="C47" s="200" t="n">
        <v>0</v>
      </c>
      <c r="D47" s="200" t="n">
        <v>0</v>
      </c>
      <c r="E47" s="200" t="n">
        <v>0</v>
      </c>
      <c r="F47" s="200" t="n">
        <v>0</v>
      </c>
      <c r="G47" s="200" t="n">
        <f aca="false">SUM(C47:F47)</f>
        <v>0</v>
      </c>
      <c r="H47" s="195" t="s">
        <v>321</v>
      </c>
      <c r="I47" s="195"/>
    </row>
    <row r="48" customFormat="false" ht="12.75" hidden="false" customHeight="false" outlineLevel="0" collapsed="false">
      <c r="A48" s="195"/>
      <c r="B48" s="195" t="s">
        <v>315</v>
      </c>
      <c r="C48" s="200" t="n">
        <v>0</v>
      </c>
      <c r="D48" s="200" t="n">
        <v>0</v>
      </c>
      <c r="E48" s="200" t="n">
        <v>0</v>
      </c>
      <c r="F48" s="200" t="n">
        <v>0</v>
      </c>
      <c r="G48" s="200" t="n">
        <f aca="false">SUM(C48:F48)</f>
        <v>0</v>
      </c>
      <c r="H48" s="195" t="s">
        <v>321</v>
      </c>
      <c r="I48" s="195"/>
    </row>
    <row r="49" customFormat="false" ht="12.75" hidden="false" customHeight="false" outlineLevel="0" collapsed="false">
      <c r="A49" s="195"/>
      <c r="B49" s="195" t="s">
        <v>288</v>
      </c>
      <c r="C49" s="200" t="n">
        <v>0</v>
      </c>
      <c r="D49" s="200" t="n">
        <v>0</v>
      </c>
      <c r="E49" s="200" t="n">
        <v>0</v>
      </c>
      <c r="F49" s="200" t="n">
        <v>0</v>
      </c>
      <c r="G49" s="200" t="n">
        <f aca="false">SUM(C49:F49)</f>
        <v>0</v>
      </c>
      <c r="H49" s="195" t="s">
        <v>321</v>
      </c>
      <c r="I49" s="195"/>
    </row>
    <row r="50" customFormat="false" ht="12.75" hidden="false" customHeight="false" outlineLevel="0" collapsed="false">
      <c r="A50" s="195"/>
      <c r="B50" s="195" t="s">
        <v>318</v>
      </c>
      <c r="C50" s="200" t="n">
        <v>0</v>
      </c>
      <c r="D50" s="200" t="n">
        <v>0</v>
      </c>
      <c r="E50" s="200" t="n">
        <v>0</v>
      </c>
      <c r="F50" s="200" t="n">
        <v>0</v>
      </c>
      <c r="G50" s="200" t="n">
        <f aca="false">SUM(C50:F50)</f>
        <v>0</v>
      </c>
      <c r="H50" s="195" t="s">
        <v>321</v>
      </c>
      <c r="I50" s="195"/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326</v>
      </c>
      <c r="C2" s="216" t="str">
        <f aca="false">Admin!L2</f>
        <v>2026-27</v>
      </c>
      <c r="D2" s="217" t="s">
        <v>327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328</v>
      </c>
      <c r="C5" s="222"/>
      <c r="D5" s="222"/>
      <c r="E5" s="223" t="n">
        <f aca="false">'SE Full'!O210</f>
        <v>36493.3333333333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329</v>
      </c>
      <c r="C6" s="220" t="str">
        <f aca="false">C2</f>
        <v>2026-27</v>
      </c>
      <c r="D6" s="225"/>
      <c r="E6" s="218" t="n">
        <f aca="false">IF((E5&gt;0),Admin!N$4,0)</f>
        <v>12570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330</v>
      </c>
      <c r="C7" s="222"/>
      <c r="D7" s="222"/>
      <c r="E7" s="223" t="n">
        <f aca="false">IF((E5&gt;E6),(E5-E6),0)</f>
        <v>23923.3333333333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331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4784.66666666667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332</v>
      </c>
      <c r="C9" s="220" t="n">
        <f aca="false">Admin!N$12</f>
        <v>37701</v>
      </c>
      <c r="D9" s="226" t="n">
        <f aca="false">Admin!N$7</f>
        <v>0.4</v>
      </c>
      <c r="E9" s="213" t="n">
        <f aca="false">IF((E7&gt;C9),((E7-C9)*D9),0)</f>
        <v>0</v>
      </c>
      <c r="F9" s="214"/>
      <c r="G9" s="218"/>
      <c r="M9" s="224"/>
    </row>
    <row r="10" customFormat="false" ht="12.75" hidden="false" customHeight="false" outlineLevel="0" collapsed="false">
      <c r="A10" s="211"/>
      <c r="B10" s="228" t="s">
        <v>333</v>
      </c>
      <c r="C10" s="229"/>
      <c r="D10" s="230"/>
      <c r="E10" s="231" t="n">
        <f aca="false">SUM(E8:E9)</f>
        <v>4784.66666666667</v>
      </c>
      <c r="F10" s="214"/>
      <c r="G10" s="218"/>
      <c r="M10" s="224"/>
    </row>
    <row r="11" customFormat="false" ht="12.75" hidden="false" customHeight="false" outlineLevel="0" collapsed="false">
      <c r="A11" s="211"/>
      <c r="B11" s="220" t="s">
        <v>334</v>
      </c>
      <c r="C11" s="220"/>
      <c r="D11" s="232"/>
      <c r="E11" s="213" t="n">
        <f aca="false">-[1]Mar!$X$1</f>
        <v>-0</v>
      </c>
      <c r="F11" s="233"/>
      <c r="G11" s="234"/>
      <c r="M11" s="224"/>
    </row>
    <row r="12" customFormat="false" ht="12.75" hidden="false" customHeight="false" outlineLevel="0" collapsed="false">
      <c r="A12" s="211"/>
      <c r="B12" s="220"/>
      <c r="C12" s="220"/>
      <c r="D12" s="232"/>
      <c r="E12" s="213"/>
      <c r="F12" s="233"/>
      <c r="G12" s="234"/>
      <c r="M12" s="224"/>
    </row>
    <row r="13" customFormat="false" ht="12.75" hidden="false" customHeight="false" outlineLevel="0" collapsed="false">
      <c r="A13" s="211"/>
      <c r="B13" s="235" t="s">
        <v>335</v>
      </c>
      <c r="C13" s="236" t="n">
        <f aca="false">Admin!B21</f>
        <v>46783</v>
      </c>
      <c r="D13" s="236"/>
      <c r="E13" s="213"/>
      <c r="F13" s="233"/>
      <c r="G13" s="234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4"/>
      <c r="M14" s="224"/>
    </row>
    <row r="15" customFormat="false" ht="12.75" hidden="false" customHeight="false" outlineLevel="0" collapsed="false">
      <c r="A15" s="211"/>
      <c r="B15" s="239" t="s">
        <v>336</v>
      </c>
      <c r="C15" s="239"/>
      <c r="D15" s="226" t="n">
        <f aca="false">Admin!L20</f>
        <v>0.06</v>
      </c>
      <c r="E15" s="240" t="n">
        <f aca="false">IF(E5&gt;Admin!N20,IF(E5&lt;Admin!N$23,(E5-Admin!N20)*D15,(Admin!N$23-Admin!N20)*D15),0)</f>
        <v>1435.4</v>
      </c>
      <c r="F15" s="214"/>
      <c r="G15" s="234"/>
      <c r="M15" s="224"/>
    </row>
    <row r="16" customFormat="false" ht="12.75" hidden="false" customHeight="false" outlineLevel="0" collapsed="false">
      <c r="A16" s="211"/>
      <c r="B16" s="239" t="s">
        <v>337</v>
      </c>
      <c r="C16" s="239"/>
      <c r="D16" s="226" t="n">
        <f aca="false">Admin!L23</f>
        <v>0.02</v>
      </c>
      <c r="E16" s="240" t="n">
        <f aca="false">IF((E5&gt;Admin!N$23),((E5-Admin!N$23)*D16),0)</f>
        <v>0</v>
      </c>
      <c r="F16" s="214"/>
      <c r="G16" s="234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4"/>
      <c r="M17" s="224"/>
    </row>
    <row r="18" customFormat="false" ht="12.75" hidden="false" customHeight="false" outlineLevel="0" collapsed="false">
      <c r="A18" s="211"/>
      <c r="B18" s="241" t="s">
        <v>338</v>
      </c>
      <c r="C18" s="241"/>
      <c r="D18" s="237"/>
      <c r="E18" s="231" t="n">
        <f aca="false">SUM(E10:E17)</f>
        <v>6220.06666666667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339</v>
      </c>
      <c r="C21" s="243"/>
      <c r="D21" s="244" t="s">
        <v>340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4"/>
    </row>
    <row r="23" s="249" customFormat="true" ht="12.75" hidden="false" customHeight="true" outlineLevel="0" collapsed="false">
      <c r="A23" s="245"/>
      <c r="B23" s="220"/>
      <c r="C23" s="220"/>
      <c r="D23" s="246" t="s">
        <v>341</v>
      </c>
      <c r="E23" s="247" t="s">
        <v>342</v>
      </c>
      <c r="F23" s="248"/>
      <c r="G23" s="218"/>
    </row>
    <row r="24" s="249" customFormat="true" ht="12.75" hidden="false" customHeight="false" outlineLevel="0" collapsed="false">
      <c r="A24" s="245"/>
      <c r="B24" s="220"/>
      <c r="C24" s="220"/>
      <c r="D24" s="246"/>
      <c r="E24" s="246"/>
      <c r="F24" s="248"/>
      <c r="G24" s="218"/>
    </row>
    <row r="25" customFormat="false" ht="12.75" hidden="false" customHeight="false" outlineLevel="0" collapsed="false">
      <c r="A25" s="211"/>
      <c r="B25" s="220" t="s">
        <v>343</v>
      </c>
      <c r="C25" s="250" t="str">
        <f aca="false">Admin!B24</f>
        <v>2027-28</v>
      </c>
      <c r="D25" s="251" t="s">
        <v>344</v>
      </c>
      <c r="E25" s="240" t="n">
        <f aca="false">E18</f>
        <v>6220.06666666667</v>
      </c>
      <c r="F25" s="214"/>
      <c r="G25" s="218"/>
    </row>
    <row r="26" customFormat="false" ht="12.75" hidden="false" customHeight="false" outlineLevel="0" collapsed="false">
      <c r="A26" s="211"/>
      <c r="B26" s="220" t="s">
        <v>345</v>
      </c>
      <c r="C26" s="220"/>
      <c r="D26" s="252" t="n">
        <f aca="false">Admin!B21</f>
        <v>46783</v>
      </c>
      <c r="E26" s="223" t="n">
        <f aca="false">E25/2</f>
        <v>3110.03333333333</v>
      </c>
      <c r="F26" s="214"/>
      <c r="G26" s="218"/>
    </row>
    <row r="27" customFormat="false" ht="12.75" hidden="false" customHeight="false" outlineLevel="0" collapsed="false">
      <c r="A27" s="211"/>
      <c r="B27" s="220" t="s">
        <v>345</v>
      </c>
      <c r="C27" s="220"/>
      <c r="D27" s="252" t="n">
        <f aca="false">Admin!B22</f>
        <v>46965</v>
      </c>
      <c r="E27" s="223" t="n">
        <f aca="false">E25/2</f>
        <v>3110.03333333333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346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347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348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349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350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351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352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s="272" customFormat="true" ht="43.25" hidden="false" customHeight="false" outlineLevel="0" collapsed="false">
      <c r="A2" s="267"/>
      <c r="B2" s="268" t="s">
        <v>353</v>
      </c>
      <c r="C2" s="269" t="s">
        <v>354</v>
      </c>
      <c r="D2" s="269" t="s">
        <v>355</v>
      </c>
      <c r="E2" s="269" t="s">
        <v>356</v>
      </c>
      <c r="F2" s="269" t="s">
        <v>357</v>
      </c>
      <c r="G2" s="269" t="s">
        <v>358</v>
      </c>
      <c r="H2" s="269" t="s">
        <v>359</v>
      </c>
      <c r="I2" s="269" t="s">
        <v>360</v>
      </c>
      <c r="J2" s="270"/>
      <c r="K2" s="268" t="s">
        <v>361</v>
      </c>
      <c r="L2" s="271"/>
    </row>
    <row r="3" s="272" customFormat="true" ht="15" hidden="false" customHeight="true" outlineLevel="0" collapsed="false">
      <c r="A3" s="267"/>
      <c r="B3" s="273" t="s">
        <v>362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</row>
    <row r="4" customFormat="false" ht="12" hidden="false" customHeight="true" outlineLevel="0" collapsed="false">
      <c r="A4" s="276"/>
      <c r="B4" s="277" t="n">
        <f aca="false">Admin!B5</f>
        <v>46142</v>
      </c>
      <c r="C4" s="263" t="n">
        <f aca="false">[5]Apr!$M$1</f>
        <v>0</v>
      </c>
      <c r="D4" s="263" t="n">
        <f aca="false">[5]Apr!$N$1</f>
        <v>0</v>
      </c>
      <c r="E4" s="263" t="n">
        <f aca="false">[5]Apr!$O$1</f>
        <v>0</v>
      </c>
      <c r="F4" s="263" t="n">
        <f aca="false">[5]Apr!$P$1+[5]Apr!$Q$1</f>
        <v>0</v>
      </c>
      <c r="G4" s="263" t="n">
        <f aca="false">C4-SUM(D4:F4)</f>
        <v>0</v>
      </c>
      <c r="H4" s="263" t="n">
        <f aca="false">[5]Apr!$T$1</f>
        <v>0</v>
      </c>
      <c r="I4" s="263" t="n">
        <f aca="false">[5]Apr!$G$1</f>
        <v>0</v>
      </c>
      <c r="J4" s="158"/>
      <c r="K4" s="278" t="s">
        <v>363</v>
      </c>
      <c r="L4" s="164"/>
    </row>
    <row r="5" customFormat="false" ht="12" hidden="false" customHeight="true" outlineLevel="0" collapsed="false">
      <c r="A5" s="276"/>
      <c r="B5" s="277" t="n">
        <f aca="false">Admin!B6</f>
        <v>46173</v>
      </c>
      <c r="C5" s="263" t="n">
        <f aca="false">[5]May!$M$1</f>
        <v>0</v>
      </c>
      <c r="D5" s="263" t="n">
        <f aca="false">[5]May!$N$1</f>
        <v>0</v>
      </c>
      <c r="E5" s="263" t="n">
        <f aca="false">[5]May!$O$1</f>
        <v>0</v>
      </c>
      <c r="F5" s="263" t="n">
        <f aca="false">[5]May!$P$1+[5]May!$Q$1</f>
        <v>0</v>
      </c>
      <c r="G5" s="263" t="n">
        <f aca="false">C5-SUM(D5:F5)</f>
        <v>0</v>
      </c>
      <c r="H5" s="263" t="n">
        <f aca="false">[5]May!$T$1</f>
        <v>0</v>
      </c>
      <c r="I5" s="263" t="n">
        <f aca="false">[5]May!$G$1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46203</v>
      </c>
      <c r="C6" s="263" t="n">
        <f aca="false">[5]Jun!$M$1</f>
        <v>0</v>
      </c>
      <c r="D6" s="263" t="n">
        <f aca="false">[5]Jun!$N$1</f>
        <v>0</v>
      </c>
      <c r="E6" s="263" t="n">
        <f aca="false">[5]Jun!$O$1</f>
        <v>0</v>
      </c>
      <c r="F6" s="263" t="n">
        <f aca="false">[5]Jun!$P$1+[5]Jun!$Q$1</f>
        <v>0</v>
      </c>
      <c r="G6" s="263" t="n">
        <f aca="false">C6-SUM(D6:F6)</f>
        <v>0</v>
      </c>
      <c r="H6" s="263" t="n">
        <f aca="false">[5]Jun!$T$1</f>
        <v>0</v>
      </c>
      <c r="I6" s="263" t="n">
        <f aca="false">[5]Jun!$G$1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46234</v>
      </c>
      <c r="C7" s="263" t="n">
        <f aca="false">[5]Jul!$M$1</f>
        <v>0</v>
      </c>
      <c r="D7" s="263" t="n">
        <f aca="false">[5]Jul!$N$1</f>
        <v>0</v>
      </c>
      <c r="E7" s="263" t="n">
        <f aca="false">[5]Jul!$O$1</f>
        <v>0</v>
      </c>
      <c r="F7" s="263" t="n">
        <f aca="false">[5]Jul!$P$1+[5]Jul!$Q$1</f>
        <v>0</v>
      </c>
      <c r="G7" s="263" t="n">
        <f aca="false">C7-SUM(D7:F7)</f>
        <v>0</v>
      </c>
      <c r="H7" s="263" t="n">
        <f aca="false">[5]Jul!$T$1</f>
        <v>0</v>
      </c>
      <c r="I7" s="263" t="n">
        <f aca="false">[5]Jul!$G$1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46265</v>
      </c>
      <c r="C8" s="263" t="n">
        <f aca="false">[5]Aug!$M$1</f>
        <v>0</v>
      </c>
      <c r="D8" s="263" t="n">
        <f aca="false">[5]Aug!$N$1</f>
        <v>0</v>
      </c>
      <c r="E8" s="263" t="n">
        <f aca="false">[5]Aug!$O$1</f>
        <v>0</v>
      </c>
      <c r="F8" s="263" t="n">
        <f aca="false">[5]Aug!$P$1+[5]Aug!$Q$1</f>
        <v>0</v>
      </c>
      <c r="G8" s="263" t="n">
        <f aca="false">C8-SUM(D8:F8)</f>
        <v>0</v>
      </c>
      <c r="H8" s="263" t="n">
        <f aca="false">[5]Aug!$T$1</f>
        <v>0</v>
      </c>
      <c r="I8" s="263" t="n">
        <f aca="false">[5]Aug!$G$1</f>
        <v>0</v>
      </c>
      <c r="J8" s="158"/>
      <c r="K8" s="278" t="s">
        <v>364</v>
      </c>
      <c r="L8" s="164"/>
    </row>
    <row r="9" customFormat="false" ht="12" hidden="false" customHeight="true" outlineLevel="0" collapsed="false">
      <c r="A9" s="276"/>
      <c r="B9" s="277" t="n">
        <f aca="false">Admin!B10</f>
        <v>46295</v>
      </c>
      <c r="C9" s="263" t="n">
        <f aca="false">[5]Sep!$M$1</f>
        <v>0</v>
      </c>
      <c r="D9" s="263" t="n">
        <f aca="false">[5]Sep!$N$1</f>
        <v>0</v>
      </c>
      <c r="E9" s="263" t="n">
        <f aca="false">[5]Sep!$O$1</f>
        <v>0</v>
      </c>
      <c r="F9" s="263" t="n">
        <f aca="false">[5]Sep!$P$1+[5]Sep!$Q$1</f>
        <v>0</v>
      </c>
      <c r="G9" s="263" t="n">
        <f aca="false">C9-SUM(D9:F9)</f>
        <v>0</v>
      </c>
      <c r="H9" s="263" t="n">
        <f aca="false">[5]Sep!$T$1</f>
        <v>0</v>
      </c>
      <c r="I9" s="263" t="n">
        <f aca="false">[5]Sep!$G$1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46326</v>
      </c>
      <c r="C10" s="263" t="n">
        <f aca="false">[5]Oct!$M$1</f>
        <v>0</v>
      </c>
      <c r="D10" s="263" t="n">
        <f aca="false">[5]Oct!$N$1</f>
        <v>0</v>
      </c>
      <c r="E10" s="263" t="n">
        <f aca="false">[5]Oct!$O$1</f>
        <v>0</v>
      </c>
      <c r="F10" s="263" t="n">
        <f aca="false">[5]Oct!$P$1+[5]Oct!$Q$1</f>
        <v>0</v>
      </c>
      <c r="G10" s="263" t="n">
        <f aca="false">C10-SUM(D10:F10)</f>
        <v>0</v>
      </c>
      <c r="H10" s="263" t="n">
        <f aca="false">[5]Oct!$T$1</f>
        <v>0</v>
      </c>
      <c r="I10" s="263" t="n">
        <f aca="false">[5]Oct!$G$1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46356</v>
      </c>
      <c r="C11" s="263" t="n">
        <f aca="false">[5]Nov!$M$1</f>
        <v>0</v>
      </c>
      <c r="D11" s="263" t="n">
        <f aca="false">[5]Nov!$N$1</f>
        <v>0</v>
      </c>
      <c r="E11" s="263" t="n">
        <f aca="false">[5]Nov!$O$1</f>
        <v>0</v>
      </c>
      <c r="F11" s="263" t="n">
        <f aca="false">[5]Nov!$P$1+[5]Nov!$Q$1</f>
        <v>0</v>
      </c>
      <c r="G11" s="263" t="n">
        <f aca="false">C11-SUM(D11:F11)</f>
        <v>0</v>
      </c>
      <c r="H11" s="263" t="n">
        <f aca="false">[5]Nov!$T$1</f>
        <v>0</v>
      </c>
      <c r="I11" s="263" t="n">
        <f aca="false">[5]Nov!$G$1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46387</v>
      </c>
      <c r="C12" s="263" t="n">
        <f aca="false">[5]Dec!$M$1</f>
        <v>0</v>
      </c>
      <c r="D12" s="263" t="n">
        <f aca="false">[5]Dec!$N$1</f>
        <v>0</v>
      </c>
      <c r="E12" s="263" t="n">
        <f aca="false">[5]Dec!$O$1</f>
        <v>0</v>
      </c>
      <c r="F12" s="263" t="n">
        <f aca="false">[5]Dec!$P$1+[5]Dec!$Q$1</f>
        <v>0</v>
      </c>
      <c r="G12" s="263" t="n">
        <f aca="false">C12-SUM(D12:F12)</f>
        <v>0</v>
      </c>
      <c r="H12" s="263" t="n">
        <f aca="false">[5]Dec!$T$1</f>
        <v>0</v>
      </c>
      <c r="I12" s="263" t="n">
        <f aca="false">[5]Dec!$G$1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46418</v>
      </c>
      <c r="C13" s="263" t="n">
        <f aca="false">[5]Jan!$M$1</f>
        <v>0</v>
      </c>
      <c r="D13" s="263" t="n">
        <f aca="false">[5]Jan!$N$1</f>
        <v>0</v>
      </c>
      <c r="E13" s="263" t="n">
        <f aca="false">[5]Jan!$O$1</f>
        <v>0</v>
      </c>
      <c r="F13" s="263" t="n">
        <f aca="false">[5]Jan!$P$1+[5]Jan!$Q$1</f>
        <v>0</v>
      </c>
      <c r="G13" s="263" t="n">
        <f aca="false">C13-SUM(D13:F13)</f>
        <v>0</v>
      </c>
      <c r="H13" s="263" t="n">
        <f aca="false">[5]Jan!$T$1</f>
        <v>0</v>
      </c>
      <c r="I13" s="263" t="n">
        <f aca="false">[5]Jan!$G$1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46446</v>
      </c>
      <c r="C14" s="263" t="n">
        <f aca="false">[5]Feb!$M$1</f>
        <v>0</v>
      </c>
      <c r="D14" s="263" t="n">
        <f aca="false">[5]Feb!$N$1</f>
        <v>0</v>
      </c>
      <c r="E14" s="263" t="n">
        <f aca="false">[5]Feb!$O$1</f>
        <v>0</v>
      </c>
      <c r="F14" s="263" t="n">
        <f aca="false">[5]Feb!$P$1+[5]Feb!$Q$1</f>
        <v>0</v>
      </c>
      <c r="G14" s="263" t="n">
        <f aca="false">C14-SUM(D14:F14)</f>
        <v>0</v>
      </c>
      <c r="H14" s="263" t="n">
        <f aca="false">[5]Feb!$T$1</f>
        <v>0</v>
      </c>
      <c r="I14" s="263" t="n">
        <f aca="false">[5]Feb!$G$1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46477</v>
      </c>
      <c r="C15" s="263" t="n">
        <f aca="false">[5]Mar!$M$1</f>
        <v>0</v>
      </c>
      <c r="D15" s="263" t="n">
        <f aca="false">[5]Mar!$N$1</f>
        <v>0</v>
      </c>
      <c r="E15" s="263" t="n">
        <f aca="false">[5]Mar!$O$1</f>
        <v>0</v>
      </c>
      <c r="F15" s="263" t="n">
        <f aca="false">[5]Mar!$P$1+[5]Mar!$Q$1</f>
        <v>0</v>
      </c>
      <c r="G15" s="263" t="n">
        <f aca="false">C15-SUM(D15:F15)</f>
        <v>0</v>
      </c>
      <c r="H15" s="263" t="n">
        <f aca="false">[5]Mar!$T$1</f>
        <v>0</v>
      </c>
      <c r="I15" s="263" t="n">
        <f aca="false">[5]Mar!$G$1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365</v>
      </c>
      <c r="I1" s="288"/>
      <c r="J1" s="288"/>
      <c r="K1" s="288"/>
      <c r="L1" s="288"/>
      <c r="M1" s="287"/>
      <c r="N1" s="288" t="s">
        <v>365</v>
      </c>
      <c r="O1" s="288"/>
      <c r="P1" s="288"/>
      <c r="Q1" s="288"/>
      <c r="R1" s="288"/>
      <c r="S1" s="287"/>
      <c r="T1" s="288" t="s">
        <v>365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s="302" customFormat="true" ht="32.8" hidden="false" customHeight="true" outlineLevel="0" collapsed="false">
      <c r="A2" s="292"/>
      <c r="B2" s="293" t="s">
        <v>366</v>
      </c>
      <c r="C2" s="294"/>
      <c r="D2" s="295" t="s">
        <v>367</v>
      </c>
      <c r="E2" s="296"/>
      <c r="F2" s="295" t="s">
        <v>368</v>
      </c>
      <c r="G2" s="296"/>
      <c r="H2" s="297" t="s">
        <v>369</v>
      </c>
      <c r="I2" s="296"/>
      <c r="J2" s="295" t="s">
        <v>370</v>
      </c>
      <c r="K2" s="296"/>
      <c r="L2" s="295" t="s">
        <v>371</v>
      </c>
      <c r="M2" s="296"/>
      <c r="N2" s="297" t="s">
        <v>372</v>
      </c>
      <c r="O2" s="296"/>
      <c r="P2" s="295" t="s">
        <v>373</v>
      </c>
      <c r="Q2" s="296"/>
      <c r="R2" s="295" t="s">
        <v>371</v>
      </c>
      <c r="S2" s="296"/>
      <c r="T2" s="297" t="s">
        <v>374</v>
      </c>
      <c r="U2" s="296"/>
      <c r="V2" s="295" t="s">
        <v>375</v>
      </c>
      <c r="W2" s="296"/>
      <c r="X2" s="298" t="s">
        <v>371</v>
      </c>
      <c r="Y2" s="299"/>
      <c r="Z2" s="295" t="s">
        <v>376</v>
      </c>
      <c r="AA2" s="296"/>
      <c r="AB2" s="295" t="s">
        <v>377</v>
      </c>
      <c r="AC2" s="300"/>
      <c r="AD2" s="301" t="s">
        <v>378</v>
      </c>
      <c r="AE2" s="301"/>
      <c r="AF2" s="301"/>
      <c r="AG2" s="301"/>
      <c r="AH2" s="300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379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380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46118</v>
      </c>
      <c r="C6" s="316"/>
      <c r="D6" s="191" t="n">
        <f aca="false">AB6</f>
        <v>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/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46142</v>
      </c>
      <c r="C8" s="316"/>
      <c r="D8" s="191" t="n">
        <f aca="false">D6+F8-L8-R8-X8+Z6</f>
        <v>0</v>
      </c>
      <c r="E8" s="177"/>
      <c r="F8" s="177" t="n">
        <f aca="false">IF((H$4+N$4+T$4)=0,0,[2]Apr!$P$1)</f>
        <v>0</v>
      </c>
      <c r="G8" s="177"/>
      <c r="H8" s="317" t="n">
        <f aca="false">H4</f>
        <v>0</v>
      </c>
      <c r="I8" s="177"/>
      <c r="J8" s="177" t="n">
        <f aca="false">[1]Apr!$P$1</f>
        <v>4166.66666666667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[1]Apr!$Q$1</f>
        <v>1000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[1]Apr!$R$1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46173</v>
      </c>
      <c r="C10" s="316"/>
      <c r="D10" s="191" t="n">
        <f aca="false">D8+F10-L10-R10-X10+Z8</f>
        <v>0</v>
      </c>
      <c r="E10" s="177"/>
      <c r="F10" s="177" t="n">
        <f aca="false">IF((H$4+N$4+T$4)=0,0,[2]May!$P$1)</f>
        <v>0</v>
      </c>
      <c r="G10" s="177"/>
      <c r="H10" s="317" t="n">
        <f aca="false">H8</f>
        <v>0</v>
      </c>
      <c r="I10" s="177"/>
      <c r="J10" s="177" t="n">
        <f aca="false">[1]May!$P$1</f>
        <v>4166.66666666667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[1]May!$Q$1</f>
        <v>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[1]May!$R$1</f>
        <v>2000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381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46203</v>
      </c>
      <c r="C12" s="316"/>
      <c r="D12" s="191" t="n">
        <f aca="false">D10+F12-L12-R12-X12+Z10</f>
        <v>0</v>
      </c>
      <c r="E12" s="177"/>
      <c r="F12" s="177" t="n">
        <f aca="false">IF((H$4+N$4+T$4)=0,0,[2]Jun!$P$1)</f>
        <v>0</v>
      </c>
      <c r="G12" s="177"/>
      <c r="H12" s="317" t="n">
        <f aca="false">H10</f>
        <v>0</v>
      </c>
      <c r="I12" s="177"/>
      <c r="J12" s="177" t="n">
        <f aca="false">[1]Jun!$P$1</f>
        <v>4166.66666666667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[1]Jun!$Q$1</f>
        <v>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[1]Jun!$R$1</f>
        <v>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46234</v>
      </c>
      <c r="C14" s="316"/>
      <c r="D14" s="191" t="n">
        <f aca="false">D12+F14-L14-R14-X14+Z12</f>
        <v>0</v>
      </c>
      <c r="E14" s="177"/>
      <c r="F14" s="177" t="n">
        <f aca="false">IF((H$4+N$4+T$4)=0,0,[2]Jul!$P$1)</f>
        <v>0</v>
      </c>
      <c r="G14" s="177"/>
      <c r="H14" s="317" t="n">
        <f aca="false">H12</f>
        <v>0</v>
      </c>
      <c r="I14" s="177"/>
      <c r="J14" s="177" t="n">
        <f aca="false">[1]Jul!$P$1</f>
        <v>5833.33333333333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[1]Jul!$Q$1</f>
        <v>1000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[1]Jul!$R$1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382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46265</v>
      </c>
      <c r="C16" s="316"/>
      <c r="D16" s="191" t="n">
        <f aca="false">D14+F16-L16-R16-X16+Z14</f>
        <v>0</v>
      </c>
      <c r="E16" s="177"/>
      <c r="F16" s="177" t="n">
        <f aca="false">IF((H$4+N$4+T$4)=0,0,[2]Aug!$P$1)</f>
        <v>0</v>
      </c>
      <c r="G16" s="177"/>
      <c r="H16" s="317" t="n">
        <f aca="false">H14</f>
        <v>0</v>
      </c>
      <c r="I16" s="177"/>
      <c r="J16" s="177" t="n">
        <f aca="false">[1]Aug!$P$1</f>
        <v>5833.33333333333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[1]Aug!$Q$1</f>
        <v>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[1]Aug!$R$1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46295</v>
      </c>
      <c r="C18" s="316"/>
      <c r="D18" s="191" t="n">
        <f aca="false">D16+F18-L18-R18-X18+Z16</f>
        <v>0</v>
      </c>
      <c r="E18" s="177"/>
      <c r="F18" s="177" t="n">
        <f aca="false">IF((H$4+N$4+T$4)=0,0,[2]Sep!$P$1)</f>
        <v>0</v>
      </c>
      <c r="G18" s="177"/>
      <c r="H18" s="317" t="n">
        <f aca="false">H16</f>
        <v>0</v>
      </c>
      <c r="I18" s="177"/>
      <c r="J18" s="177" t="n">
        <f aca="false">[1]Sep!$P$1</f>
        <v>5833.33333333333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[1]Sep!$Q$1</f>
        <v>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[1]Sep!$R$1</f>
        <v>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383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46326</v>
      </c>
      <c r="C20" s="316"/>
      <c r="D20" s="191" t="n">
        <f aca="false">D18+F20-L20-R20-X20+Z18</f>
        <v>0</v>
      </c>
      <c r="E20" s="177"/>
      <c r="F20" s="177" t="n">
        <f aca="false">IF((H$4+N$4+T$4)=0,0,[2]Oct!$P$1)</f>
        <v>0</v>
      </c>
      <c r="G20" s="177"/>
      <c r="H20" s="317" t="n">
        <f aca="false">H18</f>
        <v>0</v>
      </c>
      <c r="I20" s="177"/>
      <c r="J20" s="177" t="n">
        <f aca="false">[1]Oct!$P$1</f>
        <v>5833.33333333333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[1]Oct!$Q$1</f>
        <v>1000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[1]Oct!$R$1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46356</v>
      </c>
      <c r="C22" s="316"/>
      <c r="D22" s="191" t="n">
        <f aca="false">D20+F22-L22-R22-X22+Z20</f>
        <v>0</v>
      </c>
      <c r="E22" s="177"/>
      <c r="F22" s="177" t="n">
        <f aca="false">IF((H$4+N$4+T$4)=0,0,[2]Nov!$P$1)</f>
        <v>0</v>
      </c>
      <c r="G22" s="177"/>
      <c r="H22" s="317" t="n">
        <f aca="false">H20</f>
        <v>0</v>
      </c>
      <c r="I22" s="177"/>
      <c r="J22" s="177" t="n">
        <f aca="false">[1]Nov!$P$1</f>
        <v>4166.66666666667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[1]Nov!$Q$1</f>
        <v>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[1]Nov!$R$1</f>
        <v>1500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384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46387</v>
      </c>
      <c r="C24" s="316"/>
      <c r="D24" s="191" t="n">
        <f aca="false">D22+F24-L24-R24-X24+Z22</f>
        <v>0</v>
      </c>
      <c r="E24" s="177"/>
      <c r="F24" s="177" t="n">
        <f aca="false">IF((H$4+N$4+T$4)=0,0,[2]Dec!$P$1)</f>
        <v>0</v>
      </c>
      <c r="G24" s="177"/>
      <c r="H24" s="317" t="n">
        <f aca="false">H22</f>
        <v>0</v>
      </c>
      <c r="I24" s="177"/>
      <c r="J24" s="177" t="n">
        <f aca="false">[1]Dec!$P$1</f>
        <v>4166.66666666667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[1]Dec!$Q$1</f>
        <v>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[1]Dec!$R$1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46418</v>
      </c>
      <c r="C26" s="316"/>
      <c r="D26" s="191" t="n">
        <f aca="false">D24+F26-L26-R26-X26+Z24</f>
        <v>0</v>
      </c>
      <c r="E26" s="177"/>
      <c r="F26" s="177" t="n">
        <f aca="false">IF((H$4+N$4+T$4)=0,0,[2]Jan!$P$1)</f>
        <v>0</v>
      </c>
      <c r="G26" s="177"/>
      <c r="H26" s="317" t="n">
        <f aca="false">H24</f>
        <v>0</v>
      </c>
      <c r="I26" s="177"/>
      <c r="J26" s="177" t="n">
        <f aca="false">[1]Jan!$P$1</f>
        <v>2500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[1]Jan!$Q$1</f>
        <v>1000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[1]Jan!$R$1</f>
        <v>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46446</v>
      </c>
      <c r="C28" s="316"/>
      <c r="D28" s="191" t="n">
        <f aca="false">D26+F28-L28-R28-X28+Z26</f>
        <v>0</v>
      </c>
      <c r="E28" s="177"/>
      <c r="F28" s="177" t="n">
        <f aca="false">IF((H$4+N$4+T$4)=0,0,[2]OpeningCreditors!$P$1)</f>
        <v>0</v>
      </c>
      <c r="G28" s="177"/>
      <c r="H28" s="317" t="n">
        <f aca="false">H26</f>
        <v>0</v>
      </c>
      <c r="I28" s="177"/>
      <c r="J28" s="177" t="n">
        <f aca="false">[1]Feb!$P$1</f>
        <v>2500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[1]Feb!$Q$1</f>
        <v>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[1]Feb!$R$1</f>
        <v>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0</v>
      </c>
      <c r="AC28" s="164"/>
      <c r="AD28" s="309" t="s">
        <v>385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46482</v>
      </c>
      <c r="C30" s="316"/>
      <c r="D30" s="191" t="n">
        <f aca="false">D28+F30-L30-R30-X30+Z28</f>
        <v>0</v>
      </c>
      <c r="E30" s="177"/>
      <c r="F30" s="177" t="n">
        <f aca="false">IF((H$4+N$4+T$4)=0,0,[2]Mar!$P$1)</f>
        <v>0</v>
      </c>
      <c r="G30" s="177"/>
      <c r="H30" s="317" t="n">
        <f aca="false">H28</f>
        <v>0</v>
      </c>
      <c r="I30" s="177"/>
      <c r="J30" s="177" t="n">
        <f aca="false">[1]Mar!$P$1</f>
        <v>1250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[1]Mar!$Q$1</f>
        <v>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[1]Mar!$R$1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0</v>
      </c>
      <c r="AA30" s="177"/>
      <c r="AB30" s="170" t="n">
        <f aca="false">AB28+F30-L30-R30-X30</f>
        <v>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386</v>
      </c>
      <c r="C2" s="161" t="s">
        <v>261</v>
      </c>
      <c r="D2" s="162" t="n">
        <f aca="false">Admin!B5</f>
        <v>46142</v>
      </c>
      <c r="E2" s="163" t="n">
        <f aca="false">Admin!B6</f>
        <v>46173</v>
      </c>
      <c r="F2" s="163" t="n">
        <f aca="false">Admin!B7</f>
        <v>46203</v>
      </c>
      <c r="G2" s="163" t="n">
        <f aca="false">Admin!B8</f>
        <v>46234</v>
      </c>
      <c r="H2" s="163" t="n">
        <f aca="false">Admin!B9</f>
        <v>46265</v>
      </c>
      <c r="I2" s="163" t="n">
        <f aca="false">Admin!B10</f>
        <v>46295</v>
      </c>
      <c r="J2" s="163" t="n">
        <f aca="false">Admin!B11</f>
        <v>46326</v>
      </c>
      <c r="K2" s="163" t="n">
        <f aca="false">Admin!B12</f>
        <v>46356</v>
      </c>
      <c r="L2" s="163" t="n">
        <f aca="false">Admin!B13</f>
        <v>46387</v>
      </c>
      <c r="M2" s="163" t="n">
        <f aca="false">Admin!B14</f>
        <v>46418</v>
      </c>
      <c r="N2" s="163" t="n">
        <f aca="false">Admin!B15</f>
        <v>46446</v>
      </c>
      <c r="O2" s="163" t="n">
        <f aca="false">Admin!B16</f>
        <v>46477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46482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32</v>
      </c>
      <c r="D4" s="166" t="s">
        <v>32</v>
      </c>
      <c r="E4" s="166" t="s">
        <v>32</v>
      </c>
      <c r="F4" s="166" t="s">
        <v>32</v>
      </c>
      <c r="G4" s="166" t="s">
        <v>32</v>
      </c>
      <c r="H4" s="166" t="s">
        <v>32</v>
      </c>
      <c r="I4" s="166" t="s">
        <v>32</v>
      </c>
      <c r="J4" s="166" t="s">
        <v>32</v>
      </c>
      <c r="K4" s="166" t="s">
        <v>32</v>
      </c>
      <c r="L4" s="166" t="s">
        <v>32</v>
      </c>
      <c r="M4" s="166" t="s">
        <v>32</v>
      </c>
      <c r="N4" s="168" t="s">
        <v>32</v>
      </c>
      <c r="O4" s="166" t="s">
        <v>32</v>
      </c>
      <c r="P4" s="158"/>
    </row>
    <row r="5" s="176" customFormat="true" ht="12" hidden="false" customHeight="false" outlineLevel="0" collapsed="false">
      <c r="A5" s="178"/>
      <c r="B5" s="332" t="s">
        <v>266</v>
      </c>
      <c r="C5" s="170" t="n">
        <f aca="false">SUM(D5:O5)</f>
        <v>58416.6666666667</v>
      </c>
      <c r="D5" s="170" t="n">
        <f aca="false">'Profit &amp; Loss Account'!C9</f>
        <v>5166.66666666667</v>
      </c>
      <c r="E5" s="170" t="n">
        <f aca="false">'Profit &amp; Loss Account'!D9</f>
        <v>6166.66666666667</v>
      </c>
      <c r="F5" s="170" t="n">
        <f aca="false">'Profit &amp; Loss Account'!E9</f>
        <v>4666.66666666667</v>
      </c>
      <c r="G5" s="170" t="n">
        <f aca="false">'Profit &amp; Loss Account'!F9</f>
        <v>6833.33333333333</v>
      </c>
      <c r="H5" s="170" t="n">
        <f aca="false">'Profit &amp; Loss Account'!G9</f>
        <v>5833.33333333333</v>
      </c>
      <c r="I5" s="170" t="n">
        <f aca="false">'Profit &amp; Loss Account'!H9</f>
        <v>5833.33333333333</v>
      </c>
      <c r="J5" s="170" t="n">
        <f aca="false">'Profit &amp; Loss Account'!I9</f>
        <v>6833.33333333333</v>
      </c>
      <c r="K5" s="170" t="n">
        <f aca="false">'Profit &amp; Loss Account'!J9</f>
        <v>5666.66666666667</v>
      </c>
      <c r="L5" s="170" t="n">
        <f aca="false">'Profit &amp; Loss Account'!K9</f>
        <v>4166.66666666667</v>
      </c>
      <c r="M5" s="170" t="n">
        <f aca="false">'Profit &amp; Loss Account'!L9</f>
        <v>3500</v>
      </c>
      <c r="N5" s="170" t="n">
        <f aca="false">'Profit &amp; Loss Account'!M9</f>
        <v>2500</v>
      </c>
      <c r="O5" s="170" t="n">
        <f aca="false">'Profit &amp; Loss Account'!N9</f>
        <v>1250</v>
      </c>
      <c r="P5" s="178"/>
    </row>
    <row r="6" s="176" customFormat="tru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</row>
    <row r="7" customFormat="false" ht="12" hidden="false" customHeight="false" outlineLevel="0" collapsed="false">
      <c r="A7" s="158"/>
      <c r="B7" s="334" t="s">
        <v>387</v>
      </c>
      <c r="C7" s="170" t="n">
        <f aca="false">SUM(D7:O7)</f>
        <v>2083.33333333333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2083.33333333333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s="176" customFormat="true" ht="12" hidden="false" customHeight="false" outlineLevel="0" collapsed="false">
      <c r="A9" s="178"/>
      <c r="B9" s="333" t="s">
        <v>272</v>
      </c>
      <c r="C9" s="170" t="n">
        <f aca="false">SUM(D9:O9)</f>
        <v>7800</v>
      </c>
      <c r="D9" s="170" t="n">
        <f aca="false">'Profit &amp; Loss Account'!C17</f>
        <v>600</v>
      </c>
      <c r="E9" s="170" t="n">
        <f aca="false">'Profit &amp; Loss Account'!D17</f>
        <v>360</v>
      </c>
      <c r="F9" s="170" t="n">
        <f aca="false">'Profit &amp; Loss Account'!E17</f>
        <v>3600</v>
      </c>
      <c r="G9" s="170" t="n">
        <f aca="false">'Profit &amp; Loss Account'!F17</f>
        <v>0</v>
      </c>
      <c r="H9" s="170" t="n">
        <f aca="false">'Profit &amp; Loss Account'!G17</f>
        <v>0</v>
      </c>
      <c r="I9" s="170" t="n">
        <f aca="false">'Profit &amp; Loss Account'!H17</f>
        <v>2400</v>
      </c>
      <c r="J9" s="170" t="n">
        <f aca="false">'Profit &amp; Loss Account'!I17</f>
        <v>480</v>
      </c>
      <c r="K9" s="170" t="n">
        <f aca="false">'Profit &amp; Loss Account'!J17</f>
        <v>360</v>
      </c>
      <c r="L9" s="170" t="n">
        <f aca="false">'Profit &amp; Loss Account'!K17</f>
        <v>0</v>
      </c>
      <c r="M9" s="170" t="n">
        <f aca="false">'Profit &amp; Loss Account'!L17</f>
        <v>0</v>
      </c>
      <c r="N9" s="170" t="n">
        <f aca="false">'Profit &amp; Loss Account'!M17</f>
        <v>0</v>
      </c>
      <c r="O9" s="170" t="n">
        <f aca="false">'Profit &amp; Loss Account'!N17</f>
        <v>0</v>
      </c>
      <c r="P9" s="178"/>
    </row>
    <row r="10" s="176" customFormat="tru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</row>
    <row r="11" s="176" customFormat="true" ht="12" hidden="false" customHeight="false" outlineLevel="0" collapsed="false">
      <c r="A11" s="178"/>
      <c r="B11" s="332" t="s">
        <v>273</v>
      </c>
      <c r="C11" s="170" t="n">
        <f aca="false">SUM(D11:O11)</f>
        <v>52700</v>
      </c>
      <c r="D11" s="170" t="n">
        <f aca="false">D5+D7-D9</f>
        <v>4566.66666666667</v>
      </c>
      <c r="E11" s="170" t="n">
        <f aca="false">E5+E7-E9</f>
        <v>5806.66666666667</v>
      </c>
      <c r="F11" s="170" t="n">
        <f aca="false">F5+F7-F9</f>
        <v>1066.66666666667</v>
      </c>
      <c r="G11" s="170" t="n">
        <f aca="false">G5+G7-G9</f>
        <v>6833.33333333333</v>
      </c>
      <c r="H11" s="170" t="n">
        <f aca="false">H5+H7-H9</f>
        <v>7916.66666666666</v>
      </c>
      <c r="I11" s="170" t="n">
        <f aca="false">I5+I7-I9</f>
        <v>3433.33333333333</v>
      </c>
      <c r="J11" s="170" t="n">
        <f aca="false">J5+J7-J9</f>
        <v>6353.33333333333</v>
      </c>
      <c r="K11" s="170" t="n">
        <f aca="false">K5+K7-K9</f>
        <v>5306.66666666667</v>
      </c>
      <c r="L11" s="170" t="n">
        <f aca="false">L5+L7-L9</f>
        <v>4166.66666666667</v>
      </c>
      <c r="M11" s="170" t="n">
        <f aca="false">M5+M7-M9</f>
        <v>3500</v>
      </c>
      <c r="N11" s="170" t="n">
        <f aca="false">N5+N7-N9</f>
        <v>2500</v>
      </c>
      <c r="O11" s="170" t="n">
        <f aca="false">O5+O7-O9</f>
        <v>1250</v>
      </c>
      <c r="P11" s="178"/>
    </row>
    <row r="12" s="176" customFormat="tru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</row>
    <row r="13" customFormat="false" ht="12" hidden="false" customHeight="false" outlineLevel="0" collapsed="false">
      <c r="A13" s="158"/>
      <c r="B13" s="333" t="s">
        <v>388</v>
      </c>
      <c r="C13" s="170" t="n">
        <f aca="false">SUM(D13:O13)</f>
        <v>16206.6666666667</v>
      </c>
      <c r="D13" s="170" t="n">
        <f aca="false">'Profit &amp; Loss Account'!C35</f>
        <v>1860</v>
      </c>
      <c r="E13" s="170" t="n">
        <f aca="false">'Profit &amp; Loss Account'!D35</f>
        <v>960</v>
      </c>
      <c r="F13" s="170" t="n">
        <f aca="false">'Profit &amp; Loss Account'!E35</f>
        <v>1080</v>
      </c>
      <c r="G13" s="170" t="n">
        <f aca="false">'Profit &amp; Loss Account'!F35</f>
        <v>1860</v>
      </c>
      <c r="H13" s="170" t="n">
        <f aca="false">'Profit &amp; Loss Account'!G35</f>
        <v>1160</v>
      </c>
      <c r="I13" s="170" t="n">
        <f aca="false">'Profit &amp; Loss Account'!H35</f>
        <v>1560</v>
      </c>
      <c r="J13" s="170" t="n">
        <f aca="false">'Profit &amp; Loss Account'!I35</f>
        <v>1860</v>
      </c>
      <c r="K13" s="170" t="n">
        <f aca="false">'Profit &amp; Loss Account'!J35</f>
        <v>360</v>
      </c>
      <c r="L13" s="170" t="n">
        <f aca="false">'Profit &amp; Loss Account'!K35</f>
        <v>1580</v>
      </c>
      <c r="M13" s="170" t="n">
        <f aca="false">'Profit &amp; Loss Account'!L35</f>
        <v>2460</v>
      </c>
      <c r="N13" s="170" t="n">
        <f aca="false">'Profit &amp; Loss Account'!M35</f>
        <v>720</v>
      </c>
      <c r="O13" s="170" t="n">
        <f aca="false">'Profit &amp; Loss Account'!N35</f>
        <v>746.666666666667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289</v>
      </c>
      <c r="C15" s="170" t="n">
        <f aca="false">SUM(D15:O15)</f>
        <v>36493.3333333333</v>
      </c>
      <c r="D15" s="170" t="n">
        <f aca="false">D11-D13</f>
        <v>2706.66666666667</v>
      </c>
      <c r="E15" s="170" t="n">
        <f aca="false">E11-E13</f>
        <v>4846.66666666667</v>
      </c>
      <c r="F15" s="170" t="n">
        <f aca="false">F11-F13</f>
        <v>-13.3333333333303</v>
      </c>
      <c r="G15" s="170" t="n">
        <f aca="false">G11-G13</f>
        <v>4973.33333333333</v>
      </c>
      <c r="H15" s="170" t="n">
        <f aca="false">H11-H13</f>
        <v>6756.66666666666</v>
      </c>
      <c r="I15" s="170" t="n">
        <f aca="false">I11-I13</f>
        <v>1873.33333333333</v>
      </c>
      <c r="J15" s="170" t="n">
        <f aca="false">J11-J13</f>
        <v>4493.33333333333</v>
      </c>
      <c r="K15" s="170" t="n">
        <f aca="false">K11-K13</f>
        <v>4946.66666666667</v>
      </c>
      <c r="L15" s="170" t="n">
        <f aca="false">L11-L13</f>
        <v>2586.66666666667</v>
      </c>
      <c r="M15" s="170" t="n">
        <f aca="false">M11-M13</f>
        <v>1040</v>
      </c>
      <c r="N15" s="170" t="n">
        <f aca="false">N11-N13</f>
        <v>1780</v>
      </c>
      <c r="O15" s="170" t="n">
        <f aca="false">O11-O13</f>
        <v>503.333333333333</v>
      </c>
      <c r="P15" s="158"/>
    </row>
    <row r="16" customFormat="false" ht="12" hidden="false" customHeight="false" outlineLevel="0" collapsed="false">
      <c r="A16" s="158"/>
      <c r="B16" s="334" t="s">
        <v>290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291</v>
      </c>
      <c r="C17" s="170" t="n">
        <f aca="false">SUM(D17:O17)</f>
        <v>36493.3333333333</v>
      </c>
      <c r="D17" s="170" t="n">
        <f aca="false">D15+D16</f>
        <v>2706.66666666667</v>
      </c>
      <c r="E17" s="170" t="n">
        <f aca="false">E15+E16</f>
        <v>4846.66666666667</v>
      </c>
      <c r="F17" s="170" t="n">
        <f aca="false">F15+F16</f>
        <v>-13.3333333333303</v>
      </c>
      <c r="G17" s="170" t="n">
        <f aca="false">G15+G16</f>
        <v>4973.33333333333</v>
      </c>
      <c r="H17" s="170" t="n">
        <f aca="false">H15+H16</f>
        <v>6756.66666666666</v>
      </c>
      <c r="I17" s="170" t="n">
        <f aca="false">I15+I16</f>
        <v>1873.33333333333</v>
      </c>
      <c r="J17" s="170" t="n">
        <f aca="false">J15+J16</f>
        <v>4493.33333333333</v>
      </c>
      <c r="K17" s="170" t="n">
        <f aca="false">K15+K16</f>
        <v>4946.66666666667</v>
      </c>
      <c r="L17" s="170" t="n">
        <f aca="false">L15+L16</f>
        <v>2586.66666666667</v>
      </c>
      <c r="M17" s="170" t="n">
        <f aca="false">M15+M16</f>
        <v>1040</v>
      </c>
      <c r="N17" s="170" t="n">
        <f aca="false">N15+N16</f>
        <v>1780</v>
      </c>
      <c r="O17" s="170" t="n">
        <f aca="false">O15+O16</f>
        <v>503.333333333333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389</v>
      </c>
      <c r="C19" s="161" t="s">
        <v>261</v>
      </c>
      <c r="D19" s="162" t="n">
        <f aca="false">D2</f>
        <v>46142</v>
      </c>
      <c r="E19" s="162" t="n">
        <f aca="false">E2</f>
        <v>46173</v>
      </c>
      <c r="F19" s="162" t="n">
        <f aca="false">F2</f>
        <v>46203</v>
      </c>
      <c r="G19" s="162" t="n">
        <f aca="false">G2</f>
        <v>46234</v>
      </c>
      <c r="H19" s="162" t="n">
        <f aca="false">H2</f>
        <v>46265</v>
      </c>
      <c r="I19" s="162" t="n">
        <f aca="false">I2</f>
        <v>46295</v>
      </c>
      <c r="J19" s="162" t="n">
        <f aca="false">J2</f>
        <v>46326</v>
      </c>
      <c r="K19" s="162" t="n">
        <f aca="false">K2</f>
        <v>46356</v>
      </c>
      <c r="L19" s="162" t="n">
        <f aca="false">L2</f>
        <v>46387</v>
      </c>
      <c r="M19" s="162" t="n">
        <f aca="false">M2</f>
        <v>46418</v>
      </c>
      <c r="N19" s="162" t="n">
        <f aca="false">N2</f>
        <v>46446</v>
      </c>
      <c r="O19" s="162" t="n">
        <f aca="false">O2</f>
        <v>46477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46482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s="176" customFormat="true" ht="12" hidden="false" customHeight="false" outlineLevel="0" collapsed="false">
      <c r="A22" s="178"/>
      <c r="B22" s="332" t="s">
        <v>266</v>
      </c>
      <c r="C22" s="170" t="n">
        <f aca="false">SUM(D22:O22)</f>
        <v>58416.6666666667</v>
      </c>
      <c r="D22" s="170" t="n">
        <f aca="false">IF(C5&gt;0,IF(D5&gt;0,D5,C5/C21),0)</f>
        <v>5166.66666666667</v>
      </c>
      <c r="E22" s="170" t="n">
        <f aca="false">IF(C5&gt;0,IF(E5&gt;0,E5,C5/C21),0)</f>
        <v>6166.66666666667</v>
      </c>
      <c r="F22" s="170" t="n">
        <f aca="false">IF(C5&gt;0,IF(F5&gt;0,F5,C5/C21),0)</f>
        <v>4666.66666666667</v>
      </c>
      <c r="G22" s="170" t="n">
        <f aca="false">IF(C5&gt;0,IF(G5&gt;0,G5,C5/C21),0)</f>
        <v>6833.33333333333</v>
      </c>
      <c r="H22" s="170" t="n">
        <f aca="false">IF(C5&gt;0,IF(H5&gt;0,H5,C5/C21),0)</f>
        <v>5833.33333333333</v>
      </c>
      <c r="I22" s="170" t="n">
        <f aca="false">IF(C5&gt;0,IF(I5&gt;0,I5,C5/C21),0)</f>
        <v>5833.33333333333</v>
      </c>
      <c r="J22" s="170" t="n">
        <f aca="false">IF(C5&gt;0,IF(J5&gt;0,J5,C5/C21),0)</f>
        <v>6833.33333333333</v>
      </c>
      <c r="K22" s="170" t="n">
        <f aca="false">IF(C5&gt;0,IF(K5&gt;0,K5,C5/C21),0)</f>
        <v>5666.66666666667</v>
      </c>
      <c r="L22" s="170" t="n">
        <f aca="false">IF(C5&gt;0,IF(L5&gt;0,L5,C5/C21),0)</f>
        <v>4166.66666666667</v>
      </c>
      <c r="M22" s="170" t="n">
        <f aca="false">IF(C5&gt;0,IF(M5&gt;0,M5,C5/C21),0)</f>
        <v>3500</v>
      </c>
      <c r="N22" s="170" t="n">
        <f aca="false">IF(C5&gt;0,IF(N5&gt;0,N5,C5/C21),0)</f>
        <v>2500</v>
      </c>
      <c r="O22" s="170" t="n">
        <f aca="false">IF(C5&gt;0,IF(O5&gt;0,O5,C5/C21),0)</f>
        <v>1250</v>
      </c>
      <c r="P22" s="178"/>
    </row>
    <row r="23" s="176" customFormat="tru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</row>
    <row r="24" customFormat="false" ht="12" hidden="false" customHeight="false" outlineLevel="0" collapsed="false">
      <c r="A24" s="158"/>
      <c r="B24" s="334" t="s">
        <v>387</v>
      </c>
      <c r="C24" s="170" t="n">
        <f aca="false">SUM(D24:O24)</f>
        <v>2083.33333333333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2083.33333333333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s="176" customFormat="true" ht="12" hidden="false" customHeight="false" outlineLevel="0" collapsed="false">
      <c r="A26" s="178"/>
      <c r="B26" s="333" t="s">
        <v>272</v>
      </c>
      <c r="C26" s="170" t="n">
        <f aca="false">SUM(D26:O26)</f>
        <v>7800</v>
      </c>
      <c r="D26" s="170" t="n">
        <f aca="false">IF(C5&gt;0,IF(D5&gt;0,D9,C9/C21),0)</f>
        <v>600</v>
      </c>
      <c r="E26" s="170" t="n">
        <f aca="false">IF(C5&gt;0,IF(E5&gt;0,E9,C9/C21),0)</f>
        <v>360</v>
      </c>
      <c r="F26" s="170" t="n">
        <f aca="false">IF(C5&gt;0,IF(F5&gt;0,F9,C9/C21),0)</f>
        <v>3600</v>
      </c>
      <c r="G26" s="170" t="n">
        <f aca="false">IF(C5&gt;0,IF(G5&gt;0,G9,C9/C21),0)</f>
        <v>0</v>
      </c>
      <c r="H26" s="170" t="n">
        <f aca="false">IF(C5&gt;0,IF(H5&gt;0,H9,C9/C21),0)</f>
        <v>0</v>
      </c>
      <c r="I26" s="170" t="n">
        <f aca="false">IF(C5&gt;0,IF(I5&gt;0,I9,C9/C21),0)</f>
        <v>2400</v>
      </c>
      <c r="J26" s="170" t="n">
        <f aca="false">IF(C5&gt;0,IF(J5&gt;0,J9,C9/C21),0)</f>
        <v>480</v>
      </c>
      <c r="K26" s="170" t="n">
        <f aca="false">IF(C5&gt;0,IF(K5&gt;0,K9,C9/C21),0)</f>
        <v>360</v>
      </c>
      <c r="L26" s="170" t="n">
        <f aca="false">IF(C5&gt;0,IF(L5&gt;0,L9,C9/C21),0)</f>
        <v>0</v>
      </c>
      <c r="M26" s="170" t="n">
        <f aca="false">IF(C5&gt;0,IF(M5&gt;0,M9,C9/C21),0)</f>
        <v>0</v>
      </c>
      <c r="N26" s="170" t="n">
        <f aca="false">IF(C5&gt;0,IF(N5&gt;0,N9,C9/C21),0)</f>
        <v>0</v>
      </c>
      <c r="O26" s="170" t="n">
        <f aca="false">IF(C5&gt;0,IF(O5&gt;0,O9,C9/C21),0)</f>
        <v>0</v>
      </c>
      <c r="P26" s="178"/>
    </row>
    <row r="27" s="176" customFormat="tru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</row>
    <row r="28" s="176" customFormat="true" ht="12" hidden="false" customHeight="false" outlineLevel="0" collapsed="false">
      <c r="A28" s="178"/>
      <c r="B28" s="332" t="s">
        <v>273</v>
      </c>
      <c r="C28" s="170" t="n">
        <f aca="false">SUM(D28:O28)</f>
        <v>52700</v>
      </c>
      <c r="D28" s="170" t="n">
        <f aca="false">D22+D24-D26</f>
        <v>4566.66666666667</v>
      </c>
      <c r="E28" s="170" t="n">
        <f aca="false">E22+E24-E26</f>
        <v>5806.66666666667</v>
      </c>
      <c r="F28" s="170" t="n">
        <f aca="false">F22+F24-F26</f>
        <v>1066.66666666667</v>
      </c>
      <c r="G28" s="170" t="n">
        <f aca="false">G22+G24-G26</f>
        <v>6833.33333333333</v>
      </c>
      <c r="H28" s="170" t="n">
        <f aca="false">H22+H24-H26</f>
        <v>7916.66666666666</v>
      </c>
      <c r="I28" s="170" t="n">
        <f aca="false">I22+I24-I26</f>
        <v>3433.33333333333</v>
      </c>
      <c r="J28" s="170" t="n">
        <f aca="false">J22+J24-J26</f>
        <v>6353.33333333333</v>
      </c>
      <c r="K28" s="170" t="n">
        <f aca="false">K22+K24-K26</f>
        <v>5306.66666666667</v>
      </c>
      <c r="L28" s="170" t="n">
        <f aca="false">L22+L24-L26</f>
        <v>4166.66666666667</v>
      </c>
      <c r="M28" s="170" t="n">
        <f aca="false">M22+M24-M26</f>
        <v>3500</v>
      </c>
      <c r="N28" s="170" t="n">
        <f aca="false">N22+N24-N26</f>
        <v>2500</v>
      </c>
      <c r="O28" s="170" t="n">
        <f aca="false">O22+O24-O26</f>
        <v>1250</v>
      </c>
      <c r="P28" s="178"/>
    </row>
    <row r="29" s="176" customFormat="tru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</row>
    <row r="30" customFormat="false" ht="12" hidden="false" customHeight="false" outlineLevel="0" collapsed="false">
      <c r="A30" s="158"/>
      <c r="B30" s="333" t="s">
        <v>388</v>
      </c>
      <c r="C30" s="170" t="n">
        <f aca="false">SUM(D30:O30)</f>
        <v>16206.6666666667</v>
      </c>
      <c r="D30" s="170" t="n">
        <f aca="false">IF(C5&gt;0,IF(D5&gt;0,D13,C13/C21),0)</f>
        <v>1860</v>
      </c>
      <c r="E30" s="170" t="n">
        <f aca="false">IF(C5&gt;0,IF(E5&gt;0,E13,C13/C21),0)</f>
        <v>960</v>
      </c>
      <c r="F30" s="170" t="n">
        <f aca="false">IF(C5&gt;0,IF(F5&gt;0,F13,C13/C21),0)</f>
        <v>1080</v>
      </c>
      <c r="G30" s="170" t="n">
        <f aca="false">IF(C5&gt;0,IF(G5&gt;0,G13,C13/C21),0)</f>
        <v>1860</v>
      </c>
      <c r="H30" s="170" t="n">
        <f aca="false">IF(C5&gt;0,IF(H5&gt;0,H13,C13/C21),0)</f>
        <v>1160</v>
      </c>
      <c r="I30" s="170" t="n">
        <f aca="false">IF(C5&gt;0,IF(I5&gt;0,I13,C13/C21),0)</f>
        <v>1560</v>
      </c>
      <c r="J30" s="170" t="n">
        <f aca="false">IF(C5&gt;0,IF(J5&gt;0,J13,C13/C21),0)</f>
        <v>1860</v>
      </c>
      <c r="K30" s="170" t="n">
        <f aca="false">IF(C5&gt;0,IF(K5&gt;0,K13,C13/C21),0)</f>
        <v>360</v>
      </c>
      <c r="L30" s="170" t="n">
        <f aca="false">IF(C5&gt;0,IF(L5&gt;0,L13,C13/C21),0)</f>
        <v>1580</v>
      </c>
      <c r="M30" s="170" t="n">
        <f aca="false">IF(C5&gt;0,IF(M5&gt;0,M13,C13/C21),0)</f>
        <v>2460</v>
      </c>
      <c r="N30" s="170" t="n">
        <f aca="false">IF(C5&gt;0,IF(N5&gt;0,N13,C13/C21),0)</f>
        <v>720</v>
      </c>
      <c r="O30" s="170" t="n">
        <f aca="false">IF(C5&gt;0,IF(O5&gt;0,O13,C13/C21),0)</f>
        <v>746.666666666667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289</v>
      </c>
      <c r="C32" s="170" t="n">
        <f aca="false">SUM(D32:O32)</f>
        <v>36493.3333333333</v>
      </c>
      <c r="D32" s="170" t="n">
        <f aca="false">D28-D30</f>
        <v>2706.66666666667</v>
      </c>
      <c r="E32" s="170" t="n">
        <f aca="false">E28-E30</f>
        <v>4846.66666666667</v>
      </c>
      <c r="F32" s="170" t="n">
        <f aca="false">F28-F30</f>
        <v>-13.3333333333303</v>
      </c>
      <c r="G32" s="170" t="n">
        <f aca="false">G28-G30</f>
        <v>4973.33333333333</v>
      </c>
      <c r="H32" s="170" t="n">
        <f aca="false">H28-H30</f>
        <v>6756.66666666666</v>
      </c>
      <c r="I32" s="170" t="n">
        <f aca="false">I28-I30</f>
        <v>1873.33333333333</v>
      </c>
      <c r="J32" s="170" t="n">
        <f aca="false">J28-J30</f>
        <v>4493.33333333333</v>
      </c>
      <c r="K32" s="170" t="n">
        <f aca="false">K28-K30</f>
        <v>4946.66666666667</v>
      </c>
      <c r="L32" s="170" t="n">
        <f aca="false">L28-L30</f>
        <v>2586.66666666667</v>
      </c>
      <c r="M32" s="170" t="n">
        <f aca="false">M28-M30</f>
        <v>1040</v>
      </c>
      <c r="N32" s="170" t="n">
        <f aca="false">N28-N30</f>
        <v>1780</v>
      </c>
      <c r="O32" s="170" t="n">
        <f aca="false">O28-O30</f>
        <v>503.333333333333</v>
      </c>
      <c r="P32" s="158"/>
    </row>
    <row r="33" customFormat="false" ht="12" hidden="false" customHeight="false" outlineLevel="0" collapsed="false">
      <c r="A33" s="158"/>
      <c r="B33" s="334" t="s">
        <v>290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291</v>
      </c>
      <c r="C34" s="170" t="n">
        <f aca="false">SUM(D34:O34)</f>
        <v>36493.3333333333</v>
      </c>
      <c r="D34" s="170" t="n">
        <f aca="false">D32+D33</f>
        <v>2706.66666666667</v>
      </c>
      <c r="E34" s="170" t="n">
        <f aca="false">E32+E33</f>
        <v>4846.66666666667</v>
      </c>
      <c r="F34" s="170" t="n">
        <f aca="false">F32+F33</f>
        <v>-13.3333333333303</v>
      </c>
      <c r="G34" s="170" t="n">
        <f aca="false">G32+G33</f>
        <v>4973.33333333333</v>
      </c>
      <c r="H34" s="170" t="n">
        <f aca="false">H32+H33</f>
        <v>6756.66666666666</v>
      </c>
      <c r="I34" s="170" t="n">
        <f aca="false">I32+I33</f>
        <v>1873.33333333333</v>
      </c>
      <c r="J34" s="170" t="n">
        <f aca="false">J32+J33</f>
        <v>4493.33333333333</v>
      </c>
      <c r="K34" s="170" t="n">
        <f aca="false">K32+K33</f>
        <v>4946.66666666667</v>
      </c>
      <c r="L34" s="170" t="n">
        <f aca="false">L32+L33</f>
        <v>2586.66666666667</v>
      </c>
      <c r="M34" s="170" t="n">
        <f aca="false">M32+M33</f>
        <v>1040</v>
      </c>
      <c r="N34" s="170" t="n">
        <f aca="false">N32+N33</f>
        <v>1780</v>
      </c>
      <c r="O34" s="170" t="n">
        <f aca="false">O32+O33</f>
        <v>503.333333333333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390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391</v>
      </c>
      <c r="C37" s="339" t="n">
        <f aca="false">'Profit &amp; Loss Account'!B33+'Profit &amp; Loss Account'!B34</f>
        <v>0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392</v>
      </c>
      <c r="C38" s="339" t="n">
        <f aca="false">Schedule!$Q$1+Schedule!$R$1+Schedule!$Y$1-Schedule!$Z$1</f>
        <v>0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393</v>
      </c>
      <c r="C39" s="339" t="n">
        <f aca="false">C34+C37-C38</f>
        <v>36493.3333333333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394</v>
      </c>
      <c r="C40" s="339" t="n">
        <f aca="false">Admin!N$4</f>
        <v>12570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395</v>
      </c>
      <c r="C41" s="339" t="n">
        <f aca="false">IF((C39&gt;C40),(C39-C40),0)</f>
        <v>23923.3333333333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396</v>
      </c>
      <c r="C42" s="339" t="n">
        <f aca="false">IF((C41&gt;0),(IF((C41&lt;Admin!N$12),C41*Admin!N$6,Admin!N$12*Admin!N$6)),0)</f>
        <v>4784.66666666667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397</v>
      </c>
      <c r="C43" s="339" t="n">
        <f aca="false">IF((C41&gt;Admin!N$12),((C41-Admin!N$12)*Admin!N$7),0)</f>
        <v>0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398</v>
      </c>
      <c r="C44" s="339" t="n">
        <f aca="false">IF((C41&gt;0),IF(C41&gt;Admin!N12,Admin!N12*Admin!L20+(C41-Admin!N12)*Admin!L23,C41*Admin!L$20),0)</f>
        <v>1435.4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6" hidden="false" customHeight="true" outlineLevel="0" collapsed="false">
      <c r="A45" s="158"/>
      <c r="B45" s="182"/>
      <c r="C45" s="33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399</v>
      </c>
      <c r="C46" s="341" t="n">
        <f aca="false">C42+C43+C44</f>
        <v>6220.06666666667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400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46081</v>
      </c>
      <c r="C2" s="63"/>
      <c r="D2" s="348" t="s">
        <v>401</v>
      </c>
      <c r="E2" s="348"/>
      <c r="F2" s="348"/>
      <c r="G2" s="349" t="str">
        <f aca="false">B23</f>
        <v>2026-27</v>
      </c>
      <c r="H2" s="63"/>
      <c r="I2" s="63"/>
      <c r="J2" s="350" t="s">
        <v>402</v>
      </c>
      <c r="K2" s="350"/>
      <c r="L2" s="351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46112</v>
      </c>
      <c r="C3" s="63"/>
      <c r="D3" s="63"/>
      <c r="E3" s="63"/>
      <c r="F3" s="63"/>
      <c r="G3" s="352"/>
      <c r="H3" s="63"/>
      <c r="I3" s="63"/>
      <c r="J3" s="353"/>
      <c r="K3" s="353"/>
      <c r="L3" s="346"/>
      <c r="M3" s="63"/>
      <c r="N3" s="63"/>
      <c r="O3" s="63"/>
    </row>
    <row r="4" customFormat="false" ht="12" hidden="false" customHeight="true" outlineLevel="0" collapsed="false">
      <c r="A4" s="63"/>
      <c r="B4" s="354" t="n">
        <v>46118</v>
      </c>
      <c r="C4" s="63"/>
      <c r="D4" s="355" t="s">
        <v>81</v>
      </c>
      <c r="E4" s="355"/>
      <c r="F4" s="355"/>
      <c r="G4" s="356" t="n">
        <v>1</v>
      </c>
      <c r="H4" s="63"/>
      <c r="I4" s="355" t="s">
        <v>403</v>
      </c>
      <c r="J4" s="355"/>
      <c r="K4" s="355"/>
      <c r="L4" s="355"/>
      <c r="M4" s="355"/>
      <c r="N4" s="357" t="n">
        <v>12570</v>
      </c>
      <c r="O4" s="352" t="s">
        <v>32</v>
      </c>
    </row>
    <row r="5" customFormat="false" ht="12" hidden="false" customHeight="true" outlineLevel="0" collapsed="false">
      <c r="A5" s="63"/>
      <c r="B5" s="347" t="n">
        <v>46142</v>
      </c>
      <c r="C5" s="63"/>
      <c r="D5" s="355" t="s">
        <v>404</v>
      </c>
      <c r="E5" s="355"/>
      <c r="F5" s="355"/>
      <c r="G5" s="356" t="n">
        <v>0.14</v>
      </c>
      <c r="H5" s="63"/>
      <c r="I5" s="63"/>
      <c r="J5" s="63"/>
      <c r="K5" s="63"/>
      <c r="L5" s="63"/>
      <c r="M5" s="63"/>
      <c r="N5" s="352"/>
      <c r="O5" s="352"/>
    </row>
    <row r="6" customFormat="false" ht="12" hidden="false" customHeight="true" outlineLevel="0" collapsed="false">
      <c r="A6" s="63"/>
      <c r="B6" s="347" t="n">
        <v>46173</v>
      </c>
      <c r="C6" s="63"/>
      <c r="D6" s="63"/>
      <c r="E6" s="63"/>
      <c r="F6" s="63"/>
      <c r="G6" s="352"/>
      <c r="H6" s="63"/>
      <c r="I6" s="355" t="s">
        <v>405</v>
      </c>
      <c r="J6" s="355"/>
      <c r="K6" s="355"/>
      <c r="L6" s="355"/>
      <c r="M6" s="355"/>
      <c r="N6" s="356" t="n">
        <v>0.2</v>
      </c>
      <c r="O6" s="352" t="s">
        <v>406</v>
      </c>
    </row>
    <row r="7" customFormat="false" ht="12" hidden="false" customHeight="true" outlineLevel="0" collapsed="false">
      <c r="A7" s="63"/>
      <c r="B7" s="347" t="n">
        <v>46203</v>
      </c>
      <c r="C7" s="63"/>
      <c r="D7" s="355" t="s">
        <v>407</v>
      </c>
      <c r="E7" s="355"/>
      <c r="F7" s="355"/>
      <c r="G7" s="352"/>
      <c r="H7" s="63"/>
      <c r="I7" s="355" t="s">
        <v>408</v>
      </c>
      <c r="J7" s="355"/>
      <c r="K7" s="355"/>
      <c r="L7" s="355"/>
      <c r="M7" s="355"/>
      <c r="N7" s="356" t="n">
        <v>0.4</v>
      </c>
      <c r="O7" s="352" t="s">
        <v>406</v>
      </c>
    </row>
    <row r="8" customFormat="false" ht="12" hidden="false" customHeight="true" outlineLevel="0" collapsed="false">
      <c r="A8" s="63"/>
      <c r="B8" s="347" t="n">
        <v>46234</v>
      </c>
      <c r="C8" s="63"/>
      <c r="D8" s="63" t="s">
        <v>409</v>
      </c>
      <c r="E8" s="358" t="n">
        <v>12000</v>
      </c>
      <c r="F8" s="63" t="s">
        <v>410</v>
      </c>
      <c r="G8" s="358" t="n">
        <v>3000</v>
      </c>
      <c r="H8" s="63"/>
      <c r="I8" s="63"/>
      <c r="J8" s="63"/>
      <c r="K8" s="63"/>
      <c r="L8" s="63"/>
      <c r="M8" s="63"/>
      <c r="N8" s="352"/>
      <c r="O8" s="352"/>
    </row>
    <row r="9" customFormat="false" ht="12" hidden="false" customHeight="true" outlineLevel="0" collapsed="false">
      <c r="A9" s="63"/>
      <c r="B9" s="347" t="n">
        <v>46265</v>
      </c>
      <c r="C9" s="63"/>
      <c r="D9" s="63"/>
      <c r="E9" s="352"/>
      <c r="F9" s="63"/>
      <c r="G9" s="352"/>
      <c r="H9" s="63"/>
      <c r="I9" s="355" t="s">
        <v>411</v>
      </c>
      <c r="J9" s="355"/>
      <c r="K9" s="355"/>
      <c r="L9" s="359" t="s">
        <v>412</v>
      </c>
      <c r="M9" s="359" t="s">
        <v>413</v>
      </c>
      <c r="N9" s="360" t="s">
        <v>414</v>
      </c>
      <c r="O9" s="352"/>
    </row>
    <row r="10" customFormat="false" ht="12" hidden="false" customHeight="true" outlineLevel="0" collapsed="false">
      <c r="A10" s="63"/>
      <c r="B10" s="347" t="n">
        <v>46295</v>
      </c>
      <c r="C10" s="63"/>
      <c r="D10" s="63"/>
      <c r="E10" s="352"/>
      <c r="F10" s="63"/>
      <c r="G10" s="352"/>
      <c r="H10" s="63"/>
      <c r="I10" s="63"/>
      <c r="J10" s="63"/>
      <c r="K10" s="63"/>
      <c r="L10" s="63"/>
      <c r="M10" s="63"/>
      <c r="N10" s="352"/>
      <c r="O10" s="352"/>
    </row>
    <row r="11" customFormat="false" ht="12" hidden="false" customHeight="true" outlineLevel="0" collapsed="false">
      <c r="A11" s="63"/>
      <c r="B11" s="347" t="n">
        <v>46326</v>
      </c>
      <c r="C11" s="63"/>
      <c r="D11" s="348" t="s">
        <v>415</v>
      </c>
      <c r="E11" s="348"/>
      <c r="F11" s="348"/>
      <c r="G11" s="352" t="s">
        <v>406</v>
      </c>
      <c r="H11" s="63"/>
      <c r="I11" s="63" t="s">
        <v>416</v>
      </c>
      <c r="J11" s="63"/>
      <c r="K11" s="361" t="n">
        <v>0.2</v>
      </c>
      <c r="L11" s="352" t="n">
        <f aca="false">N11</f>
        <v>0</v>
      </c>
      <c r="M11" s="352" t="n">
        <v>37700</v>
      </c>
      <c r="N11" s="358" t="n">
        <v>0</v>
      </c>
      <c r="O11" s="352"/>
    </row>
    <row r="12" customFormat="false" ht="12" hidden="false" customHeight="true" outlineLevel="0" collapsed="false">
      <c r="A12" s="63"/>
      <c r="B12" s="347" t="n">
        <v>46356</v>
      </c>
      <c r="C12" s="63"/>
      <c r="D12" s="63"/>
      <c r="E12" s="63"/>
      <c r="F12" s="63"/>
      <c r="G12" s="352"/>
      <c r="H12" s="63"/>
      <c r="I12" s="63" t="s">
        <v>417</v>
      </c>
      <c r="J12" s="63"/>
      <c r="K12" s="361" t="n">
        <v>0</v>
      </c>
      <c r="L12" s="352" t="n">
        <v>37701</v>
      </c>
      <c r="M12" s="63"/>
      <c r="N12" s="358" t="n">
        <v>37701</v>
      </c>
      <c r="O12" s="352"/>
    </row>
    <row r="13" customFormat="false" ht="12" hidden="false" customHeight="true" outlineLevel="0" collapsed="false">
      <c r="A13" s="63"/>
      <c r="B13" s="347" t="n">
        <v>46387</v>
      </c>
      <c r="C13" s="63"/>
      <c r="D13" s="355" t="s">
        <v>418</v>
      </c>
      <c r="E13" s="355"/>
      <c r="F13" s="355"/>
      <c r="G13" s="356" t="n">
        <v>0</v>
      </c>
      <c r="H13" s="63"/>
      <c r="I13" s="63"/>
      <c r="J13" s="63"/>
      <c r="K13" s="63"/>
      <c r="L13" s="63"/>
      <c r="M13" s="63"/>
      <c r="N13" s="63"/>
      <c r="O13" s="63"/>
    </row>
    <row r="14" customFormat="false" ht="12" hidden="false" customHeight="true" outlineLevel="0" collapsed="false">
      <c r="A14" s="63"/>
      <c r="B14" s="347" t="n">
        <v>46418</v>
      </c>
      <c r="C14" s="63"/>
      <c r="D14" s="355" t="s">
        <v>419</v>
      </c>
      <c r="E14" s="355"/>
      <c r="F14" s="355"/>
      <c r="G14" s="356" t="n">
        <v>0.1</v>
      </c>
      <c r="H14" s="63"/>
      <c r="I14" s="348" t="s">
        <v>420</v>
      </c>
      <c r="J14" s="348"/>
      <c r="K14" s="348"/>
      <c r="L14" s="351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46446</v>
      </c>
      <c r="C15" s="63"/>
      <c r="D15" s="355" t="s">
        <v>421</v>
      </c>
      <c r="E15" s="355"/>
      <c r="F15" s="355"/>
      <c r="G15" s="356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46477</v>
      </c>
      <c r="C16" s="63"/>
      <c r="D16" s="355" t="s">
        <v>422</v>
      </c>
      <c r="E16" s="355"/>
      <c r="F16" s="355"/>
      <c r="G16" s="356" t="n">
        <v>0.33</v>
      </c>
      <c r="H16" s="63"/>
      <c r="I16" s="355" t="s">
        <v>423</v>
      </c>
      <c r="J16" s="355"/>
      <c r="K16" s="355"/>
      <c r="L16" s="362" t="n">
        <v>0</v>
      </c>
      <c r="M16" s="63" t="s">
        <v>424</v>
      </c>
      <c r="N16" s="63"/>
      <c r="O16" s="63"/>
    </row>
    <row r="17" customFormat="false" ht="12" hidden="false" customHeight="true" outlineLevel="0" collapsed="false">
      <c r="A17" s="63"/>
      <c r="B17" s="354" t="n">
        <v>46482</v>
      </c>
      <c r="C17" s="63"/>
      <c r="D17" s="355" t="s">
        <v>425</v>
      </c>
      <c r="E17" s="355"/>
      <c r="F17" s="355"/>
      <c r="G17" s="356" t="n">
        <v>0.25</v>
      </c>
      <c r="H17" s="63"/>
      <c r="I17" s="63"/>
      <c r="J17" s="63"/>
      <c r="K17" s="63"/>
      <c r="L17" s="363"/>
      <c r="M17" s="63"/>
      <c r="N17" s="63"/>
      <c r="O17" s="63"/>
    </row>
    <row r="18" customFormat="false" ht="12" hidden="false" customHeight="true" outlineLevel="0" collapsed="false">
      <c r="A18" s="63"/>
      <c r="B18" s="347" t="n">
        <v>46507</v>
      </c>
      <c r="C18" s="63"/>
      <c r="D18" s="63"/>
      <c r="E18" s="63"/>
      <c r="F18" s="63"/>
      <c r="G18" s="352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46538</v>
      </c>
      <c r="C19" s="63"/>
      <c r="D19" s="348" t="s">
        <v>426</v>
      </c>
      <c r="E19" s="348"/>
      <c r="F19" s="352" t="s">
        <v>427</v>
      </c>
      <c r="G19" s="352" t="s">
        <v>428</v>
      </c>
      <c r="H19" s="63"/>
      <c r="I19" s="364" t="s">
        <v>429</v>
      </c>
      <c r="J19" s="364"/>
      <c r="K19" s="364"/>
      <c r="L19" s="63"/>
      <c r="M19" s="365" t="s">
        <v>430</v>
      </c>
      <c r="N19" s="63"/>
      <c r="O19" s="63"/>
    </row>
    <row r="20" customFormat="false" ht="12" hidden="false" customHeight="true" outlineLevel="0" collapsed="false">
      <c r="A20" s="63"/>
      <c r="B20" s="347" t="n">
        <v>46568</v>
      </c>
      <c r="C20" s="63"/>
      <c r="D20" s="346"/>
      <c r="E20" s="346"/>
      <c r="F20" s="352"/>
      <c r="G20" s="352"/>
      <c r="H20" s="63"/>
      <c r="I20" s="364"/>
      <c r="J20" s="364"/>
      <c r="K20" s="364"/>
      <c r="L20" s="366" t="n">
        <v>0.06</v>
      </c>
      <c r="M20" s="365"/>
      <c r="N20" s="358" t="n">
        <v>12570</v>
      </c>
      <c r="O20" s="352" t="s">
        <v>32</v>
      </c>
    </row>
    <row r="21" customFormat="false" ht="12" hidden="false" customHeight="true" outlineLevel="0" collapsed="false">
      <c r="A21" s="63"/>
      <c r="B21" s="347" t="n">
        <v>46783</v>
      </c>
      <c r="C21" s="63"/>
      <c r="D21" s="355" t="s">
        <v>431</v>
      </c>
      <c r="E21" s="355"/>
      <c r="F21" s="358" t="n">
        <v>10000</v>
      </c>
      <c r="G21" s="362" t="n">
        <v>0.45</v>
      </c>
      <c r="H21" s="63"/>
      <c r="I21" s="367"/>
      <c r="J21" s="367"/>
      <c r="K21" s="367"/>
      <c r="L21" s="361"/>
      <c r="M21" s="63"/>
      <c r="N21" s="63"/>
      <c r="O21" s="63"/>
    </row>
    <row r="22" customFormat="false" ht="12" hidden="false" customHeight="true" outlineLevel="0" collapsed="false">
      <c r="A22" s="63"/>
      <c r="B22" s="347" t="n">
        <v>46965</v>
      </c>
      <c r="C22" s="63"/>
      <c r="D22" s="63" t="s">
        <v>432</v>
      </c>
      <c r="E22" s="63"/>
      <c r="F22" s="358" t="n">
        <v>10001</v>
      </c>
      <c r="G22" s="362" t="n">
        <v>0.25</v>
      </c>
      <c r="H22" s="63"/>
      <c r="I22" s="364" t="s">
        <v>433</v>
      </c>
      <c r="J22" s="364"/>
      <c r="K22" s="364"/>
      <c r="L22" s="63"/>
      <c r="M22" s="365" t="s">
        <v>434</v>
      </c>
      <c r="N22" s="63"/>
      <c r="O22" s="63"/>
    </row>
    <row r="23" customFormat="false" ht="12" hidden="false" customHeight="true" outlineLevel="0" collapsed="false">
      <c r="A23" s="63"/>
      <c r="B23" s="354" t="s">
        <v>435</v>
      </c>
      <c r="C23" s="63"/>
      <c r="D23" s="63"/>
      <c r="E23" s="63"/>
      <c r="F23" s="352"/>
      <c r="G23" s="363"/>
      <c r="H23" s="63"/>
      <c r="I23" s="364"/>
      <c r="J23" s="364"/>
      <c r="K23" s="364"/>
      <c r="L23" s="366" t="n">
        <v>0.02</v>
      </c>
      <c r="M23" s="365"/>
      <c r="N23" s="358" t="n">
        <v>50270</v>
      </c>
      <c r="O23" s="352" t="s">
        <v>32</v>
      </c>
    </row>
    <row r="24" customFormat="false" ht="12" hidden="false" customHeight="true" outlineLevel="0" collapsed="false">
      <c r="A24" s="63"/>
      <c r="B24" s="354" t="s">
        <v>436</v>
      </c>
      <c r="C24" s="63"/>
      <c r="D24" s="348" t="s">
        <v>426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68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8"/>
      <c r="C26" s="63"/>
      <c r="D26" s="355" t="s">
        <v>437</v>
      </c>
      <c r="E26" s="355"/>
      <c r="F26" s="358" t="n">
        <v>90000</v>
      </c>
      <c r="G26" s="352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8"/>
      <c r="C27" s="63"/>
      <c r="D27" s="63" t="s">
        <v>438</v>
      </c>
      <c r="E27" s="63"/>
      <c r="F27" s="356" t="n">
        <v>0.2</v>
      </c>
      <c r="G27" s="352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8"/>
      <c r="C28" s="63"/>
      <c r="D28" s="63"/>
      <c r="E28" s="63"/>
      <c r="F28" s="63"/>
      <c r="G28" s="352"/>
      <c r="H28" s="63"/>
      <c r="I28" s="63"/>
      <c r="J28" s="63"/>
      <c r="K28" s="63"/>
      <c r="L28" s="63"/>
      <c r="M28" s="63"/>
      <c r="N28" s="63"/>
      <c r="O28" s="63"/>
    </row>
  </sheetData>
  <mergeCells count="26">
    <mergeCell ref="D1:F1"/>
    <mergeCell ref="D2:F2"/>
    <mergeCell ref="J2:K2"/>
    <mergeCell ref="D4:F4"/>
    <mergeCell ref="I4:M4"/>
    <mergeCell ref="D5:F5"/>
    <mergeCell ref="I6:M6"/>
    <mergeCell ref="D7:F7"/>
    <mergeCell ref="I7:M7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208" width="1.66"/>
    <col collapsed="false" customWidth="true" hidden="false" outlineLevel="0" max="2" min="2" style="207" width="10.99"/>
    <col collapsed="false" customWidth="true" hidden="false" outlineLevel="0" max="3" min="3" style="166" width="23.49"/>
    <col collapsed="false" customWidth="true" hidden="false" outlineLevel="0" max="4" min="4" style="286" width="19.5"/>
    <col collapsed="false" customWidth="true" hidden="false" outlineLevel="0" max="5" min="5" style="249" width="10.66"/>
    <col collapsed="false" customWidth="true" hidden="false" outlineLevel="0" max="6" min="6" style="249" width="10.15"/>
    <col collapsed="false" customWidth="true" hidden="false" outlineLevel="0" max="7" min="7" style="249" width="11.5"/>
    <col collapsed="false" customWidth="true" hidden="false" outlineLevel="0" max="8" min="8" style="206" width="6.66"/>
    <col collapsed="false" customWidth="true" hidden="false" outlineLevel="0" max="9" min="9" style="249" width="9.66"/>
    <col collapsed="false" customWidth="true" hidden="false" outlineLevel="0" max="10" min="10" style="249" width="9.49"/>
    <col collapsed="false" customWidth="true" hidden="false" outlineLevel="0" max="11" min="11" style="249" width="10.99"/>
    <col collapsed="false" customWidth="true" hidden="false" outlineLevel="0" max="12" min="12" style="249" width="0.82"/>
    <col collapsed="false" customWidth="true" hidden="false" outlineLevel="0" max="13" min="13" style="206" width="6.66"/>
    <col collapsed="false" customWidth="true" hidden="false" outlineLevel="0" max="14" min="14" style="249" width="0.82"/>
    <col collapsed="false" customWidth="true" hidden="false" outlineLevel="0" max="15" min="15" style="210" width="10.99"/>
    <col collapsed="false" customWidth="true" hidden="false" outlineLevel="0" max="16" min="16" style="184" width="5.66"/>
    <col collapsed="false" customWidth="true" hidden="false" outlineLevel="0" max="18" min="17" style="210" width="8.66"/>
    <col collapsed="false" customWidth="true" hidden="false" outlineLevel="0" max="19" min="19" style="210" width="11.5"/>
    <col collapsed="false" customWidth="true" hidden="false" outlineLevel="0" max="20" min="20" style="210" width="0.82"/>
    <col collapsed="false" customWidth="false" hidden="false" outlineLevel="0" max="21" min="21" style="207" width="9.15"/>
    <col collapsed="false" customWidth="true" hidden="false" outlineLevel="0" max="22" min="22" style="249" width="10.66"/>
    <col collapsed="false" customWidth="true" hidden="false" outlineLevel="0" max="23" min="23" style="249" width="10.82"/>
    <col collapsed="false" customWidth="true" hidden="false" outlineLevel="0" max="24" min="24" style="249" width="11.32"/>
    <col collapsed="false" customWidth="false" hidden="false" outlineLevel="0" max="26" min="25" style="210" width="9.15"/>
    <col collapsed="false" customWidth="true" hidden="false" outlineLevel="0" max="27" min="27" style="208" width="1.66"/>
    <col collapsed="false" customWidth="false" hidden="false" outlineLevel="0" max="257" min="28" style="208" width="9.15"/>
  </cols>
  <sheetData>
    <row r="1" s="264" customFormat="true" ht="13.5" hidden="false" customHeight="true" outlineLevel="0" collapsed="false">
      <c r="A1" s="369"/>
      <c r="B1" s="188" t="s">
        <v>439</v>
      </c>
      <c r="C1" s="370" t="s">
        <v>440</v>
      </c>
      <c r="D1" s="370"/>
      <c r="E1" s="170" t="n">
        <f aca="false">E57+E110</f>
        <v>0</v>
      </c>
      <c r="F1" s="276" t="n">
        <f aca="false">F57+F110</f>
        <v>0</v>
      </c>
      <c r="G1" s="276" t="n">
        <f aca="false">G57+G110</f>
        <v>0</v>
      </c>
      <c r="H1" s="371" t="s">
        <v>441</v>
      </c>
      <c r="I1" s="276" t="n">
        <f aca="false">I57+I110</f>
        <v>0</v>
      </c>
      <c r="J1" s="276" t="n">
        <f aca="false">J57+J110</f>
        <v>0</v>
      </c>
      <c r="K1" s="276" t="n">
        <f aca="false">K57+K110</f>
        <v>0</v>
      </c>
      <c r="L1" s="372"/>
      <c r="M1" s="371" t="s">
        <v>442</v>
      </c>
      <c r="N1" s="372"/>
      <c r="O1" s="276" t="n">
        <f aca="false">O57+O110</f>
        <v>0</v>
      </c>
      <c r="P1" s="373" t="s">
        <v>443</v>
      </c>
      <c r="Q1" s="276" t="n">
        <f aca="false">Q57+Q110</f>
        <v>0</v>
      </c>
      <c r="R1" s="276" t="n">
        <f aca="false">R57+R110</f>
        <v>0</v>
      </c>
      <c r="S1" s="276" t="n">
        <f aca="false">S57+S110</f>
        <v>0</v>
      </c>
      <c r="T1" s="215"/>
      <c r="U1" s="189" t="s">
        <v>444</v>
      </c>
      <c r="V1" s="276" t="n">
        <f aca="false">V57+V110</f>
        <v>0</v>
      </c>
      <c r="W1" s="276" t="n">
        <f aca="false">W57+W110</f>
        <v>0</v>
      </c>
      <c r="X1" s="276" t="n">
        <f aca="false">X57+X110</f>
        <v>0</v>
      </c>
      <c r="Y1" s="276" t="n">
        <f aca="false">Y57+Y110</f>
        <v>0</v>
      </c>
      <c r="Z1" s="276" t="n">
        <f aca="false">Z57+Z110</f>
        <v>0</v>
      </c>
      <c r="AA1" s="277"/>
    </row>
    <row r="2" customFormat="false" ht="12" hidden="false" customHeight="true" outlineLevel="0" collapsed="false">
      <c r="A2" s="369"/>
      <c r="B2" s="188"/>
      <c r="C2" s="374" t="s">
        <v>445</v>
      </c>
      <c r="D2" s="375" t="s">
        <v>446</v>
      </c>
      <c r="E2" s="190" t="s">
        <v>447</v>
      </c>
      <c r="F2" s="376" t="s">
        <v>448</v>
      </c>
      <c r="G2" s="377" t="s">
        <v>449</v>
      </c>
      <c r="H2" s="371"/>
      <c r="I2" s="355" t="s">
        <v>450</v>
      </c>
      <c r="J2" s="376" t="s">
        <v>448</v>
      </c>
      <c r="K2" s="377" t="s">
        <v>451</v>
      </c>
      <c r="L2" s="372"/>
      <c r="M2" s="371"/>
      <c r="N2" s="372"/>
      <c r="O2" s="377" t="s">
        <v>452</v>
      </c>
      <c r="P2" s="373"/>
      <c r="Q2" s="378" t="s">
        <v>453</v>
      </c>
      <c r="R2" s="190" t="s">
        <v>454</v>
      </c>
      <c r="S2" s="377" t="s">
        <v>455</v>
      </c>
      <c r="T2" s="215"/>
      <c r="U2" s="189"/>
      <c r="V2" s="379" t="s">
        <v>456</v>
      </c>
      <c r="W2" s="379" t="s">
        <v>457</v>
      </c>
      <c r="X2" s="379" t="s">
        <v>458</v>
      </c>
      <c r="Y2" s="190" t="s">
        <v>459</v>
      </c>
      <c r="Z2" s="190" t="s">
        <v>460</v>
      </c>
      <c r="AA2" s="263"/>
    </row>
    <row r="3" customFormat="false" ht="12" hidden="false" customHeight="true" outlineLevel="0" collapsed="false">
      <c r="A3" s="369"/>
      <c r="B3" s="188"/>
      <c r="C3" s="374"/>
      <c r="D3" s="375"/>
      <c r="E3" s="190"/>
      <c r="F3" s="376"/>
      <c r="G3" s="377"/>
      <c r="H3" s="371"/>
      <c r="I3" s="355"/>
      <c r="J3" s="376"/>
      <c r="K3" s="377"/>
      <c r="L3" s="372"/>
      <c r="M3" s="371"/>
      <c r="N3" s="372"/>
      <c r="O3" s="377"/>
      <c r="P3" s="373"/>
      <c r="Q3" s="378"/>
      <c r="R3" s="190"/>
      <c r="S3" s="377"/>
      <c r="T3" s="215"/>
      <c r="U3" s="189"/>
      <c r="V3" s="379"/>
      <c r="W3" s="379"/>
      <c r="X3" s="379"/>
      <c r="Y3" s="379"/>
      <c r="Z3" s="379"/>
      <c r="AA3" s="263"/>
    </row>
    <row r="4" s="271" customFormat="true" ht="12.75" hidden="false" customHeight="true" outlineLevel="0" collapsed="false">
      <c r="A4" s="369"/>
      <c r="B4" s="188"/>
      <c r="C4" s="374"/>
      <c r="D4" s="375"/>
      <c r="E4" s="190"/>
      <c r="F4" s="256" t="n">
        <f aca="false">Admin!$B$4</f>
        <v>46118</v>
      </c>
      <c r="G4" s="256" t="n">
        <f aca="false">Admin!$B$4</f>
        <v>46118</v>
      </c>
      <c r="H4" s="371"/>
      <c r="I4" s="355"/>
      <c r="J4" s="256" t="n">
        <f aca="false">Admin!$B$17</f>
        <v>46482</v>
      </c>
      <c r="K4" s="256" t="n">
        <f aca="false">Admin!$B$17</f>
        <v>46482</v>
      </c>
      <c r="L4" s="372"/>
      <c r="M4" s="371"/>
      <c r="N4" s="372"/>
      <c r="O4" s="256" t="n">
        <f aca="false">Admin!$B$4</f>
        <v>46118</v>
      </c>
      <c r="P4" s="255" t="n">
        <f aca="false">Admin!$G$4</f>
        <v>1</v>
      </c>
      <c r="Q4" s="378"/>
      <c r="R4" s="270" t="n">
        <f aca="false">Admin!$G$5</f>
        <v>0.14</v>
      </c>
      <c r="S4" s="256" t="n">
        <f aca="false">Admin!$B$17</f>
        <v>46482</v>
      </c>
      <c r="T4" s="215"/>
      <c r="U4" s="189"/>
      <c r="V4" s="379"/>
      <c r="W4" s="379"/>
      <c r="X4" s="379"/>
      <c r="Y4" s="379"/>
      <c r="Z4" s="379"/>
      <c r="AA4" s="158"/>
    </row>
    <row r="5" s="271" customFormat="true" ht="6" hidden="false" customHeight="true" outlineLevel="0" collapsed="false">
      <c r="A5" s="225"/>
      <c r="B5" s="313"/>
      <c r="C5" s="282"/>
      <c r="D5" s="179"/>
      <c r="E5" s="314"/>
      <c r="F5" s="315"/>
      <c r="G5" s="314"/>
      <c r="H5" s="318"/>
      <c r="I5" s="315"/>
      <c r="J5" s="315"/>
      <c r="K5" s="314"/>
      <c r="L5" s="316"/>
      <c r="M5" s="191"/>
      <c r="N5" s="316"/>
      <c r="O5" s="314"/>
      <c r="P5" s="179"/>
      <c r="Q5" s="220"/>
      <c r="R5" s="317"/>
      <c r="S5" s="314"/>
      <c r="T5" s="316"/>
      <c r="U5" s="313"/>
      <c r="V5" s="314"/>
      <c r="W5" s="314"/>
      <c r="X5" s="314"/>
      <c r="Y5" s="314"/>
      <c r="Z5" s="314"/>
      <c r="AA5" s="158"/>
    </row>
    <row r="6" customFormat="false" ht="13.5" hidden="false" customHeight="true" outlineLevel="0" collapsed="false">
      <c r="A6" s="232"/>
      <c r="B6" s="380" t="s">
        <v>461</v>
      </c>
      <c r="C6" s="380"/>
      <c r="D6" s="259" t="n">
        <f aca="false">Admin!$B$4</f>
        <v>46118</v>
      </c>
      <c r="E6" s="266"/>
      <c r="F6" s="266"/>
      <c r="G6" s="266"/>
      <c r="H6" s="157"/>
      <c r="I6" s="266"/>
      <c r="J6" s="266"/>
      <c r="K6" s="266"/>
      <c r="L6" s="266"/>
      <c r="M6" s="157"/>
      <c r="N6" s="266"/>
      <c r="O6" s="154"/>
      <c r="P6" s="183"/>
      <c r="Q6" s="154"/>
      <c r="R6" s="154"/>
      <c r="S6" s="154"/>
      <c r="T6" s="154"/>
      <c r="U6" s="267"/>
      <c r="V6" s="265"/>
      <c r="W6" s="265"/>
      <c r="X6" s="265"/>
      <c r="Y6" s="154"/>
      <c r="Z6" s="154"/>
      <c r="AA6" s="263"/>
    </row>
    <row r="7" customFormat="false" ht="13.5" hidden="false" customHeight="true" outlineLevel="0" collapsed="false">
      <c r="A7" s="232"/>
      <c r="B7" s="381" t="s">
        <v>418</v>
      </c>
      <c r="C7" s="381"/>
      <c r="D7" s="262"/>
      <c r="E7" s="266"/>
      <c r="F7" s="266"/>
      <c r="G7" s="266"/>
      <c r="H7" s="296" t="n">
        <f aca="false">Admin!$G$13</f>
        <v>0</v>
      </c>
      <c r="I7" s="266"/>
      <c r="J7" s="266"/>
      <c r="K7" s="266"/>
      <c r="L7" s="266"/>
      <c r="M7" s="157"/>
      <c r="N7" s="266"/>
      <c r="O7" s="154"/>
      <c r="P7" s="183"/>
      <c r="Q7" s="154"/>
      <c r="R7" s="154"/>
      <c r="S7" s="154"/>
      <c r="T7" s="154"/>
      <c r="U7" s="267"/>
      <c r="V7" s="265"/>
      <c r="W7" s="265"/>
      <c r="X7" s="265"/>
      <c r="Y7" s="154"/>
      <c r="Z7" s="154"/>
      <c r="AA7" s="263"/>
    </row>
    <row r="8" customFormat="false" ht="12" hidden="false" customHeight="false" outlineLevel="0" collapsed="false">
      <c r="A8" s="232"/>
      <c r="B8" s="298"/>
      <c r="C8" s="171"/>
      <c r="D8" s="299"/>
      <c r="E8" s="300"/>
      <c r="F8" s="300"/>
      <c r="G8" s="265" t="str">
        <f aca="false">IF(E8&gt;0,E8-F8," ")</f>
        <v> </v>
      </c>
      <c r="H8" s="268" t="n">
        <f aca="false">H$7</f>
        <v>0</v>
      </c>
      <c r="I8" s="265" t="str">
        <f aca="false">IF(E8&gt;0,MIN(E8*H8,G8)," ")</f>
        <v> </v>
      </c>
      <c r="J8" s="265" t="str">
        <f aca="false">IF(E8&gt;0,F8+I8," ")</f>
        <v> </v>
      </c>
      <c r="K8" s="265" t="str">
        <f aca="false">IF(E8&gt;0,E8-J8," ")</f>
        <v> </v>
      </c>
      <c r="L8" s="265"/>
      <c r="M8" s="268"/>
      <c r="N8" s="265"/>
      <c r="O8" s="154"/>
      <c r="P8" s="183"/>
      <c r="Q8" s="154"/>
      <c r="R8" s="154"/>
      <c r="S8" s="154"/>
      <c r="T8" s="154"/>
      <c r="U8" s="298"/>
      <c r="V8" s="300"/>
      <c r="W8" s="265" t="str">
        <f aca="false">IF(V8&gt;0,E8," ")</f>
        <v> </v>
      </c>
      <c r="X8" s="265" t="str">
        <f aca="false">IF(V8&gt;0,J8," ")</f>
        <v> </v>
      </c>
      <c r="Y8" s="154"/>
      <c r="Z8" s="154"/>
      <c r="AA8" s="263"/>
    </row>
    <row r="9" customFormat="false" ht="12" hidden="false" customHeight="false" outlineLevel="0" collapsed="false">
      <c r="A9" s="232"/>
      <c r="B9" s="298"/>
      <c r="C9" s="171"/>
      <c r="D9" s="299"/>
      <c r="E9" s="300"/>
      <c r="F9" s="300"/>
      <c r="G9" s="265" t="str">
        <f aca="false">IF(E9&gt;0,E9-F9," ")</f>
        <v> </v>
      </c>
      <c r="H9" s="268" t="n">
        <f aca="false">H$7</f>
        <v>0</v>
      </c>
      <c r="I9" s="265" t="str">
        <f aca="false">IF(E9&gt;0,MIN(E9*H9,G9)," ")</f>
        <v> </v>
      </c>
      <c r="J9" s="265" t="str">
        <f aca="false">IF(E9&gt;0,F9+I9," ")</f>
        <v> </v>
      </c>
      <c r="K9" s="265" t="str">
        <f aca="false">IF(E9&gt;0,E9-J9," ")</f>
        <v> </v>
      </c>
      <c r="L9" s="265"/>
      <c r="M9" s="268"/>
      <c r="N9" s="265"/>
      <c r="O9" s="154"/>
      <c r="P9" s="183"/>
      <c r="Q9" s="154"/>
      <c r="R9" s="154"/>
      <c r="S9" s="154"/>
      <c r="T9" s="154"/>
      <c r="U9" s="298"/>
      <c r="V9" s="300"/>
      <c r="W9" s="265" t="str">
        <f aca="false">IF(V9&gt;0,E9," ")</f>
        <v> </v>
      </c>
      <c r="X9" s="265" t="str">
        <f aca="false">IF(V9&gt;0,J9," ")</f>
        <v> </v>
      </c>
      <c r="Y9" s="154"/>
      <c r="Z9" s="154"/>
      <c r="AA9" s="263"/>
    </row>
    <row r="10" customFormat="false" ht="12" hidden="false" customHeight="false" outlineLevel="0" collapsed="false">
      <c r="A10" s="232"/>
      <c r="B10" s="298"/>
      <c r="C10" s="171"/>
      <c r="D10" s="299"/>
      <c r="E10" s="300"/>
      <c r="F10" s="300"/>
      <c r="G10" s="265" t="str">
        <f aca="false">IF(E10&gt;0,E10-F10," ")</f>
        <v> </v>
      </c>
      <c r="H10" s="268" t="n">
        <f aca="false">H$7</f>
        <v>0</v>
      </c>
      <c r="I10" s="265" t="str">
        <f aca="false">IF(E10&gt;0,MIN(E10*H10,G10)," ")</f>
        <v> </v>
      </c>
      <c r="J10" s="265" t="str">
        <f aca="false">IF(E10&gt;0,F10+I10," ")</f>
        <v> </v>
      </c>
      <c r="K10" s="265" t="str">
        <f aca="false">IF(E10&gt;0,E10-J10," ")</f>
        <v> </v>
      </c>
      <c r="L10" s="265"/>
      <c r="M10" s="268"/>
      <c r="N10" s="265"/>
      <c r="O10" s="154"/>
      <c r="P10" s="183"/>
      <c r="Q10" s="154"/>
      <c r="R10" s="154"/>
      <c r="S10" s="154"/>
      <c r="T10" s="154"/>
      <c r="U10" s="298"/>
      <c r="V10" s="300"/>
      <c r="W10" s="265" t="str">
        <f aca="false">IF(V10&gt;0,E10," ")</f>
        <v> </v>
      </c>
      <c r="X10" s="265" t="str">
        <f aca="false">IF(V10&gt;0,J10," ")</f>
        <v> </v>
      </c>
      <c r="Y10" s="154"/>
      <c r="Z10" s="154"/>
      <c r="AA10" s="263"/>
    </row>
    <row r="11" customFormat="false" ht="12" hidden="false" customHeight="false" outlineLevel="0" collapsed="false">
      <c r="A11" s="232"/>
      <c r="B11" s="382" t="s">
        <v>462</v>
      </c>
      <c r="C11" s="382"/>
      <c r="D11" s="382"/>
      <c r="E11" s="297" t="n">
        <f aca="false">SUM(E8:E10)</f>
        <v>0</v>
      </c>
      <c r="F11" s="297" t="n">
        <f aca="false">SUM(F8:F10)</f>
        <v>0</v>
      </c>
      <c r="G11" s="272" t="n">
        <f aca="false">SUM(G8:G10)</f>
        <v>0</v>
      </c>
      <c r="H11" s="268"/>
      <c r="I11" s="272" t="n">
        <f aca="false">SUM(I8:I10)</f>
        <v>0</v>
      </c>
      <c r="J11" s="272" t="n">
        <f aca="false">SUM(J8:J10)</f>
        <v>0</v>
      </c>
      <c r="K11" s="272" t="n">
        <f aca="false">SUM(K8:K10)</f>
        <v>0</v>
      </c>
      <c r="L11" s="265"/>
      <c r="M11" s="268"/>
      <c r="N11" s="265"/>
      <c r="O11" s="272" t="n">
        <f aca="false">SUM(O8:O10)</f>
        <v>0</v>
      </c>
      <c r="P11" s="287"/>
      <c r="Q11" s="272" t="n">
        <f aca="false">SUM(Q8:Q10)</f>
        <v>0</v>
      </c>
      <c r="R11" s="272" t="n">
        <f aca="false">SUM(R8:R10)</f>
        <v>0</v>
      </c>
      <c r="S11" s="272" t="n">
        <f aca="false">SUM(S8:S10)</f>
        <v>0</v>
      </c>
      <c r="T11" s="154"/>
      <c r="U11" s="267"/>
      <c r="V11" s="297" t="n">
        <f aca="false">SUM(V8:V10)</f>
        <v>0</v>
      </c>
      <c r="W11" s="272" t="n">
        <f aca="false">SUM(W8:W10)</f>
        <v>0</v>
      </c>
      <c r="X11" s="272" t="n">
        <f aca="false">SUM(X8:X10)</f>
        <v>0</v>
      </c>
      <c r="Y11" s="272" t="n">
        <f aca="false">SUM(Y8:Y10)</f>
        <v>0</v>
      </c>
      <c r="Z11" s="272" t="n">
        <f aca="false">SUM(Z8:Z10)</f>
        <v>0</v>
      </c>
      <c r="AA11" s="263"/>
    </row>
    <row r="12" customFormat="false" ht="6" hidden="false" customHeight="true" outlineLevel="0" collapsed="false">
      <c r="A12" s="232"/>
      <c r="B12" s="293"/>
      <c r="C12" s="283"/>
      <c r="D12" s="294"/>
      <c r="E12" s="265"/>
      <c r="F12" s="265"/>
      <c r="G12" s="265"/>
      <c r="H12" s="268"/>
      <c r="I12" s="265"/>
      <c r="J12" s="265"/>
      <c r="K12" s="265"/>
      <c r="L12" s="265"/>
      <c r="M12" s="268"/>
      <c r="N12" s="265"/>
      <c r="O12" s="265"/>
      <c r="P12" s="287"/>
      <c r="Q12" s="265"/>
      <c r="R12" s="265"/>
      <c r="S12" s="265"/>
      <c r="T12" s="154"/>
      <c r="U12" s="267"/>
      <c r="V12" s="265"/>
      <c r="W12" s="265"/>
      <c r="X12" s="265"/>
      <c r="Y12" s="265"/>
      <c r="Z12" s="265"/>
      <c r="AA12" s="263"/>
    </row>
    <row r="13" customFormat="false" ht="12" hidden="false" customHeight="false" outlineLevel="0" collapsed="false">
      <c r="A13" s="232"/>
      <c r="B13" s="381" t="s">
        <v>419</v>
      </c>
      <c r="C13" s="381"/>
      <c r="D13" s="287"/>
      <c r="E13" s="265"/>
      <c r="F13" s="265"/>
      <c r="G13" s="265"/>
      <c r="H13" s="186" t="n">
        <f aca="false">Admin!$G$14</f>
        <v>0.1</v>
      </c>
      <c r="I13" s="265"/>
      <c r="J13" s="265"/>
      <c r="K13" s="265"/>
      <c r="L13" s="265"/>
      <c r="M13" s="268"/>
      <c r="N13" s="265"/>
      <c r="O13" s="154"/>
      <c r="P13" s="183"/>
      <c r="Q13" s="154"/>
      <c r="R13" s="154"/>
      <c r="S13" s="154"/>
      <c r="T13" s="154"/>
      <c r="U13" s="267"/>
      <c r="V13" s="265"/>
      <c r="W13" s="265"/>
      <c r="X13" s="265"/>
      <c r="Y13" s="154"/>
      <c r="Z13" s="154"/>
      <c r="AA13" s="263"/>
    </row>
    <row r="14" customFormat="false" ht="12" hidden="false" customHeight="false" outlineLevel="0" collapsed="false">
      <c r="A14" s="232"/>
      <c r="B14" s="298"/>
      <c r="C14" s="171"/>
      <c r="D14" s="299"/>
      <c r="E14" s="300"/>
      <c r="F14" s="300"/>
      <c r="G14" s="265" t="str">
        <f aca="false">IF(E14&gt;0,E14-F14," ")</f>
        <v> </v>
      </c>
      <c r="H14" s="268" t="n">
        <f aca="false">H$13</f>
        <v>0.1</v>
      </c>
      <c r="I14" s="265" t="str">
        <f aca="false">IF(E14&gt;0,MIN(E14*H14,G14)," ")</f>
        <v> </v>
      </c>
      <c r="J14" s="265" t="str">
        <f aca="false">IF(E14&gt;0,F14+I14," ")</f>
        <v> </v>
      </c>
      <c r="K14" s="265" t="str">
        <f aca="false">IF(E14&gt;0,E14-J14," ")</f>
        <v> </v>
      </c>
      <c r="L14" s="265"/>
      <c r="M14" s="268"/>
      <c r="N14" s="265"/>
      <c r="O14" s="302"/>
      <c r="P14" s="183"/>
      <c r="Q14" s="154"/>
      <c r="R14" s="154" t="str">
        <f aca="false">IF(O14&gt;0,O14*R$4," ")</f>
        <v> </v>
      </c>
      <c r="S14" s="154" t="str">
        <f aca="false">IF(O14&gt;0,O14-R14," ")</f>
        <v> </v>
      </c>
      <c r="T14" s="154"/>
      <c r="U14" s="298"/>
      <c r="V14" s="300"/>
      <c r="W14" s="265" t="str">
        <f aca="false">IF(V14&gt;0,E14," ")</f>
        <v> </v>
      </c>
      <c r="X14" s="265" t="str">
        <f aca="false">IF(V14&gt;0,J14," ")</f>
        <v> </v>
      </c>
      <c r="Y14" s="154" t="str">
        <f aca="false">IF((U14+V14)&gt;0,IF(V14&lt;S14,S14-V14," ")," ")</f>
        <v> </v>
      </c>
      <c r="Z14" s="154" t="str">
        <f aca="false">IF((U14+V14)&gt;0,IF(V14&gt;S14,V14-S14," ")," ")</f>
        <v> </v>
      </c>
      <c r="AA14" s="263"/>
    </row>
    <row r="15" customFormat="false" ht="12" hidden="false" customHeight="false" outlineLevel="0" collapsed="false">
      <c r="A15" s="232"/>
      <c r="B15" s="298"/>
      <c r="C15" s="171"/>
      <c r="D15" s="299"/>
      <c r="E15" s="300"/>
      <c r="F15" s="300"/>
      <c r="G15" s="265" t="str">
        <f aca="false">IF(E15&gt;0,E15-F15," ")</f>
        <v> </v>
      </c>
      <c r="H15" s="268" t="n">
        <f aca="false">H$13</f>
        <v>0.1</v>
      </c>
      <c r="I15" s="265" t="str">
        <f aca="false">IF(E15&gt;0,MIN(E15*H15,G15)," ")</f>
        <v> </v>
      </c>
      <c r="J15" s="265" t="str">
        <f aca="false">IF(E15&gt;0,F15+I15," ")</f>
        <v> </v>
      </c>
      <c r="K15" s="265" t="str">
        <f aca="false">IF(E15&gt;0,E15-J15," ")</f>
        <v> </v>
      </c>
      <c r="L15" s="265"/>
      <c r="M15" s="268"/>
      <c r="N15" s="265"/>
      <c r="O15" s="302"/>
      <c r="P15" s="183"/>
      <c r="Q15" s="154"/>
      <c r="R15" s="154" t="str">
        <f aca="false">IF(O15&gt;0,O15*R$4," ")</f>
        <v> </v>
      </c>
      <c r="S15" s="154" t="str">
        <f aca="false">IF(O15&gt;0,O15-R15," ")</f>
        <v> </v>
      </c>
      <c r="T15" s="154"/>
      <c r="U15" s="298"/>
      <c r="V15" s="300"/>
      <c r="W15" s="265" t="str">
        <f aca="false">IF(V15&gt;0,E15," ")</f>
        <v> </v>
      </c>
      <c r="X15" s="265" t="str">
        <f aca="false">IF(V15&gt;0,J15," ")</f>
        <v> </v>
      </c>
      <c r="Y15" s="154" t="str">
        <f aca="false">IF((U15+V15)&gt;0,IF(V15&lt;S15,S15-V15," ")," ")</f>
        <v> </v>
      </c>
      <c r="Z15" s="154" t="str">
        <f aca="false">IF((U15+V15)&gt;0,IF(V15&gt;S15,V15-S15," ")," ")</f>
        <v> </v>
      </c>
      <c r="AA15" s="263"/>
    </row>
    <row r="16" customFormat="false" ht="12" hidden="false" customHeight="false" outlineLevel="0" collapsed="false">
      <c r="A16" s="232"/>
      <c r="B16" s="298"/>
      <c r="C16" s="171"/>
      <c r="D16" s="299"/>
      <c r="E16" s="300"/>
      <c r="F16" s="300"/>
      <c r="G16" s="265" t="str">
        <f aca="false">IF(E16&gt;0,E16-F16," ")</f>
        <v> </v>
      </c>
      <c r="H16" s="268" t="n">
        <f aca="false">H$13</f>
        <v>0.1</v>
      </c>
      <c r="I16" s="265" t="str">
        <f aca="false">IF(E16&gt;0,MIN(E16*H16,G16)," ")</f>
        <v> </v>
      </c>
      <c r="J16" s="265" t="str">
        <f aca="false">IF(E16&gt;0,F16+I16," ")</f>
        <v> </v>
      </c>
      <c r="K16" s="265" t="str">
        <f aca="false">IF(E16&gt;0,E16-J16," ")</f>
        <v> </v>
      </c>
      <c r="L16" s="265"/>
      <c r="M16" s="268"/>
      <c r="N16" s="265"/>
      <c r="O16" s="302"/>
      <c r="P16" s="183"/>
      <c r="Q16" s="154"/>
      <c r="R16" s="154" t="str">
        <f aca="false">IF(O16&gt;0,O16*R$4," ")</f>
        <v> </v>
      </c>
      <c r="S16" s="154" t="str">
        <f aca="false">IF(O16&gt;0,O16-R16," ")</f>
        <v> </v>
      </c>
      <c r="T16" s="154"/>
      <c r="U16" s="298"/>
      <c r="V16" s="300"/>
      <c r="W16" s="265" t="str">
        <f aca="false">IF(V16&gt;0,E16," ")</f>
        <v> </v>
      </c>
      <c r="X16" s="265" t="str">
        <f aca="false">IF(V16&gt;0,J16," ")</f>
        <v> </v>
      </c>
      <c r="Y16" s="154" t="str">
        <f aca="false">IF((U16+V16)&gt;0,IF(V16&lt;S16,S16-V16," ")," ")</f>
        <v> </v>
      </c>
      <c r="Z16" s="154" t="str">
        <f aca="false">IF((U16+V16)&gt;0,IF(V16&gt;S16,V16-S16," ")," ")</f>
        <v> </v>
      </c>
      <c r="AA16" s="263"/>
    </row>
    <row r="17" customFormat="false" ht="12" hidden="false" customHeight="false" outlineLevel="0" collapsed="false">
      <c r="A17" s="232"/>
      <c r="B17" s="298"/>
      <c r="C17" s="171"/>
      <c r="D17" s="299"/>
      <c r="E17" s="300"/>
      <c r="F17" s="300"/>
      <c r="G17" s="265" t="str">
        <f aca="false">IF(E17&gt;0,E17-F17," ")</f>
        <v> </v>
      </c>
      <c r="H17" s="268" t="n">
        <f aca="false">H$13</f>
        <v>0.1</v>
      </c>
      <c r="I17" s="265" t="str">
        <f aca="false">IF(E17&gt;0,MIN(E17*H17,G17)," ")</f>
        <v> </v>
      </c>
      <c r="J17" s="265" t="str">
        <f aca="false">IF(E17&gt;0,F17+I17," ")</f>
        <v> </v>
      </c>
      <c r="K17" s="265" t="str">
        <f aca="false">IF(E17&gt;0,E17-J17," ")</f>
        <v> </v>
      </c>
      <c r="L17" s="265"/>
      <c r="M17" s="268"/>
      <c r="N17" s="265"/>
      <c r="O17" s="302"/>
      <c r="P17" s="183"/>
      <c r="Q17" s="154"/>
      <c r="R17" s="154" t="str">
        <f aca="false">IF(O17&gt;0,O17*R$4," ")</f>
        <v> </v>
      </c>
      <c r="S17" s="154" t="str">
        <f aca="false">IF(O17&gt;0,O17-R17," ")</f>
        <v> </v>
      </c>
      <c r="T17" s="154"/>
      <c r="U17" s="298"/>
      <c r="V17" s="300"/>
      <c r="W17" s="265" t="str">
        <f aca="false">IF(V17&gt;0,E17," ")</f>
        <v> </v>
      </c>
      <c r="X17" s="265" t="str">
        <f aca="false">IF(V17&gt;0,J17," ")</f>
        <v> </v>
      </c>
      <c r="Y17" s="154" t="str">
        <f aca="false">IF((U17+V17)&gt;0,IF(V17&lt;S17,S17-V17," ")," ")</f>
        <v> </v>
      </c>
      <c r="Z17" s="154" t="str">
        <f aca="false">IF((U17+V17)&gt;0,IF(V17&gt;S17,V17-S17," ")," ")</f>
        <v> </v>
      </c>
      <c r="AA17" s="263"/>
    </row>
    <row r="18" customFormat="false" ht="12" hidden="false" customHeight="false" outlineLevel="0" collapsed="false">
      <c r="A18" s="232"/>
      <c r="B18" s="298"/>
      <c r="C18" s="171"/>
      <c r="D18" s="299"/>
      <c r="E18" s="300"/>
      <c r="F18" s="300"/>
      <c r="G18" s="265" t="str">
        <f aca="false">IF(E18&gt;0,E18-F18," ")</f>
        <v> </v>
      </c>
      <c r="H18" s="268" t="n">
        <f aca="false">H$13</f>
        <v>0.1</v>
      </c>
      <c r="I18" s="265" t="str">
        <f aca="false">IF(E18&gt;0,MIN(E18*H18,G18)," ")</f>
        <v> </v>
      </c>
      <c r="J18" s="265" t="str">
        <f aca="false">IF(E18&gt;0,F18+I18," ")</f>
        <v> </v>
      </c>
      <c r="K18" s="265" t="str">
        <f aca="false">IF(E18&gt;0,E18-J18," ")</f>
        <v> </v>
      </c>
      <c r="L18" s="265"/>
      <c r="M18" s="268"/>
      <c r="N18" s="265"/>
      <c r="O18" s="302"/>
      <c r="P18" s="183"/>
      <c r="Q18" s="154"/>
      <c r="R18" s="154" t="str">
        <f aca="false">IF(O18&gt;0,O18*R$4," ")</f>
        <v> </v>
      </c>
      <c r="S18" s="154" t="str">
        <f aca="false">IF(O18&gt;0,O18-R18," ")</f>
        <v> </v>
      </c>
      <c r="T18" s="154"/>
      <c r="U18" s="298"/>
      <c r="V18" s="300"/>
      <c r="W18" s="265" t="str">
        <f aca="false">IF(V18&gt;0,E18," ")</f>
        <v> </v>
      </c>
      <c r="X18" s="265" t="str">
        <f aca="false">IF(V18&gt;0,J18," ")</f>
        <v> </v>
      </c>
      <c r="Y18" s="154" t="str">
        <f aca="false">IF((U18+V18)&gt;0,IF(V18&lt;S18,S18-V18," ")," ")</f>
        <v> </v>
      </c>
      <c r="Z18" s="154" t="str">
        <f aca="false">IF((U18+V18)&gt;0,IF(V18&gt;S18,V18-S18," ")," ")</f>
        <v> </v>
      </c>
      <c r="AA18" s="263"/>
    </row>
    <row r="19" customFormat="false" ht="12" hidden="false" customHeight="false" outlineLevel="0" collapsed="false">
      <c r="A19" s="232"/>
      <c r="B19" s="382" t="s">
        <v>463</v>
      </c>
      <c r="C19" s="382"/>
      <c r="D19" s="382"/>
      <c r="E19" s="297" t="n">
        <f aca="false">SUM(E14:E18)</f>
        <v>0</v>
      </c>
      <c r="F19" s="297" t="n">
        <f aca="false">SUM(F14:F18)</f>
        <v>0</v>
      </c>
      <c r="G19" s="272" t="n">
        <f aca="false">SUM(G14:G18)</f>
        <v>0</v>
      </c>
      <c r="H19" s="268"/>
      <c r="I19" s="272" t="n">
        <f aca="false">SUM(I14:I18)</f>
        <v>0</v>
      </c>
      <c r="J19" s="272" t="n">
        <f aca="false">SUM(J14:J18)</f>
        <v>0</v>
      </c>
      <c r="K19" s="272" t="n">
        <f aca="false">SUM(K14:K18)</f>
        <v>0</v>
      </c>
      <c r="L19" s="265"/>
      <c r="M19" s="268"/>
      <c r="N19" s="265"/>
      <c r="O19" s="272" t="n">
        <f aca="false">SUM(O14:O18)</f>
        <v>0</v>
      </c>
      <c r="P19" s="287"/>
      <c r="Q19" s="272" t="n">
        <f aca="false">SUM(Q14:Q18)</f>
        <v>0</v>
      </c>
      <c r="R19" s="272" t="n">
        <f aca="false">SUM(R14:R18)</f>
        <v>0</v>
      </c>
      <c r="S19" s="272" t="n">
        <f aca="false">SUM(S14:S18)</f>
        <v>0</v>
      </c>
      <c r="T19" s="154"/>
      <c r="U19" s="267"/>
      <c r="V19" s="297" t="n">
        <f aca="false">SUM(V14:V18)</f>
        <v>0</v>
      </c>
      <c r="W19" s="272" t="n">
        <f aca="false">SUM(W14:W18)</f>
        <v>0</v>
      </c>
      <c r="X19" s="272" t="n">
        <f aca="false">SUM(X14:X18)</f>
        <v>0</v>
      </c>
      <c r="Y19" s="272" t="n">
        <f aca="false">SUM(Y14:Y18)</f>
        <v>0</v>
      </c>
      <c r="Z19" s="272" t="n">
        <f aca="false">SUM(Z14:Z18)</f>
        <v>0</v>
      </c>
      <c r="AA19" s="263"/>
    </row>
    <row r="20" customFormat="false" ht="6" hidden="false" customHeight="true" outlineLevel="0" collapsed="false">
      <c r="A20" s="232"/>
      <c r="B20" s="293"/>
      <c r="C20" s="283"/>
      <c r="D20" s="294"/>
      <c r="E20" s="265"/>
      <c r="F20" s="265"/>
      <c r="G20" s="265"/>
      <c r="H20" s="268"/>
      <c r="I20" s="265"/>
      <c r="J20" s="265"/>
      <c r="K20" s="265"/>
      <c r="L20" s="265"/>
      <c r="M20" s="268"/>
      <c r="N20" s="265"/>
      <c r="O20" s="265"/>
      <c r="P20" s="287"/>
      <c r="Q20" s="265"/>
      <c r="R20" s="265"/>
      <c r="S20" s="265"/>
      <c r="T20" s="154"/>
      <c r="U20" s="267"/>
      <c r="V20" s="265"/>
      <c r="W20" s="265"/>
      <c r="X20" s="265"/>
      <c r="Y20" s="265"/>
      <c r="Z20" s="265"/>
      <c r="AA20" s="263"/>
    </row>
    <row r="21" customFormat="false" ht="12" hidden="false" customHeight="false" outlineLevel="0" collapsed="false">
      <c r="A21" s="232"/>
      <c r="B21" s="381" t="s">
        <v>421</v>
      </c>
      <c r="C21" s="381"/>
      <c r="D21" s="287"/>
      <c r="E21" s="265"/>
      <c r="F21" s="265"/>
      <c r="G21" s="265"/>
      <c r="H21" s="186" t="n">
        <f aca="false">Admin!$G$15</f>
        <v>0.2</v>
      </c>
      <c r="I21" s="265"/>
      <c r="J21" s="265"/>
      <c r="K21" s="265"/>
      <c r="L21" s="265"/>
      <c r="M21" s="268"/>
      <c r="N21" s="265"/>
      <c r="O21" s="154"/>
      <c r="P21" s="183"/>
      <c r="Q21" s="154"/>
      <c r="R21" s="154"/>
      <c r="S21" s="154"/>
      <c r="T21" s="154"/>
      <c r="U21" s="267"/>
      <c r="V21" s="265"/>
      <c r="W21" s="265"/>
      <c r="X21" s="265"/>
      <c r="Y21" s="154"/>
      <c r="Z21" s="154"/>
      <c r="AA21" s="263"/>
    </row>
    <row r="22" customFormat="false" ht="12" hidden="false" customHeight="false" outlineLevel="0" collapsed="false">
      <c r="A22" s="232"/>
      <c r="B22" s="298"/>
      <c r="C22" s="171"/>
      <c r="D22" s="299"/>
      <c r="E22" s="300"/>
      <c r="F22" s="300"/>
      <c r="G22" s="265" t="str">
        <f aca="false">IF(E22&gt;0,E22-F22," ")</f>
        <v> </v>
      </c>
      <c r="H22" s="268" t="n">
        <f aca="false">H$21</f>
        <v>0.2</v>
      </c>
      <c r="I22" s="265" t="str">
        <f aca="false">IF(E22&gt;0,MIN(E22*H22,G22)," ")</f>
        <v> </v>
      </c>
      <c r="J22" s="265" t="str">
        <f aca="false">IF(E22&gt;0,F22+I22," ")</f>
        <v> </v>
      </c>
      <c r="K22" s="265" t="str">
        <f aca="false">IF(E22&gt;0,E22-J22," ")</f>
        <v> </v>
      </c>
      <c r="L22" s="265"/>
      <c r="M22" s="268"/>
      <c r="N22" s="265"/>
      <c r="O22" s="302"/>
      <c r="P22" s="183"/>
      <c r="Q22" s="154"/>
      <c r="R22" s="154" t="str">
        <f aca="false">IF(O22&gt;0,O22*R$4," ")</f>
        <v> </v>
      </c>
      <c r="S22" s="154" t="str">
        <f aca="false">IF(O22&gt;0,O22-R22," ")</f>
        <v> </v>
      </c>
      <c r="T22" s="154"/>
      <c r="U22" s="298"/>
      <c r="V22" s="300"/>
      <c r="W22" s="265" t="str">
        <f aca="false">IF(V22&gt;0,E22," ")</f>
        <v> </v>
      </c>
      <c r="X22" s="265" t="str">
        <f aca="false">IF(V22&gt;0,J22," ")</f>
        <v> </v>
      </c>
      <c r="Y22" s="154" t="str">
        <f aca="false">IF((U22+V22)&gt;0,IF(V22&lt;S22,S22-V22," ")," ")</f>
        <v> </v>
      </c>
      <c r="Z22" s="154" t="str">
        <f aca="false">IF((U22+V22)&gt;0,IF(V22&gt;S22,V22-S22," ")," ")</f>
        <v> </v>
      </c>
      <c r="AA22" s="263"/>
    </row>
    <row r="23" customFormat="false" ht="12" hidden="false" customHeight="false" outlineLevel="0" collapsed="false">
      <c r="A23" s="232"/>
      <c r="B23" s="298"/>
      <c r="C23" s="171"/>
      <c r="D23" s="299"/>
      <c r="E23" s="300"/>
      <c r="F23" s="300"/>
      <c r="G23" s="265" t="str">
        <f aca="false">IF(E23&gt;0,E23-F23," ")</f>
        <v> </v>
      </c>
      <c r="H23" s="268" t="n">
        <f aca="false">H$21</f>
        <v>0.2</v>
      </c>
      <c r="I23" s="265" t="str">
        <f aca="false">IF(E23&gt;0,MIN(E23*H23,G23)," ")</f>
        <v> </v>
      </c>
      <c r="J23" s="265" t="str">
        <f aca="false">IF(E23&gt;0,F23+I23," ")</f>
        <v> </v>
      </c>
      <c r="K23" s="265" t="str">
        <f aca="false">IF(E23&gt;0,E23-J23," ")</f>
        <v> </v>
      </c>
      <c r="L23" s="265"/>
      <c r="M23" s="268"/>
      <c r="N23" s="265"/>
      <c r="O23" s="302"/>
      <c r="P23" s="183"/>
      <c r="Q23" s="154"/>
      <c r="R23" s="154" t="str">
        <f aca="false">IF(O23&gt;0,O23*R$4," ")</f>
        <v> </v>
      </c>
      <c r="S23" s="154" t="str">
        <f aca="false">IF(O23&gt;0,O23-R23," ")</f>
        <v> </v>
      </c>
      <c r="T23" s="154"/>
      <c r="U23" s="298"/>
      <c r="V23" s="300"/>
      <c r="W23" s="265" t="str">
        <f aca="false">IF(V23&gt;0,E23," ")</f>
        <v> </v>
      </c>
      <c r="X23" s="265" t="str">
        <f aca="false">IF(V23&gt;0,J23," ")</f>
        <v> </v>
      </c>
      <c r="Y23" s="154" t="str">
        <f aca="false">IF((U23+V23)&gt;0,IF(V23&lt;S23,S23-V23," ")," ")</f>
        <v> </v>
      </c>
      <c r="Z23" s="154" t="str">
        <f aca="false">IF((U23+V23)&gt;0,IF(V23&gt;S23,V23-S23," ")," ")</f>
        <v> </v>
      </c>
      <c r="AA23" s="263"/>
    </row>
    <row r="24" customFormat="false" ht="12" hidden="false" customHeight="false" outlineLevel="0" collapsed="false">
      <c r="A24" s="232"/>
      <c r="B24" s="298"/>
      <c r="C24" s="171"/>
      <c r="D24" s="299"/>
      <c r="E24" s="300"/>
      <c r="F24" s="300"/>
      <c r="G24" s="265" t="str">
        <f aca="false">IF(E24&gt;0,E24-F24," ")</f>
        <v> </v>
      </c>
      <c r="H24" s="268" t="n">
        <f aca="false">H$21</f>
        <v>0.2</v>
      </c>
      <c r="I24" s="265" t="str">
        <f aca="false">IF(E24&gt;0,MIN(E24*H24,G24)," ")</f>
        <v> </v>
      </c>
      <c r="J24" s="265" t="str">
        <f aca="false">IF(E24&gt;0,F24+I24," ")</f>
        <v> </v>
      </c>
      <c r="K24" s="265" t="str">
        <f aca="false">IF(E24&gt;0,E24-J24," ")</f>
        <v> </v>
      </c>
      <c r="L24" s="265"/>
      <c r="M24" s="268"/>
      <c r="N24" s="265"/>
      <c r="O24" s="302"/>
      <c r="P24" s="183"/>
      <c r="Q24" s="154"/>
      <c r="R24" s="154" t="str">
        <f aca="false">IF(O24&gt;0,O24*R$4," ")</f>
        <v> </v>
      </c>
      <c r="S24" s="154" t="str">
        <f aca="false">IF(O24&gt;0,O24-R24," ")</f>
        <v> </v>
      </c>
      <c r="T24" s="154"/>
      <c r="U24" s="298"/>
      <c r="V24" s="300"/>
      <c r="W24" s="265" t="str">
        <f aca="false">IF(V24&gt;0,E24," ")</f>
        <v> </v>
      </c>
      <c r="X24" s="265" t="str">
        <f aca="false">IF(V24&gt;0,J24," ")</f>
        <v> </v>
      </c>
      <c r="Y24" s="154" t="str">
        <f aca="false">IF((U24+V24)&gt;0,IF(V24&lt;S24,S24-V24," ")," ")</f>
        <v> </v>
      </c>
      <c r="Z24" s="154" t="str">
        <f aca="false">IF((U24+V24)&gt;0,IF(V24&gt;S24,V24-S24," ")," ")</f>
        <v> </v>
      </c>
      <c r="AA24" s="263"/>
    </row>
    <row r="25" customFormat="false" ht="12" hidden="false" customHeight="false" outlineLevel="0" collapsed="false">
      <c r="A25" s="232"/>
      <c r="B25" s="298"/>
      <c r="C25" s="171"/>
      <c r="D25" s="299"/>
      <c r="E25" s="300"/>
      <c r="F25" s="300"/>
      <c r="G25" s="265" t="str">
        <f aca="false">IF(E25&gt;0,E25-F25," ")</f>
        <v> </v>
      </c>
      <c r="H25" s="268" t="n">
        <f aca="false">H$21</f>
        <v>0.2</v>
      </c>
      <c r="I25" s="265" t="str">
        <f aca="false">IF(E25&gt;0,MIN(E25*H25,G25)," ")</f>
        <v> </v>
      </c>
      <c r="J25" s="265" t="str">
        <f aca="false">IF(E25&gt;0,F25+I25," ")</f>
        <v> </v>
      </c>
      <c r="K25" s="265" t="str">
        <f aca="false">IF(E25&gt;0,E25-J25," ")</f>
        <v> </v>
      </c>
      <c r="L25" s="265"/>
      <c r="M25" s="268"/>
      <c r="N25" s="265"/>
      <c r="O25" s="302"/>
      <c r="P25" s="183"/>
      <c r="Q25" s="154"/>
      <c r="R25" s="154" t="str">
        <f aca="false">IF(O25&gt;0,O25*R$4," ")</f>
        <v> </v>
      </c>
      <c r="S25" s="154" t="str">
        <f aca="false">IF(O25&gt;0,O25-R25," ")</f>
        <v> </v>
      </c>
      <c r="T25" s="154"/>
      <c r="U25" s="298"/>
      <c r="V25" s="300"/>
      <c r="W25" s="265" t="str">
        <f aca="false">IF(V25&gt;0,E25," ")</f>
        <v> </v>
      </c>
      <c r="X25" s="265" t="str">
        <f aca="false">IF(V25&gt;0,J25," ")</f>
        <v> </v>
      </c>
      <c r="Y25" s="154" t="str">
        <f aca="false">IF((U25+V25)&gt;0,IF(V25&lt;S25,S25-V25," ")," ")</f>
        <v> </v>
      </c>
      <c r="Z25" s="154" t="str">
        <f aca="false">IF((U25+V25)&gt;0,IF(V25&gt;S25,V25-S25," ")," ")</f>
        <v> </v>
      </c>
      <c r="AA25" s="263"/>
    </row>
    <row r="26" customFormat="false" ht="12" hidden="false" customHeight="false" outlineLevel="0" collapsed="false">
      <c r="A26" s="232"/>
      <c r="B26" s="298"/>
      <c r="C26" s="171"/>
      <c r="D26" s="299"/>
      <c r="E26" s="300"/>
      <c r="F26" s="300"/>
      <c r="G26" s="265" t="str">
        <f aca="false">IF(E26&gt;0,E26-F26," ")</f>
        <v> </v>
      </c>
      <c r="H26" s="268" t="n">
        <f aca="false">H$21</f>
        <v>0.2</v>
      </c>
      <c r="I26" s="265" t="str">
        <f aca="false">IF(E26&gt;0,MIN(E26*H26,G26)," ")</f>
        <v> </v>
      </c>
      <c r="J26" s="265" t="str">
        <f aca="false">IF(E26&gt;0,F26+I26," ")</f>
        <v> </v>
      </c>
      <c r="K26" s="265" t="str">
        <f aca="false">IF(E26&gt;0,E26-J26," ")</f>
        <v> </v>
      </c>
      <c r="L26" s="265"/>
      <c r="M26" s="268"/>
      <c r="N26" s="265"/>
      <c r="O26" s="302"/>
      <c r="P26" s="183"/>
      <c r="Q26" s="154"/>
      <c r="R26" s="154" t="str">
        <f aca="false">IF(O26&gt;0,O26*R$4," ")</f>
        <v> </v>
      </c>
      <c r="S26" s="154" t="str">
        <f aca="false">IF(O26&gt;0,O26-R26," ")</f>
        <v> </v>
      </c>
      <c r="T26" s="154"/>
      <c r="U26" s="298"/>
      <c r="V26" s="300"/>
      <c r="W26" s="265" t="str">
        <f aca="false">IF(V26&gt;0,E26," ")</f>
        <v> </v>
      </c>
      <c r="X26" s="265" t="str">
        <f aca="false">IF(V26&gt;0,J26," ")</f>
        <v> </v>
      </c>
      <c r="Y26" s="154" t="str">
        <f aca="false">IF((U26+V26)&gt;0,IF(V26&lt;S26,S26-V26," ")," ")</f>
        <v> </v>
      </c>
      <c r="Z26" s="154" t="str">
        <f aca="false">IF((U26+V26)&gt;0,IF(V26&gt;S26,V26-S26," ")," ")</f>
        <v> </v>
      </c>
      <c r="AA26" s="263"/>
    </row>
    <row r="27" customFormat="false" ht="12" hidden="false" customHeight="false" outlineLevel="0" collapsed="false">
      <c r="A27" s="232"/>
      <c r="B27" s="382" t="s">
        <v>464</v>
      </c>
      <c r="C27" s="382"/>
      <c r="D27" s="382"/>
      <c r="E27" s="297" t="n">
        <f aca="false">SUM(E22:E26)</f>
        <v>0</v>
      </c>
      <c r="F27" s="297" t="n">
        <f aca="false">SUM(F22:F26)</f>
        <v>0</v>
      </c>
      <c r="G27" s="272" t="n">
        <f aca="false">SUM(G22:G26)</f>
        <v>0</v>
      </c>
      <c r="H27" s="268"/>
      <c r="I27" s="272" t="n">
        <f aca="false">SUM(I22:I26)</f>
        <v>0</v>
      </c>
      <c r="J27" s="272" t="n">
        <f aca="false">SUM(J22:J26)</f>
        <v>0</v>
      </c>
      <c r="K27" s="272" t="n">
        <f aca="false">SUM(K22:K26)</f>
        <v>0</v>
      </c>
      <c r="L27" s="265"/>
      <c r="M27" s="268"/>
      <c r="N27" s="265"/>
      <c r="O27" s="272" t="n">
        <f aca="false">SUM(O22:O26)</f>
        <v>0</v>
      </c>
      <c r="P27" s="287"/>
      <c r="Q27" s="272" t="n">
        <f aca="false">SUM(Q22:Q26)</f>
        <v>0</v>
      </c>
      <c r="R27" s="272" t="n">
        <f aca="false">SUM(R22:R26)</f>
        <v>0</v>
      </c>
      <c r="S27" s="272" t="n">
        <f aca="false">SUM(S22:S26)</f>
        <v>0</v>
      </c>
      <c r="T27" s="154"/>
      <c r="U27" s="267"/>
      <c r="V27" s="297" t="n">
        <f aca="false">SUM(V22:V26)</f>
        <v>0</v>
      </c>
      <c r="W27" s="272" t="n">
        <f aca="false">SUM(W22:W26)</f>
        <v>0</v>
      </c>
      <c r="X27" s="272" t="n">
        <f aca="false">SUM(X22:X26)</f>
        <v>0</v>
      </c>
      <c r="Y27" s="272" t="n">
        <f aca="false">SUM(Y22:Y26)</f>
        <v>0</v>
      </c>
      <c r="Z27" s="272" t="n">
        <f aca="false">SUM(Z22:Z26)</f>
        <v>0</v>
      </c>
      <c r="AA27" s="263"/>
    </row>
    <row r="28" customFormat="false" ht="6" hidden="false" customHeight="true" outlineLevel="0" collapsed="false">
      <c r="A28" s="232"/>
      <c r="B28" s="293"/>
      <c r="C28" s="283"/>
      <c r="D28" s="294"/>
      <c r="E28" s="265"/>
      <c r="F28" s="265"/>
      <c r="G28" s="265"/>
      <c r="H28" s="268"/>
      <c r="I28" s="265"/>
      <c r="J28" s="265"/>
      <c r="K28" s="265"/>
      <c r="L28" s="265"/>
      <c r="M28" s="268"/>
      <c r="N28" s="265"/>
      <c r="O28" s="265"/>
      <c r="P28" s="287"/>
      <c r="Q28" s="265"/>
      <c r="R28" s="265"/>
      <c r="S28" s="265"/>
      <c r="T28" s="154"/>
      <c r="U28" s="267"/>
      <c r="V28" s="265"/>
      <c r="W28" s="265"/>
      <c r="X28" s="265"/>
      <c r="Y28" s="265"/>
      <c r="Z28" s="265"/>
      <c r="AA28" s="263"/>
    </row>
    <row r="29" customFormat="false" ht="12" hidden="false" customHeight="false" outlineLevel="0" collapsed="false">
      <c r="A29" s="232"/>
      <c r="B29" s="381" t="s">
        <v>465</v>
      </c>
      <c r="C29" s="381"/>
      <c r="D29" s="289"/>
      <c r="E29" s="265"/>
      <c r="F29" s="265"/>
      <c r="G29" s="265"/>
      <c r="H29" s="186" t="n">
        <f aca="false">Admin!$G$16</f>
        <v>0.33</v>
      </c>
      <c r="I29" s="265"/>
      <c r="J29" s="265"/>
      <c r="K29" s="265"/>
      <c r="L29" s="265"/>
      <c r="M29" s="268"/>
      <c r="N29" s="265"/>
      <c r="O29" s="154"/>
      <c r="P29" s="183"/>
      <c r="Q29" s="154"/>
      <c r="R29" s="154"/>
      <c r="S29" s="154"/>
      <c r="T29" s="154"/>
      <c r="U29" s="267"/>
      <c r="V29" s="265"/>
      <c r="W29" s="265"/>
      <c r="X29" s="265"/>
      <c r="Y29" s="154"/>
      <c r="Z29" s="154"/>
      <c r="AA29" s="263"/>
    </row>
    <row r="30" customFormat="false" ht="12" hidden="false" customHeight="false" outlineLevel="0" collapsed="false">
      <c r="A30" s="232"/>
      <c r="B30" s="298"/>
      <c r="C30" s="171"/>
      <c r="D30" s="299"/>
      <c r="E30" s="300"/>
      <c r="F30" s="300"/>
      <c r="G30" s="265" t="str">
        <f aca="false">IF(E30&gt;0,E30-F30," ")</f>
        <v> </v>
      </c>
      <c r="H30" s="268" t="n">
        <f aca="false">H$29</f>
        <v>0.33</v>
      </c>
      <c r="I30" s="265" t="str">
        <f aca="false">IF(E30&gt;0,MIN(E30*H30,G30)," ")</f>
        <v> </v>
      </c>
      <c r="J30" s="265" t="str">
        <f aca="false">IF(E30&gt;0,F30+I30," ")</f>
        <v> </v>
      </c>
      <c r="K30" s="265" t="str">
        <f aca="false">IF(E30&gt;0,E30-J30," ")</f>
        <v> </v>
      </c>
      <c r="L30" s="265"/>
      <c r="M30" s="268"/>
      <c r="N30" s="265"/>
      <c r="O30" s="302"/>
      <c r="P30" s="183"/>
      <c r="Q30" s="154"/>
      <c r="R30" s="154" t="str">
        <f aca="false">IF(O30&gt;0,O30*R$4," ")</f>
        <v> </v>
      </c>
      <c r="S30" s="154" t="str">
        <f aca="false">IF(O30&gt;0,O30-R30," ")</f>
        <v> </v>
      </c>
      <c r="T30" s="154"/>
      <c r="U30" s="298"/>
      <c r="V30" s="300"/>
      <c r="W30" s="265" t="str">
        <f aca="false">IF(V30&gt;0,E30," ")</f>
        <v> </v>
      </c>
      <c r="X30" s="265" t="str">
        <f aca="false">IF(V30&gt;0,J30," ")</f>
        <v> </v>
      </c>
      <c r="Y30" s="154" t="str">
        <f aca="false">IF((U30+V30)&gt;0,IF(V30&lt;S30,S30-V30," ")," ")</f>
        <v> </v>
      </c>
      <c r="Z30" s="154" t="str">
        <f aca="false">IF((U30+V30)&gt;0,IF(V30&gt;S30,V30-S30," ")," ")</f>
        <v> </v>
      </c>
      <c r="AA30" s="263"/>
    </row>
    <row r="31" customFormat="false" ht="12" hidden="false" customHeight="false" outlineLevel="0" collapsed="false">
      <c r="A31" s="232"/>
      <c r="B31" s="298"/>
      <c r="C31" s="171"/>
      <c r="D31" s="299"/>
      <c r="E31" s="300"/>
      <c r="F31" s="300"/>
      <c r="G31" s="265" t="str">
        <f aca="false">IF(E31&gt;0,E31-F31," ")</f>
        <v> </v>
      </c>
      <c r="H31" s="268" t="n">
        <f aca="false">H$29</f>
        <v>0.33</v>
      </c>
      <c r="I31" s="265" t="str">
        <f aca="false">IF(E31&gt;0,MIN(E31*H31,G31)," ")</f>
        <v> </v>
      </c>
      <c r="J31" s="265" t="str">
        <f aca="false">IF(E31&gt;0,F31+I31," ")</f>
        <v> </v>
      </c>
      <c r="K31" s="265" t="str">
        <f aca="false">IF(E31&gt;0,E31-J31," ")</f>
        <v> </v>
      </c>
      <c r="L31" s="265"/>
      <c r="M31" s="268"/>
      <c r="N31" s="265"/>
      <c r="O31" s="302"/>
      <c r="P31" s="183"/>
      <c r="Q31" s="154"/>
      <c r="R31" s="154" t="str">
        <f aca="false">IF(O31&gt;0,O31*R$4," ")</f>
        <v> </v>
      </c>
      <c r="S31" s="154" t="str">
        <f aca="false">IF(O31&gt;0,O31-R31," ")</f>
        <v> </v>
      </c>
      <c r="T31" s="154"/>
      <c r="U31" s="298"/>
      <c r="V31" s="300"/>
      <c r="W31" s="265" t="str">
        <f aca="false">IF(V31&gt;0,E31," ")</f>
        <v> </v>
      </c>
      <c r="X31" s="265" t="str">
        <f aca="false">IF(V31&gt;0,J31," ")</f>
        <v> </v>
      </c>
      <c r="Y31" s="154" t="str">
        <f aca="false">IF((U31+V31)&gt;0,IF(V31&lt;S31,S31-V31," ")," ")</f>
        <v> </v>
      </c>
      <c r="Z31" s="154" t="str">
        <f aca="false">IF((U31+V31)&gt;0,IF(V31&gt;S31,V31-S31," ")," ")</f>
        <v> </v>
      </c>
      <c r="AA31" s="263"/>
    </row>
    <row r="32" customFormat="false" ht="12" hidden="false" customHeight="false" outlineLevel="0" collapsed="false">
      <c r="A32" s="232"/>
      <c r="B32" s="298"/>
      <c r="C32" s="171"/>
      <c r="D32" s="299"/>
      <c r="E32" s="300"/>
      <c r="F32" s="300"/>
      <c r="G32" s="265" t="str">
        <f aca="false">IF(E32&gt;0,E32-F32," ")</f>
        <v> </v>
      </c>
      <c r="H32" s="268" t="n">
        <f aca="false">H$29</f>
        <v>0.33</v>
      </c>
      <c r="I32" s="265" t="str">
        <f aca="false">IF(E32&gt;0,MIN(E32*H32,G32)," ")</f>
        <v> </v>
      </c>
      <c r="J32" s="265" t="str">
        <f aca="false">IF(E32&gt;0,F32+I32," ")</f>
        <v> </v>
      </c>
      <c r="K32" s="265" t="str">
        <f aca="false">IF(E32&gt;0,E32-J32," ")</f>
        <v> </v>
      </c>
      <c r="L32" s="265"/>
      <c r="M32" s="268"/>
      <c r="N32" s="265"/>
      <c r="O32" s="302"/>
      <c r="P32" s="183"/>
      <c r="Q32" s="154"/>
      <c r="R32" s="154" t="str">
        <f aca="false">IF(O32&gt;0,O32*R$4," ")</f>
        <v> </v>
      </c>
      <c r="S32" s="154" t="str">
        <f aca="false">IF(O32&gt;0,O32-R32," ")</f>
        <v> </v>
      </c>
      <c r="T32" s="154"/>
      <c r="U32" s="298"/>
      <c r="V32" s="300"/>
      <c r="W32" s="265" t="str">
        <f aca="false">IF(V32&gt;0,E32," ")</f>
        <v> </v>
      </c>
      <c r="X32" s="265" t="str">
        <f aca="false">IF(V32&gt;0,J32," ")</f>
        <v> </v>
      </c>
      <c r="Y32" s="154" t="str">
        <f aca="false">IF((U32+V32)&gt;0,IF(V32&lt;S32,S32-V32," ")," ")</f>
        <v> </v>
      </c>
      <c r="Z32" s="154" t="str">
        <f aca="false">IF((U32+V32)&gt;0,IF(V32&gt;S32,V32-S32," ")," ")</f>
        <v> </v>
      </c>
      <c r="AA32" s="263"/>
    </row>
    <row r="33" customFormat="false" ht="12" hidden="false" customHeight="false" outlineLevel="0" collapsed="false">
      <c r="A33" s="232"/>
      <c r="B33" s="298"/>
      <c r="C33" s="171"/>
      <c r="D33" s="299"/>
      <c r="E33" s="300"/>
      <c r="F33" s="300"/>
      <c r="G33" s="265" t="str">
        <f aca="false">IF(E33&gt;0,E33-F33," ")</f>
        <v> </v>
      </c>
      <c r="H33" s="268" t="n">
        <f aca="false">H$29</f>
        <v>0.33</v>
      </c>
      <c r="I33" s="265" t="str">
        <f aca="false">IF(E33&gt;0,MIN(E33*H33,G33)," ")</f>
        <v> </v>
      </c>
      <c r="J33" s="265" t="str">
        <f aca="false">IF(E33&gt;0,F33+I33," ")</f>
        <v> </v>
      </c>
      <c r="K33" s="265" t="str">
        <f aca="false">IF(E33&gt;0,E33-J33," ")</f>
        <v> </v>
      </c>
      <c r="L33" s="265"/>
      <c r="M33" s="268"/>
      <c r="N33" s="265"/>
      <c r="O33" s="302"/>
      <c r="P33" s="183"/>
      <c r="Q33" s="154"/>
      <c r="R33" s="154" t="str">
        <f aca="false">IF(O33&gt;0,O33*R$4," ")</f>
        <v> </v>
      </c>
      <c r="S33" s="154" t="str">
        <f aca="false">IF(O33&gt;0,O33-R33," ")</f>
        <v> </v>
      </c>
      <c r="T33" s="154"/>
      <c r="U33" s="298"/>
      <c r="V33" s="300"/>
      <c r="W33" s="265" t="str">
        <f aca="false">IF(V33&gt;0,E33," ")</f>
        <v> </v>
      </c>
      <c r="X33" s="265" t="str">
        <f aca="false">IF(V33&gt;0,J33," ")</f>
        <v> </v>
      </c>
      <c r="Y33" s="154" t="str">
        <f aca="false">IF((U33+V33)&gt;0,IF(V33&lt;S33,S33-V33," ")," ")</f>
        <v> </v>
      </c>
      <c r="Z33" s="154" t="str">
        <f aca="false">IF((U33+V33)&gt;0,IF(V33&gt;S33,V33-S33," ")," ")</f>
        <v> </v>
      </c>
      <c r="AA33" s="263"/>
    </row>
    <row r="34" customFormat="false" ht="12" hidden="false" customHeight="false" outlineLevel="0" collapsed="false">
      <c r="A34" s="232"/>
      <c r="B34" s="298"/>
      <c r="C34" s="171"/>
      <c r="D34" s="299"/>
      <c r="E34" s="300"/>
      <c r="F34" s="300"/>
      <c r="G34" s="265" t="str">
        <f aca="false">IF(E34&gt;0,E34-F34," ")</f>
        <v> </v>
      </c>
      <c r="H34" s="268" t="n">
        <f aca="false">H$29</f>
        <v>0.33</v>
      </c>
      <c r="I34" s="265" t="str">
        <f aca="false">IF(E34&gt;0,MIN(E34*H34,G34)," ")</f>
        <v> </v>
      </c>
      <c r="J34" s="265" t="str">
        <f aca="false">IF(E34&gt;0,F34+I34," ")</f>
        <v> </v>
      </c>
      <c r="K34" s="265" t="str">
        <f aca="false">IF(E34&gt;0,E34-J34," ")</f>
        <v> </v>
      </c>
      <c r="L34" s="265"/>
      <c r="M34" s="268"/>
      <c r="N34" s="265"/>
      <c r="O34" s="302"/>
      <c r="P34" s="183"/>
      <c r="Q34" s="154"/>
      <c r="R34" s="154" t="str">
        <f aca="false">IF(O34&gt;0,O34*R$4," ")</f>
        <v> </v>
      </c>
      <c r="S34" s="154" t="str">
        <f aca="false">IF(O34&gt;0,O34-R34," ")</f>
        <v> </v>
      </c>
      <c r="T34" s="154"/>
      <c r="U34" s="298"/>
      <c r="V34" s="300"/>
      <c r="W34" s="265" t="str">
        <f aca="false">IF(V34&gt;0,E34," ")</f>
        <v> </v>
      </c>
      <c r="X34" s="265" t="str">
        <f aca="false">IF(V34&gt;0,J34," ")</f>
        <v> </v>
      </c>
      <c r="Y34" s="154" t="str">
        <f aca="false">IF((U34+V34)&gt;0,IF(V34&lt;S34,S34-V34," ")," ")</f>
        <v> </v>
      </c>
      <c r="Z34" s="154" t="str">
        <f aca="false">IF((U34+V34)&gt;0,IF(V34&gt;S34,V34-S34," ")," ")</f>
        <v> </v>
      </c>
      <c r="AA34" s="263"/>
    </row>
    <row r="35" customFormat="false" ht="12" hidden="false" customHeight="false" outlineLevel="0" collapsed="false">
      <c r="A35" s="232"/>
      <c r="B35" s="382" t="s">
        <v>466</v>
      </c>
      <c r="C35" s="382"/>
      <c r="D35" s="382"/>
      <c r="E35" s="297" t="n">
        <f aca="false">SUM(E30:E34)</f>
        <v>0</v>
      </c>
      <c r="F35" s="297" t="n">
        <f aca="false">SUM(F30:F34)</f>
        <v>0</v>
      </c>
      <c r="G35" s="272" t="n">
        <f aca="false">SUM(G30:G34)</f>
        <v>0</v>
      </c>
      <c r="H35" s="268"/>
      <c r="I35" s="272" t="n">
        <f aca="false">SUM(I30:I34)</f>
        <v>0</v>
      </c>
      <c r="J35" s="272" t="n">
        <f aca="false">SUM(J30:J34)</f>
        <v>0</v>
      </c>
      <c r="K35" s="272" t="n">
        <f aca="false">SUM(K30:K34)</f>
        <v>0</v>
      </c>
      <c r="L35" s="265"/>
      <c r="M35" s="268"/>
      <c r="N35" s="265"/>
      <c r="O35" s="272" t="n">
        <f aca="false">SUM(O30:O34)</f>
        <v>0</v>
      </c>
      <c r="P35" s="287"/>
      <c r="Q35" s="272" t="n">
        <f aca="false">SUM(Q30:Q34)</f>
        <v>0</v>
      </c>
      <c r="R35" s="272" t="n">
        <f aca="false">SUM(R30:R34)</f>
        <v>0</v>
      </c>
      <c r="S35" s="272" t="n">
        <f aca="false">SUM(S30:S34)</f>
        <v>0</v>
      </c>
      <c r="T35" s="154"/>
      <c r="U35" s="267"/>
      <c r="V35" s="297" t="n">
        <f aca="false">SUM(V30:V34)</f>
        <v>0</v>
      </c>
      <c r="W35" s="272" t="n">
        <f aca="false">SUM(W30:W34)</f>
        <v>0</v>
      </c>
      <c r="X35" s="272" t="n">
        <f aca="false">SUM(X30:X34)</f>
        <v>0</v>
      </c>
      <c r="Y35" s="272" t="n">
        <f aca="false">SUM(Y30:Y34)</f>
        <v>0</v>
      </c>
      <c r="Z35" s="272" t="n">
        <f aca="false">SUM(Z30:Z34)</f>
        <v>0</v>
      </c>
      <c r="AA35" s="263"/>
    </row>
    <row r="36" customFormat="false" ht="6" hidden="false" customHeight="true" outlineLevel="0" collapsed="false">
      <c r="A36" s="232"/>
      <c r="B36" s="293"/>
      <c r="C36" s="283"/>
      <c r="D36" s="294"/>
      <c r="E36" s="265"/>
      <c r="F36" s="265"/>
      <c r="G36" s="265"/>
      <c r="H36" s="268"/>
      <c r="I36" s="265"/>
      <c r="J36" s="265"/>
      <c r="K36" s="265"/>
      <c r="L36" s="265"/>
      <c r="M36" s="268"/>
      <c r="N36" s="265"/>
      <c r="O36" s="265"/>
      <c r="P36" s="287"/>
      <c r="Q36" s="265"/>
      <c r="R36" s="265"/>
      <c r="S36" s="265"/>
      <c r="T36" s="154"/>
      <c r="U36" s="267"/>
      <c r="V36" s="265"/>
      <c r="W36" s="265"/>
      <c r="X36" s="265"/>
      <c r="Y36" s="265"/>
      <c r="Z36" s="265"/>
      <c r="AA36" s="263"/>
    </row>
    <row r="37" customFormat="false" ht="12.65" hidden="false" customHeight="false" outlineLevel="0" collapsed="false">
      <c r="A37" s="232"/>
      <c r="B37" s="383" t="s">
        <v>467</v>
      </c>
      <c r="C37" s="383"/>
      <c r="D37" s="228" t="n">
        <f aca="false">Admin!$E$8</f>
        <v>12000</v>
      </c>
      <c r="E37" s="265"/>
      <c r="F37" s="265"/>
      <c r="G37" s="265"/>
      <c r="H37" s="186" t="n">
        <f aca="false">Admin!$G$17</f>
        <v>0.25</v>
      </c>
      <c r="I37" s="265"/>
      <c r="J37" s="265"/>
      <c r="K37" s="265"/>
      <c r="L37" s="265"/>
      <c r="M37" s="274"/>
      <c r="N37" s="265"/>
      <c r="O37" s="265"/>
      <c r="P37" s="287"/>
      <c r="Q37" s="265"/>
      <c r="R37" s="265"/>
      <c r="S37" s="265"/>
      <c r="T37" s="159"/>
      <c r="U37" s="267"/>
      <c r="V37" s="265"/>
      <c r="W37" s="265"/>
      <c r="X37" s="265"/>
      <c r="Y37" s="265"/>
      <c r="Z37" s="265"/>
      <c r="AA37" s="263"/>
    </row>
    <row r="38" customFormat="false" ht="12.65" hidden="false" customHeight="false" outlineLevel="0" collapsed="false">
      <c r="A38" s="232"/>
      <c r="B38" s="298"/>
      <c r="C38" s="171"/>
      <c r="D38" s="299"/>
      <c r="E38" s="300"/>
      <c r="F38" s="300"/>
      <c r="G38" s="265" t="str">
        <f aca="false">IF(E38&gt;0,E38-F38," ")</f>
        <v> </v>
      </c>
      <c r="H38" s="268" t="n">
        <f aca="false">H$37</f>
        <v>0.25</v>
      </c>
      <c r="I38" s="265" t="str">
        <f aca="false">IF(E38&gt;0,MIN(E38*H38,G38)," ")</f>
        <v> </v>
      </c>
      <c r="J38" s="265" t="str">
        <f aca="false">IF(E38&gt;0,F38+I38," ")</f>
        <v> </v>
      </c>
      <c r="K38" s="265" t="str">
        <f aca="false">IF(E38&gt;0,E38-J38," ")</f>
        <v> </v>
      </c>
      <c r="L38" s="265"/>
      <c r="M38" s="186" t="n">
        <v>0</v>
      </c>
      <c r="N38" s="265"/>
      <c r="O38" s="302"/>
      <c r="P38" s="183"/>
      <c r="Q38" s="154"/>
      <c r="R38" s="154" t="str">
        <f aca="false">IF(O38&gt;0,MIN(O38*R$4*(1-M38),Admin!$G$8*(1-M38))," ")</f>
        <v> </v>
      </c>
      <c r="S38" s="154" t="str">
        <f aca="false">IF(O38&gt;0,O38-R38," ")</f>
        <v> </v>
      </c>
      <c r="T38" s="154"/>
      <c r="U38" s="298"/>
      <c r="V38" s="300"/>
      <c r="W38" s="265" t="str">
        <f aca="false">IF(V38&gt;0,E38," ")</f>
        <v> </v>
      </c>
      <c r="X38" s="265" t="str">
        <f aca="false">IF(V38&gt;0,J38," ")</f>
        <v> </v>
      </c>
      <c r="Y38" s="154" t="str">
        <f aca="false">IF((U38+V38)&gt;0,IF(V38&lt;S38,(S38-V38)*(1-M38)," ")," ")</f>
        <v> </v>
      </c>
      <c r="Z38" s="154" t="str">
        <f aca="false">IF((U38+V38)&gt;0,IF(V38&gt;S38,(V38-S38)*(1-M38)," ")," ")</f>
        <v> </v>
      </c>
      <c r="AA38" s="263"/>
    </row>
    <row r="39" customFormat="false" ht="12.65" hidden="false" customHeight="false" outlineLevel="0" collapsed="false">
      <c r="A39" s="232"/>
      <c r="B39" s="298"/>
      <c r="C39" s="171"/>
      <c r="D39" s="299"/>
      <c r="E39" s="300"/>
      <c r="F39" s="300"/>
      <c r="G39" s="265" t="str">
        <f aca="false">IF(E39&gt;0,E39-F39," ")</f>
        <v> </v>
      </c>
      <c r="H39" s="268" t="n">
        <f aca="false">H$37</f>
        <v>0.25</v>
      </c>
      <c r="I39" s="265" t="str">
        <f aca="false">IF(E39&gt;0,MIN(E39*H39,G39)," ")</f>
        <v> </v>
      </c>
      <c r="J39" s="265" t="str">
        <f aca="false">IF(E39&gt;0,F39+I39," ")</f>
        <v> </v>
      </c>
      <c r="K39" s="265" t="str">
        <f aca="false">IF(E39&gt;0,E39-J39," ")</f>
        <v> </v>
      </c>
      <c r="L39" s="265"/>
      <c r="M39" s="186" t="n">
        <v>0</v>
      </c>
      <c r="N39" s="265"/>
      <c r="O39" s="302"/>
      <c r="P39" s="183"/>
      <c r="Q39" s="154"/>
      <c r="R39" s="154" t="str">
        <f aca="false">IF(O39&gt;0,MIN(O39*R$4*(1-M39),Admin!$G$8*(1-M39))," ")</f>
        <v> </v>
      </c>
      <c r="S39" s="154" t="str">
        <f aca="false">IF(O39&gt;0,O39-R39," ")</f>
        <v> </v>
      </c>
      <c r="T39" s="154"/>
      <c r="U39" s="298"/>
      <c r="V39" s="300"/>
      <c r="W39" s="265" t="str">
        <f aca="false">IF(V39&gt;0,E39," ")</f>
        <v> </v>
      </c>
      <c r="X39" s="265" t="str">
        <f aca="false">IF(V39&gt;0,J39," ")</f>
        <v> </v>
      </c>
      <c r="Y39" s="154" t="str">
        <f aca="false">IF((U39+V39)&gt;0,IF(V39&lt;S39,(S39-V39)*(1-M39)," ")," ")</f>
        <v> </v>
      </c>
      <c r="Z39" s="154" t="str">
        <f aca="false">IF((U39+V39)&gt;0,IF(V39&gt;S39,(V39-S39)*(1-M39)," ")," ")</f>
        <v> </v>
      </c>
      <c r="AA39" s="263"/>
    </row>
    <row r="40" customFormat="false" ht="12.65" hidden="false" customHeight="false" outlineLevel="0" collapsed="false">
      <c r="A40" s="232"/>
      <c r="B40" s="298"/>
      <c r="C40" s="171"/>
      <c r="D40" s="299"/>
      <c r="E40" s="300"/>
      <c r="F40" s="300"/>
      <c r="G40" s="265" t="str">
        <f aca="false">IF(E40&gt;0,E40-F40," ")</f>
        <v> </v>
      </c>
      <c r="H40" s="268" t="n">
        <f aca="false">H$37</f>
        <v>0.25</v>
      </c>
      <c r="I40" s="265" t="str">
        <f aca="false">IF(E40&gt;0,MIN(E40*H40,G40)," ")</f>
        <v> </v>
      </c>
      <c r="J40" s="265" t="str">
        <f aca="false">IF(E40&gt;0,F40+I40," ")</f>
        <v> </v>
      </c>
      <c r="K40" s="265" t="str">
        <f aca="false">IF(E40&gt;0,E40-J40," ")</f>
        <v> </v>
      </c>
      <c r="L40" s="265"/>
      <c r="M40" s="186" t="n">
        <v>0</v>
      </c>
      <c r="N40" s="265"/>
      <c r="O40" s="302"/>
      <c r="P40" s="183"/>
      <c r="Q40" s="154"/>
      <c r="R40" s="154" t="str">
        <f aca="false">IF(O40&gt;0,MIN(O40*R$4*(1-M40),Admin!$G$8*(1-M40))," ")</f>
        <v> </v>
      </c>
      <c r="S40" s="154" t="str">
        <f aca="false">IF(O40&gt;0,O40-R40," ")</f>
        <v> </v>
      </c>
      <c r="T40" s="154"/>
      <c r="U40" s="298"/>
      <c r="V40" s="300"/>
      <c r="W40" s="265" t="str">
        <f aca="false">IF(V40&gt;0,E40," ")</f>
        <v> </v>
      </c>
      <c r="X40" s="265" t="str">
        <f aca="false">IF(V40&gt;0,J40," ")</f>
        <v> </v>
      </c>
      <c r="Y40" s="154" t="str">
        <f aca="false">IF((U40+V40)&gt;0,IF(V40&lt;S40,(S40-V40)*(1-M40)," ")," ")</f>
        <v> </v>
      </c>
      <c r="Z40" s="154" t="str">
        <f aca="false">IF((U40+V40)&gt;0,IF(V40&gt;S40,(V40-S40)*(1-M40)," ")," ")</f>
        <v> </v>
      </c>
      <c r="AA40" s="263"/>
    </row>
    <row r="41" customFormat="false" ht="12.65" hidden="false" customHeight="false" outlineLevel="0" collapsed="false">
      <c r="A41" s="232"/>
      <c r="B41" s="298"/>
      <c r="C41" s="171"/>
      <c r="D41" s="299"/>
      <c r="E41" s="300"/>
      <c r="F41" s="300"/>
      <c r="G41" s="265" t="str">
        <f aca="false">IF(E41&gt;0,E41-F41," ")</f>
        <v> </v>
      </c>
      <c r="H41" s="268" t="n">
        <f aca="false">H$37</f>
        <v>0.25</v>
      </c>
      <c r="I41" s="265" t="str">
        <f aca="false">IF(E41&gt;0,MIN(E41*H41,G41)," ")</f>
        <v> </v>
      </c>
      <c r="J41" s="265" t="str">
        <f aca="false">IF(E41&gt;0,F41+I41," ")</f>
        <v> </v>
      </c>
      <c r="K41" s="265" t="str">
        <f aca="false">IF(E41&gt;0,E41-J41," ")</f>
        <v> </v>
      </c>
      <c r="L41" s="265"/>
      <c r="M41" s="186" t="n">
        <v>0</v>
      </c>
      <c r="N41" s="265"/>
      <c r="O41" s="302"/>
      <c r="P41" s="183"/>
      <c r="Q41" s="154"/>
      <c r="R41" s="154" t="str">
        <f aca="false">IF(O41&gt;0,MIN(O41*R$4*(1-M41),Admin!$G$8*(1-M41))," ")</f>
        <v> </v>
      </c>
      <c r="S41" s="154" t="str">
        <f aca="false">IF(O41&gt;0,O41-R41," ")</f>
        <v> </v>
      </c>
      <c r="T41" s="154"/>
      <c r="U41" s="298"/>
      <c r="V41" s="300"/>
      <c r="W41" s="265" t="str">
        <f aca="false">IF(V41&gt;0,E41," ")</f>
        <v> </v>
      </c>
      <c r="X41" s="265" t="str">
        <f aca="false">IF(V41&gt;0,J41," ")</f>
        <v> </v>
      </c>
      <c r="Y41" s="154" t="str">
        <f aca="false">IF((U41+V41)&gt;0,IF(V41&lt;S41,(S41-V41)*(1-M41)," ")," ")</f>
        <v> </v>
      </c>
      <c r="Z41" s="154" t="str">
        <f aca="false">IF((U41+V41)&gt;0,IF(V41&gt;S41,(V41-S41)*(1-M41)," ")," ")</f>
        <v> </v>
      </c>
      <c r="AA41" s="263"/>
    </row>
    <row r="42" customFormat="false" ht="12.65" hidden="false" customHeight="false" outlineLevel="0" collapsed="false">
      <c r="A42" s="232"/>
      <c r="B42" s="298"/>
      <c r="C42" s="171"/>
      <c r="D42" s="299"/>
      <c r="E42" s="300"/>
      <c r="F42" s="300"/>
      <c r="G42" s="265" t="str">
        <f aca="false">IF(E42&gt;0,E42-F42," ")</f>
        <v> </v>
      </c>
      <c r="H42" s="268" t="n">
        <f aca="false">H$37</f>
        <v>0.25</v>
      </c>
      <c r="I42" s="265" t="str">
        <f aca="false">IF(E42&gt;0,MIN(E42*H42,G42)," ")</f>
        <v> </v>
      </c>
      <c r="J42" s="265" t="str">
        <f aca="false">IF(E42&gt;0,F42+I42," ")</f>
        <v> </v>
      </c>
      <c r="K42" s="265" t="str">
        <f aca="false">IF(E42&gt;0,E42-J42," ")</f>
        <v> </v>
      </c>
      <c r="L42" s="265"/>
      <c r="M42" s="186" t="n">
        <v>0</v>
      </c>
      <c r="N42" s="265"/>
      <c r="O42" s="302"/>
      <c r="P42" s="183"/>
      <c r="Q42" s="154"/>
      <c r="R42" s="154" t="str">
        <f aca="false">IF(O42&gt;0,MIN(O42*R$4*(1-M42),Admin!$G$8*(1-M42))," ")</f>
        <v> </v>
      </c>
      <c r="S42" s="154" t="str">
        <f aca="false">IF(O42&gt;0,O42-R42," ")</f>
        <v> </v>
      </c>
      <c r="T42" s="154"/>
      <c r="U42" s="298"/>
      <c r="V42" s="300"/>
      <c r="W42" s="265" t="str">
        <f aca="false">IF(V42&gt;0,E42," ")</f>
        <v> </v>
      </c>
      <c r="X42" s="265" t="str">
        <f aca="false">IF(V42&gt;0,J42," ")</f>
        <v> </v>
      </c>
      <c r="Y42" s="154" t="str">
        <f aca="false">IF((U42+V42)&gt;0,IF(V42&lt;S42,(S42-V42)*(1-M42)," ")," ")</f>
        <v> </v>
      </c>
      <c r="Z42" s="154" t="str">
        <f aca="false">IF((U42+V42)&gt;0,IF(V42&gt;S42,(V42-S42)*(1-M42)," ")," ")</f>
        <v> </v>
      </c>
      <c r="AA42" s="263"/>
    </row>
    <row r="43" customFormat="false" ht="12" hidden="false" customHeight="true" outlineLevel="0" collapsed="false">
      <c r="A43" s="232"/>
      <c r="B43" s="383" t="s">
        <v>468</v>
      </c>
      <c r="C43" s="383"/>
      <c r="D43" s="228" t="n">
        <f aca="false">Admin!$E$8</f>
        <v>12000</v>
      </c>
      <c r="E43" s="265"/>
      <c r="F43" s="265"/>
      <c r="G43" s="265"/>
      <c r="H43" s="268"/>
      <c r="I43" s="265"/>
      <c r="J43" s="265"/>
      <c r="K43" s="265"/>
      <c r="L43" s="265"/>
      <c r="M43" s="268"/>
      <c r="N43" s="265"/>
      <c r="O43" s="154"/>
      <c r="P43" s="183"/>
      <c r="Q43" s="154"/>
      <c r="R43" s="154"/>
      <c r="S43" s="154"/>
      <c r="T43" s="154"/>
      <c r="U43" s="267"/>
      <c r="V43" s="265"/>
      <c r="W43" s="265"/>
      <c r="X43" s="265"/>
      <c r="Y43" s="154"/>
      <c r="Z43" s="154"/>
      <c r="AA43" s="263"/>
    </row>
    <row r="44" customFormat="false" ht="12" hidden="false" customHeight="false" outlineLevel="0" collapsed="false">
      <c r="A44" s="232"/>
      <c r="B44" s="298"/>
      <c r="C44" s="171"/>
      <c r="D44" s="299"/>
      <c r="E44" s="300"/>
      <c r="F44" s="300"/>
      <c r="G44" s="265" t="str">
        <f aca="false">IF(E44&gt;0,E44-F44," ")</f>
        <v> </v>
      </c>
      <c r="H44" s="268" t="n">
        <f aca="false">H$37</f>
        <v>0.25</v>
      </c>
      <c r="I44" s="265" t="str">
        <f aca="false">IF(E44&gt;0,MIN(E44*H44,G44)," ")</f>
        <v> </v>
      </c>
      <c r="J44" s="265" t="str">
        <f aca="false">IF(E44&gt;0,F44+I44," ")</f>
        <v> </v>
      </c>
      <c r="K44" s="265" t="str">
        <f aca="false">IF(E44&gt;0,E44-J44," ")</f>
        <v> </v>
      </c>
      <c r="L44" s="265"/>
      <c r="M44" s="186" t="n">
        <v>0</v>
      </c>
      <c r="N44" s="265"/>
      <c r="O44" s="302"/>
      <c r="P44" s="183"/>
      <c r="Q44" s="154"/>
      <c r="R44" s="154" t="str">
        <f aca="false">IF(O44&gt;0,MIN(O44*R$4*(1-M44),Admin!$G$8*(1-M44))," ")</f>
        <v> </v>
      </c>
      <c r="S44" s="154" t="str">
        <f aca="false">IF(O44&gt;0,O44-R44," ")</f>
        <v> </v>
      </c>
      <c r="T44" s="154"/>
      <c r="U44" s="298"/>
      <c r="V44" s="300"/>
      <c r="W44" s="265" t="str">
        <f aca="false">IF(V44&gt;0,E44," ")</f>
        <v> </v>
      </c>
      <c r="X44" s="265" t="str">
        <f aca="false">IF(V44&gt;0,J44," ")</f>
        <v> </v>
      </c>
      <c r="Y44" s="154" t="str">
        <f aca="false">IF((U44+V44)&gt;0,IF(V44&lt;S44,(S44-V44)*(1-M44)," ")," ")</f>
        <v> </v>
      </c>
      <c r="Z44" s="154" t="str">
        <f aca="false">IF((U44+V44)&gt;0,IF(V44&gt;S44,(V44-S44)*(1-M44)," ")," ")</f>
        <v> </v>
      </c>
      <c r="AA44" s="263"/>
    </row>
    <row r="45" customFormat="false" ht="12" hidden="false" customHeight="false" outlineLevel="0" collapsed="false">
      <c r="A45" s="232"/>
      <c r="B45" s="298"/>
      <c r="C45" s="171"/>
      <c r="D45" s="299"/>
      <c r="E45" s="300"/>
      <c r="F45" s="300"/>
      <c r="G45" s="265" t="str">
        <f aca="false">IF(E45&gt;0,E45-F45," ")</f>
        <v> </v>
      </c>
      <c r="H45" s="268" t="n">
        <f aca="false">H$37</f>
        <v>0.25</v>
      </c>
      <c r="I45" s="265" t="str">
        <f aca="false">IF(E45&gt;0,MIN(E45*H45,G45)," ")</f>
        <v> </v>
      </c>
      <c r="J45" s="265" t="str">
        <f aca="false">IF(E45&gt;0,F45+I45," ")</f>
        <v> </v>
      </c>
      <c r="K45" s="265" t="str">
        <f aca="false">IF(E45&gt;0,E45-J45," ")</f>
        <v> </v>
      </c>
      <c r="L45" s="265"/>
      <c r="M45" s="186" t="n">
        <v>0</v>
      </c>
      <c r="N45" s="265"/>
      <c r="O45" s="302"/>
      <c r="P45" s="183"/>
      <c r="Q45" s="154"/>
      <c r="R45" s="154" t="str">
        <f aca="false">IF(O45&gt;0,MIN(O45*R$4*(1-M45),Admin!$G$8*(1-M45))," ")</f>
        <v> </v>
      </c>
      <c r="S45" s="154" t="str">
        <f aca="false">IF(O45&gt;0,O45-R45," ")</f>
        <v> </v>
      </c>
      <c r="T45" s="154"/>
      <c r="U45" s="298"/>
      <c r="V45" s="300"/>
      <c r="W45" s="265" t="str">
        <f aca="false">IF(V45&gt;0,E45," ")</f>
        <v> </v>
      </c>
      <c r="X45" s="265" t="str">
        <f aca="false">IF(V45&gt;0,J45," ")</f>
        <v> </v>
      </c>
      <c r="Y45" s="154" t="str">
        <f aca="false">IF((U45+V45)&gt;0,IF(V45&lt;S45,(S45-V45)*(1-M45)," ")," ")</f>
        <v> </v>
      </c>
      <c r="Z45" s="154" t="str">
        <f aca="false">IF((U45+V45)&gt;0,IF(V45&gt;S45,(V45-S45)*(1-M45)," ")," ")</f>
        <v> </v>
      </c>
      <c r="AA45" s="263"/>
    </row>
    <row r="46" customFormat="false" ht="12" hidden="false" customHeight="false" outlineLevel="0" collapsed="false">
      <c r="A46" s="232"/>
      <c r="B46" s="298"/>
      <c r="C46" s="171"/>
      <c r="D46" s="299"/>
      <c r="E46" s="300"/>
      <c r="F46" s="300"/>
      <c r="G46" s="265" t="str">
        <f aca="false">IF(E46&gt;0,E46-F46," ")</f>
        <v> </v>
      </c>
      <c r="H46" s="268" t="n">
        <f aca="false">H$37</f>
        <v>0.25</v>
      </c>
      <c r="I46" s="265" t="str">
        <f aca="false">IF(E46&gt;0,MIN(E46*H46,G46)," ")</f>
        <v> </v>
      </c>
      <c r="J46" s="265" t="str">
        <f aca="false">IF(E46&gt;0,F46+I46," ")</f>
        <v> </v>
      </c>
      <c r="K46" s="265" t="str">
        <f aca="false">IF(E46&gt;0,E46-J46," ")</f>
        <v> </v>
      </c>
      <c r="L46" s="265"/>
      <c r="M46" s="186" t="n">
        <v>0</v>
      </c>
      <c r="N46" s="265"/>
      <c r="O46" s="302"/>
      <c r="P46" s="183"/>
      <c r="Q46" s="154"/>
      <c r="R46" s="154" t="str">
        <f aca="false">IF(O46&gt;0,MIN(O46*R$4*(1-M46),Admin!$G$8*(1-M46))," ")</f>
        <v> </v>
      </c>
      <c r="S46" s="154" t="str">
        <f aca="false">IF(O46&gt;0,O46-R46," ")</f>
        <v> </v>
      </c>
      <c r="T46" s="154"/>
      <c r="U46" s="298"/>
      <c r="V46" s="300"/>
      <c r="W46" s="265" t="str">
        <f aca="false">IF(V46&gt;0,E46," ")</f>
        <v> </v>
      </c>
      <c r="X46" s="265" t="str">
        <f aca="false">IF(V46&gt;0,J46," ")</f>
        <v> </v>
      </c>
      <c r="Y46" s="154" t="str">
        <f aca="false">IF((U46+V46)&gt;0,IF(V46&lt;S46,(S46-V46)*(1-M46)," ")," ")</f>
        <v> </v>
      </c>
      <c r="Z46" s="154" t="str">
        <f aca="false">IF((U46+V46)&gt;0,IF(V46&gt;S46,(V46-S46)*(1-M46)," ")," ")</f>
        <v> </v>
      </c>
      <c r="AA46" s="263"/>
    </row>
    <row r="47" customFormat="false" ht="12" hidden="false" customHeight="false" outlineLevel="0" collapsed="false">
      <c r="A47" s="232"/>
      <c r="B47" s="298"/>
      <c r="C47" s="171"/>
      <c r="D47" s="299"/>
      <c r="E47" s="300"/>
      <c r="F47" s="300"/>
      <c r="G47" s="265" t="str">
        <f aca="false">IF(E47&gt;0,E47-F47," ")</f>
        <v> </v>
      </c>
      <c r="H47" s="268" t="n">
        <f aca="false">H$37</f>
        <v>0.25</v>
      </c>
      <c r="I47" s="265" t="str">
        <f aca="false">IF(E47&gt;0,MIN(E47*H47,G47)," ")</f>
        <v> </v>
      </c>
      <c r="J47" s="265" t="str">
        <f aca="false">IF(E47&gt;0,F47+I47," ")</f>
        <v> </v>
      </c>
      <c r="K47" s="265" t="str">
        <f aca="false">IF(E47&gt;0,E47-J47," ")</f>
        <v> </v>
      </c>
      <c r="L47" s="265"/>
      <c r="M47" s="186" t="n">
        <v>0</v>
      </c>
      <c r="N47" s="265"/>
      <c r="O47" s="302"/>
      <c r="P47" s="183"/>
      <c r="Q47" s="154"/>
      <c r="R47" s="154" t="str">
        <f aca="false">IF(O47&gt;0,MIN(O47*R$4*(1-M47),Admin!$G$8*(1-M47))," ")</f>
        <v> </v>
      </c>
      <c r="S47" s="154" t="str">
        <f aca="false">IF(O47&gt;0,O47-R47," ")</f>
        <v> </v>
      </c>
      <c r="T47" s="154"/>
      <c r="U47" s="298"/>
      <c r="V47" s="300"/>
      <c r="W47" s="265" t="str">
        <f aca="false">IF(V47&gt;0,E47," ")</f>
        <v> </v>
      </c>
      <c r="X47" s="265" t="str">
        <f aca="false">IF(V47&gt;0,J47," ")</f>
        <v> </v>
      </c>
      <c r="Y47" s="154" t="str">
        <f aca="false">IF((U47+V47)&gt;0,IF(V47&lt;S47,(S47-V47)*(1-M47)," ")," ")</f>
        <v> </v>
      </c>
      <c r="Z47" s="154" t="str">
        <f aca="false">IF((U47+V47)&gt;0,IF(V47&gt;S47,(V47-S47)*(1-M47)," ")," ")</f>
        <v> </v>
      </c>
      <c r="AA47" s="263"/>
    </row>
    <row r="48" customFormat="false" ht="12" hidden="false" customHeight="false" outlineLevel="0" collapsed="false">
      <c r="A48" s="232"/>
      <c r="B48" s="298"/>
      <c r="C48" s="171"/>
      <c r="D48" s="299"/>
      <c r="E48" s="300"/>
      <c r="F48" s="300"/>
      <c r="G48" s="265" t="str">
        <f aca="false">IF(E48&gt;0,E48-F48," ")</f>
        <v> </v>
      </c>
      <c r="H48" s="268" t="n">
        <f aca="false">H$37</f>
        <v>0.25</v>
      </c>
      <c r="I48" s="265" t="str">
        <f aca="false">IF(E48&gt;0,MIN(E48*H48,G48)," ")</f>
        <v> </v>
      </c>
      <c r="J48" s="265" t="str">
        <f aca="false">IF(E48&gt;0,F48+I48," ")</f>
        <v> </v>
      </c>
      <c r="K48" s="265" t="str">
        <f aca="false">IF(E48&gt;0,E48-J48," ")</f>
        <v> </v>
      </c>
      <c r="L48" s="265"/>
      <c r="M48" s="186" t="n">
        <v>0</v>
      </c>
      <c r="N48" s="265"/>
      <c r="O48" s="302"/>
      <c r="P48" s="183"/>
      <c r="Q48" s="154"/>
      <c r="R48" s="154" t="str">
        <f aca="false">IF(O48&gt;0,MIN(O48*R$4*(1-M48),Admin!$G$8*(1-M48))," ")</f>
        <v> </v>
      </c>
      <c r="S48" s="154" t="str">
        <f aca="false">IF(O48&gt;0,O48-R48," ")</f>
        <v> </v>
      </c>
      <c r="T48" s="154"/>
      <c r="U48" s="298"/>
      <c r="V48" s="300"/>
      <c r="W48" s="265" t="str">
        <f aca="false">IF(V48&gt;0,E48," ")</f>
        <v> </v>
      </c>
      <c r="X48" s="265" t="str">
        <f aca="false">IF(V48&gt;0,J48," ")</f>
        <v> </v>
      </c>
      <c r="Y48" s="154" t="str">
        <f aca="false">IF((U48+V48)&gt;0,IF(V48&lt;S48,(S48-V48)*(1-M48)," ")," ")</f>
        <v> </v>
      </c>
      <c r="Z48" s="154" t="str">
        <f aca="false">IF((U48+V48)&gt;0,IF(V48&gt;S48,(V48-S48)*(1-M48)," ")," ")</f>
        <v> </v>
      </c>
      <c r="AA48" s="263"/>
    </row>
    <row r="49" customFormat="false" ht="12" hidden="false" customHeight="false" outlineLevel="0" collapsed="false">
      <c r="A49" s="232"/>
      <c r="B49" s="381" t="s">
        <v>469</v>
      </c>
      <c r="C49" s="381"/>
      <c r="D49" s="287"/>
      <c r="E49" s="265"/>
      <c r="F49" s="265"/>
      <c r="G49" s="265"/>
      <c r="H49" s="268"/>
      <c r="I49" s="265"/>
      <c r="J49" s="265"/>
      <c r="K49" s="265"/>
      <c r="L49" s="265"/>
      <c r="M49" s="268"/>
      <c r="N49" s="265"/>
      <c r="O49" s="154"/>
      <c r="P49" s="183"/>
      <c r="Q49" s="154"/>
      <c r="R49" s="154"/>
      <c r="S49" s="154"/>
      <c r="T49" s="154"/>
      <c r="U49" s="267"/>
      <c r="V49" s="265"/>
      <c r="W49" s="265"/>
      <c r="X49" s="265"/>
      <c r="Y49" s="154"/>
      <c r="Z49" s="154"/>
      <c r="AA49" s="263"/>
    </row>
    <row r="50" customFormat="false" ht="12" hidden="false" customHeight="false" outlineLevel="0" collapsed="false">
      <c r="A50" s="232"/>
      <c r="B50" s="298"/>
      <c r="C50" s="171"/>
      <c r="D50" s="299"/>
      <c r="E50" s="300"/>
      <c r="F50" s="300"/>
      <c r="G50" s="265" t="str">
        <f aca="false">IF(E50&gt;0,E50-F50," ")</f>
        <v> </v>
      </c>
      <c r="H50" s="268" t="n">
        <f aca="false">H$37</f>
        <v>0.25</v>
      </c>
      <c r="I50" s="265" t="str">
        <f aca="false">IF(E50&gt;0,MIN(E50*H50,G50)," ")</f>
        <v> </v>
      </c>
      <c r="J50" s="265" t="str">
        <f aca="false">IF(E50&gt;0,F50+I50," ")</f>
        <v> </v>
      </c>
      <c r="K50" s="265" t="str">
        <f aca="false">IF(E50&gt;0,E50-J50," ")</f>
        <v> </v>
      </c>
      <c r="L50" s="265"/>
      <c r="M50" s="186" t="n">
        <v>0</v>
      </c>
      <c r="N50" s="265"/>
      <c r="O50" s="302"/>
      <c r="P50" s="183"/>
      <c r="Q50" s="154"/>
      <c r="R50" s="154" t="str">
        <f aca="false">IF(O50&gt;0,O50*R$4," ")</f>
        <v> </v>
      </c>
      <c r="S50" s="154" t="str">
        <f aca="false">IF(O50&gt;0,O50-R50," ")</f>
        <v> </v>
      </c>
      <c r="T50" s="154"/>
      <c r="U50" s="298"/>
      <c r="V50" s="300"/>
      <c r="W50" s="265" t="str">
        <f aca="false">IF(V50&gt;0,E50," ")</f>
        <v> </v>
      </c>
      <c r="X50" s="265" t="str">
        <f aca="false">IF(V50&gt;0,J50," ")</f>
        <v> </v>
      </c>
      <c r="Y50" s="154" t="str">
        <f aca="false">IF((U50+V50)&gt;0,IF(V50&lt;S50,(S50-V50)*(1-M50)," ")," ")</f>
        <v> </v>
      </c>
      <c r="Z50" s="154" t="str">
        <f aca="false">IF((U50+V50)&gt;0,IF(V50&gt;S50,(V50-S50)*(1-M50)," ")," ")</f>
        <v> </v>
      </c>
      <c r="AA50" s="263"/>
    </row>
    <row r="51" customFormat="false" ht="12" hidden="false" customHeight="false" outlineLevel="0" collapsed="false">
      <c r="A51" s="232"/>
      <c r="B51" s="298"/>
      <c r="C51" s="171"/>
      <c r="D51" s="299"/>
      <c r="E51" s="300"/>
      <c r="F51" s="300"/>
      <c r="G51" s="265" t="str">
        <f aca="false">IF(E51&gt;0,E51-F51," ")</f>
        <v> </v>
      </c>
      <c r="H51" s="268" t="n">
        <f aca="false">H$37</f>
        <v>0.25</v>
      </c>
      <c r="I51" s="265" t="str">
        <f aca="false">IF(E51&gt;0,MIN(E51*H51,G51)," ")</f>
        <v> </v>
      </c>
      <c r="J51" s="265" t="str">
        <f aca="false">IF(E51&gt;0,F51+I51," ")</f>
        <v> </v>
      </c>
      <c r="K51" s="265" t="str">
        <f aca="false">IF(E51&gt;0,E51-J51," ")</f>
        <v> </v>
      </c>
      <c r="L51" s="265"/>
      <c r="M51" s="186" t="n">
        <v>0</v>
      </c>
      <c r="N51" s="265"/>
      <c r="O51" s="302"/>
      <c r="P51" s="183"/>
      <c r="Q51" s="154"/>
      <c r="R51" s="154" t="str">
        <f aca="false">IF(O51&gt;0,O51*R$4," ")</f>
        <v> </v>
      </c>
      <c r="S51" s="154" t="str">
        <f aca="false">IF(O51&gt;0,O51-R51," ")</f>
        <v> </v>
      </c>
      <c r="T51" s="154"/>
      <c r="U51" s="298"/>
      <c r="V51" s="300"/>
      <c r="W51" s="265" t="str">
        <f aca="false">IF(V51&gt;0,E51," ")</f>
        <v> </v>
      </c>
      <c r="X51" s="265" t="str">
        <f aca="false">IF(V51&gt;0,J51," ")</f>
        <v> </v>
      </c>
      <c r="Y51" s="154" t="str">
        <f aca="false">IF((U51+V51)&gt;0,IF(V51&lt;S51,(S51-V51)*(1-M51)," ")," ")</f>
        <v> </v>
      </c>
      <c r="Z51" s="154" t="str">
        <f aca="false">IF((U51+V51)&gt;0,IF(V51&gt;S51,(V51-S51)*(1-M51)," ")," ")</f>
        <v> </v>
      </c>
      <c r="AA51" s="263"/>
    </row>
    <row r="52" customFormat="false" ht="12" hidden="false" customHeight="false" outlineLevel="0" collapsed="false">
      <c r="A52" s="232"/>
      <c r="B52" s="298"/>
      <c r="C52" s="171"/>
      <c r="D52" s="299"/>
      <c r="E52" s="300"/>
      <c r="F52" s="300"/>
      <c r="G52" s="265" t="str">
        <f aca="false">IF(E52&gt;0,E52-F52," ")</f>
        <v> </v>
      </c>
      <c r="H52" s="268" t="n">
        <f aca="false">H$37</f>
        <v>0.25</v>
      </c>
      <c r="I52" s="265" t="str">
        <f aca="false">IF(E52&gt;0,MIN(E52*H52,G52)," ")</f>
        <v> </v>
      </c>
      <c r="J52" s="265" t="str">
        <f aca="false">IF(E52&gt;0,F52+I52," ")</f>
        <v> </v>
      </c>
      <c r="K52" s="265" t="str">
        <f aca="false">IF(E52&gt;0,E52-J52," ")</f>
        <v> </v>
      </c>
      <c r="L52" s="265"/>
      <c r="M52" s="186" t="n">
        <v>0</v>
      </c>
      <c r="N52" s="265"/>
      <c r="O52" s="302"/>
      <c r="P52" s="183"/>
      <c r="Q52" s="154"/>
      <c r="R52" s="154" t="str">
        <f aca="false">IF(O52&gt;0,O52*R$4," ")</f>
        <v> </v>
      </c>
      <c r="S52" s="154" t="str">
        <f aca="false">IF(O52&gt;0,O52-R52," ")</f>
        <v> </v>
      </c>
      <c r="T52" s="154"/>
      <c r="U52" s="298"/>
      <c r="V52" s="300"/>
      <c r="W52" s="265" t="str">
        <f aca="false">IF(V52&gt;0,E52," ")</f>
        <v> </v>
      </c>
      <c r="X52" s="265" t="str">
        <f aca="false">IF(V52&gt;0,J52," ")</f>
        <v> </v>
      </c>
      <c r="Y52" s="154" t="str">
        <f aca="false">IF((U52+V52)&gt;0,IF(V52&lt;S52,(S52-V52)*(1-M52)," ")," ")</f>
        <v> </v>
      </c>
      <c r="Z52" s="154" t="str">
        <f aca="false">IF((U52+V52)&gt;0,IF(V52&gt;S52,(V52-S52)*(1-M52)," ")," ")</f>
        <v> </v>
      </c>
      <c r="AA52" s="263"/>
    </row>
    <row r="53" customFormat="false" ht="12" hidden="false" customHeight="false" outlineLevel="0" collapsed="false">
      <c r="A53" s="232"/>
      <c r="B53" s="298"/>
      <c r="C53" s="171"/>
      <c r="D53" s="299"/>
      <c r="E53" s="300"/>
      <c r="F53" s="300"/>
      <c r="G53" s="265" t="str">
        <f aca="false">IF(E53&gt;0,E53-F53," ")</f>
        <v> </v>
      </c>
      <c r="H53" s="268" t="n">
        <f aca="false">H$37</f>
        <v>0.25</v>
      </c>
      <c r="I53" s="265" t="str">
        <f aca="false">IF(E53&gt;0,MIN(E53*H53,G53)," ")</f>
        <v> </v>
      </c>
      <c r="J53" s="265" t="str">
        <f aca="false">IF(E53&gt;0,F53+I53," ")</f>
        <v> </v>
      </c>
      <c r="K53" s="265" t="str">
        <f aca="false">IF(E53&gt;0,E53-J53," ")</f>
        <v> </v>
      </c>
      <c r="L53" s="265"/>
      <c r="M53" s="186" t="n">
        <v>0</v>
      </c>
      <c r="N53" s="265"/>
      <c r="O53" s="302"/>
      <c r="P53" s="183"/>
      <c r="Q53" s="154"/>
      <c r="R53" s="154" t="str">
        <f aca="false">IF(O53&gt;0,O53*R$4," ")</f>
        <v> </v>
      </c>
      <c r="S53" s="154" t="str">
        <f aca="false">IF(O53&gt;0,O53-R53," ")</f>
        <v> </v>
      </c>
      <c r="T53" s="154"/>
      <c r="U53" s="298"/>
      <c r="V53" s="300"/>
      <c r="W53" s="265" t="str">
        <f aca="false">IF(V53&gt;0,E53," ")</f>
        <v> </v>
      </c>
      <c r="X53" s="265" t="str">
        <f aca="false">IF(V53&gt;0,J53," ")</f>
        <v> </v>
      </c>
      <c r="Y53" s="154" t="str">
        <f aca="false">IF((U53+V53)&gt;0,IF(V53&lt;S53,(S53-V53)*(1-M53)," ")," ")</f>
        <v> </v>
      </c>
      <c r="Z53" s="154" t="str">
        <f aca="false">IF((U53+V53)&gt;0,IF(V53&gt;S53,(V53-S53)*(1-M53)," ")," ")</f>
        <v> </v>
      </c>
      <c r="AA53" s="263"/>
    </row>
    <row r="54" customFormat="false" ht="12" hidden="false" customHeight="false" outlineLevel="0" collapsed="false">
      <c r="A54" s="232"/>
      <c r="B54" s="298"/>
      <c r="C54" s="171"/>
      <c r="D54" s="299"/>
      <c r="E54" s="300"/>
      <c r="F54" s="300"/>
      <c r="G54" s="265" t="str">
        <f aca="false">IF(E54&gt;0,E54-F54," ")</f>
        <v> </v>
      </c>
      <c r="H54" s="268" t="n">
        <f aca="false">H$37</f>
        <v>0.25</v>
      </c>
      <c r="I54" s="265" t="str">
        <f aca="false">IF(E54&gt;0,MIN(E54*H54,G54)," ")</f>
        <v> </v>
      </c>
      <c r="J54" s="265" t="str">
        <f aca="false">IF(E54&gt;0,F54+I54," ")</f>
        <v> </v>
      </c>
      <c r="K54" s="265" t="str">
        <f aca="false">IF(E54&gt;0,E54-J54," ")</f>
        <v> </v>
      </c>
      <c r="L54" s="265"/>
      <c r="M54" s="186" t="n">
        <v>0</v>
      </c>
      <c r="N54" s="265"/>
      <c r="O54" s="302"/>
      <c r="P54" s="183"/>
      <c r="Q54" s="154"/>
      <c r="R54" s="154" t="str">
        <f aca="false">IF(O54&gt;0,O54*R$4," ")</f>
        <v> </v>
      </c>
      <c r="S54" s="154" t="str">
        <f aca="false">IF(O54&gt;0,O54-R54," ")</f>
        <v> </v>
      </c>
      <c r="T54" s="154"/>
      <c r="U54" s="298"/>
      <c r="V54" s="300"/>
      <c r="W54" s="265" t="str">
        <f aca="false">IF(V54&gt;0,E54," ")</f>
        <v> </v>
      </c>
      <c r="X54" s="265" t="str">
        <f aca="false">IF(V54&gt;0,J54," ")</f>
        <v> </v>
      </c>
      <c r="Y54" s="154" t="str">
        <f aca="false">IF((U54+V54)&gt;0,IF(V54&lt;S54,(S54-V54)*(1-M54)," ")," ")</f>
        <v> </v>
      </c>
      <c r="Z54" s="154" t="str">
        <f aca="false">IF((U54+V54)&gt;0,IF(V54&gt;S54,(V54-S54)*(1-M54)," ")," ")</f>
        <v> </v>
      </c>
      <c r="AA54" s="263"/>
    </row>
    <row r="55" customFormat="false" ht="12" hidden="false" customHeight="false" outlineLevel="0" collapsed="false">
      <c r="A55" s="232"/>
      <c r="B55" s="382" t="s">
        <v>470</v>
      </c>
      <c r="C55" s="382"/>
      <c r="D55" s="382"/>
      <c r="E55" s="272" t="n">
        <f aca="false">SUM(E38:E54)</f>
        <v>0</v>
      </c>
      <c r="F55" s="272" t="n">
        <f aca="false">SUM(F38:F54)</f>
        <v>0</v>
      </c>
      <c r="G55" s="272" t="n">
        <f aca="false">SUM(G38:G54)</f>
        <v>0</v>
      </c>
      <c r="H55" s="268"/>
      <c r="I55" s="272" t="n">
        <f aca="false">SUM(I38:I54)</f>
        <v>0</v>
      </c>
      <c r="J55" s="272" t="n">
        <f aca="false">SUM(J38:J54)</f>
        <v>0</v>
      </c>
      <c r="K55" s="272" t="n">
        <f aca="false">SUM(K38:K54)</f>
        <v>0</v>
      </c>
      <c r="L55" s="265"/>
      <c r="M55" s="274"/>
      <c r="N55" s="265"/>
      <c r="O55" s="272" t="n">
        <f aca="false">SUM(O38:O54)</f>
        <v>0</v>
      </c>
      <c r="P55" s="287"/>
      <c r="Q55" s="272" t="n">
        <f aca="false">SUM(Q38:Q54)</f>
        <v>0</v>
      </c>
      <c r="R55" s="272" t="n">
        <f aca="false">SUM(R38:R54)</f>
        <v>0</v>
      </c>
      <c r="S55" s="272" t="n">
        <f aca="false">SUM(S38:S54)</f>
        <v>0</v>
      </c>
      <c r="T55" s="265"/>
      <c r="U55" s="267"/>
      <c r="V55" s="272" t="n">
        <f aca="false">SUM(V38:V54)</f>
        <v>0</v>
      </c>
      <c r="W55" s="272" t="n">
        <f aca="false">SUM(W38:W54)</f>
        <v>0</v>
      </c>
      <c r="X55" s="272" t="n">
        <f aca="false">SUM(X38:X54)</f>
        <v>0</v>
      </c>
      <c r="Y55" s="272" t="n">
        <f aca="false">SUM(Y38:Y54)</f>
        <v>0</v>
      </c>
      <c r="Z55" s="272" t="n">
        <f aca="false">SUM(Z38:Z54)</f>
        <v>0</v>
      </c>
      <c r="AA55" s="263"/>
    </row>
    <row r="56" customFormat="false" ht="6" hidden="false" customHeight="true" outlineLevel="0" collapsed="false">
      <c r="A56" s="232"/>
      <c r="B56" s="267"/>
      <c r="C56" s="284"/>
      <c r="D56" s="287"/>
      <c r="E56" s="265"/>
      <c r="F56" s="265"/>
      <c r="G56" s="265"/>
      <c r="H56" s="268"/>
      <c r="I56" s="265"/>
      <c r="J56" s="265"/>
      <c r="K56" s="265"/>
      <c r="L56" s="265"/>
      <c r="M56" s="268"/>
      <c r="N56" s="265"/>
      <c r="O56" s="154"/>
      <c r="P56" s="183"/>
      <c r="Q56" s="154"/>
      <c r="R56" s="154"/>
      <c r="S56" s="154"/>
      <c r="T56" s="154"/>
      <c r="U56" s="267"/>
      <c r="V56" s="265"/>
      <c r="W56" s="154"/>
      <c r="X56" s="154"/>
      <c r="Y56" s="154"/>
      <c r="Z56" s="154"/>
      <c r="AA56" s="263"/>
    </row>
    <row r="57" customFormat="false" ht="13.5" hidden="false" customHeight="true" outlineLevel="0" collapsed="false">
      <c r="A57" s="232"/>
      <c r="B57" s="380" t="str">
        <f aca="false">B6</f>
        <v>EXISTING FIXED ASSETS at </v>
      </c>
      <c r="C57" s="380"/>
      <c r="D57" s="259" t="n">
        <f aca="false">D6</f>
        <v>46118</v>
      </c>
      <c r="E57" s="275" t="n">
        <f aca="false">E11+E19+E27+E35+E55</f>
        <v>0</v>
      </c>
      <c r="F57" s="275" t="n">
        <f aca="false">F11+F19+F27+F35+F55</f>
        <v>0</v>
      </c>
      <c r="G57" s="275" t="n">
        <f aca="false">G11+G19+G27+G35+G55</f>
        <v>0</v>
      </c>
      <c r="H57" s="268"/>
      <c r="I57" s="275" t="n">
        <f aca="false">I11+I19+I27+I35+I55</f>
        <v>0</v>
      </c>
      <c r="J57" s="275" t="n">
        <f aca="false">J11+J19+J27+J35+J55</f>
        <v>0</v>
      </c>
      <c r="K57" s="275" t="n">
        <f aca="false">K11+K19+K27+K35+K55</f>
        <v>0</v>
      </c>
      <c r="L57" s="265"/>
      <c r="M57" s="268"/>
      <c r="N57" s="265"/>
      <c r="O57" s="275" t="n">
        <f aca="false">O11+O19+O27+O35+O55</f>
        <v>0</v>
      </c>
      <c r="P57" s="287"/>
      <c r="Q57" s="275" t="n">
        <f aca="false">Q11+Q19+Q27+Q35+Q55</f>
        <v>0</v>
      </c>
      <c r="R57" s="275" t="n">
        <f aca="false">R11+R19+R27+R35+R55</f>
        <v>0</v>
      </c>
      <c r="S57" s="275" t="n">
        <f aca="false">S11+S19+S27+S35+S55</f>
        <v>0</v>
      </c>
      <c r="T57" s="154"/>
      <c r="U57" s="267"/>
      <c r="V57" s="275" t="n">
        <f aca="false">V11+V19+V27+V35+V55</f>
        <v>0</v>
      </c>
      <c r="W57" s="275" t="n">
        <f aca="false">W11+W19+W27+W35+W55</f>
        <v>0</v>
      </c>
      <c r="X57" s="275" t="n">
        <f aca="false">X11+X19+X27+X35+X55</f>
        <v>0</v>
      </c>
      <c r="Y57" s="275" t="n">
        <f aca="false">Y11+Y19+Y27+Y35+Y55</f>
        <v>0</v>
      </c>
      <c r="Z57" s="275" t="n">
        <f aca="false">Z11+Z19+Z27+Z35+Z55</f>
        <v>0</v>
      </c>
      <c r="AA57" s="263"/>
    </row>
    <row r="58" customFormat="false" ht="9" hidden="false" customHeight="true" outlineLevel="0" collapsed="false">
      <c r="A58" s="232"/>
      <c r="B58" s="269"/>
      <c r="C58" s="172"/>
      <c r="D58" s="290"/>
      <c r="E58" s="265"/>
      <c r="F58" s="265"/>
      <c r="G58" s="265"/>
      <c r="H58" s="268"/>
      <c r="I58" s="265"/>
      <c r="J58" s="265"/>
      <c r="K58" s="265"/>
      <c r="L58" s="265"/>
      <c r="M58" s="268"/>
      <c r="N58" s="265"/>
      <c r="O58" s="154"/>
      <c r="P58" s="183"/>
      <c r="Q58" s="154"/>
      <c r="R58" s="154"/>
      <c r="S58" s="154"/>
      <c r="T58" s="154"/>
      <c r="U58" s="267"/>
      <c r="V58" s="265"/>
      <c r="W58" s="265"/>
      <c r="X58" s="265"/>
      <c r="Y58" s="154"/>
      <c r="Z58" s="154"/>
      <c r="AA58" s="263"/>
    </row>
    <row r="59" customFormat="false" ht="13.5" hidden="false" customHeight="true" outlineLevel="0" collapsed="false">
      <c r="A59" s="232"/>
      <c r="B59" s="380" t="s">
        <v>471</v>
      </c>
      <c r="C59" s="380"/>
      <c r="D59" s="259" t="n">
        <f aca="false">Admin!$B$4</f>
        <v>46118</v>
      </c>
      <c r="E59" s="154"/>
      <c r="F59" s="384"/>
      <c r="G59" s="384"/>
      <c r="H59" s="268"/>
      <c r="I59" s="154"/>
      <c r="J59" s="154"/>
      <c r="K59" s="154"/>
      <c r="L59" s="154"/>
      <c r="M59" s="268"/>
      <c r="N59" s="154"/>
      <c r="O59" s="154"/>
      <c r="P59" s="183"/>
      <c r="Q59" s="154"/>
      <c r="R59" s="154"/>
      <c r="S59" s="154"/>
      <c r="T59" s="154"/>
      <c r="U59" s="267"/>
      <c r="V59" s="265"/>
      <c r="W59" s="265"/>
      <c r="X59" s="265"/>
      <c r="Y59" s="154"/>
      <c r="Z59" s="154"/>
      <c r="AA59" s="263"/>
    </row>
    <row r="60" customFormat="false" ht="12.75" hidden="false" customHeight="true" outlineLevel="0" collapsed="false">
      <c r="A60" s="232"/>
      <c r="B60" s="381" t="s">
        <v>418</v>
      </c>
      <c r="C60" s="381"/>
      <c r="D60" s="262"/>
      <c r="E60" s="266"/>
      <c r="F60" s="384"/>
      <c r="G60" s="384"/>
      <c r="H60" s="295" t="n">
        <f aca="false">H$7</f>
        <v>0</v>
      </c>
      <c r="I60" s="266"/>
      <c r="J60" s="266"/>
      <c r="K60" s="266"/>
      <c r="L60" s="266"/>
      <c r="M60" s="268"/>
      <c r="N60" s="266"/>
      <c r="O60" s="154"/>
      <c r="P60" s="183"/>
      <c r="Q60" s="154"/>
      <c r="R60" s="154"/>
      <c r="S60" s="154"/>
      <c r="T60" s="154"/>
      <c r="U60" s="267"/>
      <c r="V60" s="265"/>
      <c r="W60" s="265"/>
      <c r="X60" s="265"/>
      <c r="Y60" s="154"/>
      <c r="Z60" s="154"/>
      <c r="AA60" s="263"/>
    </row>
    <row r="61" customFormat="false" ht="12" hidden="false" customHeight="false" outlineLevel="0" collapsed="false">
      <c r="A61" s="232"/>
      <c r="B61" s="298"/>
      <c r="C61" s="171"/>
      <c r="D61" s="303"/>
      <c r="E61" s="300"/>
      <c r="F61" s="265"/>
      <c r="G61" s="265"/>
      <c r="H61" s="268" t="n">
        <f aca="false">H$60</f>
        <v>0</v>
      </c>
      <c r="I61" s="265" t="str">
        <f aca="false">IF(E61&gt;0,MIN(E61*H61,G61)," ")</f>
        <v> </v>
      </c>
      <c r="J61" s="265" t="str">
        <f aca="false">IF(E61&gt;0,F61+I61," ")</f>
        <v> </v>
      </c>
      <c r="K61" s="265" t="str">
        <f aca="false">IF(E61&gt;0,E61-J61," ")</f>
        <v> </v>
      </c>
      <c r="L61" s="265"/>
      <c r="M61" s="268"/>
      <c r="N61" s="265"/>
      <c r="O61" s="154"/>
      <c r="P61" s="183"/>
      <c r="Q61" s="154"/>
      <c r="R61" s="154"/>
      <c r="S61" s="154"/>
      <c r="T61" s="154"/>
      <c r="U61" s="298"/>
      <c r="V61" s="300"/>
      <c r="W61" s="265" t="str">
        <f aca="false">IF(V61&gt;0,E61," ")</f>
        <v> </v>
      </c>
      <c r="X61" s="265" t="str">
        <f aca="false">IF(V61&gt;0,J61," ")</f>
        <v> </v>
      </c>
      <c r="Y61" s="154"/>
      <c r="Z61" s="154"/>
      <c r="AA61" s="263"/>
    </row>
    <row r="62" customFormat="false" ht="12" hidden="false" customHeight="false" outlineLevel="0" collapsed="false">
      <c r="A62" s="232"/>
      <c r="B62" s="298"/>
      <c r="C62" s="171"/>
      <c r="D62" s="303"/>
      <c r="E62" s="300"/>
      <c r="F62" s="265"/>
      <c r="G62" s="265"/>
      <c r="H62" s="268" t="n">
        <f aca="false">H$60</f>
        <v>0</v>
      </c>
      <c r="I62" s="265" t="str">
        <f aca="false">IF(E62&gt;0,MIN(E62*H62,G62)," ")</f>
        <v> </v>
      </c>
      <c r="J62" s="265" t="str">
        <f aca="false">IF(E62&gt;0,F62+I62," ")</f>
        <v> </v>
      </c>
      <c r="K62" s="265" t="str">
        <f aca="false">IF(E62&gt;0,E62-J62," ")</f>
        <v> </v>
      </c>
      <c r="L62" s="265"/>
      <c r="M62" s="268"/>
      <c r="N62" s="265"/>
      <c r="O62" s="154"/>
      <c r="P62" s="183"/>
      <c r="Q62" s="154"/>
      <c r="R62" s="154"/>
      <c r="S62" s="154"/>
      <c r="T62" s="154"/>
      <c r="U62" s="298"/>
      <c r="V62" s="300"/>
      <c r="W62" s="265" t="str">
        <f aca="false">IF(V62&gt;0,E62," ")</f>
        <v> </v>
      </c>
      <c r="X62" s="265" t="str">
        <f aca="false">IF(V62&gt;0,J62," ")</f>
        <v> </v>
      </c>
      <c r="Y62" s="154"/>
      <c r="Z62" s="154"/>
      <c r="AA62" s="263"/>
    </row>
    <row r="63" customFormat="false" ht="12" hidden="false" customHeight="false" outlineLevel="0" collapsed="false">
      <c r="A63" s="232"/>
      <c r="B63" s="298"/>
      <c r="C63" s="171"/>
      <c r="D63" s="303"/>
      <c r="E63" s="300"/>
      <c r="F63" s="265"/>
      <c r="G63" s="265"/>
      <c r="H63" s="268" t="n">
        <f aca="false">H$60</f>
        <v>0</v>
      </c>
      <c r="I63" s="265" t="str">
        <f aca="false">IF(E63&gt;0,MIN(E63*H63,G63)," ")</f>
        <v> </v>
      </c>
      <c r="J63" s="265" t="str">
        <f aca="false">IF(E63&gt;0,F63+I63," ")</f>
        <v> </v>
      </c>
      <c r="K63" s="265" t="str">
        <f aca="false">IF(E63&gt;0,E63-J63," ")</f>
        <v> </v>
      </c>
      <c r="L63" s="265"/>
      <c r="M63" s="268"/>
      <c r="N63" s="265"/>
      <c r="O63" s="154"/>
      <c r="P63" s="183"/>
      <c r="Q63" s="154"/>
      <c r="R63" s="154"/>
      <c r="S63" s="154"/>
      <c r="T63" s="154"/>
      <c r="U63" s="298"/>
      <c r="V63" s="300"/>
      <c r="W63" s="265" t="str">
        <f aca="false">IF(V63&gt;0,E63," ")</f>
        <v> </v>
      </c>
      <c r="X63" s="265" t="str">
        <f aca="false">IF(V63&gt;0,J63," ")</f>
        <v> </v>
      </c>
      <c r="Y63" s="154"/>
      <c r="Z63" s="154"/>
      <c r="AA63" s="263"/>
    </row>
    <row r="64" customFormat="false" ht="12" hidden="false" customHeight="false" outlineLevel="0" collapsed="false">
      <c r="A64" s="232"/>
      <c r="B64" s="382" t="s">
        <v>472</v>
      </c>
      <c r="C64" s="382"/>
      <c r="D64" s="382"/>
      <c r="E64" s="297" t="n">
        <f aca="false">SUM(E61:E63)</f>
        <v>0</v>
      </c>
      <c r="F64" s="272" t="n">
        <f aca="false">SUM(F61:F63)</f>
        <v>0</v>
      </c>
      <c r="G64" s="272" t="n">
        <f aca="false">SUM(G61:G63)</f>
        <v>0</v>
      </c>
      <c r="H64" s="268"/>
      <c r="I64" s="272" t="n">
        <f aca="false">SUM(I61:I63)</f>
        <v>0</v>
      </c>
      <c r="J64" s="272" t="n">
        <f aca="false">SUM(J61:J63)</f>
        <v>0</v>
      </c>
      <c r="K64" s="272" t="n">
        <f aca="false">SUM(K61:K63)</f>
        <v>0</v>
      </c>
      <c r="L64" s="265"/>
      <c r="M64" s="268"/>
      <c r="N64" s="265"/>
      <c r="O64" s="272" t="n">
        <f aca="false">SUM(O61:O63)</f>
        <v>0</v>
      </c>
      <c r="P64" s="245"/>
      <c r="Q64" s="272" t="n">
        <f aca="false">SUM(Q61:Q63)</f>
        <v>0</v>
      </c>
      <c r="R64" s="272" t="n">
        <f aca="false">SUM(R61:R63)</f>
        <v>0</v>
      </c>
      <c r="S64" s="272" t="n">
        <f aca="false">SUM(S61:S63)</f>
        <v>0</v>
      </c>
      <c r="T64" s="154"/>
      <c r="U64" s="267"/>
      <c r="V64" s="297" t="n">
        <f aca="false">SUM(V61:V63)</f>
        <v>0</v>
      </c>
      <c r="W64" s="272" t="n">
        <f aca="false">SUM(W61:W63)</f>
        <v>0</v>
      </c>
      <c r="X64" s="272" t="n">
        <f aca="false">SUM(X61:X63)</f>
        <v>0</v>
      </c>
      <c r="Y64" s="272" t="n">
        <f aca="false">SUM(Y61:Y63)</f>
        <v>0</v>
      </c>
      <c r="Z64" s="272" t="n">
        <f aca="false">SUM(Z61:Z63)</f>
        <v>0</v>
      </c>
      <c r="AA64" s="263"/>
    </row>
    <row r="65" customFormat="false" ht="6" hidden="false" customHeight="true" outlineLevel="0" collapsed="false">
      <c r="A65" s="232"/>
      <c r="B65" s="293"/>
      <c r="C65" s="283"/>
      <c r="D65" s="294"/>
      <c r="E65" s="265"/>
      <c r="F65" s="265"/>
      <c r="G65" s="265"/>
      <c r="H65" s="268"/>
      <c r="I65" s="265"/>
      <c r="J65" s="265"/>
      <c r="K65" s="265"/>
      <c r="L65" s="265"/>
      <c r="M65" s="268"/>
      <c r="N65" s="265"/>
      <c r="O65" s="265"/>
      <c r="P65" s="287"/>
      <c r="Q65" s="265"/>
      <c r="R65" s="265"/>
      <c r="S65" s="265"/>
      <c r="T65" s="154"/>
      <c r="U65" s="267"/>
      <c r="V65" s="265"/>
      <c r="W65" s="265"/>
      <c r="X65" s="265"/>
      <c r="Y65" s="265"/>
      <c r="Z65" s="265"/>
      <c r="AA65" s="263"/>
    </row>
    <row r="66" customFormat="false" ht="12" hidden="false" customHeight="true" outlineLevel="0" collapsed="false">
      <c r="A66" s="232"/>
      <c r="B66" s="381" t="s">
        <v>419</v>
      </c>
      <c r="C66" s="381"/>
      <c r="D66" s="287"/>
      <c r="E66" s="265"/>
      <c r="F66" s="265"/>
      <c r="G66" s="265"/>
      <c r="H66" s="292" t="n">
        <f aca="false">H$13</f>
        <v>0.1</v>
      </c>
      <c r="I66" s="265"/>
      <c r="J66" s="265"/>
      <c r="K66" s="265"/>
      <c r="L66" s="265"/>
      <c r="M66" s="268"/>
      <c r="N66" s="265"/>
      <c r="O66" s="154"/>
      <c r="P66" s="183"/>
      <c r="Q66" s="154"/>
      <c r="R66" s="154"/>
      <c r="S66" s="154"/>
      <c r="T66" s="154"/>
      <c r="U66" s="267"/>
      <c r="V66" s="265"/>
      <c r="W66" s="265"/>
      <c r="X66" s="265"/>
      <c r="Y66" s="154"/>
      <c r="Z66" s="154"/>
      <c r="AA66" s="263"/>
    </row>
    <row r="67" customFormat="false" ht="12" hidden="false" customHeight="false" outlineLevel="0" collapsed="false">
      <c r="A67" s="232"/>
      <c r="B67" s="298"/>
      <c r="C67" s="171"/>
      <c r="D67" s="299"/>
      <c r="E67" s="300"/>
      <c r="F67" s="265"/>
      <c r="G67" s="265"/>
      <c r="H67" s="268" t="n">
        <f aca="false">H$66</f>
        <v>0.1</v>
      </c>
      <c r="I67" s="265" t="str">
        <f aca="false">IF(E67&gt;0,MIN(E67*H67,G67)," ")</f>
        <v> </v>
      </c>
      <c r="J67" s="265" t="str">
        <f aca="false">IF(E67&gt;0,F67+I67," ")</f>
        <v> </v>
      </c>
      <c r="K67" s="265" t="str">
        <f aca="false">IF(E67&gt;0,E67-J67," ")</f>
        <v> </v>
      </c>
      <c r="L67" s="265"/>
      <c r="M67" s="268"/>
      <c r="N67" s="265"/>
      <c r="O67" s="154"/>
      <c r="P67" s="268" t="n">
        <f aca="false">P$4</f>
        <v>1</v>
      </c>
      <c r="Q67" s="154" t="str">
        <f aca="false">IF(E67&gt;0,E67*P67," ")</f>
        <v> </v>
      </c>
      <c r="R67" s="154"/>
      <c r="S67" s="154" t="str">
        <f aca="false">IF(E67&gt;0,E67-Q67," ")</f>
        <v> </v>
      </c>
      <c r="T67" s="154"/>
      <c r="U67" s="298"/>
      <c r="V67" s="300"/>
      <c r="W67" s="265" t="str">
        <f aca="false">IF(V67&gt;0,E67," ")</f>
        <v> </v>
      </c>
      <c r="X67" s="265" t="str">
        <f aca="false">IF(V67&gt;0,J67," ")</f>
        <v> </v>
      </c>
      <c r="Y67" s="154" t="str">
        <f aca="false">IF((U67+V67)&gt;0,IF(V67&lt;S67,S67-V67," ")," ")</f>
        <v> </v>
      </c>
      <c r="Z67" s="154" t="str">
        <f aca="false">IF((U67+V67)&gt;0,IF(V67&gt;S67,V67-S67," ")," ")</f>
        <v> </v>
      </c>
      <c r="AA67" s="263"/>
    </row>
    <row r="68" customFormat="false" ht="12" hidden="false" customHeight="false" outlineLevel="0" collapsed="false">
      <c r="A68" s="232"/>
      <c r="B68" s="298"/>
      <c r="C68" s="171"/>
      <c r="D68" s="299"/>
      <c r="E68" s="300"/>
      <c r="F68" s="265"/>
      <c r="G68" s="265"/>
      <c r="H68" s="268" t="n">
        <f aca="false">H$66</f>
        <v>0.1</v>
      </c>
      <c r="I68" s="265" t="str">
        <f aca="false">IF(E68&gt;0,MIN(E68*H68,G68)," ")</f>
        <v> </v>
      </c>
      <c r="J68" s="265" t="str">
        <f aca="false">IF(E68&gt;0,F68+I68," ")</f>
        <v> </v>
      </c>
      <c r="K68" s="265" t="str">
        <f aca="false">IF(E68&gt;0,E68-J68," ")</f>
        <v> </v>
      </c>
      <c r="L68" s="265"/>
      <c r="M68" s="268"/>
      <c r="N68" s="265"/>
      <c r="O68" s="154"/>
      <c r="P68" s="268" t="n">
        <f aca="false">P$4</f>
        <v>1</v>
      </c>
      <c r="Q68" s="154" t="str">
        <f aca="false">IF(E68&gt;0,E68*P68," ")</f>
        <v> </v>
      </c>
      <c r="R68" s="154"/>
      <c r="S68" s="154" t="str">
        <f aca="false">IF(E68&gt;0,E68-Q68," ")</f>
        <v> </v>
      </c>
      <c r="T68" s="154"/>
      <c r="U68" s="298"/>
      <c r="V68" s="300"/>
      <c r="W68" s="265" t="str">
        <f aca="false">IF(V68&gt;0,E68," ")</f>
        <v> </v>
      </c>
      <c r="X68" s="265" t="str">
        <f aca="false">IF(V68&gt;0,J68," ")</f>
        <v> </v>
      </c>
      <c r="Y68" s="154" t="str">
        <f aca="false">IF((U68+V68)&gt;0,IF(V68&lt;S68,S68-V68," ")," ")</f>
        <v> </v>
      </c>
      <c r="Z68" s="154" t="str">
        <f aca="false">IF((U68+V68)&gt;0,IF(V68&gt;S68,V68-S68," ")," ")</f>
        <v> </v>
      </c>
      <c r="AA68" s="263"/>
    </row>
    <row r="69" customFormat="false" ht="12" hidden="false" customHeight="false" outlineLevel="0" collapsed="false">
      <c r="A69" s="232"/>
      <c r="B69" s="298"/>
      <c r="C69" s="171"/>
      <c r="D69" s="299"/>
      <c r="E69" s="300"/>
      <c r="F69" s="265"/>
      <c r="G69" s="265"/>
      <c r="H69" s="268" t="n">
        <f aca="false">H$66</f>
        <v>0.1</v>
      </c>
      <c r="I69" s="265" t="str">
        <f aca="false">IF(E69&gt;0,MIN(E69*H69,G69)," ")</f>
        <v> </v>
      </c>
      <c r="J69" s="265" t="str">
        <f aca="false">IF(E69&gt;0,F69+I69," ")</f>
        <v> </v>
      </c>
      <c r="K69" s="265" t="str">
        <f aca="false">IF(E69&gt;0,E69-J69," ")</f>
        <v> </v>
      </c>
      <c r="L69" s="265"/>
      <c r="M69" s="268"/>
      <c r="N69" s="265"/>
      <c r="O69" s="154"/>
      <c r="P69" s="268" t="n">
        <f aca="false">P$4</f>
        <v>1</v>
      </c>
      <c r="Q69" s="154" t="str">
        <f aca="false">IF(E69&gt;0,E69*P69," ")</f>
        <v> </v>
      </c>
      <c r="R69" s="154"/>
      <c r="S69" s="154" t="str">
        <f aca="false">IF(E69&gt;0,E69-Q69," ")</f>
        <v> </v>
      </c>
      <c r="T69" s="154"/>
      <c r="U69" s="298"/>
      <c r="V69" s="300"/>
      <c r="W69" s="265" t="str">
        <f aca="false">IF(V69&gt;0,E69," ")</f>
        <v> </v>
      </c>
      <c r="X69" s="265" t="str">
        <f aca="false">IF(V69&gt;0,J69," ")</f>
        <v> </v>
      </c>
      <c r="Y69" s="154" t="str">
        <f aca="false">IF((U69+V69)&gt;0,IF(V69&lt;S69,S69-V69," ")," ")</f>
        <v> </v>
      </c>
      <c r="Z69" s="154" t="str">
        <f aca="false">IF((U69+V69)&gt;0,IF(V69&gt;S69,V69-S69," ")," ")</f>
        <v> </v>
      </c>
      <c r="AA69" s="263"/>
    </row>
    <row r="70" customFormat="false" ht="12" hidden="false" customHeight="false" outlineLevel="0" collapsed="false">
      <c r="A70" s="232"/>
      <c r="B70" s="298"/>
      <c r="C70" s="171"/>
      <c r="D70" s="299"/>
      <c r="E70" s="300"/>
      <c r="F70" s="265"/>
      <c r="G70" s="265"/>
      <c r="H70" s="268" t="n">
        <f aca="false">H$66</f>
        <v>0.1</v>
      </c>
      <c r="I70" s="265" t="str">
        <f aca="false">IF(E70&gt;0,MIN(E70*H70,G70)," ")</f>
        <v> </v>
      </c>
      <c r="J70" s="265" t="str">
        <f aca="false">IF(E70&gt;0,F70+I70," ")</f>
        <v> </v>
      </c>
      <c r="K70" s="265" t="str">
        <f aca="false">IF(E70&gt;0,E70-J70," ")</f>
        <v> </v>
      </c>
      <c r="L70" s="265"/>
      <c r="M70" s="268"/>
      <c r="N70" s="265"/>
      <c r="O70" s="154"/>
      <c r="P70" s="268" t="n">
        <f aca="false">P$4</f>
        <v>1</v>
      </c>
      <c r="Q70" s="154" t="str">
        <f aca="false">IF(E70&gt;0,E70*P70," ")</f>
        <v> </v>
      </c>
      <c r="R70" s="154"/>
      <c r="S70" s="154" t="str">
        <f aca="false">IF(E70&gt;0,E70-Q70," ")</f>
        <v> </v>
      </c>
      <c r="T70" s="154"/>
      <c r="U70" s="298"/>
      <c r="V70" s="300"/>
      <c r="W70" s="265" t="str">
        <f aca="false">IF(V70&gt;0,E70," ")</f>
        <v> </v>
      </c>
      <c r="X70" s="265" t="str">
        <f aca="false">IF(V70&gt;0,J70," ")</f>
        <v> </v>
      </c>
      <c r="Y70" s="154" t="str">
        <f aca="false">IF((U70+V70)&gt;0,IF(V70&lt;S70,S70-V70," ")," ")</f>
        <v> </v>
      </c>
      <c r="Z70" s="154" t="str">
        <f aca="false">IF((U70+V70)&gt;0,IF(V70&gt;S70,V70-S70," ")," ")</f>
        <v> </v>
      </c>
      <c r="AA70" s="263"/>
    </row>
    <row r="71" customFormat="false" ht="12" hidden="false" customHeight="false" outlineLevel="0" collapsed="false">
      <c r="A71" s="232"/>
      <c r="B71" s="298"/>
      <c r="C71" s="171"/>
      <c r="D71" s="299"/>
      <c r="E71" s="300"/>
      <c r="F71" s="265"/>
      <c r="G71" s="265"/>
      <c r="H71" s="268" t="n">
        <f aca="false">H$66</f>
        <v>0.1</v>
      </c>
      <c r="I71" s="265" t="str">
        <f aca="false">IF(E71&gt;0,MIN(E71*H71,G71)," ")</f>
        <v> </v>
      </c>
      <c r="J71" s="265" t="str">
        <f aca="false">IF(E71&gt;0,F71+I71," ")</f>
        <v> </v>
      </c>
      <c r="K71" s="265" t="str">
        <f aca="false">IF(E71&gt;0,E71-J71," ")</f>
        <v> </v>
      </c>
      <c r="L71" s="265"/>
      <c r="M71" s="268"/>
      <c r="N71" s="265"/>
      <c r="O71" s="154"/>
      <c r="P71" s="268" t="n">
        <f aca="false">P$4</f>
        <v>1</v>
      </c>
      <c r="Q71" s="154" t="str">
        <f aca="false">IF(E71&gt;0,E71*P71," ")</f>
        <v> </v>
      </c>
      <c r="R71" s="154"/>
      <c r="S71" s="154" t="str">
        <f aca="false">IF(E71&gt;0,E71-Q71," ")</f>
        <v> </v>
      </c>
      <c r="T71" s="154"/>
      <c r="U71" s="298"/>
      <c r="V71" s="300"/>
      <c r="W71" s="265" t="str">
        <f aca="false">IF(V71&gt;0,E71," ")</f>
        <v> </v>
      </c>
      <c r="X71" s="265" t="str">
        <f aca="false">IF(V71&gt;0,J71," ")</f>
        <v> </v>
      </c>
      <c r="Y71" s="154" t="str">
        <f aca="false">IF((U71+V71)&gt;0,IF(V71&lt;S71,S71-V71," ")," ")</f>
        <v> </v>
      </c>
      <c r="Z71" s="154" t="str">
        <f aca="false">IF((U71+V71)&gt;0,IF(V71&gt;S71,V71-S71," ")," ")</f>
        <v> </v>
      </c>
      <c r="AA71" s="263"/>
    </row>
    <row r="72" customFormat="false" ht="12" hidden="false" customHeight="false" outlineLevel="0" collapsed="false">
      <c r="A72" s="232"/>
      <c r="B72" s="382" t="s">
        <v>473</v>
      </c>
      <c r="C72" s="382"/>
      <c r="D72" s="382"/>
      <c r="E72" s="297" t="n">
        <f aca="false">SUM(E67:E71)</f>
        <v>0</v>
      </c>
      <c r="F72" s="272" t="n">
        <f aca="false">SUM(F67:F71)</f>
        <v>0</v>
      </c>
      <c r="G72" s="272" t="n">
        <f aca="false">SUM(G67:G71)</f>
        <v>0</v>
      </c>
      <c r="H72" s="268"/>
      <c r="I72" s="272" t="n">
        <f aca="false">SUM(I67:I71)</f>
        <v>0</v>
      </c>
      <c r="J72" s="272" t="n">
        <f aca="false">SUM(J67:J71)</f>
        <v>0</v>
      </c>
      <c r="K72" s="272" t="n">
        <f aca="false">SUM(K67:K71)</f>
        <v>0</v>
      </c>
      <c r="L72" s="265"/>
      <c r="M72" s="268"/>
      <c r="N72" s="265"/>
      <c r="O72" s="272" t="n">
        <f aca="false">SUM(O67:O71)</f>
        <v>0</v>
      </c>
      <c r="P72" s="287"/>
      <c r="Q72" s="272" t="n">
        <f aca="false">SUM(Q67:Q71)</f>
        <v>0</v>
      </c>
      <c r="R72" s="272" t="n">
        <f aca="false">SUM(R67:R71)</f>
        <v>0</v>
      </c>
      <c r="S72" s="272" t="n">
        <f aca="false">SUM(S67:S71)</f>
        <v>0</v>
      </c>
      <c r="T72" s="154"/>
      <c r="U72" s="267"/>
      <c r="V72" s="297" t="n">
        <f aca="false">SUM(V67:V71)</f>
        <v>0</v>
      </c>
      <c r="W72" s="272" t="n">
        <f aca="false">SUM(W67:W71)</f>
        <v>0</v>
      </c>
      <c r="X72" s="272" t="n">
        <f aca="false">SUM(X67:X71)</f>
        <v>0</v>
      </c>
      <c r="Y72" s="272" t="n">
        <f aca="false">SUM(Y67:Y71)</f>
        <v>0</v>
      </c>
      <c r="Z72" s="272" t="n">
        <f aca="false">SUM(Z67:Z71)</f>
        <v>0</v>
      </c>
      <c r="AA72" s="263"/>
    </row>
    <row r="73" customFormat="false" ht="6" hidden="false" customHeight="true" outlineLevel="0" collapsed="false">
      <c r="A73" s="232"/>
      <c r="B73" s="293"/>
      <c r="C73" s="283"/>
      <c r="D73" s="294"/>
      <c r="E73" s="265"/>
      <c r="F73" s="265"/>
      <c r="G73" s="265"/>
      <c r="H73" s="268"/>
      <c r="I73" s="265"/>
      <c r="J73" s="265"/>
      <c r="K73" s="265"/>
      <c r="L73" s="265"/>
      <c r="M73" s="268"/>
      <c r="N73" s="265"/>
      <c r="O73" s="265"/>
      <c r="P73" s="287"/>
      <c r="Q73" s="265"/>
      <c r="R73" s="265"/>
      <c r="S73" s="265"/>
      <c r="T73" s="154"/>
      <c r="U73" s="267"/>
      <c r="V73" s="265"/>
      <c r="W73" s="265"/>
      <c r="X73" s="265"/>
      <c r="Y73" s="265"/>
      <c r="Z73" s="265"/>
      <c r="AA73" s="263"/>
    </row>
    <row r="74" customFormat="false" ht="12" hidden="false" customHeight="false" outlineLevel="0" collapsed="false">
      <c r="A74" s="232"/>
      <c r="B74" s="381" t="s">
        <v>421</v>
      </c>
      <c r="C74" s="381"/>
      <c r="D74" s="287"/>
      <c r="E74" s="265"/>
      <c r="F74" s="265"/>
      <c r="G74" s="265"/>
      <c r="H74" s="292" t="n">
        <f aca="false">H$21</f>
        <v>0.2</v>
      </c>
      <c r="I74" s="265"/>
      <c r="J74" s="265"/>
      <c r="K74" s="265"/>
      <c r="L74" s="265"/>
      <c r="M74" s="268"/>
      <c r="N74" s="265"/>
      <c r="O74" s="154"/>
      <c r="P74" s="183"/>
      <c r="Q74" s="154"/>
      <c r="R74" s="154"/>
      <c r="S74" s="154"/>
      <c r="T74" s="154"/>
      <c r="U74" s="267"/>
      <c r="V74" s="265"/>
      <c r="W74" s="265"/>
      <c r="X74" s="265"/>
      <c r="Y74" s="154"/>
      <c r="Z74" s="154"/>
      <c r="AA74" s="263"/>
    </row>
    <row r="75" customFormat="false" ht="12" hidden="false" customHeight="true" outlineLevel="0" collapsed="false">
      <c r="A75" s="232"/>
      <c r="B75" s="298"/>
      <c r="C75" s="171"/>
      <c r="D75" s="303"/>
      <c r="E75" s="300"/>
      <c r="F75" s="265"/>
      <c r="G75" s="265"/>
      <c r="H75" s="268" t="n">
        <f aca="false">H$74</f>
        <v>0.2</v>
      </c>
      <c r="I75" s="265" t="str">
        <f aca="false">IF(E75&gt;0,MIN(E75*H75,G75)," ")</f>
        <v> </v>
      </c>
      <c r="J75" s="265" t="str">
        <f aca="false">IF(E75&gt;0,F75+I75," ")</f>
        <v> </v>
      </c>
      <c r="K75" s="265" t="str">
        <f aca="false">IF(E75&gt;0,E75-J75," ")</f>
        <v> </v>
      </c>
      <c r="L75" s="265"/>
      <c r="M75" s="268"/>
      <c r="N75" s="265"/>
      <c r="O75" s="154"/>
      <c r="P75" s="268" t="n">
        <f aca="false">P$4</f>
        <v>1</v>
      </c>
      <c r="Q75" s="154" t="str">
        <f aca="false">IF(E75&gt;0,E75*P75," ")</f>
        <v> </v>
      </c>
      <c r="R75" s="154"/>
      <c r="S75" s="154" t="str">
        <f aca="false">IF(E75&gt;0,E75-Q75," ")</f>
        <v> </v>
      </c>
      <c r="T75" s="154"/>
      <c r="U75" s="298"/>
      <c r="V75" s="300"/>
      <c r="W75" s="265" t="str">
        <f aca="false">IF(V75&gt;0,E75," ")</f>
        <v> </v>
      </c>
      <c r="X75" s="265" t="str">
        <f aca="false">IF(V75&gt;0,J75," ")</f>
        <v> </v>
      </c>
      <c r="Y75" s="154" t="str">
        <f aca="false">IF((U75+V75)&gt;0,IF(V75&lt;S75,S75-V75," ")," ")</f>
        <v> </v>
      </c>
      <c r="Z75" s="154" t="str">
        <f aca="false">IF((U75+V75)&gt;0,IF(V75&gt;S75,V75-S75," ")," ")</f>
        <v> </v>
      </c>
      <c r="AA75" s="263"/>
    </row>
    <row r="76" customFormat="false" ht="12" hidden="false" customHeight="false" outlineLevel="0" collapsed="false">
      <c r="A76" s="232"/>
      <c r="B76" s="298"/>
      <c r="C76" s="171"/>
      <c r="D76" s="303"/>
      <c r="E76" s="300"/>
      <c r="F76" s="265"/>
      <c r="G76" s="265"/>
      <c r="H76" s="268" t="n">
        <f aca="false">H$74</f>
        <v>0.2</v>
      </c>
      <c r="I76" s="265" t="str">
        <f aca="false">IF(E76&gt;0,MIN(E76*H76,G76)," ")</f>
        <v> </v>
      </c>
      <c r="J76" s="265" t="str">
        <f aca="false">IF(E76&gt;0,F76+I76," ")</f>
        <v> </v>
      </c>
      <c r="K76" s="265" t="str">
        <f aca="false">IF(E76&gt;0,E76-J76," ")</f>
        <v> </v>
      </c>
      <c r="L76" s="265"/>
      <c r="M76" s="268"/>
      <c r="N76" s="265"/>
      <c r="O76" s="154"/>
      <c r="P76" s="268" t="n">
        <f aca="false">P$4</f>
        <v>1</v>
      </c>
      <c r="Q76" s="154" t="str">
        <f aca="false">IF(E76&gt;0,E76*P76," ")</f>
        <v> </v>
      </c>
      <c r="R76" s="154"/>
      <c r="S76" s="154" t="str">
        <f aca="false">IF(E76&gt;0,E76-Q76," ")</f>
        <v> </v>
      </c>
      <c r="T76" s="154"/>
      <c r="U76" s="298"/>
      <c r="V76" s="300"/>
      <c r="W76" s="265" t="str">
        <f aca="false">IF(V76&gt;0,E76," ")</f>
        <v> </v>
      </c>
      <c r="X76" s="265" t="str">
        <f aca="false">IF(V76&gt;0,J76," ")</f>
        <v> </v>
      </c>
      <c r="Y76" s="154" t="str">
        <f aca="false">IF((U76+V76)&gt;0,IF(V76&lt;S76,S76-V76," ")," ")</f>
        <v> </v>
      </c>
      <c r="Z76" s="154" t="str">
        <f aca="false">IF((U76+V76)&gt;0,IF(V76&gt;S76,V76-S76," ")," ")</f>
        <v> </v>
      </c>
      <c r="AA76" s="263"/>
    </row>
    <row r="77" customFormat="false" ht="12" hidden="false" customHeight="false" outlineLevel="0" collapsed="false">
      <c r="A77" s="232"/>
      <c r="B77" s="298"/>
      <c r="C77" s="171"/>
      <c r="D77" s="303"/>
      <c r="E77" s="300"/>
      <c r="F77" s="265"/>
      <c r="G77" s="265"/>
      <c r="H77" s="268" t="n">
        <f aca="false">H$74</f>
        <v>0.2</v>
      </c>
      <c r="I77" s="265" t="str">
        <f aca="false">IF(E77&gt;0,MIN(E77*H77,G77)," ")</f>
        <v> </v>
      </c>
      <c r="J77" s="265" t="str">
        <f aca="false">IF(E77&gt;0,F77+I77," ")</f>
        <v> </v>
      </c>
      <c r="K77" s="265" t="str">
        <f aca="false">IF(E77&gt;0,E77-J77," ")</f>
        <v> </v>
      </c>
      <c r="L77" s="265"/>
      <c r="M77" s="268"/>
      <c r="N77" s="265"/>
      <c r="O77" s="154"/>
      <c r="P77" s="268" t="n">
        <f aca="false">P$4</f>
        <v>1</v>
      </c>
      <c r="Q77" s="154" t="str">
        <f aca="false">IF(E77&gt;0,E77*P77," ")</f>
        <v> </v>
      </c>
      <c r="R77" s="154"/>
      <c r="S77" s="154" t="str">
        <f aca="false">IF(E77&gt;0,E77-Q77," ")</f>
        <v> </v>
      </c>
      <c r="T77" s="154"/>
      <c r="U77" s="298"/>
      <c r="V77" s="300"/>
      <c r="W77" s="265" t="str">
        <f aca="false">IF(V77&gt;0,E77," ")</f>
        <v> </v>
      </c>
      <c r="X77" s="265" t="str">
        <f aca="false">IF(V77&gt;0,J77," ")</f>
        <v> </v>
      </c>
      <c r="Y77" s="154" t="str">
        <f aca="false">IF((U77+V77)&gt;0,IF(V77&lt;S77,S77-V77," ")," ")</f>
        <v> </v>
      </c>
      <c r="Z77" s="154" t="str">
        <f aca="false">IF((U77+V77)&gt;0,IF(V77&gt;S77,V77-S77," ")," ")</f>
        <v> </v>
      </c>
      <c r="AA77" s="263"/>
    </row>
    <row r="78" customFormat="false" ht="12" hidden="false" customHeight="false" outlineLevel="0" collapsed="false">
      <c r="A78" s="232"/>
      <c r="B78" s="298"/>
      <c r="C78" s="171"/>
      <c r="D78" s="303"/>
      <c r="E78" s="300"/>
      <c r="F78" s="265"/>
      <c r="G78" s="265"/>
      <c r="H78" s="268" t="n">
        <f aca="false">H$74</f>
        <v>0.2</v>
      </c>
      <c r="I78" s="265" t="str">
        <f aca="false">IF(E78&gt;0,MIN(E78*H78,G78)," ")</f>
        <v> </v>
      </c>
      <c r="J78" s="265" t="str">
        <f aca="false">IF(E78&gt;0,F78+I78," ")</f>
        <v> </v>
      </c>
      <c r="K78" s="265" t="str">
        <f aca="false">IF(E78&gt;0,E78-J78," ")</f>
        <v> </v>
      </c>
      <c r="L78" s="265"/>
      <c r="M78" s="268"/>
      <c r="N78" s="265"/>
      <c r="O78" s="154"/>
      <c r="P78" s="268" t="n">
        <f aca="false">P$4</f>
        <v>1</v>
      </c>
      <c r="Q78" s="154" t="str">
        <f aca="false">IF(E78&gt;0,E78*P78," ")</f>
        <v> </v>
      </c>
      <c r="R78" s="154"/>
      <c r="S78" s="154" t="str">
        <f aca="false">IF(E78&gt;0,E78-Q78," ")</f>
        <v> </v>
      </c>
      <c r="T78" s="154"/>
      <c r="U78" s="298"/>
      <c r="V78" s="300"/>
      <c r="W78" s="265" t="str">
        <f aca="false">IF(V78&gt;0,E78," ")</f>
        <v> </v>
      </c>
      <c r="X78" s="265" t="str">
        <f aca="false">IF(V78&gt;0,J78," ")</f>
        <v> </v>
      </c>
      <c r="Y78" s="154" t="str">
        <f aca="false">IF((U78+V78)&gt;0,IF(V78&lt;S78,S78-V78," ")," ")</f>
        <v> </v>
      </c>
      <c r="Z78" s="154" t="str">
        <f aca="false">IF((U78+V78)&gt;0,IF(V78&gt;S78,V78-S78," ")," ")</f>
        <v> </v>
      </c>
      <c r="AA78" s="263"/>
    </row>
    <row r="79" customFormat="false" ht="12" hidden="false" customHeight="false" outlineLevel="0" collapsed="false">
      <c r="A79" s="232"/>
      <c r="B79" s="298"/>
      <c r="C79" s="171"/>
      <c r="D79" s="303"/>
      <c r="E79" s="300"/>
      <c r="F79" s="265"/>
      <c r="G79" s="265"/>
      <c r="H79" s="268" t="n">
        <f aca="false">H$74</f>
        <v>0.2</v>
      </c>
      <c r="I79" s="265" t="str">
        <f aca="false">IF(E79&gt;0,MIN(E79*H79,G79)," ")</f>
        <v> </v>
      </c>
      <c r="J79" s="265" t="str">
        <f aca="false">IF(E79&gt;0,F79+I79," ")</f>
        <v> </v>
      </c>
      <c r="K79" s="265" t="str">
        <f aca="false">IF(E79&gt;0,E79-J79," ")</f>
        <v> </v>
      </c>
      <c r="L79" s="265"/>
      <c r="M79" s="268"/>
      <c r="N79" s="265"/>
      <c r="O79" s="154"/>
      <c r="P79" s="268" t="n">
        <f aca="false">P$4</f>
        <v>1</v>
      </c>
      <c r="Q79" s="154" t="str">
        <f aca="false">IF(E79&gt;0,E79*P79," ")</f>
        <v> </v>
      </c>
      <c r="R79" s="154"/>
      <c r="S79" s="154" t="str">
        <f aca="false">IF(E79&gt;0,E79-Q79," ")</f>
        <v> </v>
      </c>
      <c r="T79" s="154"/>
      <c r="U79" s="298"/>
      <c r="V79" s="300"/>
      <c r="W79" s="265" t="str">
        <f aca="false">IF(V79&gt;0,E79," ")</f>
        <v> </v>
      </c>
      <c r="X79" s="265" t="str">
        <f aca="false">IF(V79&gt;0,J79," ")</f>
        <v> </v>
      </c>
      <c r="Y79" s="154" t="str">
        <f aca="false">IF((U79+V79)&gt;0,IF(V79&lt;S79,S79-V79," ")," ")</f>
        <v> </v>
      </c>
      <c r="Z79" s="154" t="str">
        <f aca="false">IF((U79+V79)&gt;0,IF(V79&gt;S79,V79-S79," ")," ")</f>
        <v> </v>
      </c>
      <c r="AA79" s="263"/>
    </row>
    <row r="80" customFormat="false" ht="12" hidden="false" customHeight="false" outlineLevel="0" collapsed="false">
      <c r="A80" s="232"/>
      <c r="B80" s="382" t="s">
        <v>474</v>
      </c>
      <c r="C80" s="382"/>
      <c r="D80" s="382"/>
      <c r="E80" s="297" t="n">
        <f aca="false">SUM(E75:E79)</f>
        <v>0</v>
      </c>
      <c r="F80" s="272" t="n">
        <f aca="false">SUM(F75:F79)</f>
        <v>0</v>
      </c>
      <c r="G80" s="272" t="n">
        <f aca="false">SUM(G75:G79)</f>
        <v>0</v>
      </c>
      <c r="H80" s="268"/>
      <c r="I80" s="272" t="n">
        <f aca="false">SUM(I75:I79)</f>
        <v>0</v>
      </c>
      <c r="J80" s="272" t="n">
        <f aca="false">SUM(J75:J79)</f>
        <v>0</v>
      </c>
      <c r="K80" s="272" t="n">
        <f aca="false">SUM(K75:K79)</f>
        <v>0</v>
      </c>
      <c r="L80" s="265"/>
      <c r="M80" s="268"/>
      <c r="N80" s="265"/>
      <c r="O80" s="272" t="n">
        <f aca="false">SUM(O75:O79)</f>
        <v>0</v>
      </c>
      <c r="P80" s="287"/>
      <c r="Q80" s="272" t="n">
        <f aca="false">SUM(Q75:Q79)</f>
        <v>0</v>
      </c>
      <c r="R80" s="272" t="n">
        <f aca="false">SUM(R75:R79)</f>
        <v>0</v>
      </c>
      <c r="S80" s="272" t="n">
        <f aca="false">SUM(S75:S79)</f>
        <v>0</v>
      </c>
      <c r="T80" s="154"/>
      <c r="U80" s="267"/>
      <c r="V80" s="297" t="n">
        <f aca="false">SUM(V75:V79)</f>
        <v>0</v>
      </c>
      <c r="W80" s="272" t="n">
        <f aca="false">SUM(W75:W79)</f>
        <v>0</v>
      </c>
      <c r="X80" s="272" t="n">
        <f aca="false">SUM(X75:X79)</f>
        <v>0</v>
      </c>
      <c r="Y80" s="272" t="n">
        <f aca="false">SUM(Y75:Y79)</f>
        <v>0</v>
      </c>
      <c r="Z80" s="272" t="n">
        <f aca="false">SUM(Z75:Z79)</f>
        <v>0</v>
      </c>
      <c r="AA80" s="263"/>
    </row>
    <row r="81" customFormat="false" ht="6" hidden="false" customHeight="true" outlineLevel="0" collapsed="false">
      <c r="A81" s="232"/>
      <c r="B81" s="293"/>
      <c r="C81" s="283"/>
      <c r="D81" s="294"/>
      <c r="E81" s="265"/>
      <c r="F81" s="265"/>
      <c r="G81" s="265"/>
      <c r="H81" s="268"/>
      <c r="I81" s="265"/>
      <c r="J81" s="265"/>
      <c r="K81" s="265"/>
      <c r="L81" s="265"/>
      <c r="M81" s="268"/>
      <c r="N81" s="265"/>
      <c r="O81" s="265"/>
      <c r="P81" s="287"/>
      <c r="Q81" s="265"/>
      <c r="R81" s="265"/>
      <c r="S81" s="265"/>
      <c r="T81" s="154"/>
      <c r="U81" s="267"/>
      <c r="V81" s="265"/>
      <c r="W81" s="265"/>
      <c r="X81" s="265"/>
      <c r="Y81" s="265"/>
      <c r="Z81" s="265"/>
      <c r="AA81" s="263"/>
    </row>
    <row r="82" customFormat="false" ht="12" hidden="false" customHeight="false" outlineLevel="0" collapsed="false">
      <c r="A82" s="232"/>
      <c r="B82" s="381" t="s">
        <v>465</v>
      </c>
      <c r="C82" s="381"/>
      <c r="D82" s="289"/>
      <c r="E82" s="265"/>
      <c r="F82" s="265"/>
      <c r="G82" s="265"/>
      <c r="H82" s="292" t="n">
        <f aca="false">H$29</f>
        <v>0.33</v>
      </c>
      <c r="I82" s="265"/>
      <c r="J82" s="265"/>
      <c r="K82" s="265"/>
      <c r="L82" s="265"/>
      <c r="M82" s="268"/>
      <c r="N82" s="265"/>
      <c r="O82" s="154"/>
      <c r="P82" s="183"/>
      <c r="Q82" s="154"/>
      <c r="R82" s="154"/>
      <c r="S82" s="154"/>
      <c r="T82" s="154"/>
      <c r="U82" s="267"/>
      <c r="V82" s="265"/>
      <c r="W82" s="265"/>
      <c r="X82" s="265"/>
      <c r="Y82" s="154"/>
      <c r="Z82" s="154"/>
      <c r="AA82" s="263"/>
    </row>
    <row r="83" customFormat="false" ht="12" hidden="false" customHeight="false" outlineLevel="0" collapsed="false">
      <c r="A83" s="232"/>
      <c r="B83" s="298"/>
      <c r="C83" s="171"/>
      <c r="D83" s="303"/>
      <c r="E83" s="300"/>
      <c r="F83" s="265"/>
      <c r="G83" s="265"/>
      <c r="H83" s="268" t="n">
        <f aca="false">H$82</f>
        <v>0.33</v>
      </c>
      <c r="I83" s="265" t="str">
        <f aca="false">IF(E83&gt;0,MIN(E83*H83,G83)," ")</f>
        <v> </v>
      </c>
      <c r="J83" s="265" t="str">
        <f aca="false">IF(E83&gt;0,F83+I83," ")</f>
        <v> </v>
      </c>
      <c r="K83" s="265" t="str">
        <f aca="false">IF(E83&gt;0,E83-J83," ")</f>
        <v> </v>
      </c>
      <c r="L83" s="265"/>
      <c r="M83" s="268"/>
      <c r="N83" s="265"/>
      <c r="O83" s="154"/>
      <c r="P83" s="268" t="n">
        <f aca="false">P$4</f>
        <v>1</v>
      </c>
      <c r="Q83" s="154" t="str">
        <f aca="false">IF(E83&gt;0,E83*P83," ")</f>
        <v> </v>
      </c>
      <c r="R83" s="154"/>
      <c r="S83" s="154" t="str">
        <f aca="false">IF(E83&gt;0,E83-Q83," ")</f>
        <v> </v>
      </c>
      <c r="T83" s="154"/>
      <c r="U83" s="298"/>
      <c r="V83" s="300"/>
      <c r="W83" s="265" t="str">
        <f aca="false">IF(V83&gt;0,E83," ")</f>
        <v> </v>
      </c>
      <c r="X83" s="265" t="str">
        <f aca="false">IF(V83&gt;0,J83," ")</f>
        <v> </v>
      </c>
      <c r="Y83" s="154" t="str">
        <f aca="false">IF((U83+V83)&gt;0,IF(V83&lt;S83,S83-V83," ")," ")</f>
        <v> </v>
      </c>
      <c r="Z83" s="154" t="str">
        <f aca="false">IF((U83+V83)&gt;0,IF(V83&gt;S83,V83-S83," ")," ")</f>
        <v> </v>
      </c>
      <c r="AA83" s="263"/>
    </row>
    <row r="84" customFormat="false" ht="12" hidden="false" customHeight="false" outlineLevel="0" collapsed="false">
      <c r="A84" s="232"/>
      <c r="B84" s="298"/>
      <c r="C84" s="171"/>
      <c r="D84" s="303"/>
      <c r="E84" s="300"/>
      <c r="F84" s="265"/>
      <c r="G84" s="265"/>
      <c r="H84" s="268" t="n">
        <f aca="false">H$82</f>
        <v>0.33</v>
      </c>
      <c r="I84" s="265" t="str">
        <f aca="false">IF(E84&gt;0,MIN(E84*H84,G84)," ")</f>
        <v> </v>
      </c>
      <c r="J84" s="265" t="str">
        <f aca="false">IF(E84&gt;0,F84+I84," ")</f>
        <v> </v>
      </c>
      <c r="K84" s="265" t="str">
        <f aca="false">IF(E84&gt;0,E84-J84," ")</f>
        <v> </v>
      </c>
      <c r="L84" s="265"/>
      <c r="M84" s="268"/>
      <c r="N84" s="265"/>
      <c r="O84" s="154"/>
      <c r="P84" s="268" t="n">
        <f aca="false">P$4</f>
        <v>1</v>
      </c>
      <c r="Q84" s="154" t="str">
        <f aca="false">IF(E84&gt;0,E84*P84," ")</f>
        <v> </v>
      </c>
      <c r="R84" s="154"/>
      <c r="S84" s="154" t="str">
        <f aca="false">IF(E84&gt;0,E84-Q84," ")</f>
        <v> </v>
      </c>
      <c r="T84" s="154"/>
      <c r="U84" s="298"/>
      <c r="V84" s="300"/>
      <c r="W84" s="265" t="str">
        <f aca="false">IF(V84&gt;0,E84," ")</f>
        <v> </v>
      </c>
      <c r="X84" s="265" t="str">
        <f aca="false">IF(V84&gt;0,J84," ")</f>
        <v> </v>
      </c>
      <c r="Y84" s="154" t="str">
        <f aca="false">IF((U84+V84)&gt;0,IF(V84&lt;S84,S84-V84," ")," ")</f>
        <v> </v>
      </c>
      <c r="Z84" s="154" t="str">
        <f aca="false">IF((U84+V84)&gt;0,IF(V84&gt;S84,V84-S84," ")," ")</f>
        <v> </v>
      </c>
      <c r="AA84" s="263"/>
    </row>
    <row r="85" customFormat="false" ht="12" hidden="false" customHeight="false" outlineLevel="0" collapsed="false">
      <c r="A85" s="232"/>
      <c r="B85" s="298"/>
      <c r="C85" s="171"/>
      <c r="D85" s="303"/>
      <c r="E85" s="300"/>
      <c r="F85" s="265"/>
      <c r="G85" s="265"/>
      <c r="H85" s="268" t="n">
        <f aca="false">H$82</f>
        <v>0.33</v>
      </c>
      <c r="I85" s="265" t="str">
        <f aca="false">IF(E85&gt;0,MIN(E85*H85,G85)," ")</f>
        <v> </v>
      </c>
      <c r="J85" s="265" t="str">
        <f aca="false">IF(E85&gt;0,F85+I85," ")</f>
        <v> </v>
      </c>
      <c r="K85" s="265" t="str">
        <f aca="false">IF(E85&gt;0,E85-J85," ")</f>
        <v> </v>
      </c>
      <c r="L85" s="265"/>
      <c r="M85" s="268"/>
      <c r="N85" s="265"/>
      <c r="O85" s="154"/>
      <c r="P85" s="268" t="n">
        <f aca="false">P$4</f>
        <v>1</v>
      </c>
      <c r="Q85" s="154" t="str">
        <f aca="false">IF(E85&gt;0,E85*P85," ")</f>
        <v> </v>
      </c>
      <c r="R85" s="154"/>
      <c r="S85" s="154" t="str">
        <f aca="false">IF(E85&gt;0,E85-Q85," ")</f>
        <v> </v>
      </c>
      <c r="T85" s="154"/>
      <c r="U85" s="298"/>
      <c r="V85" s="300"/>
      <c r="W85" s="265" t="str">
        <f aca="false">IF(V85&gt;0,E85," ")</f>
        <v> </v>
      </c>
      <c r="X85" s="265" t="str">
        <f aca="false">IF(V85&gt;0,J85," ")</f>
        <v> </v>
      </c>
      <c r="Y85" s="154" t="str">
        <f aca="false">IF((U85+V85)&gt;0,IF(V85&lt;S85,S85-V85," ")," ")</f>
        <v> </v>
      </c>
      <c r="Z85" s="154" t="str">
        <f aca="false">IF((U85+V85)&gt;0,IF(V85&gt;S85,V85-S85," ")," ")</f>
        <v> </v>
      </c>
      <c r="AA85" s="263"/>
    </row>
    <row r="86" customFormat="false" ht="12" hidden="false" customHeight="false" outlineLevel="0" collapsed="false">
      <c r="A86" s="232"/>
      <c r="B86" s="298"/>
      <c r="C86" s="171"/>
      <c r="D86" s="303"/>
      <c r="E86" s="300"/>
      <c r="F86" s="265"/>
      <c r="G86" s="265"/>
      <c r="H86" s="268" t="n">
        <f aca="false">H$82</f>
        <v>0.33</v>
      </c>
      <c r="I86" s="265" t="str">
        <f aca="false">IF(E86&gt;0,MIN(E86*H86,G86)," ")</f>
        <v> </v>
      </c>
      <c r="J86" s="265" t="str">
        <f aca="false">IF(E86&gt;0,F86+I86," ")</f>
        <v> </v>
      </c>
      <c r="K86" s="265" t="str">
        <f aca="false">IF(E86&gt;0,E86-J86," ")</f>
        <v> </v>
      </c>
      <c r="L86" s="265"/>
      <c r="M86" s="268"/>
      <c r="N86" s="265"/>
      <c r="O86" s="154"/>
      <c r="P86" s="268" t="n">
        <f aca="false">P$4</f>
        <v>1</v>
      </c>
      <c r="Q86" s="154" t="str">
        <f aca="false">IF(E86&gt;0,E86*P86," ")</f>
        <v> </v>
      </c>
      <c r="R86" s="154"/>
      <c r="S86" s="154" t="str">
        <f aca="false">IF(E86&gt;0,E86-Q86," ")</f>
        <v> </v>
      </c>
      <c r="T86" s="154"/>
      <c r="U86" s="298"/>
      <c r="V86" s="300"/>
      <c r="W86" s="265" t="str">
        <f aca="false">IF(V86&gt;0,E86," ")</f>
        <v> </v>
      </c>
      <c r="X86" s="265" t="str">
        <f aca="false">IF(V86&gt;0,J86," ")</f>
        <v> </v>
      </c>
      <c r="Y86" s="154" t="str">
        <f aca="false">IF((U86+V86)&gt;0,IF(V86&lt;S86,S86-V86," ")," ")</f>
        <v> </v>
      </c>
      <c r="Z86" s="154" t="str">
        <f aca="false">IF((U86+V86)&gt;0,IF(V86&gt;S86,V86-S86," ")," ")</f>
        <v> </v>
      </c>
      <c r="AA86" s="263"/>
    </row>
    <row r="87" customFormat="false" ht="12" hidden="false" customHeight="false" outlineLevel="0" collapsed="false">
      <c r="A87" s="232"/>
      <c r="B87" s="298"/>
      <c r="C87" s="171"/>
      <c r="D87" s="303"/>
      <c r="E87" s="300"/>
      <c r="F87" s="265"/>
      <c r="G87" s="265"/>
      <c r="H87" s="268" t="n">
        <f aca="false">H$82</f>
        <v>0.33</v>
      </c>
      <c r="I87" s="265" t="str">
        <f aca="false">IF(E87&gt;0,MIN(E87*H87,G87)," ")</f>
        <v> </v>
      </c>
      <c r="J87" s="265" t="str">
        <f aca="false">IF(E87&gt;0,F87+I87," ")</f>
        <v> </v>
      </c>
      <c r="K87" s="265" t="str">
        <f aca="false">IF(E87&gt;0,E87-J87," ")</f>
        <v> </v>
      </c>
      <c r="L87" s="265"/>
      <c r="M87" s="268"/>
      <c r="N87" s="265"/>
      <c r="O87" s="154"/>
      <c r="P87" s="268" t="n">
        <f aca="false">P$4</f>
        <v>1</v>
      </c>
      <c r="Q87" s="154" t="str">
        <f aca="false">IF(E87&gt;0,E87*P87," ")</f>
        <v> </v>
      </c>
      <c r="R87" s="154"/>
      <c r="S87" s="154" t="str">
        <f aca="false">IF(E87&gt;0,E87-Q87," ")</f>
        <v> </v>
      </c>
      <c r="T87" s="154"/>
      <c r="U87" s="298"/>
      <c r="V87" s="300"/>
      <c r="W87" s="265" t="str">
        <f aca="false">IF(V87&gt;0,E87," ")</f>
        <v> </v>
      </c>
      <c r="X87" s="265" t="str">
        <f aca="false">IF(V87&gt;0,J87," ")</f>
        <v> </v>
      </c>
      <c r="Y87" s="154" t="str">
        <f aca="false">IF((U87+V87)&gt;0,IF(V87&lt;S87,S87-V87," ")," ")</f>
        <v> </v>
      </c>
      <c r="Z87" s="154" t="str">
        <f aca="false">IF((U87+V87)&gt;0,IF(V87&gt;S87,V87-S87," ")," ")</f>
        <v> </v>
      </c>
      <c r="AA87" s="263"/>
    </row>
    <row r="88" customFormat="false" ht="12" hidden="false" customHeight="false" outlineLevel="0" collapsed="false">
      <c r="A88" s="232"/>
      <c r="B88" s="382" t="s">
        <v>475</v>
      </c>
      <c r="C88" s="382"/>
      <c r="D88" s="382"/>
      <c r="E88" s="297" t="n">
        <f aca="false">SUM(E83:E87)</f>
        <v>0</v>
      </c>
      <c r="F88" s="272" t="n">
        <f aca="false">SUM(F83:F87)</f>
        <v>0</v>
      </c>
      <c r="G88" s="272" t="n">
        <f aca="false">SUM(G83:G87)</f>
        <v>0</v>
      </c>
      <c r="H88" s="268"/>
      <c r="I88" s="272" t="n">
        <f aca="false">SUM(I83:I87)</f>
        <v>0</v>
      </c>
      <c r="J88" s="272" t="n">
        <f aca="false">SUM(J83:J87)</f>
        <v>0</v>
      </c>
      <c r="K88" s="272" t="n">
        <f aca="false">SUM(K83:K87)</f>
        <v>0</v>
      </c>
      <c r="L88" s="265"/>
      <c r="M88" s="268"/>
      <c r="N88" s="265"/>
      <c r="O88" s="272" t="n">
        <f aca="false">SUM(O83:O87)</f>
        <v>0</v>
      </c>
      <c r="P88" s="287"/>
      <c r="Q88" s="272" t="n">
        <f aca="false">SUM(Q83:Q87)</f>
        <v>0</v>
      </c>
      <c r="R88" s="272" t="n">
        <f aca="false">SUM(R83:R87)</f>
        <v>0</v>
      </c>
      <c r="S88" s="272" t="n">
        <f aca="false">SUM(S83:S87)</f>
        <v>0</v>
      </c>
      <c r="T88" s="154"/>
      <c r="U88" s="267"/>
      <c r="V88" s="297" t="n">
        <f aca="false">SUM(V83:V87)</f>
        <v>0</v>
      </c>
      <c r="W88" s="272" t="n">
        <f aca="false">SUM(W83:W87)</f>
        <v>0</v>
      </c>
      <c r="X88" s="272" t="n">
        <f aca="false">SUM(X83:X87)</f>
        <v>0</v>
      </c>
      <c r="Y88" s="272" t="n">
        <f aca="false">SUM(Y83:Y87)</f>
        <v>0</v>
      </c>
      <c r="Z88" s="272" t="n">
        <f aca="false">SUM(Z83:Z87)</f>
        <v>0</v>
      </c>
      <c r="AA88" s="263"/>
    </row>
    <row r="89" customFormat="false" ht="6" hidden="false" customHeight="true" outlineLevel="0" collapsed="false">
      <c r="A89" s="232"/>
      <c r="B89" s="293"/>
      <c r="C89" s="283"/>
      <c r="D89" s="294"/>
      <c r="E89" s="265"/>
      <c r="F89" s="265"/>
      <c r="G89" s="265"/>
      <c r="H89" s="268"/>
      <c r="I89" s="265"/>
      <c r="J89" s="265"/>
      <c r="K89" s="265"/>
      <c r="L89" s="265"/>
      <c r="M89" s="268"/>
      <c r="N89" s="265"/>
      <c r="O89" s="265"/>
      <c r="P89" s="287"/>
      <c r="Q89" s="265"/>
      <c r="R89" s="265"/>
      <c r="S89" s="265"/>
      <c r="T89" s="154"/>
      <c r="U89" s="267"/>
      <c r="V89" s="265"/>
      <c r="W89" s="265"/>
      <c r="X89" s="265"/>
      <c r="Y89" s="265"/>
      <c r="Z89" s="265"/>
      <c r="AA89" s="263"/>
    </row>
    <row r="90" customFormat="false" ht="12" hidden="false" customHeight="true" outlineLevel="0" collapsed="false">
      <c r="A90" s="232"/>
      <c r="B90" s="383" t="str">
        <f aca="false">B37</f>
        <v>Motor Vehicles - costing over £</v>
      </c>
      <c r="C90" s="383"/>
      <c r="D90" s="228" t="n">
        <f aca="false">D37</f>
        <v>12000</v>
      </c>
      <c r="E90" s="265"/>
      <c r="F90" s="265"/>
      <c r="G90" s="265"/>
      <c r="H90" s="292" t="n">
        <f aca="false">H$37</f>
        <v>0.25</v>
      </c>
      <c r="I90" s="265"/>
      <c r="J90" s="265"/>
      <c r="K90" s="265"/>
      <c r="L90" s="265"/>
      <c r="M90" s="268"/>
      <c r="N90" s="265"/>
      <c r="O90" s="154"/>
      <c r="P90" s="287"/>
      <c r="Q90" s="154"/>
      <c r="R90" s="154"/>
      <c r="S90" s="154"/>
      <c r="T90" s="154"/>
      <c r="U90" s="267"/>
      <c r="V90" s="265"/>
      <c r="W90" s="265"/>
      <c r="X90" s="265"/>
      <c r="Y90" s="154"/>
      <c r="Z90" s="154"/>
      <c r="AA90" s="263"/>
    </row>
    <row r="91" customFormat="false" ht="12" hidden="false" customHeight="false" outlineLevel="0" collapsed="false">
      <c r="A91" s="232"/>
      <c r="B91" s="298"/>
      <c r="C91" s="171"/>
      <c r="D91" s="303"/>
      <c r="E91" s="300"/>
      <c r="F91" s="265"/>
      <c r="G91" s="265"/>
      <c r="H91" s="268" t="n">
        <f aca="false">H$90</f>
        <v>0.25</v>
      </c>
      <c r="I91" s="265" t="str">
        <f aca="false">IF(E91&gt;0,MIN(E91*H91,G91)," ")</f>
        <v> </v>
      </c>
      <c r="J91" s="265" t="str">
        <f aca="false">IF(E91&gt;0,F91+I91," ")</f>
        <v> </v>
      </c>
      <c r="K91" s="265" t="str">
        <f aca="false">IF(E91&gt;0,E91-J91," ")</f>
        <v> </v>
      </c>
      <c r="L91" s="265"/>
      <c r="M91" s="186" t="n">
        <v>0</v>
      </c>
      <c r="N91" s="265"/>
      <c r="O91" s="154"/>
      <c r="P91" s="183"/>
      <c r="Q91" s="154"/>
      <c r="R91" s="154" t="str">
        <f aca="false">IF(E91&gt;0,MIN(E91*R$4*(1-M91),Admin!$G$8*(1-M91))," ")</f>
        <v> </v>
      </c>
      <c r="S91" s="154" t="str">
        <f aca="false">IF(E91&gt;0,E91-R91," ")</f>
        <v> </v>
      </c>
      <c r="T91" s="154"/>
      <c r="U91" s="298"/>
      <c r="V91" s="300"/>
      <c r="W91" s="265" t="str">
        <f aca="false">IF(V91&gt;0,E91," ")</f>
        <v> </v>
      </c>
      <c r="X91" s="265" t="str">
        <f aca="false">IF(V91&gt;0,J91," ")</f>
        <v> </v>
      </c>
      <c r="Y91" s="154" t="str">
        <f aca="false">IF((U91+V91)&gt;0,IF(V91&lt;S91,(S91-V91)*(1-M91)," ")," ")</f>
        <v> </v>
      </c>
      <c r="Z91" s="154" t="str">
        <f aca="false">IF((U91+V91)&gt;0,IF(V91&gt;S91,(V91-S91)*(1-M91)," ")," ")</f>
        <v> </v>
      </c>
      <c r="AA91" s="263"/>
    </row>
    <row r="92" customFormat="false" ht="12" hidden="false" customHeight="false" outlineLevel="0" collapsed="false">
      <c r="A92" s="232"/>
      <c r="B92" s="298"/>
      <c r="C92" s="171"/>
      <c r="D92" s="303"/>
      <c r="E92" s="300"/>
      <c r="F92" s="265"/>
      <c r="G92" s="265"/>
      <c r="H92" s="268" t="n">
        <f aca="false">H$90</f>
        <v>0.25</v>
      </c>
      <c r="I92" s="265" t="str">
        <f aca="false">IF(E92&gt;0,MIN(E92*H92,G92)," ")</f>
        <v> </v>
      </c>
      <c r="J92" s="265" t="str">
        <f aca="false">IF(E92&gt;0,F92+I92," ")</f>
        <v> </v>
      </c>
      <c r="K92" s="265" t="str">
        <f aca="false">IF(E92&gt;0,E92-J92," ")</f>
        <v> </v>
      </c>
      <c r="L92" s="265"/>
      <c r="M92" s="186" t="n">
        <v>0</v>
      </c>
      <c r="N92" s="265"/>
      <c r="O92" s="154"/>
      <c r="P92" s="183"/>
      <c r="Q92" s="154"/>
      <c r="R92" s="154" t="str">
        <f aca="false">IF(E92&gt;0,MIN(E92*R$4*(1-M92),Admin!$G$8*(1-M92))," ")</f>
        <v> </v>
      </c>
      <c r="S92" s="154" t="str">
        <f aca="false">IF(E92&gt;0,E92-R92," ")</f>
        <v> </v>
      </c>
      <c r="T92" s="154"/>
      <c r="U92" s="298"/>
      <c r="V92" s="300"/>
      <c r="W92" s="265" t="str">
        <f aca="false">IF(V92&gt;0,E92," ")</f>
        <v> </v>
      </c>
      <c r="X92" s="265" t="str">
        <f aca="false">IF(V92&gt;0,J92," ")</f>
        <v> </v>
      </c>
      <c r="Y92" s="154" t="str">
        <f aca="false">IF((U92+V92)&gt;0,IF(V92&lt;S92,(S92-V92)*(1-M92)," ")," ")</f>
        <v> </v>
      </c>
      <c r="Z92" s="154" t="str">
        <f aca="false">IF((U92+V92)&gt;0,IF(V92&gt;S92,(V92-S92)*(1-M92)," ")," ")</f>
        <v> </v>
      </c>
      <c r="AA92" s="263"/>
    </row>
    <row r="93" customFormat="false" ht="12" hidden="false" customHeight="false" outlineLevel="0" collapsed="false">
      <c r="A93" s="232"/>
      <c r="B93" s="298"/>
      <c r="C93" s="171"/>
      <c r="D93" s="303"/>
      <c r="E93" s="300"/>
      <c r="F93" s="265"/>
      <c r="G93" s="265"/>
      <c r="H93" s="268" t="n">
        <f aca="false">H$90</f>
        <v>0.25</v>
      </c>
      <c r="I93" s="265" t="str">
        <f aca="false">IF(E93&gt;0,MIN(E93*H93,G93)," ")</f>
        <v> </v>
      </c>
      <c r="J93" s="265" t="str">
        <f aca="false">IF(E93&gt;0,F93+I93," ")</f>
        <v> </v>
      </c>
      <c r="K93" s="265" t="str">
        <f aca="false">IF(E93&gt;0,E93-J93," ")</f>
        <v> </v>
      </c>
      <c r="L93" s="265"/>
      <c r="M93" s="186" t="n">
        <v>0</v>
      </c>
      <c r="N93" s="265"/>
      <c r="O93" s="154"/>
      <c r="P93" s="183"/>
      <c r="Q93" s="154"/>
      <c r="R93" s="154" t="str">
        <f aca="false">IF(E93&gt;0,MIN(E93*R$4*(1-M93),Admin!$G$8*(1-M93))," ")</f>
        <v> </v>
      </c>
      <c r="S93" s="154" t="str">
        <f aca="false">IF(E93&gt;0,E93-R93," ")</f>
        <v> </v>
      </c>
      <c r="T93" s="154"/>
      <c r="U93" s="298"/>
      <c r="V93" s="300"/>
      <c r="W93" s="265" t="str">
        <f aca="false">IF(V93&gt;0,E93," ")</f>
        <v> </v>
      </c>
      <c r="X93" s="265" t="str">
        <f aca="false">IF(V93&gt;0,J93," ")</f>
        <v> </v>
      </c>
      <c r="Y93" s="154" t="str">
        <f aca="false">IF((U93+V93)&gt;0,IF(V93&lt;S93,(S93-V93)*(1-M93)," ")," ")</f>
        <v> </v>
      </c>
      <c r="Z93" s="154" t="str">
        <f aca="false">IF((U93+V93)&gt;0,IF(V93&gt;S93,(V93-S93)*(1-M93)," ")," ")</f>
        <v> </v>
      </c>
      <c r="AA93" s="263"/>
    </row>
    <row r="94" customFormat="false" ht="12" hidden="false" customHeight="false" outlineLevel="0" collapsed="false">
      <c r="A94" s="232"/>
      <c r="B94" s="298"/>
      <c r="C94" s="171"/>
      <c r="D94" s="303"/>
      <c r="E94" s="300"/>
      <c r="F94" s="265"/>
      <c r="G94" s="265"/>
      <c r="H94" s="268" t="n">
        <f aca="false">H$90</f>
        <v>0.25</v>
      </c>
      <c r="I94" s="265" t="str">
        <f aca="false">IF(E94&gt;0,MIN(E94*H94,G94)," ")</f>
        <v> </v>
      </c>
      <c r="J94" s="265" t="str">
        <f aca="false">IF(E94&gt;0,F94+I94," ")</f>
        <v> </v>
      </c>
      <c r="K94" s="265" t="str">
        <f aca="false">IF(E94&gt;0,E94-J94," ")</f>
        <v> </v>
      </c>
      <c r="L94" s="265"/>
      <c r="M94" s="186" t="n">
        <v>0</v>
      </c>
      <c r="N94" s="265"/>
      <c r="O94" s="154"/>
      <c r="P94" s="183"/>
      <c r="Q94" s="154"/>
      <c r="R94" s="154" t="str">
        <f aca="false">IF(E94&gt;0,MIN(E94*R$4*(1-M94),Admin!$G$8*(1-M94))," ")</f>
        <v> </v>
      </c>
      <c r="S94" s="154" t="str">
        <f aca="false">IF(E94&gt;0,E94-R94," ")</f>
        <v> </v>
      </c>
      <c r="T94" s="154"/>
      <c r="U94" s="298"/>
      <c r="V94" s="300"/>
      <c r="W94" s="265" t="str">
        <f aca="false">IF(V94&gt;0,E94," ")</f>
        <v> </v>
      </c>
      <c r="X94" s="265" t="str">
        <f aca="false">IF(V94&gt;0,J94," ")</f>
        <v> </v>
      </c>
      <c r="Y94" s="154" t="str">
        <f aca="false">IF((U94+V94)&gt;0,IF(V94&lt;S94,(S94-V94)*(1-M94)," ")," ")</f>
        <v> </v>
      </c>
      <c r="Z94" s="154" t="str">
        <f aca="false">IF((U94+V94)&gt;0,IF(V94&gt;S94,(V94-S94)*(1-M94)," ")," ")</f>
        <v> </v>
      </c>
      <c r="AA94" s="263"/>
    </row>
    <row r="95" customFormat="false" ht="12" hidden="false" customHeight="false" outlineLevel="0" collapsed="false">
      <c r="A95" s="232"/>
      <c r="B95" s="298"/>
      <c r="C95" s="171"/>
      <c r="D95" s="303"/>
      <c r="E95" s="300"/>
      <c r="F95" s="265"/>
      <c r="G95" s="265"/>
      <c r="H95" s="268" t="n">
        <f aca="false">H$90</f>
        <v>0.25</v>
      </c>
      <c r="I95" s="265" t="str">
        <f aca="false">IF(E95&gt;0,MIN(E95*H95,G95)," ")</f>
        <v> </v>
      </c>
      <c r="J95" s="265" t="str">
        <f aca="false">IF(E95&gt;0,F95+I95," ")</f>
        <v> </v>
      </c>
      <c r="K95" s="265" t="str">
        <f aca="false">IF(E95&gt;0,E95-J95," ")</f>
        <v> </v>
      </c>
      <c r="L95" s="265"/>
      <c r="M95" s="186" t="n">
        <v>0</v>
      </c>
      <c r="N95" s="265"/>
      <c r="O95" s="154"/>
      <c r="P95" s="183"/>
      <c r="Q95" s="154"/>
      <c r="R95" s="154" t="str">
        <f aca="false">IF(E95&gt;0,MIN(E95*R$4*(1-M95),Admin!$G$8*(1-M95))," ")</f>
        <v> </v>
      </c>
      <c r="S95" s="154" t="str">
        <f aca="false">IF(E95&gt;0,E95-R95," ")</f>
        <v> </v>
      </c>
      <c r="T95" s="154"/>
      <c r="U95" s="298"/>
      <c r="V95" s="300"/>
      <c r="W95" s="265" t="str">
        <f aca="false">IF(V95&gt;0,E95," ")</f>
        <v> </v>
      </c>
      <c r="X95" s="265" t="str">
        <f aca="false">IF(V95&gt;0,J95," ")</f>
        <v> </v>
      </c>
      <c r="Y95" s="154" t="str">
        <f aca="false">IF((U95+V95)&gt;0,IF(V95&lt;S95,(S95-V95)*(1-M95)," ")," ")</f>
        <v> </v>
      </c>
      <c r="Z95" s="154" t="str">
        <f aca="false">IF((U95+V95)&gt;0,IF(V95&gt;S95,(V95-S95)*(1-M95)," ")," ")</f>
        <v> </v>
      </c>
      <c r="AA95" s="263"/>
    </row>
    <row r="96" customFormat="false" ht="12" hidden="false" customHeight="true" outlineLevel="0" collapsed="false">
      <c r="A96" s="232"/>
      <c r="B96" s="385" t="str">
        <f aca="false">B43</f>
        <v>Motor Vehicles - costing under £</v>
      </c>
      <c r="C96" s="385"/>
      <c r="D96" s="228" t="n">
        <f aca="false">D43</f>
        <v>12000</v>
      </c>
      <c r="E96" s="265"/>
      <c r="F96" s="265"/>
      <c r="G96" s="265"/>
      <c r="H96" s="268"/>
      <c r="I96" s="265"/>
      <c r="J96" s="265"/>
      <c r="K96" s="265"/>
      <c r="L96" s="265"/>
      <c r="M96" s="268"/>
      <c r="N96" s="265"/>
      <c r="O96" s="154"/>
      <c r="P96" s="183"/>
      <c r="Q96" s="154"/>
      <c r="R96" s="154"/>
      <c r="S96" s="154"/>
      <c r="T96" s="154"/>
      <c r="U96" s="267"/>
      <c r="V96" s="265"/>
      <c r="W96" s="265"/>
      <c r="X96" s="265"/>
      <c r="Y96" s="154"/>
      <c r="Z96" s="154"/>
      <c r="AA96" s="263"/>
    </row>
    <row r="97" customFormat="false" ht="12" hidden="false" customHeight="false" outlineLevel="0" collapsed="false">
      <c r="A97" s="232"/>
      <c r="B97" s="298"/>
      <c r="C97" s="171"/>
      <c r="D97" s="303"/>
      <c r="E97" s="300"/>
      <c r="F97" s="265"/>
      <c r="G97" s="265"/>
      <c r="H97" s="268" t="n">
        <f aca="false">H$90</f>
        <v>0.25</v>
      </c>
      <c r="I97" s="265" t="str">
        <f aca="false">IF(E97&gt;0,MIN(E97*H97,G97)," ")</f>
        <v> </v>
      </c>
      <c r="J97" s="265" t="str">
        <f aca="false">IF(E97&gt;0,F97+I97," ")</f>
        <v> </v>
      </c>
      <c r="K97" s="265" t="str">
        <f aca="false">IF(E97&gt;0,E97-J97," ")</f>
        <v> </v>
      </c>
      <c r="L97" s="265"/>
      <c r="M97" s="186" t="n">
        <v>0</v>
      </c>
      <c r="N97" s="265"/>
      <c r="O97" s="154"/>
      <c r="P97" s="183"/>
      <c r="Q97" s="154"/>
      <c r="R97" s="154" t="str">
        <f aca="false">IF(E97&gt;0,MIN(E97*R$4*(1-M97),Admin!$G$8*(1-M97))," ")</f>
        <v> </v>
      </c>
      <c r="S97" s="154" t="str">
        <f aca="false">IF(E97&gt;0,E97-R97," ")</f>
        <v> </v>
      </c>
      <c r="T97" s="154"/>
      <c r="U97" s="298"/>
      <c r="V97" s="300"/>
      <c r="W97" s="265" t="str">
        <f aca="false">IF(V97&gt;0,E97," ")</f>
        <v> </v>
      </c>
      <c r="X97" s="265" t="str">
        <f aca="false">IF(V97&gt;0,J97," ")</f>
        <v> </v>
      </c>
      <c r="Y97" s="154" t="str">
        <f aca="false">IF((U97+V97)&gt;0,IF(V97&lt;S97,(S97-V97)*(1-M97)," ")," ")</f>
        <v> </v>
      </c>
      <c r="Z97" s="154" t="str">
        <f aca="false">IF((U97+V97)&gt;0,IF(V97&gt;S97,(V97-S97)*(1-M97)," ")," ")</f>
        <v> </v>
      </c>
      <c r="AA97" s="263"/>
    </row>
    <row r="98" customFormat="false" ht="12" hidden="false" customHeight="false" outlineLevel="0" collapsed="false">
      <c r="A98" s="232"/>
      <c r="B98" s="298"/>
      <c r="C98" s="171"/>
      <c r="D98" s="303"/>
      <c r="E98" s="300"/>
      <c r="F98" s="265"/>
      <c r="G98" s="265"/>
      <c r="H98" s="268" t="n">
        <f aca="false">H$90</f>
        <v>0.25</v>
      </c>
      <c r="I98" s="265" t="str">
        <f aca="false">IF(E98&gt;0,MIN(E98*H98,G98)," ")</f>
        <v> </v>
      </c>
      <c r="J98" s="265" t="str">
        <f aca="false">IF(E98&gt;0,F98+I98," ")</f>
        <v> </v>
      </c>
      <c r="K98" s="265" t="str">
        <f aca="false">IF(E98&gt;0,E98-J98," ")</f>
        <v> </v>
      </c>
      <c r="L98" s="265"/>
      <c r="M98" s="186" t="n">
        <v>0</v>
      </c>
      <c r="N98" s="265"/>
      <c r="O98" s="154"/>
      <c r="P98" s="183"/>
      <c r="Q98" s="154"/>
      <c r="R98" s="154" t="str">
        <f aca="false">IF(E98&gt;0,MIN(E98*R$4*(1-M98),Admin!$G$8*(1-M98))," ")</f>
        <v> </v>
      </c>
      <c r="S98" s="154" t="str">
        <f aca="false">IF(E98&gt;0,E98-R98," ")</f>
        <v> </v>
      </c>
      <c r="T98" s="154"/>
      <c r="U98" s="298"/>
      <c r="V98" s="300"/>
      <c r="W98" s="265" t="str">
        <f aca="false">IF(V98&gt;0,E98," ")</f>
        <v> </v>
      </c>
      <c r="X98" s="265" t="str">
        <f aca="false">IF(V98&gt;0,J98," ")</f>
        <v> </v>
      </c>
      <c r="Y98" s="154" t="str">
        <f aca="false">IF((U98+V98)&gt;0,IF(V98&lt;S98,(S98-V98)*(1-M98)," ")," ")</f>
        <v> </v>
      </c>
      <c r="Z98" s="154" t="str">
        <f aca="false">IF((U98+V98)&gt;0,IF(V98&gt;S98,(V98-S98)*(1-M98)," ")," ")</f>
        <v> </v>
      </c>
      <c r="AA98" s="263"/>
    </row>
    <row r="99" customFormat="false" ht="12" hidden="false" customHeight="false" outlineLevel="0" collapsed="false">
      <c r="A99" s="232"/>
      <c r="B99" s="298"/>
      <c r="C99" s="171"/>
      <c r="D99" s="303"/>
      <c r="E99" s="300"/>
      <c r="F99" s="265"/>
      <c r="G99" s="265"/>
      <c r="H99" s="268" t="n">
        <f aca="false">H$90</f>
        <v>0.25</v>
      </c>
      <c r="I99" s="265" t="str">
        <f aca="false">IF(E99&gt;0,MIN(E99*H99,G99)," ")</f>
        <v> </v>
      </c>
      <c r="J99" s="265" t="str">
        <f aca="false">IF(E99&gt;0,F99+I99," ")</f>
        <v> </v>
      </c>
      <c r="K99" s="265" t="str">
        <f aca="false">IF(E99&gt;0,E99-J99," ")</f>
        <v> </v>
      </c>
      <c r="L99" s="265"/>
      <c r="M99" s="186" t="n">
        <v>0</v>
      </c>
      <c r="N99" s="265"/>
      <c r="O99" s="154"/>
      <c r="P99" s="183"/>
      <c r="Q99" s="154"/>
      <c r="R99" s="154" t="str">
        <f aca="false">IF(E99&gt;0,MIN(E99*R$4*(1-M99),Admin!$G$8*(1-M99))," ")</f>
        <v> </v>
      </c>
      <c r="S99" s="154" t="str">
        <f aca="false">IF(E99&gt;0,E99-R99," ")</f>
        <v> </v>
      </c>
      <c r="T99" s="154"/>
      <c r="U99" s="298"/>
      <c r="V99" s="300"/>
      <c r="W99" s="265" t="str">
        <f aca="false">IF(V99&gt;0,E99," ")</f>
        <v> </v>
      </c>
      <c r="X99" s="265" t="str">
        <f aca="false">IF(V99&gt;0,J99," ")</f>
        <v> </v>
      </c>
      <c r="Y99" s="154" t="str">
        <f aca="false">IF((U99+V99)&gt;0,IF(V99&lt;S99,(S99-V99)*(1-M99)," ")," ")</f>
        <v> </v>
      </c>
      <c r="Z99" s="154" t="str">
        <f aca="false">IF((U99+V99)&gt;0,IF(V99&gt;S99,(V99-S99)*(1-M99)," ")," ")</f>
        <v> </v>
      </c>
      <c r="AA99" s="263"/>
    </row>
    <row r="100" customFormat="false" ht="12" hidden="false" customHeight="false" outlineLevel="0" collapsed="false">
      <c r="A100" s="232"/>
      <c r="B100" s="298"/>
      <c r="C100" s="171"/>
      <c r="D100" s="303"/>
      <c r="E100" s="300"/>
      <c r="F100" s="265"/>
      <c r="G100" s="265"/>
      <c r="H100" s="268" t="n">
        <f aca="false">H$90</f>
        <v>0.25</v>
      </c>
      <c r="I100" s="265" t="str">
        <f aca="false">IF(E100&gt;0,MIN(E100*H100,G100)," ")</f>
        <v> </v>
      </c>
      <c r="J100" s="265" t="str">
        <f aca="false">IF(E100&gt;0,F100+I100," ")</f>
        <v> </v>
      </c>
      <c r="K100" s="265" t="str">
        <f aca="false">IF(E100&gt;0,E100-J100," ")</f>
        <v> </v>
      </c>
      <c r="L100" s="265"/>
      <c r="M100" s="186" t="n">
        <v>0</v>
      </c>
      <c r="N100" s="265"/>
      <c r="O100" s="154"/>
      <c r="P100" s="183"/>
      <c r="Q100" s="154"/>
      <c r="R100" s="154" t="str">
        <f aca="false">IF(E100&gt;0,MIN(E100*R$4*(1-M100),Admin!$G$8*(1-M100))," ")</f>
        <v> </v>
      </c>
      <c r="S100" s="154" t="str">
        <f aca="false">IF(E100&gt;0,E100-R100," ")</f>
        <v> </v>
      </c>
      <c r="T100" s="154"/>
      <c r="U100" s="298"/>
      <c r="V100" s="300"/>
      <c r="W100" s="265" t="str">
        <f aca="false">IF(V100&gt;0,E100," ")</f>
        <v> </v>
      </c>
      <c r="X100" s="265" t="str">
        <f aca="false">IF(V100&gt;0,J100," ")</f>
        <v> </v>
      </c>
      <c r="Y100" s="154" t="str">
        <f aca="false">IF((U100+V100)&gt;0,IF(V100&lt;S100,(S100-V100)*(1-M100)," ")," ")</f>
        <v> </v>
      </c>
      <c r="Z100" s="154" t="str">
        <f aca="false">IF((U100+V100)&gt;0,IF(V100&gt;S100,(V100-S100)*(1-M100)," ")," ")</f>
        <v> </v>
      </c>
      <c r="AA100" s="263"/>
    </row>
    <row r="101" customFormat="false" ht="12" hidden="false" customHeight="false" outlineLevel="0" collapsed="false">
      <c r="A101" s="232"/>
      <c r="B101" s="298"/>
      <c r="C101" s="171"/>
      <c r="D101" s="303"/>
      <c r="E101" s="300"/>
      <c r="F101" s="265"/>
      <c r="G101" s="265"/>
      <c r="H101" s="268" t="n">
        <f aca="false">H$90</f>
        <v>0.25</v>
      </c>
      <c r="I101" s="265" t="str">
        <f aca="false">IF(E101&gt;0,MIN(E101*H101,G101)," ")</f>
        <v> </v>
      </c>
      <c r="J101" s="265" t="str">
        <f aca="false">IF(E101&gt;0,F101+I101," ")</f>
        <v> </v>
      </c>
      <c r="K101" s="265" t="str">
        <f aca="false">IF(E101&gt;0,E101-J101," ")</f>
        <v> </v>
      </c>
      <c r="L101" s="265"/>
      <c r="M101" s="186" t="n">
        <v>0</v>
      </c>
      <c r="N101" s="265"/>
      <c r="O101" s="154"/>
      <c r="P101" s="183"/>
      <c r="Q101" s="154"/>
      <c r="R101" s="154" t="str">
        <f aca="false">IF(E101&gt;0,MIN(E101*R$4*(1-M101),Admin!$G$8*(1-M101))," ")</f>
        <v> </v>
      </c>
      <c r="S101" s="154" t="str">
        <f aca="false">IF(E101&gt;0,E101-R101," ")</f>
        <v> </v>
      </c>
      <c r="T101" s="154"/>
      <c r="U101" s="298"/>
      <c r="V101" s="300"/>
      <c r="W101" s="265" t="str">
        <f aca="false">IF(V101&gt;0,E101," ")</f>
        <v> </v>
      </c>
      <c r="X101" s="265" t="str">
        <f aca="false">IF(V101&gt;0,J101," ")</f>
        <v> </v>
      </c>
      <c r="Y101" s="154" t="str">
        <f aca="false">IF((U101+V101)&gt;0,IF(V101&lt;S101,(S101-V101)*(1-M101)," ")," ")</f>
        <v> </v>
      </c>
      <c r="Z101" s="154" t="str">
        <f aca="false">IF((U101+V101)&gt;0,IF(V101&gt;S101,(V101-S101)*(1-M101)," ")," ")</f>
        <v> </v>
      </c>
      <c r="AA101" s="263"/>
    </row>
    <row r="102" customFormat="false" ht="12" hidden="false" customHeight="false" outlineLevel="0" collapsed="false">
      <c r="A102" s="232"/>
      <c r="B102" s="381" t="s">
        <v>469</v>
      </c>
      <c r="C102" s="381"/>
      <c r="D102" s="289"/>
      <c r="E102" s="265"/>
      <c r="F102" s="265"/>
      <c r="G102" s="265"/>
      <c r="H102" s="268"/>
      <c r="I102" s="265"/>
      <c r="J102" s="265"/>
      <c r="K102" s="265"/>
      <c r="L102" s="265"/>
      <c r="M102" s="268"/>
      <c r="N102" s="265"/>
      <c r="O102" s="154"/>
      <c r="P102" s="183"/>
      <c r="Q102" s="154"/>
      <c r="R102" s="154"/>
      <c r="S102" s="154"/>
      <c r="T102" s="154"/>
      <c r="U102" s="267"/>
      <c r="V102" s="265"/>
      <c r="W102" s="265"/>
      <c r="X102" s="265"/>
      <c r="Y102" s="154"/>
      <c r="Z102" s="154"/>
      <c r="AA102" s="263"/>
    </row>
    <row r="103" customFormat="false" ht="12" hidden="false" customHeight="false" outlineLevel="0" collapsed="false">
      <c r="A103" s="232"/>
      <c r="B103" s="298"/>
      <c r="C103" s="171"/>
      <c r="D103" s="303"/>
      <c r="E103" s="300"/>
      <c r="F103" s="265"/>
      <c r="G103" s="265"/>
      <c r="H103" s="268" t="n">
        <f aca="false">H$90</f>
        <v>0.25</v>
      </c>
      <c r="I103" s="265" t="str">
        <f aca="false">IF(E103&gt;0,MIN(E103*H103,G103)," ")</f>
        <v> </v>
      </c>
      <c r="J103" s="265" t="str">
        <f aca="false">IF(E103&gt;0,F103+I103," ")</f>
        <v> </v>
      </c>
      <c r="K103" s="265" t="str">
        <f aca="false">IF(E103&gt;0,E103-J103," ")</f>
        <v> </v>
      </c>
      <c r="L103" s="265"/>
      <c r="M103" s="186" t="n">
        <v>0</v>
      </c>
      <c r="N103" s="265"/>
      <c r="O103" s="154"/>
      <c r="P103" s="268" t="n">
        <f aca="false">P$4</f>
        <v>1</v>
      </c>
      <c r="Q103" s="154" t="str">
        <f aca="false">IF(E103&gt;0,E103*P103," ")</f>
        <v> </v>
      </c>
      <c r="R103" s="154"/>
      <c r="S103" s="154" t="str">
        <f aca="false">IF(E103&gt;0,E103-Q103," ")</f>
        <v> </v>
      </c>
      <c r="T103" s="154"/>
      <c r="U103" s="298"/>
      <c r="V103" s="300"/>
      <c r="W103" s="265" t="str">
        <f aca="false">IF(V103&gt;0,E103," ")</f>
        <v> </v>
      </c>
      <c r="X103" s="265" t="str">
        <f aca="false">IF(V103&gt;0,J103," ")</f>
        <v> </v>
      </c>
      <c r="Y103" s="154" t="str">
        <f aca="false">IF((U103+V103)&gt;0,IF(V103&lt;S103,(S103-V103)*(1-M103)," ")," ")</f>
        <v> </v>
      </c>
      <c r="Z103" s="154" t="str">
        <f aca="false">IF((U103+V103)&gt;0,IF(V103&gt;S103,(V103-S103)*(1-M103)," ")," ")</f>
        <v> </v>
      </c>
      <c r="AA103" s="263"/>
    </row>
    <row r="104" customFormat="false" ht="12" hidden="false" customHeight="false" outlineLevel="0" collapsed="false">
      <c r="A104" s="232"/>
      <c r="B104" s="298"/>
      <c r="C104" s="171"/>
      <c r="D104" s="303"/>
      <c r="E104" s="300"/>
      <c r="F104" s="265"/>
      <c r="G104" s="265"/>
      <c r="H104" s="268" t="n">
        <f aca="false">H$90</f>
        <v>0.25</v>
      </c>
      <c r="I104" s="265" t="str">
        <f aca="false">IF(E104&gt;0,MIN(E104*H104,G104)," ")</f>
        <v> </v>
      </c>
      <c r="J104" s="265" t="str">
        <f aca="false">IF(E104&gt;0,F104+I104," ")</f>
        <v> </v>
      </c>
      <c r="K104" s="265" t="str">
        <f aca="false">IF(E104&gt;0,E104-J104," ")</f>
        <v> </v>
      </c>
      <c r="L104" s="265"/>
      <c r="M104" s="186" t="n">
        <v>0</v>
      </c>
      <c r="N104" s="265"/>
      <c r="O104" s="154"/>
      <c r="P104" s="268" t="n">
        <f aca="false">P$4</f>
        <v>1</v>
      </c>
      <c r="Q104" s="154" t="str">
        <f aca="false">IF(E104&gt;0,E104*P104," ")</f>
        <v> </v>
      </c>
      <c r="R104" s="154"/>
      <c r="S104" s="154" t="str">
        <f aca="false">IF(E104&gt;0,E104-Q104," ")</f>
        <v> </v>
      </c>
      <c r="T104" s="154"/>
      <c r="U104" s="298"/>
      <c r="V104" s="300"/>
      <c r="W104" s="265" t="str">
        <f aca="false">IF(V104&gt;0,E104," ")</f>
        <v> </v>
      </c>
      <c r="X104" s="265" t="str">
        <f aca="false">IF(V104&gt;0,J104," ")</f>
        <v> </v>
      </c>
      <c r="Y104" s="154" t="str">
        <f aca="false">IF((U104+V104)&gt;0,IF(V104&lt;S104,(S104-V104)*(1-M104)," ")," ")</f>
        <v> </v>
      </c>
      <c r="Z104" s="154" t="str">
        <f aca="false">IF((U104+V104)&gt;0,IF(V104&gt;S104,(V104-S104)*(1-M104)," ")," ")</f>
        <v> </v>
      </c>
      <c r="AA104" s="263"/>
    </row>
    <row r="105" customFormat="false" ht="12" hidden="false" customHeight="false" outlineLevel="0" collapsed="false">
      <c r="A105" s="232"/>
      <c r="B105" s="298"/>
      <c r="C105" s="171"/>
      <c r="D105" s="303"/>
      <c r="E105" s="300"/>
      <c r="F105" s="265"/>
      <c r="G105" s="265"/>
      <c r="H105" s="268" t="n">
        <f aca="false">H$90</f>
        <v>0.25</v>
      </c>
      <c r="I105" s="265" t="str">
        <f aca="false">IF(E105&gt;0,MIN(E105*H105,G105)," ")</f>
        <v> </v>
      </c>
      <c r="J105" s="265" t="str">
        <f aca="false">IF(E105&gt;0,F105+I105," ")</f>
        <v> </v>
      </c>
      <c r="K105" s="265" t="str">
        <f aca="false">IF(E105&gt;0,E105-J105," ")</f>
        <v> </v>
      </c>
      <c r="L105" s="265"/>
      <c r="M105" s="186" t="n">
        <v>0</v>
      </c>
      <c r="N105" s="265"/>
      <c r="O105" s="154"/>
      <c r="P105" s="268" t="n">
        <f aca="false">P$4</f>
        <v>1</v>
      </c>
      <c r="Q105" s="154" t="str">
        <f aca="false">IF(E105&gt;0,E105*P105," ")</f>
        <v> </v>
      </c>
      <c r="R105" s="154"/>
      <c r="S105" s="154" t="str">
        <f aca="false">IF(E105&gt;0,E105-Q105," ")</f>
        <v> </v>
      </c>
      <c r="T105" s="154"/>
      <c r="U105" s="298"/>
      <c r="V105" s="300"/>
      <c r="W105" s="265" t="str">
        <f aca="false">IF(V105&gt;0,E105," ")</f>
        <v> </v>
      </c>
      <c r="X105" s="265" t="str">
        <f aca="false">IF(V105&gt;0,J105," ")</f>
        <v> </v>
      </c>
      <c r="Y105" s="154" t="str">
        <f aca="false">IF((U105+V105)&gt;0,IF(V105&lt;S105,(S105-V105)*(1-M105)," ")," ")</f>
        <v> </v>
      </c>
      <c r="Z105" s="154" t="str">
        <f aca="false">IF((U105+V105)&gt;0,IF(V105&gt;S105,(V105-S105)*(1-M105)," ")," ")</f>
        <v> </v>
      </c>
      <c r="AA105" s="263"/>
    </row>
    <row r="106" customFormat="false" ht="12" hidden="false" customHeight="false" outlineLevel="0" collapsed="false">
      <c r="A106" s="232"/>
      <c r="B106" s="298"/>
      <c r="C106" s="171"/>
      <c r="D106" s="303"/>
      <c r="E106" s="300"/>
      <c r="F106" s="265"/>
      <c r="G106" s="265"/>
      <c r="H106" s="268" t="n">
        <f aca="false">H$90</f>
        <v>0.25</v>
      </c>
      <c r="I106" s="265" t="str">
        <f aca="false">IF(E106&gt;0,MIN(E106*H106,G106)," ")</f>
        <v> </v>
      </c>
      <c r="J106" s="265" t="str">
        <f aca="false">IF(E106&gt;0,F106+I106," ")</f>
        <v> </v>
      </c>
      <c r="K106" s="265" t="str">
        <f aca="false">IF(E106&gt;0,E106-J106," ")</f>
        <v> </v>
      </c>
      <c r="L106" s="265"/>
      <c r="M106" s="186" t="n">
        <v>0</v>
      </c>
      <c r="N106" s="265"/>
      <c r="O106" s="154"/>
      <c r="P106" s="268" t="n">
        <f aca="false">P$4</f>
        <v>1</v>
      </c>
      <c r="Q106" s="154" t="str">
        <f aca="false">IF(E106&gt;0,E106*P106," ")</f>
        <v> </v>
      </c>
      <c r="R106" s="154"/>
      <c r="S106" s="154" t="str">
        <f aca="false">IF(E106&gt;0,E106-Q106," ")</f>
        <v> </v>
      </c>
      <c r="T106" s="154"/>
      <c r="U106" s="298"/>
      <c r="V106" s="300"/>
      <c r="W106" s="265" t="str">
        <f aca="false">IF(V106&gt;0,E106," ")</f>
        <v> </v>
      </c>
      <c r="X106" s="265" t="str">
        <f aca="false">IF(V106&gt;0,J106," ")</f>
        <v> </v>
      </c>
      <c r="Y106" s="154" t="str">
        <f aca="false">IF((U106+V106)&gt;0,IF(V106&lt;S106,(S106-V106)*(1-M106)," ")," ")</f>
        <v> </v>
      </c>
      <c r="Z106" s="154" t="str">
        <f aca="false">IF((U106+V106)&gt;0,IF(V106&gt;S106,(V106-S106)*(1-M106)," ")," ")</f>
        <v> </v>
      </c>
      <c r="AA106" s="263"/>
    </row>
    <row r="107" customFormat="false" ht="12" hidden="false" customHeight="false" outlineLevel="0" collapsed="false">
      <c r="A107" s="232"/>
      <c r="B107" s="298"/>
      <c r="C107" s="171"/>
      <c r="D107" s="303"/>
      <c r="E107" s="252"/>
      <c r="F107" s="265"/>
      <c r="G107" s="265"/>
      <c r="H107" s="268" t="n">
        <f aca="false">H$90</f>
        <v>0.25</v>
      </c>
      <c r="I107" s="265" t="str">
        <f aca="false">IF(E107&gt;0,MIN(E107*H107,G107)," ")</f>
        <v> </v>
      </c>
      <c r="J107" s="265" t="str">
        <f aca="false">IF(E107&gt;0,F107+I107," ")</f>
        <v> </v>
      </c>
      <c r="K107" s="265" t="str">
        <f aca="false">IF(E107&gt;0,E107-J107," ")</f>
        <v> </v>
      </c>
      <c r="L107" s="265"/>
      <c r="M107" s="186" t="n">
        <v>0</v>
      </c>
      <c r="N107" s="265"/>
      <c r="O107" s="154"/>
      <c r="P107" s="268" t="n">
        <f aca="false">P$4</f>
        <v>1</v>
      </c>
      <c r="Q107" s="154" t="str">
        <f aca="false">IF(E107&gt;0,E107*P107," ")</f>
        <v> </v>
      </c>
      <c r="R107" s="154"/>
      <c r="S107" s="154" t="str">
        <f aca="false">IF(E107&gt;0,E107-Q107," ")</f>
        <v> </v>
      </c>
      <c r="T107" s="154"/>
      <c r="U107" s="298"/>
      <c r="V107" s="252"/>
      <c r="W107" s="265" t="str">
        <f aca="false">IF(V107&gt;0,E107," ")</f>
        <v> </v>
      </c>
      <c r="X107" s="265" t="str">
        <f aca="false">IF(V107&gt;0,J107," ")</f>
        <v> </v>
      </c>
      <c r="Y107" s="154" t="str">
        <f aca="false">IF((U107+V107)&gt;0,IF(V107&lt;S107,(S107-V107)*(1-M107)," ")," ")</f>
        <v> </v>
      </c>
      <c r="Z107" s="154" t="str">
        <f aca="false">IF((U107+V107)&gt;0,IF(V107&gt;S107,(V107-S107)*(1-M107)," ")," ")</f>
        <v> </v>
      </c>
      <c r="AA107" s="263"/>
    </row>
    <row r="108" customFormat="false" ht="12" hidden="false" customHeight="false" outlineLevel="0" collapsed="false">
      <c r="A108" s="232"/>
      <c r="B108" s="382" t="s">
        <v>476</v>
      </c>
      <c r="C108" s="382"/>
      <c r="D108" s="382"/>
      <c r="E108" s="272" t="n">
        <f aca="false">SUM(E91:E107)</f>
        <v>0</v>
      </c>
      <c r="F108" s="272" t="n">
        <f aca="false">SUM(F91:F107)</f>
        <v>0</v>
      </c>
      <c r="G108" s="272" t="n">
        <f aca="false">SUM(G91:G107)</f>
        <v>0</v>
      </c>
      <c r="H108" s="268"/>
      <c r="I108" s="272" t="n">
        <f aca="false">SUM(I91:I107)</f>
        <v>0</v>
      </c>
      <c r="J108" s="272" t="n">
        <f aca="false">SUM(J91:J107)</f>
        <v>0</v>
      </c>
      <c r="K108" s="272" t="n">
        <f aca="false">SUM(K91:K107)</f>
        <v>0</v>
      </c>
      <c r="L108" s="265"/>
      <c r="M108" s="268"/>
      <c r="N108" s="265"/>
      <c r="O108" s="272" t="n">
        <f aca="false">SUM(O91:O107)</f>
        <v>0</v>
      </c>
      <c r="P108" s="287"/>
      <c r="Q108" s="272" t="n">
        <f aca="false">SUM(Q91:Q107)</f>
        <v>0</v>
      </c>
      <c r="R108" s="272" t="n">
        <f aca="false">SUM(R91:R107)</f>
        <v>0</v>
      </c>
      <c r="S108" s="272" t="n">
        <f aca="false">SUM(S91:S107)</f>
        <v>0</v>
      </c>
      <c r="T108" s="154"/>
      <c r="U108" s="267"/>
      <c r="V108" s="272" t="n">
        <f aca="false">SUM(V91:V107)</f>
        <v>0</v>
      </c>
      <c r="W108" s="272" t="n">
        <f aca="false">SUM(W91:W107)</f>
        <v>0</v>
      </c>
      <c r="X108" s="272" t="n">
        <f aca="false">SUM(X91:X107)</f>
        <v>0</v>
      </c>
      <c r="Y108" s="272" t="n">
        <f aca="false">SUM(Y91:Y107)</f>
        <v>0</v>
      </c>
      <c r="Z108" s="272" t="n">
        <f aca="false">SUM(Z91:Z107)</f>
        <v>0</v>
      </c>
      <c r="AA108" s="263"/>
    </row>
    <row r="109" customFormat="false" ht="9" hidden="false" customHeight="true" outlineLevel="0" collapsed="false">
      <c r="A109" s="232"/>
      <c r="B109" s="267"/>
      <c r="C109" s="284"/>
      <c r="D109" s="289"/>
      <c r="E109" s="265"/>
      <c r="F109" s="265"/>
      <c r="G109" s="265"/>
      <c r="H109" s="268"/>
      <c r="I109" s="265"/>
      <c r="J109" s="265"/>
      <c r="K109" s="265"/>
      <c r="L109" s="265"/>
      <c r="M109" s="268"/>
      <c r="N109" s="265"/>
      <c r="O109" s="154"/>
      <c r="P109" s="183"/>
      <c r="Q109" s="154"/>
      <c r="R109" s="154"/>
      <c r="S109" s="154"/>
      <c r="T109" s="154"/>
      <c r="U109" s="267"/>
      <c r="V109" s="265"/>
      <c r="W109" s="154"/>
      <c r="X109" s="154"/>
      <c r="Y109" s="154"/>
      <c r="Z109" s="154"/>
      <c r="AA109" s="263"/>
    </row>
    <row r="110" customFormat="false" ht="13.5" hidden="false" customHeight="true" outlineLevel="0" collapsed="false">
      <c r="A110" s="232"/>
      <c r="B110" s="380" t="str">
        <f aca="false">B59</f>
        <v>NEW FIXED ASSETS Bought AFTER </v>
      </c>
      <c r="C110" s="380"/>
      <c r="D110" s="259" t="n">
        <f aca="false">D59</f>
        <v>46118</v>
      </c>
      <c r="E110" s="275" t="n">
        <f aca="false">E64+E72+E80+E88+E108</f>
        <v>0</v>
      </c>
      <c r="F110" s="275" t="n">
        <f aca="false">F64+F72+F80+F88+F108</f>
        <v>0</v>
      </c>
      <c r="G110" s="275" t="n">
        <f aca="false">G64+G72+G80+G88+G108</f>
        <v>0</v>
      </c>
      <c r="H110" s="268"/>
      <c r="I110" s="275" t="n">
        <f aca="false">I64+I72+I80+I88+I108</f>
        <v>0</v>
      </c>
      <c r="J110" s="275" t="n">
        <f aca="false">J64+J72+J80+J88+J108</f>
        <v>0</v>
      </c>
      <c r="K110" s="275" t="n">
        <f aca="false">K64+K72+K80+K88+K108</f>
        <v>0</v>
      </c>
      <c r="L110" s="265"/>
      <c r="M110" s="268"/>
      <c r="N110" s="265"/>
      <c r="O110" s="275" t="n">
        <f aca="false">O64+O72+O80+O88+O108</f>
        <v>0</v>
      </c>
      <c r="P110" s="287"/>
      <c r="Q110" s="275" t="n">
        <f aca="false">Q64+Q72+Q80+Q88+Q108</f>
        <v>0</v>
      </c>
      <c r="R110" s="275" t="n">
        <f aca="false">R64+R72+R80+R88+R108</f>
        <v>0</v>
      </c>
      <c r="S110" s="275" t="n">
        <f aca="false">S64+S72+S80+S88+S108</f>
        <v>0</v>
      </c>
      <c r="T110" s="154"/>
      <c r="U110" s="267"/>
      <c r="V110" s="275" t="n">
        <f aca="false">V64+V72+V80+V88+V108</f>
        <v>0</v>
      </c>
      <c r="W110" s="275" t="n">
        <f aca="false">W64+W72+W80+W88+W108</f>
        <v>0</v>
      </c>
      <c r="X110" s="275" t="n">
        <f aca="false">X64+X72+X80+X88+X108</f>
        <v>0</v>
      </c>
      <c r="Y110" s="275" t="n">
        <f aca="false">Y64+Y72+Y80+Y88+Y108</f>
        <v>0</v>
      </c>
      <c r="Z110" s="275" t="n">
        <f aca="false">Z64+Z72+Z80+Z88+Z108</f>
        <v>0</v>
      </c>
      <c r="AA110" s="263"/>
    </row>
    <row r="111" customFormat="false" ht="7.5" hidden="false" customHeight="true" outlineLevel="0" collapsed="false">
      <c r="A111" s="240"/>
      <c r="B111" s="164"/>
      <c r="C111" s="285"/>
      <c r="D111" s="291"/>
      <c r="E111" s="279"/>
      <c r="F111" s="279"/>
      <c r="G111" s="279"/>
      <c r="H111" s="280"/>
      <c r="I111" s="279"/>
      <c r="J111" s="279"/>
      <c r="K111" s="279"/>
      <c r="L111" s="279"/>
      <c r="M111" s="280"/>
      <c r="N111" s="279"/>
      <c r="O111" s="281"/>
      <c r="P111" s="251"/>
      <c r="Q111" s="281"/>
      <c r="R111" s="281"/>
      <c r="S111" s="281"/>
      <c r="T111" s="281"/>
      <c r="U111" s="164"/>
      <c r="V111" s="279"/>
      <c r="W111" s="279"/>
      <c r="X111" s="279"/>
      <c r="Y111" s="281"/>
      <c r="Z111" s="281"/>
      <c r="AA111" s="193"/>
    </row>
  </sheetData>
  <mergeCells count="56">
    <mergeCell ref="A1:A4"/>
    <mergeCell ref="B1:B4"/>
    <mergeCell ref="C1:D1"/>
    <mergeCell ref="H1:H4"/>
    <mergeCell ref="L1:L4"/>
    <mergeCell ref="M1:M4"/>
    <mergeCell ref="N1:N4"/>
    <mergeCell ref="P1:P3"/>
    <mergeCell ref="T1:T4"/>
    <mergeCell ref="U1:U4"/>
    <mergeCell ref="C2:C4"/>
    <mergeCell ref="D2:D4"/>
    <mergeCell ref="E2:E4"/>
    <mergeCell ref="F2:F3"/>
    <mergeCell ref="G2:G3"/>
    <mergeCell ref="I2:I4"/>
    <mergeCell ref="J2:J3"/>
    <mergeCell ref="K2:K3"/>
    <mergeCell ref="O2:O3"/>
    <mergeCell ref="Q2:Q4"/>
    <mergeCell ref="R2:R3"/>
    <mergeCell ref="S2:S3"/>
    <mergeCell ref="V2:V4"/>
    <mergeCell ref="W2:W4"/>
    <mergeCell ref="X2:X4"/>
    <mergeCell ref="Y2:Y4"/>
    <mergeCell ref="Z2:Z4"/>
    <mergeCell ref="B6:C6"/>
    <mergeCell ref="B7:C7"/>
    <mergeCell ref="B11:D11"/>
    <mergeCell ref="B13:C13"/>
    <mergeCell ref="B19:D19"/>
    <mergeCell ref="B21:C21"/>
    <mergeCell ref="B27:D27"/>
    <mergeCell ref="B29:C29"/>
    <mergeCell ref="B35:D35"/>
    <mergeCell ref="B37:C37"/>
    <mergeCell ref="B43:C43"/>
    <mergeCell ref="B49:C49"/>
    <mergeCell ref="B55:D55"/>
    <mergeCell ref="B57:C57"/>
    <mergeCell ref="B59:C59"/>
    <mergeCell ref="F59:G60"/>
    <mergeCell ref="B60:C60"/>
    <mergeCell ref="B64:D64"/>
    <mergeCell ref="B66:C66"/>
    <mergeCell ref="B72:D72"/>
    <mergeCell ref="B74:C74"/>
    <mergeCell ref="B80:D80"/>
    <mergeCell ref="B82:C82"/>
    <mergeCell ref="B88:D88"/>
    <mergeCell ref="B90:C90"/>
    <mergeCell ref="B96:C96"/>
    <mergeCell ref="B102:C102"/>
    <mergeCell ref="B108:D108"/>
    <mergeCell ref="B110:C110"/>
  </mergeCells>
  <printOptions headings="false" gridLines="false" gridLinesSet="true" horizontalCentered="true" verticalCentered="true"/>
  <pageMargins left="0.157638888888889" right="0.157638888888889" top="0.551388888888889" bottom="0.669444444444445" header="0.315277777777778" footer="0.118055555555556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&amp;C&amp;"Arial,Bold"&amp;12Fixed Assets Capital Allowances</oddHeader>
    <oddFooter>&amp;L&amp;D  &amp;T&amp;C&amp;P  of  &amp;N&amp;R&amp;F  &amp;A</oddFooter>
  </headerFooter>
  <rowBreaks count="2" manualBreakCount="2">
    <brk id="57" man="true" max="16383" min="0"/>
    <brk id="111" man="true" max="16383" min="0"/>
  </rowBreaks>
  <colBreaks count="1" manualBreakCount="1">
    <brk id="19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238" width="1.66"/>
    <col collapsed="false" customWidth="true" hidden="false" outlineLevel="0" max="2" min="2" style="238" width="27.15"/>
    <col collapsed="false" customWidth="false" hidden="false" outlineLevel="0" max="3" min="3" style="238" width="9.15"/>
    <col collapsed="false" customWidth="true" hidden="false" outlineLevel="0" max="4" min="4" style="238" width="3.66"/>
    <col collapsed="false" customWidth="true" hidden="false" outlineLevel="0" max="5" min="5" style="238" width="11.5"/>
    <col collapsed="false" customWidth="true" hidden="false" outlineLevel="0" max="6" min="6" style="238" width="5.5"/>
    <col collapsed="false" customWidth="false" hidden="false" outlineLevel="0" max="9" min="7" style="238" width="9.15"/>
    <col collapsed="false" customWidth="true" hidden="false" outlineLevel="0" max="10" min="10" style="238" width="6.5"/>
    <col collapsed="false" customWidth="true" hidden="false" outlineLevel="0" max="11" min="11" style="238" width="11.66"/>
    <col collapsed="false" customWidth="true" hidden="false" outlineLevel="0" max="12" min="12" style="238" width="2.66"/>
    <col collapsed="false" customWidth="true" hidden="false" outlineLevel="0" max="14" min="13" style="238" width="9.66"/>
    <col collapsed="false" customWidth="true" hidden="false" outlineLevel="0" max="15" min="15" style="238" width="1.5"/>
    <col collapsed="false" customWidth="false" hidden="false" outlineLevel="0" max="257" min="16" style="238" width="9.15"/>
  </cols>
  <sheetData>
    <row r="1" s="208" customFormat="true" ht="9" hidden="false" customHeight="true" outlineLevel="0" collapsed="false">
      <c r="A1" s="331"/>
      <c r="B1" s="331"/>
      <c r="C1" s="331"/>
      <c r="D1" s="331"/>
      <c r="E1" s="331"/>
      <c r="F1" s="331"/>
      <c r="G1" s="331"/>
      <c r="H1" s="331"/>
      <c r="I1" s="331"/>
      <c r="J1" s="331"/>
      <c r="K1" s="331"/>
      <c r="L1" s="331"/>
      <c r="M1" s="331"/>
      <c r="N1" s="331"/>
      <c r="O1" s="325"/>
      <c r="P1" s="210"/>
      <c r="Q1" s="210"/>
      <c r="R1" s="210"/>
      <c r="S1" s="210"/>
      <c r="T1" s="207"/>
      <c r="U1" s="249"/>
      <c r="V1" s="249"/>
      <c r="W1" s="210"/>
      <c r="X1" s="210"/>
    </row>
    <row r="2" s="208" customFormat="true" ht="15" hidden="false" customHeight="true" outlineLevel="0" collapsed="false">
      <c r="A2" s="319"/>
      <c r="B2" s="304"/>
      <c r="C2" s="305"/>
      <c r="D2" s="306"/>
      <c r="E2" s="386" t="s">
        <v>477</v>
      </c>
      <c r="F2" s="386"/>
      <c r="G2" s="386"/>
      <c r="H2" s="386"/>
      <c r="I2" s="307"/>
      <c r="J2" s="307"/>
      <c r="K2" s="307"/>
      <c r="L2" s="307"/>
      <c r="M2" s="308"/>
      <c r="N2" s="307"/>
      <c r="O2" s="326"/>
      <c r="P2" s="210"/>
      <c r="Q2" s="210"/>
      <c r="R2" s="210"/>
      <c r="S2" s="210"/>
      <c r="T2" s="207"/>
      <c r="U2" s="249"/>
      <c r="V2" s="249"/>
      <c r="W2" s="210"/>
      <c r="X2" s="210"/>
    </row>
    <row r="3" s="208" customFormat="true" ht="15" hidden="false" customHeight="true" outlineLevel="0" collapsed="false">
      <c r="A3" s="319"/>
      <c r="B3" s="304"/>
      <c r="C3" s="305"/>
      <c r="D3" s="306"/>
      <c r="E3" s="311"/>
      <c r="F3" s="311"/>
      <c r="G3" s="237"/>
      <c r="H3" s="237"/>
      <c r="I3" s="307"/>
      <c r="J3" s="307"/>
      <c r="K3" s="307"/>
      <c r="L3" s="307"/>
      <c r="M3" s="308"/>
      <c r="N3" s="307"/>
      <c r="O3" s="326"/>
      <c r="P3" s="210"/>
      <c r="Q3" s="210"/>
      <c r="R3" s="210"/>
      <c r="S3" s="210"/>
      <c r="T3" s="207"/>
      <c r="U3" s="249"/>
      <c r="V3" s="249"/>
      <c r="W3" s="210"/>
      <c r="X3" s="210"/>
    </row>
    <row r="4" s="208" customFormat="true" ht="15" hidden="false" customHeight="true" outlineLevel="0" collapsed="false">
      <c r="A4" s="319"/>
      <c r="B4" s="257" t="s">
        <v>478</v>
      </c>
      <c r="C4" s="305"/>
      <c r="D4" s="306"/>
      <c r="E4" s="242" t="s">
        <v>447</v>
      </c>
      <c r="F4" s="307"/>
      <c r="G4" s="387" t="s">
        <v>479</v>
      </c>
      <c r="H4" s="387"/>
      <c r="I4" s="387"/>
      <c r="J4" s="307"/>
      <c r="K4" s="242" t="s">
        <v>480</v>
      </c>
      <c r="L4" s="307"/>
      <c r="M4" s="388" t="s">
        <v>481</v>
      </c>
      <c r="N4" s="388"/>
      <c r="O4" s="326"/>
      <c r="P4" s="210"/>
      <c r="Q4" s="210"/>
      <c r="R4" s="210"/>
      <c r="S4" s="210"/>
      <c r="T4" s="207"/>
      <c r="U4" s="249"/>
      <c r="V4" s="249"/>
      <c r="W4" s="210"/>
      <c r="X4" s="210"/>
    </row>
    <row r="5" s="208" customFormat="true" ht="15" hidden="false" customHeight="true" outlineLevel="0" collapsed="false">
      <c r="A5" s="319"/>
      <c r="B5" s="304" t="s">
        <v>482</v>
      </c>
      <c r="C5" s="305"/>
      <c r="D5" s="306"/>
      <c r="E5" s="307"/>
      <c r="F5" s="307"/>
      <c r="G5" s="304" t="s">
        <v>483</v>
      </c>
      <c r="H5" s="305"/>
      <c r="I5" s="306"/>
      <c r="J5" s="307"/>
      <c r="K5" s="307"/>
      <c r="L5" s="307"/>
      <c r="M5" s="388"/>
      <c r="N5" s="388"/>
      <c r="O5" s="326"/>
      <c r="P5" s="210"/>
      <c r="Q5" s="210"/>
      <c r="R5" s="210"/>
      <c r="S5" s="210"/>
      <c r="T5" s="207"/>
      <c r="U5" s="249"/>
      <c r="V5" s="249"/>
      <c r="W5" s="210"/>
      <c r="X5" s="210"/>
    </row>
    <row r="6" s="208" customFormat="true" ht="15" hidden="false" customHeight="true" outlineLevel="0" collapsed="false">
      <c r="A6" s="319"/>
      <c r="B6" s="389" t="s">
        <v>472</v>
      </c>
      <c r="C6" s="389"/>
      <c r="D6" s="389"/>
      <c r="E6" s="312" t="n">
        <f aca="false">Schedule!E64</f>
        <v>0</v>
      </c>
      <c r="F6" s="307"/>
      <c r="G6" s="389" t="s">
        <v>484</v>
      </c>
      <c r="H6" s="389"/>
      <c r="I6" s="389"/>
      <c r="J6" s="389"/>
      <c r="K6" s="312" t="n">
        <f aca="false">Schedule!V11+Schedule!V64</f>
        <v>0</v>
      </c>
      <c r="L6" s="307"/>
      <c r="M6" s="388"/>
      <c r="N6" s="388"/>
      <c r="O6" s="326"/>
      <c r="P6" s="210"/>
      <c r="Q6" s="210"/>
      <c r="R6" s="210"/>
      <c r="S6" s="210"/>
      <c r="T6" s="207"/>
      <c r="U6" s="249"/>
      <c r="V6" s="249"/>
      <c r="W6" s="210"/>
      <c r="X6" s="210"/>
    </row>
    <row r="7" s="208" customFormat="true" ht="15" hidden="false" customHeight="true" outlineLevel="0" collapsed="false">
      <c r="A7" s="319"/>
      <c r="B7" s="389" t="s">
        <v>473</v>
      </c>
      <c r="C7" s="389"/>
      <c r="D7" s="389"/>
      <c r="E7" s="312" t="n">
        <f aca="false">Schedule!E72</f>
        <v>0</v>
      </c>
      <c r="F7" s="307"/>
      <c r="G7" s="389" t="s">
        <v>485</v>
      </c>
      <c r="H7" s="389"/>
      <c r="I7" s="389"/>
      <c r="J7" s="389"/>
      <c r="K7" s="312" t="n">
        <f aca="false">Schedule!V19+Schedule!V72</f>
        <v>0</v>
      </c>
      <c r="L7" s="307"/>
      <c r="M7" s="388"/>
      <c r="N7" s="388"/>
      <c r="O7" s="326"/>
      <c r="P7" s="210"/>
      <c r="Q7" s="210"/>
      <c r="R7" s="210"/>
      <c r="S7" s="210"/>
      <c r="T7" s="207"/>
      <c r="U7" s="249"/>
      <c r="V7" s="249"/>
      <c r="W7" s="210"/>
      <c r="X7" s="210"/>
    </row>
    <row r="8" s="208" customFormat="true" ht="15" hidden="false" customHeight="true" outlineLevel="0" collapsed="false">
      <c r="A8" s="319"/>
      <c r="B8" s="389" t="s">
        <v>474</v>
      </c>
      <c r="C8" s="389"/>
      <c r="D8" s="389"/>
      <c r="E8" s="312" t="n">
        <f aca="false">Schedule!E80</f>
        <v>0</v>
      </c>
      <c r="F8" s="307"/>
      <c r="G8" s="389" t="s">
        <v>486</v>
      </c>
      <c r="H8" s="389"/>
      <c r="I8" s="389"/>
      <c r="J8" s="389"/>
      <c r="K8" s="312" t="n">
        <f aca="false">Schedule!V27+Schedule!V80</f>
        <v>0</v>
      </c>
      <c r="L8" s="307"/>
      <c r="M8" s="388"/>
      <c r="N8" s="388"/>
      <c r="O8" s="326"/>
      <c r="P8" s="210"/>
      <c r="Q8" s="210"/>
      <c r="R8" s="210"/>
      <c r="S8" s="210"/>
      <c r="T8" s="207"/>
      <c r="U8" s="249"/>
      <c r="V8" s="249"/>
      <c r="W8" s="210"/>
      <c r="X8" s="210"/>
    </row>
    <row r="9" s="208" customFormat="true" ht="15" hidden="false" customHeight="true" outlineLevel="0" collapsed="false">
      <c r="A9" s="319"/>
      <c r="B9" s="389" t="s">
        <v>475</v>
      </c>
      <c r="C9" s="389"/>
      <c r="D9" s="389"/>
      <c r="E9" s="312" t="n">
        <f aca="false">Schedule!E88</f>
        <v>0</v>
      </c>
      <c r="F9" s="307"/>
      <c r="G9" s="389" t="s">
        <v>487</v>
      </c>
      <c r="H9" s="389"/>
      <c r="I9" s="389"/>
      <c r="J9" s="389"/>
      <c r="K9" s="312" t="n">
        <f aca="false">Schedule!V35+Schedule!V88</f>
        <v>0</v>
      </c>
      <c r="L9" s="307"/>
      <c r="M9" s="388"/>
      <c r="N9" s="388"/>
      <c r="O9" s="326"/>
      <c r="P9" s="210"/>
      <c r="Q9" s="210"/>
      <c r="R9" s="210"/>
      <c r="S9" s="210"/>
      <c r="T9" s="207"/>
      <c r="U9" s="249"/>
      <c r="V9" s="249"/>
      <c r="W9" s="210"/>
      <c r="X9" s="210"/>
    </row>
    <row r="10" s="208" customFormat="true" ht="15" hidden="false" customHeight="true" outlineLevel="0" collapsed="false">
      <c r="A10" s="319"/>
      <c r="B10" s="389" t="s">
        <v>476</v>
      </c>
      <c r="C10" s="389"/>
      <c r="D10" s="389"/>
      <c r="E10" s="312" t="n">
        <f aca="false">Schedule!E108</f>
        <v>0</v>
      </c>
      <c r="F10" s="307"/>
      <c r="G10" s="389" t="s">
        <v>488</v>
      </c>
      <c r="H10" s="389"/>
      <c r="I10" s="389"/>
      <c r="J10" s="389"/>
      <c r="K10" s="312" t="n">
        <f aca="false">Schedule!V55+Schedule!V108</f>
        <v>0</v>
      </c>
      <c r="L10" s="307"/>
      <c r="M10" s="388"/>
      <c r="N10" s="388"/>
      <c r="O10" s="326"/>
      <c r="P10" s="210"/>
      <c r="Q10" s="210"/>
      <c r="R10" s="210"/>
      <c r="S10" s="210"/>
      <c r="T10" s="207"/>
      <c r="U10" s="249"/>
      <c r="V10" s="249"/>
      <c r="W10" s="210"/>
      <c r="X10" s="210"/>
    </row>
    <row r="11" s="208" customFormat="true" ht="15" hidden="false" customHeight="true" outlineLevel="0" collapsed="false">
      <c r="A11" s="319"/>
      <c r="B11" s="390" t="s">
        <v>489</v>
      </c>
      <c r="C11" s="390"/>
      <c r="D11" s="390"/>
      <c r="E11" s="177" t="n">
        <f aca="false">SUM(E6:E10)</f>
        <v>0</v>
      </c>
      <c r="F11" s="307"/>
      <c r="G11" s="347" t="s">
        <v>489</v>
      </c>
      <c r="H11" s="347"/>
      <c r="I11" s="347"/>
      <c r="J11" s="347"/>
      <c r="K11" s="177" t="n">
        <f aca="false">SUM(K6:K10)</f>
        <v>0</v>
      </c>
      <c r="L11" s="307"/>
      <c r="M11" s="388"/>
      <c r="N11" s="388"/>
      <c r="O11" s="326"/>
      <c r="P11" s="210"/>
      <c r="Q11" s="210"/>
      <c r="R11" s="210"/>
      <c r="S11" s="210"/>
      <c r="T11" s="207"/>
      <c r="U11" s="249"/>
      <c r="V11" s="249"/>
      <c r="W11" s="210"/>
      <c r="X11" s="210"/>
    </row>
    <row r="12" s="208" customFormat="true" ht="15" hidden="false" customHeight="true" outlineLevel="0" collapsed="false">
      <c r="A12" s="319"/>
      <c r="B12" s="304"/>
      <c r="C12" s="305"/>
      <c r="D12" s="306"/>
      <c r="E12" s="307"/>
      <c r="F12" s="307"/>
      <c r="G12" s="304"/>
      <c r="H12" s="305"/>
      <c r="I12" s="306"/>
      <c r="J12" s="307"/>
      <c r="K12" s="307"/>
      <c r="L12" s="307"/>
      <c r="M12" s="388"/>
      <c r="N12" s="388"/>
      <c r="O12" s="326"/>
      <c r="P12" s="210"/>
      <c r="Q12" s="210"/>
      <c r="R12" s="210"/>
      <c r="S12" s="210"/>
      <c r="T12" s="207"/>
      <c r="U12" s="249"/>
      <c r="V12" s="249"/>
      <c r="W12" s="210"/>
      <c r="X12" s="210"/>
    </row>
    <row r="13" s="208" customFormat="true" ht="15" hidden="false" customHeight="true" outlineLevel="0" collapsed="false">
      <c r="A13" s="319"/>
      <c r="B13" s="390" t="s">
        <v>490</v>
      </c>
      <c r="C13" s="390"/>
      <c r="D13" s="390"/>
      <c r="E13" s="253" t="n">
        <f aca="false">[2]Mar!$AB$2</f>
        <v>0</v>
      </c>
      <c r="F13" s="307"/>
      <c r="G13" s="347" t="s">
        <v>491</v>
      </c>
      <c r="H13" s="347"/>
      <c r="I13" s="347"/>
      <c r="J13" s="347"/>
      <c r="K13" s="253" t="n">
        <f aca="false">[1]Mar!$V$2</f>
        <v>0</v>
      </c>
      <c r="L13" s="307"/>
      <c r="M13" s="388"/>
      <c r="N13" s="388"/>
      <c r="O13" s="326"/>
      <c r="P13" s="210"/>
      <c r="Q13" s="210"/>
      <c r="R13" s="210"/>
      <c r="S13" s="210"/>
      <c r="T13" s="207"/>
      <c r="U13" s="249"/>
      <c r="V13" s="249"/>
      <c r="W13" s="210"/>
      <c r="X13" s="210"/>
    </row>
    <row r="14" s="208" customFormat="true" ht="15" hidden="false" customHeight="true" outlineLevel="0" collapsed="false">
      <c r="A14" s="319"/>
      <c r="B14" s="304"/>
      <c r="C14" s="305"/>
      <c r="D14" s="306"/>
      <c r="E14" s="307"/>
      <c r="F14" s="307"/>
      <c r="G14" s="304"/>
      <c r="H14" s="305"/>
      <c r="I14" s="306"/>
      <c r="J14" s="307"/>
      <c r="K14" s="307"/>
      <c r="L14" s="307"/>
      <c r="M14" s="388"/>
      <c r="N14" s="388"/>
      <c r="O14" s="326"/>
      <c r="P14" s="210"/>
      <c r="Q14" s="210"/>
      <c r="R14" s="210"/>
      <c r="S14" s="210"/>
      <c r="T14" s="207"/>
      <c r="U14" s="249"/>
      <c r="V14" s="249"/>
      <c r="W14" s="210"/>
      <c r="X14" s="210"/>
    </row>
    <row r="15" s="208" customFormat="true" ht="30" hidden="false" customHeight="true" outlineLevel="0" collapsed="false">
      <c r="A15" s="319"/>
      <c r="B15" s="344" t="str">
        <f aca="false">IF(E15&gt;0,"Purchases exceed Assets listed on Schedule",IF(E15&lt;0,"Assets listed on Schedule exceed Purchase values","Purchases reconcile with Fixed asset Schedule"))</f>
        <v>Purchases reconcile with Fixed asset Schedule</v>
      </c>
      <c r="C15" s="344"/>
      <c r="D15" s="344"/>
      <c r="E15" s="212" t="n">
        <f aca="false">E13-E11</f>
        <v>0</v>
      </c>
      <c r="F15" s="307"/>
      <c r="G15" s="344" t="str">
        <f aca="false">IF(K15&gt;0,"Sales exceed Assets listed on Schedule",IF(K15&lt;0,"Assets listed on Schedule exceed Sales values","Sales reconcile with Fixed asset Schedule"))</f>
        <v>Sales reconcile with Fixed asset Schedule</v>
      </c>
      <c r="H15" s="344"/>
      <c r="I15" s="344"/>
      <c r="J15" s="344"/>
      <c r="K15" s="212" t="n">
        <f aca="false">K13-K11</f>
        <v>0</v>
      </c>
      <c r="L15" s="307"/>
      <c r="M15" s="388"/>
      <c r="N15" s="388"/>
      <c r="O15" s="326"/>
      <c r="P15" s="210"/>
      <c r="Q15" s="210"/>
      <c r="R15" s="210"/>
      <c r="S15" s="210"/>
      <c r="T15" s="207"/>
      <c r="U15" s="249"/>
      <c r="V15" s="249"/>
      <c r="W15" s="210"/>
      <c r="X15" s="210"/>
    </row>
    <row r="16" s="208" customFormat="true" ht="9" hidden="false" customHeight="true" outlineLevel="0" collapsed="false">
      <c r="A16" s="320"/>
      <c r="B16" s="321"/>
      <c r="C16" s="322"/>
      <c r="D16" s="185"/>
      <c r="E16" s="323"/>
      <c r="F16" s="323"/>
      <c r="G16" s="321"/>
      <c r="H16" s="322"/>
      <c r="I16" s="185"/>
      <c r="J16" s="323"/>
      <c r="K16" s="323"/>
      <c r="L16" s="323"/>
      <c r="M16" s="324"/>
      <c r="N16" s="323"/>
      <c r="O16" s="327"/>
      <c r="P16" s="210"/>
      <c r="Q16" s="210"/>
      <c r="R16" s="210"/>
      <c r="S16" s="210"/>
      <c r="T16" s="207"/>
      <c r="U16" s="249"/>
      <c r="V16" s="249"/>
      <c r="W16" s="210"/>
      <c r="X16" s="210"/>
    </row>
  </sheetData>
  <mergeCells count="20">
    <mergeCell ref="A1:N1"/>
    <mergeCell ref="E2:H2"/>
    <mergeCell ref="G4:I4"/>
    <mergeCell ref="M4:N15"/>
    <mergeCell ref="B6:D6"/>
    <mergeCell ref="G6:J6"/>
    <mergeCell ref="B7:D7"/>
    <mergeCell ref="G7:J7"/>
    <mergeCell ref="B8:D8"/>
    <mergeCell ref="G8:J8"/>
    <mergeCell ref="B9:D9"/>
    <mergeCell ref="G9:J9"/>
    <mergeCell ref="B10:D10"/>
    <mergeCell ref="G10:J10"/>
    <mergeCell ref="B11:D11"/>
    <mergeCell ref="G11:J11"/>
    <mergeCell ref="B13:D13"/>
    <mergeCell ref="G13:J13"/>
    <mergeCell ref="B15:D15"/>
    <mergeCell ref="G15:J15"/>
  </mergeCells>
  <printOptions headings="false" gridLines="false" gridLinesSet="true" horizontalCentered="true" verticalCentered="false"/>
  <pageMargins left="0.354166666666667" right="0.354166666666667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&amp;CReconciliation between Fixed Assets entered on Sales and Purchase spreadsheets with the Fixed Asset Schedule</oddHeader>
    <oddFooter>&amp;L&amp;D  &amp;T&amp;C&amp;P  of  &amp;N&amp;R&amp;F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1.5"/>
    <col collapsed="false" customWidth="true" hidden="false" outlineLevel="0" max="2" min="2" style="207" width="10.66"/>
    <col collapsed="false" customWidth="true" hidden="false" outlineLevel="0" max="4" min="3" style="286" width="18.66"/>
    <col collapsed="false" customWidth="true" hidden="false" outlineLevel="0" max="5" min="5" style="175" width="13.82"/>
    <col collapsed="false" customWidth="true" hidden="false" outlineLevel="0" max="7" min="6" style="175" width="8.66"/>
    <col collapsed="false" customWidth="true" hidden="false" outlineLevel="0" max="8" min="8" style="184" width="6.66"/>
    <col collapsed="false" customWidth="true" hidden="false" outlineLevel="0" max="11" min="9" style="182" width="8.66"/>
    <col collapsed="false" customWidth="true" hidden="false" outlineLevel="0" max="12" min="12" style="286" width="18.66"/>
    <col collapsed="false" customWidth="true" hidden="false" outlineLevel="0" max="13" min="13" style="175" width="1.5"/>
    <col collapsed="false" customWidth="false" hidden="false" outlineLevel="0" max="257" min="14" style="175" width="9.15"/>
  </cols>
  <sheetData>
    <row r="1" customFormat="false" ht="6" hidden="false" customHeight="true" outlineLevel="0" collapsed="false">
      <c r="A1" s="156"/>
      <c r="B1" s="304"/>
      <c r="C1" s="306"/>
      <c r="D1" s="306"/>
      <c r="E1" s="156"/>
      <c r="F1" s="156"/>
      <c r="G1" s="156"/>
      <c r="H1" s="187"/>
      <c r="I1" s="192"/>
      <c r="J1" s="192"/>
      <c r="K1" s="192"/>
      <c r="L1" s="306"/>
      <c r="M1" s="156"/>
    </row>
    <row r="2" customFormat="false" ht="15" hidden="false" customHeight="true" outlineLevel="0" collapsed="false">
      <c r="A2" s="156"/>
      <c r="B2" s="169"/>
      <c r="C2" s="9" t="s">
        <v>492</v>
      </c>
      <c r="D2" s="9"/>
      <c r="E2" s="176" t="n">
        <f aca="false">SUM(E8:E14)</f>
        <v>0</v>
      </c>
      <c r="F2" s="173"/>
      <c r="G2" s="4" t="s">
        <v>493</v>
      </c>
      <c r="H2" s="4"/>
      <c r="I2" s="4"/>
      <c r="J2" s="4"/>
      <c r="K2" s="4"/>
      <c r="L2" s="183"/>
      <c r="M2" s="156"/>
    </row>
    <row r="3" customFormat="false" ht="18" hidden="false" customHeight="true" outlineLevel="0" collapsed="false">
      <c r="A3" s="156"/>
      <c r="B3" s="168" t="s">
        <v>494</v>
      </c>
      <c r="C3" s="287"/>
      <c r="D3" s="211"/>
      <c r="E3" s="173"/>
      <c r="F3" s="173"/>
      <c r="G3" s="4"/>
      <c r="H3" s="4"/>
      <c r="I3" s="4"/>
      <c r="J3" s="4"/>
      <c r="K3" s="4"/>
      <c r="L3" s="183"/>
      <c r="M3" s="156"/>
    </row>
    <row r="4" customFormat="false" ht="9" hidden="false" customHeight="true" outlineLevel="0" collapsed="false">
      <c r="A4" s="156"/>
      <c r="B4" s="267"/>
      <c r="C4" s="287"/>
      <c r="D4" s="287"/>
      <c r="E4" s="169"/>
      <c r="F4" s="169"/>
      <c r="G4" s="169"/>
      <c r="H4" s="183"/>
      <c r="I4" s="173"/>
      <c r="J4" s="173"/>
      <c r="K4" s="173"/>
      <c r="L4" s="221"/>
      <c r="M4" s="156"/>
    </row>
    <row r="5" s="181" customFormat="true" ht="15" hidden="false" customHeight="true" outlineLevel="0" collapsed="false">
      <c r="A5" s="155"/>
      <c r="B5" s="391" t="s">
        <v>495</v>
      </c>
      <c r="C5" s="375" t="s">
        <v>496</v>
      </c>
      <c r="D5" s="375" t="s">
        <v>497</v>
      </c>
      <c r="E5" s="392" t="s">
        <v>498</v>
      </c>
      <c r="F5" s="392" t="s">
        <v>499</v>
      </c>
      <c r="G5" s="392" t="s">
        <v>500</v>
      </c>
      <c r="H5" s="375" t="s">
        <v>501</v>
      </c>
      <c r="I5" s="392" t="s">
        <v>502</v>
      </c>
      <c r="J5" s="392"/>
      <c r="K5" s="392"/>
      <c r="L5" s="375" t="s">
        <v>503</v>
      </c>
      <c r="M5" s="155"/>
    </row>
    <row r="6" s="181" customFormat="true" ht="30.75" hidden="false" customHeight="true" outlineLevel="0" collapsed="false">
      <c r="A6" s="155"/>
      <c r="B6" s="391"/>
      <c r="C6" s="391"/>
      <c r="D6" s="391"/>
      <c r="E6" s="391"/>
      <c r="F6" s="391"/>
      <c r="G6" s="391"/>
      <c r="H6" s="391"/>
      <c r="I6" s="180" t="s">
        <v>504</v>
      </c>
      <c r="J6" s="180" t="s">
        <v>505</v>
      </c>
      <c r="K6" s="180" t="s">
        <v>506</v>
      </c>
      <c r="L6" s="375"/>
      <c r="M6" s="155"/>
    </row>
    <row r="7" customFormat="false" ht="12" hidden="false" customHeight="false" outlineLevel="0" collapsed="false">
      <c r="A7" s="156"/>
      <c r="B7" s="267"/>
      <c r="C7" s="287"/>
      <c r="D7" s="287"/>
      <c r="E7" s="169"/>
      <c r="F7" s="169"/>
      <c r="G7" s="169"/>
      <c r="H7" s="183"/>
      <c r="I7" s="173"/>
      <c r="J7" s="173"/>
      <c r="K7" s="173"/>
      <c r="L7" s="287"/>
      <c r="M7" s="156"/>
    </row>
    <row r="8" customFormat="false" ht="15" hidden="false" customHeight="true" outlineLevel="0" collapsed="false">
      <c r="A8" s="156"/>
      <c r="B8" s="298"/>
      <c r="C8" s="299"/>
      <c r="D8" s="299"/>
      <c r="E8" s="176"/>
      <c r="F8" s="176"/>
      <c r="G8" s="176"/>
      <c r="H8" s="153"/>
      <c r="I8" s="173" t="str">
        <f aca="false">IF(E8&gt;0,(E8+F8+G8)/H8," ")</f>
        <v> </v>
      </c>
      <c r="J8" s="173" t="str">
        <f aca="false">IF(H8&gt;0,I8-K8," ")</f>
        <v> </v>
      </c>
      <c r="K8" s="173" t="str">
        <f aca="false">IF(H8&gt;0,G8/H8," ")</f>
        <v> </v>
      </c>
      <c r="L8" s="299"/>
      <c r="M8" s="156"/>
    </row>
    <row r="9" customFormat="false" ht="12" hidden="false" customHeight="false" outlineLevel="0" collapsed="false">
      <c r="A9" s="156"/>
      <c r="B9" s="267"/>
      <c r="C9" s="287"/>
      <c r="D9" s="287"/>
      <c r="E9" s="169"/>
      <c r="F9" s="169"/>
      <c r="G9" s="169"/>
      <c r="H9" s="183"/>
      <c r="I9" s="173"/>
      <c r="J9" s="173"/>
      <c r="K9" s="173"/>
      <c r="L9" s="287"/>
      <c r="M9" s="156"/>
    </row>
    <row r="10" customFormat="false" ht="15" hidden="false" customHeight="true" outlineLevel="0" collapsed="false">
      <c r="A10" s="156"/>
      <c r="B10" s="298"/>
      <c r="C10" s="299"/>
      <c r="D10" s="299"/>
      <c r="E10" s="176"/>
      <c r="F10" s="176"/>
      <c r="G10" s="176"/>
      <c r="H10" s="153"/>
      <c r="I10" s="173" t="e">
        <f aca="false">NA()</f>
        <v>#N/A</v>
      </c>
      <c r="J10" s="173" t="str">
        <f aca="false">IF(H10&gt;0,I10-K10," ")</f>
        <v> </v>
      </c>
      <c r="K10" s="173" t="str">
        <f aca="false">IF(H10&gt;0,G10/H10," ")</f>
        <v> </v>
      </c>
      <c r="L10" s="299"/>
      <c r="M10" s="156"/>
    </row>
    <row r="11" customFormat="false" ht="12" hidden="false" customHeight="false" outlineLevel="0" collapsed="false">
      <c r="A11" s="156"/>
      <c r="B11" s="267"/>
      <c r="C11" s="287"/>
      <c r="D11" s="287"/>
      <c r="E11" s="169"/>
      <c r="F11" s="169"/>
      <c r="G11" s="169"/>
      <c r="H11" s="183"/>
      <c r="I11" s="173"/>
      <c r="J11" s="173"/>
      <c r="K11" s="173"/>
      <c r="L11" s="287"/>
      <c r="M11" s="156"/>
    </row>
    <row r="12" customFormat="false" ht="15" hidden="false" customHeight="true" outlineLevel="0" collapsed="false">
      <c r="A12" s="156"/>
      <c r="B12" s="298"/>
      <c r="C12" s="299"/>
      <c r="D12" s="299"/>
      <c r="E12" s="176"/>
      <c r="F12" s="176"/>
      <c r="G12" s="176"/>
      <c r="H12" s="153"/>
      <c r="I12" s="173" t="e">
        <f aca="false">NA()</f>
        <v>#N/A</v>
      </c>
      <c r="J12" s="173" t="str">
        <f aca="false">IF(H12&gt;0,I12-K12," ")</f>
        <v> </v>
      </c>
      <c r="K12" s="173" t="str">
        <f aca="false">IF(H12&gt;0,G12/H12," ")</f>
        <v> </v>
      </c>
      <c r="L12" s="299"/>
      <c r="M12" s="156"/>
    </row>
    <row r="13" customFormat="false" ht="12" hidden="false" customHeight="false" outlineLevel="0" collapsed="false">
      <c r="A13" s="156"/>
      <c r="B13" s="267"/>
      <c r="C13" s="287"/>
      <c r="D13" s="287"/>
      <c r="E13" s="169"/>
      <c r="F13" s="169"/>
      <c r="G13" s="169"/>
      <c r="H13" s="183"/>
      <c r="I13" s="173"/>
      <c r="J13" s="173"/>
      <c r="K13" s="173"/>
      <c r="L13" s="287"/>
      <c r="M13" s="156"/>
    </row>
    <row r="14" customFormat="false" ht="15" hidden="false" customHeight="true" outlineLevel="0" collapsed="false">
      <c r="A14" s="156"/>
      <c r="B14" s="298"/>
      <c r="C14" s="299"/>
      <c r="D14" s="299"/>
      <c r="E14" s="176"/>
      <c r="F14" s="176"/>
      <c r="G14" s="176"/>
      <c r="H14" s="153"/>
      <c r="I14" s="173" t="e">
        <f aca="false">NA()</f>
        <v>#N/A</v>
      </c>
      <c r="J14" s="173" t="str">
        <f aca="false">IF(H14&gt;0,I14-K14," ")</f>
        <v> </v>
      </c>
      <c r="K14" s="173" t="str">
        <f aca="false">IF(H14&gt;0,G14/H14," ")</f>
        <v> </v>
      </c>
      <c r="L14" s="299"/>
      <c r="M14" s="156"/>
    </row>
    <row r="15" customFormat="false" ht="12" hidden="false" customHeight="false" outlineLevel="0" collapsed="false">
      <c r="A15" s="156"/>
      <c r="B15" s="267"/>
      <c r="C15" s="287"/>
      <c r="D15" s="287"/>
      <c r="E15" s="169"/>
      <c r="F15" s="169"/>
      <c r="G15" s="169"/>
      <c r="H15" s="183"/>
      <c r="I15" s="173"/>
      <c r="J15" s="173"/>
      <c r="K15" s="173"/>
      <c r="L15" s="287"/>
      <c r="M15" s="156"/>
    </row>
    <row r="16" customFormat="false" ht="6" hidden="false" customHeight="true" outlineLevel="0" collapsed="false">
      <c r="A16" s="156"/>
      <c r="B16" s="304"/>
      <c r="C16" s="306"/>
      <c r="D16" s="306"/>
      <c r="E16" s="156"/>
      <c r="F16" s="156"/>
      <c r="G16" s="156"/>
      <c r="H16" s="187"/>
      <c r="I16" s="192"/>
      <c r="J16" s="192"/>
      <c r="K16" s="192"/>
      <c r="L16" s="306"/>
      <c r="M16" s="156"/>
    </row>
    <row r="17" customFormat="false" ht="19.5" hidden="false" customHeight="true" outlineLevel="0" collapsed="false">
      <c r="A17" s="156"/>
      <c r="B17" s="168" t="s">
        <v>507</v>
      </c>
      <c r="C17" s="287"/>
      <c r="D17" s="211"/>
      <c r="E17" s="169"/>
      <c r="F17" s="169"/>
      <c r="G17" s="169"/>
      <c r="H17" s="287" t="s">
        <v>508</v>
      </c>
      <c r="I17" s="169"/>
      <c r="J17" s="169"/>
      <c r="K17" s="169"/>
      <c r="L17" s="287"/>
      <c r="M17" s="156"/>
    </row>
    <row r="18" customFormat="false" ht="12" hidden="false" customHeight="false" outlineLevel="0" collapsed="false">
      <c r="A18" s="156"/>
      <c r="B18" s="267"/>
      <c r="C18" s="287"/>
      <c r="D18" s="287"/>
      <c r="E18" s="169"/>
      <c r="F18" s="169"/>
      <c r="G18" s="169"/>
      <c r="H18" s="183"/>
      <c r="I18" s="173"/>
      <c r="J18" s="173"/>
      <c r="K18" s="173"/>
      <c r="L18" s="287"/>
      <c r="M18" s="156"/>
    </row>
    <row r="19" s="181" customFormat="true" ht="15" hidden="false" customHeight="true" outlineLevel="0" collapsed="false">
      <c r="A19" s="155"/>
      <c r="B19" s="391" t="s">
        <v>495</v>
      </c>
      <c r="C19" s="375" t="s">
        <v>496</v>
      </c>
      <c r="D19" s="375" t="s">
        <v>497</v>
      </c>
      <c r="E19" s="392" t="s">
        <v>498</v>
      </c>
      <c r="F19" s="392" t="s">
        <v>499</v>
      </c>
      <c r="G19" s="392" t="s">
        <v>500</v>
      </c>
      <c r="H19" s="375" t="s">
        <v>501</v>
      </c>
      <c r="I19" s="392" t="s">
        <v>502</v>
      </c>
      <c r="J19" s="392"/>
      <c r="K19" s="392"/>
      <c r="L19" s="375" t="s">
        <v>503</v>
      </c>
      <c r="M19" s="155"/>
    </row>
    <row r="20" s="181" customFormat="true" ht="30.75" hidden="false" customHeight="true" outlineLevel="0" collapsed="false">
      <c r="A20" s="155"/>
      <c r="B20" s="391"/>
      <c r="C20" s="391"/>
      <c r="D20" s="391"/>
      <c r="E20" s="391"/>
      <c r="F20" s="391"/>
      <c r="G20" s="391"/>
      <c r="H20" s="391"/>
      <c r="I20" s="180" t="s">
        <v>504</v>
      </c>
      <c r="J20" s="180" t="s">
        <v>505</v>
      </c>
      <c r="K20" s="180" t="s">
        <v>506</v>
      </c>
      <c r="L20" s="375"/>
      <c r="M20" s="155"/>
    </row>
    <row r="21" s="181" customFormat="true" ht="12.75" hidden="false" customHeight="true" outlineLevel="0" collapsed="false">
      <c r="A21" s="155"/>
      <c r="B21" s="213"/>
      <c r="C21" s="213"/>
      <c r="D21" s="213"/>
      <c r="E21" s="213"/>
      <c r="F21" s="213"/>
      <c r="G21" s="213"/>
      <c r="H21" s="213"/>
      <c r="I21" s="261"/>
      <c r="J21" s="261"/>
      <c r="K21" s="261"/>
      <c r="L21" s="213"/>
      <c r="M21" s="155"/>
    </row>
    <row r="22" customFormat="false" ht="15" hidden="false" customHeight="true" outlineLevel="0" collapsed="false">
      <c r="A22" s="156"/>
      <c r="B22" s="298"/>
      <c r="C22" s="299"/>
      <c r="D22" s="299"/>
      <c r="E22" s="176"/>
      <c r="F22" s="176"/>
      <c r="G22" s="176"/>
      <c r="H22" s="153"/>
      <c r="I22" s="173" t="str">
        <f aca="false">IF(E22&gt;0,(E22+F22+G22)/H22," ")</f>
        <v> </v>
      </c>
      <c r="J22" s="173" t="str">
        <f aca="false">IF(H22&gt;0,I22-K22," ")</f>
        <v> </v>
      </c>
      <c r="K22" s="173" t="str">
        <f aca="false">IF(H22&gt;0,G22/H22," ")</f>
        <v> </v>
      </c>
      <c r="L22" s="299"/>
      <c r="M22" s="156"/>
    </row>
    <row r="23" customFormat="false" ht="12.75" hidden="false" customHeight="true" outlineLevel="0" collapsed="false">
      <c r="A23" s="156"/>
      <c r="B23" s="267"/>
      <c r="C23" s="287"/>
      <c r="D23" s="287"/>
      <c r="E23" s="169"/>
      <c r="F23" s="169"/>
      <c r="G23" s="169"/>
      <c r="H23" s="183"/>
      <c r="I23" s="173"/>
      <c r="J23" s="173"/>
      <c r="K23" s="173"/>
      <c r="L23" s="287"/>
      <c r="M23" s="156"/>
    </row>
    <row r="24" customFormat="false" ht="15" hidden="false" customHeight="true" outlineLevel="0" collapsed="false">
      <c r="A24" s="156"/>
      <c r="B24" s="298"/>
      <c r="C24" s="299"/>
      <c r="D24" s="299"/>
      <c r="E24" s="176"/>
      <c r="F24" s="176"/>
      <c r="G24" s="176"/>
      <c r="H24" s="153"/>
      <c r="I24" s="173" t="e">
        <f aca="false">NA()</f>
        <v>#N/A</v>
      </c>
      <c r="J24" s="173" t="str">
        <f aca="false">IF(H24&gt;0,I24-K24," ")</f>
        <v> </v>
      </c>
      <c r="K24" s="173" t="str">
        <f aca="false">IF(H24&gt;0,G24/H24," ")</f>
        <v> </v>
      </c>
      <c r="L24" s="299"/>
      <c r="M24" s="156"/>
    </row>
    <row r="25" customFormat="false" ht="12" hidden="false" customHeight="false" outlineLevel="0" collapsed="false">
      <c r="A25" s="156"/>
      <c r="B25" s="267"/>
      <c r="C25" s="287"/>
      <c r="D25" s="287"/>
      <c r="E25" s="169"/>
      <c r="F25" s="169"/>
      <c r="G25" s="169"/>
      <c r="H25" s="183"/>
      <c r="I25" s="173"/>
      <c r="J25" s="173"/>
      <c r="K25" s="173"/>
      <c r="L25" s="287"/>
      <c r="M25" s="156"/>
    </row>
    <row r="26" customFormat="false" ht="15" hidden="false" customHeight="true" outlineLevel="0" collapsed="false">
      <c r="A26" s="156"/>
      <c r="B26" s="298"/>
      <c r="C26" s="299"/>
      <c r="D26" s="299"/>
      <c r="E26" s="176"/>
      <c r="F26" s="176"/>
      <c r="G26" s="176"/>
      <c r="H26" s="153"/>
      <c r="I26" s="173" t="e">
        <f aca="false">NA()</f>
        <v>#N/A</v>
      </c>
      <c r="J26" s="173" t="str">
        <f aca="false">IF(H26&gt;0,I26-K26," ")</f>
        <v> </v>
      </c>
      <c r="K26" s="173" t="str">
        <f aca="false">IF(H26&gt;0,G26/H26," ")</f>
        <v> </v>
      </c>
      <c r="L26" s="299"/>
      <c r="M26" s="156"/>
    </row>
    <row r="27" customFormat="false" ht="12" hidden="false" customHeight="false" outlineLevel="0" collapsed="false">
      <c r="A27" s="156"/>
      <c r="B27" s="267"/>
      <c r="C27" s="287"/>
      <c r="D27" s="287"/>
      <c r="E27" s="169"/>
      <c r="F27" s="169"/>
      <c r="G27" s="169"/>
      <c r="H27" s="183"/>
      <c r="I27" s="173"/>
      <c r="J27" s="173"/>
      <c r="K27" s="173"/>
      <c r="L27" s="287"/>
      <c r="M27" s="156"/>
    </row>
    <row r="28" customFormat="false" ht="15" hidden="false" customHeight="true" outlineLevel="0" collapsed="false">
      <c r="A28" s="156"/>
      <c r="B28" s="298"/>
      <c r="C28" s="299"/>
      <c r="D28" s="299"/>
      <c r="E28" s="176"/>
      <c r="F28" s="176"/>
      <c r="G28" s="176"/>
      <c r="H28" s="153"/>
      <c r="I28" s="173" t="e">
        <f aca="false">NA()</f>
        <v>#N/A</v>
      </c>
      <c r="J28" s="173" t="str">
        <f aca="false">IF(H28&gt;0,I28-K28," ")</f>
        <v> </v>
      </c>
      <c r="K28" s="173" t="str">
        <f aca="false">IF(H28&gt;0,G28/H28," ")</f>
        <v> </v>
      </c>
      <c r="L28" s="299"/>
      <c r="M28" s="156"/>
    </row>
    <row r="29" customFormat="false" ht="12" hidden="false" customHeight="false" outlineLevel="0" collapsed="false">
      <c r="A29" s="156"/>
      <c r="B29" s="267"/>
      <c r="C29" s="287"/>
      <c r="D29" s="287"/>
      <c r="E29" s="169"/>
      <c r="F29" s="169"/>
      <c r="G29" s="169"/>
      <c r="H29" s="183"/>
      <c r="I29" s="173"/>
      <c r="J29" s="173"/>
      <c r="K29" s="173"/>
      <c r="L29" s="287"/>
      <c r="M29" s="156"/>
    </row>
    <row r="30" customFormat="false" ht="6" hidden="false" customHeight="true" outlineLevel="0" collapsed="false">
      <c r="A30" s="156"/>
      <c r="B30" s="304"/>
      <c r="C30" s="306"/>
      <c r="D30" s="306"/>
      <c r="E30" s="156"/>
      <c r="F30" s="156"/>
      <c r="G30" s="156"/>
      <c r="H30" s="187"/>
      <c r="I30" s="192"/>
      <c r="J30" s="192"/>
      <c r="K30" s="192"/>
      <c r="L30" s="306"/>
      <c r="M30" s="156"/>
    </row>
  </sheetData>
  <mergeCells count="20">
    <mergeCell ref="C2:D2"/>
    <mergeCell ref="G2:K3"/>
    <mergeCell ref="B5:B6"/>
    <mergeCell ref="C5:C6"/>
    <mergeCell ref="D5:D6"/>
    <mergeCell ref="E5:E6"/>
    <mergeCell ref="F5:F6"/>
    <mergeCell ref="G5:G6"/>
    <mergeCell ref="H5:H6"/>
    <mergeCell ref="I5:K5"/>
    <mergeCell ref="L5:L6"/>
    <mergeCell ref="B19:B20"/>
    <mergeCell ref="C19:C20"/>
    <mergeCell ref="D19:D20"/>
    <mergeCell ref="E19:E20"/>
    <mergeCell ref="F19:F20"/>
    <mergeCell ref="G19:G20"/>
    <mergeCell ref="H19:H20"/>
    <mergeCell ref="I19:K19"/>
    <mergeCell ref="L19:L2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&amp;C&amp;"Arial,Bold"&amp;11LONG TERM FINANCE AGREEMENTS</oddHeader>
    <oddFooter>&amp;L&amp;D  &amp;T&amp;C&amp;P  of  &amp;N&amp;R&amp;F  &amp;A</oddFooter>
  </headerFooter>
  <rowBreaks count="1" manualBreakCount="1">
    <brk id="15" man="true" max="16383" min="0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8" width="7.5"/>
    <col collapsed="false" customWidth="true" hidden="false" outlineLevel="0" max="2" min="2" style="208" width="14.66"/>
    <col collapsed="false" customWidth="true" hidden="false" outlineLevel="0" max="4" min="3" style="208" width="9.66"/>
    <col collapsed="false" customWidth="true" hidden="false" outlineLevel="0" max="5" min="5" style="208" width="9.99"/>
    <col collapsed="false" customWidth="true" hidden="false" outlineLevel="0" max="6" min="6" style="295" width="4.66"/>
    <col collapsed="false" customWidth="true" hidden="false" outlineLevel="0" max="7" min="7" style="296" width="24.82"/>
    <col collapsed="false" customWidth="true" hidden="false" outlineLevel="0" max="8" min="8" style="208" width="9.49"/>
    <col collapsed="false" customWidth="true" hidden="false" outlineLevel="0" max="9" min="9" style="208" width="3.66"/>
    <col collapsed="false" customWidth="false" hidden="false" outlineLevel="0" max="10" min="10" style="208" width="9.15"/>
    <col collapsed="false" customWidth="true" hidden="true" outlineLevel="0" max="11" min="11" style="299" width="16.32"/>
    <col collapsed="false" customWidth="false" hidden="false" outlineLevel="0" max="12" min="12" style="299" width="9.15"/>
    <col collapsed="false" customWidth="false" hidden="false" outlineLevel="0" max="257" min="13" style="208" width="9.15"/>
  </cols>
  <sheetData>
    <row r="1" customFormat="false" ht="9" hidden="false" customHeight="true" outlineLevel="0" collapsed="false">
      <c r="A1" s="326"/>
      <c r="B1" s="249"/>
      <c r="C1" s="249"/>
      <c r="D1" s="249"/>
      <c r="E1" s="249"/>
      <c r="F1" s="327"/>
      <c r="G1" s="210"/>
      <c r="H1" s="249"/>
      <c r="I1" s="207"/>
    </row>
    <row r="2" customFormat="false" ht="12.75" hidden="false" customHeight="true" outlineLevel="0" collapsed="false">
      <c r="A2" s="325"/>
      <c r="B2" s="393" t="s">
        <v>509</v>
      </c>
      <c r="C2" s="393"/>
      <c r="D2" s="393"/>
      <c r="E2" s="393"/>
      <c r="F2" s="393"/>
      <c r="G2" s="270"/>
      <c r="H2" s="159"/>
      <c r="I2" s="268"/>
      <c r="K2" s="323" t="n">
        <f aca="false">Admin!$B$5</f>
        <v>46142</v>
      </c>
    </row>
    <row r="3" customFormat="false" ht="12.75" hidden="false" customHeight="false" outlineLevel="0" collapsed="false">
      <c r="A3" s="206"/>
      <c r="B3" s="297"/>
      <c r="C3" s="265"/>
      <c r="D3" s="266"/>
      <c r="E3" s="157" t="s">
        <v>510</v>
      </c>
      <c r="F3" s="159"/>
      <c r="G3" s="154"/>
      <c r="H3" s="267"/>
      <c r="I3" s="268"/>
      <c r="K3" s="323" t="n">
        <f aca="false">Admin!$B$6</f>
        <v>46173</v>
      </c>
    </row>
    <row r="4" customFormat="false" ht="16.5" hidden="false" customHeight="true" outlineLevel="0" collapsed="false">
      <c r="A4" s="206"/>
      <c r="B4" s="394" t="s">
        <v>511</v>
      </c>
      <c r="C4" s="394"/>
      <c r="D4" s="264"/>
      <c r="E4" s="264"/>
      <c r="F4" s="269"/>
      <c r="G4" s="270"/>
      <c r="H4" s="159"/>
      <c r="I4" s="268"/>
      <c r="K4" s="323" t="n">
        <f aca="false">Admin!$B$7</f>
        <v>46203</v>
      </c>
    </row>
    <row r="5" customFormat="false" ht="23.85" hidden="false" customHeight="true" outlineLevel="0" collapsed="false">
      <c r="A5" s="206"/>
      <c r="B5" s="394"/>
      <c r="C5" s="394"/>
      <c r="D5" s="159"/>
      <c r="E5" s="395" t="s">
        <v>512</v>
      </c>
      <c r="F5" s="395"/>
      <c r="G5" s="298" t="n">
        <v>46234</v>
      </c>
      <c r="H5" s="159"/>
      <c r="I5" s="268"/>
      <c r="K5" s="323" t="n">
        <f aca="false">Admin!$B$8</f>
        <v>46234</v>
      </c>
    </row>
    <row r="6" customFormat="false" ht="13.5" hidden="false" customHeight="true" outlineLevel="0" collapsed="false">
      <c r="A6" s="206"/>
      <c r="B6" s="394"/>
      <c r="C6" s="394"/>
      <c r="D6" s="159"/>
      <c r="E6" s="271"/>
      <c r="F6" s="272"/>
      <c r="G6" s="274"/>
      <c r="H6" s="159"/>
      <c r="I6" s="268"/>
      <c r="K6" s="323" t="n">
        <f aca="false">Admin!$B$9</f>
        <v>46265</v>
      </c>
    </row>
    <row r="7" customFormat="false" ht="13.5" hidden="false" customHeight="true" outlineLevel="0" collapsed="false">
      <c r="A7" s="206"/>
      <c r="B7" s="394"/>
      <c r="C7" s="394"/>
      <c r="D7" s="159"/>
      <c r="E7" s="370" t="s">
        <v>513</v>
      </c>
      <c r="F7" s="370"/>
      <c r="G7" s="275" t="n">
        <f aca="false">LOOKUP(G$5,Vatinterface!B:B,Vatinterface!C:C)</f>
        <v>46265</v>
      </c>
      <c r="H7" s="159"/>
      <c r="I7" s="268"/>
      <c r="K7" s="323" t="n">
        <f aca="false">Admin!$B$10</f>
        <v>46295</v>
      </c>
    </row>
    <row r="8" customFormat="false" ht="12.75" hidden="false" customHeight="false" outlineLevel="0" collapsed="false">
      <c r="A8" s="206"/>
      <c r="B8" s="159"/>
      <c r="C8" s="159"/>
      <c r="D8" s="159"/>
      <c r="E8" s="159"/>
      <c r="F8" s="276"/>
      <c r="G8" s="270"/>
      <c r="H8" s="159"/>
      <c r="I8" s="268"/>
      <c r="K8" s="323" t="n">
        <f aca="false">Admin!$B$11</f>
        <v>46326</v>
      </c>
    </row>
    <row r="9" customFormat="false" ht="15" hidden="false" customHeight="true" outlineLevel="0" collapsed="false">
      <c r="A9" s="322"/>
      <c r="B9" s="396" t="s">
        <v>514</v>
      </c>
      <c r="C9" s="396"/>
      <c r="D9" s="396"/>
      <c r="E9" s="396"/>
      <c r="F9" s="277" t="n">
        <v>1</v>
      </c>
      <c r="G9" s="263" t="n">
        <f aca="false">LOOKUP(G$5,Vatinterface!B:B,Vatinterface!G:G)</f>
        <v>0</v>
      </c>
      <c r="H9" s="159"/>
      <c r="I9" s="268"/>
      <c r="K9" s="323" t="n">
        <f aca="false">Admin!$B$12</f>
        <v>46356</v>
      </c>
    </row>
    <row r="10" customFormat="false" ht="15" hidden="false" customHeight="true" outlineLevel="0" collapsed="false">
      <c r="A10" s="185"/>
      <c r="B10" s="158"/>
      <c r="C10" s="158"/>
      <c r="D10" s="158"/>
      <c r="E10" s="158"/>
      <c r="F10" s="164"/>
      <c r="G10" s="279"/>
      <c r="H10" s="159"/>
      <c r="I10" s="268"/>
      <c r="K10" s="323" t="n">
        <f aca="false">Admin!$B$13</f>
        <v>46387</v>
      </c>
    </row>
    <row r="11" customFormat="false" ht="15" hidden="false" customHeight="true" outlineLevel="0" collapsed="false">
      <c r="A11" s="185"/>
      <c r="B11" s="396" t="s">
        <v>515</v>
      </c>
      <c r="C11" s="396"/>
      <c r="D11" s="396"/>
      <c r="E11" s="396"/>
      <c r="F11" s="277" t="n">
        <v>2</v>
      </c>
      <c r="G11" s="263" t="n">
        <v>0</v>
      </c>
      <c r="H11" s="159"/>
      <c r="I11" s="268"/>
      <c r="K11" s="323" t="n">
        <f aca="false">Admin!$B$14</f>
        <v>46418</v>
      </c>
    </row>
    <row r="12" customFormat="false" ht="15" hidden="false" customHeight="true" outlineLevel="0" collapsed="false">
      <c r="A12" s="185"/>
      <c r="B12" s="158"/>
      <c r="C12" s="158"/>
      <c r="D12" s="158"/>
      <c r="E12" s="158"/>
      <c r="F12" s="164"/>
      <c r="G12" s="279"/>
      <c r="H12" s="159"/>
      <c r="I12" s="268"/>
      <c r="K12" s="323" t="n">
        <f aca="false">Admin!$B$15</f>
        <v>46446</v>
      </c>
    </row>
    <row r="13" customFormat="false" ht="15" hidden="false" customHeight="true" outlineLevel="0" collapsed="false">
      <c r="A13" s="185"/>
      <c r="B13" s="396" t="s">
        <v>514</v>
      </c>
      <c r="C13" s="396"/>
      <c r="D13" s="396"/>
      <c r="E13" s="396"/>
      <c r="F13" s="277" t="n">
        <v>3</v>
      </c>
      <c r="G13" s="263" t="n">
        <f aca="false">G9+G11</f>
        <v>0</v>
      </c>
      <c r="H13" s="159"/>
      <c r="I13" s="268"/>
      <c r="K13" s="323" t="n">
        <f aca="false">Admin!$B$16</f>
        <v>46477</v>
      </c>
    </row>
    <row r="14" customFormat="false" ht="12" hidden="false" customHeight="true" outlineLevel="0" collapsed="false">
      <c r="A14" s="185"/>
      <c r="B14" s="159"/>
      <c r="C14" s="159"/>
      <c r="D14" s="159"/>
      <c r="E14" s="159"/>
      <c r="F14" s="269"/>
      <c r="G14" s="279"/>
      <c r="H14" s="159"/>
      <c r="I14" s="268"/>
      <c r="K14" s="323" t="n">
        <f aca="false">Admin!$B$18</f>
        <v>46507</v>
      </c>
    </row>
    <row r="15" customFormat="false" ht="15" hidden="false" customHeight="true" outlineLevel="0" collapsed="false">
      <c r="A15" s="185"/>
      <c r="B15" s="396" t="s">
        <v>516</v>
      </c>
      <c r="C15" s="396"/>
      <c r="D15" s="396"/>
      <c r="E15" s="396"/>
      <c r="F15" s="277" t="n">
        <v>4</v>
      </c>
      <c r="G15" s="263" t="n">
        <f aca="false">LOOKUP(G$5,Vatinterface!B:B,Vatinterface!K:K)</f>
        <v>0</v>
      </c>
      <c r="H15" s="159"/>
      <c r="I15" s="268"/>
      <c r="K15" s="323" t="n">
        <f aca="false">Admin!$B$19</f>
        <v>46538</v>
      </c>
    </row>
    <row r="16" customFormat="false" ht="12.75" hidden="false" customHeight="false" outlineLevel="0" collapsed="false">
      <c r="A16" s="185"/>
      <c r="B16" s="159"/>
      <c r="C16" s="159"/>
      <c r="D16" s="159"/>
      <c r="E16" s="159"/>
      <c r="F16" s="269"/>
      <c r="G16" s="279"/>
      <c r="H16" s="159"/>
      <c r="I16" s="268"/>
      <c r="K16" s="323"/>
    </row>
    <row r="17" customFormat="false" ht="15" hidden="false" customHeight="true" outlineLevel="0" collapsed="false">
      <c r="A17" s="185"/>
      <c r="B17" s="374" t="str">
        <f aca="false">IF(G17&gt;0,"Net VAT to be PAID to Customs","Net VAT to be RECLIAMED from Customs")</f>
        <v>Net VAT to be RECLIAMED from Customs</v>
      </c>
      <c r="C17" s="374"/>
      <c r="D17" s="374"/>
      <c r="E17" s="374"/>
      <c r="F17" s="277" t="n">
        <v>5</v>
      </c>
      <c r="G17" s="263" t="n">
        <f aca="false">G13-G15</f>
        <v>0</v>
      </c>
      <c r="H17" s="159"/>
      <c r="I17" s="268"/>
      <c r="K17" s="324"/>
    </row>
    <row r="18" customFormat="false" ht="15" hidden="false" customHeight="true" outlineLevel="0" collapsed="false">
      <c r="A18" s="256"/>
      <c r="B18" s="280"/>
      <c r="C18" s="280"/>
      <c r="D18" s="280"/>
      <c r="E18" s="280"/>
      <c r="F18" s="281"/>
      <c r="G18" s="279"/>
      <c r="H18" s="159"/>
      <c r="I18" s="268"/>
    </row>
    <row r="19" customFormat="false" ht="12.75" hidden="false" customHeight="false" outlineLevel="0" collapsed="false">
      <c r="A19" s="259"/>
      <c r="B19" s="397" t="str">
        <f aca="false">IF(LOOKUP(G$5,Vatinterface!B:B,Vatinterface!M:M)&gt;0,"FLAT RATE SCHEME APPLIED"," ")</f>
        <v> </v>
      </c>
      <c r="C19" s="397"/>
      <c r="D19" s="397"/>
      <c r="E19" s="228" t="str">
        <f aca="false">IF(LOOKUP(G$5,Vatinterface!B:B,Vatinterface!M:M)&gt;0,LOOKUP(G$5,Vatinterface!B:B,Vatinterface!M:M)," ")</f>
        <v> </v>
      </c>
      <c r="F19" s="269"/>
      <c r="G19" s="279"/>
      <c r="H19" s="159"/>
      <c r="I19" s="268"/>
    </row>
    <row r="20" customFormat="false" ht="12.75" hidden="false" customHeight="false" outlineLevel="0" collapsed="false">
      <c r="A20" s="256"/>
      <c r="B20" s="253"/>
      <c r="C20" s="253"/>
      <c r="D20" s="253"/>
      <c r="E20" s="255"/>
      <c r="F20" s="269"/>
      <c r="G20" s="279"/>
      <c r="H20" s="159"/>
      <c r="I20" s="268"/>
    </row>
    <row r="21" customFormat="false" ht="15" hidden="false" customHeight="true" outlineLevel="0" collapsed="false">
      <c r="A21" s="185"/>
      <c r="B21" s="396" t="str">
        <f aca="false">IF(LOOKUP(G$5,Vatinterface!B:B,Vatinterface!M:M)&gt;0,"Total value of sales including VAT","Total value of sales excluding VAT")</f>
        <v>Total value of sales excluding VAT</v>
      </c>
      <c r="C21" s="396"/>
      <c r="D21" s="396"/>
      <c r="E21" s="396"/>
      <c r="F21" s="277" t="n">
        <v>6</v>
      </c>
      <c r="G21" s="193" t="n">
        <f aca="false">IF(LOOKUP(G$5,Vatinterface!B:B,Vatinterface!M:M)&gt;0,(LOOKUP(G$5,Vatinterface!B:B,Vatinterface!E:E)+LOOKUP(G$5,Vatinterface!B:B,Vatinterface!G:G)),LOOKUP(G$5,Vatinterface!B:B,Vatinterface!E:E))</f>
        <v>0</v>
      </c>
      <c r="H21" s="159"/>
      <c r="I21" s="268"/>
    </row>
    <row r="22" customFormat="false" ht="12.75" hidden="false" customHeight="false" outlineLevel="0" collapsed="false">
      <c r="A22" s="256"/>
      <c r="B22" s="159"/>
      <c r="C22" s="159"/>
      <c r="D22" s="159"/>
      <c r="E22" s="159"/>
      <c r="F22" s="269"/>
      <c r="G22" s="279"/>
      <c r="H22" s="159"/>
      <c r="I22" s="268"/>
    </row>
    <row r="23" customFormat="false" ht="15" hidden="false" customHeight="true" outlineLevel="0" collapsed="false">
      <c r="A23" s="322"/>
      <c r="B23" s="396" t="s">
        <v>517</v>
      </c>
      <c r="C23" s="396"/>
      <c r="D23" s="396"/>
      <c r="E23" s="396"/>
      <c r="F23" s="277" t="n">
        <v>7</v>
      </c>
      <c r="G23" s="193" t="n">
        <f aca="false">LOOKUP(G$5,Vatinterface!B:B,Vatinterface!I:I)</f>
        <v>0</v>
      </c>
      <c r="H23" s="159"/>
      <c r="I23" s="268"/>
    </row>
    <row r="24" customFormat="false" ht="12.75" hidden="false" customHeight="false" outlineLevel="0" collapsed="false">
      <c r="A24" s="206"/>
      <c r="B24" s="159"/>
      <c r="C24" s="159"/>
      <c r="D24" s="159"/>
      <c r="E24" s="159"/>
      <c r="F24" s="269"/>
      <c r="G24" s="270"/>
      <c r="H24" s="159"/>
      <c r="I24" s="268"/>
    </row>
    <row r="25" customFormat="false" ht="12.75" hidden="false" customHeight="false" outlineLevel="0" collapsed="false">
      <c r="A25" s="186" t="s">
        <v>518</v>
      </c>
      <c r="B25" s="262" t="s">
        <v>519</v>
      </c>
      <c r="C25" s="159"/>
      <c r="D25" s="159"/>
      <c r="E25" s="159"/>
      <c r="F25" s="269"/>
      <c r="G25" s="270"/>
      <c r="H25" s="159"/>
      <c r="I25" s="268"/>
    </row>
    <row r="26" customFormat="false" ht="12.75" hidden="false" customHeight="false" outlineLevel="0" collapsed="false">
      <c r="A26" s="286"/>
      <c r="B26" s="262" t="s">
        <v>520</v>
      </c>
      <c r="C26" s="159"/>
      <c r="D26" s="159"/>
      <c r="E26" s="159"/>
      <c r="F26" s="269"/>
      <c r="G26" s="270"/>
      <c r="H26" s="159"/>
      <c r="I26" s="268"/>
    </row>
    <row r="27" customFormat="false" ht="12.75" hidden="false" customHeight="false" outlineLevel="0" collapsed="false">
      <c r="A27" s="206"/>
      <c r="B27" s="159"/>
      <c r="C27" s="159"/>
      <c r="D27" s="159"/>
      <c r="E27" s="159"/>
      <c r="F27" s="269"/>
      <c r="G27" s="270"/>
      <c r="H27" s="159"/>
      <c r="I27" s="268"/>
    </row>
    <row r="28" customFormat="false" ht="12.75" hidden="false" customHeight="false" outlineLevel="0" collapsed="false">
      <c r="A28" s="287" t="s">
        <v>521</v>
      </c>
      <c r="B28" s="159"/>
      <c r="C28" s="159"/>
      <c r="D28" s="159"/>
      <c r="E28" s="159"/>
      <c r="F28" s="269"/>
      <c r="G28" s="270"/>
      <c r="H28" s="159"/>
      <c r="I28" s="268"/>
    </row>
    <row r="29" customFormat="false" ht="12.75" hidden="false" customHeight="false" outlineLevel="0" collapsed="false">
      <c r="A29" s="289" t="s">
        <v>522</v>
      </c>
      <c r="B29" s="159"/>
      <c r="C29" s="159"/>
      <c r="D29" s="159"/>
      <c r="E29" s="159"/>
      <c r="F29" s="269"/>
      <c r="G29" s="270"/>
      <c r="H29" s="159"/>
      <c r="I29" s="268"/>
    </row>
    <row r="30" customFormat="false" ht="12.75" hidden="false" customHeight="false" outlineLevel="0" collapsed="false">
      <c r="A30" s="289" t="s">
        <v>523</v>
      </c>
      <c r="B30" s="159"/>
      <c r="C30" s="159"/>
      <c r="D30" s="159"/>
      <c r="E30" s="159"/>
      <c r="F30" s="269"/>
      <c r="G30" s="270"/>
      <c r="H30" s="159"/>
      <c r="I30" s="268"/>
    </row>
    <row r="31" customFormat="false" ht="12.75" hidden="false" customHeight="false" outlineLevel="0" collapsed="false">
      <c r="A31" s="289" t="s">
        <v>524</v>
      </c>
      <c r="B31" s="159"/>
      <c r="C31" s="159"/>
      <c r="D31" s="159"/>
      <c r="E31" s="159"/>
      <c r="F31" s="269"/>
      <c r="G31" s="270"/>
      <c r="H31" s="159"/>
      <c r="I31" s="268"/>
    </row>
    <row r="32" customFormat="false" ht="6" hidden="false" customHeight="true" outlineLevel="0" collapsed="false">
      <c r="A32" s="290"/>
      <c r="B32" s="291"/>
      <c r="C32" s="291"/>
      <c r="D32" s="291"/>
      <c r="E32" s="291"/>
      <c r="F32" s="292"/>
      <c r="G32" s="293"/>
      <c r="H32" s="291"/>
      <c r="I32" s="294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</oddHeader>
    <oddFooter>&amp;L&amp;D  &amp;T&amp;C&amp;P  of  &amp;N&amp;R&amp;F  &amp;A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8" width="7.5"/>
    <col collapsed="false" customWidth="true" hidden="false" outlineLevel="0" max="2" min="2" style="208" width="14.66"/>
    <col collapsed="false" customWidth="true" hidden="false" outlineLevel="0" max="4" min="3" style="208" width="9.66"/>
    <col collapsed="false" customWidth="true" hidden="false" outlineLevel="0" max="5" min="5" style="208" width="9.99"/>
    <col collapsed="false" customWidth="true" hidden="false" outlineLevel="0" max="6" min="6" style="295" width="4.66"/>
    <col collapsed="false" customWidth="true" hidden="false" outlineLevel="0" max="7" min="7" style="296" width="24.82"/>
    <col collapsed="false" customWidth="true" hidden="false" outlineLevel="0" max="8" min="8" style="208" width="9.49"/>
    <col collapsed="false" customWidth="true" hidden="false" outlineLevel="0" max="9" min="9" style="208" width="3.66"/>
    <col collapsed="false" customWidth="false" hidden="false" outlineLevel="0" max="10" min="10" style="208" width="9.15"/>
    <col collapsed="false" customWidth="true" hidden="true" outlineLevel="0" max="11" min="11" style="299" width="16.32"/>
    <col collapsed="false" customWidth="false" hidden="false" outlineLevel="0" max="12" min="12" style="299" width="9.15"/>
    <col collapsed="false" customWidth="false" hidden="false" outlineLevel="0" max="257" min="13" style="208" width="9.15"/>
  </cols>
  <sheetData>
    <row r="1" customFormat="false" ht="9" hidden="false" customHeight="true" outlineLevel="0" collapsed="false">
      <c r="A1" s="326"/>
      <c r="B1" s="249"/>
      <c r="C1" s="249"/>
      <c r="D1" s="249"/>
      <c r="E1" s="249"/>
      <c r="F1" s="327"/>
      <c r="G1" s="210"/>
      <c r="H1" s="249"/>
      <c r="I1" s="207"/>
    </row>
    <row r="2" customFormat="false" ht="12.75" hidden="false" customHeight="true" outlineLevel="0" collapsed="false">
      <c r="A2" s="325"/>
      <c r="B2" s="393" t="s">
        <v>509</v>
      </c>
      <c r="C2" s="393"/>
      <c r="D2" s="393"/>
      <c r="E2" s="393"/>
      <c r="F2" s="393"/>
      <c r="G2" s="270"/>
      <c r="H2" s="159"/>
      <c r="I2" s="268"/>
      <c r="K2" s="323" t="n">
        <f aca="false">Admin!$B$5</f>
        <v>46142</v>
      </c>
    </row>
    <row r="3" customFormat="false" ht="12.75" hidden="false" customHeight="false" outlineLevel="0" collapsed="false">
      <c r="A3" s="206"/>
      <c r="B3" s="297"/>
      <c r="C3" s="265"/>
      <c r="D3" s="266"/>
      <c r="E3" s="157" t="s">
        <v>510</v>
      </c>
      <c r="F3" s="159"/>
      <c r="G3" s="154"/>
      <c r="H3" s="267"/>
      <c r="I3" s="268"/>
      <c r="K3" s="323" t="n">
        <f aca="false">Admin!$B$6</f>
        <v>46173</v>
      </c>
    </row>
    <row r="4" customFormat="false" ht="16.5" hidden="false" customHeight="true" outlineLevel="0" collapsed="false">
      <c r="A4" s="206"/>
      <c r="B4" s="394" t="s">
        <v>511</v>
      </c>
      <c r="C4" s="394"/>
      <c r="D4" s="264"/>
      <c r="E4" s="264"/>
      <c r="F4" s="269"/>
      <c r="G4" s="270"/>
      <c r="H4" s="159"/>
      <c r="I4" s="268"/>
      <c r="K4" s="323" t="n">
        <f aca="false">Admin!$B$7</f>
        <v>46203</v>
      </c>
    </row>
    <row r="5" customFormat="false" ht="23.85" hidden="false" customHeight="true" outlineLevel="0" collapsed="false">
      <c r="A5" s="206"/>
      <c r="B5" s="394"/>
      <c r="C5" s="394"/>
      <c r="D5" s="159"/>
      <c r="E5" s="395" t="s">
        <v>512</v>
      </c>
      <c r="F5" s="395"/>
      <c r="G5" s="298" t="n">
        <v>46326</v>
      </c>
      <c r="H5" s="159"/>
      <c r="I5" s="268"/>
      <c r="K5" s="323" t="n">
        <f aca="false">Admin!$B$8</f>
        <v>46234</v>
      </c>
    </row>
    <row r="6" customFormat="false" ht="13.5" hidden="false" customHeight="true" outlineLevel="0" collapsed="false">
      <c r="A6" s="206"/>
      <c r="B6" s="394"/>
      <c r="C6" s="394"/>
      <c r="D6" s="159"/>
      <c r="E6" s="271"/>
      <c r="F6" s="272"/>
      <c r="G6" s="274"/>
      <c r="H6" s="159"/>
      <c r="I6" s="268"/>
      <c r="K6" s="323" t="n">
        <f aca="false">Admin!$B$9</f>
        <v>46265</v>
      </c>
    </row>
    <row r="7" customFormat="false" ht="13.5" hidden="false" customHeight="true" outlineLevel="0" collapsed="false">
      <c r="A7" s="206"/>
      <c r="B7" s="394"/>
      <c r="C7" s="394"/>
      <c r="D7" s="159"/>
      <c r="E7" s="370" t="s">
        <v>513</v>
      </c>
      <c r="F7" s="370"/>
      <c r="G7" s="275" t="n">
        <f aca="false">LOOKUP(G$5,Vatinterface!B:B,Vatinterface!C:C)</f>
        <v>46356</v>
      </c>
      <c r="H7" s="159"/>
      <c r="I7" s="268"/>
      <c r="K7" s="323" t="n">
        <f aca="false">Admin!$B$10</f>
        <v>46295</v>
      </c>
    </row>
    <row r="8" customFormat="false" ht="12.75" hidden="false" customHeight="false" outlineLevel="0" collapsed="false">
      <c r="A8" s="206"/>
      <c r="B8" s="159"/>
      <c r="C8" s="159"/>
      <c r="D8" s="159"/>
      <c r="E8" s="159"/>
      <c r="F8" s="276"/>
      <c r="G8" s="270"/>
      <c r="H8" s="159"/>
      <c r="I8" s="268"/>
      <c r="K8" s="323" t="n">
        <f aca="false">Admin!$B$11</f>
        <v>46326</v>
      </c>
    </row>
    <row r="9" customFormat="false" ht="15" hidden="false" customHeight="true" outlineLevel="0" collapsed="false">
      <c r="A9" s="322"/>
      <c r="B9" s="396" t="s">
        <v>514</v>
      </c>
      <c r="C9" s="396"/>
      <c r="D9" s="396"/>
      <c r="E9" s="396"/>
      <c r="F9" s="277" t="n">
        <v>1</v>
      </c>
      <c r="G9" s="263" t="n">
        <f aca="false">LOOKUP(G$5,Vatinterface!B:B,Vatinterface!G:G)</f>
        <v>0</v>
      </c>
      <c r="H9" s="159"/>
      <c r="I9" s="268"/>
      <c r="K9" s="323" t="n">
        <f aca="false">Admin!$B$12</f>
        <v>46356</v>
      </c>
    </row>
    <row r="10" customFormat="false" ht="15" hidden="false" customHeight="true" outlineLevel="0" collapsed="false">
      <c r="A10" s="185"/>
      <c r="B10" s="158"/>
      <c r="C10" s="158"/>
      <c r="D10" s="158"/>
      <c r="E10" s="158"/>
      <c r="F10" s="164"/>
      <c r="G10" s="279"/>
      <c r="H10" s="159"/>
      <c r="I10" s="268"/>
      <c r="K10" s="323" t="n">
        <f aca="false">Admin!$B$13</f>
        <v>46387</v>
      </c>
    </row>
    <row r="11" customFormat="false" ht="15" hidden="false" customHeight="true" outlineLevel="0" collapsed="false">
      <c r="A11" s="185"/>
      <c r="B11" s="396" t="s">
        <v>515</v>
      </c>
      <c r="C11" s="396"/>
      <c r="D11" s="396"/>
      <c r="E11" s="396"/>
      <c r="F11" s="277" t="n">
        <v>2</v>
      </c>
      <c r="G11" s="263" t="n">
        <v>0</v>
      </c>
      <c r="H11" s="159"/>
      <c r="I11" s="268"/>
      <c r="K11" s="323" t="n">
        <f aca="false">Admin!$B$14</f>
        <v>46418</v>
      </c>
    </row>
    <row r="12" customFormat="false" ht="15" hidden="false" customHeight="true" outlineLevel="0" collapsed="false">
      <c r="A12" s="185"/>
      <c r="B12" s="158"/>
      <c r="C12" s="158"/>
      <c r="D12" s="158"/>
      <c r="E12" s="158"/>
      <c r="F12" s="164"/>
      <c r="G12" s="279"/>
      <c r="H12" s="159"/>
      <c r="I12" s="268"/>
      <c r="K12" s="323" t="n">
        <f aca="false">Admin!$B$15</f>
        <v>46446</v>
      </c>
    </row>
    <row r="13" customFormat="false" ht="15" hidden="false" customHeight="true" outlineLevel="0" collapsed="false">
      <c r="A13" s="185"/>
      <c r="B13" s="396" t="s">
        <v>514</v>
      </c>
      <c r="C13" s="396"/>
      <c r="D13" s="396"/>
      <c r="E13" s="396"/>
      <c r="F13" s="277" t="n">
        <v>3</v>
      </c>
      <c r="G13" s="263" t="n">
        <f aca="false">G9+G11</f>
        <v>0</v>
      </c>
      <c r="H13" s="159"/>
      <c r="I13" s="268"/>
      <c r="K13" s="323" t="n">
        <f aca="false">Admin!$B$16</f>
        <v>46477</v>
      </c>
    </row>
    <row r="14" customFormat="false" ht="12" hidden="false" customHeight="true" outlineLevel="0" collapsed="false">
      <c r="A14" s="185"/>
      <c r="B14" s="159"/>
      <c r="C14" s="159"/>
      <c r="D14" s="159"/>
      <c r="E14" s="159"/>
      <c r="F14" s="269"/>
      <c r="G14" s="279"/>
      <c r="H14" s="159"/>
      <c r="I14" s="268"/>
      <c r="K14" s="323" t="n">
        <f aca="false">Admin!$B$18</f>
        <v>46507</v>
      </c>
    </row>
    <row r="15" customFormat="false" ht="15" hidden="false" customHeight="true" outlineLevel="0" collapsed="false">
      <c r="A15" s="185"/>
      <c r="B15" s="396" t="s">
        <v>516</v>
      </c>
      <c r="C15" s="396"/>
      <c r="D15" s="396"/>
      <c r="E15" s="396"/>
      <c r="F15" s="277" t="n">
        <v>4</v>
      </c>
      <c r="G15" s="263" t="n">
        <f aca="false">LOOKUP(G$5,Vatinterface!B:B,Vatinterface!K:K)</f>
        <v>0</v>
      </c>
      <c r="H15" s="159"/>
      <c r="I15" s="268"/>
      <c r="K15" s="323" t="n">
        <f aca="false">Admin!$B$19</f>
        <v>46538</v>
      </c>
    </row>
    <row r="16" customFormat="false" ht="12.75" hidden="false" customHeight="false" outlineLevel="0" collapsed="false">
      <c r="A16" s="185"/>
      <c r="B16" s="159"/>
      <c r="C16" s="159"/>
      <c r="D16" s="159"/>
      <c r="E16" s="159"/>
      <c r="F16" s="269"/>
      <c r="G16" s="279"/>
      <c r="H16" s="159"/>
      <c r="I16" s="268"/>
      <c r="K16" s="323"/>
    </row>
    <row r="17" customFormat="false" ht="15" hidden="false" customHeight="true" outlineLevel="0" collapsed="false">
      <c r="A17" s="185"/>
      <c r="B17" s="374" t="str">
        <f aca="false">IF(G17&gt;0,"Net VAT to be PAID to Customs","Net VAT to be RECLIAMED from Customs")</f>
        <v>Net VAT to be RECLIAMED from Customs</v>
      </c>
      <c r="C17" s="374"/>
      <c r="D17" s="374"/>
      <c r="E17" s="374"/>
      <c r="F17" s="277" t="n">
        <v>5</v>
      </c>
      <c r="G17" s="263" t="n">
        <f aca="false">G13-G15</f>
        <v>0</v>
      </c>
      <c r="H17" s="159"/>
      <c r="I17" s="268"/>
      <c r="K17" s="324"/>
    </row>
    <row r="18" customFormat="false" ht="15" hidden="false" customHeight="true" outlineLevel="0" collapsed="false">
      <c r="A18" s="256"/>
      <c r="B18" s="280"/>
      <c r="C18" s="280"/>
      <c r="D18" s="280"/>
      <c r="E18" s="280"/>
      <c r="F18" s="281"/>
      <c r="G18" s="279"/>
      <c r="H18" s="159"/>
      <c r="I18" s="268"/>
    </row>
    <row r="19" customFormat="false" ht="12.75" hidden="false" customHeight="false" outlineLevel="0" collapsed="false">
      <c r="A19" s="259"/>
      <c r="B19" s="397" t="str">
        <f aca="false">IF(LOOKUP(G$5,Vatinterface!B:B,Vatinterface!M:M)&gt;0,"FLAT RATE SCHEME APPLIED"," ")</f>
        <v> </v>
      </c>
      <c r="C19" s="397"/>
      <c r="D19" s="397"/>
      <c r="E19" s="228" t="str">
        <f aca="false">IF(LOOKUP(G$5,Vatinterface!B:B,Vatinterface!M:M)&gt;0,LOOKUP(G$5,Vatinterface!B:B,Vatinterface!M:M)," ")</f>
        <v> </v>
      </c>
      <c r="F19" s="269"/>
      <c r="G19" s="279"/>
      <c r="H19" s="159"/>
      <c r="I19" s="268"/>
    </row>
    <row r="20" customFormat="false" ht="12.75" hidden="false" customHeight="false" outlineLevel="0" collapsed="false">
      <c r="A20" s="256"/>
      <c r="B20" s="253"/>
      <c r="C20" s="253"/>
      <c r="D20" s="253"/>
      <c r="E20" s="255"/>
      <c r="F20" s="269"/>
      <c r="G20" s="279"/>
      <c r="H20" s="159"/>
      <c r="I20" s="268"/>
    </row>
    <row r="21" customFormat="false" ht="15" hidden="false" customHeight="true" outlineLevel="0" collapsed="false">
      <c r="A21" s="185"/>
      <c r="B21" s="396" t="str">
        <f aca="false">IF(LOOKUP(G$5,Vatinterface!B:B,Vatinterface!M:M)&gt;0,"Total value of sales including VAT","Total value of sales excluding VAT")</f>
        <v>Total value of sales excluding VAT</v>
      </c>
      <c r="C21" s="396"/>
      <c r="D21" s="396"/>
      <c r="E21" s="396"/>
      <c r="F21" s="277" t="n">
        <v>6</v>
      </c>
      <c r="G21" s="193" t="n">
        <f aca="false">IF(LOOKUP(G$5,Vatinterface!B:B,Vatinterface!M:M)&gt;0,(LOOKUP(G$5,Vatinterface!B:B,Vatinterface!E:E)+LOOKUP(G$5,Vatinterface!B:B,Vatinterface!G:G)),LOOKUP(G$5,Vatinterface!B:B,Vatinterface!E:E))</f>
        <v>0</v>
      </c>
      <c r="H21" s="159"/>
      <c r="I21" s="268"/>
    </row>
    <row r="22" customFormat="false" ht="12.75" hidden="false" customHeight="false" outlineLevel="0" collapsed="false">
      <c r="A22" s="256"/>
      <c r="B22" s="159"/>
      <c r="C22" s="159"/>
      <c r="D22" s="159"/>
      <c r="E22" s="159"/>
      <c r="F22" s="269"/>
      <c r="G22" s="279"/>
      <c r="H22" s="159"/>
      <c r="I22" s="268"/>
    </row>
    <row r="23" customFormat="false" ht="15" hidden="false" customHeight="true" outlineLevel="0" collapsed="false">
      <c r="A23" s="322"/>
      <c r="B23" s="396" t="s">
        <v>517</v>
      </c>
      <c r="C23" s="396"/>
      <c r="D23" s="396"/>
      <c r="E23" s="396"/>
      <c r="F23" s="277" t="n">
        <v>7</v>
      </c>
      <c r="G23" s="193" t="n">
        <f aca="false">LOOKUP(G$5,Vatinterface!B:B,Vatinterface!I:I)</f>
        <v>0</v>
      </c>
      <c r="H23" s="159"/>
      <c r="I23" s="268"/>
    </row>
    <row r="24" customFormat="false" ht="12.75" hidden="false" customHeight="false" outlineLevel="0" collapsed="false">
      <c r="A24" s="206"/>
      <c r="B24" s="159"/>
      <c r="C24" s="159"/>
      <c r="D24" s="159"/>
      <c r="E24" s="159"/>
      <c r="F24" s="269"/>
      <c r="G24" s="270"/>
      <c r="H24" s="159"/>
      <c r="I24" s="268"/>
    </row>
    <row r="25" customFormat="false" ht="12.75" hidden="false" customHeight="false" outlineLevel="0" collapsed="false">
      <c r="A25" s="186" t="s">
        <v>518</v>
      </c>
      <c r="B25" s="262" t="s">
        <v>519</v>
      </c>
      <c r="C25" s="159"/>
      <c r="D25" s="159"/>
      <c r="E25" s="159"/>
      <c r="F25" s="269"/>
      <c r="G25" s="270"/>
      <c r="H25" s="159"/>
      <c r="I25" s="268"/>
    </row>
    <row r="26" customFormat="false" ht="12.75" hidden="false" customHeight="false" outlineLevel="0" collapsed="false">
      <c r="A26" s="286"/>
      <c r="B26" s="262" t="s">
        <v>520</v>
      </c>
      <c r="C26" s="159"/>
      <c r="D26" s="159"/>
      <c r="E26" s="159"/>
      <c r="F26" s="269"/>
      <c r="G26" s="270"/>
      <c r="H26" s="159"/>
      <c r="I26" s="268"/>
    </row>
    <row r="27" customFormat="false" ht="12.75" hidden="false" customHeight="false" outlineLevel="0" collapsed="false">
      <c r="A27" s="206"/>
      <c r="B27" s="159"/>
      <c r="C27" s="159"/>
      <c r="D27" s="159"/>
      <c r="E27" s="159"/>
      <c r="F27" s="269"/>
      <c r="G27" s="270"/>
      <c r="H27" s="159"/>
      <c r="I27" s="268"/>
    </row>
    <row r="28" customFormat="false" ht="12.75" hidden="false" customHeight="false" outlineLevel="0" collapsed="false">
      <c r="A28" s="287" t="s">
        <v>521</v>
      </c>
      <c r="B28" s="159"/>
      <c r="C28" s="159"/>
      <c r="D28" s="159"/>
      <c r="E28" s="159"/>
      <c r="F28" s="269"/>
      <c r="G28" s="270"/>
      <c r="H28" s="159"/>
      <c r="I28" s="268"/>
    </row>
    <row r="29" customFormat="false" ht="12.75" hidden="false" customHeight="false" outlineLevel="0" collapsed="false">
      <c r="A29" s="289" t="s">
        <v>522</v>
      </c>
      <c r="B29" s="159"/>
      <c r="C29" s="159"/>
      <c r="D29" s="159"/>
      <c r="E29" s="159"/>
      <c r="F29" s="269"/>
      <c r="G29" s="270"/>
      <c r="H29" s="159"/>
      <c r="I29" s="268"/>
    </row>
    <row r="30" customFormat="false" ht="12.75" hidden="false" customHeight="false" outlineLevel="0" collapsed="false">
      <c r="A30" s="289" t="s">
        <v>523</v>
      </c>
      <c r="B30" s="159"/>
      <c r="C30" s="159"/>
      <c r="D30" s="159"/>
      <c r="E30" s="159"/>
      <c r="F30" s="269"/>
      <c r="G30" s="270"/>
      <c r="H30" s="159"/>
      <c r="I30" s="268"/>
    </row>
    <row r="31" customFormat="false" ht="12.75" hidden="false" customHeight="false" outlineLevel="0" collapsed="false">
      <c r="A31" s="289" t="s">
        <v>524</v>
      </c>
      <c r="B31" s="159"/>
      <c r="C31" s="159"/>
      <c r="D31" s="159"/>
      <c r="E31" s="159"/>
      <c r="F31" s="269"/>
      <c r="G31" s="270"/>
      <c r="H31" s="159"/>
      <c r="I31" s="268"/>
    </row>
    <row r="32" customFormat="false" ht="6" hidden="false" customHeight="true" outlineLevel="0" collapsed="false">
      <c r="A32" s="290"/>
      <c r="B32" s="291"/>
      <c r="C32" s="291"/>
      <c r="D32" s="291"/>
      <c r="E32" s="291"/>
      <c r="F32" s="292"/>
      <c r="G32" s="293"/>
      <c r="H32" s="291"/>
      <c r="I32" s="294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</oddHeader>
    <oddFooter>&amp;L&amp;D  &amp;T&amp;C&amp;P  of  &amp;N&amp;R&amp;F  &amp;A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8" width="7.5"/>
    <col collapsed="false" customWidth="true" hidden="false" outlineLevel="0" max="2" min="2" style="208" width="14.66"/>
    <col collapsed="false" customWidth="true" hidden="false" outlineLevel="0" max="4" min="3" style="208" width="9.66"/>
    <col collapsed="false" customWidth="true" hidden="false" outlineLevel="0" max="5" min="5" style="208" width="9.99"/>
    <col collapsed="false" customWidth="true" hidden="false" outlineLevel="0" max="6" min="6" style="295" width="4.66"/>
    <col collapsed="false" customWidth="true" hidden="false" outlineLevel="0" max="7" min="7" style="296" width="24.82"/>
    <col collapsed="false" customWidth="true" hidden="false" outlineLevel="0" max="8" min="8" style="208" width="9.49"/>
    <col collapsed="false" customWidth="true" hidden="false" outlineLevel="0" max="9" min="9" style="208" width="3.66"/>
    <col collapsed="false" customWidth="false" hidden="false" outlineLevel="0" max="10" min="10" style="208" width="9.15"/>
    <col collapsed="false" customWidth="true" hidden="true" outlineLevel="0" max="11" min="11" style="299" width="16.32"/>
    <col collapsed="false" customWidth="false" hidden="false" outlineLevel="0" max="12" min="12" style="299" width="9.15"/>
    <col collapsed="false" customWidth="false" hidden="false" outlineLevel="0" max="257" min="13" style="208" width="9.15"/>
  </cols>
  <sheetData>
    <row r="1" customFormat="false" ht="9" hidden="false" customHeight="true" outlineLevel="0" collapsed="false">
      <c r="A1" s="326"/>
      <c r="B1" s="249"/>
      <c r="C1" s="249"/>
      <c r="D1" s="249"/>
      <c r="E1" s="249"/>
      <c r="F1" s="327"/>
      <c r="G1" s="210"/>
      <c r="H1" s="249"/>
      <c r="I1" s="207"/>
    </row>
    <row r="2" customFormat="false" ht="12.75" hidden="false" customHeight="true" outlineLevel="0" collapsed="false">
      <c r="A2" s="325"/>
      <c r="B2" s="393" t="s">
        <v>509</v>
      </c>
      <c r="C2" s="393"/>
      <c r="D2" s="393"/>
      <c r="E2" s="393"/>
      <c r="F2" s="393"/>
      <c r="G2" s="270"/>
      <c r="H2" s="159"/>
      <c r="I2" s="268"/>
      <c r="K2" s="323" t="n">
        <f aca="false">Admin!$B$5</f>
        <v>46142</v>
      </c>
    </row>
    <row r="3" customFormat="false" ht="12.75" hidden="false" customHeight="false" outlineLevel="0" collapsed="false">
      <c r="A3" s="206"/>
      <c r="B3" s="297"/>
      <c r="C3" s="265"/>
      <c r="D3" s="266"/>
      <c r="E3" s="157" t="s">
        <v>510</v>
      </c>
      <c r="F3" s="159"/>
      <c r="G3" s="154"/>
      <c r="H3" s="267"/>
      <c r="I3" s="268"/>
      <c r="K3" s="323" t="n">
        <f aca="false">Admin!$B$6</f>
        <v>46173</v>
      </c>
    </row>
    <row r="4" customFormat="false" ht="16.5" hidden="false" customHeight="true" outlineLevel="0" collapsed="false">
      <c r="A4" s="206"/>
      <c r="B4" s="394" t="s">
        <v>511</v>
      </c>
      <c r="C4" s="394"/>
      <c r="D4" s="264"/>
      <c r="E4" s="264"/>
      <c r="F4" s="269"/>
      <c r="G4" s="270"/>
      <c r="H4" s="159"/>
      <c r="I4" s="268"/>
      <c r="K4" s="323" t="n">
        <f aca="false">Admin!$B$7</f>
        <v>46203</v>
      </c>
    </row>
    <row r="5" customFormat="false" ht="23.85" hidden="false" customHeight="true" outlineLevel="0" collapsed="false">
      <c r="A5" s="206"/>
      <c r="B5" s="394"/>
      <c r="C5" s="394"/>
      <c r="D5" s="159"/>
      <c r="E5" s="395" t="s">
        <v>512</v>
      </c>
      <c r="F5" s="395"/>
      <c r="G5" s="298" t="n">
        <v>46418</v>
      </c>
      <c r="H5" s="159"/>
      <c r="I5" s="268"/>
      <c r="K5" s="323" t="n">
        <f aca="false">Admin!$B$8</f>
        <v>46234</v>
      </c>
    </row>
    <row r="6" customFormat="false" ht="13.5" hidden="false" customHeight="true" outlineLevel="0" collapsed="false">
      <c r="A6" s="206"/>
      <c r="B6" s="394"/>
      <c r="C6" s="394"/>
      <c r="D6" s="159"/>
      <c r="E6" s="271"/>
      <c r="F6" s="272"/>
      <c r="G6" s="274"/>
      <c r="H6" s="159"/>
      <c r="I6" s="268"/>
      <c r="K6" s="323" t="n">
        <f aca="false">Admin!$B$9</f>
        <v>46265</v>
      </c>
    </row>
    <row r="7" customFormat="false" ht="13.5" hidden="false" customHeight="true" outlineLevel="0" collapsed="false">
      <c r="A7" s="206"/>
      <c r="B7" s="394"/>
      <c r="C7" s="394"/>
      <c r="D7" s="159"/>
      <c r="E7" s="370" t="s">
        <v>513</v>
      </c>
      <c r="F7" s="370"/>
      <c r="G7" s="275" t="n">
        <f aca="false">LOOKUP(G$5,Vatinterface!B:B,Vatinterface!C:C)</f>
        <v>46446</v>
      </c>
      <c r="H7" s="159"/>
      <c r="I7" s="268"/>
      <c r="K7" s="323" t="n">
        <f aca="false">Admin!$B$10</f>
        <v>46295</v>
      </c>
    </row>
    <row r="8" customFormat="false" ht="12.75" hidden="false" customHeight="false" outlineLevel="0" collapsed="false">
      <c r="A8" s="206"/>
      <c r="B8" s="159"/>
      <c r="C8" s="159"/>
      <c r="D8" s="159"/>
      <c r="E8" s="159"/>
      <c r="F8" s="276"/>
      <c r="G8" s="270"/>
      <c r="H8" s="159"/>
      <c r="I8" s="268"/>
      <c r="K8" s="323" t="n">
        <f aca="false">Admin!$B$11</f>
        <v>46326</v>
      </c>
    </row>
    <row r="9" customFormat="false" ht="15" hidden="false" customHeight="true" outlineLevel="0" collapsed="false">
      <c r="A9" s="322"/>
      <c r="B9" s="396" t="s">
        <v>514</v>
      </c>
      <c r="C9" s="396"/>
      <c r="D9" s="396"/>
      <c r="E9" s="396"/>
      <c r="F9" s="277" t="n">
        <v>1</v>
      </c>
      <c r="G9" s="263" t="n">
        <f aca="false">LOOKUP(G$5,Vatinterface!B:B,Vatinterface!G:G)</f>
        <v>0</v>
      </c>
      <c r="H9" s="159"/>
      <c r="I9" s="268"/>
      <c r="K9" s="323" t="n">
        <f aca="false">Admin!$B$12</f>
        <v>46356</v>
      </c>
    </row>
    <row r="10" customFormat="false" ht="15" hidden="false" customHeight="true" outlineLevel="0" collapsed="false">
      <c r="A10" s="185"/>
      <c r="B10" s="158"/>
      <c r="C10" s="158"/>
      <c r="D10" s="158"/>
      <c r="E10" s="158"/>
      <c r="F10" s="164"/>
      <c r="G10" s="279"/>
      <c r="H10" s="159"/>
      <c r="I10" s="268"/>
      <c r="K10" s="323" t="n">
        <f aca="false">Admin!$B$13</f>
        <v>46387</v>
      </c>
    </row>
    <row r="11" customFormat="false" ht="15" hidden="false" customHeight="true" outlineLevel="0" collapsed="false">
      <c r="A11" s="185"/>
      <c r="B11" s="396" t="s">
        <v>515</v>
      </c>
      <c r="C11" s="396"/>
      <c r="D11" s="396"/>
      <c r="E11" s="396"/>
      <c r="F11" s="277" t="n">
        <v>2</v>
      </c>
      <c r="G11" s="263" t="n">
        <v>0</v>
      </c>
      <c r="H11" s="159"/>
      <c r="I11" s="268"/>
      <c r="K11" s="323" t="n">
        <f aca="false">Admin!$B$14</f>
        <v>46418</v>
      </c>
    </row>
    <row r="12" customFormat="false" ht="15" hidden="false" customHeight="true" outlineLevel="0" collapsed="false">
      <c r="A12" s="185"/>
      <c r="B12" s="158"/>
      <c r="C12" s="158"/>
      <c r="D12" s="158"/>
      <c r="E12" s="158"/>
      <c r="F12" s="164"/>
      <c r="G12" s="279"/>
      <c r="H12" s="159"/>
      <c r="I12" s="268"/>
      <c r="K12" s="323" t="n">
        <f aca="false">Admin!$B$15</f>
        <v>46446</v>
      </c>
    </row>
    <row r="13" customFormat="false" ht="15" hidden="false" customHeight="true" outlineLevel="0" collapsed="false">
      <c r="A13" s="185"/>
      <c r="B13" s="396" t="s">
        <v>514</v>
      </c>
      <c r="C13" s="396"/>
      <c r="D13" s="396"/>
      <c r="E13" s="396"/>
      <c r="F13" s="277" t="n">
        <v>3</v>
      </c>
      <c r="G13" s="263" t="n">
        <f aca="false">G9+G11</f>
        <v>0</v>
      </c>
      <c r="H13" s="159"/>
      <c r="I13" s="268"/>
      <c r="K13" s="323" t="n">
        <f aca="false">Admin!$B$16</f>
        <v>46477</v>
      </c>
    </row>
    <row r="14" customFormat="false" ht="12" hidden="false" customHeight="true" outlineLevel="0" collapsed="false">
      <c r="A14" s="185"/>
      <c r="B14" s="159"/>
      <c r="C14" s="159"/>
      <c r="D14" s="159"/>
      <c r="E14" s="159"/>
      <c r="F14" s="269"/>
      <c r="G14" s="279"/>
      <c r="H14" s="159"/>
      <c r="I14" s="268"/>
      <c r="K14" s="323" t="n">
        <f aca="false">Admin!$B$18</f>
        <v>46507</v>
      </c>
    </row>
    <row r="15" customFormat="false" ht="15" hidden="false" customHeight="true" outlineLevel="0" collapsed="false">
      <c r="A15" s="185"/>
      <c r="B15" s="396" t="s">
        <v>516</v>
      </c>
      <c r="C15" s="396"/>
      <c r="D15" s="396"/>
      <c r="E15" s="396"/>
      <c r="F15" s="277" t="n">
        <v>4</v>
      </c>
      <c r="G15" s="263" t="n">
        <f aca="false">LOOKUP(G$5,Vatinterface!B:B,Vatinterface!K:K)</f>
        <v>0</v>
      </c>
      <c r="H15" s="159"/>
      <c r="I15" s="268"/>
      <c r="K15" s="323" t="n">
        <f aca="false">Admin!$B$19</f>
        <v>46538</v>
      </c>
    </row>
    <row r="16" customFormat="false" ht="12.75" hidden="false" customHeight="false" outlineLevel="0" collapsed="false">
      <c r="A16" s="185"/>
      <c r="B16" s="159"/>
      <c r="C16" s="159"/>
      <c r="D16" s="159"/>
      <c r="E16" s="159"/>
      <c r="F16" s="269"/>
      <c r="G16" s="279"/>
      <c r="H16" s="159"/>
      <c r="I16" s="268"/>
      <c r="K16" s="323"/>
    </row>
    <row r="17" customFormat="false" ht="15" hidden="false" customHeight="true" outlineLevel="0" collapsed="false">
      <c r="A17" s="185"/>
      <c r="B17" s="374" t="str">
        <f aca="false">IF(G17&gt;0,"Net VAT to be PAID to Customs","Net VAT to be RECLIAMED from Customs")</f>
        <v>Net VAT to be RECLIAMED from Customs</v>
      </c>
      <c r="C17" s="374"/>
      <c r="D17" s="374"/>
      <c r="E17" s="374"/>
      <c r="F17" s="277" t="n">
        <v>5</v>
      </c>
      <c r="G17" s="263" t="n">
        <f aca="false">G13-G15</f>
        <v>0</v>
      </c>
      <c r="H17" s="159"/>
      <c r="I17" s="268"/>
      <c r="K17" s="324"/>
    </row>
    <row r="18" customFormat="false" ht="15" hidden="false" customHeight="true" outlineLevel="0" collapsed="false">
      <c r="A18" s="256"/>
      <c r="B18" s="280"/>
      <c r="C18" s="280"/>
      <c r="D18" s="280"/>
      <c r="E18" s="280"/>
      <c r="F18" s="281"/>
      <c r="G18" s="279"/>
      <c r="H18" s="159"/>
      <c r="I18" s="268"/>
    </row>
    <row r="19" customFormat="false" ht="12.75" hidden="false" customHeight="false" outlineLevel="0" collapsed="false">
      <c r="A19" s="259"/>
      <c r="B19" s="397" t="str">
        <f aca="false">IF(LOOKUP(G$5,Vatinterface!B:B,Vatinterface!M:M)&gt;0,"FLAT RATE SCHEME APPLIED"," ")</f>
        <v> </v>
      </c>
      <c r="C19" s="397"/>
      <c r="D19" s="397"/>
      <c r="E19" s="228" t="str">
        <f aca="false">IF(LOOKUP(G$5,Vatinterface!B:B,Vatinterface!M:M)&gt;0,LOOKUP(G$5,Vatinterface!B:B,Vatinterface!M:M)," ")</f>
        <v> </v>
      </c>
      <c r="F19" s="269"/>
      <c r="G19" s="279"/>
      <c r="H19" s="159"/>
      <c r="I19" s="268"/>
    </row>
    <row r="20" customFormat="false" ht="12.75" hidden="false" customHeight="false" outlineLevel="0" collapsed="false">
      <c r="A20" s="256"/>
      <c r="B20" s="253"/>
      <c r="C20" s="253"/>
      <c r="D20" s="253"/>
      <c r="E20" s="255"/>
      <c r="F20" s="269"/>
      <c r="G20" s="279"/>
      <c r="H20" s="159"/>
      <c r="I20" s="268"/>
    </row>
    <row r="21" customFormat="false" ht="15" hidden="false" customHeight="true" outlineLevel="0" collapsed="false">
      <c r="A21" s="185"/>
      <c r="B21" s="396" t="str">
        <f aca="false">IF(LOOKUP(G$5,Vatinterface!B:B,Vatinterface!M:M)&gt;0,"Total value of sales including VAT","Total value of sales excluding VAT")</f>
        <v>Total value of sales excluding VAT</v>
      </c>
      <c r="C21" s="396"/>
      <c r="D21" s="396"/>
      <c r="E21" s="396"/>
      <c r="F21" s="277" t="n">
        <v>6</v>
      </c>
      <c r="G21" s="193" t="n">
        <f aca="false">IF(LOOKUP(G$5,Vatinterface!B:B,Vatinterface!M:M)&gt;0,(LOOKUP(G$5,Vatinterface!B:B,Vatinterface!E:E)+LOOKUP(G$5,Vatinterface!B:B,Vatinterface!G:G)),LOOKUP(G$5,Vatinterface!B:B,Vatinterface!E:E))</f>
        <v>0</v>
      </c>
      <c r="H21" s="159"/>
      <c r="I21" s="268"/>
    </row>
    <row r="22" customFormat="false" ht="12.75" hidden="false" customHeight="false" outlineLevel="0" collapsed="false">
      <c r="A22" s="256"/>
      <c r="B22" s="159"/>
      <c r="C22" s="159"/>
      <c r="D22" s="159"/>
      <c r="E22" s="159"/>
      <c r="F22" s="269"/>
      <c r="G22" s="279"/>
      <c r="H22" s="159"/>
      <c r="I22" s="268"/>
    </row>
    <row r="23" customFormat="false" ht="15" hidden="false" customHeight="true" outlineLevel="0" collapsed="false">
      <c r="A23" s="322"/>
      <c r="B23" s="396" t="s">
        <v>517</v>
      </c>
      <c r="C23" s="396"/>
      <c r="D23" s="396"/>
      <c r="E23" s="396"/>
      <c r="F23" s="277" t="n">
        <v>7</v>
      </c>
      <c r="G23" s="193" t="n">
        <f aca="false">LOOKUP(G$5,Vatinterface!B:B,Vatinterface!I:I)</f>
        <v>0</v>
      </c>
      <c r="H23" s="159"/>
      <c r="I23" s="268"/>
    </row>
    <row r="24" customFormat="false" ht="12.75" hidden="false" customHeight="false" outlineLevel="0" collapsed="false">
      <c r="A24" s="206"/>
      <c r="B24" s="159"/>
      <c r="C24" s="159"/>
      <c r="D24" s="159"/>
      <c r="E24" s="159"/>
      <c r="F24" s="269"/>
      <c r="G24" s="270"/>
      <c r="H24" s="159"/>
      <c r="I24" s="268"/>
    </row>
    <row r="25" customFormat="false" ht="12.75" hidden="false" customHeight="false" outlineLevel="0" collapsed="false">
      <c r="A25" s="186" t="s">
        <v>518</v>
      </c>
      <c r="B25" s="262" t="s">
        <v>519</v>
      </c>
      <c r="C25" s="159"/>
      <c r="D25" s="159"/>
      <c r="E25" s="159"/>
      <c r="F25" s="269"/>
      <c r="G25" s="270"/>
      <c r="H25" s="159"/>
      <c r="I25" s="268"/>
    </row>
    <row r="26" customFormat="false" ht="12.75" hidden="false" customHeight="false" outlineLevel="0" collapsed="false">
      <c r="A26" s="286"/>
      <c r="B26" s="262" t="s">
        <v>520</v>
      </c>
      <c r="C26" s="159"/>
      <c r="D26" s="159"/>
      <c r="E26" s="159"/>
      <c r="F26" s="269"/>
      <c r="G26" s="270"/>
      <c r="H26" s="159"/>
      <c r="I26" s="268"/>
    </row>
    <row r="27" customFormat="false" ht="12.75" hidden="false" customHeight="false" outlineLevel="0" collapsed="false">
      <c r="A27" s="206"/>
      <c r="B27" s="159"/>
      <c r="C27" s="159"/>
      <c r="D27" s="159"/>
      <c r="E27" s="159"/>
      <c r="F27" s="269"/>
      <c r="G27" s="270"/>
      <c r="H27" s="159"/>
      <c r="I27" s="268"/>
    </row>
    <row r="28" customFormat="false" ht="12.75" hidden="false" customHeight="false" outlineLevel="0" collapsed="false">
      <c r="A28" s="287" t="s">
        <v>521</v>
      </c>
      <c r="B28" s="159"/>
      <c r="C28" s="159"/>
      <c r="D28" s="159"/>
      <c r="E28" s="159"/>
      <c r="F28" s="269"/>
      <c r="G28" s="270"/>
      <c r="H28" s="159"/>
      <c r="I28" s="268"/>
    </row>
    <row r="29" customFormat="false" ht="12.75" hidden="false" customHeight="false" outlineLevel="0" collapsed="false">
      <c r="A29" s="289" t="s">
        <v>522</v>
      </c>
      <c r="B29" s="159"/>
      <c r="C29" s="159"/>
      <c r="D29" s="159"/>
      <c r="E29" s="159"/>
      <c r="F29" s="269"/>
      <c r="G29" s="270"/>
      <c r="H29" s="159"/>
      <c r="I29" s="268"/>
    </row>
    <row r="30" customFormat="false" ht="12.75" hidden="false" customHeight="false" outlineLevel="0" collapsed="false">
      <c r="A30" s="289" t="s">
        <v>523</v>
      </c>
      <c r="B30" s="159"/>
      <c r="C30" s="159"/>
      <c r="D30" s="159"/>
      <c r="E30" s="159"/>
      <c r="F30" s="269"/>
      <c r="G30" s="270"/>
      <c r="H30" s="159"/>
      <c r="I30" s="268"/>
    </row>
    <row r="31" customFormat="false" ht="12.75" hidden="false" customHeight="false" outlineLevel="0" collapsed="false">
      <c r="A31" s="289" t="s">
        <v>524</v>
      </c>
      <c r="B31" s="159"/>
      <c r="C31" s="159"/>
      <c r="D31" s="159"/>
      <c r="E31" s="159"/>
      <c r="F31" s="269"/>
      <c r="G31" s="270"/>
      <c r="H31" s="159"/>
      <c r="I31" s="268"/>
    </row>
    <row r="32" customFormat="false" ht="6" hidden="false" customHeight="true" outlineLevel="0" collapsed="false">
      <c r="A32" s="290"/>
      <c r="B32" s="291"/>
      <c r="C32" s="291"/>
      <c r="D32" s="291"/>
      <c r="E32" s="291"/>
      <c r="F32" s="292"/>
      <c r="G32" s="293"/>
      <c r="H32" s="291"/>
      <c r="I32" s="294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</oddHeader>
    <oddFooter>&amp;L&amp;D  &amp;T&amp;C&amp;P  of  &amp;N&amp;R&amp;F  &amp;A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8" width="7.5"/>
    <col collapsed="false" customWidth="true" hidden="false" outlineLevel="0" max="2" min="2" style="208" width="14.66"/>
    <col collapsed="false" customWidth="true" hidden="false" outlineLevel="0" max="4" min="3" style="208" width="9.66"/>
    <col collapsed="false" customWidth="true" hidden="false" outlineLevel="0" max="5" min="5" style="208" width="9.99"/>
    <col collapsed="false" customWidth="true" hidden="false" outlineLevel="0" max="6" min="6" style="295" width="4.66"/>
    <col collapsed="false" customWidth="true" hidden="false" outlineLevel="0" max="7" min="7" style="296" width="24.82"/>
    <col collapsed="false" customWidth="true" hidden="false" outlineLevel="0" max="8" min="8" style="208" width="9.49"/>
    <col collapsed="false" customWidth="true" hidden="false" outlineLevel="0" max="9" min="9" style="208" width="3.66"/>
    <col collapsed="false" customWidth="false" hidden="false" outlineLevel="0" max="10" min="10" style="208" width="9.15"/>
    <col collapsed="false" customWidth="true" hidden="true" outlineLevel="0" max="11" min="11" style="299" width="16.32"/>
    <col collapsed="false" customWidth="false" hidden="false" outlineLevel="0" max="12" min="12" style="299" width="9.15"/>
    <col collapsed="false" customWidth="false" hidden="false" outlineLevel="0" max="257" min="13" style="208" width="9.15"/>
  </cols>
  <sheetData>
    <row r="1" customFormat="false" ht="9" hidden="false" customHeight="true" outlineLevel="0" collapsed="false">
      <c r="A1" s="326"/>
      <c r="B1" s="249"/>
      <c r="C1" s="249"/>
      <c r="D1" s="249"/>
      <c r="E1" s="249"/>
      <c r="F1" s="327"/>
      <c r="G1" s="210"/>
      <c r="H1" s="249"/>
      <c r="I1" s="207"/>
    </row>
    <row r="2" customFormat="false" ht="12.75" hidden="false" customHeight="true" outlineLevel="0" collapsed="false">
      <c r="A2" s="325"/>
      <c r="B2" s="393" t="s">
        <v>509</v>
      </c>
      <c r="C2" s="393"/>
      <c r="D2" s="393"/>
      <c r="E2" s="393"/>
      <c r="F2" s="393"/>
      <c r="G2" s="270"/>
      <c r="H2" s="159"/>
      <c r="I2" s="268"/>
      <c r="K2" s="323" t="n">
        <f aca="false">Admin!$B$5</f>
        <v>46142</v>
      </c>
    </row>
    <row r="3" customFormat="false" ht="12.75" hidden="false" customHeight="false" outlineLevel="0" collapsed="false">
      <c r="A3" s="206"/>
      <c r="B3" s="297"/>
      <c r="C3" s="265"/>
      <c r="D3" s="266"/>
      <c r="E3" s="157" t="s">
        <v>510</v>
      </c>
      <c r="F3" s="159"/>
      <c r="G3" s="154"/>
      <c r="H3" s="267"/>
      <c r="I3" s="268"/>
      <c r="K3" s="323" t="n">
        <f aca="false">Admin!$B$6</f>
        <v>46173</v>
      </c>
    </row>
    <row r="4" customFormat="false" ht="16.5" hidden="false" customHeight="true" outlineLevel="0" collapsed="false">
      <c r="A4" s="206"/>
      <c r="B4" s="394" t="s">
        <v>511</v>
      </c>
      <c r="C4" s="394"/>
      <c r="D4" s="264"/>
      <c r="E4" s="264"/>
      <c r="F4" s="269"/>
      <c r="G4" s="270"/>
      <c r="H4" s="159"/>
      <c r="I4" s="268"/>
      <c r="K4" s="323" t="n">
        <f aca="false">Admin!$B$7</f>
        <v>46203</v>
      </c>
    </row>
    <row r="5" customFormat="false" ht="23.85" hidden="false" customHeight="true" outlineLevel="0" collapsed="false">
      <c r="A5" s="206"/>
      <c r="B5" s="394"/>
      <c r="C5" s="394"/>
      <c r="D5" s="159"/>
      <c r="E5" s="395" t="s">
        <v>512</v>
      </c>
      <c r="F5" s="395"/>
      <c r="G5" s="298" t="n">
        <v>46507</v>
      </c>
      <c r="H5" s="159"/>
      <c r="I5" s="268"/>
      <c r="K5" s="323" t="n">
        <f aca="false">Admin!$B$8</f>
        <v>46234</v>
      </c>
    </row>
    <row r="6" customFormat="false" ht="13.5" hidden="false" customHeight="true" outlineLevel="0" collapsed="false">
      <c r="A6" s="206"/>
      <c r="B6" s="394"/>
      <c r="C6" s="394"/>
      <c r="D6" s="159"/>
      <c r="E6" s="271"/>
      <c r="F6" s="272"/>
      <c r="G6" s="274"/>
      <c r="H6" s="159"/>
      <c r="I6" s="268"/>
      <c r="K6" s="323" t="n">
        <f aca="false">Admin!$B$9</f>
        <v>46265</v>
      </c>
    </row>
    <row r="7" customFormat="false" ht="13.5" hidden="false" customHeight="true" outlineLevel="0" collapsed="false">
      <c r="A7" s="206"/>
      <c r="B7" s="394"/>
      <c r="C7" s="394"/>
      <c r="D7" s="159"/>
      <c r="E7" s="370" t="s">
        <v>513</v>
      </c>
      <c r="F7" s="370"/>
      <c r="G7" s="275" t="n">
        <f aca="false">LOOKUP(G$5,Vatinterface!B:B,Vatinterface!C:C)</f>
        <v>46538</v>
      </c>
      <c r="H7" s="159"/>
      <c r="I7" s="268"/>
      <c r="K7" s="323" t="n">
        <f aca="false">Admin!$B$10</f>
        <v>46295</v>
      </c>
    </row>
    <row r="8" customFormat="false" ht="12.75" hidden="false" customHeight="false" outlineLevel="0" collapsed="false">
      <c r="A8" s="206"/>
      <c r="B8" s="159"/>
      <c r="C8" s="159"/>
      <c r="D8" s="159"/>
      <c r="E8" s="159"/>
      <c r="F8" s="276"/>
      <c r="G8" s="270"/>
      <c r="H8" s="159"/>
      <c r="I8" s="268"/>
      <c r="K8" s="323" t="n">
        <f aca="false">Admin!$B$11</f>
        <v>46326</v>
      </c>
    </row>
    <row r="9" customFormat="false" ht="15" hidden="false" customHeight="true" outlineLevel="0" collapsed="false">
      <c r="A9" s="322"/>
      <c r="B9" s="396" t="s">
        <v>514</v>
      </c>
      <c r="C9" s="396"/>
      <c r="D9" s="396"/>
      <c r="E9" s="396"/>
      <c r="F9" s="277" t="n">
        <v>1</v>
      </c>
      <c r="G9" s="263" t="n">
        <f aca="false">LOOKUP(G$5,Vatinterface!B:B,Vatinterface!G:G)</f>
        <v>0</v>
      </c>
      <c r="H9" s="159"/>
      <c r="I9" s="268"/>
      <c r="K9" s="323" t="n">
        <f aca="false">Admin!$B$12</f>
        <v>46356</v>
      </c>
    </row>
    <row r="10" customFormat="false" ht="15" hidden="false" customHeight="true" outlineLevel="0" collapsed="false">
      <c r="A10" s="185"/>
      <c r="B10" s="158"/>
      <c r="C10" s="158"/>
      <c r="D10" s="158"/>
      <c r="E10" s="158"/>
      <c r="F10" s="164"/>
      <c r="G10" s="279"/>
      <c r="H10" s="159"/>
      <c r="I10" s="268"/>
      <c r="K10" s="323" t="n">
        <f aca="false">Admin!$B$13</f>
        <v>46387</v>
      </c>
    </row>
    <row r="11" customFormat="false" ht="15" hidden="false" customHeight="true" outlineLevel="0" collapsed="false">
      <c r="A11" s="185"/>
      <c r="B11" s="396" t="s">
        <v>515</v>
      </c>
      <c r="C11" s="396"/>
      <c r="D11" s="396"/>
      <c r="E11" s="396"/>
      <c r="F11" s="277" t="n">
        <v>2</v>
      </c>
      <c r="G11" s="263" t="n">
        <v>0</v>
      </c>
      <c r="H11" s="159"/>
      <c r="I11" s="268"/>
      <c r="K11" s="323" t="n">
        <f aca="false">Admin!$B$14</f>
        <v>46418</v>
      </c>
    </row>
    <row r="12" customFormat="false" ht="15" hidden="false" customHeight="true" outlineLevel="0" collapsed="false">
      <c r="A12" s="185"/>
      <c r="B12" s="158"/>
      <c r="C12" s="158"/>
      <c r="D12" s="158"/>
      <c r="E12" s="158"/>
      <c r="F12" s="164"/>
      <c r="G12" s="279"/>
      <c r="H12" s="159"/>
      <c r="I12" s="268"/>
      <c r="K12" s="323" t="n">
        <f aca="false">Admin!$B$15</f>
        <v>46446</v>
      </c>
    </row>
    <row r="13" customFormat="false" ht="15" hidden="false" customHeight="true" outlineLevel="0" collapsed="false">
      <c r="A13" s="185"/>
      <c r="B13" s="396" t="s">
        <v>514</v>
      </c>
      <c r="C13" s="396"/>
      <c r="D13" s="396"/>
      <c r="E13" s="396"/>
      <c r="F13" s="277" t="n">
        <v>3</v>
      </c>
      <c r="G13" s="263" t="n">
        <f aca="false">G9+G11</f>
        <v>0</v>
      </c>
      <c r="H13" s="159"/>
      <c r="I13" s="268"/>
      <c r="K13" s="323" t="n">
        <f aca="false">Admin!$B$16</f>
        <v>46477</v>
      </c>
    </row>
    <row r="14" customFormat="false" ht="12" hidden="false" customHeight="true" outlineLevel="0" collapsed="false">
      <c r="A14" s="185"/>
      <c r="B14" s="159"/>
      <c r="C14" s="159"/>
      <c r="D14" s="159"/>
      <c r="E14" s="159"/>
      <c r="F14" s="269"/>
      <c r="G14" s="279"/>
      <c r="H14" s="159"/>
      <c r="I14" s="268"/>
      <c r="K14" s="323" t="n">
        <f aca="false">Admin!$B$18</f>
        <v>46507</v>
      </c>
    </row>
    <row r="15" customFormat="false" ht="15" hidden="false" customHeight="true" outlineLevel="0" collapsed="false">
      <c r="A15" s="185"/>
      <c r="B15" s="396" t="s">
        <v>516</v>
      </c>
      <c r="C15" s="396"/>
      <c r="D15" s="396"/>
      <c r="E15" s="396"/>
      <c r="F15" s="277" t="n">
        <v>4</v>
      </c>
      <c r="G15" s="263" t="n">
        <f aca="false">LOOKUP(G$5,Vatinterface!B:B,Vatinterface!K:K)</f>
        <v>0</v>
      </c>
      <c r="H15" s="159"/>
      <c r="I15" s="268"/>
      <c r="K15" s="323" t="n">
        <f aca="false">Admin!$B$19</f>
        <v>46538</v>
      </c>
    </row>
    <row r="16" customFormat="false" ht="12.75" hidden="false" customHeight="false" outlineLevel="0" collapsed="false">
      <c r="A16" s="185"/>
      <c r="B16" s="159"/>
      <c r="C16" s="159"/>
      <c r="D16" s="159"/>
      <c r="E16" s="159"/>
      <c r="F16" s="269"/>
      <c r="G16" s="279"/>
      <c r="H16" s="159"/>
      <c r="I16" s="268"/>
      <c r="K16" s="323"/>
    </row>
    <row r="17" customFormat="false" ht="15" hidden="false" customHeight="true" outlineLevel="0" collapsed="false">
      <c r="A17" s="185"/>
      <c r="B17" s="374" t="str">
        <f aca="false">IF(G17&gt;0,"Net VAT to be PAID to Customs","Net VAT to be RECLIAMED from Customs")</f>
        <v>Net VAT to be RECLIAMED from Customs</v>
      </c>
      <c r="C17" s="374"/>
      <c r="D17" s="374"/>
      <c r="E17" s="374"/>
      <c r="F17" s="277" t="n">
        <v>5</v>
      </c>
      <c r="G17" s="263" t="n">
        <f aca="false">G13-G15</f>
        <v>0</v>
      </c>
      <c r="H17" s="159"/>
      <c r="I17" s="268"/>
      <c r="K17" s="324"/>
    </row>
    <row r="18" customFormat="false" ht="15" hidden="false" customHeight="true" outlineLevel="0" collapsed="false">
      <c r="A18" s="256"/>
      <c r="B18" s="280"/>
      <c r="C18" s="280"/>
      <c r="D18" s="280"/>
      <c r="E18" s="280"/>
      <c r="F18" s="281"/>
      <c r="G18" s="279"/>
      <c r="H18" s="159"/>
      <c r="I18" s="268"/>
    </row>
    <row r="19" customFormat="false" ht="12.75" hidden="false" customHeight="false" outlineLevel="0" collapsed="false">
      <c r="A19" s="259"/>
      <c r="B19" s="397" t="str">
        <f aca="false">IF(LOOKUP(G$5,Vatinterface!B:B,Vatinterface!M:M)&gt;0,"FLAT RATE SCHEME APPLIED"," ")</f>
        <v> </v>
      </c>
      <c r="C19" s="397"/>
      <c r="D19" s="397"/>
      <c r="E19" s="228" t="str">
        <f aca="false">IF(LOOKUP(G$5,Vatinterface!B:B,Vatinterface!M:M)&gt;0,LOOKUP(G$5,Vatinterface!B:B,Vatinterface!M:M)," ")</f>
        <v> </v>
      </c>
      <c r="F19" s="269"/>
      <c r="G19" s="279"/>
      <c r="H19" s="159"/>
      <c r="I19" s="268"/>
    </row>
    <row r="20" customFormat="false" ht="12.75" hidden="false" customHeight="false" outlineLevel="0" collapsed="false">
      <c r="A20" s="256"/>
      <c r="B20" s="253"/>
      <c r="C20" s="253"/>
      <c r="D20" s="253"/>
      <c r="E20" s="255"/>
      <c r="F20" s="269"/>
      <c r="G20" s="279"/>
      <c r="H20" s="159"/>
      <c r="I20" s="268"/>
    </row>
    <row r="21" customFormat="false" ht="15" hidden="false" customHeight="true" outlineLevel="0" collapsed="false">
      <c r="A21" s="185"/>
      <c r="B21" s="396" t="str">
        <f aca="false">IF(LOOKUP(G$5,Vatinterface!B:B,Vatinterface!M:M)&gt;0,"Total value of sales including VAT","Total value of sales excluding VAT")</f>
        <v>Total value of sales excluding VAT</v>
      </c>
      <c r="C21" s="396"/>
      <c r="D21" s="396"/>
      <c r="E21" s="396"/>
      <c r="F21" s="277" t="n">
        <v>6</v>
      </c>
      <c r="G21" s="193" t="n">
        <f aca="false">IF(LOOKUP(G$5,Vatinterface!B:B,Vatinterface!M:M)&gt;0,(LOOKUP(G$5,Vatinterface!B:B,Vatinterface!E:E)+LOOKUP(G$5,Vatinterface!B:B,Vatinterface!G:G)),LOOKUP(G$5,Vatinterface!B:B,Vatinterface!E:E))</f>
        <v>0</v>
      </c>
      <c r="H21" s="159"/>
      <c r="I21" s="268"/>
    </row>
    <row r="22" customFormat="false" ht="12.75" hidden="false" customHeight="false" outlineLevel="0" collapsed="false">
      <c r="A22" s="256"/>
      <c r="B22" s="159"/>
      <c r="C22" s="159"/>
      <c r="D22" s="159"/>
      <c r="E22" s="159"/>
      <c r="F22" s="269"/>
      <c r="G22" s="279"/>
      <c r="H22" s="159"/>
      <c r="I22" s="268"/>
    </row>
    <row r="23" customFormat="false" ht="15" hidden="false" customHeight="true" outlineLevel="0" collapsed="false">
      <c r="A23" s="322"/>
      <c r="B23" s="396" t="s">
        <v>517</v>
      </c>
      <c r="C23" s="396"/>
      <c r="D23" s="396"/>
      <c r="E23" s="396"/>
      <c r="F23" s="277" t="n">
        <v>7</v>
      </c>
      <c r="G23" s="193" t="n">
        <f aca="false">LOOKUP(G$5,Vatinterface!B:B,Vatinterface!I:I)</f>
        <v>0</v>
      </c>
      <c r="H23" s="159"/>
      <c r="I23" s="268"/>
    </row>
    <row r="24" customFormat="false" ht="12.75" hidden="false" customHeight="false" outlineLevel="0" collapsed="false">
      <c r="A24" s="206"/>
      <c r="B24" s="159"/>
      <c r="C24" s="159"/>
      <c r="D24" s="159"/>
      <c r="E24" s="159"/>
      <c r="F24" s="269"/>
      <c r="G24" s="270"/>
      <c r="H24" s="159"/>
      <c r="I24" s="268"/>
    </row>
    <row r="25" customFormat="false" ht="12.75" hidden="false" customHeight="false" outlineLevel="0" collapsed="false">
      <c r="A25" s="186" t="s">
        <v>518</v>
      </c>
      <c r="B25" s="262" t="s">
        <v>519</v>
      </c>
      <c r="C25" s="159"/>
      <c r="D25" s="159"/>
      <c r="E25" s="159"/>
      <c r="F25" s="269"/>
      <c r="G25" s="270"/>
      <c r="H25" s="159"/>
      <c r="I25" s="268"/>
    </row>
    <row r="26" customFormat="false" ht="12.75" hidden="false" customHeight="false" outlineLevel="0" collapsed="false">
      <c r="A26" s="286"/>
      <c r="B26" s="262" t="s">
        <v>520</v>
      </c>
      <c r="C26" s="159"/>
      <c r="D26" s="159"/>
      <c r="E26" s="159"/>
      <c r="F26" s="269"/>
      <c r="G26" s="270"/>
      <c r="H26" s="159"/>
      <c r="I26" s="268"/>
    </row>
    <row r="27" customFormat="false" ht="12.75" hidden="false" customHeight="false" outlineLevel="0" collapsed="false">
      <c r="A27" s="206"/>
      <c r="B27" s="159"/>
      <c r="C27" s="159"/>
      <c r="D27" s="159"/>
      <c r="E27" s="159"/>
      <c r="F27" s="269"/>
      <c r="G27" s="270"/>
      <c r="H27" s="159"/>
      <c r="I27" s="268"/>
    </row>
    <row r="28" customFormat="false" ht="12.75" hidden="false" customHeight="false" outlineLevel="0" collapsed="false">
      <c r="A28" s="287" t="s">
        <v>521</v>
      </c>
      <c r="B28" s="159"/>
      <c r="C28" s="159"/>
      <c r="D28" s="159"/>
      <c r="E28" s="159"/>
      <c r="F28" s="269"/>
      <c r="G28" s="270"/>
      <c r="H28" s="159"/>
      <c r="I28" s="268"/>
    </row>
    <row r="29" customFormat="false" ht="12.75" hidden="false" customHeight="false" outlineLevel="0" collapsed="false">
      <c r="A29" s="289" t="s">
        <v>522</v>
      </c>
      <c r="B29" s="159"/>
      <c r="C29" s="159"/>
      <c r="D29" s="159"/>
      <c r="E29" s="159"/>
      <c r="F29" s="269"/>
      <c r="G29" s="270"/>
      <c r="H29" s="159"/>
      <c r="I29" s="268"/>
    </row>
    <row r="30" customFormat="false" ht="12.75" hidden="false" customHeight="false" outlineLevel="0" collapsed="false">
      <c r="A30" s="289" t="s">
        <v>523</v>
      </c>
      <c r="B30" s="159"/>
      <c r="C30" s="159"/>
      <c r="D30" s="159"/>
      <c r="E30" s="159"/>
      <c r="F30" s="269"/>
      <c r="G30" s="270"/>
      <c r="H30" s="159"/>
      <c r="I30" s="268"/>
    </row>
    <row r="31" customFormat="false" ht="12.75" hidden="false" customHeight="false" outlineLevel="0" collapsed="false">
      <c r="A31" s="289" t="s">
        <v>524</v>
      </c>
      <c r="B31" s="159"/>
      <c r="C31" s="159"/>
      <c r="D31" s="159"/>
      <c r="E31" s="159"/>
      <c r="F31" s="269"/>
      <c r="G31" s="270"/>
      <c r="H31" s="159"/>
      <c r="I31" s="268"/>
    </row>
    <row r="32" customFormat="false" ht="6" hidden="false" customHeight="true" outlineLevel="0" collapsed="false">
      <c r="A32" s="290"/>
      <c r="B32" s="291"/>
      <c r="C32" s="291"/>
      <c r="D32" s="291"/>
      <c r="E32" s="291"/>
      <c r="F32" s="292"/>
      <c r="G32" s="293"/>
      <c r="H32" s="291"/>
      <c r="I32" s="294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</oddHeader>
    <oddFooter>&amp;L&amp;D  &amp;T&amp;C&amp;P  of  &amp;N&amp;R&amp;F  &amp;A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8" width="7.5"/>
    <col collapsed="false" customWidth="true" hidden="false" outlineLevel="0" max="2" min="2" style="208" width="14.66"/>
    <col collapsed="false" customWidth="true" hidden="false" outlineLevel="0" max="4" min="3" style="208" width="9.66"/>
    <col collapsed="false" customWidth="true" hidden="false" outlineLevel="0" max="5" min="5" style="208" width="9.99"/>
    <col collapsed="false" customWidth="true" hidden="false" outlineLevel="0" max="6" min="6" style="295" width="4.66"/>
    <col collapsed="false" customWidth="true" hidden="false" outlineLevel="0" max="7" min="7" style="296" width="24.82"/>
    <col collapsed="false" customWidth="true" hidden="false" outlineLevel="0" max="8" min="8" style="208" width="9.49"/>
    <col collapsed="false" customWidth="true" hidden="false" outlineLevel="0" max="9" min="9" style="208" width="3.66"/>
    <col collapsed="false" customWidth="false" hidden="false" outlineLevel="0" max="10" min="10" style="208" width="9.15"/>
    <col collapsed="false" customWidth="true" hidden="true" outlineLevel="0" max="11" min="11" style="299" width="16.32"/>
    <col collapsed="false" customWidth="false" hidden="false" outlineLevel="0" max="12" min="12" style="299" width="9.15"/>
    <col collapsed="false" customWidth="false" hidden="false" outlineLevel="0" max="257" min="13" style="208" width="9.15"/>
  </cols>
  <sheetData>
    <row r="1" customFormat="false" ht="9" hidden="false" customHeight="true" outlineLevel="0" collapsed="false">
      <c r="A1" s="326"/>
      <c r="B1" s="249"/>
      <c r="C1" s="249"/>
      <c r="D1" s="249"/>
      <c r="E1" s="249"/>
      <c r="F1" s="327"/>
      <c r="G1" s="210"/>
      <c r="H1" s="249"/>
      <c r="I1" s="207"/>
    </row>
    <row r="2" customFormat="false" ht="12.75" hidden="false" customHeight="true" outlineLevel="0" collapsed="false">
      <c r="A2" s="325"/>
      <c r="B2" s="393" t="s">
        <v>509</v>
      </c>
      <c r="C2" s="393"/>
      <c r="D2" s="393"/>
      <c r="E2" s="393"/>
      <c r="F2" s="393"/>
      <c r="G2" s="270"/>
      <c r="H2" s="159"/>
      <c r="I2" s="268"/>
      <c r="K2" s="323" t="n">
        <f aca="false">Admin!$B$5</f>
        <v>46142</v>
      </c>
    </row>
    <row r="3" customFormat="false" ht="12.75" hidden="false" customHeight="false" outlineLevel="0" collapsed="false">
      <c r="A3" s="206"/>
      <c r="B3" s="297"/>
      <c r="C3" s="265"/>
      <c r="D3" s="266"/>
      <c r="E3" s="157" t="s">
        <v>510</v>
      </c>
      <c r="F3" s="159"/>
      <c r="G3" s="154"/>
      <c r="H3" s="267"/>
      <c r="I3" s="268"/>
      <c r="K3" s="323" t="n">
        <f aca="false">Admin!$B$6</f>
        <v>46173</v>
      </c>
    </row>
    <row r="4" customFormat="false" ht="16.5" hidden="false" customHeight="true" outlineLevel="0" collapsed="false">
      <c r="A4" s="206"/>
      <c r="B4" s="394" t="s">
        <v>511</v>
      </c>
      <c r="C4" s="394"/>
      <c r="D4" s="264"/>
      <c r="E4" s="264"/>
      <c r="F4" s="269"/>
      <c r="G4" s="270"/>
      <c r="H4" s="159"/>
      <c r="I4" s="268"/>
      <c r="K4" s="323" t="n">
        <f aca="false">Admin!$B$7</f>
        <v>46203</v>
      </c>
    </row>
    <row r="5" customFormat="false" ht="23.85" hidden="false" customHeight="true" outlineLevel="0" collapsed="false">
      <c r="A5" s="206"/>
      <c r="B5" s="394"/>
      <c r="C5" s="394"/>
      <c r="D5" s="159"/>
      <c r="E5" s="395" t="s">
        <v>512</v>
      </c>
      <c r="F5" s="395"/>
      <c r="G5" s="298" t="n">
        <v>46538</v>
      </c>
      <c r="H5" s="159"/>
      <c r="I5" s="268"/>
      <c r="K5" s="323" t="n">
        <f aca="false">Admin!$B$8</f>
        <v>46234</v>
      </c>
    </row>
    <row r="6" customFormat="false" ht="13.5" hidden="false" customHeight="true" outlineLevel="0" collapsed="false">
      <c r="A6" s="206"/>
      <c r="B6" s="394"/>
      <c r="C6" s="394"/>
      <c r="D6" s="159"/>
      <c r="E6" s="271"/>
      <c r="F6" s="272"/>
      <c r="G6" s="274"/>
      <c r="H6" s="159"/>
      <c r="I6" s="268"/>
      <c r="K6" s="323" t="n">
        <f aca="false">Admin!$B$9</f>
        <v>46265</v>
      </c>
    </row>
    <row r="7" customFormat="false" ht="13.5" hidden="false" customHeight="true" outlineLevel="0" collapsed="false">
      <c r="A7" s="206"/>
      <c r="B7" s="394"/>
      <c r="C7" s="394"/>
      <c r="D7" s="159"/>
      <c r="E7" s="370" t="s">
        <v>513</v>
      </c>
      <c r="F7" s="370"/>
      <c r="G7" s="275" t="n">
        <f aca="false">LOOKUP(G$5,Vatinterface!B:B,Vatinterface!C:C)</f>
        <v>46568</v>
      </c>
      <c r="H7" s="159"/>
      <c r="I7" s="268"/>
      <c r="K7" s="323" t="n">
        <f aca="false">Admin!$B$10</f>
        <v>46295</v>
      </c>
    </row>
    <row r="8" customFormat="false" ht="12.75" hidden="false" customHeight="false" outlineLevel="0" collapsed="false">
      <c r="A8" s="206"/>
      <c r="B8" s="159"/>
      <c r="C8" s="159"/>
      <c r="D8" s="159"/>
      <c r="E8" s="159"/>
      <c r="F8" s="276"/>
      <c r="G8" s="270"/>
      <c r="H8" s="159"/>
      <c r="I8" s="268"/>
      <c r="K8" s="323" t="n">
        <f aca="false">Admin!$B$11</f>
        <v>46326</v>
      </c>
    </row>
    <row r="9" customFormat="false" ht="15" hidden="false" customHeight="true" outlineLevel="0" collapsed="false">
      <c r="A9" s="322"/>
      <c r="B9" s="396" t="s">
        <v>514</v>
      </c>
      <c r="C9" s="396"/>
      <c r="D9" s="396"/>
      <c r="E9" s="396"/>
      <c r="F9" s="277" t="n">
        <v>1</v>
      </c>
      <c r="G9" s="263" t="n">
        <f aca="false">LOOKUP(G$5,Vatinterface!B:B,Vatinterface!G:G)</f>
        <v>0</v>
      </c>
      <c r="H9" s="159"/>
      <c r="I9" s="268"/>
      <c r="K9" s="323" t="n">
        <f aca="false">Admin!$B$12</f>
        <v>46356</v>
      </c>
    </row>
    <row r="10" customFormat="false" ht="15" hidden="false" customHeight="true" outlineLevel="0" collapsed="false">
      <c r="A10" s="185"/>
      <c r="B10" s="158"/>
      <c r="C10" s="158"/>
      <c r="D10" s="158"/>
      <c r="E10" s="158"/>
      <c r="F10" s="164"/>
      <c r="G10" s="279"/>
      <c r="H10" s="159"/>
      <c r="I10" s="268"/>
      <c r="K10" s="323" t="n">
        <f aca="false">Admin!$B$13</f>
        <v>46387</v>
      </c>
    </row>
    <row r="11" customFormat="false" ht="15" hidden="false" customHeight="true" outlineLevel="0" collapsed="false">
      <c r="A11" s="185"/>
      <c r="B11" s="396" t="s">
        <v>515</v>
      </c>
      <c r="C11" s="396"/>
      <c r="D11" s="396"/>
      <c r="E11" s="396"/>
      <c r="F11" s="277" t="n">
        <v>2</v>
      </c>
      <c r="G11" s="263" t="n">
        <v>0</v>
      </c>
      <c r="H11" s="159"/>
      <c r="I11" s="268"/>
      <c r="K11" s="323" t="n">
        <f aca="false">Admin!$B$14</f>
        <v>46418</v>
      </c>
    </row>
    <row r="12" customFormat="false" ht="15" hidden="false" customHeight="true" outlineLevel="0" collapsed="false">
      <c r="A12" s="185"/>
      <c r="B12" s="158"/>
      <c r="C12" s="158"/>
      <c r="D12" s="158"/>
      <c r="E12" s="158"/>
      <c r="F12" s="164"/>
      <c r="G12" s="279"/>
      <c r="H12" s="159"/>
      <c r="I12" s="268"/>
      <c r="K12" s="323" t="n">
        <f aca="false">Admin!$B$15</f>
        <v>46446</v>
      </c>
    </row>
    <row r="13" customFormat="false" ht="15" hidden="false" customHeight="true" outlineLevel="0" collapsed="false">
      <c r="A13" s="185"/>
      <c r="B13" s="396" t="s">
        <v>514</v>
      </c>
      <c r="C13" s="396"/>
      <c r="D13" s="396"/>
      <c r="E13" s="396"/>
      <c r="F13" s="277" t="n">
        <v>3</v>
      </c>
      <c r="G13" s="263" t="n">
        <f aca="false">G9+G11</f>
        <v>0</v>
      </c>
      <c r="H13" s="159"/>
      <c r="I13" s="268"/>
      <c r="K13" s="323" t="n">
        <f aca="false">Admin!$B$16</f>
        <v>46477</v>
      </c>
    </row>
    <row r="14" customFormat="false" ht="12" hidden="false" customHeight="true" outlineLevel="0" collapsed="false">
      <c r="A14" s="185"/>
      <c r="B14" s="159"/>
      <c r="C14" s="159"/>
      <c r="D14" s="159"/>
      <c r="E14" s="159"/>
      <c r="F14" s="269"/>
      <c r="G14" s="279"/>
      <c r="H14" s="159"/>
      <c r="I14" s="268"/>
      <c r="K14" s="323" t="n">
        <f aca="false">Admin!$B$18</f>
        <v>46507</v>
      </c>
    </row>
    <row r="15" customFormat="false" ht="15" hidden="false" customHeight="true" outlineLevel="0" collapsed="false">
      <c r="A15" s="185"/>
      <c r="B15" s="396" t="s">
        <v>516</v>
      </c>
      <c r="C15" s="396"/>
      <c r="D15" s="396"/>
      <c r="E15" s="396"/>
      <c r="F15" s="277" t="n">
        <v>4</v>
      </c>
      <c r="G15" s="263" t="n">
        <f aca="false">LOOKUP(G$5,Vatinterface!B:B,Vatinterface!K:K)</f>
        <v>0</v>
      </c>
      <c r="H15" s="159"/>
      <c r="I15" s="268"/>
      <c r="K15" s="323" t="n">
        <f aca="false">Admin!$B$19</f>
        <v>46538</v>
      </c>
    </row>
    <row r="16" customFormat="false" ht="12.75" hidden="false" customHeight="false" outlineLevel="0" collapsed="false">
      <c r="A16" s="185"/>
      <c r="B16" s="159"/>
      <c r="C16" s="159"/>
      <c r="D16" s="159"/>
      <c r="E16" s="159"/>
      <c r="F16" s="269"/>
      <c r="G16" s="279"/>
      <c r="H16" s="159"/>
      <c r="I16" s="268"/>
      <c r="K16" s="323"/>
    </row>
    <row r="17" customFormat="false" ht="15" hidden="false" customHeight="true" outlineLevel="0" collapsed="false">
      <c r="A17" s="185"/>
      <c r="B17" s="374" t="str">
        <f aca="false">IF(G17&gt;0,"Net VAT to be PAID to Customs","Net VAT to be RECLIAMED from Customs")</f>
        <v>Net VAT to be RECLIAMED from Customs</v>
      </c>
      <c r="C17" s="374"/>
      <c r="D17" s="374"/>
      <c r="E17" s="374"/>
      <c r="F17" s="277" t="n">
        <v>5</v>
      </c>
      <c r="G17" s="263" t="n">
        <f aca="false">G13-G15</f>
        <v>0</v>
      </c>
      <c r="H17" s="159"/>
      <c r="I17" s="268"/>
      <c r="K17" s="324"/>
    </row>
    <row r="18" customFormat="false" ht="15" hidden="false" customHeight="true" outlineLevel="0" collapsed="false">
      <c r="A18" s="256"/>
      <c r="B18" s="280"/>
      <c r="C18" s="280"/>
      <c r="D18" s="280"/>
      <c r="E18" s="280"/>
      <c r="F18" s="281"/>
      <c r="G18" s="279"/>
      <c r="H18" s="159"/>
      <c r="I18" s="268"/>
    </row>
    <row r="19" customFormat="false" ht="12.75" hidden="false" customHeight="false" outlineLevel="0" collapsed="false">
      <c r="A19" s="259"/>
      <c r="B19" s="397" t="str">
        <f aca="false">IF(LOOKUP(G$5,Vatinterface!B:B,Vatinterface!M:M)&gt;0,"FLAT RATE SCHEME APPLIED"," ")</f>
        <v> </v>
      </c>
      <c r="C19" s="397"/>
      <c r="D19" s="397"/>
      <c r="E19" s="228" t="str">
        <f aca="false">IF(LOOKUP(G$5,Vatinterface!B:B,Vatinterface!M:M)&gt;0,LOOKUP(G$5,Vatinterface!B:B,Vatinterface!M:M)," ")</f>
        <v> </v>
      </c>
      <c r="F19" s="269"/>
      <c r="G19" s="279"/>
      <c r="H19" s="159"/>
      <c r="I19" s="268"/>
    </row>
    <row r="20" customFormat="false" ht="12.75" hidden="false" customHeight="false" outlineLevel="0" collapsed="false">
      <c r="A20" s="256"/>
      <c r="B20" s="253"/>
      <c r="C20" s="253"/>
      <c r="D20" s="253"/>
      <c r="E20" s="255"/>
      <c r="F20" s="269"/>
      <c r="G20" s="279"/>
      <c r="H20" s="159"/>
      <c r="I20" s="268"/>
    </row>
    <row r="21" customFormat="false" ht="15" hidden="false" customHeight="true" outlineLevel="0" collapsed="false">
      <c r="A21" s="185"/>
      <c r="B21" s="396" t="str">
        <f aca="false">IF(LOOKUP(G$5,Vatinterface!B:B,Vatinterface!M:M)&gt;0,"Total value of sales including VAT","Total value of sales excluding VAT")</f>
        <v>Total value of sales excluding VAT</v>
      </c>
      <c r="C21" s="396"/>
      <c r="D21" s="396"/>
      <c r="E21" s="396"/>
      <c r="F21" s="277" t="n">
        <v>6</v>
      </c>
      <c r="G21" s="193" t="n">
        <f aca="false">IF(LOOKUP(G$5,Vatinterface!B:B,Vatinterface!M:M)&gt;0,(LOOKUP(G$5,Vatinterface!B:B,Vatinterface!E:E)+LOOKUP(G$5,Vatinterface!B:B,Vatinterface!G:G)),LOOKUP(G$5,Vatinterface!B:B,Vatinterface!E:E))</f>
        <v>0</v>
      </c>
      <c r="H21" s="159"/>
      <c r="I21" s="268"/>
    </row>
    <row r="22" customFormat="false" ht="12.75" hidden="false" customHeight="false" outlineLevel="0" collapsed="false">
      <c r="A22" s="256"/>
      <c r="B22" s="159"/>
      <c r="C22" s="159"/>
      <c r="D22" s="159"/>
      <c r="E22" s="159"/>
      <c r="F22" s="269"/>
      <c r="G22" s="279"/>
      <c r="H22" s="159"/>
      <c r="I22" s="268"/>
    </row>
    <row r="23" customFormat="false" ht="15" hidden="false" customHeight="true" outlineLevel="0" collapsed="false">
      <c r="A23" s="322"/>
      <c r="B23" s="396" t="s">
        <v>517</v>
      </c>
      <c r="C23" s="396"/>
      <c r="D23" s="396"/>
      <c r="E23" s="396"/>
      <c r="F23" s="277" t="n">
        <v>7</v>
      </c>
      <c r="G23" s="193" t="n">
        <f aca="false">LOOKUP(G$5,Vatinterface!B:B,Vatinterface!I:I)</f>
        <v>0</v>
      </c>
      <c r="H23" s="159"/>
      <c r="I23" s="268"/>
    </row>
    <row r="24" customFormat="false" ht="12.75" hidden="false" customHeight="false" outlineLevel="0" collapsed="false">
      <c r="A24" s="206"/>
      <c r="B24" s="159"/>
      <c r="C24" s="159"/>
      <c r="D24" s="159"/>
      <c r="E24" s="159"/>
      <c r="F24" s="269"/>
      <c r="G24" s="270"/>
      <c r="H24" s="159"/>
      <c r="I24" s="268"/>
    </row>
    <row r="25" customFormat="false" ht="12.75" hidden="false" customHeight="false" outlineLevel="0" collapsed="false">
      <c r="A25" s="186" t="s">
        <v>518</v>
      </c>
      <c r="B25" s="262" t="s">
        <v>519</v>
      </c>
      <c r="C25" s="159"/>
      <c r="D25" s="159"/>
      <c r="E25" s="159"/>
      <c r="F25" s="269"/>
      <c r="G25" s="270"/>
      <c r="H25" s="159"/>
      <c r="I25" s="268"/>
    </row>
    <row r="26" customFormat="false" ht="12.75" hidden="false" customHeight="false" outlineLevel="0" collapsed="false">
      <c r="A26" s="286"/>
      <c r="B26" s="262" t="s">
        <v>520</v>
      </c>
      <c r="C26" s="159"/>
      <c r="D26" s="159"/>
      <c r="E26" s="159"/>
      <c r="F26" s="269"/>
      <c r="G26" s="270"/>
      <c r="H26" s="159"/>
      <c r="I26" s="268"/>
    </row>
    <row r="27" customFormat="false" ht="12.75" hidden="false" customHeight="false" outlineLevel="0" collapsed="false">
      <c r="A27" s="206"/>
      <c r="B27" s="159"/>
      <c r="C27" s="159"/>
      <c r="D27" s="159"/>
      <c r="E27" s="159"/>
      <c r="F27" s="269"/>
      <c r="G27" s="270"/>
      <c r="H27" s="159"/>
      <c r="I27" s="268"/>
    </row>
    <row r="28" customFormat="false" ht="12.75" hidden="false" customHeight="false" outlineLevel="0" collapsed="false">
      <c r="A28" s="287" t="s">
        <v>521</v>
      </c>
      <c r="B28" s="159"/>
      <c r="C28" s="159"/>
      <c r="D28" s="159"/>
      <c r="E28" s="159"/>
      <c r="F28" s="269"/>
      <c r="G28" s="270"/>
      <c r="H28" s="159"/>
      <c r="I28" s="268"/>
    </row>
    <row r="29" customFormat="false" ht="12.75" hidden="false" customHeight="false" outlineLevel="0" collapsed="false">
      <c r="A29" s="289" t="s">
        <v>522</v>
      </c>
      <c r="B29" s="159"/>
      <c r="C29" s="159"/>
      <c r="D29" s="159"/>
      <c r="E29" s="159"/>
      <c r="F29" s="269"/>
      <c r="G29" s="270"/>
      <c r="H29" s="159"/>
      <c r="I29" s="268"/>
    </row>
    <row r="30" customFormat="false" ht="12.75" hidden="false" customHeight="false" outlineLevel="0" collapsed="false">
      <c r="A30" s="289" t="s">
        <v>523</v>
      </c>
      <c r="B30" s="159"/>
      <c r="C30" s="159"/>
      <c r="D30" s="159"/>
      <c r="E30" s="159"/>
      <c r="F30" s="269"/>
      <c r="G30" s="270"/>
      <c r="H30" s="159"/>
      <c r="I30" s="268"/>
    </row>
    <row r="31" customFormat="false" ht="12.75" hidden="false" customHeight="false" outlineLevel="0" collapsed="false">
      <c r="A31" s="289" t="s">
        <v>524</v>
      </c>
      <c r="B31" s="159"/>
      <c r="C31" s="159"/>
      <c r="D31" s="159"/>
      <c r="E31" s="159"/>
      <c r="F31" s="269"/>
      <c r="G31" s="270"/>
      <c r="H31" s="159"/>
      <c r="I31" s="268"/>
    </row>
    <row r="32" customFormat="false" ht="6" hidden="false" customHeight="true" outlineLevel="0" collapsed="false">
      <c r="A32" s="290"/>
      <c r="B32" s="291"/>
      <c r="C32" s="291"/>
      <c r="D32" s="291"/>
      <c r="E32" s="291"/>
      <c r="F32" s="292"/>
      <c r="G32" s="293"/>
      <c r="H32" s="291"/>
      <c r="I32" s="294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</oddHeader>
    <oddFooter>&amp;L&amp;D  &amp;T&amp;C&amp;P  of  &amp;N&amp;R&amp;F  &amp;A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00" width="1.99"/>
    <col collapsed="false" customWidth="true" hidden="false" outlineLevel="0" max="3" min="2" style="302" width="24.82"/>
    <col collapsed="false" customWidth="true" hidden="false" outlineLevel="0" max="11" min="4" style="304" width="10.66"/>
    <col collapsed="false" customWidth="true" hidden="false" outlineLevel="0" max="12" min="12" style="300" width="1.66"/>
    <col collapsed="false" customWidth="false" hidden="false" outlineLevel="0" max="13" min="13" style="209" width="9.15"/>
    <col collapsed="false" customWidth="true" hidden="false" outlineLevel="0" max="14" min="14" style="300" width="1.66"/>
    <col collapsed="false" customWidth="false" hidden="false" outlineLevel="0" max="257" min="15" style="300" width="9.15"/>
  </cols>
  <sheetData>
    <row r="1" customFormat="false" ht="9" hidden="false" customHeight="true" outlineLevel="0" collapsed="false">
      <c r="A1" s="307"/>
      <c r="B1" s="308"/>
      <c r="C1" s="308"/>
      <c r="D1" s="311"/>
      <c r="E1" s="311"/>
      <c r="F1" s="311"/>
      <c r="G1" s="311"/>
      <c r="H1" s="311"/>
      <c r="I1" s="311"/>
      <c r="J1" s="311"/>
      <c r="K1" s="311"/>
      <c r="L1" s="258"/>
      <c r="M1" s="254"/>
      <c r="N1" s="312"/>
    </row>
    <row r="2" s="303" customFormat="true" ht="37.5" hidden="false" customHeight="true" outlineLevel="0" collapsed="false">
      <c r="A2" s="177"/>
      <c r="B2" s="305" t="s">
        <v>525</v>
      </c>
      <c r="C2" s="305" t="s">
        <v>526</v>
      </c>
      <c r="D2" s="306" t="s">
        <v>527</v>
      </c>
      <c r="E2" s="306" t="s">
        <v>528</v>
      </c>
      <c r="F2" s="306" t="s">
        <v>529</v>
      </c>
      <c r="G2" s="282" t="s">
        <v>530</v>
      </c>
      <c r="H2" s="306" t="s">
        <v>531</v>
      </c>
      <c r="I2" s="306" t="s">
        <v>532</v>
      </c>
      <c r="J2" s="306" t="s">
        <v>533</v>
      </c>
      <c r="K2" s="282" t="s">
        <v>534</v>
      </c>
      <c r="L2" s="178"/>
      <c r="M2" s="218" t="s">
        <v>535</v>
      </c>
      <c r="N2" s="313"/>
    </row>
    <row r="3" s="303" customFormat="true" ht="11.25" hidden="false" customHeight="true" outlineLevel="0" collapsed="false">
      <c r="A3" s="177"/>
      <c r="B3" s="319"/>
      <c r="C3" s="319"/>
      <c r="D3" s="320"/>
      <c r="E3" s="321"/>
      <c r="F3" s="321"/>
      <c r="G3" s="321"/>
      <c r="H3" s="321"/>
      <c r="I3" s="321"/>
      <c r="J3" s="321"/>
      <c r="K3" s="321"/>
      <c r="L3" s="178"/>
      <c r="M3" s="178"/>
      <c r="N3" s="313"/>
    </row>
    <row r="4" customFormat="false" ht="12" hidden="false" customHeight="false" outlineLevel="0" collapsed="false">
      <c r="A4" s="179"/>
      <c r="B4" s="170" t="n">
        <f aca="false">Admin!$B$2</f>
        <v>46081</v>
      </c>
      <c r="C4" s="170" t="n">
        <f aca="false">B5</f>
        <v>46112</v>
      </c>
      <c r="D4" s="242" t="n">
        <f aca="false">S02Y1!$G$1</f>
        <v>0</v>
      </c>
      <c r="E4" s="220"/>
      <c r="F4" s="220" t="n">
        <f aca="false">S02Y1!$F$1</f>
        <v>0</v>
      </c>
      <c r="G4" s="220"/>
      <c r="H4" s="220" t="n">
        <f aca="false">P02Y1!$I$1</f>
        <v>0</v>
      </c>
      <c r="I4" s="220"/>
      <c r="J4" s="220" t="n">
        <f aca="false">P02Y1!$H$1</f>
        <v>0</v>
      </c>
      <c r="K4" s="220"/>
      <c r="L4" s="234"/>
      <c r="M4" s="214" t="n">
        <f aca="false">IF([1]Apr!$H$4&gt;0,[1]Apr!$H$4,0)</f>
        <v>0</v>
      </c>
      <c r="N4" s="314"/>
    </row>
    <row r="5" customFormat="false" ht="12" hidden="false" customHeight="false" outlineLevel="0" collapsed="false">
      <c r="A5" s="179"/>
      <c r="B5" s="170" t="n">
        <f aca="false">Admin!$B$3</f>
        <v>46112</v>
      </c>
      <c r="C5" s="170" t="n">
        <f aca="false">B6</f>
        <v>46142</v>
      </c>
      <c r="D5" s="242" t="n">
        <f aca="false">S03Y1!$G$1</f>
        <v>0</v>
      </c>
      <c r="E5" s="220"/>
      <c r="F5" s="220" t="n">
        <f aca="false">S03Y1!$F$1</f>
        <v>0</v>
      </c>
      <c r="G5" s="220"/>
      <c r="H5" s="220" t="n">
        <f aca="false">P03Y1!$I$1</f>
        <v>0</v>
      </c>
      <c r="I5" s="220"/>
      <c r="J5" s="220" t="n">
        <f aca="false">P03Y1!$H$1</f>
        <v>0</v>
      </c>
      <c r="K5" s="220"/>
      <c r="L5" s="234"/>
      <c r="M5" s="214" t="n">
        <f aca="false">IF([1]Apr!$H$4&gt;0,[1]Apr!$H$4,0)</f>
        <v>0</v>
      </c>
      <c r="N5" s="314"/>
    </row>
    <row r="6" customFormat="false" ht="12" hidden="false" customHeight="false" outlineLevel="0" collapsed="false">
      <c r="A6" s="179"/>
      <c r="B6" s="170" t="n">
        <f aca="false">Admin!$B$5</f>
        <v>46142</v>
      </c>
      <c r="C6" s="170" t="n">
        <f aca="false">B7</f>
        <v>46173</v>
      </c>
      <c r="D6" s="242" t="n">
        <f aca="false">[1]Apr!$I$1</f>
        <v>0</v>
      </c>
      <c r="E6" s="220" t="n">
        <f aca="false">SUM(D4:D6)</f>
        <v>0</v>
      </c>
      <c r="F6" s="220" t="n">
        <f aca="false">[1]Apr!$H$1</f>
        <v>0</v>
      </c>
      <c r="G6" s="220" t="n">
        <f aca="false">SUM(F4:F6)</f>
        <v>0</v>
      </c>
      <c r="H6" s="220" t="n">
        <f aca="false">[2]Apr!$I$1</f>
        <v>0</v>
      </c>
      <c r="I6" s="220" t="n">
        <f aca="false">SUM(H4:H6)</f>
        <v>0</v>
      </c>
      <c r="J6" s="220" t="n">
        <f aca="false">[2]Apr!$H$1</f>
        <v>0</v>
      </c>
      <c r="K6" s="220" t="n">
        <f aca="false">SUM(J4:J6)</f>
        <v>0</v>
      </c>
      <c r="L6" s="234"/>
      <c r="M6" s="214" t="n">
        <f aca="false">IF([1]Apr!$H$4&gt;0,[1]Apr!$H$4,0)</f>
        <v>0</v>
      </c>
      <c r="N6" s="314"/>
    </row>
    <row r="7" customFormat="false" ht="12" hidden="false" customHeight="false" outlineLevel="0" collapsed="false">
      <c r="A7" s="179"/>
      <c r="B7" s="170" t="n">
        <f aca="false">Admin!$B$6</f>
        <v>46173</v>
      </c>
      <c r="C7" s="170" t="n">
        <f aca="false">B8</f>
        <v>46203</v>
      </c>
      <c r="D7" s="242" t="n">
        <f aca="false">[1]May!$I$1</f>
        <v>0</v>
      </c>
      <c r="E7" s="220" t="n">
        <f aca="false">SUM(D5:D7)</f>
        <v>0</v>
      </c>
      <c r="F7" s="220" t="n">
        <f aca="false">[1]May!$H$1</f>
        <v>0</v>
      </c>
      <c r="G7" s="220" t="n">
        <f aca="false">SUM(F5:F7)</f>
        <v>0</v>
      </c>
      <c r="H7" s="220" t="n">
        <f aca="false">[2]May!$I$1</f>
        <v>0</v>
      </c>
      <c r="I7" s="220" t="n">
        <f aca="false">SUM(H5:H7)</f>
        <v>0</v>
      </c>
      <c r="J7" s="220" t="n">
        <f aca="false">[2]May!$H$1</f>
        <v>0</v>
      </c>
      <c r="K7" s="220" t="n">
        <f aca="false">SUM(J5:J7)</f>
        <v>0</v>
      </c>
      <c r="L7" s="234"/>
      <c r="M7" s="214" t="n">
        <f aca="false">IF([1]May!$H$4&gt;0,[1]May!$H$4,0)</f>
        <v>0</v>
      </c>
      <c r="N7" s="314"/>
    </row>
    <row r="8" customFormat="false" ht="12" hidden="false" customHeight="false" outlineLevel="0" collapsed="false">
      <c r="A8" s="179"/>
      <c r="B8" s="170" t="n">
        <f aca="false">Admin!$B$7</f>
        <v>46203</v>
      </c>
      <c r="C8" s="170" t="n">
        <f aca="false">B9</f>
        <v>46234</v>
      </c>
      <c r="D8" s="242" t="n">
        <f aca="false">[1]Jun!$I$1</f>
        <v>0</v>
      </c>
      <c r="E8" s="220" t="n">
        <f aca="false">SUM(D6:D8)</f>
        <v>0</v>
      </c>
      <c r="F8" s="220" t="n">
        <f aca="false">[1]Jun!$H$1</f>
        <v>0</v>
      </c>
      <c r="G8" s="220" t="n">
        <f aca="false">SUM(F6:F8)</f>
        <v>0</v>
      </c>
      <c r="H8" s="220" t="n">
        <f aca="false">[2]Jun!$I$1</f>
        <v>0</v>
      </c>
      <c r="I8" s="220" t="n">
        <f aca="false">SUM(H6:H8)</f>
        <v>0</v>
      </c>
      <c r="J8" s="220" t="n">
        <f aca="false">[2]Jun!$H$1</f>
        <v>0</v>
      </c>
      <c r="K8" s="220" t="n">
        <f aca="false">SUM(J6:J8)</f>
        <v>0</v>
      </c>
      <c r="L8" s="234"/>
      <c r="M8" s="214" t="n">
        <f aca="false">IF([1]Jun!$H$4&gt;0,[1]Jun!$H$4,0)</f>
        <v>0</v>
      </c>
      <c r="N8" s="314"/>
    </row>
    <row r="9" customFormat="false" ht="12" hidden="false" customHeight="false" outlineLevel="0" collapsed="false">
      <c r="A9" s="179"/>
      <c r="B9" s="170" t="n">
        <f aca="false">Admin!$B$8</f>
        <v>46234</v>
      </c>
      <c r="C9" s="170" t="n">
        <f aca="false">B10</f>
        <v>46265</v>
      </c>
      <c r="D9" s="242" t="n">
        <f aca="false">[1]Jul!$I$1</f>
        <v>0</v>
      </c>
      <c r="E9" s="220" t="n">
        <f aca="false">SUM(D7:D9)</f>
        <v>0</v>
      </c>
      <c r="F9" s="220" t="n">
        <f aca="false">[1]Jul!$H$1</f>
        <v>0</v>
      </c>
      <c r="G9" s="220" t="n">
        <f aca="false">SUM(F7:F9)</f>
        <v>0</v>
      </c>
      <c r="H9" s="220" t="n">
        <f aca="false">[2]Jul!$I$1</f>
        <v>0</v>
      </c>
      <c r="I9" s="220" t="n">
        <f aca="false">SUM(H7:H9)</f>
        <v>0</v>
      </c>
      <c r="J9" s="220" t="n">
        <f aca="false">[2]Jul!$H$1</f>
        <v>0</v>
      </c>
      <c r="K9" s="220" t="n">
        <f aca="false">SUM(J7:J9)</f>
        <v>0</v>
      </c>
      <c r="L9" s="234"/>
      <c r="M9" s="214" t="n">
        <f aca="false">IF([1]Jul!$H$4&gt;0,[1]Jul!$H$4,0)</f>
        <v>0</v>
      </c>
      <c r="N9" s="314"/>
    </row>
    <row r="10" customFormat="false" ht="12" hidden="false" customHeight="false" outlineLevel="0" collapsed="false">
      <c r="A10" s="179"/>
      <c r="B10" s="170" t="n">
        <f aca="false">Admin!$B$9</f>
        <v>46265</v>
      </c>
      <c r="C10" s="170" t="n">
        <f aca="false">B11</f>
        <v>46295</v>
      </c>
      <c r="D10" s="242" t="n">
        <f aca="false">[1]Aug!$I$1</f>
        <v>0</v>
      </c>
      <c r="E10" s="220" t="n">
        <f aca="false">SUM(D8:D10)</f>
        <v>0</v>
      </c>
      <c r="F10" s="220" t="n">
        <f aca="false">[1]Aug!$H$1</f>
        <v>0</v>
      </c>
      <c r="G10" s="220" t="n">
        <f aca="false">SUM(F8:F10)</f>
        <v>0</v>
      </c>
      <c r="H10" s="220" t="n">
        <f aca="false">[2]Aug!$I$1</f>
        <v>0</v>
      </c>
      <c r="I10" s="220" t="n">
        <f aca="false">SUM(H8:H10)</f>
        <v>0</v>
      </c>
      <c r="J10" s="220" t="n">
        <f aca="false">[2]Aug!$H$1</f>
        <v>0</v>
      </c>
      <c r="K10" s="220" t="n">
        <f aca="false">SUM(J8:J10)</f>
        <v>0</v>
      </c>
      <c r="L10" s="234"/>
      <c r="M10" s="214" t="n">
        <f aca="false">IF([1]Aug!$H$4&gt;0,[1]Aug!$H$4,0)</f>
        <v>0</v>
      </c>
      <c r="N10" s="314"/>
    </row>
    <row r="11" customFormat="false" ht="12" hidden="false" customHeight="false" outlineLevel="0" collapsed="false">
      <c r="A11" s="179"/>
      <c r="B11" s="170" t="n">
        <f aca="false">Admin!$B$10</f>
        <v>46295</v>
      </c>
      <c r="C11" s="170" t="n">
        <f aca="false">B12</f>
        <v>46326</v>
      </c>
      <c r="D11" s="242" t="n">
        <f aca="false">[1]Sep!$I$1</f>
        <v>0</v>
      </c>
      <c r="E11" s="220" t="n">
        <f aca="false">SUM(D9:D11)</f>
        <v>0</v>
      </c>
      <c r="F11" s="220" t="n">
        <f aca="false">[1]Sep!$H$1</f>
        <v>0</v>
      </c>
      <c r="G11" s="220" t="n">
        <f aca="false">SUM(F9:F11)</f>
        <v>0</v>
      </c>
      <c r="H11" s="220" t="n">
        <f aca="false">[2]Sep!$I$1</f>
        <v>0</v>
      </c>
      <c r="I11" s="220" t="n">
        <f aca="false">SUM(H9:H11)</f>
        <v>0</v>
      </c>
      <c r="J11" s="220" t="n">
        <f aca="false">[2]Sep!$H$1</f>
        <v>0</v>
      </c>
      <c r="K11" s="220" t="n">
        <f aca="false">SUM(J9:J11)</f>
        <v>0</v>
      </c>
      <c r="L11" s="234"/>
      <c r="M11" s="214" t="n">
        <f aca="false">IF([1]Sep!$H$4&gt;0,[1]Sep!$H$4,0)</f>
        <v>0</v>
      </c>
      <c r="N11" s="314"/>
    </row>
    <row r="12" customFormat="false" ht="12" hidden="false" customHeight="false" outlineLevel="0" collapsed="false">
      <c r="A12" s="179"/>
      <c r="B12" s="170" t="n">
        <f aca="false">Admin!$B$11</f>
        <v>46326</v>
      </c>
      <c r="C12" s="170" t="n">
        <f aca="false">B13</f>
        <v>46356</v>
      </c>
      <c r="D12" s="242" t="n">
        <f aca="false">[1]Oct!$I$1</f>
        <v>0</v>
      </c>
      <c r="E12" s="220" t="n">
        <f aca="false">SUM(D10:D12)</f>
        <v>0</v>
      </c>
      <c r="F12" s="220" t="n">
        <f aca="false">[1]Oct!$H$1</f>
        <v>0</v>
      </c>
      <c r="G12" s="220" t="n">
        <f aca="false">SUM(F10:F12)</f>
        <v>0</v>
      </c>
      <c r="H12" s="220" t="n">
        <f aca="false">[2]Oct!$I$1</f>
        <v>0</v>
      </c>
      <c r="I12" s="220" t="n">
        <f aca="false">SUM(H10:H12)</f>
        <v>0</v>
      </c>
      <c r="J12" s="220" t="n">
        <f aca="false">[2]Oct!$H$1</f>
        <v>0</v>
      </c>
      <c r="K12" s="220" t="n">
        <f aca="false">SUM(J10:J12)</f>
        <v>0</v>
      </c>
      <c r="L12" s="234"/>
      <c r="M12" s="214" t="n">
        <f aca="false">IF([1]Oct!$H$4&gt;0,[1]Oct!$H$4,0)</f>
        <v>0</v>
      </c>
      <c r="N12" s="314"/>
    </row>
    <row r="13" customFormat="false" ht="12" hidden="false" customHeight="false" outlineLevel="0" collapsed="false">
      <c r="A13" s="179"/>
      <c r="B13" s="170" t="n">
        <f aca="false">Admin!$B$12</f>
        <v>46356</v>
      </c>
      <c r="C13" s="170" t="n">
        <f aca="false">B14</f>
        <v>46387</v>
      </c>
      <c r="D13" s="242" t="n">
        <f aca="false">[1]Nov!$I$1</f>
        <v>0</v>
      </c>
      <c r="E13" s="220" t="n">
        <f aca="false">SUM(D11:D13)</f>
        <v>0</v>
      </c>
      <c r="F13" s="220" t="n">
        <f aca="false">[1]Nov!$H$1</f>
        <v>0</v>
      </c>
      <c r="G13" s="220" t="n">
        <f aca="false">SUM(F11:F13)</f>
        <v>0</v>
      </c>
      <c r="H13" s="220" t="n">
        <f aca="false">[2]Nov!$I$1</f>
        <v>0</v>
      </c>
      <c r="I13" s="220" t="n">
        <f aca="false">SUM(H11:H13)</f>
        <v>0</v>
      </c>
      <c r="J13" s="220" t="n">
        <f aca="false">[2]Nov!$H$1</f>
        <v>0</v>
      </c>
      <c r="K13" s="220" t="n">
        <f aca="false">SUM(J11:J13)</f>
        <v>0</v>
      </c>
      <c r="L13" s="234"/>
      <c r="M13" s="214" t="n">
        <f aca="false">IF([1]Nov!$H$4&gt;0,[1]Nov!$H$4,0)</f>
        <v>0</v>
      </c>
      <c r="N13" s="314"/>
    </row>
    <row r="14" customFormat="false" ht="12" hidden="false" customHeight="false" outlineLevel="0" collapsed="false">
      <c r="A14" s="179"/>
      <c r="B14" s="170" t="n">
        <f aca="false">Admin!$B$13</f>
        <v>46387</v>
      </c>
      <c r="C14" s="170" t="n">
        <f aca="false">B15</f>
        <v>46418</v>
      </c>
      <c r="D14" s="242" t="n">
        <f aca="false">[1]Dec!$I$1</f>
        <v>0</v>
      </c>
      <c r="E14" s="220" t="n">
        <f aca="false">SUM(D12:D14)</f>
        <v>0</v>
      </c>
      <c r="F14" s="220" t="n">
        <f aca="false">[1]Dec!$H$1</f>
        <v>0</v>
      </c>
      <c r="G14" s="220" t="n">
        <f aca="false">SUM(F12:F14)</f>
        <v>0</v>
      </c>
      <c r="H14" s="220" t="n">
        <f aca="false">[2]Dec!$I$1</f>
        <v>0</v>
      </c>
      <c r="I14" s="220" t="n">
        <f aca="false">SUM(H12:H14)</f>
        <v>0</v>
      </c>
      <c r="J14" s="220" t="n">
        <f aca="false">[2]Dec!$H$1</f>
        <v>0</v>
      </c>
      <c r="K14" s="220" t="n">
        <f aca="false">SUM(J12:J14)</f>
        <v>0</v>
      </c>
      <c r="L14" s="234"/>
      <c r="M14" s="214" t="n">
        <f aca="false">IF([1]Dec!$H$4&gt;0,[1]Dec!$H$4,0)</f>
        <v>0</v>
      </c>
      <c r="N14" s="314"/>
    </row>
    <row r="15" customFormat="false" ht="12" hidden="false" customHeight="false" outlineLevel="0" collapsed="false">
      <c r="A15" s="179"/>
      <c r="B15" s="170" t="n">
        <f aca="false">Admin!$B$14</f>
        <v>46418</v>
      </c>
      <c r="C15" s="170" t="n">
        <f aca="false">B16</f>
        <v>46446</v>
      </c>
      <c r="D15" s="242" t="n">
        <f aca="false">[1]Jan!$I$1</f>
        <v>0</v>
      </c>
      <c r="E15" s="220" t="n">
        <f aca="false">SUM(D13:D15)</f>
        <v>0</v>
      </c>
      <c r="F15" s="220" t="n">
        <f aca="false">[1]Jan!$H$1</f>
        <v>0</v>
      </c>
      <c r="G15" s="220" t="n">
        <f aca="false">SUM(F13:F15)</f>
        <v>0</v>
      </c>
      <c r="H15" s="220" t="n">
        <f aca="false">[2]Jan!$I$1</f>
        <v>0</v>
      </c>
      <c r="I15" s="220" t="n">
        <f aca="false">SUM(H13:H15)</f>
        <v>0</v>
      </c>
      <c r="J15" s="220" t="n">
        <f aca="false">[2]Jan!$H$1</f>
        <v>0</v>
      </c>
      <c r="K15" s="220" t="n">
        <f aca="false">SUM(J13:J15)</f>
        <v>0</v>
      </c>
      <c r="L15" s="234"/>
      <c r="M15" s="214" t="n">
        <f aca="false">IF([1]Jan!$H$4&gt;0,[1]Jan!$H$4,0)</f>
        <v>0</v>
      </c>
      <c r="N15" s="314"/>
    </row>
    <row r="16" customFormat="false" ht="12" hidden="false" customHeight="false" outlineLevel="0" collapsed="false">
      <c r="A16" s="179"/>
      <c r="B16" s="170" t="n">
        <f aca="false">Admin!$B$15</f>
        <v>46446</v>
      </c>
      <c r="C16" s="170" t="n">
        <f aca="false">B17</f>
        <v>46477</v>
      </c>
      <c r="D16" s="242" t="n">
        <f aca="false">[1]Feb!$I$1</f>
        <v>0</v>
      </c>
      <c r="E16" s="220" t="n">
        <f aca="false">SUM(D14:D16)</f>
        <v>0</v>
      </c>
      <c r="F16" s="220" t="n">
        <f aca="false">[1]Feb!$H$1</f>
        <v>0</v>
      </c>
      <c r="G16" s="220" t="n">
        <f aca="false">SUM(F14:F16)</f>
        <v>0</v>
      </c>
      <c r="H16" s="220" t="n">
        <f aca="false">[2]Feb!$I$1</f>
        <v>0</v>
      </c>
      <c r="I16" s="220" t="n">
        <f aca="false">SUM(H14:H16)</f>
        <v>0</v>
      </c>
      <c r="J16" s="220" t="n">
        <f aca="false">[2]Feb!$H$1</f>
        <v>0</v>
      </c>
      <c r="K16" s="220" t="n">
        <f aca="false">SUM(J14:J16)</f>
        <v>0</v>
      </c>
      <c r="L16" s="234"/>
      <c r="M16" s="214" t="n">
        <f aca="false">IF([1]Feb!$H$4&gt;0,[1]Feb!$H$4,0)</f>
        <v>0</v>
      </c>
      <c r="N16" s="314"/>
    </row>
    <row r="17" customFormat="false" ht="12" hidden="false" customHeight="false" outlineLevel="0" collapsed="false">
      <c r="A17" s="179"/>
      <c r="B17" s="170" t="n">
        <f aca="false">Admin!$B$16</f>
        <v>46477</v>
      </c>
      <c r="C17" s="170" t="n">
        <f aca="false">B18</f>
        <v>46507</v>
      </c>
      <c r="D17" s="242" t="n">
        <f aca="false">[1]Mar!$I$1</f>
        <v>0</v>
      </c>
      <c r="E17" s="220" t="n">
        <f aca="false">SUM(D15:D17)</f>
        <v>0</v>
      </c>
      <c r="F17" s="220" t="n">
        <f aca="false">[1]Mar!$H$1</f>
        <v>0</v>
      </c>
      <c r="G17" s="220" t="n">
        <f aca="false">SUM(F15:F17)</f>
        <v>0</v>
      </c>
      <c r="H17" s="220" t="n">
        <f aca="false">[2]Mar!$I$1</f>
        <v>0</v>
      </c>
      <c r="I17" s="220" t="n">
        <f aca="false">SUM(H15:H17)</f>
        <v>0</v>
      </c>
      <c r="J17" s="220" t="n">
        <f aca="false">[2]Mar!$H$1</f>
        <v>0</v>
      </c>
      <c r="K17" s="220" t="n">
        <f aca="false">SUM(J15:J17)</f>
        <v>0</v>
      </c>
      <c r="L17" s="234"/>
      <c r="M17" s="214" t="n">
        <f aca="false">IF([1]Mar!$H$4&gt;0,[1]Mar!$H$4,0)</f>
        <v>0</v>
      </c>
      <c r="N17" s="314"/>
    </row>
    <row r="18" customFormat="false" ht="12" hidden="false" customHeight="false" outlineLevel="0" collapsed="false">
      <c r="A18" s="179"/>
      <c r="B18" s="170" t="n">
        <f aca="false">Admin!$B$18</f>
        <v>46507</v>
      </c>
      <c r="C18" s="170" t="n">
        <f aca="false">B19</f>
        <v>46538</v>
      </c>
      <c r="D18" s="242" t="n">
        <f aca="false">S04Y2!$G$1</f>
        <v>0</v>
      </c>
      <c r="E18" s="220" t="n">
        <f aca="false">SUM(D16:D18)</f>
        <v>0</v>
      </c>
      <c r="F18" s="220" t="n">
        <f aca="false">S04Y2!$F$1</f>
        <v>0</v>
      </c>
      <c r="G18" s="220" t="n">
        <f aca="false">SUM(F16:F18)</f>
        <v>0</v>
      </c>
      <c r="H18" s="220" t="n">
        <f aca="false">P04Y2!$I$1</f>
        <v>0</v>
      </c>
      <c r="I18" s="220" t="n">
        <f aca="false">SUM(H16:H18)</f>
        <v>0</v>
      </c>
      <c r="J18" s="220" t="n">
        <f aca="false">P04Y2!$H$1</f>
        <v>0</v>
      </c>
      <c r="K18" s="220" t="n">
        <f aca="false">SUM(J16:J18)</f>
        <v>0</v>
      </c>
      <c r="L18" s="234"/>
      <c r="M18" s="214" t="n">
        <f aca="false">IF([1]Mar!$H$4&gt;0,[1]Mar!$H$4,0)</f>
        <v>0</v>
      </c>
      <c r="N18" s="314"/>
    </row>
    <row r="19" customFormat="false" ht="12" hidden="false" customHeight="false" outlineLevel="0" collapsed="false">
      <c r="A19" s="179"/>
      <c r="B19" s="170" t="n">
        <f aca="false">Admin!$B$19</f>
        <v>46538</v>
      </c>
      <c r="C19" s="318" t="n">
        <f aca="false">Admin!$B$20</f>
        <v>46568</v>
      </c>
      <c r="D19" s="242" t="n">
        <f aca="false">S05Y2!$G$1</f>
        <v>0</v>
      </c>
      <c r="E19" s="220" t="n">
        <f aca="false">SUM(D17:D19)</f>
        <v>0</v>
      </c>
      <c r="F19" s="220" t="n">
        <f aca="false">S05Y2!$F$1</f>
        <v>0</v>
      </c>
      <c r="G19" s="220" t="n">
        <f aca="false">SUM(F17:F19)</f>
        <v>0</v>
      </c>
      <c r="H19" s="220" t="n">
        <f aca="false">P05Y2!$I$1</f>
        <v>0</v>
      </c>
      <c r="I19" s="220" t="n">
        <f aca="false">SUM(H17:H19)</f>
        <v>0</v>
      </c>
      <c r="J19" s="220" t="n">
        <f aca="false">P05Y2!$H$1</f>
        <v>0</v>
      </c>
      <c r="K19" s="220" t="n">
        <f aca="false">SUM(J17:J19)</f>
        <v>0</v>
      </c>
      <c r="L19" s="234"/>
      <c r="M19" s="214" t="n">
        <f aca="false">IF([1]Mar!$H$4&gt;0,[1]Mar!$H$4,0)</f>
        <v>0</v>
      </c>
      <c r="N19" s="314"/>
    </row>
    <row r="20" customFormat="false" ht="9" hidden="false" customHeight="true" outlineLevel="0" collapsed="false">
      <c r="A20" s="315"/>
      <c r="B20" s="316"/>
      <c r="C20" s="316"/>
      <c r="D20" s="191"/>
      <c r="E20" s="191"/>
      <c r="F20" s="191"/>
      <c r="G20" s="191"/>
      <c r="H20" s="191"/>
      <c r="I20" s="191"/>
      <c r="J20" s="191"/>
      <c r="K20" s="191"/>
      <c r="L20" s="233"/>
      <c r="M20" s="248"/>
      <c r="N20" s="31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285" width="9.15"/>
    <col collapsed="false" customWidth="true" hidden="false" outlineLevel="0" max="2" min="2" style="283" width="20.15"/>
    <col collapsed="false" customWidth="true" hidden="false" outlineLevel="0" max="3" min="3" style="172" width="12.82"/>
    <col collapsed="false" customWidth="true" hidden="false" outlineLevel="0" max="4" min="4" style="284" width="7.66"/>
    <col collapsed="false" customWidth="true" hidden="false" outlineLevel="0" max="5" min="5" style="283" width="9.66"/>
    <col collapsed="false" customWidth="true" hidden="false" outlineLevel="0" max="6" min="6" style="283" width="8.66"/>
    <col collapsed="false" customWidth="true" hidden="false" outlineLevel="0" max="7" min="7" style="283" width="9.66"/>
    <col collapsed="false" customWidth="false" hidden="false" outlineLevel="0" max="257" min="8" style="171" width="9.15"/>
  </cols>
  <sheetData>
    <row r="1" s="180" customFormat="true" ht="28.5" hidden="false" customHeight="true" outlineLevel="0" collapsed="false">
      <c r="A1" s="398" t="s">
        <v>536</v>
      </c>
      <c r="B1" s="398"/>
      <c r="C1" s="183" t="s">
        <v>537</v>
      </c>
      <c r="D1" s="182"/>
      <c r="E1" s="181" t="n">
        <f aca="false">SUM(E5:E200)</f>
        <v>0</v>
      </c>
      <c r="F1" s="181" t="n">
        <f aca="false">SUM(F5:F200)</f>
        <v>0</v>
      </c>
      <c r="G1" s="181" t="n">
        <f aca="false">SUM(G5:G200)</f>
        <v>0</v>
      </c>
    </row>
    <row r="2" s="180" customFormat="true" ht="12.75" hidden="false" customHeight="true" outlineLevel="0" collapsed="false">
      <c r="A2" s="399" t="s">
        <v>538</v>
      </c>
      <c r="B2" s="400" t="s">
        <v>539</v>
      </c>
      <c r="C2" s="401" t="s">
        <v>540</v>
      </c>
      <c r="D2" s="402"/>
      <c r="E2" s="400" t="s">
        <v>541</v>
      </c>
      <c r="F2" s="245" t="n">
        <f aca="false">[1]OpeningDebtors!$H$2</f>
        <v>0</v>
      </c>
      <c r="G2" s="400" t="s">
        <v>542</v>
      </c>
    </row>
    <row r="3" s="176" customFormat="true" ht="12.75" hidden="false" customHeight="false" outlineLevel="0" collapsed="false">
      <c r="A3" s="399"/>
      <c r="B3" s="400"/>
      <c r="C3" s="401"/>
      <c r="D3" s="402"/>
      <c r="E3" s="400"/>
      <c r="F3" s="251" t="s">
        <v>543</v>
      </c>
      <c r="G3" s="400"/>
    </row>
    <row r="4" customFormat="false" ht="12.75" hidden="false" customHeight="false" outlineLevel="0" collapsed="false">
      <c r="A4" s="399"/>
      <c r="B4" s="399"/>
      <c r="C4" s="399"/>
      <c r="D4" s="402"/>
      <c r="E4" s="400"/>
      <c r="F4" s="252" t="n">
        <f aca="false">[1]OpeningDebtors!$H$4</f>
        <v>0</v>
      </c>
      <c r="G4" s="400"/>
    </row>
    <row r="5" customFormat="false" ht="12.75" hidden="false" customHeight="false" outlineLevel="0" collapsed="false">
      <c r="F5" s="283" t="str">
        <f aca="false">IF(F$4&gt;0,(IF(E5&lt;&gt;0,E5*F$4/100," ")),IF(E5&lt;&gt;0,E5*F$2/(100+F$2)," "))</f>
        <v> </v>
      </c>
      <c r="G5" s="283" t="str">
        <f aca="false">IF((E5&lt;&gt;0),E5-F5," ")</f>
        <v> </v>
      </c>
    </row>
    <row r="6" customFormat="false" ht="12.75" hidden="false" customHeight="false" outlineLevel="0" collapsed="false">
      <c r="F6" s="283" t="str">
        <f aca="false">IF(F$4&gt;0,(IF(E6&lt;&gt;0,E6*F$4/100," ")),IF(E6&lt;&gt;0,E6*F$2/(100+F$2)," "))</f>
        <v> </v>
      </c>
      <c r="G6" s="283" t="str">
        <f aca="false">IF((E6&lt;&gt;0),E6-F6," ")</f>
        <v> </v>
      </c>
    </row>
    <row r="7" customFormat="false" ht="12.75" hidden="false" customHeight="false" outlineLevel="0" collapsed="false">
      <c r="F7" s="283" t="str">
        <f aca="false">IF(F$4&gt;0,(IF(E7&lt;&gt;0,E7*F$4/100," ")),IF(E7&lt;&gt;0,E7*F$2/(100+F$2)," "))</f>
        <v> </v>
      </c>
      <c r="G7" s="283" t="str">
        <f aca="false">IF((E7&lt;&gt;0),E7-F7," ")</f>
        <v> </v>
      </c>
    </row>
    <row r="8" customFormat="false" ht="12.75" hidden="false" customHeight="false" outlineLevel="0" collapsed="false">
      <c r="F8" s="283" t="str">
        <f aca="false">IF(F$4&gt;0,(IF(E8&lt;&gt;0,E8*F$4/100," ")),IF(E8&lt;&gt;0,E8*F$2/(100+F$2)," "))</f>
        <v> </v>
      </c>
      <c r="G8" s="283" t="str">
        <f aca="false">IF((E8&lt;&gt;0),E8-F8," ")</f>
        <v> </v>
      </c>
    </row>
    <row r="9" customFormat="false" ht="12.75" hidden="false" customHeight="false" outlineLevel="0" collapsed="false">
      <c r="F9" s="283" t="str">
        <f aca="false">IF(F$4&gt;0,(IF(E9&lt;&gt;0,E9*F$4/100," ")),IF(E9&lt;&gt;0,E9*F$2/(100+F$2)," "))</f>
        <v> </v>
      </c>
      <c r="G9" s="283" t="str">
        <f aca="false">IF((E9&lt;&gt;0),E9-F9," ")</f>
        <v> </v>
      </c>
    </row>
    <row r="10" customFormat="false" ht="12.75" hidden="false" customHeight="false" outlineLevel="0" collapsed="false">
      <c r="F10" s="283" t="str">
        <f aca="false">IF(F$4&gt;0,(IF(E10&lt;&gt;0,E10*F$4/100," ")),IF(E10&lt;&gt;0,E10*F$2/(100+F$2)," "))</f>
        <v> </v>
      </c>
      <c r="G10" s="283" t="str">
        <f aca="false">IF((E10&lt;&gt;0),E10-F10," ")</f>
        <v> </v>
      </c>
    </row>
    <row r="11" customFormat="false" ht="12.75" hidden="false" customHeight="false" outlineLevel="0" collapsed="false">
      <c r="F11" s="283" t="str">
        <f aca="false">IF(F$4&gt;0,(IF(E11&lt;&gt;0,E11*F$4/100," ")),IF(E11&lt;&gt;0,E11*F$2/(100+F$2)," "))</f>
        <v> </v>
      </c>
      <c r="G11" s="283" t="str">
        <f aca="false">IF((E11&lt;&gt;0),E11-F11," ")</f>
        <v> </v>
      </c>
    </row>
    <row r="12" customFormat="false" ht="12.75" hidden="false" customHeight="false" outlineLevel="0" collapsed="false">
      <c r="F12" s="283" t="str">
        <f aca="false">IF(F$4&gt;0,(IF(E12&lt;&gt;0,E12*F$4/100," ")),IF(E12&lt;&gt;0,E12*F$2/(100+F$2)," "))</f>
        <v> </v>
      </c>
      <c r="G12" s="283" t="str">
        <f aca="false">IF((E12&lt;&gt;0),E12-F12," ")</f>
        <v> </v>
      </c>
    </row>
    <row r="13" customFormat="false" ht="12.75" hidden="false" customHeight="false" outlineLevel="0" collapsed="false">
      <c r="F13" s="283" t="str">
        <f aca="false">IF(F$4&gt;0,(IF(E13&lt;&gt;0,E13*F$4/100," ")),IF(E13&lt;&gt;0,E13*F$2/(100+F$2)," "))</f>
        <v> </v>
      </c>
      <c r="G13" s="283" t="str">
        <f aca="false">IF((E13&lt;&gt;0),E13-F13," ")</f>
        <v> </v>
      </c>
    </row>
    <row r="14" customFormat="false" ht="12.75" hidden="false" customHeight="false" outlineLevel="0" collapsed="false">
      <c r="F14" s="283" t="str">
        <f aca="false">IF(F$4&gt;0,(IF(E14&lt;&gt;0,E14*F$4/100," ")),IF(E14&lt;&gt;0,E14*F$2/(100+F$2)," "))</f>
        <v> </v>
      </c>
      <c r="G14" s="283" t="str">
        <f aca="false">IF((E14&lt;&gt;0),E14-F14," ")</f>
        <v> </v>
      </c>
    </row>
    <row r="15" customFormat="false" ht="12.75" hidden="false" customHeight="false" outlineLevel="0" collapsed="false">
      <c r="F15" s="283" t="str">
        <f aca="false">IF(F$4&gt;0,(IF(E15&lt;&gt;0,E15*F$4/100," ")),IF(E15&lt;&gt;0,E15*F$2/(100+F$2)," "))</f>
        <v> </v>
      </c>
      <c r="G15" s="283" t="str">
        <f aca="false">IF((E15&lt;&gt;0),E15-F15," ")</f>
        <v> </v>
      </c>
    </row>
    <row r="16" customFormat="false" ht="12.75" hidden="false" customHeight="false" outlineLevel="0" collapsed="false">
      <c r="F16" s="283" t="str">
        <f aca="false">IF(F$4&gt;0,(IF(E16&lt;&gt;0,E16*F$4/100," ")),IF(E16&lt;&gt;0,E16*F$2/(100+F$2)," "))</f>
        <v> </v>
      </c>
      <c r="G16" s="283" t="str">
        <f aca="false">IF((E16&lt;&gt;0),E16-F16," ")</f>
        <v> </v>
      </c>
    </row>
    <row r="17" customFormat="false" ht="12.75" hidden="false" customHeight="false" outlineLevel="0" collapsed="false">
      <c r="F17" s="283" t="str">
        <f aca="false">IF(F$4&gt;0,(IF(E17&lt;&gt;0,E17*F$4/100," ")),IF(E17&lt;&gt;0,E17*F$2/(100+F$2)," "))</f>
        <v> </v>
      </c>
      <c r="G17" s="283" t="str">
        <f aca="false">IF((E17&lt;&gt;0),E17-F17," ")</f>
        <v> </v>
      </c>
    </row>
    <row r="18" customFormat="false" ht="12.75" hidden="false" customHeight="false" outlineLevel="0" collapsed="false">
      <c r="F18" s="283" t="str">
        <f aca="false">IF(F$4&gt;0,(IF(E18&lt;&gt;0,E18*F$4/100," ")),IF(E18&lt;&gt;0,E18*F$2/(100+F$2)," "))</f>
        <v> </v>
      </c>
      <c r="G18" s="283" t="str">
        <f aca="false">IF((E18&lt;&gt;0),E18-F18," ")</f>
        <v> </v>
      </c>
    </row>
    <row r="19" customFormat="false" ht="12.75" hidden="false" customHeight="false" outlineLevel="0" collapsed="false">
      <c r="F19" s="283" t="str">
        <f aca="false">IF(F$4&gt;0,(IF(E19&lt;&gt;0,E19*F$4/100," ")),IF(E19&lt;&gt;0,E19*F$2/(100+F$2)," "))</f>
        <v> </v>
      </c>
      <c r="G19" s="283" t="str">
        <f aca="false">IF((E19&lt;&gt;0),E19-F19," ")</f>
        <v> </v>
      </c>
    </row>
    <row r="20" customFormat="false" ht="12.75" hidden="false" customHeight="false" outlineLevel="0" collapsed="false">
      <c r="F20" s="283" t="str">
        <f aca="false">IF(F$4&gt;0,(IF(E20&lt;&gt;0,E20*F$4/100," ")),IF(E20&lt;&gt;0,E20*F$2/(100+F$2)," "))</f>
        <v> </v>
      </c>
      <c r="G20" s="283" t="str">
        <f aca="false">IF((E20&lt;&gt;0),E20-F20," ")</f>
        <v> </v>
      </c>
    </row>
    <row r="21" customFormat="false" ht="12.75" hidden="false" customHeight="false" outlineLevel="0" collapsed="false">
      <c r="F21" s="283" t="str">
        <f aca="false">IF(F$4&gt;0,(IF(E21&lt;&gt;0,E21*F$4/100," ")),IF(E21&lt;&gt;0,E21*F$2/(100+F$2)," "))</f>
        <v> </v>
      </c>
      <c r="G21" s="283" t="str">
        <f aca="false">IF((E21&lt;&gt;0),E21-F21," ")</f>
        <v> </v>
      </c>
    </row>
    <row r="22" customFormat="false" ht="12.75" hidden="false" customHeight="false" outlineLevel="0" collapsed="false">
      <c r="F22" s="283" t="str">
        <f aca="false">IF(F$4&gt;0,(IF(E22&lt;&gt;0,E22*F$4/100," ")),IF(E22&lt;&gt;0,E22*F$2/(100+F$2)," "))</f>
        <v> </v>
      </c>
      <c r="G22" s="283" t="str">
        <f aca="false">IF((E22&lt;&gt;0),E22-F22," ")</f>
        <v> </v>
      </c>
    </row>
    <row r="23" customFormat="false" ht="12.75" hidden="false" customHeight="false" outlineLevel="0" collapsed="false">
      <c r="F23" s="283" t="str">
        <f aca="false">IF(F$4&gt;0,(IF(E23&lt;&gt;0,E23*F$4/100," ")),IF(E23&lt;&gt;0,E23*F$2/(100+F$2)," "))</f>
        <v> </v>
      </c>
      <c r="G23" s="283" t="str">
        <f aca="false">IF((E23&lt;&gt;0),E23-F23," ")</f>
        <v> </v>
      </c>
    </row>
    <row r="24" customFormat="false" ht="12.75" hidden="false" customHeight="false" outlineLevel="0" collapsed="false">
      <c r="F24" s="283" t="str">
        <f aca="false">IF(F$4&gt;0,(IF(E24&lt;&gt;0,E24*F$4/100," ")),IF(E24&lt;&gt;0,E24*F$2/(100+F$2)," "))</f>
        <v> </v>
      </c>
      <c r="G24" s="283" t="str">
        <f aca="false">IF((E24&lt;&gt;0),E24-F24," ")</f>
        <v> </v>
      </c>
    </row>
    <row r="25" customFormat="false" ht="12.75" hidden="false" customHeight="false" outlineLevel="0" collapsed="false">
      <c r="F25" s="283" t="str">
        <f aca="false">IF(F$4&gt;0,(IF(E25&lt;&gt;0,E25*F$4/100," ")),IF(E25&lt;&gt;0,E25*F$2/(100+F$2)," "))</f>
        <v> </v>
      </c>
      <c r="G25" s="283" t="str">
        <f aca="false">IF((E25&lt;&gt;0),E25-F25," ")</f>
        <v> </v>
      </c>
    </row>
    <row r="26" customFormat="false" ht="12.75" hidden="false" customHeight="false" outlineLevel="0" collapsed="false">
      <c r="F26" s="283" t="str">
        <f aca="false">IF(F$4&gt;0,(IF(E26&lt;&gt;0,E26*F$4/100," ")),IF(E26&lt;&gt;0,E26*F$2/(100+F$2)," "))</f>
        <v> </v>
      </c>
      <c r="G26" s="283" t="str">
        <f aca="false">IF((E26&lt;&gt;0),E26-F26," ")</f>
        <v> </v>
      </c>
    </row>
    <row r="27" customFormat="false" ht="12.75" hidden="false" customHeight="false" outlineLevel="0" collapsed="false">
      <c r="F27" s="283" t="str">
        <f aca="false">IF(F$4&gt;0,(IF(E27&lt;&gt;0,E27*F$4/100," ")),IF(E27&lt;&gt;0,E27*F$2/(100+F$2)," "))</f>
        <v> </v>
      </c>
      <c r="G27" s="283" t="str">
        <f aca="false">IF((E27&lt;&gt;0),E27-F27," ")</f>
        <v> </v>
      </c>
    </row>
    <row r="28" customFormat="false" ht="12.75" hidden="false" customHeight="false" outlineLevel="0" collapsed="false">
      <c r="F28" s="283" t="str">
        <f aca="false">IF(F$4&gt;0,(IF(E28&lt;&gt;0,E28*F$4/100," ")),IF(E28&lt;&gt;0,E28*F$2/(100+F$2)," "))</f>
        <v> </v>
      </c>
      <c r="G28" s="283" t="str">
        <f aca="false">IF((E28&lt;&gt;0),E28-F28," ")</f>
        <v> </v>
      </c>
    </row>
    <row r="29" customFormat="false" ht="12.75" hidden="false" customHeight="false" outlineLevel="0" collapsed="false">
      <c r="F29" s="283" t="str">
        <f aca="false">IF(F$4&gt;0,(IF(E29&lt;&gt;0,E29*F$4/100," ")),IF(E29&lt;&gt;0,E29*F$2/(100+F$2)," "))</f>
        <v> </v>
      </c>
      <c r="G29" s="283" t="str">
        <f aca="false">IF((E29&lt;&gt;0),E29-F29," ")</f>
        <v> </v>
      </c>
    </row>
    <row r="30" customFormat="false" ht="12.75" hidden="false" customHeight="false" outlineLevel="0" collapsed="false">
      <c r="F30" s="283" t="str">
        <f aca="false">IF(F$4&gt;0,(IF(E30&lt;&gt;0,E30*F$4/100," ")),IF(E30&lt;&gt;0,E30*F$2/(100+F$2)," "))</f>
        <v> </v>
      </c>
      <c r="G30" s="283" t="str">
        <f aca="false">IF((E30&lt;&gt;0),E30-F30," ")</f>
        <v> </v>
      </c>
    </row>
    <row r="31" customFormat="false" ht="12.75" hidden="false" customHeight="false" outlineLevel="0" collapsed="false">
      <c r="F31" s="283" t="str">
        <f aca="false">IF(F$4&gt;0,(IF(E31&lt;&gt;0,E31*F$4/100," ")),IF(E31&lt;&gt;0,E31*F$2/(100+F$2)," "))</f>
        <v> </v>
      </c>
      <c r="G31" s="283" t="str">
        <f aca="false">IF((E31&lt;&gt;0),E31-F31," ")</f>
        <v> </v>
      </c>
    </row>
    <row r="32" customFormat="false" ht="12.75" hidden="false" customHeight="false" outlineLevel="0" collapsed="false">
      <c r="F32" s="283" t="str">
        <f aca="false">IF(F$4&gt;0,(IF(E32&lt;&gt;0,E32*F$4/100," ")),IF(E32&lt;&gt;0,E32*F$2/(100+F$2)," "))</f>
        <v> </v>
      </c>
      <c r="G32" s="283" t="str">
        <f aca="false">IF((E32&lt;&gt;0),E32-F32," ")</f>
        <v> </v>
      </c>
    </row>
    <row r="33" customFormat="false" ht="12.75" hidden="false" customHeight="false" outlineLevel="0" collapsed="false">
      <c r="F33" s="283" t="str">
        <f aca="false">IF(F$4&gt;0,(IF(E33&lt;&gt;0,E33*F$4/100," ")),IF(E33&lt;&gt;0,E33*F$2/(100+F$2)," "))</f>
        <v> </v>
      </c>
      <c r="G33" s="283" t="str">
        <f aca="false">IF((E33&lt;&gt;0),E33-F33," ")</f>
        <v> </v>
      </c>
    </row>
    <row r="34" customFormat="false" ht="12.75" hidden="false" customHeight="false" outlineLevel="0" collapsed="false">
      <c r="F34" s="283" t="str">
        <f aca="false">IF(F$4&gt;0,(IF(E34&lt;&gt;0,E34*F$4/100," ")),IF(E34&lt;&gt;0,E34*F$2/(100+F$2)," "))</f>
        <v> </v>
      </c>
      <c r="G34" s="283" t="str">
        <f aca="false">IF((E34&lt;&gt;0),E34-F34," ")</f>
        <v> </v>
      </c>
    </row>
    <row r="35" customFormat="false" ht="12.75" hidden="false" customHeight="false" outlineLevel="0" collapsed="false">
      <c r="F35" s="283" t="str">
        <f aca="false">IF(F$4&gt;0,(IF(E35&lt;&gt;0,E35*F$4/100," ")),IF(E35&lt;&gt;0,E35*F$2/(100+F$2)," "))</f>
        <v> </v>
      </c>
      <c r="G35" s="283" t="str">
        <f aca="false">IF((E35&lt;&gt;0),E35-F35," ")</f>
        <v> </v>
      </c>
    </row>
    <row r="36" customFormat="false" ht="12.75" hidden="false" customHeight="false" outlineLevel="0" collapsed="false">
      <c r="F36" s="283" t="str">
        <f aca="false">IF(F$4&gt;0,(IF(E36&lt;&gt;0,E36*F$4/100," ")),IF(E36&lt;&gt;0,E36*F$2/(100+F$2)," "))</f>
        <v> </v>
      </c>
      <c r="G36" s="283" t="str">
        <f aca="false">IF((E36&lt;&gt;0),E36-F36," ")</f>
        <v> </v>
      </c>
    </row>
    <row r="37" customFormat="false" ht="12.75" hidden="false" customHeight="false" outlineLevel="0" collapsed="false">
      <c r="F37" s="283" t="str">
        <f aca="false">IF(F$4&gt;0,(IF(E37&lt;&gt;0,E37*F$4/100," ")),IF(E37&lt;&gt;0,E37*F$2/(100+F$2)," "))</f>
        <v> </v>
      </c>
      <c r="G37" s="283" t="str">
        <f aca="false">IF((E37&lt;&gt;0),E37-F37," ")</f>
        <v> </v>
      </c>
    </row>
    <row r="38" customFormat="false" ht="12.75" hidden="false" customHeight="false" outlineLevel="0" collapsed="false">
      <c r="F38" s="283" t="str">
        <f aca="false">IF(F$4&gt;0,(IF(E38&lt;&gt;0,E38*F$4/100," ")),IF(E38&lt;&gt;0,E38*F$2/(100+F$2)," "))</f>
        <v> </v>
      </c>
      <c r="G38" s="283" t="str">
        <f aca="false">IF((E38&lt;&gt;0),E38-F38," ")</f>
        <v> </v>
      </c>
    </row>
    <row r="39" customFormat="false" ht="12.75" hidden="false" customHeight="false" outlineLevel="0" collapsed="false">
      <c r="F39" s="283" t="str">
        <f aca="false">IF(F$4&gt;0,(IF(E39&lt;&gt;0,E39*F$4/100," ")),IF(E39&lt;&gt;0,E39*F$2/(100+F$2)," "))</f>
        <v> </v>
      </c>
      <c r="G39" s="283" t="str">
        <f aca="false">IF((E39&lt;&gt;0),E39-F39," ")</f>
        <v> </v>
      </c>
    </row>
    <row r="40" customFormat="false" ht="12.75" hidden="false" customHeight="false" outlineLevel="0" collapsed="false">
      <c r="F40" s="283" t="str">
        <f aca="false">IF(F$4&gt;0,(IF(E40&lt;&gt;0,E40*F$4/100," ")),IF(E40&lt;&gt;0,E40*F$2/(100+F$2)," "))</f>
        <v> </v>
      </c>
      <c r="G40" s="283" t="str">
        <f aca="false">IF((E40&lt;&gt;0),E40-F40," ")</f>
        <v> </v>
      </c>
    </row>
    <row r="41" customFormat="false" ht="12.75" hidden="false" customHeight="false" outlineLevel="0" collapsed="false">
      <c r="F41" s="283" t="str">
        <f aca="false">IF(F$4&gt;0,(IF(E41&lt;&gt;0,E41*F$4/100," ")),IF(E41&lt;&gt;0,E41*F$2/(100+F$2)," "))</f>
        <v> </v>
      </c>
      <c r="G41" s="283" t="str">
        <f aca="false">IF((E41&lt;&gt;0),E41-F41," ")</f>
        <v> </v>
      </c>
    </row>
    <row r="42" customFormat="false" ht="12.75" hidden="false" customHeight="false" outlineLevel="0" collapsed="false">
      <c r="F42" s="283" t="str">
        <f aca="false">IF(F$4&gt;0,(IF(E42&lt;&gt;0,E42*F$4/100," ")),IF(E42&lt;&gt;0,E42*F$2/(100+F$2)," "))</f>
        <v> </v>
      </c>
      <c r="G42" s="283" t="str">
        <f aca="false">IF((E42&lt;&gt;0),E42-F42," ")</f>
        <v> </v>
      </c>
    </row>
    <row r="43" customFormat="false" ht="12.75" hidden="false" customHeight="false" outlineLevel="0" collapsed="false">
      <c r="F43" s="283" t="str">
        <f aca="false">IF(F$4&gt;0,(IF(E43&lt;&gt;0,E43*F$4/100," ")),IF(E43&lt;&gt;0,E43*F$2/(100+F$2)," "))</f>
        <v> </v>
      </c>
      <c r="G43" s="283" t="str">
        <f aca="false">IF((E43&lt;&gt;0),E43-F43," ")</f>
        <v> </v>
      </c>
    </row>
    <row r="44" customFormat="false" ht="12.75" hidden="false" customHeight="false" outlineLevel="0" collapsed="false">
      <c r="F44" s="283" t="str">
        <f aca="false">IF(F$4&gt;0,(IF(E44&lt;&gt;0,E44*F$4/100," ")),IF(E44&lt;&gt;0,E44*F$2/(100+F$2)," "))</f>
        <v> </v>
      </c>
      <c r="G44" s="283" t="str">
        <f aca="false">IF((E44&lt;&gt;0),E44-F44," ")</f>
        <v> </v>
      </c>
    </row>
    <row r="45" customFormat="false" ht="12.75" hidden="false" customHeight="false" outlineLevel="0" collapsed="false">
      <c r="F45" s="283" t="str">
        <f aca="false">IF(F$4&gt;0,(IF(E45&lt;&gt;0,E45*F$4/100," ")),IF(E45&lt;&gt;0,E45*F$2/(100+F$2)," "))</f>
        <v> </v>
      </c>
      <c r="G45" s="283" t="str">
        <f aca="false">IF((E45&lt;&gt;0),E45-F45," ")</f>
        <v> </v>
      </c>
    </row>
    <row r="46" customFormat="false" ht="12.75" hidden="false" customHeight="false" outlineLevel="0" collapsed="false">
      <c r="F46" s="283" t="str">
        <f aca="false">IF(F$4&gt;0,(IF(E46&lt;&gt;0,E46*F$4/100," ")),IF(E46&lt;&gt;0,E46*F$2/(100+F$2)," "))</f>
        <v> </v>
      </c>
      <c r="G46" s="283" t="str">
        <f aca="false">IF((E46&lt;&gt;0),E46-F46," ")</f>
        <v> </v>
      </c>
    </row>
    <row r="47" customFormat="false" ht="12.75" hidden="false" customHeight="false" outlineLevel="0" collapsed="false">
      <c r="F47" s="283" t="str">
        <f aca="false">IF(F$4&gt;0,(IF(E47&lt;&gt;0,E47*F$4/100," ")),IF(E47&lt;&gt;0,E47*F$2/(100+F$2)," "))</f>
        <v> </v>
      </c>
      <c r="G47" s="283" t="str">
        <f aca="false">IF((E47&lt;&gt;0),E47-F47," ")</f>
        <v> </v>
      </c>
    </row>
    <row r="48" customFormat="false" ht="12.75" hidden="false" customHeight="false" outlineLevel="0" collapsed="false">
      <c r="F48" s="283" t="str">
        <f aca="false">IF(F$4&gt;0,(IF(E48&lt;&gt;0,E48*F$4/100," ")),IF(E48&lt;&gt;0,E48*F$2/(100+F$2)," "))</f>
        <v> </v>
      </c>
      <c r="G48" s="283" t="str">
        <f aca="false">IF((E48&lt;&gt;0),E48-F48," ")</f>
        <v> </v>
      </c>
    </row>
    <row r="49" customFormat="false" ht="12.75" hidden="false" customHeight="false" outlineLevel="0" collapsed="false">
      <c r="F49" s="283" t="str">
        <f aca="false">IF(F$4&gt;0,(IF(E49&lt;&gt;0,E49*F$4/100," ")),IF(E49&lt;&gt;0,E49*F$2/(100+F$2)," "))</f>
        <v> </v>
      </c>
      <c r="G49" s="283" t="str">
        <f aca="false">IF((E49&lt;&gt;0),E49-F49," ")</f>
        <v> </v>
      </c>
    </row>
    <row r="50" customFormat="false" ht="12.75" hidden="false" customHeight="false" outlineLevel="0" collapsed="false">
      <c r="F50" s="283" t="str">
        <f aca="false">IF(F$4&gt;0,(IF(E50&lt;&gt;0,E50*F$4/100," ")),IF(E50&lt;&gt;0,E50*F$2/(100+F$2)," "))</f>
        <v> </v>
      </c>
      <c r="G50" s="283" t="str">
        <f aca="false">IF((E50&lt;&gt;0),E50-F50," ")</f>
        <v> </v>
      </c>
    </row>
    <row r="51" customFormat="false" ht="12.75" hidden="false" customHeight="false" outlineLevel="0" collapsed="false">
      <c r="F51" s="283" t="str">
        <f aca="false">IF(F$4&gt;0,(IF(E51&lt;&gt;0,E51*F$4/100," ")),IF(E51&lt;&gt;0,E51*F$2/(100+F$2)," "))</f>
        <v> </v>
      </c>
      <c r="G51" s="283" t="str">
        <f aca="false">IF((E51&lt;&gt;0),E51-F51," ")</f>
        <v> </v>
      </c>
    </row>
    <row r="52" customFormat="false" ht="12.75" hidden="false" customHeight="false" outlineLevel="0" collapsed="false">
      <c r="F52" s="283" t="str">
        <f aca="false">IF(F$4&gt;0,(IF(E52&lt;&gt;0,E52*F$4/100," ")),IF(E52&lt;&gt;0,E52*F$2/(100+F$2)," "))</f>
        <v> </v>
      </c>
      <c r="G52" s="283" t="str">
        <f aca="false">IF((E52&lt;&gt;0),E52-F52," ")</f>
        <v> </v>
      </c>
    </row>
    <row r="53" customFormat="false" ht="12.75" hidden="false" customHeight="false" outlineLevel="0" collapsed="false">
      <c r="F53" s="283" t="str">
        <f aca="false">IF(F$4&gt;0,(IF(E53&lt;&gt;0,E53*F$4/100," ")),IF(E53&lt;&gt;0,E53*F$2/(100+F$2)," "))</f>
        <v> </v>
      </c>
      <c r="G53" s="283" t="str">
        <f aca="false">IF((E53&lt;&gt;0),E53-F53," ")</f>
        <v> </v>
      </c>
    </row>
    <row r="54" customFormat="false" ht="12.75" hidden="false" customHeight="false" outlineLevel="0" collapsed="false">
      <c r="F54" s="283" t="str">
        <f aca="false">IF(F$4&gt;0,(IF(E54&lt;&gt;0,E54*F$4/100," ")),IF(E54&lt;&gt;0,E54*F$2/(100+F$2)," "))</f>
        <v> </v>
      </c>
      <c r="G54" s="283" t="str">
        <f aca="false">IF((E54&lt;&gt;0),E54-F54," ")</f>
        <v> </v>
      </c>
    </row>
    <row r="55" customFormat="false" ht="12.75" hidden="false" customHeight="false" outlineLevel="0" collapsed="false">
      <c r="F55" s="283" t="str">
        <f aca="false">IF(F$4&gt;0,(IF(E55&lt;&gt;0,E55*F$4/100," ")),IF(E55&lt;&gt;0,E55*F$2/(100+F$2)," "))</f>
        <v> </v>
      </c>
      <c r="G55" s="283" t="str">
        <f aca="false">IF((E55&lt;&gt;0),E55-F55," ")</f>
        <v> </v>
      </c>
    </row>
    <row r="56" customFormat="false" ht="12.75" hidden="false" customHeight="false" outlineLevel="0" collapsed="false">
      <c r="F56" s="283" t="str">
        <f aca="false">IF(F$4&gt;0,(IF(E56&lt;&gt;0,E56*F$4/100," ")),IF(E56&lt;&gt;0,E56*F$2/(100+F$2)," "))</f>
        <v> </v>
      </c>
      <c r="G56" s="283" t="str">
        <f aca="false">IF((E56&lt;&gt;0),E56-F56," ")</f>
        <v> </v>
      </c>
    </row>
    <row r="57" customFormat="false" ht="12.75" hidden="false" customHeight="false" outlineLevel="0" collapsed="false">
      <c r="F57" s="283" t="str">
        <f aca="false">IF(F$4&gt;0,(IF(E57&lt;&gt;0,E57*F$4/100," ")),IF(E57&lt;&gt;0,E57*F$2/(100+F$2)," "))</f>
        <v> </v>
      </c>
      <c r="G57" s="283" t="str">
        <f aca="false">IF((E57&lt;&gt;0),E57-F57," ")</f>
        <v> </v>
      </c>
    </row>
    <row r="58" customFormat="false" ht="12.75" hidden="false" customHeight="false" outlineLevel="0" collapsed="false">
      <c r="F58" s="283" t="str">
        <f aca="false">IF(F$4&gt;0,(IF(E58&lt;&gt;0,E58*F$4/100," ")),IF(E58&lt;&gt;0,E58*F$2/(100+F$2)," "))</f>
        <v> </v>
      </c>
      <c r="G58" s="283" t="str">
        <f aca="false">IF((E58&lt;&gt;0),E58-F58," ")</f>
        <v> </v>
      </c>
    </row>
    <row r="59" customFormat="false" ht="12.75" hidden="false" customHeight="false" outlineLevel="0" collapsed="false">
      <c r="F59" s="283" t="str">
        <f aca="false">IF(F$4&gt;0,(IF(E59&lt;&gt;0,E59*F$4/100," ")),IF(E59&lt;&gt;0,E59*F$2/(100+F$2)," "))</f>
        <v> </v>
      </c>
      <c r="G59" s="283" t="str">
        <f aca="false">IF((E59&lt;&gt;0),E59-F59," ")</f>
        <v> </v>
      </c>
    </row>
    <row r="60" customFormat="false" ht="12.75" hidden="false" customHeight="false" outlineLevel="0" collapsed="false">
      <c r="F60" s="283" t="str">
        <f aca="false">IF(F$4&gt;0,(IF(E60&lt;&gt;0,E60*F$4/100," ")),IF(E60&lt;&gt;0,E60*F$2/(100+F$2)," "))</f>
        <v> </v>
      </c>
      <c r="G60" s="283" t="str">
        <f aca="false">IF((E60&lt;&gt;0),E60-F60," ")</f>
        <v> </v>
      </c>
    </row>
    <row r="61" customFormat="false" ht="12.75" hidden="false" customHeight="false" outlineLevel="0" collapsed="false">
      <c r="F61" s="283" t="str">
        <f aca="false">IF(F$4&gt;0,(IF(E61&lt;&gt;0,E61*F$4/100," ")),IF(E61&lt;&gt;0,E61*F$2/(100+F$2)," "))</f>
        <v> </v>
      </c>
      <c r="G61" s="283" t="str">
        <f aca="false">IF((E61&lt;&gt;0),E61-F61," ")</f>
        <v> </v>
      </c>
    </row>
    <row r="62" customFormat="false" ht="12.75" hidden="false" customHeight="false" outlineLevel="0" collapsed="false">
      <c r="F62" s="283" t="str">
        <f aca="false">IF(F$4&gt;0,(IF(E62&lt;&gt;0,E62*F$4/100," ")),IF(E62&lt;&gt;0,E62*F$2/(100+F$2)," "))</f>
        <v> </v>
      </c>
      <c r="G62" s="283" t="str">
        <f aca="false">IF((E62&lt;&gt;0),E62-F62," ")</f>
        <v> </v>
      </c>
    </row>
    <row r="63" customFormat="false" ht="12.75" hidden="false" customHeight="false" outlineLevel="0" collapsed="false">
      <c r="F63" s="283" t="str">
        <f aca="false">IF(F$4&gt;0,(IF(E63&lt;&gt;0,E63*F$4/100," ")),IF(E63&lt;&gt;0,E63*F$2/(100+F$2)," "))</f>
        <v> </v>
      </c>
      <c r="G63" s="283" t="str">
        <f aca="false">IF((E63&lt;&gt;0),E63-F63," ")</f>
        <v> </v>
      </c>
    </row>
    <row r="64" customFormat="false" ht="12.75" hidden="false" customHeight="false" outlineLevel="0" collapsed="false">
      <c r="F64" s="283" t="str">
        <f aca="false">IF(F$4&gt;0,(IF(E64&lt;&gt;0,E64*F$4/100," ")),IF(E64&lt;&gt;0,E64*F$2/(100+F$2)," "))</f>
        <v> </v>
      </c>
      <c r="G64" s="283" t="str">
        <f aca="false">IF((E64&lt;&gt;0),E64-F64," ")</f>
        <v> </v>
      </c>
    </row>
    <row r="65" customFormat="false" ht="12.75" hidden="false" customHeight="false" outlineLevel="0" collapsed="false">
      <c r="F65" s="283" t="str">
        <f aca="false">IF(F$4&gt;0,(IF(E65&lt;&gt;0,E65*F$4/100," ")),IF(E65&lt;&gt;0,E65*F$2/(100+F$2)," "))</f>
        <v> </v>
      </c>
      <c r="G65" s="283" t="str">
        <f aca="false">IF((E65&lt;&gt;0),E65-F65," ")</f>
        <v> </v>
      </c>
    </row>
    <row r="66" customFormat="false" ht="12.75" hidden="false" customHeight="false" outlineLevel="0" collapsed="false">
      <c r="F66" s="283" t="str">
        <f aca="false">IF(F$4&gt;0,(IF(E66&lt;&gt;0,E66*F$4/100," ")),IF(E66&lt;&gt;0,E66*F$2/(100+F$2)," "))</f>
        <v> </v>
      </c>
      <c r="G66" s="283" t="str">
        <f aca="false">IF((E66&lt;&gt;0),E66-F66," ")</f>
        <v> </v>
      </c>
    </row>
    <row r="67" customFormat="false" ht="12.75" hidden="false" customHeight="false" outlineLevel="0" collapsed="false">
      <c r="F67" s="283" t="str">
        <f aca="false">IF(F$4&gt;0,(IF(E67&lt;&gt;0,E67*F$4/100," ")),IF(E67&lt;&gt;0,E67*F$2/(100+F$2)," "))</f>
        <v> </v>
      </c>
      <c r="G67" s="283" t="str">
        <f aca="false">IF((E67&lt;&gt;0),E67-F67," ")</f>
        <v> </v>
      </c>
    </row>
    <row r="68" customFormat="false" ht="12.75" hidden="false" customHeight="false" outlineLevel="0" collapsed="false">
      <c r="F68" s="283" t="str">
        <f aca="false">IF(F$4&gt;0,(IF(E68&lt;&gt;0,E68*F$4/100," ")),IF(E68&lt;&gt;0,E68*F$2/(100+F$2)," "))</f>
        <v> </v>
      </c>
      <c r="G68" s="283" t="str">
        <f aca="false">IF((E68&lt;&gt;0),E68-F68," ")</f>
        <v> </v>
      </c>
    </row>
    <row r="69" customFormat="false" ht="12.75" hidden="false" customHeight="false" outlineLevel="0" collapsed="false">
      <c r="F69" s="283" t="str">
        <f aca="false">IF(F$4&gt;0,(IF(E69&lt;&gt;0,E69*F$4/100," ")),IF(E69&lt;&gt;0,E69*F$2/(100+F$2)," "))</f>
        <v> </v>
      </c>
      <c r="G69" s="283" t="str">
        <f aca="false">IF((E69&lt;&gt;0),E69-F69," ")</f>
        <v> </v>
      </c>
    </row>
    <row r="70" customFormat="false" ht="12.75" hidden="false" customHeight="false" outlineLevel="0" collapsed="false">
      <c r="F70" s="283" t="str">
        <f aca="false">IF(F$4&gt;0,(IF(E70&lt;&gt;0,E70*F$4/100," ")),IF(E70&lt;&gt;0,E70*F$2/(100+F$2)," "))</f>
        <v> </v>
      </c>
      <c r="G70" s="283" t="str">
        <f aca="false">IF((E70&lt;&gt;0),E70-F70," ")</f>
        <v> </v>
      </c>
    </row>
    <row r="71" customFormat="false" ht="12.75" hidden="false" customHeight="false" outlineLevel="0" collapsed="false">
      <c r="F71" s="283" t="str">
        <f aca="false">IF(F$4&gt;0,(IF(E71&lt;&gt;0,E71*F$4/100," ")),IF(E71&lt;&gt;0,E71*F$2/(100+F$2)," "))</f>
        <v> </v>
      </c>
      <c r="G71" s="283" t="str">
        <f aca="false">IF((E71&lt;&gt;0),E71-F71," ")</f>
        <v> </v>
      </c>
    </row>
    <row r="72" customFormat="false" ht="12.75" hidden="false" customHeight="false" outlineLevel="0" collapsed="false">
      <c r="F72" s="283" t="str">
        <f aca="false">IF(F$4&gt;0,(IF(E72&lt;&gt;0,E72*F$4/100," ")),IF(E72&lt;&gt;0,E72*F$2/(100+F$2)," "))</f>
        <v> </v>
      </c>
      <c r="G72" s="283" t="str">
        <f aca="false">IF((E72&lt;&gt;0),E72-F72," ")</f>
        <v> </v>
      </c>
    </row>
    <row r="73" customFormat="false" ht="12.75" hidden="false" customHeight="false" outlineLevel="0" collapsed="false">
      <c r="F73" s="283" t="str">
        <f aca="false">IF(F$4&gt;0,(IF(E73&lt;&gt;0,E73*F$4/100," ")),IF(E73&lt;&gt;0,E73*F$2/(100+F$2)," "))</f>
        <v> </v>
      </c>
      <c r="G73" s="283" t="str">
        <f aca="false">IF((E73&lt;&gt;0),E73-F73," ")</f>
        <v> </v>
      </c>
    </row>
    <row r="74" customFormat="false" ht="12.75" hidden="false" customHeight="false" outlineLevel="0" collapsed="false">
      <c r="F74" s="283" t="str">
        <f aca="false">IF(F$4&gt;0,(IF(E74&lt;&gt;0,E74*F$4/100," ")),IF(E74&lt;&gt;0,E74*F$2/(100+F$2)," "))</f>
        <v> </v>
      </c>
      <c r="G74" s="283" t="str">
        <f aca="false">IF((E74&lt;&gt;0),E74-F74," ")</f>
        <v> </v>
      </c>
    </row>
    <row r="75" customFormat="false" ht="12.75" hidden="false" customHeight="false" outlineLevel="0" collapsed="false">
      <c r="F75" s="283" t="str">
        <f aca="false">IF(F$4&gt;0,(IF(E75&lt;&gt;0,E75*F$4/100," ")),IF(E75&lt;&gt;0,E75*F$2/(100+F$2)," "))</f>
        <v> </v>
      </c>
      <c r="G75" s="283" t="str">
        <f aca="false">IF((E75&lt;&gt;0),E75-F75," ")</f>
        <v> </v>
      </c>
    </row>
    <row r="76" customFormat="false" ht="12.75" hidden="false" customHeight="false" outlineLevel="0" collapsed="false">
      <c r="F76" s="283" t="str">
        <f aca="false">IF(F$4&gt;0,(IF(E76&lt;&gt;0,E76*F$4/100," ")),IF(E76&lt;&gt;0,E76*F$2/(100+F$2)," "))</f>
        <v> </v>
      </c>
      <c r="G76" s="283" t="str">
        <f aca="false">IF((E76&lt;&gt;0),E76-F76," ")</f>
        <v> </v>
      </c>
    </row>
    <row r="77" customFormat="false" ht="12.75" hidden="false" customHeight="false" outlineLevel="0" collapsed="false">
      <c r="F77" s="283" t="str">
        <f aca="false">IF(F$4&gt;0,(IF(E77&lt;&gt;0,E77*F$4/100," ")),IF(E77&lt;&gt;0,E77*F$2/(100+F$2)," "))</f>
        <v> </v>
      </c>
      <c r="G77" s="283" t="str">
        <f aca="false">IF((E77&lt;&gt;0),E77-F77," ")</f>
        <v> </v>
      </c>
    </row>
    <row r="78" customFormat="false" ht="12.75" hidden="false" customHeight="false" outlineLevel="0" collapsed="false">
      <c r="F78" s="283" t="str">
        <f aca="false">IF(F$4&gt;0,(IF(E78&lt;&gt;0,E78*F$4/100," ")),IF(E78&lt;&gt;0,E78*F$2/(100+F$2)," "))</f>
        <v> </v>
      </c>
      <c r="G78" s="283" t="str">
        <f aca="false">IF((E78&lt;&gt;0),E78-F78," ")</f>
        <v> </v>
      </c>
    </row>
    <row r="79" customFormat="false" ht="12.75" hidden="false" customHeight="false" outlineLevel="0" collapsed="false">
      <c r="F79" s="283" t="str">
        <f aca="false">IF(F$4&gt;0,(IF(E79&lt;&gt;0,E79*F$4/100," ")),IF(E79&lt;&gt;0,E79*F$2/(100+F$2)," "))</f>
        <v> </v>
      </c>
      <c r="G79" s="283" t="str">
        <f aca="false">IF((E79&lt;&gt;0),E79-F79," ")</f>
        <v> </v>
      </c>
    </row>
    <row r="80" customFormat="false" ht="12.75" hidden="false" customHeight="false" outlineLevel="0" collapsed="false">
      <c r="F80" s="283" t="str">
        <f aca="false">IF(F$4&gt;0,(IF(E80&lt;&gt;0,E80*F$4/100," ")),IF(E80&lt;&gt;0,E80*F$2/(100+F$2)," "))</f>
        <v> </v>
      </c>
      <c r="G80" s="283" t="str">
        <f aca="false">IF((E80&lt;&gt;0),E80-F80," ")</f>
        <v> </v>
      </c>
    </row>
    <row r="81" customFormat="false" ht="12.75" hidden="false" customHeight="false" outlineLevel="0" collapsed="false">
      <c r="F81" s="283" t="str">
        <f aca="false">IF(F$4&gt;0,(IF(E81&lt;&gt;0,E81*F$4/100," ")),IF(E81&lt;&gt;0,E81*F$2/(100+F$2)," "))</f>
        <v> </v>
      </c>
      <c r="G81" s="283" t="str">
        <f aca="false">IF((E81&lt;&gt;0),E81-F81," ")</f>
        <v> </v>
      </c>
    </row>
    <row r="82" customFormat="false" ht="12.75" hidden="false" customHeight="false" outlineLevel="0" collapsed="false">
      <c r="F82" s="283" t="str">
        <f aca="false">IF(F$4&gt;0,(IF(E82&lt;&gt;0,E82*F$4/100," ")),IF(E82&lt;&gt;0,E82*F$2/(100+F$2)," "))</f>
        <v> </v>
      </c>
      <c r="G82" s="283" t="str">
        <f aca="false">IF((E82&lt;&gt;0),E82-F82," ")</f>
        <v> </v>
      </c>
    </row>
    <row r="83" customFormat="false" ht="12.75" hidden="false" customHeight="false" outlineLevel="0" collapsed="false">
      <c r="F83" s="283" t="str">
        <f aca="false">IF(F$4&gt;0,(IF(E83&lt;&gt;0,E83*F$4/100," ")),IF(E83&lt;&gt;0,E83*F$2/(100+F$2)," "))</f>
        <v> </v>
      </c>
      <c r="G83" s="283" t="str">
        <f aca="false">IF((E83&lt;&gt;0),E83-F83," ")</f>
        <v> </v>
      </c>
    </row>
    <row r="84" customFormat="false" ht="12.75" hidden="false" customHeight="false" outlineLevel="0" collapsed="false">
      <c r="F84" s="283" t="str">
        <f aca="false">IF(F$4&gt;0,(IF(E84&lt;&gt;0,E84*F$4/100," ")),IF(E84&lt;&gt;0,E84*F$2/(100+F$2)," "))</f>
        <v> </v>
      </c>
      <c r="G84" s="283" t="str">
        <f aca="false">IF((E84&lt;&gt;0),E84-F84," ")</f>
        <v> </v>
      </c>
    </row>
    <row r="85" customFormat="false" ht="12.75" hidden="false" customHeight="false" outlineLevel="0" collapsed="false">
      <c r="F85" s="283" t="str">
        <f aca="false">IF(F$4&gt;0,(IF(E85&lt;&gt;0,E85*F$4/100," ")),IF(E85&lt;&gt;0,E85*F$2/(100+F$2)," "))</f>
        <v> </v>
      </c>
      <c r="G85" s="283" t="str">
        <f aca="false">IF((E85&lt;&gt;0),E85-F85," ")</f>
        <v> </v>
      </c>
    </row>
    <row r="86" customFormat="false" ht="12.75" hidden="false" customHeight="false" outlineLevel="0" collapsed="false">
      <c r="F86" s="283" t="str">
        <f aca="false">IF(F$4&gt;0,(IF(E86&lt;&gt;0,E86*F$4/100," ")),IF(E86&lt;&gt;0,E86*F$2/(100+F$2)," "))</f>
        <v> </v>
      </c>
      <c r="G86" s="283" t="str">
        <f aca="false">IF((E86&lt;&gt;0),E86-F86," ")</f>
        <v> </v>
      </c>
    </row>
    <row r="87" customFormat="false" ht="12.75" hidden="false" customHeight="false" outlineLevel="0" collapsed="false">
      <c r="F87" s="283" t="str">
        <f aca="false">IF(F$4&gt;0,(IF(E87&lt;&gt;0,E87*F$4/100," ")),IF(E87&lt;&gt;0,E87*F$2/(100+F$2)," "))</f>
        <v> </v>
      </c>
      <c r="G87" s="283" t="str">
        <f aca="false">IF((E87&lt;&gt;0),E87-F87," ")</f>
        <v> </v>
      </c>
    </row>
    <row r="88" customFormat="false" ht="12.75" hidden="false" customHeight="false" outlineLevel="0" collapsed="false">
      <c r="F88" s="283" t="str">
        <f aca="false">IF(F$4&gt;0,(IF(E88&lt;&gt;0,E88*F$4/100," ")),IF(E88&lt;&gt;0,E88*F$2/(100+F$2)," "))</f>
        <v> </v>
      </c>
      <c r="G88" s="283" t="str">
        <f aca="false">IF((E88&lt;&gt;0),E88-F88," ")</f>
        <v> </v>
      </c>
    </row>
    <row r="89" customFormat="false" ht="12.75" hidden="false" customHeight="false" outlineLevel="0" collapsed="false">
      <c r="F89" s="283" t="str">
        <f aca="false">IF(F$4&gt;0,(IF(E89&lt;&gt;0,E89*F$4/100," ")),IF(E89&lt;&gt;0,E89*F$2/(100+F$2)," "))</f>
        <v> </v>
      </c>
      <c r="G89" s="283" t="str">
        <f aca="false">IF((E89&lt;&gt;0),E89-F89," ")</f>
        <v> </v>
      </c>
    </row>
    <row r="90" customFormat="false" ht="12.75" hidden="false" customHeight="false" outlineLevel="0" collapsed="false">
      <c r="F90" s="283" t="str">
        <f aca="false">IF(F$4&gt;0,(IF(E90&lt;&gt;0,E90*F$4/100," ")),IF(E90&lt;&gt;0,E90*F$2/(100+F$2)," "))</f>
        <v> </v>
      </c>
      <c r="G90" s="283" t="str">
        <f aca="false">IF((E90&lt;&gt;0),E90-F90," ")</f>
        <v> </v>
      </c>
    </row>
    <row r="91" customFormat="false" ht="12.75" hidden="false" customHeight="false" outlineLevel="0" collapsed="false">
      <c r="F91" s="283" t="str">
        <f aca="false">IF(F$4&gt;0,(IF(E91&lt;&gt;0,E91*F$4/100," ")),IF(E91&lt;&gt;0,E91*F$2/(100+F$2)," "))</f>
        <v> </v>
      </c>
      <c r="G91" s="283" t="str">
        <f aca="false">IF((E91&lt;&gt;0),E91-F91," ")</f>
        <v> </v>
      </c>
    </row>
    <row r="92" customFormat="false" ht="12.75" hidden="false" customHeight="false" outlineLevel="0" collapsed="false">
      <c r="F92" s="283" t="str">
        <f aca="false">IF(F$4&gt;0,(IF(E92&lt;&gt;0,E92*F$4/100," ")),IF(E92&lt;&gt;0,E92*F$2/(100+F$2)," "))</f>
        <v> </v>
      </c>
      <c r="G92" s="283" t="str">
        <f aca="false">IF((E92&lt;&gt;0),E92-F92," ")</f>
        <v> </v>
      </c>
    </row>
    <row r="93" customFormat="false" ht="12.75" hidden="false" customHeight="false" outlineLevel="0" collapsed="false">
      <c r="F93" s="283" t="str">
        <f aca="false">IF(F$4&gt;0,(IF(E93&lt;&gt;0,E93*F$4/100," ")),IF(E93&lt;&gt;0,E93*F$2/(100+F$2)," "))</f>
        <v> </v>
      </c>
      <c r="G93" s="283" t="str">
        <f aca="false">IF((E93&lt;&gt;0),E93-F93," ")</f>
        <v> </v>
      </c>
    </row>
    <row r="94" customFormat="false" ht="12.75" hidden="false" customHeight="false" outlineLevel="0" collapsed="false">
      <c r="F94" s="283" t="str">
        <f aca="false">IF(F$4&gt;0,(IF(E94&lt;&gt;0,E94*F$4/100," ")),IF(E94&lt;&gt;0,E94*F$2/(100+F$2)," "))</f>
        <v> </v>
      </c>
      <c r="G94" s="283" t="str">
        <f aca="false">IF((E94&lt;&gt;0),E94-F94," ")</f>
        <v> </v>
      </c>
    </row>
    <row r="95" customFormat="false" ht="12.75" hidden="false" customHeight="false" outlineLevel="0" collapsed="false">
      <c r="F95" s="283" t="str">
        <f aca="false">IF(F$4&gt;0,(IF(E95&lt;&gt;0,E95*F$4/100," ")),IF(E95&lt;&gt;0,E95*F$2/(100+F$2)," "))</f>
        <v> </v>
      </c>
      <c r="G95" s="283" t="str">
        <f aca="false">IF((E95&lt;&gt;0),E95-F95," ")</f>
        <v> </v>
      </c>
    </row>
    <row r="96" customFormat="false" ht="12.75" hidden="false" customHeight="false" outlineLevel="0" collapsed="false">
      <c r="F96" s="283" t="str">
        <f aca="false">IF(F$4&gt;0,(IF(E96&lt;&gt;0,E96*F$4/100," ")),IF(E96&lt;&gt;0,E96*F$2/(100+F$2)," "))</f>
        <v> </v>
      </c>
      <c r="G96" s="283" t="str">
        <f aca="false">IF((E96&lt;&gt;0),E96-F96," ")</f>
        <v> </v>
      </c>
    </row>
    <row r="97" customFormat="false" ht="12.75" hidden="false" customHeight="false" outlineLevel="0" collapsed="false">
      <c r="F97" s="283" t="str">
        <f aca="false">IF(F$4&gt;0,(IF(E97&lt;&gt;0,E97*F$4/100," ")),IF(E97&lt;&gt;0,E97*F$2/(100+F$2)," "))</f>
        <v> </v>
      </c>
      <c r="G97" s="283" t="str">
        <f aca="false">IF((E97&lt;&gt;0),E97-F97," ")</f>
        <v> </v>
      </c>
    </row>
    <row r="98" customFormat="false" ht="12.75" hidden="false" customHeight="false" outlineLevel="0" collapsed="false">
      <c r="F98" s="283" t="str">
        <f aca="false">IF(F$4&gt;0,(IF(E98&lt;&gt;0,E98*F$4/100," ")),IF(E98&lt;&gt;0,E98*F$2/(100+F$2)," "))</f>
        <v> </v>
      </c>
      <c r="G98" s="283" t="str">
        <f aca="false">IF((E98&lt;&gt;0),E98-F98," ")</f>
        <v> </v>
      </c>
    </row>
    <row r="99" customFormat="false" ht="12.75" hidden="false" customHeight="false" outlineLevel="0" collapsed="false">
      <c r="F99" s="283" t="str">
        <f aca="false">IF(F$4&gt;0,(IF(E99&lt;&gt;0,E99*F$4/100," ")),IF(E99&lt;&gt;0,E99*F$2/(100+F$2)," "))</f>
        <v> </v>
      </c>
      <c r="G99" s="283" t="str">
        <f aca="false">IF((E99&lt;&gt;0),E99-F99," ")</f>
        <v> </v>
      </c>
    </row>
    <row r="100" customFormat="false" ht="12.75" hidden="false" customHeight="false" outlineLevel="0" collapsed="false">
      <c r="F100" s="283" t="str">
        <f aca="false">IF(F$4&gt;0,(IF(E100&lt;&gt;0,E100*F$4/100," ")),IF(E100&lt;&gt;0,E100*F$2/(100+F$2)," "))</f>
        <v> </v>
      </c>
      <c r="G100" s="283" t="str">
        <f aca="false">IF((E100&lt;&gt;0),E100-F100," ")</f>
        <v> </v>
      </c>
    </row>
    <row r="101" customFormat="false" ht="12.75" hidden="false" customHeight="false" outlineLevel="0" collapsed="false">
      <c r="F101" s="283" t="str">
        <f aca="false">IF(F$4&gt;0,(IF(E101&lt;&gt;0,E101*F$4/100," ")),IF(E101&lt;&gt;0,E101*F$2/(100+F$2)," "))</f>
        <v> </v>
      </c>
      <c r="G101" s="283" t="str">
        <f aca="false">IF((E101&lt;&gt;0),E101-F101," ")</f>
        <v> </v>
      </c>
    </row>
    <row r="102" customFormat="false" ht="12.75" hidden="false" customHeight="false" outlineLevel="0" collapsed="false">
      <c r="F102" s="283" t="str">
        <f aca="false">IF(F$4&gt;0,(IF(E102&lt;&gt;0,E102*F$4/100," ")),IF(E102&lt;&gt;0,E102*F$2/(100+F$2)," "))</f>
        <v> </v>
      </c>
      <c r="G102" s="283" t="str">
        <f aca="false">IF((E102&lt;&gt;0),E102-F102," ")</f>
        <v> </v>
      </c>
    </row>
    <row r="103" customFormat="false" ht="12.75" hidden="false" customHeight="false" outlineLevel="0" collapsed="false">
      <c r="F103" s="283" t="str">
        <f aca="false">IF(F$4&gt;0,(IF(E103&lt;&gt;0,E103*F$4/100," ")),IF(E103&lt;&gt;0,E103*F$2/(100+F$2)," "))</f>
        <v> </v>
      </c>
      <c r="G103" s="283" t="str">
        <f aca="false">IF((E103&lt;&gt;0),E103-F103," ")</f>
        <v> </v>
      </c>
    </row>
    <row r="104" customFormat="false" ht="12.75" hidden="false" customHeight="false" outlineLevel="0" collapsed="false">
      <c r="F104" s="283" t="str">
        <f aca="false">IF(F$4&gt;0,(IF(E104&lt;&gt;0,E104*F$4/100," ")),IF(E104&lt;&gt;0,E104*F$2/(100+F$2)," "))</f>
        <v> </v>
      </c>
      <c r="G104" s="283" t="str">
        <f aca="false">IF((E104&lt;&gt;0),E104-F104," ")</f>
        <v> </v>
      </c>
    </row>
    <row r="105" customFormat="false" ht="12.75" hidden="false" customHeight="false" outlineLevel="0" collapsed="false">
      <c r="F105" s="283" t="str">
        <f aca="false">IF(F$4&gt;0,(IF(E105&lt;&gt;0,E105*F$4/100," ")),IF(E105&lt;&gt;0,E105*F$2/(100+F$2)," "))</f>
        <v> </v>
      </c>
      <c r="G105" s="283" t="str">
        <f aca="false">IF((E105&lt;&gt;0),E105-F105," ")</f>
        <v> </v>
      </c>
    </row>
    <row r="106" customFormat="false" ht="12.75" hidden="false" customHeight="false" outlineLevel="0" collapsed="false">
      <c r="F106" s="283" t="str">
        <f aca="false">IF(F$4&gt;0,(IF(E106&lt;&gt;0,E106*F$4/100," ")),IF(E106&lt;&gt;0,E106*F$2/(100+F$2)," "))</f>
        <v> </v>
      </c>
      <c r="G106" s="283" t="str">
        <f aca="false">IF((E106&lt;&gt;0),E106-F106," ")</f>
        <v> </v>
      </c>
    </row>
    <row r="107" customFormat="false" ht="12.75" hidden="false" customHeight="false" outlineLevel="0" collapsed="false">
      <c r="F107" s="283" t="str">
        <f aca="false">IF(F$4&gt;0,(IF(E107&lt;&gt;0,E107*F$4/100," ")),IF(E107&lt;&gt;0,E107*F$2/(100+F$2)," "))</f>
        <v> </v>
      </c>
      <c r="G107" s="283" t="str">
        <f aca="false">IF((E107&lt;&gt;0),E107-F107," ")</f>
        <v> </v>
      </c>
    </row>
    <row r="108" customFormat="false" ht="12.75" hidden="false" customHeight="false" outlineLevel="0" collapsed="false">
      <c r="F108" s="283" t="str">
        <f aca="false">IF(F$4&gt;0,(IF(E108&lt;&gt;0,E108*F$4/100," ")),IF(E108&lt;&gt;0,E108*F$2/(100+F$2)," "))</f>
        <v> </v>
      </c>
      <c r="G108" s="283" t="str">
        <f aca="false">IF((E108&lt;&gt;0),E108-F108," ")</f>
        <v> </v>
      </c>
    </row>
    <row r="109" customFormat="false" ht="12.75" hidden="false" customHeight="false" outlineLevel="0" collapsed="false">
      <c r="F109" s="283" t="str">
        <f aca="false">IF(F$4&gt;0,(IF(E109&lt;&gt;0,E109*F$4/100," ")),IF(E109&lt;&gt;0,E109*F$2/(100+F$2)," "))</f>
        <v> </v>
      </c>
      <c r="G109" s="283" t="str">
        <f aca="false">IF((E109&lt;&gt;0),E109-F109," ")</f>
        <v> </v>
      </c>
    </row>
    <row r="110" customFormat="false" ht="12.75" hidden="false" customHeight="false" outlineLevel="0" collapsed="false">
      <c r="F110" s="283" t="str">
        <f aca="false">IF(F$4&gt;0,(IF(E110&lt;&gt;0,E110*F$4/100," ")),IF(E110&lt;&gt;0,E110*F$2/(100+F$2)," "))</f>
        <v> </v>
      </c>
      <c r="G110" s="283" t="str">
        <f aca="false">IF((E110&lt;&gt;0),E110-F110," ")</f>
        <v> </v>
      </c>
    </row>
    <row r="111" customFormat="false" ht="12.75" hidden="false" customHeight="false" outlineLevel="0" collapsed="false">
      <c r="F111" s="283" t="str">
        <f aca="false">IF(F$4&gt;0,(IF(E111&lt;&gt;0,E111*F$4/100," ")),IF(E111&lt;&gt;0,E111*F$2/(100+F$2)," "))</f>
        <v> </v>
      </c>
      <c r="G111" s="283" t="str">
        <f aca="false">IF((E111&lt;&gt;0),E111-F111," ")</f>
        <v> </v>
      </c>
    </row>
    <row r="112" customFormat="false" ht="12.75" hidden="false" customHeight="false" outlineLevel="0" collapsed="false">
      <c r="F112" s="283" t="str">
        <f aca="false">IF(F$4&gt;0,(IF(E112&lt;&gt;0,E112*F$4/100," ")),IF(E112&lt;&gt;0,E112*F$2/(100+F$2)," "))</f>
        <v> </v>
      </c>
      <c r="G112" s="283" t="str">
        <f aca="false">IF((E112&lt;&gt;0),E112-F112," ")</f>
        <v> </v>
      </c>
    </row>
    <row r="113" customFormat="false" ht="12.75" hidden="false" customHeight="false" outlineLevel="0" collapsed="false">
      <c r="F113" s="283" t="str">
        <f aca="false">IF(F$4&gt;0,(IF(E113&lt;&gt;0,E113*F$4/100," ")),IF(E113&lt;&gt;0,E113*F$2/(100+F$2)," "))</f>
        <v> </v>
      </c>
      <c r="G113" s="283" t="str">
        <f aca="false">IF((E113&lt;&gt;0),E113-F113," ")</f>
        <v> </v>
      </c>
    </row>
    <row r="114" customFormat="false" ht="12.75" hidden="false" customHeight="false" outlineLevel="0" collapsed="false">
      <c r="F114" s="283" t="str">
        <f aca="false">IF(F$4&gt;0,(IF(E114&lt;&gt;0,E114*F$4/100," ")),IF(E114&lt;&gt;0,E114*F$2/(100+F$2)," "))</f>
        <v> </v>
      </c>
      <c r="G114" s="283" t="str">
        <f aca="false">IF((E114&lt;&gt;0),E114-F114," ")</f>
        <v> </v>
      </c>
    </row>
    <row r="115" customFormat="false" ht="12.75" hidden="false" customHeight="false" outlineLevel="0" collapsed="false">
      <c r="F115" s="283" t="str">
        <f aca="false">IF(F$4&gt;0,(IF(E115&lt;&gt;0,E115*F$4/100," ")),IF(E115&lt;&gt;0,E115*F$2/(100+F$2)," "))</f>
        <v> </v>
      </c>
      <c r="G115" s="283" t="str">
        <f aca="false">IF((E115&lt;&gt;0),E115-F115," ")</f>
        <v> </v>
      </c>
    </row>
    <row r="116" customFormat="false" ht="12.75" hidden="false" customHeight="false" outlineLevel="0" collapsed="false">
      <c r="F116" s="283" t="str">
        <f aca="false">IF(F$4&gt;0,(IF(E116&lt;&gt;0,E116*F$4/100," ")),IF(E116&lt;&gt;0,E116*F$2/(100+F$2)," "))</f>
        <v> </v>
      </c>
      <c r="G116" s="283" t="str">
        <f aca="false">IF((E116&lt;&gt;0),E116-F116," ")</f>
        <v> </v>
      </c>
    </row>
    <row r="117" customFormat="false" ht="12.75" hidden="false" customHeight="false" outlineLevel="0" collapsed="false">
      <c r="F117" s="283" t="str">
        <f aca="false">IF(F$4&gt;0,(IF(E117&lt;&gt;0,E117*F$4/100," ")),IF(E117&lt;&gt;0,E117*F$2/(100+F$2)," "))</f>
        <v> </v>
      </c>
      <c r="G117" s="283" t="str">
        <f aca="false">IF((E117&lt;&gt;0),E117-F117," ")</f>
        <v> </v>
      </c>
    </row>
    <row r="118" customFormat="false" ht="12.75" hidden="false" customHeight="false" outlineLevel="0" collapsed="false">
      <c r="F118" s="283" t="str">
        <f aca="false">IF(F$4&gt;0,(IF(E118&lt;&gt;0,E118*F$4/100," ")),IF(E118&lt;&gt;0,E118*F$2/(100+F$2)," "))</f>
        <v> </v>
      </c>
      <c r="G118" s="283" t="str">
        <f aca="false">IF((E118&lt;&gt;0),E118-F118," ")</f>
        <v> </v>
      </c>
    </row>
    <row r="119" customFormat="false" ht="12.75" hidden="false" customHeight="false" outlineLevel="0" collapsed="false">
      <c r="F119" s="283" t="str">
        <f aca="false">IF(F$4&gt;0,(IF(E119&lt;&gt;0,E119*F$4/100," ")),IF(E119&lt;&gt;0,E119*F$2/(100+F$2)," "))</f>
        <v> </v>
      </c>
      <c r="G119" s="283" t="str">
        <f aca="false">IF((E119&lt;&gt;0),E119-F119," ")</f>
        <v> </v>
      </c>
    </row>
    <row r="120" customFormat="false" ht="12.75" hidden="false" customHeight="false" outlineLevel="0" collapsed="false">
      <c r="F120" s="283" t="str">
        <f aca="false">IF(F$4&gt;0,(IF(E120&lt;&gt;0,E120*F$4/100," ")),IF(E120&lt;&gt;0,E120*F$2/(100+F$2)," "))</f>
        <v> </v>
      </c>
      <c r="G120" s="283" t="str">
        <f aca="false">IF((E120&lt;&gt;0),E120-F120," ")</f>
        <v> </v>
      </c>
    </row>
    <row r="121" customFormat="false" ht="12.75" hidden="false" customHeight="false" outlineLevel="0" collapsed="false">
      <c r="F121" s="283" t="str">
        <f aca="false">IF(F$4&gt;0,(IF(E121&lt;&gt;0,E121*F$4/100," ")),IF(E121&lt;&gt;0,E121*F$2/(100+F$2)," "))</f>
        <v> </v>
      </c>
      <c r="G121" s="283" t="str">
        <f aca="false">IF((E121&lt;&gt;0),E121-F121," ")</f>
        <v> </v>
      </c>
    </row>
    <row r="122" customFormat="false" ht="12.75" hidden="false" customHeight="false" outlineLevel="0" collapsed="false">
      <c r="F122" s="283" t="str">
        <f aca="false">IF(F$4&gt;0,(IF(E122&lt;&gt;0,E122*F$4/100," ")),IF(E122&lt;&gt;0,E122*F$2/(100+F$2)," "))</f>
        <v> </v>
      </c>
      <c r="G122" s="283" t="str">
        <f aca="false">IF((E122&lt;&gt;0),E122-F122," ")</f>
        <v> </v>
      </c>
    </row>
    <row r="123" customFormat="false" ht="12.75" hidden="false" customHeight="false" outlineLevel="0" collapsed="false">
      <c r="F123" s="283" t="str">
        <f aca="false">IF(F$4&gt;0,(IF(E123&lt;&gt;0,E123*F$4/100," ")),IF(E123&lt;&gt;0,E123*F$2/(100+F$2)," "))</f>
        <v> </v>
      </c>
      <c r="G123" s="283" t="str">
        <f aca="false">IF((E123&lt;&gt;0),E123-F123," ")</f>
        <v> </v>
      </c>
    </row>
    <row r="124" customFormat="false" ht="12.75" hidden="false" customHeight="false" outlineLevel="0" collapsed="false">
      <c r="F124" s="283" t="str">
        <f aca="false">IF(F$4&gt;0,(IF(E124&lt;&gt;0,E124*F$4/100," ")),IF(E124&lt;&gt;0,E124*F$2/(100+F$2)," "))</f>
        <v> </v>
      </c>
      <c r="G124" s="283" t="str">
        <f aca="false">IF((E124&lt;&gt;0),E124-F124," ")</f>
        <v> </v>
      </c>
    </row>
    <row r="125" customFormat="false" ht="12.75" hidden="false" customHeight="false" outlineLevel="0" collapsed="false">
      <c r="F125" s="283" t="str">
        <f aca="false">IF(F$4&gt;0,(IF(E125&lt;&gt;0,E125*F$4/100," ")),IF(E125&lt;&gt;0,E125*F$2/(100+F$2)," "))</f>
        <v> </v>
      </c>
      <c r="G125" s="283" t="str">
        <f aca="false">IF((E125&lt;&gt;0),E125-F125," ")</f>
        <v> </v>
      </c>
    </row>
    <row r="126" customFormat="false" ht="12.75" hidden="false" customHeight="false" outlineLevel="0" collapsed="false">
      <c r="F126" s="283" t="str">
        <f aca="false">IF(F$4&gt;0,(IF(E126&lt;&gt;0,E126*F$4/100," ")),IF(E126&lt;&gt;0,E126*F$2/(100+F$2)," "))</f>
        <v> </v>
      </c>
      <c r="G126" s="283" t="str">
        <f aca="false">IF((E126&lt;&gt;0),E126-F126," ")</f>
        <v> </v>
      </c>
    </row>
    <row r="127" customFormat="false" ht="12.75" hidden="false" customHeight="false" outlineLevel="0" collapsed="false">
      <c r="F127" s="283" t="str">
        <f aca="false">IF(F$4&gt;0,(IF(E127&lt;&gt;0,E127*F$4/100," ")),IF(E127&lt;&gt;0,E127*F$2/(100+F$2)," "))</f>
        <v> </v>
      </c>
      <c r="G127" s="283" t="str">
        <f aca="false">IF((E127&lt;&gt;0),E127-F127," ")</f>
        <v> </v>
      </c>
    </row>
    <row r="128" customFormat="false" ht="12.75" hidden="false" customHeight="false" outlineLevel="0" collapsed="false">
      <c r="F128" s="283" t="str">
        <f aca="false">IF(F$4&gt;0,(IF(E128&lt;&gt;0,E128*F$4/100," ")),IF(E128&lt;&gt;0,E128*F$2/(100+F$2)," "))</f>
        <v> </v>
      </c>
      <c r="G128" s="283" t="str">
        <f aca="false">IF((E128&lt;&gt;0),E128-F128," ")</f>
        <v> </v>
      </c>
    </row>
    <row r="129" customFormat="false" ht="12.75" hidden="false" customHeight="false" outlineLevel="0" collapsed="false">
      <c r="F129" s="283" t="str">
        <f aca="false">IF(F$4&gt;0,(IF(E129&lt;&gt;0,E129*F$4/100," ")),IF(E129&lt;&gt;0,E129*F$2/(100+F$2)," "))</f>
        <v> </v>
      </c>
      <c r="G129" s="283" t="str">
        <f aca="false">IF((E129&lt;&gt;0),E129-F129," ")</f>
        <v> </v>
      </c>
    </row>
    <row r="130" customFormat="false" ht="12.75" hidden="false" customHeight="false" outlineLevel="0" collapsed="false">
      <c r="F130" s="283" t="str">
        <f aca="false">IF(F$4&gt;0,(IF(E130&lt;&gt;0,E130*F$4/100," ")),IF(E130&lt;&gt;0,E130*F$2/(100+F$2)," "))</f>
        <v> </v>
      </c>
      <c r="G130" s="283" t="str">
        <f aca="false">IF((E130&lt;&gt;0),E130-F130," ")</f>
        <v> </v>
      </c>
    </row>
    <row r="131" customFormat="false" ht="12.75" hidden="false" customHeight="false" outlineLevel="0" collapsed="false">
      <c r="F131" s="283" t="str">
        <f aca="false">IF(F$4&gt;0,(IF(E131&lt;&gt;0,E131*F$4/100," ")),IF(E131&lt;&gt;0,E131*F$2/(100+F$2)," "))</f>
        <v> </v>
      </c>
      <c r="G131" s="283" t="str">
        <f aca="false">IF((E131&lt;&gt;0),E131-F131," ")</f>
        <v> </v>
      </c>
    </row>
    <row r="132" customFormat="false" ht="12.75" hidden="false" customHeight="false" outlineLevel="0" collapsed="false">
      <c r="F132" s="283" t="str">
        <f aca="false">IF(F$4&gt;0,(IF(E132&lt;&gt;0,E132*F$4/100," ")),IF(E132&lt;&gt;0,E132*F$2/(100+F$2)," "))</f>
        <v> </v>
      </c>
      <c r="G132" s="283" t="str">
        <f aca="false">IF((E132&lt;&gt;0),E132-F132," ")</f>
        <v> </v>
      </c>
    </row>
    <row r="133" customFormat="false" ht="12.75" hidden="false" customHeight="false" outlineLevel="0" collapsed="false">
      <c r="F133" s="283" t="str">
        <f aca="false">IF(F$4&gt;0,(IF(E133&lt;&gt;0,E133*F$4/100," ")),IF(E133&lt;&gt;0,E133*F$2/(100+F$2)," "))</f>
        <v> </v>
      </c>
      <c r="G133" s="283" t="str">
        <f aca="false">IF((E133&lt;&gt;0),E133-F133," ")</f>
        <v> </v>
      </c>
    </row>
    <row r="134" customFormat="false" ht="12.75" hidden="false" customHeight="false" outlineLevel="0" collapsed="false">
      <c r="F134" s="283" t="str">
        <f aca="false">IF(F$4&gt;0,(IF(E134&lt;&gt;0,E134*F$4/100," ")),IF(E134&lt;&gt;0,E134*F$2/(100+F$2)," "))</f>
        <v> </v>
      </c>
      <c r="G134" s="283" t="str">
        <f aca="false">IF((E134&lt;&gt;0),E134-F134," ")</f>
        <v> </v>
      </c>
    </row>
    <row r="135" customFormat="false" ht="12.75" hidden="false" customHeight="false" outlineLevel="0" collapsed="false">
      <c r="F135" s="283" t="str">
        <f aca="false">IF(F$4&gt;0,(IF(E135&lt;&gt;0,E135*F$4/100," ")),IF(E135&lt;&gt;0,E135*F$2/(100+F$2)," "))</f>
        <v> </v>
      </c>
      <c r="G135" s="283" t="str">
        <f aca="false">IF((E135&lt;&gt;0),E135-F135," ")</f>
        <v> </v>
      </c>
    </row>
    <row r="136" customFormat="false" ht="12.75" hidden="false" customHeight="false" outlineLevel="0" collapsed="false">
      <c r="F136" s="283" t="str">
        <f aca="false">IF(F$4&gt;0,(IF(E136&lt;&gt;0,E136*F$4/100," ")),IF(E136&lt;&gt;0,E136*F$2/(100+F$2)," "))</f>
        <v> </v>
      </c>
      <c r="G136" s="283" t="str">
        <f aca="false">IF((E136&lt;&gt;0),E136-F136," ")</f>
        <v> </v>
      </c>
    </row>
    <row r="137" customFormat="false" ht="12.75" hidden="false" customHeight="false" outlineLevel="0" collapsed="false">
      <c r="F137" s="283" t="str">
        <f aca="false">IF(F$4&gt;0,(IF(E137&lt;&gt;0,E137*F$4/100," ")),IF(E137&lt;&gt;0,E137*F$2/(100+F$2)," "))</f>
        <v> </v>
      </c>
      <c r="G137" s="283" t="str">
        <f aca="false">IF((E137&lt;&gt;0),E137-F137," ")</f>
        <v> </v>
      </c>
    </row>
    <row r="138" customFormat="false" ht="12.75" hidden="false" customHeight="false" outlineLevel="0" collapsed="false">
      <c r="F138" s="283" t="str">
        <f aca="false">IF(F$4&gt;0,(IF(E138&lt;&gt;0,E138*F$4/100," ")),IF(E138&lt;&gt;0,E138*F$2/(100+F$2)," "))</f>
        <v> </v>
      </c>
      <c r="G138" s="283" t="str">
        <f aca="false">IF((E138&lt;&gt;0),E138-F138," ")</f>
        <v> </v>
      </c>
    </row>
    <row r="139" customFormat="false" ht="12.75" hidden="false" customHeight="false" outlineLevel="0" collapsed="false">
      <c r="F139" s="283" t="str">
        <f aca="false">IF(F$4&gt;0,(IF(E139&lt;&gt;0,E139*F$4/100," ")),IF(E139&lt;&gt;0,E139*F$2/(100+F$2)," "))</f>
        <v> </v>
      </c>
      <c r="G139" s="283" t="str">
        <f aca="false">IF((E139&lt;&gt;0),E139-F139," ")</f>
        <v> </v>
      </c>
    </row>
    <row r="140" customFormat="false" ht="12.75" hidden="false" customHeight="false" outlineLevel="0" collapsed="false">
      <c r="F140" s="283" t="str">
        <f aca="false">IF(F$4&gt;0,(IF(E140&lt;&gt;0,E140*F$4/100," ")),IF(E140&lt;&gt;0,E140*F$2/(100+F$2)," "))</f>
        <v> </v>
      </c>
      <c r="G140" s="283" t="str">
        <f aca="false">IF((E140&lt;&gt;0),E140-F140," ")</f>
        <v> </v>
      </c>
    </row>
    <row r="141" customFormat="false" ht="12.75" hidden="false" customHeight="false" outlineLevel="0" collapsed="false">
      <c r="F141" s="283" t="str">
        <f aca="false">IF(F$4&gt;0,(IF(E141&lt;&gt;0,E141*F$4/100," ")),IF(E141&lt;&gt;0,E141*F$2/(100+F$2)," "))</f>
        <v> </v>
      </c>
      <c r="G141" s="283" t="str">
        <f aca="false">IF((E141&lt;&gt;0),E141-F141," ")</f>
        <v> </v>
      </c>
    </row>
    <row r="142" customFormat="false" ht="12.75" hidden="false" customHeight="false" outlineLevel="0" collapsed="false">
      <c r="F142" s="283" t="str">
        <f aca="false">IF(F$4&gt;0,(IF(E142&lt;&gt;0,E142*F$4/100," ")),IF(E142&lt;&gt;0,E142*F$2/(100+F$2)," "))</f>
        <v> </v>
      </c>
      <c r="G142" s="283" t="str">
        <f aca="false">IF((E142&lt;&gt;0),E142-F142," ")</f>
        <v> </v>
      </c>
    </row>
    <row r="143" customFormat="false" ht="12.75" hidden="false" customHeight="false" outlineLevel="0" collapsed="false">
      <c r="F143" s="283" t="str">
        <f aca="false">IF(F$4&gt;0,(IF(E143&lt;&gt;0,E143*F$4/100," ")),IF(E143&lt;&gt;0,E143*F$2/(100+F$2)," "))</f>
        <v> </v>
      </c>
      <c r="G143" s="283" t="str">
        <f aca="false">IF((E143&lt;&gt;0),E143-F143," ")</f>
        <v> </v>
      </c>
    </row>
    <row r="144" customFormat="false" ht="12.75" hidden="false" customHeight="false" outlineLevel="0" collapsed="false">
      <c r="F144" s="283" t="str">
        <f aca="false">IF(F$4&gt;0,(IF(E144&lt;&gt;0,E144*F$4/100," ")),IF(E144&lt;&gt;0,E144*F$2/(100+F$2)," "))</f>
        <v> </v>
      </c>
      <c r="G144" s="283" t="str">
        <f aca="false">IF((E144&lt;&gt;0),E144-F144," ")</f>
        <v> </v>
      </c>
    </row>
    <row r="145" customFormat="false" ht="12.75" hidden="false" customHeight="false" outlineLevel="0" collapsed="false">
      <c r="F145" s="283" t="str">
        <f aca="false">IF(F$4&gt;0,(IF(E145&lt;&gt;0,E145*F$4/100," ")),IF(E145&lt;&gt;0,E145*F$2/(100+F$2)," "))</f>
        <v> </v>
      </c>
      <c r="G145" s="283" t="str">
        <f aca="false">IF((E145&lt;&gt;0),E145-F145," ")</f>
        <v> </v>
      </c>
    </row>
    <row r="146" customFormat="false" ht="12.75" hidden="false" customHeight="false" outlineLevel="0" collapsed="false">
      <c r="F146" s="283" t="str">
        <f aca="false">IF(F$4&gt;0,(IF(E146&lt;&gt;0,E146*F$4/100," ")),IF(E146&lt;&gt;0,E146*F$2/(100+F$2)," "))</f>
        <v> </v>
      </c>
      <c r="G146" s="283" t="str">
        <f aca="false">IF((E146&lt;&gt;0),E146-F146," ")</f>
        <v> </v>
      </c>
    </row>
    <row r="147" customFormat="false" ht="12.75" hidden="false" customHeight="false" outlineLevel="0" collapsed="false">
      <c r="F147" s="283" t="str">
        <f aca="false">IF(F$4&gt;0,(IF(E147&lt;&gt;0,E147*F$4/100," ")),IF(E147&lt;&gt;0,E147*F$2/(100+F$2)," "))</f>
        <v> </v>
      </c>
      <c r="G147" s="283" t="str">
        <f aca="false">IF((E147&lt;&gt;0),E147-F147," ")</f>
        <v> </v>
      </c>
    </row>
    <row r="148" customFormat="false" ht="12.75" hidden="false" customHeight="false" outlineLevel="0" collapsed="false">
      <c r="F148" s="283" t="str">
        <f aca="false">IF(F$4&gt;0,(IF(E148&lt;&gt;0,E148*F$4/100," ")),IF(E148&lt;&gt;0,E148*F$2/(100+F$2)," "))</f>
        <v> </v>
      </c>
      <c r="G148" s="283" t="str">
        <f aca="false">IF((E148&lt;&gt;0),E148-F148," ")</f>
        <v> </v>
      </c>
    </row>
    <row r="149" customFormat="false" ht="12.75" hidden="false" customHeight="false" outlineLevel="0" collapsed="false">
      <c r="F149" s="283" t="str">
        <f aca="false">IF(F$4&gt;0,(IF(E149&lt;&gt;0,E149*F$4/100," ")),IF(E149&lt;&gt;0,E149*F$2/(100+F$2)," "))</f>
        <v> </v>
      </c>
      <c r="G149" s="283" t="str">
        <f aca="false">IF((E149&lt;&gt;0),E149-F149," ")</f>
        <v> </v>
      </c>
    </row>
    <row r="150" customFormat="false" ht="12.75" hidden="false" customHeight="false" outlineLevel="0" collapsed="false">
      <c r="F150" s="283" t="str">
        <f aca="false">IF(F$4&gt;0,(IF(E150&lt;&gt;0,E150*F$4/100," ")),IF(E150&lt;&gt;0,E150*F$2/(100+F$2)," "))</f>
        <v> </v>
      </c>
      <c r="G150" s="283" t="str">
        <f aca="false">IF((E150&lt;&gt;0),E150-F150," ")</f>
        <v> </v>
      </c>
    </row>
    <row r="151" customFormat="false" ht="12.75" hidden="false" customHeight="false" outlineLevel="0" collapsed="false">
      <c r="F151" s="283" t="str">
        <f aca="false">IF(F$4&gt;0,(IF(E151&lt;&gt;0,E151*F$4/100," ")),IF(E151&lt;&gt;0,E151*F$2/(100+F$2)," "))</f>
        <v> </v>
      </c>
      <c r="G151" s="283" t="str">
        <f aca="false">IF((E151&lt;&gt;0),E151-F151," ")</f>
        <v> </v>
      </c>
    </row>
    <row r="152" customFormat="false" ht="12.75" hidden="false" customHeight="false" outlineLevel="0" collapsed="false">
      <c r="F152" s="283" t="str">
        <f aca="false">IF(F$4&gt;0,(IF(E152&lt;&gt;0,E152*F$4/100," ")),IF(E152&lt;&gt;0,E152*F$2/(100+F$2)," "))</f>
        <v> </v>
      </c>
      <c r="G152" s="283" t="str">
        <f aca="false">IF((E152&lt;&gt;0),E152-F152," ")</f>
        <v> </v>
      </c>
    </row>
    <row r="153" customFormat="false" ht="12.75" hidden="false" customHeight="false" outlineLevel="0" collapsed="false">
      <c r="F153" s="283" t="str">
        <f aca="false">IF(F$4&gt;0,(IF(E153&lt;&gt;0,E153*F$4/100," ")),IF(E153&lt;&gt;0,E153*F$2/(100+F$2)," "))</f>
        <v> </v>
      </c>
      <c r="G153" s="283" t="str">
        <f aca="false">IF((E153&lt;&gt;0),E153-F153," ")</f>
        <v> </v>
      </c>
    </row>
    <row r="154" customFormat="false" ht="12.75" hidden="false" customHeight="false" outlineLevel="0" collapsed="false">
      <c r="F154" s="283" t="str">
        <f aca="false">IF(F$4&gt;0,(IF(E154&lt;&gt;0,E154*F$4/100," ")),IF(E154&lt;&gt;0,E154*F$2/(100+F$2)," "))</f>
        <v> </v>
      </c>
      <c r="G154" s="283" t="str">
        <f aca="false">IF((E154&lt;&gt;0),E154-F154," ")</f>
        <v> </v>
      </c>
    </row>
    <row r="155" customFormat="false" ht="12.75" hidden="false" customHeight="false" outlineLevel="0" collapsed="false">
      <c r="F155" s="283" t="str">
        <f aca="false">IF(F$4&gt;0,(IF(E155&lt;&gt;0,E155*F$4/100," ")),IF(E155&lt;&gt;0,E155*F$2/(100+F$2)," "))</f>
        <v> </v>
      </c>
      <c r="G155" s="283" t="str">
        <f aca="false">IF((E155&lt;&gt;0),E155-F155," ")</f>
        <v> </v>
      </c>
    </row>
    <row r="156" customFormat="false" ht="12.75" hidden="false" customHeight="false" outlineLevel="0" collapsed="false">
      <c r="F156" s="283" t="str">
        <f aca="false">IF(F$4&gt;0,(IF(E156&lt;&gt;0,E156*F$4/100," ")),IF(E156&lt;&gt;0,E156*F$2/(100+F$2)," "))</f>
        <v> </v>
      </c>
      <c r="G156" s="283" t="str">
        <f aca="false">IF((E156&lt;&gt;0),E156-F156," ")</f>
        <v> </v>
      </c>
    </row>
    <row r="157" customFormat="false" ht="12.75" hidden="false" customHeight="false" outlineLevel="0" collapsed="false">
      <c r="F157" s="283" t="str">
        <f aca="false">IF(F$4&gt;0,(IF(E157&lt;&gt;0,E157*F$4/100," ")),IF(E157&lt;&gt;0,E157*F$2/(100+F$2)," "))</f>
        <v> </v>
      </c>
      <c r="G157" s="283" t="str">
        <f aca="false">IF((E157&lt;&gt;0),E157-F157," ")</f>
        <v> </v>
      </c>
    </row>
    <row r="158" customFormat="false" ht="12.75" hidden="false" customHeight="false" outlineLevel="0" collapsed="false">
      <c r="F158" s="283" t="str">
        <f aca="false">IF(F$4&gt;0,(IF(E158&lt;&gt;0,E158*F$4/100," ")),IF(E158&lt;&gt;0,E158*F$2/(100+F$2)," "))</f>
        <v> </v>
      </c>
      <c r="G158" s="283" t="str">
        <f aca="false">IF((E158&lt;&gt;0),E158-F158," ")</f>
        <v> </v>
      </c>
    </row>
    <row r="159" customFormat="false" ht="12.75" hidden="false" customHeight="false" outlineLevel="0" collapsed="false">
      <c r="F159" s="283" t="str">
        <f aca="false">IF(F$4&gt;0,(IF(E159&lt;&gt;0,E159*F$4/100," ")),IF(E159&lt;&gt;0,E159*F$2/(100+F$2)," "))</f>
        <v> </v>
      </c>
      <c r="G159" s="283" t="str">
        <f aca="false">IF((E159&lt;&gt;0),E159-F159," ")</f>
        <v> </v>
      </c>
    </row>
    <row r="160" customFormat="false" ht="12.75" hidden="false" customHeight="false" outlineLevel="0" collapsed="false">
      <c r="F160" s="283" t="str">
        <f aca="false">IF(F$4&gt;0,(IF(E160&lt;&gt;0,E160*F$4/100," ")),IF(E160&lt;&gt;0,E160*F$2/(100+F$2)," "))</f>
        <v> </v>
      </c>
      <c r="G160" s="283" t="str">
        <f aca="false">IF((E160&lt;&gt;0),E160-F160," ")</f>
        <v> </v>
      </c>
    </row>
    <row r="161" customFormat="false" ht="12.75" hidden="false" customHeight="false" outlineLevel="0" collapsed="false">
      <c r="F161" s="283" t="str">
        <f aca="false">IF(F$4&gt;0,(IF(E161&lt;&gt;0,E161*F$4/100," ")),IF(E161&lt;&gt;0,E161*F$2/(100+F$2)," "))</f>
        <v> </v>
      </c>
      <c r="G161" s="283" t="str">
        <f aca="false">IF((E161&lt;&gt;0),E161-F161," ")</f>
        <v> </v>
      </c>
    </row>
    <row r="162" customFormat="false" ht="12.75" hidden="false" customHeight="false" outlineLevel="0" collapsed="false">
      <c r="F162" s="283" t="str">
        <f aca="false">IF(F$4&gt;0,(IF(E162&lt;&gt;0,E162*F$4/100," ")),IF(E162&lt;&gt;0,E162*F$2/(100+F$2)," "))</f>
        <v> </v>
      </c>
      <c r="G162" s="283" t="str">
        <f aca="false">IF((E162&lt;&gt;0),E162-F162," ")</f>
        <v> </v>
      </c>
    </row>
    <row r="163" customFormat="false" ht="12.75" hidden="false" customHeight="false" outlineLevel="0" collapsed="false">
      <c r="F163" s="283" t="str">
        <f aca="false">IF(F$4&gt;0,(IF(E163&lt;&gt;0,E163*F$4/100," ")),IF(E163&lt;&gt;0,E163*F$2/(100+F$2)," "))</f>
        <v> </v>
      </c>
      <c r="G163" s="283" t="str">
        <f aca="false">IF((E163&lt;&gt;0),E163-F163," ")</f>
        <v> </v>
      </c>
    </row>
    <row r="164" customFormat="false" ht="12.75" hidden="false" customHeight="false" outlineLevel="0" collapsed="false">
      <c r="F164" s="283" t="str">
        <f aca="false">IF(F$4&gt;0,(IF(E164&lt;&gt;0,E164*F$4/100," ")),IF(E164&lt;&gt;0,E164*F$2/(100+F$2)," "))</f>
        <v> </v>
      </c>
      <c r="G164" s="283" t="str">
        <f aca="false">IF((E164&lt;&gt;0),E164-F164," ")</f>
        <v> </v>
      </c>
    </row>
    <row r="165" customFormat="false" ht="12.75" hidden="false" customHeight="false" outlineLevel="0" collapsed="false">
      <c r="F165" s="283" t="str">
        <f aca="false">IF(F$4&gt;0,(IF(E165&lt;&gt;0,E165*F$4/100," ")),IF(E165&lt;&gt;0,E165*F$2/(100+F$2)," "))</f>
        <v> </v>
      </c>
      <c r="G165" s="283" t="str">
        <f aca="false">IF((E165&lt;&gt;0),E165-F165," ")</f>
        <v> </v>
      </c>
    </row>
    <row r="166" customFormat="false" ht="12.75" hidden="false" customHeight="false" outlineLevel="0" collapsed="false">
      <c r="F166" s="283" t="str">
        <f aca="false">IF(F$4&gt;0,(IF(E166&lt;&gt;0,E166*F$4/100," ")),IF(E166&lt;&gt;0,E166*F$2/(100+F$2)," "))</f>
        <v> </v>
      </c>
      <c r="G166" s="283" t="str">
        <f aca="false">IF((E166&lt;&gt;0),E166-F166," ")</f>
        <v> </v>
      </c>
    </row>
    <row r="167" customFormat="false" ht="12.75" hidden="false" customHeight="false" outlineLevel="0" collapsed="false">
      <c r="F167" s="283" t="str">
        <f aca="false">IF(F$4&gt;0,(IF(E167&lt;&gt;0,E167*F$4/100," ")),IF(E167&lt;&gt;0,E167*F$2/(100+F$2)," "))</f>
        <v> </v>
      </c>
      <c r="G167" s="283" t="str">
        <f aca="false">IF((E167&lt;&gt;0),E167-F167," ")</f>
        <v> </v>
      </c>
    </row>
    <row r="168" customFormat="false" ht="12.75" hidden="false" customHeight="false" outlineLevel="0" collapsed="false">
      <c r="F168" s="283" t="str">
        <f aca="false">IF(F$4&gt;0,(IF(E168&lt;&gt;0,E168*F$4/100," ")),IF(E168&lt;&gt;0,E168*F$2/(100+F$2)," "))</f>
        <v> </v>
      </c>
      <c r="G168" s="283" t="str">
        <f aca="false">IF((E168&lt;&gt;0),E168-F168," ")</f>
        <v> </v>
      </c>
    </row>
    <row r="169" customFormat="false" ht="12.75" hidden="false" customHeight="false" outlineLevel="0" collapsed="false">
      <c r="F169" s="283" t="str">
        <f aca="false">IF(F$4&gt;0,(IF(E169&lt;&gt;0,E169*F$4/100," ")),IF(E169&lt;&gt;0,E169*F$2/(100+F$2)," "))</f>
        <v> </v>
      </c>
      <c r="G169" s="283" t="str">
        <f aca="false">IF((E169&lt;&gt;0),E169-F169," ")</f>
        <v> </v>
      </c>
    </row>
    <row r="170" customFormat="false" ht="12.75" hidden="false" customHeight="false" outlineLevel="0" collapsed="false">
      <c r="F170" s="283" t="str">
        <f aca="false">IF(F$4&gt;0,(IF(E170&lt;&gt;0,E170*F$4/100," ")),IF(E170&lt;&gt;0,E170*F$2/(100+F$2)," "))</f>
        <v> </v>
      </c>
      <c r="G170" s="283" t="str">
        <f aca="false">IF((E170&lt;&gt;0),E170-F170," ")</f>
        <v> </v>
      </c>
    </row>
    <row r="171" customFormat="false" ht="12.75" hidden="false" customHeight="false" outlineLevel="0" collapsed="false">
      <c r="F171" s="283" t="str">
        <f aca="false">IF(F$4&gt;0,(IF(E171&lt;&gt;0,E171*F$4/100," ")),IF(E171&lt;&gt;0,E171*F$2/(100+F$2)," "))</f>
        <v> </v>
      </c>
      <c r="G171" s="283" t="str">
        <f aca="false">IF((E171&lt;&gt;0),E171-F171," ")</f>
        <v> </v>
      </c>
    </row>
    <row r="172" customFormat="false" ht="12.75" hidden="false" customHeight="false" outlineLevel="0" collapsed="false">
      <c r="F172" s="283" t="str">
        <f aca="false">IF(F$4&gt;0,(IF(E172&lt;&gt;0,E172*F$4/100," ")),IF(E172&lt;&gt;0,E172*F$2/(100+F$2)," "))</f>
        <v> </v>
      </c>
      <c r="G172" s="283" t="str">
        <f aca="false">IF((E172&lt;&gt;0),E172-F172," ")</f>
        <v> </v>
      </c>
    </row>
    <row r="173" customFormat="false" ht="12.75" hidden="false" customHeight="false" outlineLevel="0" collapsed="false">
      <c r="F173" s="283" t="str">
        <f aca="false">IF(F$4&gt;0,(IF(E173&lt;&gt;0,E173*F$4/100," ")),IF(E173&lt;&gt;0,E173*F$2/(100+F$2)," "))</f>
        <v> </v>
      </c>
      <c r="G173" s="283" t="str">
        <f aca="false">IF((E173&lt;&gt;0),E173-F173," ")</f>
        <v> </v>
      </c>
    </row>
    <row r="174" customFormat="false" ht="12.75" hidden="false" customHeight="false" outlineLevel="0" collapsed="false">
      <c r="F174" s="283" t="str">
        <f aca="false">IF(F$4&gt;0,(IF(E174&lt;&gt;0,E174*F$4/100," ")),IF(E174&lt;&gt;0,E174*F$2/(100+F$2)," "))</f>
        <v> </v>
      </c>
      <c r="G174" s="283" t="str">
        <f aca="false">IF((E174&lt;&gt;0),E174-F174," ")</f>
        <v> </v>
      </c>
    </row>
    <row r="175" customFormat="false" ht="12.75" hidden="false" customHeight="false" outlineLevel="0" collapsed="false">
      <c r="F175" s="283" t="str">
        <f aca="false">IF(F$4&gt;0,(IF(E175&lt;&gt;0,E175*F$4/100," ")),IF(E175&lt;&gt;0,E175*F$2/(100+F$2)," "))</f>
        <v> </v>
      </c>
      <c r="G175" s="283" t="str">
        <f aca="false">IF((E175&lt;&gt;0),E175-F175," ")</f>
        <v> </v>
      </c>
    </row>
    <row r="176" customFormat="false" ht="12.75" hidden="false" customHeight="false" outlineLevel="0" collapsed="false">
      <c r="F176" s="283" t="str">
        <f aca="false">IF(F$4&gt;0,(IF(E176&lt;&gt;0,E176*F$4/100," ")),IF(E176&lt;&gt;0,E176*F$2/(100+F$2)," "))</f>
        <v> </v>
      </c>
      <c r="G176" s="283" t="str">
        <f aca="false">IF((E176&lt;&gt;0),E176-F176," ")</f>
        <v> </v>
      </c>
    </row>
    <row r="177" customFormat="false" ht="12.75" hidden="false" customHeight="false" outlineLevel="0" collapsed="false">
      <c r="F177" s="283" t="str">
        <f aca="false">IF(F$4&gt;0,(IF(E177&lt;&gt;0,E177*F$4/100," ")),IF(E177&lt;&gt;0,E177*F$2/(100+F$2)," "))</f>
        <v> </v>
      </c>
      <c r="G177" s="283" t="str">
        <f aca="false">IF((E177&lt;&gt;0),E177-F177," ")</f>
        <v> </v>
      </c>
    </row>
    <row r="178" customFormat="false" ht="12.75" hidden="false" customHeight="false" outlineLevel="0" collapsed="false">
      <c r="F178" s="283" t="str">
        <f aca="false">IF(F$4&gt;0,(IF(E178&lt;&gt;0,E178*F$4/100," ")),IF(E178&lt;&gt;0,E178*F$2/(100+F$2)," "))</f>
        <v> </v>
      </c>
      <c r="G178" s="283" t="str">
        <f aca="false">IF((E178&lt;&gt;0),E178-F178," ")</f>
        <v> </v>
      </c>
    </row>
    <row r="179" customFormat="false" ht="12.75" hidden="false" customHeight="false" outlineLevel="0" collapsed="false">
      <c r="F179" s="283" t="str">
        <f aca="false">IF(F$4&gt;0,(IF(E179&lt;&gt;0,E179*F$4/100," ")),IF(E179&lt;&gt;0,E179*F$2/(100+F$2)," "))</f>
        <v> </v>
      </c>
      <c r="G179" s="283" t="str">
        <f aca="false">IF((E179&lt;&gt;0),E179-F179," ")</f>
        <v> </v>
      </c>
    </row>
    <row r="180" customFormat="false" ht="12.75" hidden="false" customHeight="false" outlineLevel="0" collapsed="false">
      <c r="F180" s="283" t="str">
        <f aca="false">IF(F$4&gt;0,(IF(E180&lt;&gt;0,E180*F$4/100," ")),IF(E180&lt;&gt;0,E180*F$2/(100+F$2)," "))</f>
        <v> </v>
      </c>
      <c r="G180" s="283" t="str">
        <f aca="false">IF((E180&lt;&gt;0),E180-F180," ")</f>
        <v> </v>
      </c>
    </row>
    <row r="181" customFormat="false" ht="12.75" hidden="false" customHeight="false" outlineLevel="0" collapsed="false">
      <c r="F181" s="283" t="str">
        <f aca="false">IF(F$4&gt;0,(IF(E181&lt;&gt;0,E181*F$4/100," ")),IF(E181&lt;&gt;0,E181*F$2/(100+F$2)," "))</f>
        <v> </v>
      </c>
      <c r="G181" s="283" t="str">
        <f aca="false">IF((E181&lt;&gt;0),E181-F181," ")</f>
        <v> </v>
      </c>
    </row>
    <row r="182" customFormat="false" ht="12.75" hidden="false" customHeight="false" outlineLevel="0" collapsed="false">
      <c r="F182" s="283" t="str">
        <f aca="false">IF(F$4&gt;0,(IF(E182&lt;&gt;0,E182*F$4/100," ")),IF(E182&lt;&gt;0,E182*F$2/(100+F$2)," "))</f>
        <v> </v>
      </c>
      <c r="G182" s="283" t="str">
        <f aca="false">IF((E182&lt;&gt;0),E182-F182," ")</f>
        <v> </v>
      </c>
    </row>
    <row r="183" customFormat="false" ht="12.75" hidden="false" customHeight="false" outlineLevel="0" collapsed="false">
      <c r="F183" s="283" t="str">
        <f aca="false">IF(F$4&gt;0,(IF(E183&lt;&gt;0,E183*F$4/100," ")),IF(E183&lt;&gt;0,E183*F$2/(100+F$2)," "))</f>
        <v> </v>
      </c>
      <c r="G183" s="283" t="str">
        <f aca="false">IF((E183&lt;&gt;0),E183-F183," ")</f>
        <v> </v>
      </c>
    </row>
    <row r="184" customFormat="false" ht="12.75" hidden="false" customHeight="false" outlineLevel="0" collapsed="false">
      <c r="F184" s="283" t="str">
        <f aca="false">IF(F$4&gt;0,(IF(E184&lt;&gt;0,E184*F$4/100," ")),IF(E184&lt;&gt;0,E184*F$2/(100+F$2)," "))</f>
        <v> </v>
      </c>
      <c r="G184" s="283" t="str">
        <f aca="false">IF((E184&lt;&gt;0),E184-F184," ")</f>
        <v> </v>
      </c>
    </row>
    <row r="185" customFormat="false" ht="12.75" hidden="false" customHeight="false" outlineLevel="0" collapsed="false">
      <c r="F185" s="283" t="str">
        <f aca="false">IF(F$4&gt;0,(IF(E185&lt;&gt;0,E185*F$4/100," ")),IF(E185&lt;&gt;0,E185*F$2/(100+F$2)," "))</f>
        <v> </v>
      </c>
      <c r="G185" s="283" t="str">
        <f aca="false">IF((E185&lt;&gt;0),E185-F185," ")</f>
        <v> </v>
      </c>
    </row>
    <row r="186" customFormat="false" ht="12.75" hidden="false" customHeight="false" outlineLevel="0" collapsed="false">
      <c r="F186" s="283" t="str">
        <f aca="false">IF(F$4&gt;0,(IF(E186&lt;&gt;0,E186*F$4/100," ")),IF(E186&lt;&gt;0,E186*F$2/(100+F$2)," "))</f>
        <v> </v>
      </c>
      <c r="G186" s="283" t="str">
        <f aca="false">IF((E186&lt;&gt;0),E186-F186," ")</f>
        <v> </v>
      </c>
    </row>
    <row r="187" customFormat="false" ht="12.75" hidden="false" customHeight="false" outlineLevel="0" collapsed="false">
      <c r="F187" s="283" t="str">
        <f aca="false">IF(F$4&gt;0,(IF(E187&lt;&gt;0,E187*F$4/100," ")),IF(E187&lt;&gt;0,E187*F$2/(100+F$2)," "))</f>
        <v> </v>
      </c>
      <c r="G187" s="283" t="str">
        <f aca="false">IF((E187&lt;&gt;0),E187-F187," ")</f>
        <v> </v>
      </c>
    </row>
    <row r="188" customFormat="false" ht="12.75" hidden="false" customHeight="false" outlineLevel="0" collapsed="false">
      <c r="F188" s="283" t="str">
        <f aca="false">IF(F$4&gt;0,(IF(E188&lt;&gt;0,E188*F$4/100," ")),IF(E188&lt;&gt;0,E188*F$2/(100+F$2)," "))</f>
        <v> </v>
      </c>
      <c r="G188" s="283" t="str">
        <f aca="false">IF((E188&lt;&gt;0),E188-F188," ")</f>
        <v> </v>
      </c>
    </row>
    <row r="189" customFormat="false" ht="12.75" hidden="false" customHeight="false" outlineLevel="0" collapsed="false">
      <c r="F189" s="283" t="str">
        <f aca="false">IF(F$4&gt;0,(IF(E189&lt;&gt;0,E189*F$4/100," ")),IF(E189&lt;&gt;0,E189*F$2/(100+F$2)," "))</f>
        <v> </v>
      </c>
      <c r="G189" s="283" t="str">
        <f aca="false">IF((E189&lt;&gt;0),E189-F189," ")</f>
        <v> </v>
      </c>
    </row>
    <row r="190" customFormat="false" ht="12.75" hidden="false" customHeight="false" outlineLevel="0" collapsed="false">
      <c r="F190" s="283" t="str">
        <f aca="false">IF(F$4&gt;0,(IF(E190&lt;&gt;0,E190*F$4/100," ")),IF(E190&lt;&gt;0,E190*F$2/(100+F$2)," "))</f>
        <v> </v>
      </c>
      <c r="G190" s="283" t="str">
        <f aca="false">IF((E190&lt;&gt;0),E190-F190," ")</f>
        <v> </v>
      </c>
    </row>
    <row r="191" customFormat="false" ht="12.75" hidden="false" customHeight="false" outlineLevel="0" collapsed="false">
      <c r="F191" s="283" t="str">
        <f aca="false">IF(F$4&gt;0,(IF(E191&lt;&gt;0,E191*F$4/100," ")),IF(E191&lt;&gt;0,E191*F$2/(100+F$2)," "))</f>
        <v> </v>
      </c>
      <c r="G191" s="283" t="str">
        <f aca="false">IF((E191&lt;&gt;0),E191-F191," ")</f>
        <v> </v>
      </c>
    </row>
    <row r="192" customFormat="false" ht="12.75" hidden="false" customHeight="false" outlineLevel="0" collapsed="false">
      <c r="F192" s="283" t="str">
        <f aca="false">IF(F$4&gt;0,(IF(E192&lt;&gt;0,E192*F$4/100," ")),IF(E192&lt;&gt;0,E192*F$2/(100+F$2)," "))</f>
        <v> </v>
      </c>
      <c r="G192" s="283" t="str">
        <f aca="false">IF((E192&lt;&gt;0),E192-F192," ")</f>
        <v> </v>
      </c>
    </row>
    <row r="193" customFormat="false" ht="12.75" hidden="false" customHeight="false" outlineLevel="0" collapsed="false">
      <c r="F193" s="283" t="str">
        <f aca="false">IF(F$4&gt;0,(IF(E193&lt;&gt;0,E193*F$4/100," ")),IF(E193&lt;&gt;0,E193*F$2/(100+F$2)," "))</f>
        <v> </v>
      </c>
      <c r="G193" s="283" t="str">
        <f aca="false">IF((E193&lt;&gt;0),E193-F193," ")</f>
        <v> </v>
      </c>
    </row>
    <row r="194" customFormat="false" ht="12.75" hidden="false" customHeight="false" outlineLevel="0" collapsed="false">
      <c r="F194" s="283" t="str">
        <f aca="false">IF(F$4&gt;0,(IF(E194&lt;&gt;0,E194*F$4/100," ")),IF(E194&lt;&gt;0,E194*F$2/(100+F$2)," "))</f>
        <v> </v>
      </c>
      <c r="G194" s="283" t="str">
        <f aca="false">IF((E194&lt;&gt;0),E194-F194," ")</f>
        <v> </v>
      </c>
    </row>
    <row r="195" customFormat="false" ht="12.75" hidden="false" customHeight="false" outlineLevel="0" collapsed="false">
      <c r="F195" s="283" t="str">
        <f aca="false">IF(F$4&gt;0,(IF(E195&lt;&gt;0,E195*F$4/100," ")),IF(E195&lt;&gt;0,E195*F$2/(100+F$2)," "))</f>
        <v> </v>
      </c>
      <c r="G195" s="283" t="str">
        <f aca="false">IF((E195&lt;&gt;0),E195-F195," ")</f>
        <v> </v>
      </c>
    </row>
    <row r="196" customFormat="false" ht="12.75" hidden="false" customHeight="false" outlineLevel="0" collapsed="false">
      <c r="F196" s="283" t="str">
        <f aca="false">IF(F$4&gt;0,(IF(E196&lt;&gt;0,E196*F$4/100," ")),IF(E196&lt;&gt;0,E196*F$2/(100+F$2)," "))</f>
        <v> </v>
      </c>
      <c r="G196" s="283" t="str">
        <f aca="false">IF((E196&lt;&gt;0),E196-F196," ")</f>
        <v> </v>
      </c>
    </row>
    <row r="197" customFormat="false" ht="12.75" hidden="false" customHeight="false" outlineLevel="0" collapsed="false">
      <c r="F197" s="283" t="str">
        <f aca="false">IF(F$4&gt;0,(IF(E197&lt;&gt;0,E197*F$4/100," ")),IF(E197&lt;&gt;0,E197*F$2/(100+F$2)," "))</f>
        <v> </v>
      </c>
      <c r="G197" s="283" t="str">
        <f aca="false">IF((E197&lt;&gt;0),E197-F197," ")</f>
        <v> </v>
      </c>
    </row>
    <row r="198" customFormat="false" ht="12.75" hidden="false" customHeight="false" outlineLevel="0" collapsed="false">
      <c r="F198" s="283" t="str">
        <f aca="false">IF(F$4&gt;0,(IF(E198&lt;&gt;0,E198*F$4/100," ")),IF(E198&lt;&gt;0,E198*F$2/(100+F$2)," "))</f>
        <v> </v>
      </c>
      <c r="G198" s="283" t="str">
        <f aca="false">IF((E198&lt;&gt;0),E198-F198," ")</f>
        <v> </v>
      </c>
    </row>
    <row r="199" customFormat="false" ht="12.75" hidden="false" customHeight="false" outlineLevel="0" collapsed="false">
      <c r="F199" s="283" t="str">
        <f aca="false">IF(F$4&gt;0,(IF(E199&lt;&gt;0,E199*F$4/100," ")),IF(E199&lt;&gt;0,E199*F$2/(100+F$2)," "))</f>
        <v> </v>
      </c>
      <c r="G199" s="283" t="str">
        <f aca="false">IF((E199&lt;&gt;0),E199-F199," ")</f>
        <v> </v>
      </c>
    </row>
    <row r="200" customFormat="false" ht="12.75" hidden="false" customHeight="false" outlineLevel="0" collapsed="false">
      <c r="A200" s="175"/>
      <c r="B200" s="166"/>
      <c r="C200" s="173"/>
      <c r="D200" s="169"/>
      <c r="E200" s="166"/>
      <c r="F200" s="166" t="str">
        <f aca="false">IF(F$4&gt;0,(IF(E200&lt;&gt;0,E200*F$4/100," ")),IF(E200&lt;&gt;0,E200*F$2/(100+F$2)," "))</f>
        <v> </v>
      </c>
      <c r="G200" s="166" t="str">
        <f aca="false">IF((E200&lt;&gt;0),E200-F200," ")</f>
        <v> </v>
      </c>
    </row>
    <row r="201" customFormat="false" ht="12.75" hidden="false" customHeight="false" outlineLevel="0" collapsed="false">
      <c r="A201" s="285" t="s">
        <v>544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285" width="9.15"/>
    <col collapsed="false" customWidth="true" hidden="false" outlineLevel="0" max="2" min="2" style="283" width="20.15"/>
    <col collapsed="false" customWidth="true" hidden="false" outlineLevel="0" max="3" min="3" style="172" width="12.82"/>
    <col collapsed="false" customWidth="true" hidden="false" outlineLevel="0" max="4" min="4" style="284" width="7.66"/>
    <col collapsed="false" customWidth="true" hidden="false" outlineLevel="0" max="5" min="5" style="283" width="9.66"/>
    <col collapsed="false" customWidth="true" hidden="false" outlineLevel="0" max="6" min="6" style="283" width="8.66"/>
    <col collapsed="false" customWidth="true" hidden="false" outlineLevel="0" max="7" min="7" style="283" width="9.66"/>
    <col collapsed="false" customWidth="false" hidden="false" outlineLevel="0" max="257" min="8" style="171" width="9.15"/>
  </cols>
  <sheetData>
    <row r="1" s="180" customFormat="true" ht="28.5" hidden="false" customHeight="true" outlineLevel="0" collapsed="false">
      <c r="A1" s="398" t="s">
        <v>536</v>
      </c>
      <c r="B1" s="398"/>
      <c r="C1" s="183" t="s">
        <v>537</v>
      </c>
      <c r="D1" s="182"/>
      <c r="E1" s="181" t="n">
        <f aca="false">SUM(E5:E200)</f>
        <v>0</v>
      </c>
      <c r="F1" s="181" t="n">
        <f aca="false">SUM(F5:F200)</f>
        <v>0</v>
      </c>
      <c r="G1" s="181" t="n">
        <f aca="false">SUM(G5:G200)</f>
        <v>0</v>
      </c>
    </row>
    <row r="2" s="180" customFormat="true" ht="12.75" hidden="false" customHeight="true" outlineLevel="0" collapsed="false">
      <c r="A2" s="399" t="s">
        <v>538</v>
      </c>
      <c r="B2" s="400" t="s">
        <v>539</v>
      </c>
      <c r="C2" s="401" t="s">
        <v>540</v>
      </c>
      <c r="D2" s="402"/>
      <c r="E2" s="400" t="s">
        <v>541</v>
      </c>
      <c r="F2" s="245" t="n">
        <f aca="false">[1]OpeningDebtors!$H$2</f>
        <v>0</v>
      </c>
      <c r="G2" s="400" t="s">
        <v>542</v>
      </c>
    </row>
    <row r="3" s="176" customFormat="true" ht="12.75" hidden="false" customHeight="false" outlineLevel="0" collapsed="false">
      <c r="A3" s="399"/>
      <c r="B3" s="400"/>
      <c r="C3" s="401"/>
      <c r="D3" s="402"/>
      <c r="E3" s="400"/>
      <c r="F3" s="251" t="s">
        <v>543</v>
      </c>
      <c r="G3" s="400"/>
    </row>
    <row r="4" customFormat="false" ht="12.75" hidden="false" customHeight="false" outlineLevel="0" collapsed="false">
      <c r="A4" s="399"/>
      <c r="B4" s="399"/>
      <c r="C4" s="399"/>
      <c r="D4" s="402"/>
      <c r="E4" s="400"/>
      <c r="F4" s="252" t="n">
        <f aca="false">[1]OpeningDebtors!$H$4</f>
        <v>0</v>
      </c>
      <c r="G4" s="400"/>
    </row>
    <row r="5" customFormat="false" ht="12.75" hidden="false" customHeight="false" outlineLevel="0" collapsed="false">
      <c r="F5" s="283" t="str">
        <f aca="false">IF(F$4&gt;0,(IF(E5&lt;&gt;0,E5*F$4/100," ")),IF(E5&lt;&gt;0,E5*F$2/(100+F$2)," "))</f>
        <v> </v>
      </c>
      <c r="G5" s="283" t="str">
        <f aca="false">IF((E5&lt;&gt;0),E5-F5," ")</f>
        <v> </v>
      </c>
    </row>
    <row r="6" customFormat="false" ht="12.75" hidden="false" customHeight="false" outlineLevel="0" collapsed="false">
      <c r="F6" s="283" t="str">
        <f aca="false">IF(F$4&gt;0,(IF(E6&lt;&gt;0,E6*F$4/100," ")),IF(E6&lt;&gt;0,E6*F$2/(100+F$2)," "))</f>
        <v> </v>
      </c>
      <c r="G6" s="283" t="str">
        <f aca="false">IF((E6&lt;&gt;0),E6-F6," ")</f>
        <v> </v>
      </c>
    </row>
    <row r="7" customFormat="false" ht="12.75" hidden="false" customHeight="false" outlineLevel="0" collapsed="false">
      <c r="F7" s="283" t="str">
        <f aca="false">IF(F$4&gt;0,(IF(E7&lt;&gt;0,E7*F$4/100," ")),IF(E7&lt;&gt;0,E7*F$2/(100+F$2)," "))</f>
        <v> </v>
      </c>
      <c r="G7" s="283" t="str">
        <f aca="false">IF((E7&lt;&gt;0),E7-F7," ")</f>
        <v> </v>
      </c>
    </row>
    <row r="8" customFormat="false" ht="12.75" hidden="false" customHeight="false" outlineLevel="0" collapsed="false">
      <c r="F8" s="283" t="str">
        <f aca="false">IF(F$4&gt;0,(IF(E8&lt;&gt;0,E8*F$4/100," ")),IF(E8&lt;&gt;0,E8*F$2/(100+F$2)," "))</f>
        <v> </v>
      </c>
      <c r="G8" s="283" t="str">
        <f aca="false">IF((E8&lt;&gt;0),E8-F8," ")</f>
        <v> </v>
      </c>
    </row>
    <row r="9" customFormat="false" ht="12.75" hidden="false" customHeight="false" outlineLevel="0" collapsed="false">
      <c r="F9" s="283" t="str">
        <f aca="false">IF(F$4&gt;0,(IF(E9&lt;&gt;0,E9*F$4/100," ")),IF(E9&lt;&gt;0,E9*F$2/(100+F$2)," "))</f>
        <v> </v>
      </c>
      <c r="G9" s="283" t="str">
        <f aca="false">IF((E9&lt;&gt;0),E9-F9," ")</f>
        <v> </v>
      </c>
    </row>
    <row r="10" customFormat="false" ht="12.75" hidden="false" customHeight="false" outlineLevel="0" collapsed="false">
      <c r="F10" s="283" t="str">
        <f aca="false">IF(F$4&gt;0,(IF(E10&lt;&gt;0,E10*F$4/100," ")),IF(E10&lt;&gt;0,E10*F$2/(100+F$2)," "))</f>
        <v> </v>
      </c>
      <c r="G10" s="283" t="str">
        <f aca="false">IF((E10&lt;&gt;0),E10-F10," ")</f>
        <v> </v>
      </c>
    </row>
    <row r="11" customFormat="false" ht="12.75" hidden="false" customHeight="false" outlineLevel="0" collapsed="false">
      <c r="F11" s="283" t="str">
        <f aca="false">IF(F$4&gt;0,(IF(E11&lt;&gt;0,E11*F$4/100," ")),IF(E11&lt;&gt;0,E11*F$2/(100+F$2)," "))</f>
        <v> </v>
      </c>
      <c r="G11" s="283" t="str">
        <f aca="false">IF((E11&lt;&gt;0),E11-F11," ")</f>
        <v> </v>
      </c>
    </row>
    <row r="12" customFormat="false" ht="12.75" hidden="false" customHeight="false" outlineLevel="0" collapsed="false">
      <c r="F12" s="283" t="str">
        <f aca="false">IF(F$4&gt;0,(IF(E12&lt;&gt;0,E12*F$4/100," ")),IF(E12&lt;&gt;0,E12*F$2/(100+F$2)," "))</f>
        <v> </v>
      </c>
      <c r="G12" s="283" t="str">
        <f aca="false">IF((E12&lt;&gt;0),E12-F12," ")</f>
        <v> </v>
      </c>
    </row>
    <row r="13" customFormat="false" ht="12.75" hidden="false" customHeight="false" outlineLevel="0" collapsed="false">
      <c r="F13" s="283" t="str">
        <f aca="false">IF(F$4&gt;0,(IF(E13&lt;&gt;0,E13*F$4/100," ")),IF(E13&lt;&gt;0,E13*F$2/(100+F$2)," "))</f>
        <v> </v>
      </c>
      <c r="G13" s="283" t="str">
        <f aca="false">IF((E13&lt;&gt;0),E13-F13," ")</f>
        <v> </v>
      </c>
    </row>
    <row r="14" customFormat="false" ht="12.75" hidden="false" customHeight="false" outlineLevel="0" collapsed="false">
      <c r="F14" s="283" t="str">
        <f aca="false">IF(F$4&gt;0,(IF(E14&lt;&gt;0,E14*F$4/100," ")),IF(E14&lt;&gt;0,E14*F$2/(100+F$2)," "))</f>
        <v> </v>
      </c>
      <c r="G14" s="283" t="str">
        <f aca="false">IF((E14&lt;&gt;0),E14-F14," ")</f>
        <v> </v>
      </c>
    </row>
    <row r="15" customFormat="false" ht="12.75" hidden="false" customHeight="false" outlineLevel="0" collapsed="false">
      <c r="F15" s="283" t="str">
        <f aca="false">IF(F$4&gt;0,(IF(E15&lt;&gt;0,E15*F$4/100," ")),IF(E15&lt;&gt;0,E15*F$2/(100+F$2)," "))</f>
        <v> </v>
      </c>
      <c r="G15" s="283" t="str">
        <f aca="false">IF((E15&lt;&gt;0),E15-F15," ")</f>
        <v> </v>
      </c>
    </row>
    <row r="16" customFormat="false" ht="12.75" hidden="false" customHeight="false" outlineLevel="0" collapsed="false">
      <c r="F16" s="283" t="str">
        <f aca="false">IF(F$4&gt;0,(IF(E16&lt;&gt;0,E16*F$4/100," ")),IF(E16&lt;&gt;0,E16*F$2/(100+F$2)," "))</f>
        <v> </v>
      </c>
      <c r="G16" s="283" t="str">
        <f aca="false">IF((E16&lt;&gt;0),E16-F16," ")</f>
        <v> </v>
      </c>
    </row>
    <row r="17" customFormat="false" ht="12.75" hidden="false" customHeight="false" outlineLevel="0" collapsed="false">
      <c r="F17" s="283" t="str">
        <f aca="false">IF(F$4&gt;0,(IF(E17&lt;&gt;0,E17*F$4/100," ")),IF(E17&lt;&gt;0,E17*F$2/(100+F$2)," "))</f>
        <v> </v>
      </c>
      <c r="G17" s="283" t="str">
        <f aca="false">IF((E17&lt;&gt;0),E17-F17," ")</f>
        <v> </v>
      </c>
    </row>
    <row r="18" customFormat="false" ht="12.75" hidden="false" customHeight="false" outlineLevel="0" collapsed="false">
      <c r="F18" s="283" t="str">
        <f aca="false">IF(F$4&gt;0,(IF(E18&lt;&gt;0,E18*F$4/100," ")),IF(E18&lt;&gt;0,E18*F$2/(100+F$2)," "))</f>
        <v> </v>
      </c>
      <c r="G18" s="283" t="str">
        <f aca="false">IF((E18&lt;&gt;0),E18-F18," ")</f>
        <v> </v>
      </c>
    </row>
    <row r="19" customFormat="false" ht="12.75" hidden="false" customHeight="false" outlineLevel="0" collapsed="false">
      <c r="F19" s="283" t="str">
        <f aca="false">IF(F$4&gt;0,(IF(E19&lt;&gt;0,E19*F$4/100," ")),IF(E19&lt;&gt;0,E19*F$2/(100+F$2)," "))</f>
        <v> </v>
      </c>
      <c r="G19" s="283" t="str">
        <f aca="false">IF((E19&lt;&gt;0),E19-F19," ")</f>
        <v> </v>
      </c>
    </row>
    <row r="20" customFormat="false" ht="12.75" hidden="false" customHeight="false" outlineLevel="0" collapsed="false">
      <c r="F20" s="283" t="str">
        <f aca="false">IF(F$4&gt;0,(IF(E20&lt;&gt;0,E20*F$4/100," ")),IF(E20&lt;&gt;0,E20*F$2/(100+F$2)," "))</f>
        <v> </v>
      </c>
      <c r="G20" s="283" t="str">
        <f aca="false">IF((E20&lt;&gt;0),E20-F20," ")</f>
        <v> </v>
      </c>
    </row>
    <row r="21" customFormat="false" ht="12.75" hidden="false" customHeight="false" outlineLevel="0" collapsed="false">
      <c r="F21" s="283" t="str">
        <f aca="false">IF(F$4&gt;0,(IF(E21&lt;&gt;0,E21*F$4/100," ")),IF(E21&lt;&gt;0,E21*F$2/(100+F$2)," "))</f>
        <v> </v>
      </c>
      <c r="G21" s="283" t="str">
        <f aca="false">IF((E21&lt;&gt;0),E21-F21," ")</f>
        <v> </v>
      </c>
    </row>
    <row r="22" customFormat="false" ht="12.75" hidden="false" customHeight="false" outlineLevel="0" collapsed="false">
      <c r="F22" s="283" t="str">
        <f aca="false">IF(F$4&gt;0,(IF(E22&lt;&gt;0,E22*F$4/100," ")),IF(E22&lt;&gt;0,E22*F$2/(100+F$2)," "))</f>
        <v> </v>
      </c>
      <c r="G22" s="283" t="str">
        <f aca="false">IF((E22&lt;&gt;0),E22-F22," ")</f>
        <v> </v>
      </c>
    </row>
    <row r="23" customFormat="false" ht="12.75" hidden="false" customHeight="false" outlineLevel="0" collapsed="false">
      <c r="F23" s="283" t="str">
        <f aca="false">IF(F$4&gt;0,(IF(E23&lt;&gt;0,E23*F$4/100," ")),IF(E23&lt;&gt;0,E23*F$2/(100+F$2)," "))</f>
        <v> </v>
      </c>
      <c r="G23" s="283" t="str">
        <f aca="false">IF((E23&lt;&gt;0),E23-F23," ")</f>
        <v> </v>
      </c>
    </row>
    <row r="24" customFormat="false" ht="12.75" hidden="false" customHeight="false" outlineLevel="0" collapsed="false">
      <c r="F24" s="283" t="str">
        <f aca="false">IF(F$4&gt;0,(IF(E24&lt;&gt;0,E24*F$4/100," ")),IF(E24&lt;&gt;0,E24*F$2/(100+F$2)," "))</f>
        <v> </v>
      </c>
      <c r="G24" s="283" t="str">
        <f aca="false">IF((E24&lt;&gt;0),E24-F24," ")</f>
        <v> </v>
      </c>
    </row>
    <row r="25" customFormat="false" ht="12.75" hidden="false" customHeight="false" outlineLevel="0" collapsed="false">
      <c r="F25" s="283" t="str">
        <f aca="false">IF(F$4&gt;0,(IF(E25&lt;&gt;0,E25*F$4/100," ")),IF(E25&lt;&gt;0,E25*F$2/(100+F$2)," "))</f>
        <v> </v>
      </c>
      <c r="G25" s="283" t="str">
        <f aca="false">IF((E25&lt;&gt;0),E25-F25," ")</f>
        <v> </v>
      </c>
    </row>
    <row r="26" customFormat="false" ht="12.75" hidden="false" customHeight="false" outlineLevel="0" collapsed="false">
      <c r="F26" s="283" t="str">
        <f aca="false">IF(F$4&gt;0,(IF(E26&lt;&gt;0,E26*F$4/100," ")),IF(E26&lt;&gt;0,E26*F$2/(100+F$2)," "))</f>
        <v> </v>
      </c>
      <c r="G26" s="283" t="str">
        <f aca="false">IF((E26&lt;&gt;0),E26-F26," ")</f>
        <v> </v>
      </c>
    </row>
    <row r="27" customFormat="false" ht="12.75" hidden="false" customHeight="false" outlineLevel="0" collapsed="false">
      <c r="F27" s="283" t="str">
        <f aca="false">IF(F$4&gt;0,(IF(E27&lt;&gt;0,E27*F$4/100," ")),IF(E27&lt;&gt;0,E27*F$2/(100+F$2)," "))</f>
        <v> </v>
      </c>
      <c r="G27" s="283" t="str">
        <f aca="false">IF((E27&lt;&gt;0),E27-F27," ")</f>
        <v> </v>
      </c>
    </row>
    <row r="28" customFormat="false" ht="12.75" hidden="false" customHeight="false" outlineLevel="0" collapsed="false">
      <c r="F28" s="283" t="str">
        <f aca="false">IF(F$4&gt;0,(IF(E28&lt;&gt;0,E28*F$4/100," ")),IF(E28&lt;&gt;0,E28*F$2/(100+F$2)," "))</f>
        <v> </v>
      </c>
      <c r="G28" s="283" t="str">
        <f aca="false">IF((E28&lt;&gt;0),E28-F28," ")</f>
        <v> </v>
      </c>
    </row>
    <row r="29" customFormat="false" ht="12.75" hidden="false" customHeight="false" outlineLevel="0" collapsed="false">
      <c r="F29" s="283" t="str">
        <f aca="false">IF(F$4&gt;0,(IF(E29&lt;&gt;0,E29*F$4/100," ")),IF(E29&lt;&gt;0,E29*F$2/(100+F$2)," "))</f>
        <v> </v>
      </c>
      <c r="G29" s="283" t="str">
        <f aca="false">IF((E29&lt;&gt;0),E29-F29," ")</f>
        <v> </v>
      </c>
    </row>
    <row r="30" customFormat="false" ht="12.75" hidden="false" customHeight="false" outlineLevel="0" collapsed="false">
      <c r="F30" s="283" t="str">
        <f aca="false">IF(F$4&gt;0,(IF(E30&lt;&gt;0,E30*F$4/100," ")),IF(E30&lt;&gt;0,E30*F$2/(100+F$2)," "))</f>
        <v> </v>
      </c>
      <c r="G30" s="283" t="str">
        <f aca="false">IF((E30&lt;&gt;0),E30-F30," ")</f>
        <v> </v>
      </c>
    </row>
    <row r="31" customFormat="false" ht="12.75" hidden="false" customHeight="false" outlineLevel="0" collapsed="false">
      <c r="F31" s="283" t="str">
        <f aca="false">IF(F$4&gt;0,(IF(E31&lt;&gt;0,E31*F$4/100," ")),IF(E31&lt;&gt;0,E31*F$2/(100+F$2)," "))</f>
        <v> </v>
      </c>
      <c r="G31" s="283" t="str">
        <f aca="false">IF((E31&lt;&gt;0),E31-F31," ")</f>
        <v> </v>
      </c>
    </row>
    <row r="32" customFormat="false" ht="12.75" hidden="false" customHeight="false" outlineLevel="0" collapsed="false">
      <c r="F32" s="283" t="str">
        <f aca="false">IF(F$4&gt;0,(IF(E32&lt;&gt;0,E32*F$4/100," ")),IF(E32&lt;&gt;0,E32*F$2/(100+F$2)," "))</f>
        <v> </v>
      </c>
      <c r="G32" s="283" t="str">
        <f aca="false">IF((E32&lt;&gt;0),E32-F32," ")</f>
        <v> </v>
      </c>
    </row>
    <row r="33" customFormat="false" ht="12.75" hidden="false" customHeight="false" outlineLevel="0" collapsed="false">
      <c r="F33" s="283" t="str">
        <f aca="false">IF(F$4&gt;0,(IF(E33&lt;&gt;0,E33*F$4/100," ")),IF(E33&lt;&gt;0,E33*F$2/(100+F$2)," "))</f>
        <v> </v>
      </c>
      <c r="G33" s="283" t="str">
        <f aca="false">IF((E33&lt;&gt;0),E33-F33," ")</f>
        <v> </v>
      </c>
    </row>
    <row r="34" customFormat="false" ht="12.75" hidden="false" customHeight="false" outlineLevel="0" collapsed="false">
      <c r="F34" s="283" t="str">
        <f aca="false">IF(F$4&gt;0,(IF(E34&lt;&gt;0,E34*F$4/100," ")),IF(E34&lt;&gt;0,E34*F$2/(100+F$2)," "))</f>
        <v> </v>
      </c>
      <c r="G34" s="283" t="str">
        <f aca="false">IF((E34&lt;&gt;0),E34-F34," ")</f>
        <v> </v>
      </c>
    </row>
    <row r="35" customFormat="false" ht="12.75" hidden="false" customHeight="false" outlineLevel="0" collapsed="false">
      <c r="F35" s="283" t="str">
        <f aca="false">IF(F$4&gt;0,(IF(E35&lt;&gt;0,E35*F$4/100," ")),IF(E35&lt;&gt;0,E35*F$2/(100+F$2)," "))</f>
        <v> </v>
      </c>
      <c r="G35" s="283" t="str">
        <f aca="false">IF((E35&lt;&gt;0),E35-F35," ")</f>
        <v> </v>
      </c>
    </row>
    <row r="36" customFormat="false" ht="12.75" hidden="false" customHeight="false" outlineLevel="0" collapsed="false">
      <c r="F36" s="283" t="str">
        <f aca="false">IF(F$4&gt;0,(IF(E36&lt;&gt;0,E36*F$4/100," ")),IF(E36&lt;&gt;0,E36*F$2/(100+F$2)," "))</f>
        <v> </v>
      </c>
      <c r="G36" s="283" t="str">
        <f aca="false">IF((E36&lt;&gt;0),E36-F36," ")</f>
        <v> </v>
      </c>
    </row>
    <row r="37" customFormat="false" ht="12.75" hidden="false" customHeight="false" outlineLevel="0" collapsed="false">
      <c r="F37" s="283" t="str">
        <f aca="false">IF(F$4&gt;0,(IF(E37&lt;&gt;0,E37*F$4/100," ")),IF(E37&lt;&gt;0,E37*F$2/(100+F$2)," "))</f>
        <v> </v>
      </c>
      <c r="G37" s="283" t="str">
        <f aca="false">IF((E37&lt;&gt;0),E37-F37," ")</f>
        <v> </v>
      </c>
    </row>
    <row r="38" customFormat="false" ht="12.75" hidden="false" customHeight="false" outlineLevel="0" collapsed="false">
      <c r="F38" s="283" t="str">
        <f aca="false">IF(F$4&gt;0,(IF(E38&lt;&gt;0,E38*F$4/100," ")),IF(E38&lt;&gt;0,E38*F$2/(100+F$2)," "))</f>
        <v> </v>
      </c>
      <c r="G38" s="283" t="str">
        <f aca="false">IF((E38&lt;&gt;0),E38-F38," ")</f>
        <v> </v>
      </c>
    </row>
    <row r="39" customFormat="false" ht="12.75" hidden="false" customHeight="false" outlineLevel="0" collapsed="false">
      <c r="F39" s="283" t="str">
        <f aca="false">IF(F$4&gt;0,(IF(E39&lt;&gt;0,E39*F$4/100," ")),IF(E39&lt;&gt;0,E39*F$2/(100+F$2)," "))</f>
        <v> </v>
      </c>
      <c r="G39" s="283" t="str">
        <f aca="false">IF((E39&lt;&gt;0),E39-F39," ")</f>
        <v> </v>
      </c>
    </row>
    <row r="40" customFormat="false" ht="12.75" hidden="false" customHeight="false" outlineLevel="0" collapsed="false">
      <c r="F40" s="283" t="str">
        <f aca="false">IF(F$4&gt;0,(IF(E40&lt;&gt;0,E40*F$4/100," ")),IF(E40&lt;&gt;0,E40*F$2/(100+F$2)," "))</f>
        <v> </v>
      </c>
      <c r="G40" s="283" t="str">
        <f aca="false">IF((E40&lt;&gt;0),E40-F40," ")</f>
        <v> </v>
      </c>
    </row>
    <row r="41" customFormat="false" ht="12.75" hidden="false" customHeight="false" outlineLevel="0" collapsed="false">
      <c r="F41" s="283" t="str">
        <f aca="false">IF(F$4&gt;0,(IF(E41&lt;&gt;0,E41*F$4/100," ")),IF(E41&lt;&gt;0,E41*F$2/(100+F$2)," "))</f>
        <v> </v>
      </c>
      <c r="G41" s="283" t="str">
        <f aca="false">IF((E41&lt;&gt;0),E41-F41," ")</f>
        <v> </v>
      </c>
    </row>
    <row r="42" customFormat="false" ht="12.75" hidden="false" customHeight="false" outlineLevel="0" collapsed="false">
      <c r="F42" s="283" t="str">
        <f aca="false">IF(F$4&gt;0,(IF(E42&lt;&gt;0,E42*F$4/100," ")),IF(E42&lt;&gt;0,E42*F$2/(100+F$2)," "))</f>
        <v> </v>
      </c>
      <c r="G42" s="283" t="str">
        <f aca="false">IF((E42&lt;&gt;0),E42-F42," ")</f>
        <v> </v>
      </c>
    </row>
    <row r="43" customFormat="false" ht="12.75" hidden="false" customHeight="false" outlineLevel="0" collapsed="false">
      <c r="F43" s="283" t="str">
        <f aca="false">IF(F$4&gt;0,(IF(E43&lt;&gt;0,E43*F$4/100," ")),IF(E43&lt;&gt;0,E43*F$2/(100+F$2)," "))</f>
        <v> </v>
      </c>
      <c r="G43" s="283" t="str">
        <f aca="false">IF((E43&lt;&gt;0),E43-F43," ")</f>
        <v> </v>
      </c>
    </row>
    <row r="44" customFormat="false" ht="12.75" hidden="false" customHeight="false" outlineLevel="0" collapsed="false">
      <c r="F44" s="283" t="str">
        <f aca="false">IF(F$4&gt;0,(IF(E44&lt;&gt;0,E44*F$4/100," ")),IF(E44&lt;&gt;0,E44*F$2/(100+F$2)," "))</f>
        <v> </v>
      </c>
      <c r="G44" s="283" t="str">
        <f aca="false">IF((E44&lt;&gt;0),E44-F44," ")</f>
        <v> </v>
      </c>
    </row>
    <row r="45" customFormat="false" ht="12.75" hidden="false" customHeight="false" outlineLevel="0" collapsed="false">
      <c r="F45" s="283" t="str">
        <f aca="false">IF(F$4&gt;0,(IF(E45&lt;&gt;0,E45*F$4/100," ")),IF(E45&lt;&gt;0,E45*F$2/(100+F$2)," "))</f>
        <v> </v>
      </c>
      <c r="G45" s="283" t="str">
        <f aca="false">IF((E45&lt;&gt;0),E45-F45," ")</f>
        <v> </v>
      </c>
    </row>
    <row r="46" customFormat="false" ht="12.75" hidden="false" customHeight="false" outlineLevel="0" collapsed="false">
      <c r="F46" s="283" t="str">
        <f aca="false">IF(F$4&gt;0,(IF(E46&lt;&gt;0,E46*F$4/100," ")),IF(E46&lt;&gt;0,E46*F$2/(100+F$2)," "))</f>
        <v> </v>
      </c>
      <c r="G46" s="283" t="str">
        <f aca="false">IF((E46&lt;&gt;0),E46-F46," ")</f>
        <v> </v>
      </c>
    </row>
    <row r="47" customFormat="false" ht="12.75" hidden="false" customHeight="false" outlineLevel="0" collapsed="false">
      <c r="F47" s="283" t="str">
        <f aca="false">IF(F$4&gt;0,(IF(E47&lt;&gt;0,E47*F$4/100," ")),IF(E47&lt;&gt;0,E47*F$2/(100+F$2)," "))</f>
        <v> </v>
      </c>
      <c r="G47" s="283" t="str">
        <f aca="false">IF((E47&lt;&gt;0),E47-F47," ")</f>
        <v> </v>
      </c>
    </row>
    <row r="48" customFormat="false" ht="12.75" hidden="false" customHeight="false" outlineLevel="0" collapsed="false">
      <c r="F48" s="283" t="str">
        <f aca="false">IF(F$4&gt;0,(IF(E48&lt;&gt;0,E48*F$4/100," ")),IF(E48&lt;&gt;0,E48*F$2/(100+F$2)," "))</f>
        <v> </v>
      </c>
      <c r="G48" s="283" t="str">
        <f aca="false">IF((E48&lt;&gt;0),E48-F48," ")</f>
        <v> </v>
      </c>
    </row>
    <row r="49" customFormat="false" ht="12.75" hidden="false" customHeight="false" outlineLevel="0" collapsed="false">
      <c r="F49" s="283" t="str">
        <f aca="false">IF(F$4&gt;0,(IF(E49&lt;&gt;0,E49*F$4/100," ")),IF(E49&lt;&gt;0,E49*F$2/(100+F$2)," "))</f>
        <v> </v>
      </c>
      <c r="G49" s="283" t="str">
        <f aca="false">IF((E49&lt;&gt;0),E49-F49," ")</f>
        <v> </v>
      </c>
    </row>
    <row r="50" customFormat="false" ht="12.75" hidden="false" customHeight="false" outlineLevel="0" collapsed="false">
      <c r="F50" s="283" t="str">
        <f aca="false">IF(F$4&gt;0,(IF(E50&lt;&gt;0,E50*F$4/100," ")),IF(E50&lt;&gt;0,E50*F$2/(100+F$2)," "))</f>
        <v> </v>
      </c>
      <c r="G50" s="283" t="str">
        <f aca="false">IF((E50&lt;&gt;0),E50-F50," ")</f>
        <v> </v>
      </c>
    </row>
    <row r="51" customFormat="false" ht="12.75" hidden="false" customHeight="false" outlineLevel="0" collapsed="false">
      <c r="F51" s="283" t="str">
        <f aca="false">IF(F$4&gt;0,(IF(E51&lt;&gt;0,E51*F$4/100," ")),IF(E51&lt;&gt;0,E51*F$2/(100+F$2)," "))</f>
        <v> </v>
      </c>
      <c r="G51" s="283" t="str">
        <f aca="false">IF((E51&lt;&gt;0),E51-F51," ")</f>
        <v> </v>
      </c>
    </row>
    <row r="52" customFormat="false" ht="12.75" hidden="false" customHeight="false" outlineLevel="0" collapsed="false">
      <c r="F52" s="283" t="str">
        <f aca="false">IF(F$4&gt;0,(IF(E52&lt;&gt;0,E52*F$4/100," ")),IF(E52&lt;&gt;0,E52*F$2/(100+F$2)," "))</f>
        <v> </v>
      </c>
      <c r="G52" s="283" t="str">
        <f aca="false">IF((E52&lt;&gt;0),E52-F52," ")</f>
        <v> </v>
      </c>
    </row>
    <row r="53" customFormat="false" ht="12.75" hidden="false" customHeight="false" outlineLevel="0" collapsed="false">
      <c r="F53" s="283" t="str">
        <f aca="false">IF(F$4&gt;0,(IF(E53&lt;&gt;0,E53*F$4/100," ")),IF(E53&lt;&gt;0,E53*F$2/(100+F$2)," "))</f>
        <v> </v>
      </c>
      <c r="G53" s="283" t="str">
        <f aca="false">IF((E53&lt;&gt;0),E53-F53," ")</f>
        <v> </v>
      </c>
    </row>
    <row r="54" customFormat="false" ht="12.75" hidden="false" customHeight="false" outlineLevel="0" collapsed="false">
      <c r="F54" s="283" t="str">
        <f aca="false">IF(F$4&gt;0,(IF(E54&lt;&gt;0,E54*F$4/100," ")),IF(E54&lt;&gt;0,E54*F$2/(100+F$2)," "))</f>
        <v> </v>
      </c>
      <c r="G54" s="283" t="str">
        <f aca="false">IF((E54&lt;&gt;0),E54-F54," ")</f>
        <v> </v>
      </c>
    </row>
    <row r="55" customFormat="false" ht="12.75" hidden="false" customHeight="false" outlineLevel="0" collapsed="false">
      <c r="F55" s="283" t="str">
        <f aca="false">IF(F$4&gt;0,(IF(E55&lt;&gt;0,E55*F$4/100," ")),IF(E55&lt;&gt;0,E55*F$2/(100+F$2)," "))</f>
        <v> </v>
      </c>
      <c r="G55" s="283" t="str">
        <f aca="false">IF((E55&lt;&gt;0),E55-F55," ")</f>
        <v> </v>
      </c>
    </row>
    <row r="56" customFormat="false" ht="12.75" hidden="false" customHeight="false" outlineLevel="0" collapsed="false">
      <c r="F56" s="283" t="str">
        <f aca="false">IF(F$4&gt;0,(IF(E56&lt;&gt;0,E56*F$4/100," ")),IF(E56&lt;&gt;0,E56*F$2/(100+F$2)," "))</f>
        <v> </v>
      </c>
      <c r="G56" s="283" t="str">
        <f aca="false">IF((E56&lt;&gt;0),E56-F56," ")</f>
        <v> </v>
      </c>
    </row>
    <row r="57" customFormat="false" ht="12.75" hidden="false" customHeight="false" outlineLevel="0" collapsed="false">
      <c r="F57" s="283" t="str">
        <f aca="false">IF(F$4&gt;0,(IF(E57&lt;&gt;0,E57*F$4/100," ")),IF(E57&lt;&gt;0,E57*F$2/(100+F$2)," "))</f>
        <v> </v>
      </c>
      <c r="G57" s="283" t="str">
        <f aca="false">IF((E57&lt;&gt;0),E57-F57," ")</f>
        <v> </v>
      </c>
    </row>
    <row r="58" customFormat="false" ht="12.75" hidden="false" customHeight="false" outlineLevel="0" collapsed="false">
      <c r="F58" s="283" t="str">
        <f aca="false">IF(F$4&gt;0,(IF(E58&lt;&gt;0,E58*F$4/100," ")),IF(E58&lt;&gt;0,E58*F$2/(100+F$2)," "))</f>
        <v> </v>
      </c>
      <c r="G58" s="283" t="str">
        <f aca="false">IF((E58&lt;&gt;0),E58-F58," ")</f>
        <v> </v>
      </c>
    </row>
    <row r="59" customFormat="false" ht="12.75" hidden="false" customHeight="false" outlineLevel="0" collapsed="false">
      <c r="F59" s="283" t="str">
        <f aca="false">IF(F$4&gt;0,(IF(E59&lt;&gt;0,E59*F$4/100," ")),IF(E59&lt;&gt;0,E59*F$2/(100+F$2)," "))</f>
        <v> </v>
      </c>
      <c r="G59" s="283" t="str">
        <f aca="false">IF((E59&lt;&gt;0),E59-F59," ")</f>
        <v> </v>
      </c>
    </row>
    <row r="60" customFormat="false" ht="12.75" hidden="false" customHeight="false" outlineLevel="0" collapsed="false">
      <c r="F60" s="283" t="str">
        <f aca="false">IF(F$4&gt;0,(IF(E60&lt;&gt;0,E60*F$4/100," ")),IF(E60&lt;&gt;0,E60*F$2/(100+F$2)," "))</f>
        <v> </v>
      </c>
      <c r="G60" s="283" t="str">
        <f aca="false">IF((E60&lt;&gt;0),E60-F60," ")</f>
        <v> </v>
      </c>
    </row>
    <row r="61" customFormat="false" ht="12.75" hidden="false" customHeight="false" outlineLevel="0" collapsed="false">
      <c r="F61" s="283" t="str">
        <f aca="false">IF(F$4&gt;0,(IF(E61&lt;&gt;0,E61*F$4/100," ")),IF(E61&lt;&gt;0,E61*F$2/(100+F$2)," "))</f>
        <v> </v>
      </c>
      <c r="G61" s="283" t="str">
        <f aca="false">IF((E61&lt;&gt;0),E61-F61," ")</f>
        <v> </v>
      </c>
    </row>
    <row r="62" customFormat="false" ht="12.75" hidden="false" customHeight="false" outlineLevel="0" collapsed="false">
      <c r="F62" s="283" t="str">
        <f aca="false">IF(F$4&gt;0,(IF(E62&lt;&gt;0,E62*F$4/100," ")),IF(E62&lt;&gt;0,E62*F$2/(100+F$2)," "))</f>
        <v> </v>
      </c>
      <c r="G62" s="283" t="str">
        <f aca="false">IF((E62&lt;&gt;0),E62-F62," ")</f>
        <v> </v>
      </c>
    </row>
    <row r="63" customFormat="false" ht="12.75" hidden="false" customHeight="false" outlineLevel="0" collapsed="false">
      <c r="F63" s="283" t="str">
        <f aca="false">IF(F$4&gt;0,(IF(E63&lt;&gt;0,E63*F$4/100," ")),IF(E63&lt;&gt;0,E63*F$2/(100+F$2)," "))</f>
        <v> </v>
      </c>
      <c r="G63" s="283" t="str">
        <f aca="false">IF((E63&lt;&gt;0),E63-F63," ")</f>
        <v> </v>
      </c>
    </row>
    <row r="64" customFormat="false" ht="12.75" hidden="false" customHeight="false" outlineLevel="0" collapsed="false">
      <c r="F64" s="283" t="str">
        <f aca="false">IF(F$4&gt;0,(IF(E64&lt;&gt;0,E64*F$4/100," ")),IF(E64&lt;&gt;0,E64*F$2/(100+F$2)," "))</f>
        <v> </v>
      </c>
      <c r="G64" s="283" t="str">
        <f aca="false">IF((E64&lt;&gt;0),E64-F64," ")</f>
        <v> </v>
      </c>
    </row>
    <row r="65" customFormat="false" ht="12.75" hidden="false" customHeight="false" outlineLevel="0" collapsed="false">
      <c r="F65" s="283" t="str">
        <f aca="false">IF(F$4&gt;0,(IF(E65&lt;&gt;0,E65*F$4/100," ")),IF(E65&lt;&gt;0,E65*F$2/(100+F$2)," "))</f>
        <v> </v>
      </c>
      <c r="G65" s="283" t="str">
        <f aca="false">IF((E65&lt;&gt;0),E65-F65," ")</f>
        <v> </v>
      </c>
    </row>
    <row r="66" customFormat="false" ht="12.75" hidden="false" customHeight="false" outlineLevel="0" collapsed="false">
      <c r="F66" s="283" t="str">
        <f aca="false">IF(F$4&gt;0,(IF(E66&lt;&gt;0,E66*F$4/100," ")),IF(E66&lt;&gt;0,E66*F$2/(100+F$2)," "))</f>
        <v> </v>
      </c>
      <c r="G66" s="283" t="str">
        <f aca="false">IF((E66&lt;&gt;0),E66-F66," ")</f>
        <v> </v>
      </c>
    </row>
    <row r="67" customFormat="false" ht="12.75" hidden="false" customHeight="false" outlineLevel="0" collapsed="false">
      <c r="F67" s="283" t="str">
        <f aca="false">IF(F$4&gt;0,(IF(E67&lt;&gt;0,E67*F$4/100," ")),IF(E67&lt;&gt;0,E67*F$2/(100+F$2)," "))</f>
        <v> </v>
      </c>
      <c r="G67" s="283" t="str">
        <f aca="false">IF((E67&lt;&gt;0),E67-F67," ")</f>
        <v> </v>
      </c>
    </row>
    <row r="68" customFormat="false" ht="12.75" hidden="false" customHeight="false" outlineLevel="0" collapsed="false">
      <c r="F68" s="283" t="str">
        <f aca="false">IF(F$4&gt;0,(IF(E68&lt;&gt;0,E68*F$4/100," ")),IF(E68&lt;&gt;0,E68*F$2/(100+F$2)," "))</f>
        <v> </v>
      </c>
      <c r="G68" s="283" t="str">
        <f aca="false">IF((E68&lt;&gt;0),E68-F68," ")</f>
        <v> </v>
      </c>
    </row>
    <row r="69" customFormat="false" ht="12.75" hidden="false" customHeight="false" outlineLevel="0" collapsed="false">
      <c r="F69" s="283" t="str">
        <f aca="false">IF(F$4&gt;0,(IF(E69&lt;&gt;0,E69*F$4/100," ")),IF(E69&lt;&gt;0,E69*F$2/(100+F$2)," "))</f>
        <v> </v>
      </c>
      <c r="G69" s="283" t="str">
        <f aca="false">IF((E69&lt;&gt;0),E69-F69," ")</f>
        <v> </v>
      </c>
    </row>
    <row r="70" customFormat="false" ht="12.75" hidden="false" customHeight="false" outlineLevel="0" collapsed="false">
      <c r="F70" s="283" t="str">
        <f aca="false">IF(F$4&gt;0,(IF(E70&lt;&gt;0,E70*F$4/100," ")),IF(E70&lt;&gt;0,E70*F$2/(100+F$2)," "))</f>
        <v> </v>
      </c>
      <c r="G70" s="283" t="str">
        <f aca="false">IF((E70&lt;&gt;0),E70-F70," ")</f>
        <v> </v>
      </c>
    </row>
    <row r="71" customFormat="false" ht="12.75" hidden="false" customHeight="false" outlineLevel="0" collapsed="false">
      <c r="F71" s="283" t="str">
        <f aca="false">IF(F$4&gt;0,(IF(E71&lt;&gt;0,E71*F$4/100," ")),IF(E71&lt;&gt;0,E71*F$2/(100+F$2)," "))</f>
        <v> </v>
      </c>
      <c r="G71" s="283" t="str">
        <f aca="false">IF((E71&lt;&gt;0),E71-F71," ")</f>
        <v> </v>
      </c>
    </row>
    <row r="72" customFormat="false" ht="12.75" hidden="false" customHeight="false" outlineLevel="0" collapsed="false">
      <c r="F72" s="283" t="str">
        <f aca="false">IF(F$4&gt;0,(IF(E72&lt;&gt;0,E72*F$4/100," ")),IF(E72&lt;&gt;0,E72*F$2/(100+F$2)," "))</f>
        <v> </v>
      </c>
      <c r="G72" s="283" t="str">
        <f aca="false">IF((E72&lt;&gt;0),E72-F72," ")</f>
        <v> </v>
      </c>
    </row>
    <row r="73" customFormat="false" ht="12.75" hidden="false" customHeight="false" outlineLevel="0" collapsed="false">
      <c r="F73" s="283" t="str">
        <f aca="false">IF(F$4&gt;0,(IF(E73&lt;&gt;0,E73*F$4/100," ")),IF(E73&lt;&gt;0,E73*F$2/(100+F$2)," "))</f>
        <v> </v>
      </c>
      <c r="G73" s="283" t="str">
        <f aca="false">IF((E73&lt;&gt;0),E73-F73," ")</f>
        <v> </v>
      </c>
    </row>
    <row r="74" customFormat="false" ht="12.75" hidden="false" customHeight="false" outlineLevel="0" collapsed="false">
      <c r="F74" s="283" t="str">
        <f aca="false">IF(F$4&gt;0,(IF(E74&lt;&gt;0,E74*F$4/100," ")),IF(E74&lt;&gt;0,E74*F$2/(100+F$2)," "))</f>
        <v> </v>
      </c>
      <c r="G74" s="283" t="str">
        <f aca="false">IF((E74&lt;&gt;0),E74-F74," ")</f>
        <v> </v>
      </c>
    </row>
    <row r="75" customFormat="false" ht="12.75" hidden="false" customHeight="false" outlineLevel="0" collapsed="false">
      <c r="F75" s="283" t="str">
        <f aca="false">IF(F$4&gt;0,(IF(E75&lt;&gt;0,E75*F$4/100," ")),IF(E75&lt;&gt;0,E75*F$2/(100+F$2)," "))</f>
        <v> </v>
      </c>
      <c r="G75" s="283" t="str">
        <f aca="false">IF((E75&lt;&gt;0),E75-F75," ")</f>
        <v> </v>
      </c>
    </row>
    <row r="76" customFormat="false" ht="12.75" hidden="false" customHeight="false" outlineLevel="0" collapsed="false">
      <c r="F76" s="283" t="str">
        <f aca="false">IF(F$4&gt;0,(IF(E76&lt;&gt;0,E76*F$4/100," ")),IF(E76&lt;&gt;0,E76*F$2/(100+F$2)," "))</f>
        <v> </v>
      </c>
      <c r="G76" s="283" t="str">
        <f aca="false">IF((E76&lt;&gt;0),E76-F76," ")</f>
        <v> </v>
      </c>
    </row>
    <row r="77" customFormat="false" ht="12.75" hidden="false" customHeight="false" outlineLevel="0" collapsed="false">
      <c r="F77" s="283" t="str">
        <f aca="false">IF(F$4&gt;0,(IF(E77&lt;&gt;0,E77*F$4/100," ")),IF(E77&lt;&gt;0,E77*F$2/(100+F$2)," "))</f>
        <v> </v>
      </c>
      <c r="G77" s="283" t="str">
        <f aca="false">IF((E77&lt;&gt;0),E77-F77," ")</f>
        <v> </v>
      </c>
    </row>
    <row r="78" customFormat="false" ht="12.75" hidden="false" customHeight="false" outlineLevel="0" collapsed="false">
      <c r="F78" s="283" t="str">
        <f aca="false">IF(F$4&gt;0,(IF(E78&lt;&gt;0,E78*F$4/100," ")),IF(E78&lt;&gt;0,E78*F$2/(100+F$2)," "))</f>
        <v> </v>
      </c>
      <c r="G78" s="283" t="str">
        <f aca="false">IF((E78&lt;&gt;0),E78-F78," ")</f>
        <v> </v>
      </c>
    </row>
    <row r="79" customFormat="false" ht="12.75" hidden="false" customHeight="false" outlineLevel="0" collapsed="false">
      <c r="F79" s="283" t="str">
        <f aca="false">IF(F$4&gt;0,(IF(E79&lt;&gt;0,E79*F$4/100," ")),IF(E79&lt;&gt;0,E79*F$2/(100+F$2)," "))</f>
        <v> </v>
      </c>
      <c r="G79" s="283" t="str">
        <f aca="false">IF((E79&lt;&gt;0),E79-F79," ")</f>
        <v> </v>
      </c>
    </row>
    <row r="80" customFormat="false" ht="12.75" hidden="false" customHeight="false" outlineLevel="0" collapsed="false">
      <c r="F80" s="283" t="str">
        <f aca="false">IF(F$4&gt;0,(IF(E80&lt;&gt;0,E80*F$4/100," ")),IF(E80&lt;&gt;0,E80*F$2/(100+F$2)," "))</f>
        <v> </v>
      </c>
      <c r="G80" s="283" t="str">
        <f aca="false">IF((E80&lt;&gt;0),E80-F80," ")</f>
        <v> </v>
      </c>
    </row>
    <row r="81" customFormat="false" ht="12.75" hidden="false" customHeight="false" outlineLevel="0" collapsed="false">
      <c r="F81" s="283" t="str">
        <f aca="false">IF(F$4&gt;0,(IF(E81&lt;&gt;0,E81*F$4/100," ")),IF(E81&lt;&gt;0,E81*F$2/(100+F$2)," "))</f>
        <v> </v>
      </c>
      <c r="G81" s="283" t="str">
        <f aca="false">IF((E81&lt;&gt;0),E81-F81," ")</f>
        <v> </v>
      </c>
    </row>
    <row r="82" customFormat="false" ht="12.75" hidden="false" customHeight="false" outlineLevel="0" collapsed="false">
      <c r="F82" s="283" t="str">
        <f aca="false">IF(F$4&gt;0,(IF(E82&lt;&gt;0,E82*F$4/100," ")),IF(E82&lt;&gt;0,E82*F$2/(100+F$2)," "))</f>
        <v> </v>
      </c>
      <c r="G82" s="283" t="str">
        <f aca="false">IF((E82&lt;&gt;0),E82-F82," ")</f>
        <v> </v>
      </c>
    </row>
    <row r="83" customFormat="false" ht="12.75" hidden="false" customHeight="false" outlineLevel="0" collapsed="false">
      <c r="F83" s="283" t="str">
        <f aca="false">IF(F$4&gt;0,(IF(E83&lt;&gt;0,E83*F$4/100," ")),IF(E83&lt;&gt;0,E83*F$2/(100+F$2)," "))</f>
        <v> </v>
      </c>
      <c r="G83" s="283" t="str">
        <f aca="false">IF((E83&lt;&gt;0),E83-F83," ")</f>
        <v> </v>
      </c>
    </row>
    <row r="84" customFormat="false" ht="12.75" hidden="false" customHeight="false" outlineLevel="0" collapsed="false">
      <c r="F84" s="283" t="str">
        <f aca="false">IF(F$4&gt;0,(IF(E84&lt;&gt;0,E84*F$4/100," ")),IF(E84&lt;&gt;0,E84*F$2/(100+F$2)," "))</f>
        <v> </v>
      </c>
      <c r="G84" s="283" t="str">
        <f aca="false">IF((E84&lt;&gt;0),E84-F84," ")</f>
        <v> </v>
      </c>
    </row>
    <row r="85" customFormat="false" ht="12.75" hidden="false" customHeight="false" outlineLevel="0" collapsed="false">
      <c r="F85" s="283" t="str">
        <f aca="false">IF(F$4&gt;0,(IF(E85&lt;&gt;0,E85*F$4/100," ")),IF(E85&lt;&gt;0,E85*F$2/(100+F$2)," "))</f>
        <v> </v>
      </c>
      <c r="G85" s="283" t="str">
        <f aca="false">IF((E85&lt;&gt;0),E85-F85," ")</f>
        <v> </v>
      </c>
    </row>
    <row r="86" customFormat="false" ht="12.75" hidden="false" customHeight="false" outlineLevel="0" collapsed="false">
      <c r="F86" s="283" t="str">
        <f aca="false">IF(F$4&gt;0,(IF(E86&lt;&gt;0,E86*F$4/100," ")),IF(E86&lt;&gt;0,E86*F$2/(100+F$2)," "))</f>
        <v> </v>
      </c>
      <c r="G86" s="283" t="str">
        <f aca="false">IF((E86&lt;&gt;0),E86-F86," ")</f>
        <v> </v>
      </c>
    </row>
    <row r="87" customFormat="false" ht="12.75" hidden="false" customHeight="false" outlineLevel="0" collapsed="false">
      <c r="F87" s="283" t="str">
        <f aca="false">IF(F$4&gt;0,(IF(E87&lt;&gt;0,E87*F$4/100," ")),IF(E87&lt;&gt;0,E87*F$2/(100+F$2)," "))</f>
        <v> </v>
      </c>
      <c r="G87" s="283" t="str">
        <f aca="false">IF((E87&lt;&gt;0),E87-F87," ")</f>
        <v> </v>
      </c>
    </row>
    <row r="88" customFormat="false" ht="12.75" hidden="false" customHeight="false" outlineLevel="0" collapsed="false">
      <c r="F88" s="283" t="str">
        <f aca="false">IF(F$4&gt;0,(IF(E88&lt;&gt;0,E88*F$4/100," ")),IF(E88&lt;&gt;0,E88*F$2/(100+F$2)," "))</f>
        <v> </v>
      </c>
      <c r="G88" s="283" t="str">
        <f aca="false">IF((E88&lt;&gt;0),E88-F88," ")</f>
        <v> </v>
      </c>
    </row>
    <row r="89" customFormat="false" ht="12.75" hidden="false" customHeight="false" outlineLevel="0" collapsed="false">
      <c r="F89" s="283" t="str">
        <f aca="false">IF(F$4&gt;0,(IF(E89&lt;&gt;0,E89*F$4/100," ")),IF(E89&lt;&gt;0,E89*F$2/(100+F$2)," "))</f>
        <v> </v>
      </c>
      <c r="G89" s="283" t="str">
        <f aca="false">IF((E89&lt;&gt;0),E89-F89," ")</f>
        <v> </v>
      </c>
    </row>
    <row r="90" customFormat="false" ht="12.75" hidden="false" customHeight="false" outlineLevel="0" collapsed="false">
      <c r="F90" s="283" t="str">
        <f aca="false">IF(F$4&gt;0,(IF(E90&lt;&gt;0,E90*F$4/100," ")),IF(E90&lt;&gt;0,E90*F$2/(100+F$2)," "))</f>
        <v> </v>
      </c>
      <c r="G90" s="283" t="str">
        <f aca="false">IF((E90&lt;&gt;0),E90-F90," ")</f>
        <v> </v>
      </c>
    </row>
    <row r="91" customFormat="false" ht="12.75" hidden="false" customHeight="false" outlineLevel="0" collapsed="false">
      <c r="F91" s="283" t="str">
        <f aca="false">IF(F$4&gt;0,(IF(E91&lt;&gt;0,E91*F$4/100," ")),IF(E91&lt;&gt;0,E91*F$2/(100+F$2)," "))</f>
        <v> </v>
      </c>
      <c r="G91" s="283" t="str">
        <f aca="false">IF((E91&lt;&gt;0),E91-F91," ")</f>
        <v> </v>
      </c>
    </row>
    <row r="92" customFormat="false" ht="12.75" hidden="false" customHeight="false" outlineLevel="0" collapsed="false">
      <c r="F92" s="283" t="str">
        <f aca="false">IF(F$4&gt;0,(IF(E92&lt;&gt;0,E92*F$4/100," ")),IF(E92&lt;&gt;0,E92*F$2/(100+F$2)," "))</f>
        <v> </v>
      </c>
      <c r="G92" s="283" t="str">
        <f aca="false">IF((E92&lt;&gt;0),E92-F92," ")</f>
        <v> </v>
      </c>
    </row>
    <row r="93" customFormat="false" ht="12.75" hidden="false" customHeight="false" outlineLevel="0" collapsed="false">
      <c r="F93" s="283" t="str">
        <f aca="false">IF(F$4&gt;0,(IF(E93&lt;&gt;0,E93*F$4/100," ")),IF(E93&lt;&gt;0,E93*F$2/(100+F$2)," "))</f>
        <v> </v>
      </c>
      <c r="G93" s="283" t="str">
        <f aca="false">IF((E93&lt;&gt;0),E93-F93," ")</f>
        <v> </v>
      </c>
    </row>
    <row r="94" customFormat="false" ht="12.75" hidden="false" customHeight="false" outlineLevel="0" collapsed="false">
      <c r="F94" s="283" t="str">
        <f aca="false">IF(F$4&gt;0,(IF(E94&lt;&gt;0,E94*F$4/100," ")),IF(E94&lt;&gt;0,E94*F$2/(100+F$2)," "))</f>
        <v> </v>
      </c>
      <c r="G94" s="283" t="str">
        <f aca="false">IF((E94&lt;&gt;0),E94-F94," ")</f>
        <v> </v>
      </c>
    </row>
    <row r="95" customFormat="false" ht="12.75" hidden="false" customHeight="false" outlineLevel="0" collapsed="false">
      <c r="F95" s="283" t="str">
        <f aca="false">IF(F$4&gt;0,(IF(E95&lt;&gt;0,E95*F$4/100," ")),IF(E95&lt;&gt;0,E95*F$2/(100+F$2)," "))</f>
        <v> </v>
      </c>
      <c r="G95" s="283" t="str">
        <f aca="false">IF((E95&lt;&gt;0),E95-F95," ")</f>
        <v> </v>
      </c>
    </row>
    <row r="96" customFormat="false" ht="12.75" hidden="false" customHeight="false" outlineLevel="0" collapsed="false">
      <c r="F96" s="283" t="str">
        <f aca="false">IF(F$4&gt;0,(IF(E96&lt;&gt;0,E96*F$4/100," ")),IF(E96&lt;&gt;0,E96*F$2/(100+F$2)," "))</f>
        <v> </v>
      </c>
      <c r="G96" s="283" t="str">
        <f aca="false">IF((E96&lt;&gt;0),E96-F96," ")</f>
        <v> </v>
      </c>
    </row>
    <row r="97" customFormat="false" ht="12.75" hidden="false" customHeight="false" outlineLevel="0" collapsed="false">
      <c r="F97" s="283" t="str">
        <f aca="false">IF(F$4&gt;0,(IF(E97&lt;&gt;0,E97*F$4/100," ")),IF(E97&lt;&gt;0,E97*F$2/(100+F$2)," "))</f>
        <v> </v>
      </c>
      <c r="G97" s="283" t="str">
        <f aca="false">IF((E97&lt;&gt;0),E97-F97," ")</f>
        <v> </v>
      </c>
    </row>
    <row r="98" customFormat="false" ht="12.75" hidden="false" customHeight="false" outlineLevel="0" collapsed="false">
      <c r="F98" s="283" t="str">
        <f aca="false">IF(F$4&gt;0,(IF(E98&lt;&gt;0,E98*F$4/100," ")),IF(E98&lt;&gt;0,E98*F$2/(100+F$2)," "))</f>
        <v> </v>
      </c>
      <c r="G98" s="283" t="str">
        <f aca="false">IF((E98&lt;&gt;0),E98-F98," ")</f>
        <v> </v>
      </c>
    </row>
    <row r="99" customFormat="false" ht="12.75" hidden="false" customHeight="false" outlineLevel="0" collapsed="false">
      <c r="F99" s="283" t="str">
        <f aca="false">IF(F$4&gt;0,(IF(E99&lt;&gt;0,E99*F$4/100," ")),IF(E99&lt;&gt;0,E99*F$2/(100+F$2)," "))</f>
        <v> </v>
      </c>
      <c r="G99" s="283" t="str">
        <f aca="false">IF((E99&lt;&gt;0),E99-F99," ")</f>
        <v> </v>
      </c>
    </row>
    <row r="100" customFormat="false" ht="12.75" hidden="false" customHeight="false" outlineLevel="0" collapsed="false">
      <c r="F100" s="283" t="str">
        <f aca="false">IF(F$4&gt;0,(IF(E100&lt;&gt;0,E100*F$4/100," ")),IF(E100&lt;&gt;0,E100*F$2/(100+F$2)," "))</f>
        <v> </v>
      </c>
      <c r="G100" s="283" t="str">
        <f aca="false">IF((E100&lt;&gt;0),E100-F100," ")</f>
        <v> </v>
      </c>
    </row>
    <row r="101" customFormat="false" ht="12.75" hidden="false" customHeight="false" outlineLevel="0" collapsed="false">
      <c r="F101" s="283" t="str">
        <f aca="false">IF(F$4&gt;0,(IF(E101&lt;&gt;0,E101*F$4/100," ")),IF(E101&lt;&gt;0,E101*F$2/(100+F$2)," "))</f>
        <v> </v>
      </c>
      <c r="G101" s="283" t="str">
        <f aca="false">IF((E101&lt;&gt;0),E101-F101," ")</f>
        <v> </v>
      </c>
    </row>
    <row r="102" customFormat="false" ht="12.75" hidden="false" customHeight="false" outlineLevel="0" collapsed="false">
      <c r="F102" s="283" t="str">
        <f aca="false">IF(F$4&gt;0,(IF(E102&lt;&gt;0,E102*F$4/100," ")),IF(E102&lt;&gt;0,E102*F$2/(100+F$2)," "))</f>
        <v> </v>
      </c>
      <c r="G102" s="283" t="str">
        <f aca="false">IF((E102&lt;&gt;0),E102-F102," ")</f>
        <v> </v>
      </c>
    </row>
    <row r="103" customFormat="false" ht="12.75" hidden="false" customHeight="false" outlineLevel="0" collapsed="false">
      <c r="F103" s="283" t="str">
        <f aca="false">IF(F$4&gt;0,(IF(E103&lt;&gt;0,E103*F$4/100," ")),IF(E103&lt;&gt;0,E103*F$2/(100+F$2)," "))</f>
        <v> </v>
      </c>
      <c r="G103" s="283" t="str">
        <f aca="false">IF((E103&lt;&gt;0),E103-F103," ")</f>
        <v> </v>
      </c>
    </row>
    <row r="104" customFormat="false" ht="12.75" hidden="false" customHeight="false" outlineLevel="0" collapsed="false">
      <c r="F104" s="283" t="str">
        <f aca="false">IF(F$4&gt;0,(IF(E104&lt;&gt;0,E104*F$4/100," ")),IF(E104&lt;&gt;0,E104*F$2/(100+F$2)," "))</f>
        <v> </v>
      </c>
      <c r="G104" s="283" t="str">
        <f aca="false">IF((E104&lt;&gt;0),E104-F104," ")</f>
        <v> </v>
      </c>
    </row>
    <row r="105" customFormat="false" ht="12.75" hidden="false" customHeight="false" outlineLevel="0" collapsed="false">
      <c r="F105" s="283" t="str">
        <f aca="false">IF(F$4&gt;0,(IF(E105&lt;&gt;0,E105*F$4/100," ")),IF(E105&lt;&gt;0,E105*F$2/(100+F$2)," "))</f>
        <v> </v>
      </c>
      <c r="G105" s="283" t="str">
        <f aca="false">IF((E105&lt;&gt;0),E105-F105," ")</f>
        <v> </v>
      </c>
    </row>
    <row r="106" customFormat="false" ht="12.75" hidden="false" customHeight="false" outlineLevel="0" collapsed="false">
      <c r="F106" s="283" t="str">
        <f aca="false">IF(F$4&gt;0,(IF(E106&lt;&gt;0,E106*F$4/100," ")),IF(E106&lt;&gt;0,E106*F$2/(100+F$2)," "))</f>
        <v> </v>
      </c>
      <c r="G106" s="283" t="str">
        <f aca="false">IF((E106&lt;&gt;0),E106-F106," ")</f>
        <v> </v>
      </c>
    </row>
    <row r="107" customFormat="false" ht="12.75" hidden="false" customHeight="false" outlineLevel="0" collapsed="false">
      <c r="F107" s="283" t="str">
        <f aca="false">IF(F$4&gt;0,(IF(E107&lt;&gt;0,E107*F$4/100," ")),IF(E107&lt;&gt;0,E107*F$2/(100+F$2)," "))</f>
        <v> </v>
      </c>
      <c r="G107" s="283" t="str">
        <f aca="false">IF((E107&lt;&gt;0),E107-F107," ")</f>
        <v> </v>
      </c>
    </row>
    <row r="108" customFormat="false" ht="12.75" hidden="false" customHeight="false" outlineLevel="0" collapsed="false">
      <c r="F108" s="283" t="str">
        <f aca="false">IF(F$4&gt;0,(IF(E108&lt;&gt;0,E108*F$4/100," ")),IF(E108&lt;&gt;0,E108*F$2/(100+F$2)," "))</f>
        <v> </v>
      </c>
      <c r="G108" s="283" t="str">
        <f aca="false">IF((E108&lt;&gt;0),E108-F108," ")</f>
        <v> </v>
      </c>
    </row>
    <row r="109" customFormat="false" ht="12.75" hidden="false" customHeight="false" outlineLevel="0" collapsed="false">
      <c r="F109" s="283" t="str">
        <f aca="false">IF(F$4&gt;0,(IF(E109&lt;&gt;0,E109*F$4/100," ")),IF(E109&lt;&gt;0,E109*F$2/(100+F$2)," "))</f>
        <v> </v>
      </c>
      <c r="G109" s="283" t="str">
        <f aca="false">IF((E109&lt;&gt;0),E109-F109," ")</f>
        <v> </v>
      </c>
    </row>
    <row r="110" customFormat="false" ht="12.75" hidden="false" customHeight="false" outlineLevel="0" collapsed="false">
      <c r="F110" s="283" t="str">
        <f aca="false">IF(F$4&gt;0,(IF(E110&lt;&gt;0,E110*F$4/100," ")),IF(E110&lt;&gt;0,E110*F$2/(100+F$2)," "))</f>
        <v> </v>
      </c>
      <c r="G110" s="283" t="str">
        <f aca="false">IF((E110&lt;&gt;0),E110-F110," ")</f>
        <v> </v>
      </c>
    </row>
    <row r="111" customFormat="false" ht="12.75" hidden="false" customHeight="false" outlineLevel="0" collapsed="false">
      <c r="F111" s="283" t="str">
        <f aca="false">IF(F$4&gt;0,(IF(E111&lt;&gt;0,E111*F$4/100," ")),IF(E111&lt;&gt;0,E111*F$2/(100+F$2)," "))</f>
        <v> </v>
      </c>
      <c r="G111" s="283" t="str">
        <f aca="false">IF((E111&lt;&gt;0),E111-F111," ")</f>
        <v> </v>
      </c>
    </row>
    <row r="112" customFormat="false" ht="12.75" hidden="false" customHeight="false" outlineLevel="0" collapsed="false">
      <c r="F112" s="283" t="str">
        <f aca="false">IF(F$4&gt;0,(IF(E112&lt;&gt;0,E112*F$4/100," ")),IF(E112&lt;&gt;0,E112*F$2/(100+F$2)," "))</f>
        <v> </v>
      </c>
      <c r="G112" s="283" t="str">
        <f aca="false">IF((E112&lt;&gt;0),E112-F112," ")</f>
        <v> </v>
      </c>
    </row>
    <row r="113" customFormat="false" ht="12.75" hidden="false" customHeight="false" outlineLevel="0" collapsed="false">
      <c r="F113" s="283" t="str">
        <f aca="false">IF(F$4&gt;0,(IF(E113&lt;&gt;0,E113*F$4/100," ")),IF(E113&lt;&gt;0,E113*F$2/(100+F$2)," "))</f>
        <v> </v>
      </c>
      <c r="G113" s="283" t="str">
        <f aca="false">IF((E113&lt;&gt;0),E113-F113," ")</f>
        <v> </v>
      </c>
    </row>
    <row r="114" customFormat="false" ht="12.75" hidden="false" customHeight="false" outlineLevel="0" collapsed="false">
      <c r="F114" s="283" t="str">
        <f aca="false">IF(F$4&gt;0,(IF(E114&lt;&gt;0,E114*F$4/100," ")),IF(E114&lt;&gt;0,E114*F$2/(100+F$2)," "))</f>
        <v> </v>
      </c>
      <c r="G114" s="283" t="str">
        <f aca="false">IF((E114&lt;&gt;0),E114-F114," ")</f>
        <v> </v>
      </c>
    </row>
    <row r="115" customFormat="false" ht="12.75" hidden="false" customHeight="false" outlineLevel="0" collapsed="false">
      <c r="F115" s="283" t="str">
        <f aca="false">IF(F$4&gt;0,(IF(E115&lt;&gt;0,E115*F$4/100," ")),IF(E115&lt;&gt;0,E115*F$2/(100+F$2)," "))</f>
        <v> </v>
      </c>
      <c r="G115" s="283" t="str">
        <f aca="false">IF((E115&lt;&gt;0),E115-F115," ")</f>
        <v> </v>
      </c>
    </row>
    <row r="116" customFormat="false" ht="12.75" hidden="false" customHeight="false" outlineLevel="0" collapsed="false">
      <c r="F116" s="283" t="str">
        <f aca="false">IF(F$4&gt;0,(IF(E116&lt;&gt;0,E116*F$4/100," ")),IF(E116&lt;&gt;0,E116*F$2/(100+F$2)," "))</f>
        <v> </v>
      </c>
      <c r="G116" s="283" t="str">
        <f aca="false">IF((E116&lt;&gt;0),E116-F116," ")</f>
        <v> </v>
      </c>
    </row>
    <row r="117" customFormat="false" ht="12.75" hidden="false" customHeight="false" outlineLevel="0" collapsed="false">
      <c r="F117" s="283" t="str">
        <f aca="false">IF(F$4&gt;0,(IF(E117&lt;&gt;0,E117*F$4/100," ")),IF(E117&lt;&gt;0,E117*F$2/(100+F$2)," "))</f>
        <v> </v>
      </c>
      <c r="G117" s="283" t="str">
        <f aca="false">IF((E117&lt;&gt;0),E117-F117," ")</f>
        <v> </v>
      </c>
    </row>
    <row r="118" customFormat="false" ht="12.75" hidden="false" customHeight="false" outlineLevel="0" collapsed="false">
      <c r="F118" s="283" t="str">
        <f aca="false">IF(F$4&gt;0,(IF(E118&lt;&gt;0,E118*F$4/100," ")),IF(E118&lt;&gt;0,E118*F$2/(100+F$2)," "))</f>
        <v> </v>
      </c>
      <c r="G118" s="283" t="str">
        <f aca="false">IF((E118&lt;&gt;0),E118-F118," ")</f>
        <v> </v>
      </c>
    </row>
    <row r="119" customFormat="false" ht="12.75" hidden="false" customHeight="false" outlineLevel="0" collapsed="false">
      <c r="F119" s="283" t="str">
        <f aca="false">IF(F$4&gt;0,(IF(E119&lt;&gt;0,E119*F$4/100," ")),IF(E119&lt;&gt;0,E119*F$2/(100+F$2)," "))</f>
        <v> </v>
      </c>
      <c r="G119" s="283" t="str">
        <f aca="false">IF((E119&lt;&gt;0),E119-F119," ")</f>
        <v> </v>
      </c>
    </row>
    <row r="120" customFormat="false" ht="12.75" hidden="false" customHeight="false" outlineLevel="0" collapsed="false">
      <c r="F120" s="283" t="str">
        <f aca="false">IF(F$4&gt;0,(IF(E120&lt;&gt;0,E120*F$4/100," ")),IF(E120&lt;&gt;0,E120*F$2/(100+F$2)," "))</f>
        <v> </v>
      </c>
      <c r="G120" s="283" t="str">
        <f aca="false">IF((E120&lt;&gt;0),E120-F120," ")</f>
        <v> </v>
      </c>
    </row>
    <row r="121" customFormat="false" ht="12.75" hidden="false" customHeight="false" outlineLevel="0" collapsed="false">
      <c r="F121" s="283" t="str">
        <f aca="false">IF(F$4&gt;0,(IF(E121&lt;&gt;0,E121*F$4/100," ")),IF(E121&lt;&gt;0,E121*F$2/(100+F$2)," "))</f>
        <v> </v>
      </c>
      <c r="G121" s="283" t="str">
        <f aca="false">IF((E121&lt;&gt;0),E121-F121," ")</f>
        <v> </v>
      </c>
    </row>
    <row r="122" customFormat="false" ht="12.75" hidden="false" customHeight="false" outlineLevel="0" collapsed="false">
      <c r="F122" s="283" t="str">
        <f aca="false">IF(F$4&gt;0,(IF(E122&lt;&gt;0,E122*F$4/100," ")),IF(E122&lt;&gt;0,E122*F$2/(100+F$2)," "))</f>
        <v> </v>
      </c>
      <c r="G122" s="283" t="str">
        <f aca="false">IF((E122&lt;&gt;0),E122-F122," ")</f>
        <v> </v>
      </c>
    </row>
    <row r="123" customFormat="false" ht="12.75" hidden="false" customHeight="false" outlineLevel="0" collapsed="false">
      <c r="F123" s="283" t="str">
        <f aca="false">IF(F$4&gt;0,(IF(E123&lt;&gt;0,E123*F$4/100," ")),IF(E123&lt;&gt;0,E123*F$2/(100+F$2)," "))</f>
        <v> </v>
      </c>
      <c r="G123" s="283" t="str">
        <f aca="false">IF((E123&lt;&gt;0),E123-F123," ")</f>
        <v> </v>
      </c>
    </row>
    <row r="124" customFormat="false" ht="12.75" hidden="false" customHeight="false" outlineLevel="0" collapsed="false">
      <c r="F124" s="283" t="str">
        <f aca="false">IF(F$4&gt;0,(IF(E124&lt;&gt;0,E124*F$4/100," ")),IF(E124&lt;&gt;0,E124*F$2/(100+F$2)," "))</f>
        <v> </v>
      </c>
      <c r="G124" s="283" t="str">
        <f aca="false">IF((E124&lt;&gt;0),E124-F124," ")</f>
        <v> </v>
      </c>
    </row>
    <row r="125" customFormat="false" ht="12.75" hidden="false" customHeight="false" outlineLevel="0" collapsed="false">
      <c r="F125" s="283" t="str">
        <f aca="false">IF(F$4&gt;0,(IF(E125&lt;&gt;0,E125*F$4/100," ")),IF(E125&lt;&gt;0,E125*F$2/(100+F$2)," "))</f>
        <v> </v>
      </c>
      <c r="G125" s="283" t="str">
        <f aca="false">IF((E125&lt;&gt;0),E125-F125," ")</f>
        <v> </v>
      </c>
    </row>
    <row r="126" customFormat="false" ht="12.75" hidden="false" customHeight="false" outlineLevel="0" collapsed="false">
      <c r="F126" s="283" t="str">
        <f aca="false">IF(F$4&gt;0,(IF(E126&lt;&gt;0,E126*F$4/100," ")),IF(E126&lt;&gt;0,E126*F$2/(100+F$2)," "))</f>
        <v> </v>
      </c>
      <c r="G126" s="283" t="str">
        <f aca="false">IF((E126&lt;&gt;0),E126-F126," ")</f>
        <v> </v>
      </c>
    </row>
    <row r="127" customFormat="false" ht="12.75" hidden="false" customHeight="false" outlineLevel="0" collapsed="false">
      <c r="F127" s="283" t="str">
        <f aca="false">IF(F$4&gt;0,(IF(E127&lt;&gt;0,E127*F$4/100," ")),IF(E127&lt;&gt;0,E127*F$2/(100+F$2)," "))</f>
        <v> </v>
      </c>
      <c r="G127" s="283" t="str">
        <f aca="false">IF((E127&lt;&gt;0),E127-F127," ")</f>
        <v> </v>
      </c>
    </row>
    <row r="128" customFormat="false" ht="12.75" hidden="false" customHeight="false" outlineLevel="0" collapsed="false">
      <c r="F128" s="283" t="str">
        <f aca="false">IF(F$4&gt;0,(IF(E128&lt;&gt;0,E128*F$4/100," ")),IF(E128&lt;&gt;0,E128*F$2/(100+F$2)," "))</f>
        <v> </v>
      </c>
      <c r="G128" s="283" t="str">
        <f aca="false">IF((E128&lt;&gt;0),E128-F128," ")</f>
        <v> </v>
      </c>
    </row>
    <row r="129" customFormat="false" ht="12.75" hidden="false" customHeight="false" outlineLevel="0" collapsed="false">
      <c r="F129" s="283" t="str">
        <f aca="false">IF(F$4&gt;0,(IF(E129&lt;&gt;0,E129*F$4/100," ")),IF(E129&lt;&gt;0,E129*F$2/(100+F$2)," "))</f>
        <v> </v>
      </c>
      <c r="G129" s="283" t="str">
        <f aca="false">IF((E129&lt;&gt;0),E129-F129," ")</f>
        <v> </v>
      </c>
    </row>
    <row r="130" customFormat="false" ht="12.75" hidden="false" customHeight="false" outlineLevel="0" collapsed="false">
      <c r="F130" s="283" t="str">
        <f aca="false">IF(F$4&gt;0,(IF(E130&lt;&gt;0,E130*F$4/100," ")),IF(E130&lt;&gt;0,E130*F$2/(100+F$2)," "))</f>
        <v> </v>
      </c>
      <c r="G130" s="283" t="str">
        <f aca="false">IF((E130&lt;&gt;0),E130-F130," ")</f>
        <v> </v>
      </c>
    </row>
    <row r="131" customFormat="false" ht="12.75" hidden="false" customHeight="false" outlineLevel="0" collapsed="false">
      <c r="F131" s="283" t="str">
        <f aca="false">IF(F$4&gt;0,(IF(E131&lt;&gt;0,E131*F$4/100," ")),IF(E131&lt;&gt;0,E131*F$2/(100+F$2)," "))</f>
        <v> </v>
      </c>
      <c r="G131" s="283" t="str">
        <f aca="false">IF((E131&lt;&gt;0),E131-F131," ")</f>
        <v> </v>
      </c>
    </row>
    <row r="132" customFormat="false" ht="12.75" hidden="false" customHeight="false" outlineLevel="0" collapsed="false">
      <c r="F132" s="283" t="str">
        <f aca="false">IF(F$4&gt;0,(IF(E132&lt;&gt;0,E132*F$4/100," ")),IF(E132&lt;&gt;0,E132*F$2/(100+F$2)," "))</f>
        <v> </v>
      </c>
      <c r="G132" s="283" t="str">
        <f aca="false">IF((E132&lt;&gt;0),E132-F132," ")</f>
        <v> </v>
      </c>
    </row>
    <row r="133" customFormat="false" ht="12.75" hidden="false" customHeight="false" outlineLevel="0" collapsed="false">
      <c r="F133" s="283" t="str">
        <f aca="false">IF(F$4&gt;0,(IF(E133&lt;&gt;0,E133*F$4/100," ")),IF(E133&lt;&gt;0,E133*F$2/(100+F$2)," "))</f>
        <v> </v>
      </c>
      <c r="G133" s="283" t="str">
        <f aca="false">IF((E133&lt;&gt;0),E133-F133," ")</f>
        <v> </v>
      </c>
    </row>
    <row r="134" customFormat="false" ht="12.75" hidden="false" customHeight="false" outlineLevel="0" collapsed="false">
      <c r="F134" s="283" t="str">
        <f aca="false">IF(F$4&gt;0,(IF(E134&lt;&gt;0,E134*F$4/100," ")),IF(E134&lt;&gt;0,E134*F$2/(100+F$2)," "))</f>
        <v> </v>
      </c>
      <c r="G134" s="283" t="str">
        <f aca="false">IF((E134&lt;&gt;0),E134-F134," ")</f>
        <v> </v>
      </c>
    </row>
    <row r="135" customFormat="false" ht="12.75" hidden="false" customHeight="false" outlineLevel="0" collapsed="false">
      <c r="F135" s="283" t="str">
        <f aca="false">IF(F$4&gt;0,(IF(E135&lt;&gt;0,E135*F$4/100," ")),IF(E135&lt;&gt;0,E135*F$2/(100+F$2)," "))</f>
        <v> </v>
      </c>
      <c r="G135" s="283" t="str">
        <f aca="false">IF((E135&lt;&gt;0),E135-F135," ")</f>
        <v> </v>
      </c>
    </row>
    <row r="136" customFormat="false" ht="12.75" hidden="false" customHeight="false" outlineLevel="0" collapsed="false">
      <c r="F136" s="283" t="str">
        <f aca="false">IF(F$4&gt;0,(IF(E136&lt;&gt;0,E136*F$4/100," ")),IF(E136&lt;&gt;0,E136*F$2/(100+F$2)," "))</f>
        <v> </v>
      </c>
      <c r="G136" s="283" t="str">
        <f aca="false">IF((E136&lt;&gt;0),E136-F136," ")</f>
        <v> </v>
      </c>
    </row>
    <row r="137" customFormat="false" ht="12.75" hidden="false" customHeight="false" outlineLevel="0" collapsed="false">
      <c r="F137" s="283" t="str">
        <f aca="false">IF(F$4&gt;0,(IF(E137&lt;&gt;0,E137*F$4/100," ")),IF(E137&lt;&gt;0,E137*F$2/(100+F$2)," "))</f>
        <v> </v>
      </c>
      <c r="G137" s="283" t="str">
        <f aca="false">IF((E137&lt;&gt;0),E137-F137," ")</f>
        <v> </v>
      </c>
    </row>
    <row r="138" customFormat="false" ht="12.75" hidden="false" customHeight="false" outlineLevel="0" collapsed="false">
      <c r="F138" s="283" t="str">
        <f aca="false">IF(F$4&gt;0,(IF(E138&lt;&gt;0,E138*F$4/100," ")),IF(E138&lt;&gt;0,E138*F$2/(100+F$2)," "))</f>
        <v> </v>
      </c>
      <c r="G138" s="283" t="str">
        <f aca="false">IF((E138&lt;&gt;0),E138-F138," ")</f>
        <v> </v>
      </c>
    </row>
    <row r="139" customFormat="false" ht="12.75" hidden="false" customHeight="false" outlineLevel="0" collapsed="false">
      <c r="F139" s="283" t="str">
        <f aca="false">IF(F$4&gt;0,(IF(E139&lt;&gt;0,E139*F$4/100," ")),IF(E139&lt;&gt;0,E139*F$2/(100+F$2)," "))</f>
        <v> </v>
      </c>
      <c r="G139" s="283" t="str">
        <f aca="false">IF((E139&lt;&gt;0),E139-F139," ")</f>
        <v> </v>
      </c>
    </row>
    <row r="140" customFormat="false" ht="12.75" hidden="false" customHeight="false" outlineLevel="0" collapsed="false">
      <c r="F140" s="283" t="str">
        <f aca="false">IF(F$4&gt;0,(IF(E140&lt;&gt;0,E140*F$4/100," ")),IF(E140&lt;&gt;0,E140*F$2/(100+F$2)," "))</f>
        <v> </v>
      </c>
      <c r="G140" s="283" t="str">
        <f aca="false">IF((E140&lt;&gt;0),E140-F140," ")</f>
        <v> </v>
      </c>
    </row>
    <row r="141" customFormat="false" ht="12.75" hidden="false" customHeight="false" outlineLevel="0" collapsed="false">
      <c r="F141" s="283" t="str">
        <f aca="false">IF(F$4&gt;0,(IF(E141&lt;&gt;0,E141*F$4/100," ")),IF(E141&lt;&gt;0,E141*F$2/(100+F$2)," "))</f>
        <v> </v>
      </c>
      <c r="G141" s="283" t="str">
        <f aca="false">IF((E141&lt;&gt;0),E141-F141," ")</f>
        <v> </v>
      </c>
    </row>
    <row r="142" customFormat="false" ht="12.75" hidden="false" customHeight="false" outlineLevel="0" collapsed="false">
      <c r="F142" s="283" t="str">
        <f aca="false">IF(F$4&gt;0,(IF(E142&lt;&gt;0,E142*F$4/100," ")),IF(E142&lt;&gt;0,E142*F$2/(100+F$2)," "))</f>
        <v> </v>
      </c>
      <c r="G142" s="283" t="str">
        <f aca="false">IF((E142&lt;&gt;0),E142-F142," ")</f>
        <v> </v>
      </c>
    </row>
    <row r="143" customFormat="false" ht="12.75" hidden="false" customHeight="false" outlineLevel="0" collapsed="false">
      <c r="F143" s="283" t="str">
        <f aca="false">IF(F$4&gt;0,(IF(E143&lt;&gt;0,E143*F$4/100," ")),IF(E143&lt;&gt;0,E143*F$2/(100+F$2)," "))</f>
        <v> </v>
      </c>
      <c r="G143" s="283" t="str">
        <f aca="false">IF((E143&lt;&gt;0),E143-F143," ")</f>
        <v> </v>
      </c>
    </row>
    <row r="144" customFormat="false" ht="12.75" hidden="false" customHeight="false" outlineLevel="0" collapsed="false">
      <c r="F144" s="283" t="str">
        <f aca="false">IF(F$4&gt;0,(IF(E144&lt;&gt;0,E144*F$4/100," ")),IF(E144&lt;&gt;0,E144*F$2/(100+F$2)," "))</f>
        <v> </v>
      </c>
      <c r="G144" s="283" t="str">
        <f aca="false">IF((E144&lt;&gt;0),E144-F144," ")</f>
        <v> </v>
      </c>
    </row>
    <row r="145" customFormat="false" ht="12.75" hidden="false" customHeight="false" outlineLevel="0" collapsed="false">
      <c r="F145" s="283" t="str">
        <f aca="false">IF(F$4&gt;0,(IF(E145&lt;&gt;0,E145*F$4/100," ")),IF(E145&lt;&gt;0,E145*F$2/(100+F$2)," "))</f>
        <v> </v>
      </c>
      <c r="G145" s="283" t="str">
        <f aca="false">IF((E145&lt;&gt;0),E145-F145," ")</f>
        <v> </v>
      </c>
    </row>
    <row r="146" customFormat="false" ht="12.75" hidden="false" customHeight="false" outlineLevel="0" collapsed="false">
      <c r="F146" s="283" t="str">
        <f aca="false">IF(F$4&gt;0,(IF(E146&lt;&gt;0,E146*F$4/100," ")),IF(E146&lt;&gt;0,E146*F$2/(100+F$2)," "))</f>
        <v> </v>
      </c>
      <c r="G146" s="283" t="str">
        <f aca="false">IF((E146&lt;&gt;0),E146-F146," ")</f>
        <v> </v>
      </c>
    </row>
    <row r="147" customFormat="false" ht="12.75" hidden="false" customHeight="false" outlineLevel="0" collapsed="false">
      <c r="F147" s="283" t="str">
        <f aca="false">IF(F$4&gt;0,(IF(E147&lt;&gt;0,E147*F$4/100," ")),IF(E147&lt;&gt;0,E147*F$2/(100+F$2)," "))</f>
        <v> </v>
      </c>
      <c r="G147" s="283" t="str">
        <f aca="false">IF((E147&lt;&gt;0),E147-F147," ")</f>
        <v> </v>
      </c>
    </row>
    <row r="148" customFormat="false" ht="12.75" hidden="false" customHeight="false" outlineLevel="0" collapsed="false">
      <c r="F148" s="283" t="str">
        <f aca="false">IF(F$4&gt;0,(IF(E148&lt;&gt;0,E148*F$4/100," ")),IF(E148&lt;&gt;0,E148*F$2/(100+F$2)," "))</f>
        <v> </v>
      </c>
      <c r="G148" s="283" t="str">
        <f aca="false">IF((E148&lt;&gt;0),E148-F148," ")</f>
        <v> </v>
      </c>
    </row>
    <row r="149" customFormat="false" ht="12.75" hidden="false" customHeight="false" outlineLevel="0" collapsed="false">
      <c r="F149" s="283" t="str">
        <f aca="false">IF(F$4&gt;0,(IF(E149&lt;&gt;0,E149*F$4/100," ")),IF(E149&lt;&gt;0,E149*F$2/(100+F$2)," "))</f>
        <v> </v>
      </c>
      <c r="G149" s="283" t="str">
        <f aca="false">IF((E149&lt;&gt;0),E149-F149," ")</f>
        <v> </v>
      </c>
    </row>
    <row r="150" customFormat="false" ht="12.75" hidden="false" customHeight="false" outlineLevel="0" collapsed="false">
      <c r="F150" s="283" t="str">
        <f aca="false">IF(F$4&gt;0,(IF(E150&lt;&gt;0,E150*F$4/100," ")),IF(E150&lt;&gt;0,E150*F$2/(100+F$2)," "))</f>
        <v> </v>
      </c>
      <c r="G150" s="283" t="str">
        <f aca="false">IF((E150&lt;&gt;0),E150-F150," ")</f>
        <v> </v>
      </c>
    </row>
    <row r="151" customFormat="false" ht="12.75" hidden="false" customHeight="false" outlineLevel="0" collapsed="false">
      <c r="F151" s="283" t="str">
        <f aca="false">IF(F$4&gt;0,(IF(E151&lt;&gt;0,E151*F$4/100," ")),IF(E151&lt;&gt;0,E151*F$2/(100+F$2)," "))</f>
        <v> </v>
      </c>
      <c r="G151" s="283" t="str">
        <f aca="false">IF((E151&lt;&gt;0),E151-F151," ")</f>
        <v> </v>
      </c>
    </row>
    <row r="152" customFormat="false" ht="12.75" hidden="false" customHeight="false" outlineLevel="0" collapsed="false">
      <c r="F152" s="283" t="str">
        <f aca="false">IF(F$4&gt;0,(IF(E152&lt;&gt;0,E152*F$4/100," ")),IF(E152&lt;&gt;0,E152*F$2/(100+F$2)," "))</f>
        <v> </v>
      </c>
      <c r="G152" s="283" t="str">
        <f aca="false">IF((E152&lt;&gt;0),E152-F152," ")</f>
        <v> </v>
      </c>
    </row>
    <row r="153" customFormat="false" ht="12.75" hidden="false" customHeight="false" outlineLevel="0" collapsed="false">
      <c r="F153" s="283" t="str">
        <f aca="false">IF(F$4&gt;0,(IF(E153&lt;&gt;0,E153*F$4/100," ")),IF(E153&lt;&gt;0,E153*F$2/(100+F$2)," "))</f>
        <v> </v>
      </c>
      <c r="G153" s="283" t="str">
        <f aca="false">IF((E153&lt;&gt;0),E153-F153," ")</f>
        <v> </v>
      </c>
    </row>
    <row r="154" customFormat="false" ht="12.75" hidden="false" customHeight="false" outlineLevel="0" collapsed="false">
      <c r="F154" s="283" t="str">
        <f aca="false">IF(F$4&gt;0,(IF(E154&lt;&gt;0,E154*F$4/100," ")),IF(E154&lt;&gt;0,E154*F$2/(100+F$2)," "))</f>
        <v> </v>
      </c>
      <c r="G154" s="283" t="str">
        <f aca="false">IF((E154&lt;&gt;0),E154-F154," ")</f>
        <v> </v>
      </c>
    </row>
    <row r="155" customFormat="false" ht="12.75" hidden="false" customHeight="false" outlineLevel="0" collapsed="false">
      <c r="F155" s="283" t="str">
        <f aca="false">IF(F$4&gt;0,(IF(E155&lt;&gt;0,E155*F$4/100," ")),IF(E155&lt;&gt;0,E155*F$2/(100+F$2)," "))</f>
        <v> </v>
      </c>
      <c r="G155" s="283" t="str">
        <f aca="false">IF((E155&lt;&gt;0),E155-F155," ")</f>
        <v> </v>
      </c>
    </row>
    <row r="156" customFormat="false" ht="12.75" hidden="false" customHeight="false" outlineLevel="0" collapsed="false">
      <c r="F156" s="283" t="str">
        <f aca="false">IF(F$4&gt;0,(IF(E156&lt;&gt;0,E156*F$4/100," ")),IF(E156&lt;&gt;0,E156*F$2/(100+F$2)," "))</f>
        <v> </v>
      </c>
      <c r="G156" s="283" t="str">
        <f aca="false">IF((E156&lt;&gt;0),E156-F156," ")</f>
        <v> </v>
      </c>
    </row>
    <row r="157" customFormat="false" ht="12.75" hidden="false" customHeight="false" outlineLevel="0" collapsed="false">
      <c r="F157" s="283" t="str">
        <f aca="false">IF(F$4&gt;0,(IF(E157&lt;&gt;0,E157*F$4/100," ")),IF(E157&lt;&gt;0,E157*F$2/(100+F$2)," "))</f>
        <v> </v>
      </c>
      <c r="G157" s="283" t="str">
        <f aca="false">IF((E157&lt;&gt;0),E157-F157," ")</f>
        <v> </v>
      </c>
    </row>
    <row r="158" customFormat="false" ht="12.75" hidden="false" customHeight="false" outlineLevel="0" collapsed="false">
      <c r="F158" s="283" t="str">
        <f aca="false">IF(F$4&gt;0,(IF(E158&lt;&gt;0,E158*F$4/100," ")),IF(E158&lt;&gt;0,E158*F$2/(100+F$2)," "))</f>
        <v> </v>
      </c>
      <c r="G158" s="283" t="str">
        <f aca="false">IF((E158&lt;&gt;0),E158-F158," ")</f>
        <v> </v>
      </c>
    </row>
    <row r="159" customFormat="false" ht="12.75" hidden="false" customHeight="false" outlineLevel="0" collapsed="false">
      <c r="F159" s="283" t="str">
        <f aca="false">IF(F$4&gt;0,(IF(E159&lt;&gt;0,E159*F$4/100," ")),IF(E159&lt;&gt;0,E159*F$2/(100+F$2)," "))</f>
        <v> </v>
      </c>
      <c r="G159" s="283" t="str">
        <f aca="false">IF((E159&lt;&gt;0),E159-F159," ")</f>
        <v> </v>
      </c>
    </row>
    <row r="160" customFormat="false" ht="12.75" hidden="false" customHeight="false" outlineLevel="0" collapsed="false">
      <c r="F160" s="283" t="str">
        <f aca="false">IF(F$4&gt;0,(IF(E160&lt;&gt;0,E160*F$4/100," ")),IF(E160&lt;&gt;0,E160*F$2/(100+F$2)," "))</f>
        <v> </v>
      </c>
      <c r="G160" s="283" t="str">
        <f aca="false">IF((E160&lt;&gt;0),E160-F160," ")</f>
        <v> </v>
      </c>
    </row>
    <row r="161" customFormat="false" ht="12.75" hidden="false" customHeight="false" outlineLevel="0" collapsed="false">
      <c r="F161" s="283" t="str">
        <f aca="false">IF(F$4&gt;0,(IF(E161&lt;&gt;0,E161*F$4/100," ")),IF(E161&lt;&gt;0,E161*F$2/(100+F$2)," "))</f>
        <v> </v>
      </c>
      <c r="G161" s="283" t="str">
        <f aca="false">IF((E161&lt;&gt;0),E161-F161," ")</f>
        <v> </v>
      </c>
    </row>
    <row r="162" customFormat="false" ht="12.75" hidden="false" customHeight="false" outlineLevel="0" collapsed="false">
      <c r="F162" s="283" t="str">
        <f aca="false">IF(F$4&gt;0,(IF(E162&lt;&gt;0,E162*F$4/100," ")),IF(E162&lt;&gt;0,E162*F$2/(100+F$2)," "))</f>
        <v> </v>
      </c>
      <c r="G162" s="283" t="str">
        <f aca="false">IF((E162&lt;&gt;0),E162-F162," ")</f>
        <v> </v>
      </c>
    </row>
    <row r="163" customFormat="false" ht="12.75" hidden="false" customHeight="false" outlineLevel="0" collapsed="false">
      <c r="F163" s="283" t="str">
        <f aca="false">IF(F$4&gt;0,(IF(E163&lt;&gt;0,E163*F$4/100," ")),IF(E163&lt;&gt;0,E163*F$2/(100+F$2)," "))</f>
        <v> </v>
      </c>
      <c r="G163" s="283" t="str">
        <f aca="false">IF((E163&lt;&gt;0),E163-F163," ")</f>
        <v> </v>
      </c>
    </row>
    <row r="164" customFormat="false" ht="12.75" hidden="false" customHeight="false" outlineLevel="0" collapsed="false">
      <c r="F164" s="283" t="str">
        <f aca="false">IF(F$4&gt;0,(IF(E164&lt;&gt;0,E164*F$4/100," ")),IF(E164&lt;&gt;0,E164*F$2/(100+F$2)," "))</f>
        <v> </v>
      </c>
      <c r="G164" s="283" t="str">
        <f aca="false">IF((E164&lt;&gt;0),E164-F164," ")</f>
        <v> </v>
      </c>
    </row>
    <row r="165" customFormat="false" ht="12.75" hidden="false" customHeight="false" outlineLevel="0" collapsed="false">
      <c r="F165" s="283" t="str">
        <f aca="false">IF(F$4&gt;0,(IF(E165&lt;&gt;0,E165*F$4/100," ")),IF(E165&lt;&gt;0,E165*F$2/(100+F$2)," "))</f>
        <v> </v>
      </c>
      <c r="G165" s="283" t="str">
        <f aca="false">IF((E165&lt;&gt;0),E165-F165," ")</f>
        <v> </v>
      </c>
    </row>
    <row r="166" customFormat="false" ht="12.75" hidden="false" customHeight="false" outlineLevel="0" collapsed="false">
      <c r="F166" s="283" t="str">
        <f aca="false">IF(F$4&gt;0,(IF(E166&lt;&gt;0,E166*F$4/100," ")),IF(E166&lt;&gt;0,E166*F$2/(100+F$2)," "))</f>
        <v> </v>
      </c>
      <c r="G166" s="283" t="str">
        <f aca="false">IF((E166&lt;&gt;0),E166-F166," ")</f>
        <v> </v>
      </c>
    </row>
    <row r="167" customFormat="false" ht="12.75" hidden="false" customHeight="false" outlineLevel="0" collapsed="false">
      <c r="F167" s="283" t="str">
        <f aca="false">IF(F$4&gt;0,(IF(E167&lt;&gt;0,E167*F$4/100," ")),IF(E167&lt;&gt;0,E167*F$2/(100+F$2)," "))</f>
        <v> </v>
      </c>
      <c r="G167" s="283" t="str">
        <f aca="false">IF((E167&lt;&gt;0),E167-F167," ")</f>
        <v> </v>
      </c>
    </row>
    <row r="168" customFormat="false" ht="12.75" hidden="false" customHeight="false" outlineLevel="0" collapsed="false">
      <c r="F168" s="283" t="str">
        <f aca="false">IF(F$4&gt;0,(IF(E168&lt;&gt;0,E168*F$4/100," ")),IF(E168&lt;&gt;0,E168*F$2/(100+F$2)," "))</f>
        <v> </v>
      </c>
      <c r="G168" s="283" t="str">
        <f aca="false">IF((E168&lt;&gt;0),E168-F168," ")</f>
        <v> </v>
      </c>
    </row>
    <row r="169" customFormat="false" ht="12.75" hidden="false" customHeight="false" outlineLevel="0" collapsed="false">
      <c r="F169" s="283" t="str">
        <f aca="false">IF(F$4&gt;0,(IF(E169&lt;&gt;0,E169*F$4/100," ")),IF(E169&lt;&gt;0,E169*F$2/(100+F$2)," "))</f>
        <v> </v>
      </c>
      <c r="G169" s="283" t="str">
        <f aca="false">IF((E169&lt;&gt;0),E169-F169," ")</f>
        <v> </v>
      </c>
    </row>
    <row r="170" customFormat="false" ht="12.75" hidden="false" customHeight="false" outlineLevel="0" collapsed="false">
      <c r="F170" s="283" t="str">
        <f aca="false">IF(F$4&gt;0,(IF(E170&lt;&gt;0,E170*F$4/100," ")),IF(E170&lt;&gt;0,E170*F$2/(100+F$2)," "))</f>
        <v> </v>
      </c>
      <c r="G170" s="283" t="str">
        <f aca="false">IF((E170&lt;&gt;0),E170-F170," ")</f>
        <v> </v>
      </c>
    </row>
    <row r="171" customFormat="false" ht="12.75" hidden="false" customHeight="false" outlineLevel="0" collapsed="false">
      <c r="F171" s="283" t="str">
        <f aca="false">IF(F$4&gt;0,(IF(E171&lt;&gt;0,E171*F$4/100," ")),IF(E171&lt;&gt;0,E171*F$2/(100+F$2)," "))</f>
        <v> </v>
      </c>
      <c r="G171" s="283" t="str">
        <f aca="false">IF((E171&lt;&gt;0),E171-F171," ")</f>
        <v> </v>
      </c>
    </row>
    <row r="172" customFormat="false" ht="12.75" hidden="false" customHeight="false" outlineLevel="0" collapsed="false">
      <c r="F172" s="283" t="str">
        <f aca="false">IF(F$4&gt;0,(IF(E172&lt;&gt;0,E172*F$4/100," ")),IF(E172&lt;&gt;0,E172*F$2/(100+F$2)," "))</f>
        <v> </v>
      </c>
      <c r="G172" s="283" t="str">
        <f aca="false">IF((E172&lt;&gt;0),E172-F172," ")</f>
        <v> </v>
      </c>
    </row>
    <row r="173" customFormat="false" ht="12.75" hidden="false" customHeight="false" outlineLevel="0" collapsed="false">
      <c r="F173" s="283" t="str">
        <f aca="false">IF(F$4&gt;0,(IF(E173&lt;&gt;0,E173*F$4/100," ")),IF(E173&lt;&gt;0,E173*F$2/(100+F$2)," "))</f>
        <v> </v>
      </c>
      <c r="G173" s="283" t="str">
        <f aca="false">IF((E173&lt;&gt;0),E173-F173," ")</f>
        <v> </v>
      </c>
    </row>
    <row r="174" customFormat="false" ht="12.75" hidden="false" customHeight="false" outlineLevel="0" collapsed="false">
      <c r="F174" s="283" t="str">
        <f aca="false">IF(F$4&gt;0,(IF(E174&lt;&gt;0,E174*F$4/100," ")),IF(E174&lt;&gt;0,E174*F$2/(100+F$2)," "))</f>
        <v> </v>
      </c>
      <c r="G174" s="283" t="str">
        <f aca="false">IF((E174&lt;&gt;0),E174-F174," ")</f>
        <v> </v>
      </c>
    </row>
    <row r="175" customFormat="false" ht="12.75" hidden="false" customHeight="false" outlineLevel="0" collapsed="false">
      <c r="F175" s="283" t="str">
        <f aca="false">IF(F$4&gt;0,(IF(E175&lt;&gt;0,E175*F$4/100," ")),IF(E175&lt;&gt;0,E175*F$2/(100+F$2)," "))</f>
        <v> </v>
      </c>
      <c r="G175" s="283" t="str">
        <f aca="false">IF((E175&lt;&gt;0),E175-F175," ")</f>
        <v> </v>
      </c>
    </row>
    <row r="176" customFormat="false" ht="12.75" hidden="false" customHeight="false" outlineLevel="0" collapsed="false">
      <c r="F176" s="283" t="str">
        <f aca="false">IF(F$4&gt;0,(IF(E176&lt;&gt;0,E176*F$4/100," ")),IF(E176&lt;&gt;0,E176*F$2/(100+F$2)," "))</f>
        <v> </v>
      </c>
      <c r="G176" s="283" t="str">
        <f aca="false">IF((E176&lt;&gt;0),E176-F176," ")</f>
        <v> </v>
      </c>
    </row>
    <row r="177" customFormat="false" ht="12.75" hidden="false" customHeight="false" outlineLevel="0" collapsed="false">
      <c r="F177" s="283" t="str">
        <f aca="false">IF(F$4&gt;0,(IF(E177&lt;&gt;0,E177*F$4/100," ")),IF(E177&lt;&gt;0,E177*F$2/(100+F$2)," "))</f>
        <v> </v>
      </c>
      <c r="G177" s="283" t="str">
        <f aca="false">IF((E177&lt;&gt;0),E177-F177," ")</f>
        <v> </v>
      </c>
    </row>
    <row r="178" customFormat="false" ht="12.75" hidden="false" customHeight="false" outlineLevel="0" collapsed="false">
      <c r="F178" s="283" t="str">
        <f aca="false">IF(F$4&gt;0,(IF(E178&lt;&gt;0,E178*F$4/100," ")),IF(E178&lt;&gt;0,E178*F$2/(100+F$2)," "))</f>
        <v> </v>
      </c>
      <c r="G178" s="283" t="str">
        <f aca="false">IF((E178&lt;&gt;0),E178-F178," ")</f>
        <v> </v>
      </c>
    </row>
    <row r="179" customFormat="false" ht="12.75" hidden="false" customHeight="false" outlineLevel="0" collapsed="false">
      <c r="F179" s="283" t="str">
        <f aca="false">IF(F$4&gt;0,(IF(E179&lt;&gt;0,E179*F$4/100," ")),IF(E179&lt;&gt;0,E179*F$2/(100+F$2)," "))</f>
        <v> </v>
      </c>
      <c r="G179" s="283" t="str">
        <f aca="false">IF((E179&lt;&gt;0),E179-F179," ")</f>
        <v> </v>
      </c>
    </row>
    <row r="180" customFormat="false" ht="12.75" hidden="false" customHeight="false" outlineLevel="0" collapsed="false">
      <c r="F180" s="283" t="str">
        <f aca="false">IF(F$4&gt;0,(IF(E180&lt;&gt;0,E180*F$4/100," ")),IF(E180&lt;&gt;0,E180*F$2/(100+F$2)," "))</f>
        <v> </v>
      </c>
      <c r="G180" s="283" t="str">
        <f aca="false">IF((E180&lt;&gt;0),E180-F180," ")</f>
        <v> </v>
      </c>
    </row>
    <row r="181" customFormat="false" ht="12.75" hidden="false" customHeight="false" outlineLevel="0" collapsed="false">
      <c r="F181" s="283" t="str">
        <f aca="false">IF(F$4&gt;0,(IF(E181&lt;&gt;0,E181*F$4/100," ")),IF(E181&lt;&gt;0,E181*F$2/(100+F$2)," "))</f>
        <v> </v>
      </c>
      <c r="G181" s="283" t="str">
        <f aca="false">IF((E181&lt;&gt;0),E181-F181," ")</f>
        <v> </v>
      </c>
    </row>
    <row r="182" customFormat="false" ht="12.75" hidden="false" customHeight="false" outlineLevel="0" collapsed="false">
      <c r="F182" s="283" t="str">
        <f aca="false">IF(F$4&gt;0,(IF(E182&lt;&gt;0,E182*F$4/100," ")),IF(E182&lt;&gt;0,E182*F$2/(100+F$2)," "))</f>
        <v> </v>
      </c>
      <c r="G182" s="283" t="str">
        <f aca="false">IF((E182&lt;&gt;0),E182-F182," ")</f>
        <v> </v>
      </c>
    </row>
    <row r="183" customFormat="false" ht="12.75" hidden="false" customHeight="false" outlineLevel="0" collapsed="false">
      <c r="F183" s="283" t="str">
        <f aca="false">IF(F$4&gt;0,(IF(E183&lt;&gt;0,E183*F$4/100," ")),IF(E183&lt;&gt;0,E183*F$2/(100+F$2)," "))</f>
        <v> </v>
      </c>
      <c r="G183" s="283" t="str">
        <f aca="false">IF((E183&lt;&gt;0),E183-F183," ")</f>
        <v> </v>
      </c>
    </row>
    <row r="184" customFormat="false" ht="12.75" hidden="false" customHeight="false" outlineLevel="0" collapsed="false">
      <c r="F184" s="283" t="str">
        <f aca="false">IF(F$4&gt;0,(IF(E184&lt;&gt;0,E184*F$4/100," ")),IF(E184&lt;&gt;0,E184*F$2/(100+F$2)," "))</f>
        <v> </v>
      </c>
      <c r="G184" s="283" t="str">
        <f aca="false">IF((E184&lt;&gt;0),E184-F184," ")</f>
        <v> </v>
      </c>
    </row>
    <row r="185" customFormat="false" ht="12.75" hidden="false" customHeight="false" outlineLevel="0" collapsed="false">
      <c r="F185" s="283" t="str">
        <f aca="false">IF(F$4&gt;0,(IF(E185&lt;&gt;0,E185*F$4/100," ")),IF(E185&lt;&gt;0,E185*F$2/(100+F$2)," "))</f>
        <v> </v>
      </c>
      <c r="G185" s="283" t="str">
        <f aca="false">IF((E185&lt;&gt;0),E185-F185," ")</f>
        <v> </v>
      </c>
    </row>
    <row r="186" customFormat="false" ht="12.75" hidden="false" customHeight="false" outlineLevel="0" collapsed="false">
      <c r="F186" s="283" t="str">
        <f aca="false">IF(F$4&gt;0,(IF(E186&lt;&gt;0,E186*F$4/100," ")),IF(E186&lt;&gt;0,E186*F$2/(100+F$2)," "))</f>
        <v> </v>
      </c>
      <c r="G186" s="283" t="str">
        <f aca="false">IF((E186&lt;&gt;0),E186-F186," ")</f>
        <v> </v>
      </c>
    </row>
    <row r="187" customFormat="false" ht="12.75" hidden="false" customHeight="false" outlineLevel="0" collapsed="false">
      <c r="F187" s="283" t="str">
        <f aca="false">IF(F$4&gt;0,(IF(E187&lt;&gt;0,E187*F$4/100," ")),IF(E187&lt;&gt;0,E187*F$2/(100+F$2)," "))</f>
        <v> </v>
      </c>
      <c r="G187" s="283" t="str">
        <f aca="false">IF((E187&lt;&gt;0),E187-F187," ")</f>
        <v> </v>
      </c>
    </row>
    <row r="188" customFormat="false" ht="12.75" hidden="false" customHeight="false" outlineLevel="0" collapsed="false">
      <c r="F188" s="283" t="str">
        <f aca="false">IF(F$4&gt;0,(IF(E188&lt;&gt;0,E188*F$4/100," ")),IF(E188&lt;&gt;0,E188*F$2/(100+F$2)," "))</f>
        <v> </v>
      </c>
      <c r="G188" s="283" t="str">
        <f aca="false">IF((E188&lt;&gt;0),E188-F188," ")</f>
        <v> </v>
      </c>
    </row>
    <row r="189" customFormat="false" ht="12.75" hidden="false" customHeight="false" outlineLevel="0" collapsed="false">
      <c r="F189" s="283" t="str">
        <f aca="false">IF(F$4&gt;0,(IF(E189&lt;&gt;0,E189*F$4/100," ")),IF(E189&lt;&gt;0,E189*F$2/(100+F$2)," "))</f>
        <v> </v>
      </c>
      <c r="G189" s="283" t="str">
        <f aca="false">IF((E189&lt;&gt;0),E189-F189," ")</f>
        <v> </v>
      </c>
    </row>
    <row r="190" customFormat="false" ht="12.75" hidden="false" customHeight="false" outlineLevel="0" collapsed="false">
      <c r="F190" s="283" t="str">
        <f aca="false">IF(F$4&gt;0,(IF(E190&lt;&gt;0,E190*F$4/100," ")),IF(E190&lt;&gt;0,E190*F$2/(100+F$2)," "))</f>
        <v> </v>
      </c>
      <c r="G190" s="283" t="str">
        <f aca="false">IF((E190&lt;&gt;0),E190-F190," ")</f>
        <v> </v>
      </c>
    </row>
    <row r="191" customFormat="false" ht="12.75" hidden="false" customHeight="false" outlineLevel="0" collapsed="false">
      <c r="F191" s="283" t="str">
        <f aca="false">IF(F$4&gt;0,(IF(E191&lt;&gt;0,E191*F$4/100," ")),IF(E191&lt;&gt;0,E191*F$2/(100+F$2)," "))</f>
        <v> </v>
      </c>
      <c r="G191" s="283" t="str">
        <f aca="false">IF((E191&lt;&gt;0),E191-F191," ")</f>
        <v> </v>
      </c>
    </row>
    <row r="192" customFormat="false" ht="12.75" hidden="false" customHeight="false" outlineLevel="0" collapsed="false">
      <c r="F192" s="283" t="str">
        <f aca="false">IF(F$4&gt;0,(IF(E192&lt;&gt;0,E192*F$4/100," ")),IF(E192&lt;&gt;0,E192*F$2/(100+F$2)," "))</f>
        <v> </v>
      </c>
      <c r="G192" s="283" t="str">
        <f aca="false">IF((E192&lt;&gt;0),E192-F192," ")</f>
        <v> </v>
      </c>
    </row>
    <row r="193" customFormat="false" ht="12.75" hidden="false" customHeight="false" outlineLevel="0" collapsed="false">
      <c r="F193" s="283" t="str">
        <f aca="false">IF(F$4&gt;0,(IF(E193&lt;&gt;0,E193*F$4/100," ")),IF(E193&lt;&gt;0,E193*F$2/(100+F$2)," "))</f>
        <v> </v>
      </c>
      <c r="G193" s="283" t="str">
        <f aca="false">IF((E193&lt;&gt;0),E193-F193," ")</f>
        <v> </v>
      </c>
    </row>
    <row r="194" customFormat="false" ht="12.75" hidden="false" customHeight="false" outlineLevel="0" collapsed="false">
      <c r="F194" s="283" t="str">
        <f aca="false">IF(F$4&gt;0,(IF(E194&lt;&gt;0,E194*F$4/100," ")),IF(E194&lt;&gt;0,E194*F$2/(100+F$2)," "))</f>
        <v> </v>
      </c>
      <c r="G194" s="283" t="str">
        <f aca="false">IF((E194&lt;&gt;0),E194-F194," ")</f>
        <v> </v>
      </c>
    </row>
    <row r="195" customFormat="false" ht="12.75" hidden="false" customHeight="false" outlineLevel="0" collapsed="false">
      <c r="F195" s="283" t="str">
        <f aca="false">IF(F$4&gt;0,(IF(E195&lt;&gt;0,E195*F$4/100," ")),IF(E195&lt;&gt;0,E195*F$2/(100+F$2)," "))</f>
        <v> </v>
      </c>
      <c r="G195" s="283" t="str">
        <f aca="false">IF((E195&lt;&gt;0),E195-F195," ")</f>
        <v> </v>
      </c>
    </row>
    <row r="196" customFormat="false" ht="12.75" hidden="false" customHeight="false" outlineLevel="0" collapsed="false">
      <c r="F196" s="283" t="str">
        <f aca="false">IF(F$4&gt;0,(IF(E196&lt;&gt;0,E196*F$4/100," ")),IF(E196&lt;&gt;0,E196*F$2/(100+F$2)," "))</f>
        <v> </v>
      </c>
      <c r="G196" s="283" t="str">
        <f aca="false">IF((E196&lt;&gt;0),E196-F196," ")</f>
        <v> </v>
      </c>
    </row>
    <row r="197" customFormat="false" ht="12.75" hidden="false" customHeight="false" outlineLevel="0" collapsed="false">
      <c r="F197" s="283" t="str">
        <f aca="false">IF(F$4&gt;0,(IF(E197&lt;&gt;0,E197*F$4/100," ")),IF(E197&lt;&gt;0,E197*F$2/(100+F$2)," "))</f>
        <v> </v>
      </c>
      <c r="G197" s="283" t="str">
        <f aca="false">IF((E197&lt;&gt;0),E197-F197," ")</f>
        <v> </v>
      </c>
    </row>
    <row r="198" customFormat="false" ht="12.75" hidden="false" customHeight="false" outlineLevel="0" collapsed="false">
      <c r="F198" s="283" t="str">
        <f aca="false">IF(F$4&gt;0,(IF(E198&lt;&gt;0,E198*F$4/100," ")),IF(E198&lt;&gt;0,E198*F$2/(100+F$2)," "))</f>
        <v> </v>
      </c>
      <c r="G198" s="283" t="str">
        <f aca="false">IF((E198&lt;&gt;0),E198-F198," ")</f>
        <v> </v>
      </c>
    </row>
    <row r="199" customFormat="false" ht="12.75" hidden="false" customHeight="false" outlineLevel="0" collapsed="false">
      <c r="F199" s="283" t="str">
        <f aca="false">IF(F$4&gt;0,(IF(E199&lt;&gt;0,E199*F$4/100," ")),IF(E199&lt;&gt;0,E199*F$2/(100+F$2)," "))</f>
        <v> </v>
      </c>
      <c r="G199" s="283" t="str">
        <f aca="false">IF((E199&lt;&gt;0),E199-F199," ")</f>
        <v> </v>
      </c>
    </row>
    <row r="200" customFormat="false" ht="12.75" hidden="false" customHeight="false" outlineLevel="0" collapsed="false">
      <c r="A200" s="175"/>
      <c r="B200" s="166"/>
      <c r="C200" s="173"/>
      <c r="D200" s="169"/>
      <c r="E200" s="166"/>
      <c r="F200" s="166" t="str">
        <f aca="false">IF(F$4&gt;0,(IF(E200&lt;&gt;0,E200*F$4/100," ")),IF(E200&lt;&gt;0,E200*F$2/(100+F$2)," "))</f>
        <v> </v>
      </c>
      <c r="G200" s="166" t="str">
        <f aca="false">IF((E200&lt;&gt;0),E200-F200," ")</f>
        <v> </v>
      </c>
    </row>
    <row r="201" customFormat="false" ht="12.75" hidden="false" customHeight="false" outlineLevel="0" collapsed="false">
      <c r="A201" s="285" t="s">
        <v>544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285" width="9.15"/>
    <col collapsed="false" customWidth="true" hidden="false" outlineLevel="0" max="2" min="2" style="283" width="20.15"/>
    <col collapsed="false" customWidth="true" hidden="false" outlineLevel="0" max="3" min="3" style="172" width="12.82"/>
    <col collapsed="false" customWidth="true" hidden="false" outlineLevel="0" max="4" min="4" style="284" width="7.66"/>
    <col collapsed="false" customWidth="true" hidden="false" outlineLevel="0" max="5" min="5" style="283" width="9.66"/>
    <col collapsed="false" customWidth="true" hidden="false" outlineLevel="0" max="6" min="6" style="283" width="8.66"/>
    <col collapsed="false" customWidth="true" hidden="false" outlineLevel="0" max="7" min="7" style="283" width="9.66"/>
    <col collapsed="false" customWidth="false" hidden="false" outlineLevel="0" max="257" min="8" style="171" width="9.15"/>
  </cols>
  <sheetData>
    <row r="1" s="180" customFormat="true" ht="28.5" hidden="false" customHeight="true" outlineLevel="0" collapsed="false">
      <c r="A1" s="398" t="s">
        <v>536</v>
      </c>
      <c r="B1" s="398"/>
      <c r="C1" s="183" t="s">
        <v>537</v>
      </c>
      <c r="D1" s="182"/>
      <c r="E1" s="181" t="n">
        <f aca="false">SUM(E5:E200)</f>
        <v>0</v>
      </c>
      <c r="F1" s="181" t="n">
        <f aca="false">SUM(F5:F200)</f>
        <v>0</v>
      </c>
      <c r="G1" s="181" t="n">
        <f aca="false">SUM(G5:G200)</f>
        <v>0</v>
      </c>
    </row>
    <row r="2" s="180" customFormat="true" ht="12.75" hidden="false" customHeight="true" outlineLevel="0" collapsed="false">
      <c r="A2" s="399" t="s">
        <v>538</v>
      </c>
      <c r="B2" s="400" t="s">
        <v>539</v>
      </c>
      <c r="C2" s="401" t="s">
        <v>540</v>
      </c>
      <c r="D2" s="402"/>
      <c r="E2" s="400" t="s">
        <v>541</v>
      </c>
      <c r="F2" s="245" t="n">
        <f aca="false">[1]ClosingDebtors!$H$2</f>
        <v>0</v>
      </c>
      <c r="G2" s="400" t="s">
        <v>542</v>
      </c>
    </row>
    <row r="3" s="176" customFormat="true" ht="12.75" hidden="false" customHeight="false" outlineLevel="0" collapsed="false">
      <c r="A3" s="399"/>
      <c r="B3" s="400"/>
      <c r="C3" s="401"/>
      <c r="D3" s="402"/>
      <c r="E3" s="400"/>
      <c r="F3" s="251" t="s">
        <v>543</v>
      </c>
      <c r="G3" s="400"/>
    </row>
    <row r="4" customFormat="false" ht="12.75" hidden="false" customHeight="false" outlineLevel="0" collapsed="false">
      <c r="A4" s="399"/>
      <c r="B4" s="399"/>
      <c r="C4" s="399"/>
      <c r="D4" s="402"/>
      <c r="E4" s="400"/>
      <c r="F4" s="252" t="n">
        <f aca="false">[1]ClosingDebtors!$H$4</f>
        <v>0</v>
      </c>
      <c r="G4" s="400"/>
    </row>
    <row r="5" customFormat="false" ht="12.75" hidden="false" customHeight="false" outlineLevel="0" collapsed="false">
      <c r="F5" s="283" t="str">
        <f aca="false">IF(F$4&gt;0,(IF(E5&lt;&gt;0,E5*F$4/100," ")),IF(E5&lt;&gt;0,E5*F$2/(100+F$2)," "))</f>
        <v> </v>
      </c>
      <c r="G5" s="283" t="str">
        <f aca="false">IF((E5&lt;&gt;0),E5-F5," ")</f>
        <v> </v>
      </c>
    </row>
    <row r="6" customFormat="false" ht="12.75" hidden="false" customHeight="false" outlineLevel="0" collapsed="false">
      <c r="F6" s="283" t="str">
        <f aca="false">IF(F$4&gt;0,(IF(E6&lt;&gt;0,E6*F$4/100," ")),IF(E6&lt;&gt;0,E6*F$2/(100+F$2)," "))</f>
        <v> </v>
      </c>
      <c r="G6" s="283" t="str">
        <f aca="false">IF((E6&lt;&gt;0),E6-F6," ")</f>
        <v> </v>
      </c>
    </row>
    <row r="7" customFormat="false" ht="12.75" hidden="false" customHeight="false" outlineLevel="0" collapsed="false">
      <c r="F7" s="283" t="str">
        <f aca="false">IF(F$4&gt;0,(IF(E7&lt;&gt;0,E7*F$4/100," ")),IF(E7&lt;&gt;0,E7*F$2/(100+F$2)," "))</f>
        <v> </v>
      </c>
      <c r="G7" s="283" t="str">
        <f aca="false">IF((E7&lt;&gt;0),E7-F7," ")</f>
        <v> </v>
      </c>
    </row>
    <row r="8" customFormat="false" ht="12.75" hidden="false" customHeight="false" outlineLevel="0" collapsed="false">
      <c r="F8" s="283" t="str">
        <f aca="false">IF(F$4&gt;0,(IF(E8&lt;&gt;0,E8*F$4/100," ")),IF(E8&lt;&gt;0,E8*F$2/(100+F$2)," "))</f>
        <v> </v>
      </c>
      <c r="G8" s="283" t="str">
        <f aca="false">IF((E8&lt;&gt;0),E8-F8," ")</f>
        <v> </v>
      </c>
    </row>
    <row r="9" customFormat="false" ht="12.75" hidden="false" customHeight="false" outlineLevel="0" collapsed="false">
      <c r="F9" s="283" t="str">
        <f aca="false">IF(F$4&gt;0,(IF(E9&lt;&gt;0,E9*F$4/100," ")),IF(E9&lt;&gt;0,E9*F$2/(100+F$2)," "))</f>
        <v> </v>
      </c>
      <c r="G9" s="283" t="str">
        <f aca="false">IF((E9&lt;&gt;0),E9-F9," ")</f>
        <v> </v>
      </c>
    </row>
    <row r="10" customFormat="false" ht="12.75" hidden="false" customHeight="false" outlineLevel="0" collapsed="false">
      <c r="F10" s="283" t="str">
        <f aca="false">IF(F$4&gt;0,(IF(E10&lt;&gt;0,E10*F$4/100," ")),IF(E10&lt;&gt;0,E10*F$2/(100+F$2)," "))</f>
        <v> </v>
      </c>
      <c r="G10" s="283" t="str">
        <f aca="false">IF((E10&lt;&gt;0),E10-F10," ")</f>
        <v> </v>
      </c>
    </row>
    <row r="11" customFormat="false" ht="12.75" hidden="false" customHeight="false" outlineLevel="0" collapsed="false">
      <c r="F11" s="283" t="str">
        <f aca="false">IF(F$4&gt;0,(IF(E11&lt;&gt;0,E11*F$4/100," ")),IF(E11&lt;&gt;0,E11*F$2/(100+F$2)," "))</f>
        <v> </v>
      </c>
      <c r="G11" s="283" t="str">
        <f aca="false">IF((E11&lt;&gt;0),E11-F11," ")</f>
        <v> </v>
      </c>
    </row>
    <row r="12" customFormat="false" ht="12.75" hidden="false" customHeight="false" outlineLevel="0" collapsed="false">
      <c r="F12" s="283" t="str">
        <f aca="false">IF(F$4&gt;0,(IF(E12&lt;&gt;0,E12*F$4/100," ")),IF(E12&lt;&gt;0,E12*F$2/(100+F$2)," "))</f>
        <v> </v>
      </c>
      <c r="G12" s="283" t="str">
        <f aca="false">IF((E12&lt;&gt;0),E12-F12," ")</f>
        <v> </v>
      </c>
    </row>
    <row r="13" customFormat="false" ht="12.75" hidden="false" customHeight="false" outlineLevel="0" collapsed="false">
      <c r="F13" s="283" t="str">
        <f aca="false">IF(F$4&gt;0,(IF(E13&lt;&gt;0,E13*F$4/100," ")),IF(E13&lt;&gt;0,E13*F$2/(100+F$2)," "))</f>
        <v> </v>
      </c>
      <c r="G13" s="283" t="str">
        <f aca="false">IF((E13&lt;&gt;0),E13-F13," ")</f>
        <v> </v>
      </c>
    </row>
    <row r="14" customFormat="false" ht="12.75" hidden="false" customHeight="false" outlineLevel="0" collapsed="false">
      <c r="F14" s="283" t="str">
        <f aca="false">IF(F$4&gt;0,(IF(E14&lt;&gt;0,E14*F$4/100," ")),IF(E14&lt;&gt;0,E14*F$2/(100+F$2)," "))</f>
        <v> </v>
      </c>
      <c r="G14" s="283" t="str">
        <f aca="false">IF((E14&lt;&gt;0),E14-F14," ")</f>
        <v> </v>
      </c>
    </row>
    <row r="15" customFormat="false" ht="12.75" hidden="false" customHeight="false" outlineLevel="0" collapsed="false">
      <c r="F15" s="283" t="str">
        <f aca="false">IF(F$4&gt;0,(IF(E15&lt;&gt;0,E15*F$4/100," ")),IF(E15&lt;&gt;0,E15*F$2/(100+F$2)," "))</f>
        <v> </v>
      </c>
      <c r="G15" s="283" t="str">
        <f aca="false">IF((E15&lt;&gt;0),E15-F15," ")</f>
        <v> </v>
      </c>
    </row>
    <row r="16" customFormat="false" ht="12.75" hidden="false" customHeight="false" outlineLevel="0" collapsed="false">
      <c r="F16" s="283" t="str">
        <f aca="false">IF(F$4&gt;0,(IF(E16&lt;&gt;0,E16*F$4/100," ")),IF(E16&lt;&gt;0,E16*F$2/(100+F$2)," "))</f>
        <v> </v>
      </c>
      <c r="G16" s="283" t="str">
        <f aca="false">IF((E16&lt;&gt;0),E16-F16," ")</f>
        <v> </v>
      </c>
    </row>
    <row r="17" customFormat="false" ht="12.75" hidden="false" customHeight="false" outlineLevel="0" collapsed="false">
      <c r="F17" s="283" t="str">
        <f aca="false">IF(F$4&gt;0,(IF(E17&lt;&gt;0,E17*F$4/100," ")),IF(E17&lt;&gt;0,E17*F$2/(100+F$2)," "))</f>
        <v> </v>
      </c>
      <c r="G17" s="283" t="str">
        <f aca="false">IF((E17&lt;&gt;0),E17-F17," ")</f>
        <v> </v>
      </c>
    </row>
    <row r="18" customFormat="false" ht="12.75" hidden="false" customHeight="false" outlineLevel="0" collapsed="false">
      <c r="F18" s="283" t="str">
        <f aca="false">IF(F$4&gt;0,(IF(E18&lt;&gt;0,E18*F$4/100," ")),IF(E18&lt;&gt;0,E18*F$2/(100+F$2)," "))</f>
        <v> </v>
      </c>
      <c r="G18" s="283" t="str">
        <f aca="false">IF((E18&lt;&gt;0),E18-F18," ")</f>
        <v> </v>
      </c>
    </row>
    <row r="19" customFormat="false" ht="12.75" hidden="false" customHeight="false" outlineLevel="0" collapsed="false">
      <c r="F19" s="283" t="str">
        <f aca="false">IF(F$4&gt;0,(IF(E19&lt;&gt;0,E19*F$4/100," ")),IF(E19&lt;&gt;0,E19*F$2/(100+F$2)," "))</f>
        <v> </v>
      </c>
      <c r="G19" s="283" t="str">
        <f aca="false">IF((E19&lt;&gt;0),E19-F19," ")</f>
        <v> </v>
      </c>
    </row>
    <row r="20" customFormat="false" ht="12.75" hidden="false" customHeight="false" outlineLevel="0" collapsed="false">
      <c r="F20" s="283" t="str">
        <f aca="false">IF(F$4&gt;0,(IF(E20&lt;&gt;0,E20*F$4/100," ")),IF(E20&lt;&gt;0,E20*F$2/(100+F$2)," "))</f>
        <v> </v>
      </c>
      <c r="G20" s="283" t="str">
        <f aca="false">IF((E20&lt;&gt;0),E20-F20," ")</f>
        <v> </v>
      </c>
    </row>
    <row r="21" customFormat="false" ht="12.75" hidden="false" customHeight="false" outlineLevel="0" collapsed="false">
      <c r="F21" s="283" t="str">
        <f aca="false">IF(F$4&gt;0,(IF(E21&lt;&gt;0,E21*F$4/100," ")),IF(E21&lt;&gt;0,E21*F$2/(100+F$2)," "))</f>
        <v> </v>
      </c>
      <c r="G21" s="283" t="str">
        <f aca="false">IF((E21&lt;&gt;0),E21-F21," ")</f>
        <v> </v>
      </c>
    </row>
    <row r="22" customFormat="false" ht="12.75" hidden="false" customHeight="false" outlineLevel="0" collapsed="false">
      <c r="F22" s="283" t="str">
        <f aca="false">IF(F$4&gt;0,(IF(E22&lt;&gt;0,E22*F$4/100," ")),IF(E22&lt;&gt;0,E22*F$2/(100+F$2)," "))</f>
        <v> </v>
      </c>
      <c r="G22" s="283" t="str">
        <f aca="false">IF((E22&lt;&gt;0),E22-F22," ")</f>
        <v> </v>
      </c>
    </row>
    <row r="23" customFormat="false" ht="12.75" hidden="false" customHeight="false" outlineLevel="0" collapsed="false">
      <c r="F23" s="283" t="str">
        <f aca="false">IF(F$4&gt;0,(IF(E23&lt;&gt;0,E23*F$4/100," ")),IF(E23&lt;&gt;0,E23*F$2/(100+F$2)," "))</f>
        <v> </v>
      </c>
      <c r="G23" s="283" t="str">
        <f aca="false">IF((E23&lt;&gt;0),E23-F23," ")</f>
        <v> </v>
      </c>
    </row>
    <row r="24" customFormat="false" ht="12.75" hidden="false" customHeight="false" outlineLevel="0" collapsed="false">
      <c r="F24" s="283" t="str">
        <f aca="false">IF(F$4&gt;0,(IF(E24&lt;&gt;0,E24*F$4/100," ")),IF(E24&lt;&gt;0,E24*F$2/(100+F$2)," "))</f>
        <v> </v>
      </c>
      <c r="G24" s="283" t="str">
        <f aca="false">IF((E24&lt;&gt;0),E24-F24," ")</f>
        <v> </v>
      </c>
    </row>
    <row r="25" customFormat="false" ht="12.75" hidden="false" customHeight="false" outlineLevel="0" collapsed="false">
      <c r="F25" s="283" t="str">
        <f aca="false">IF(F$4&gt;0,(IF(E25&lt;&gt;0,E25*F$4/100," ")),IF(E25&lt;&gt;0,E25*F$2/(100+F$2)," "))</f>
        <v> </v>
      </c>
      <c r="G25" s="283" t="str">
        <f aca="false">IF((E25&lt;&gt;0),E25-F25," ")</f>
        <v> </v>
      </c>
    </row>
    <row r="26" customFormat="false" ht="12.75" hidden="false" customHeight="false" outlineLevel="0" collapsed="false">
      <c r="F26" s="283" t="str">
        <f aca="false">IF(F$4&gt;0,(IF(E26&lt;&gt;0,E26*F$4/100," ")),IF(E26&lt;&gt;0,E26*F$2/(100+F$2)," "))</f>
        <v> </v>
      </c>
      <c r="G26" s="283" t="str">
        <f aca="false">IF((E26&lt;&gt;0),E26-F26," ")</f>
        <v> </v>
      </c>
    </row>
    <row r="27" customFormat="false" ht="12.75" hidden="false" customHeight="false" outlineLevel="0" collapsed="false">
      <c r="F27" s="283" t="str">
        <f aca="false">IF(F$4&gt;0,(IF(E27&lt;&gt;0,E27*F$4/100," ")),IF(E27&lt;&gt;0,E27*F$2/(100+F$2)," "))</f>
        <v> </v>
      </c>
      <c r="G27" s="283" t="str">
        <f aca="false">IF((E27&lt;&gt;0),E27-F27," ")</f>
        <v> </v>
      </c>
    </row>
    <row r="28" customFormat="false" ht="12.75" hidden="false" customHeight="false" outlineLevel="0" collapsed="false">
      <c r="F28" s="283" t="str">
        <f aca="false">IF(F$4&gt;0,(IF(E28&lt;&gt;0,E28*F$4/100," ")),IF(E28&lt;&gt;0,E28*F$2/(100+F$2)," "))</f>
        <v> </v>
      </c>
      <c r="G28" s="283" t="str">
        <f aca="false">IF((E28&lt;&gt;0),E28-F28," ")</f>
        <v> </v>
      </c>
    </row>
    <row r="29" customFormat="false" ht="12.75" hidden="false" customHeight="false" outlineLevel="0" collapsed="false">
      <c r="F29" s="283" t="str">
        <f aca="false">IF(F$4&gt;0,(IF(E29&lt;&gt;0,E29*F$4/100," ")),IF(E29&lt;&gt;0,E29*F$2/(100+F$2)," "))</f>
        <v> </v>
      </c>
      <c r="G29" s="283" t="str">
        <f aca="false">IF((E29&lt;&gt;0),E29-F29," ")</f>
        <v> </v>
      </c>
    </row>
    <row r="30" customFormat="false" ht="12.75" hidden="false" customHeight="false" outlineLevel="0" collapsed="false">
      <c r="F30" s="283" t="str">
        <f aca="false">IF(F$4&gt;0,(IF(E30&lt;&gt;0,E30*F$4/100," ")),IF(E30&lt;&gt;0,E30*F$2/(100+F$2)," "))</f>
        <v> </v>
      </c>
      <c r="G30" s="283" t="str">
        <f aca="false">IF((E30&lt;&gt;0),E30-F30," ")</f>
        <v> </v>
      </c>
    </row>
    <row r="31" customFormat="false" ht="12.75" hidden="false" customHeight="false" outlineLevel="0" collapsed="false">
      <c r="F31" s="283" t="str">
        <f aca="false">IF(F$4&gt;0,(IF(E31&lt;&gt;0,E31*F$4/100," ")),IF(E31&lt;&gt;0,E31*F$2/(100+F$2)," "))</f>
        <v> </v>
      </c>
      <c r="G31" s="283" t="str">
        <f aca="false">IF((E31&lt;&gt;0),E31-F31," ")</f>
        <v> </v>
      </c>
    </row>
    <row r="32" customFormat="false" ht="12.75" hidden="false" customHeight="false" outlineLevel="0" collapsed="false">
      <c r="F32" s="283" t="str">
        <f aca="false">IF(F$4&gt;0,(IF(E32&lt;&gt;0,E32*F$4/100," ")),IF(E32&lt;&gt;0,E32*F$2/(100+F$2)," "))</f>
        <v> </v>
      </c>
      <c r="G32" s="283" t="str">
        <f aca="false">IF((E32&lt;&gt;0),E32-F32," ")</f>
        <v> </v>
      </c>
    </row>
    <row r="33" customFormat="false" ht="12.75" hidden="false" customHeight="false" outlineLevel="0" collapsed="false">
      <c r="F33" s="283" t="str">
        <f aca="false">IF(F$4&gt;0,(IF(E33&lt;&gt;0,E33*F$4/100," ")),IF(E33&lt;&gt;0,E33*F$2/(100+F$2)," "))</f>
        <v> </v>
      </c>
      <c r="G33" s="283" t="str">
        <f aca="false">IF((E33&lt;&gt;0),E33-F33," ")</f>
        <v> </v>
      </c>
    </row>
    <row r="34" customFormat="false" ht="12.75" hidden="false" customHeight="false" outlineLevel="0" collapsed="false">
      <c r="F34" s="283" t="str">
        <f aca="false">IF(F$4&gt;0,(IF(E34&lt;&gt;0,E34*F$4/100," ")),IF(E34&lt;&gt;0,E34*F$2/(100+F$2)," "))</f>
        <v> </v>
      </c>
      <c r="G34" s="283" t="str">
        <f aca="false">IF((E34&lt;&gt;0),E34-F34," ")</f>
        <v> </v>
      </c>
    </row>
    <row r="35" customFormat="false" ht="12.75" hidden="false" customHeight="false" outlineLevel="0" collapsed="false">
      <c r="F35" s="283" t="str">
        <f aca="false">IF(F$4&gt;0,(IF(E35&lt;&gt;0,E35*F$4/100," ")),IF(E35&lt;&gt;0,E35*F$2/(100+F$2)," "))</f>
        <v> </v>
      </c>
      <c r="G35" s="283" t="str">
        <f aca="false">IF((E35&lt;&gt;0),E35-F35," ")</f>
        <v> </v>
      </c>
    </row>
    <row r="36" customFormat="false" ht="12.75" hidden="false" customHeight="false" outlineLevel="0" collapsed="false">
      <c r="F36" s="283" t="str">
        <f aca="false">IF(F$4&gt;0,(IF(E36&lt;&gt;0,E36*F$4/100," ")),IF(E36&lt;&gt;0,E36*F$2/(100+F$2)," "))</f>
        <v> </v>
      </c>
      <c r="G36" s="283" t="str">
        <f aca="false">IF((E36&lt;&gt;0),E36-F36," ")</f>
        <v> </v>
      </c>
    </row>
    <row r="37" customFormat="false" ht="12.75" hidden="false" customHeight="false" outlineLevel="0" collapsed="false">
      <c r="F37" s="283" t="str">
        <f aca="false">IF(F$4&gt;0,(IF(E37&lt;&gt;0,E37*F$4/100," ")),IF(E37&lt;&gt;0,E37*F$2/(100+F$2)," "))</f>
        <v> </v>
      </c>
      <c r="G37" s="283" t="str">
        <f aca="false">IF((E37&lt;&gt;0),E37-F37," ")</f>
        <v> </v>
      </c>
    </row>
    <row r="38" customFormat="false" ht="12.75" hidden="false" customHeight="false" outlineLevel="0" collapsed="false">
      <c r="F38" s="283" t="str">
        <f aca="false">IF(F$4&gt;0,(IF(E38&lt;&gt;0,E38*F$4/100," ")),IF(E38&lt;&gt;0,E38*F$2/(100+F$2)," "))</f>
        <v> </v>
      </c>
      <c r="G38" s="283" t="str">
        <f aca="false">IF((E38&lt;&gt;0),E38-F38," ")</f>
        <v> </v>
      </c>
    </row>
    <row r="39" customFormat="false" ht="12.75" hidden="false" customHeight="false" outlineLevel="0" collapsed="false">
      <c r="F39" s="283" t="str">
        <f aca="false">IF(F$4&gt;0,(IF(E39&lt;&gt;0,E39*F$4/100," ")),IF(E39&lt;&gt;0,E39*F$2/(100+F$2)," "))</f>
        <v> </v>
      </c>
      <c r="G39" s="283" t="str">
        <f aca="false">IF((E39&lt;&gt;0),E39-F39," ")</f>
        <v> </v>
      </c>
    </row>
    <row r="40" customFormat="false" ht="12.75" hidden="false" customHeight="false" outlineLevel="0" collapsed="false">
      <c r="F40" s="283" t="str">
        <f aca="false">IF(F$4&gt;0,(IF(E40&lt;&gt;0,E40*F$4/100," ")),IF(E40&lt;&gt;0,E40*F$2/(100+F$2)," "))</f>
        <v> </v>
      </c>
      <c r="G40" s="283" t="str">
        <f aca="false">IF((E40&lt;&gt;0),E40-F40," ")</f>
        <v> </v>
      </c>
    </row>
    <row r="41" customFormat="false" ht="12.75" hidden="false" customHeight="false" outlineLevel="0" collapsed="false">
      <c r="F41" s="283" t="str">
        <f aca="false">IF(F$4&gt;0,(IF(E41&lt;&gt;0,E41*F$4/100," ")),IF(E41&lt;&gt;0,E41*F$2/(100+F$2)," "))</f>
        <v> </v>
      </c>
      <c r="G41" s="283" t="str">
        <f aca="false">IF((E41&lt;&gt;0),E41-F41," ")</f>
        <v> </v>
      </c>
    </row>
    <row r="42" customFormat="false" ht="12.75" hidden="false" customHeight="false" outlineLevel="0" collapsed="false">
      <c r="F42" s="283" t="str">
        <f aca="false">IF(F$4&gt;0,(IF(E42&lt;&gt;0,E42*F$4/100," ")),IF(E42&lt;&gt;0,E42*F$2/(100+F$2)," "))</f>
        <v> </v>
      </c>
      <c r="G42" s="283" t="str">
        <f aca="false">IF((E42&lt;&gt;0),E42-F42," ")</f>
        <v> </v>
      </c>
    </row>
    <row r="43" customFormat="false" ht="12.75" hidden="false" customHeight="false" outlineLevel="0" collapsed="false">
      <c r="F43" s="283" t="str">
        <f aca="false">IF(F$4&gt;0,(IF(E43&lt;&gt;0,E43*F$4/100," ")),IF(E43&lt;&gt;0,E43*F$2/(100+F$2)," "))</f>
        <v> </v>
      </c>
      <c r="G43" s="283" t="str">
        <f aca="false">IF((E43&lt;&gt;0),E43-F43," ")</f>
        <v> </v>
      </c>
    </row>
    <row r="44" customFormat="false" ht="12.75" hidden="false" customHeight="false" outlineLevel="0" collapsed="false">
      <c r="F44" s="283" t="str">
        <f aca="false">IF(F$4&gt;0,(IF(E44&lt;&gt;0,E44*F$4/100," ")),IF(E44&lt;&gt;0,E44*F$2/(100+F$2)," "))</f>
        <v> </v>
      </c>
      <c r="G44" s="283" t="str">
        <f aca="false">IF((E44&lt;&gt;0),E44-F44," ")</f>
        <v> </v>
      </c>
    </row>
    <row r="45" customFormat="false" ht="12.75" hidden="false" customHeight="false" outlineLevel="0" collapsed="false">
      <c r="F45" s="283" t="str">
        <f aca="false">IF(F$4&gt;0,(IF(E45&lt;&gt;0,E45*F$4/100," ")),IF(E45&lt;&gt;0,E45*F$2/(100+F$2)," "))</f>
        <v> </v>
      </c>
      <c r="G45" s="283" t="str">
        <f aca="false">IF((E45&lt;&gt;0),E45-F45," ")</f>
        <v> </v>
      </c>
    </row>
    <row r="46" customFormat="false" ht="12.75" hidden="false" customHeight="false" outlineLevel="0" collapsed="false">
      <c r="F46" s="283" t="str">
        <f aca="false">IF(F$4&gt;0,(IF(E46&lt;&gt;0,E46*F$4/100," ")),IF(E46&lt;&gt;0,E46*F$2/(100+F$2)," "))</f>
        <v> </v>
      </c>
      <c r="G46" s="283" t="str">
        <f aca="false">IF((E46&lt;&gt;0),E46-F46," ")</f>
        <v> </v>
      </c>
    </row>
    <row r="47" customFormat="false" ht="12.75" hidden="false" customHeight="false" outlineLevel="0" collapsed="false">
      <c r="F47" s="283" t="str">
        <f aca="false">IF(F$4&gt;0,(IF(E47&lt;&gt;0,E47*F$4/100," ")),IF(E47&lt;&gt;0,E47*F$2/(100+F$2)," "))</f>
        <v> </v>
      </c>
      <c r="G47" s="283" t="str">
        <f aca="false">IF((E47&lt;&gt;0),E47-F47," ")</f>
        <v> </v>
      </c>
    </row>
    <row r="48" customFormat="false" ht="12.75" hidden="false" customHeight="false" outlineLevel="0" collapsed="false">
      <c r="F48" s="283" t="str">
        <f aca="false">IF(F$4&gt;0,(IF(E48&lt;&gt;0,E48*F$4/100," ")),IF(E48&lt;&gt;0,E48*F$2/(100+F$2)," "))</f>
        <v> </v>
      </c>
      <c r="G48" s="283" t="str">
        <f aca="false">IF((E48&lt;&gt;0),E48-F48," ")</f>
        <v> </v>
      </c>
    </row>
    <row r="49" customFormat="false" ht="12.75" hidden="false" customHeight="false" outlineLevel="0" collapsed="false">
      <c r="F49" s="283" t="str">
        <f aca="false">IF(F$4&gt;0,(IF(E49&lt;&gt;0,E49*F$4/100," ")),IF(E49&lt;&gt;0,E49*F$2/(100+F$2)," "))</f>
        <v> </v>
      </c>
      <c r="G49" s="283" t="str">
        <f aca="false">IF((E49&lt;&gt;0),E49-F49," ")</f>
        <v> </v>
      </c>
    </row>
    <row r="50" customFormat="false" ht="12.75" hidden="false" customHeight="false" outlineLevel="0" collapsed="false">
      <c r="F50" s="283" t="str">
        <f aca="false">IF(F$4&gt;0,(IF(E50&lt;&gt;0,E50*F$4/100," ")),IF(E50&lt;&gt;0,E50*F$2/(100+F$2)," "))</f>
        <v> </v>
      </c>
      <c r="G50" s="283" t="str">
        <f aca="false">IF((E50&lt;&gt;0),E50-F50," ")</f>
        <v> </v>
      </c>
    </row>
    <row r="51" customFormat="false" ht="12.75" hidden="false" customHeight="false" outlineLevel="0" collapsed="false">
      <c r="F51" s="283" t="str">
        <f aca="false">IF(F$4&gt;0,(IF(E51&lt;&gt;0,E51*F$4/100," ")),IF(E51&lt;&gt;0,E51*F$2/(100+F$2)," "))</f>
        <v> </v>
      </c>
      <c r="G51" s="283" t="str">
        <f aca="false">IF((E51&lt;&gt;0),E51-F51," ")</f>
        <v> </v>
      </c>
    </row>
    <row r="52" customFormat="false" ht="12.75" hidden="false" customHeight="false" outlineLevel="0" collapsed="false">
      <c r="F52" s="283" t="str">
        <f aca="false">IF(F$4&gt;0,(IF(E52&lt;&gt;0,E52*F$4/100," ")),IF(E52&lt;&gt;0,E52*F$2/(100+F$2)," "))</f>
        <v> </v>
      </c>
      <c r="G52" s="283" t="str">
        <f aca="false">IF((E52&lt;&gt;0),E52-F52," ")</f>
        <v> </v>
      </c>
    </row>
    <row r="53" customFormat="false" ht="12.75" hidden="false" customHeight="false" outlineLevel="0" collapsed="false">
      <c r="F53" s="283" t="str">
        <f aca="false">IF(F$4&gt;0,(IF(E53&lt;&gt;0,E53*F$4/100," ")),IF(E53&lt;&gt;0,E53*F$2/(100+F$2)," "))</f>
        <v> </v>
      </c>
      <c r="G53" s="283" t="str">
        <f aca="false">IF((E53&lt;&gt;0),E53-F53," ")</f>
        <v> </v>
      </c>
    </row>
    <row r="54" customFormat="false" ht="12.75" hidden="false" customHeight="false" outlineLevel="0" collapsed="false">
      <c r="F54" s="283" t="str">
        <f aca="false">IF(F$4&gt;0,(IF(E54&lt;&gt;0,E54*F$4/100," ")),IF(E54&lt;&gt;0,E54*F$2/(100+F$2)," "))</f>
        <v> </v>
      </c>
      <c r="G54" s="283" t="str">
        <f aca="false">IF((E54&lt;&gt;0),E54-F54," ")</f>
        <v> </v>
      </c>
    </row>
    <row r="55" customFormat="false" ht="12.75" hidden="false" customHeight="false" outlineLevel="0" collapsed="false">
      <c r="F55" s="283" t="str">
        <f aca="false">IF(F$4&gt;0,(IF(E55&lt;&gt;0,E55*F$4/100," ")),IF(E55&lt;&gt;0,E55*F$2/(100+F$2)," "))</f>
        <v> </v>
      </c>
      <c r="G55" s="283" t="str">
        <f aca="false">IF((E55&lt;&gt;0),E55-F55," ")</f>
        <v> </v>
      </c>
    </row>
    <row r="56" customFormat="false" ht="12.75" hidden="false" customHeight="false" outlineLevel="0" collapsed="false">
      <c r="F56" s="283" t="str">
        <f aca="false">IF(F$4&gt;0,(IF(E56&lt;&gt;0,E56*F$4/100," ")),IF(E56&lt;&gt;0,E56*F$2/(100+F$2)," "))</f>
        <v> </v>
      </c>
      <c r="G56" s="283" t="str">
        <f aca="false">IF((E56&lt;&gt;0),E56-F56," ")</f>
        <v> </v>
      </c>
    </row>
    <row r="57" customFormat="false" ht="12.75" hidden="false" customHeight="false" outlineLevel="0" collapsed="false">
      <c r="F57" s="283" t="str">
        <f aca="false">IF(F$4&gt;0,(IF(E57&lt;&gt;0,E57*F$4/100," ")),IF(E57&lt;&gt;0,E57*F$2/(100+F$2)," "))</f>
        <v> </v>
      </c>
      <c r="G57" s="283" t="str">
        <f aca="false">IF((E57&lt;&gt;0),E57-F57," ")</f>
        <v> </v>
      </c>
    </row>
    <row r="58" customFormat="false" ht="12.75" hidden="false" customHeight="false" outlineLevel="0" collapsed="false">
      <c r="F58" s="283" t="str">
        <f aca="false">IF(F$4&gt;0,(IF(E58&lt;&gt;0,E58*F$4/100," ")),IF(E58&lt;&gt;0,E58*F$2/(100+F$2)," "))</f>
        <v> </v>
      </c>
      <c r="G58" s="283" t="str">
        <f aca="false">IF((E58&lt;&gt;0),E58-F58," ")</f>
        <v> </v>
      </c>
    </row>
    <row r="59" customFormat="false" ht="12.75" hidden="false" customHeight="false" outlineLevel="0" collapsed="false">
      <c r="F59" s="283" t="str">
        <f aca="false">IF(F$4&gt;0,(IF(E59&lt;&gt;0,E59*F$4/100," ")),IF(E59&lt;&gt;0,E59*F$2/(100+F$2)," "))</f>
        <v> </v>
      </c>
      <c r="G59" s="283" t="str">
        <f aca="false">IF((E59&lt;&gt;0),E59-F59," ")</f>
        <v> </v>
      </c>
    </row>
    <row r="60" customFormat="false" ht="12.75" hidden="false" customHeight="false" outlineLevel="0" collapsed="false">
      <c r="F60" s="283" t="str">
        <f aca="false">IF(F$4&gt;0,(IF(E60&lt;&gt;0,E60*F$4/100," ")),IF(E60&lt;&gt;0,E60*F$2/(100+F$2)," "))</f>
        <v> </v>
      </c>
      <c r="G60" s="283" t="str">
        <f aca="false">IF((E60&lt;&gt;0),E60-F60," ")</f>
        <v> </v>
      </c>
    </row>
    <row r="61" customFormat="false" ht="12.75" hidden="false" customHeight="false" outlineLevel="0" collapsed="false">
      <c r="F61" s="283" t="str">
        <f aca="false">IF(F$4&gt;0,(IF(E61&lt;&gt;0,E61*F$4/100," ")),IF(E61&lt;&gt;0,E61*F$2/(100+F$2)," "))</f>
        <v> </v>
      </c>
      <c r="G61" s="283" t="str">
        <f aca="false">IF((E61&lt;&gt;0),E61-F61," ")</f>
        <v> </v>
      </c>
    </row>
    <row r="62" customFormat="false" ht="12.75" hidden="false" customHeight="false" outlineLevel="0" collapsed="false">
      <c r="F62" s="283" t="str">
        <f aca="false">IF(F$4&gt;0,(IF(E62&lt;&gt;0,E62*F$4/100," ")),IF(E62&lt;&gt;0,E62*F$2/(100+F$2)," "))</f>
        <v> </v>
      </c>
      <c r="G62" s="283" t="str">
        <f aca="false">IF((E62&lt;&gt;0),E62-F62," ")</f>
        <v> </v>
      </c>
    </row>
    <row r="63" customFormat="false" ht="12.75" hidden="false" customHeight="false" outlineLevel="0" collapsed="false">
      <c r="F63" s="283" t="str">
        <f aca="false">IF(F$4&gt;0,(IF(E63&lt;&gt;0,E63*F$4/100," ")),IF(E63&lt;&gt;0,E63*F$2/(100+F$2)," "))</f>
        <v> </v>
      </c>
      <c r="G63" s="283" t="str">
        <f aca="false">IF((E63&lt;&gt;0),E63-F63," ")</f>
        <v> </v>
      </c>
    </row>
    <row r="64" customFormat="false" ht="12.75" hidden="false" customHeight="false" outlineLevel="0" collapsed="false">
      <c r="F64" s="283" t="str">
        <f aca="false">IF(F$4&gt;0,(IF(E64&lt;&gt;0,E64*F$4/100," ")),IF(E64&lt;&gt;0,E64*F$2/(100+F$2)," "))</f>
        <v> </v>
      </c>
      <c r="G64" s="283" t="str">
        <f aca="false">IF((E64&lt;&gt;0),E64-F64," ")</f>
        <v> </v>
      </c>
    </row>
    <row r="65" customFormat="false" ht="12.75" hidden="false" customHeight="false" outlineLevel="0" collapsed="false">
      <c r="F65" s="283" t="str">
        <f aca="false">IF(F$4&gt;0,(IF(E65&lt;&gt;0,E65*F$4/100," ")),IF(E65&lt;&gt;0,E65*F$2/(100+F$2)," "))</f>
        <v> </v>
      </c>
      <c r="G65" s="283" t="str">
        <f aca="false">IF((E65&lt;&gt;0),E65-F65," ")</f>
        <v> </v>
      </c>
    </row>
    <row r="66" customFormat="false" ht="12.75" hidden="false" customHeight="false" outlineLevel="0" collapsed="false">
      <c r="F66" s="283" t="str">
        <f aca="false">IF(F$4&gt;0,(IF(E66&lt;&gt;0,E66*F$4/100," ")),IF(E66&lt;&gt;0,E66*F$2/(100+F$2)," "))</f>
        <v> </v>
      </c>
      <c r="G66" s="283" t="str">
        <f aca="false">IF((E66&lt;&gt;0),E66-F66," ")</f>
        <v> </v>
      </c>
    </row>
    <row r="67" customFormat="false" ht="12.75" hidden="false" customHeight="false" outlineLevel="0" collapsed="false">
      <c r="F67" s="283" t="str">
        <f aca="false">IF(F$4&gt;0,(IF(E67&lt;&gt;0,E67*F$4/100," ")),IF(E67&lt;&gt;0,E67*F$2/(100+F$2)," "))</f>
        <v> </v>
      </c>
      <c r="G67" s="283" t="str">
        <f aca="false">IF((E67&lt;&gt;0),E67-F67," ")</f>
        <v> </v>
      </c>
    </row>
    <row r="68" customFormat="false" ht="12.75" hidden="false" customHeight="false" outlineLevel="0" collapsed="false">
      <c r="F68" s="283" t="str">
        <f aca="false">IF(F$4&gt;0,(IF(E68&lt;&gt;0,E68*F$4/100," ")),IF(E68&lt;&gt;0,E68*F$2/(100+F$2)," "))</f>
        <v> </v>
      </c>
      <c r="G68" s="283" t="str">
        <f aca="false">IF((E68&lt;&gt;0),E68-F68," ")</f>
        <v> </v>
      </c>
    </row>
    <row r="69" customFormat="false" ht="12.75" hidden="false" customHeight="false" outlineLevel="0" collapsed="false">
      <c r="F69" s="283" t="str">
        <f aca="false">IF(F$4&gt;0,(IF(E69&lt;&gt;0,E69*F$4/100," ")),IF(E69&lt;&gt;0,E69*F$2/(100+F$2)," "))</f>
        <v> </v>
      </c>
      <c r="G69" s="283" t="str">
        <f aca="false">IF((E69&lt;&gt;0),E69-F69," ")</f>
        <v> </v>
      </c>
    </row>
    <row r="70" customFormat="false" ht="12.75" hidden="false" customHeight="false" outlineLevel="0" collapsed="false">
      <c r="F70" s="283" t="str">
        <f aca="false">IF(F$4&gt;0,(IF(E70&lt;&gt;0,E70*F$4/100," ")),IF(E70&lt;&gt;0,E70*F$2/(100+F$2)," "))</f>
        <v> </v>
      </c>
      <c r="G70" s="283" t="str">
        <f aca="false">IF((E70&lt;&gt;0),E70-F70," ")</f>
        <v> </v>
      </c>
    </row>
    <row r="71" customFormat="false" ht="12.75" hidden="false" customHeight="false" outlineLevel="0" collapsed="false">
      <c r="F71" s="283" t="str">
        <f aca="false">IF(F$4&gt;0,(IF(E71&lt;&gt;0,E71*F$4/100," ")),IF(E71&lt;&gt;0,E71*F$2/(100+F$2)," "))</f>
        <v> </v>
      </c>
      <c r="G71" s="283" t="str">
        <f aca="false">IF((E71&lt;&gt;0),E71-F71," ")</f>
        <v> </v>
      </c>
    </row>
    <row r="72" customFormat="false" ht="12.75" hidden="false" customHeight="false" outlineLevel="0" collapsed="false">
      <c r="F72" s="283" t="str">
        <f aca="false">IF(F$4&gt;0,(IF(E72&lt;&gt;0,E72*F$4/100," ")),IF(E72&lt;&gt;0,E72*F$2/(100+F$2)," "))</f>
        <v> </v>
      </c>
      <c r="G72" s="283" t="str">
        <f aca="false">IF((E72&lt;&gt;0),E72-F72," ")</f>
        <v> </v>
      </c>
    </row>
    <row r="73" customFormat="false" ht="12.75" hidden="false" customHeight="false" outlineLevel="0" collapsed="false">
      <c r="F73" s="283" t="str">
        <f aca="false">IF(F$4&gt;0,(IF(E73&lt;&gt;0,E73*F$4/100," ")),IF(E73&lt;&gt;0,E73*F$2/(100+F$2)," "))</f>
        <v> </v>
      </c>
      <c r="G73" s="283" t="str">
        <f aca="false">IF((E73&lt;&gt;0),E73-F73," ")</f>
        <v> </v>
      </c>
    </row>
    <row r="74" customFormat="false" ht="12.75" hidden="false" customHeight="false" outlineLevel="0" collapsed="false">
      <c r="F74" s="283" t="str">
        <f aca="false">IF(F$4&gt;0,(IF(E74&lt;&gt;0,E74*F$4/100," ")),IF(E74&lt;&gt;0,E74*F$2/(100+F$2)," "))</f>
        <v> </v>
      </c>
      <c r="G74" s="283" t="str">
        <f aca="false">IF((E74&lt;&gt;0),E74-F74," ")</f>
        <v> </v>
      </c>
    </row>
    <row r="75" customFormat="false" ht="12.75" hidden="false" customHeight="false" outlineLevel="0" collapsed="false">
      <c r="F75" s="283" t="str">
        <f aca="false">IF(F$4&gt;0,(IF(E75&lt;&gt;0,E75*F$4/100," ")),IF(E75&lt;&gt;0,E75*F$2/(100+F$2)," "))</f>
        <v> </v>
      </c>
      <c r="G75" s="283" t="str">
        <f aca="false">IF((E75&lt;&gt;0),E75-F75," ")</f>
        <v> </v>
      </c>
    </row>
    <row r="76" customFormat="false" ht="12.75" hidden="false" customHeight="false" outlineLevel="0" collapsed="false">
      <c r="F76" s="283" t="str">
        <f aca="false">IF(F$4&gt;0,(IF(E76&lt;&gt;0,E76*F$4/100," ")),IF(E76&lt;&gt;0,E76*F$2/(100+F$2)," "))</f>
        <v> </v>
      </c>
      <c r="G76" s="283" t="str">
        <f aca="false">IF((E76&lt;&gt;0),E76-F76," ")</f>
        <v> </v>
      </c>
    </row>
    <row r="77" customFormat="false" ht="12.75" hidden="false" customHeight="false" outlineLevel="0" collapsed="false">
      <c r="F77" s="283" t="str">
        <f aca="false">IF(F$4&gt;0,(IF(E77&lt;&gt;0,E77*F$4/100," ")),IF(E77&lt;&gt;0,E77*F$2/(100+F$2)," "))</f>
        <v> </v>
      </c>
      <c r="G77" s="283" t="str">
        <f aca="false">IF((E77&lt;&gt;0),E77-F77," ")</f>
        <v> </v>
      </c>
    </row>
    <row r="78" customFormat="false" ht="12.75" hidden="false" customHeight="false" outlineLevel="0" collapsed="false">
      <c r="F78" s="283" t="str">
        <f aca="false">IF(F$4&gt;0,(IF(E78&lt;&gt;0,E78*F$4/100," ")),IF(E78&lt;&gt;0,E78*F$2/(100+F$2)," "))</f>
        <v> </v>
      </c>
      <c r="G78" s="283" t="str">
        <f aca="false">IF((E78&lt;&gt;0),E78-F78," ")</f>
        <v> </v>
      </c>
    </row>
    <row r="79" customFormat="false" ht="12.75" hidden="false" customHeight="false" outlineLevel="0" collapsed="false">
      <c r="F79" s="283" t="str">
        <f aca="false">IF(F$4&gt;0,(IF(E79&lt;&gt;0,E79*F$4/100," ")),IF(E79&lt;&gt;0,E79*F$2/(100+F$2)," "))</f>
        <v> </v>
      </c>
      <c r="G79" s="283" t="str">
        <f aca="false">IF((E79&lt;&gt;0),E79-F79," ")</f>
        <v> </v>
      </c>
    </row>
    <row r="80" customFormat="false" ht="12.75" hidden="false" customHeight="false" outlineLevel="0" collapsed="false">
      <c r="F80" s="283" t="str">
        <f aca="false">IF(F$4&gt;0,(IF(E80&lt;&gt;0,E80*F$4/100," ")),IF(E80&lt;&gt;0,E80*F$2/(100+F$2)," "))</f>
        <v> </v>
      </c>
      <c r="G80" s="283" t="str">
        <f aca="false">IF((E80&lt;&gt;0),E80-F80," ")</f>
        <v> </v>
      </c>
    </row>
    <row r="81" customFormat="false" ht="12.75" hidden="false" customHeight="false" outlineLevel="0" collapsed="false">
      <c r="F81" s="283" t="str">
        <f aca="false">IF(F$4&gt;0,(IF(E81&lt;&gt;0,E81*F$4/100," ")),IF(E81&lt;&gt;0,E81*F$2/(100+F$2)," "))</f>
        <v> </v>
      </c>
      <c r="G81" s="283" t="str">
        <f aca="false">IF((E81&lt;&gt;0),E81-F81," ")</f>
        <v> </v>
      </c>
    </row>
    <row r="82" customFormat="false" ht="12.75" hidden="false" customHeight="false" outlineLevel="0" collapsed="false">
      <c r="F82" s="283" t="str">
        <f aca="false">IF(F$4&gt;0,(IF(E82&lt;&gt;0,E82*F$4/100," ")),IF(E82&lt;&gt;0,E82*F$2/(100+F$2)," "))</f>
        <v> </v>
      </c>
      <c r="G82" s="283" t="str">
        <f aca="false">IF((E82&lt;&gt;0),E82-F82," ")</f>
        <v> </v>
      </c>
    </row>
    <row r="83" customFormat="false" ht="12.75" hidden="false" customHeight="false" outlineLevel="0" collapsed="false">
      <c r="F83" s="283" t="str">
        <f aca="false">IF(F$4&gt;0,(IF(E83&lt;&gt;0,E83*F$4/100," ")),IF(E83&lt;&gt;0,E83*F$2/(100+F$2)," "))</f>
        <v> </v>
      </c>
      <c r="G83" s="283" t="str">
        <f aca="false">IF((E83&lt;&gt;0),E83-F83," ")</f>
        <v> </v>
      </c>
    </row>
    <row r="84" customFormat="false" ht="12.75" hidden="false" customHeight="false" outlineLevel="0" collapsed="false">
      <c r="F84" s="283" t="str">
        <f aca="false">IF(F$4&gt;0,(IF(E84&lt;&gt;0,E84*F$4/100," ")),IF(E84&lt;&gt;0,E84*F$2/(100+F$2)," "))</f>
        <v> </v>
      </c>
      <c r="G84" s="283" t="str">
        <f aca="false">IF((E84&lt;&gt;0),E84-F84," ")</f>
        <v> </v>
      </c>
    </row>
    <row r="85" customFormat="false" ht="12.75" hidden="false" customHeight="false" outlineLevel="0" collapsed="false">
      <c r="F85" s="283" t="str">
        <f aca="false">IF(F$4&gt;0,(IF(E85&lt;&gt;0,E85*F$4/100," ")),IF(E85&lt;&gt;0,E85*F$2/(100+F$2)," "))</f>
        <v> </v>
      </c>
      <c r="G85" s="283" t="str">
        <f aca="false">IF((E85&lt;&gt;0),E85-F85," ")</f>
        <v> </v>
      </c>
    </row>
    <row r="86" customFormat="false" ht="12.75" hidden="false" customHeight="false" outlineLevel="0" collapsed="false">
      <c r="F86" s="283" t="str">
        <f aca="false">IF(F$4&gt;0,(IF(E86&lt;&gt;0,E86*F$4/100," ")),IF(E86&lt;&gt;0,E86*F$2/(100+F$2)," "))</f>
        <v> </v>
      </c>
      <c r="G86" s="283" t="str">
        <f aca="false">IF((E86&lt;&gt;0),E86-F86," ")</f>
        <v> </v>
      </c>
    </row>
    <row r="87" customFormat="false" ht="12.75" hidden="false" customHeight="false" outlineLevel="0" collapsed="false">
      <c r="F87" s="283" t="str">
        <f aca="false">IF(F$4&gt;0,(IF(E87&lt;&gt;0,E87*F$4/100," ")),IF(E87&lt;&gt;0,E87*F$2/(100+F$2)," "))</f>
        <v> </v>
      </c>
      <c r="G87" s="283" t="str">
        <f aca="false">IF((E87&lt;&gt;0),E87-F87," ")</f>
        <v> </v>
      </c>
    </row>
    <row r="88" customFormat="false" ht="12.75" hidden="false" customHeight="false" outlineLevel="0" collapsed="false">
      <c r="F88" s="283" t="str">
        <f aca="false">IF(F$4&gt;0,(IF(E88&lt;&gt;0,E88*F$4/100," ")),IF(E88&lt;&gt;0,E88*F$2/(100+F$2)," "))</f>
        <v> </v>
      </c>
      <c r="G88" s="283" t="str">
        <f aca="false">IF((E88&lt;&gt;0),E88-F88," ")</f>
        <v> </v>
      </c>
    </row>
    <row r="89" customFormat="false" ht="12.75" hidden="false" customHeight="false" outlineLevel="0" collapsed="false">
      <c r="F89" s="283" t="str">
        <f aca="false">IF(F$4&gt;0,(IF(E89&lt;&gt;0,E89*F$4/100," ")),IF(E89&lt;&gt;0,E89*F$2/(100+F$2)," "))</f>
        <v> </v>
      </c>
      <c r="G89" s="283" t="str">
        <f aca="false">IF((E89&lt;&gt;0),E89-F89," ")</f>
        <v> </v>
      </c>
    </row>
    <row r="90" customFormat="false" ht="12.75" hidden="false" customHeight="false" outlineLevel="0" collapsed="false">
      <c r="F90" s="283" t="str">
        <f aca="false">IF(F$4&gt;0,(IF(E90&lt;&gt;0,E90*F$4/100," ")),IF(E90&lt;&gt;0,E90*F$2/(100+F$2)," "))</f>
        <v> </v>
      </c>
      <c r="G90" s="283" t="str">
        <f aca="false">IF((E90&lt;&gt;0),E90-F90," ")</f>
        <v> </v>
      </c>
    </row>
    <row r="91" customFormat="false" ht="12.75" hidden="false" customHeight="false" outlineLevel="0" collapsed="false">
      <c r="F91" s="283" t="str">
        <f aca="false">IF(F$4&gt;0,(IF(E91&lt;&gt;0,E91*F$4/100," ")),IF(E91&lt;&gt;0,E91*F$2/(100+F$2)," "))</f>
        <v> </v>
      </c>
      <c r="G91" s="283" t="str">
        <f aca="false">IF((E91&lt;&gt;0),E91-F91," ")</f>
        <v> </v>
      </c>
    </row>
    <row r="92" customFormat="false" ht="12.75" hidden="false" customHeight="false" outlineLevel="0" collapsed="false">
      <c r="F92" s="283" t="str">
        <f aca="false">IF(F$4&gt;0,(IF(E92&lt;&gt;0,E92*F$4/100," ")),IF(E92&lt;&gt;0,E92*F$2/(100+F$2)," "))</f>
        <v> </v>
      </c>
      <c r="G92" s="283" t="str">
        <f aca="false">IF((E92&lt;&gt;0),E92-F92," ")</f>
        <v> </v>
      </c>
    </row>
    <row r="93" customFormat="false" ht="12.75" hidden="false" customHeight="false" outlineLevel="0" collapsed="false">
      <c r="F93" s="283" t="str">
        <f aca="false">IF(F$4&gt;0,(IF(E93&lt;&gt;0,E93*F$4/100," ")),IF(E93&lt;&gt;0,E93*F$2/(100+F$2)," "))</f>
        <v> </v>
      </c>
      <c r="G93" s="283" t="str">
        <f aca="false">IF((E93&lt;&gt;0),E93-F93," ")</f>
        <v> </v>
      </c>
    </row>
    <row r="94" customFormat="false" ht="12.75" hidden="false" customHeight="false" outlineLevel="0" collapsed="false">
      <c r="F94" s="283" t="str">
        <f aca="false">IF(F$4&gt;0,(IF(E94&lt;&gt;0,E94*F$4/100," ")),IF(E94&lt;&gt;0,E94*F$2/(100+F$2)," "))</f>
        <v> </v>
      </c>
      <c r="G94" s="283" t="str">
        <f aca="false">IF((E94&lt;&gt;0),E94-F94," ")</f>
        <v> </v>
      </c>
    </row>
    <row r="95" customFormat="false" ht="12.75" hidden="false" customHeight="false" outlineLevel="0" collapsed="false">
      <c r="F95" s="283" t="str">
        <f aca="false">IF(F$4&gt;0,(IF(E95&lt;&gt;0,E95*F$4/100," ")),IF(E95&lt;&gt;0,E95*F$2/(100+F$2)," "))</f>
        <v> </v>
      </c>
      <c r="G95" s="283" t="str">
        <f aca="false">IF((E95&lt;&gt;0),E95-F95," ")</f>
        <v> </v>
      </c>
    </row>
    <row r="96" customFormat="false" ht="12.75" hidden="false" customHeight="false" outlineLevel="0" collapsed="false">
      <c r="F96" s="283" t="str">
        <f aca="false">IF(F$4&gt;0,(IF(E96&lt;&gt;0,E96*F$4/100," ")),IF(E96&lt;&gt;0,E96*F$2/(100+F$2)," "))</f>
        <v> </v>
      </c>
      <c r="G96" s="283" t="str">
        <f aca="false">IF((E96&lt;&gt;0),E96-F96," ")</f>
        <v> </v>
      </c>
    </row>
    <row r="97" customFormat="false" ht="12.75" hidden="false" customHeight="false" outlineLevel="0" collapsed="false">
      <c r="F97" s="283" t="str">
        <f aca="false">IF(F$4&gt;0,(IF(E97&lt;&gt;0,E97*F$4/100," ")),IF(E97&lt;&gt;0,E97*F$2/(100+F$2)," "))</f>
        <v> </v>
      </c>
      <c r="G97" s="283" t="str">
        <f aca="false">IF((E97&lt;&gt;0),E97-F97," ")</f>
        <v> </v>
      </c>
    </row>
    <row r="98" customFormat="false" ht="12.75" hidden="false" customHeight="false" outlineLevel="0" collapsed="false">
      <c r="F98" s="283" t="str">
        <f aca="false">IF(F$4&gt;0,(IF(E98&lt;&gt;0,E98*F$4/100," ")),IF(E98&lt;&gt;0,E98*F$2/(100+F$2)," "))</f>
        <v> </v>
      </c>
      <c r="G98" s="283" t="str">
        <f aca="false">IF((E98&lt;&gt;0),E98-F98," ")</f>
        <v> </v>
      </c>
    </row>
    <row r="99" customFormat="false" ht="12.75" hidden="false" customHeight="false" outlineLevel="0" collapsed="false">
      <c r="F99" s="283" t="str">
        <f aca="false">IF(F$4&gt;0,(IF(E99&lt;&gt;0,E99*F$4/100," ")),IF(E99&lt;&gt;0,E99*F$2/(100+F$2)," "))</f>
        <v> </v>
      </c>
      <c r="G99" s="283" t="str">
        <f aca="false">IF((E99&lt;&gt;0),E99-F99," ")</f>
        <v> </v>
      </c>
    </row>
    <row r="100" customFormat="false" ht="12.75" hidden="false" customHeight="false" outlineLevel="0" collapsed="false">
      <c r="F100" s="283" t="str">
        <f aca="false">IF(F$4&gt;0,(IF(E100&lt;&gt;0,E100*F$4/100," ")),IF(E100&lt;&gt;0,E100*F$2/(100+F$2)," "))</f>
        <v> </v>
      </c>
      <c r="G100" s="283" t="str">
        <f aca="false">IF((E100&lt;&gt;0),E100-F100," ")</f>
        <v> </v>
      </c>
    </row>
    <row r="101" customFormat="false" ht="12.75" hidden="false" customHeight="false" outlineLevel="0" collapsed="false">
      <c r="F101" s="283" t="str">
        <f aca="false">IF(F$4&gt;0,(IF(E101&lt;&gt;0,E101*F$4/100," ")),IF(E101&lt;&gt;0,E101*F$2/(100+F$2)," "))</f>
        <v> </v>
      </c>
      <c r="G101" s="283" t="str">
        <f aca="false">IF((E101&lt;&gt;0),E101-F101," ")</f>
        <v> </v>
      </c>
    </row>
    <row r="102" customFormat="false" ht="12.75" hidden="false" customHeight="false" outlineLevel="0" collapsed="false">
      <c r="F102" s="283" t="str">
        <f aca="false">IF(F$4&gt;0,(IF(E102&lt;&gt;0,E102*F$4/100," ")),IF(E102&lt;&gt;0,E102*F$2/(100+F$2)," "))</f>
        <v> </v>
      </c>
      <c r="G102" s="283" t="str">
        <f aca="false">IF((E102&lt;&gt;0),E102-F102," ")</f>
        <v> </v>
      </c>
    </row>
    <row r="103" customFormat="false" ht="12.75" hidden="false" customHeight="false" outlineLevel="0" collapsed="false">
      <c r="F103" s="283" t="str">
        <f aca="false">IF(F$4&gt;0,(IF(E103&lt;&gt;0,E103*F$4/100," ")),IF(E103&lt;&gt;0,E103*F$2/(100+F$2)," "))</f>
        <v> </v>
      </c>
      <c r="G103" s="283" t="str">
        <f aca="false">IF((E103&lt;&gt;0),E103-F103," ")</f>
        <v> </v>
      </c>
    </row>
    <row r="104" customFormat="false" ht="12.75" hidden="false" customHeight="false" outlineLevel="0" collapsed="false">
      <c r="F104" s="283" t="str">
        <f aca="false">IF(F$4&gt;0,(IF(E104&lt;&gt;0,E104*F$4/100," ")),IF(E104&lt;&gt;0,E104*F$2/(100+F$2)," "))</f>
        <v> </v>
      </c>
      <c r="G104" s="283" t="str">
        <f aca="false">IF((E104&lt;&gt;0),E104-F104," ")</f>
        <v> </v>
      </c>
    </row>
    <row r="105" customFormat="false" ht="12.75" hidden="false" customHeight="false" outlineLevel="0" collapsed="false">
      <c r="F105" s="283" t="str">
        <f aca="false">IF(F$4&gt;0,(IF(E105&lt;&gt;0,E105*F$4/100," ")),IF(E105&lt;&gt;0,E105*F$2/(100+F$2)," "))</f>
        <v> </v>
      </c>
      <c r="G105" s="283" t="str">
        <f aca="false">IF((E105&lt;&gt;0),E105-F105," ")</f>
        <v> </v>
      </c>
    </row>
    <row r="106" customFormat="false" ht="12.75" hidden="false" customHeight="false" outlineLevel="0" collapsed="false">
      <c r="F106" s="283" t="str">
        <f aca="false">IF(F$4&gt;0,(IF(E106&lt;&gt;0,E106*F$4/100," ")),IF(E106&lt;&gt;0,E106*F$2/(100+F$2)," "))</f>
        <v> </v>
      </c>
      <c r="G106" s="283" t="str">
        <f aca="false">IF((E106&lt;&gt;0),E106-F106," ")</f>
        <v> </v>
      </c>
    </row>
    <row r="107" customFormat="false" ht="12.75" hidden="false" customHeight="false" outlineLevel="0" collapsed="false">
      <c r="F107" s="283" t="str">
        <f aca="false">IF(F$4&gt;0,(IF(E107&lt;&gt;0,E107*F$4/100," ")),IF(E107&lt;&gt;0,E107*F$2/(100+F$2)," "))</f>
        <v> </v>
      </c>
      <c r="G107" s="283" t="str">
        <f aca="false">IF((E107&lt;&gt;0),E107-F107," ")</f>
        <v> </v>
      </c>
    </row>
    <row r="108" customFormat="false" ht="12.75" hidden="false" customHeight="false" outlineLevel="0" collapsed="false">
      <c r="F108" s="283" t="str">
        <f aca="false">IF(F$4&gt;0,(IF(E108&lt;&gt;0,E108*F$4/100," ")),IF(E108&lt;&gt;0,E108*F$2/(100+F$2)," "))</f>
        <v> </v>
      </c>
      <c r="G108" s="283" t="str">
        <f aca="false">IF((E108&lt;&gt;0),E108-F108," ")</f>
        <v> </v>
      </c>
    </row>
    <row r="109" customFormat="false" ht="12.75" hidden="false" customHeight="false" outlineLevel="0" collapsed="false">
      <c r="F109" s="283" t="str">
        <f aca="false">IF(F$4&gt;0,(IF(E109&lt;&gt;0,E109*F$4/100," ")),IF(E109&lt;&gt;0,E109*F$2/(100+F$2)," "))</f>
        <v> </v>
      </c>
      <c r="G109" s="283" t="str">
        <f aca="false">IF((E109&lt;&gt;0),E109-F109," ")</f>
        <v> </v>
      </c>
    </row>
    <row r="110" customFormat="false" ht="12.75" hidden="false" customHeight="false" outlineLevel="0" collapsed="false">
      <c r="F110" s="283" t="str">
        <f aca="false">IF(F$4&gt;0,(IF(E110&lt;&gt;0,E110*F$4/100," ")),IF(E110&lt;&gt;0,E110*F$2/(100+F$2)," "))</f>
        <v> </v>
      </c>
      <c r="G110" s="283" t="str">
        <f aca="false">IF((E110&lt;&gt;0),E110-F110," ")</f>
        <v> </v>
      </c>
    </row>
    <row r="111" customFormat="false" ht="12.75" hidden="false" customHeight="false" outlineLevel="0" collapsed="false">
      <c r="F111" s="283" t="str">
        <f aca="false">IF(F$4&gt;0,(IF(E111&lt;&gt;0,E111*F$4/100," ")),IF(E111&lt;&gt;0,E111*F$2/(100+F$2)," "))</f>
        <v> </v>
      </c>
      <c r="G111" s="283" t="str">
        <f aca="false">IF((E111&lt;&gt;0),E111-F111," ")</f>
        <v> </v>
      </c>
    </row>
    <row r="112" customFormat="false" ht="12.75" hidden="false" customHeight="false" outlineLevel="0" collapsed="false">
      <c r="F112" s="283" t="str">
        <f aca="false">IF(F$4&gt;0,(IF(E112&lt;&gt;0,E112*F$4/100," ")),IF(E112&lt;&gt;0,E112*F$2/(100+F$2)," "))</f>
        <v> </v>
      </c>
      <c r="G112" s="283" t="str">
        <f aca="false">IF((E112&lt;&gt;0),E112-F112," ")</f>
        <v> </v>
      </c>
    </row>
    <row r="113" customFormat="false" ht="12.75" hidden="false" customHeight="false" outlineLevel="0" collapsed="false">
      <c r="F113" s="283" t="str">
        <f aca="false">IF(F$4&gt;0,(IF(E113&lt;&gt;0,E113*F$4/100," ")),IF(E113&lt;&gt;0,E113*F$2/(100+F$2)," "))</f>
        <v> </v>
      </c>
      <c r="G113" s="283" t="str">
        <f aca="false">IF((E113&lt;&gt;0),E113-F113," ")</f>
        <v> </v>
      </c>
    </row>
    <row r="114" customFormat="false" ht="12.75" hidden="false" customHeight="false" outlineLevel="0" collapsed="false">
      <c r="F114" s="283" t="str">
        <f aca="false">IF(F$4&gt;0,(IF(E114&lt;&gt;0,E114*F$4/100," ")),IF(E114&lt;&gt;0,E114*F$2/(100+F$2)," "))</f>
        <v> </v>
      </c>
      <c r="G114" s="283" t="str">
        <f aca="false">IF((E114&lt;&gt;0),E114-F114," ")</f>
        <v> </v>
      </c>
    </row>
    <row r="115" customFormat="false" ht="12.75" hidden="false" customHeight="false" outlineLevel="0" collapsed="false">
      <c r="F115" s="283" t="str">
        <f aca="false">IF(F$4&gt;0,(IF(E115&lt;&gt;0,E115*F$4/100," ")),IF(E115&lt;&gt;0,E115*F$2/(100+F$2)," "))</f>
        <v> </v>
      </c>
      <c r="G115" s="283" t="str">
        <f aca="false">IF((E115&lt;&gt;0),E115-F115," ")</f>
        <v> </v>
      </c>
    </row>
    <row r="116" customFormat="false" ht="12.75" hidden="false" customHeight="false" outlineLevel="0" collapsed="false">
      <c r="F116" s="283" t="str">
        <f aca="false">IF(F$4&gt;0,(IF(E116&lt;&gt;0,E116*F$4/100," ")),IF(E116&lt;&gt;0,E116*F$2/(100+F$2)," "))</f>
        <v> </v>
      </c>
      <c r="G116" s="283" t="str">
        <f aca="false">IF((E116&lt;&gt;0),E116-F116," ")</f>
        <v> </v>
      </c>
    </row>
    <row r="117" customFormat="false" ht="12.75" hidden="false" customHeight="false" outlineLevel="0" collapsed="false">
      <c r="F117" s="283" t="str">
        <f aca="false">IF(F$4&gt;0,(IF(E117&lt;&gt;0,E117*F$4/100," ")),IF(E117&lt;&gt;0,E117*F$2/(100+F$2)," "))</f>
        <v> </v>
      </c>
      <c r="G117" s="283" t="str">
        <f aca="false">IF((E117&lt;&gt;0),E117-F117," ")</f>
        <v> </v>
      </c>
    </row>
    <row r="118" customFormat="false" ht="12.75" hidden="false" customHeight="false" outlineLevel="0" collapsed="false">
      <c r="F118" s="283" t="str">
        <f aca="false">IF(F$4&gt;0,(IF(E118&lt;&gt;0,E118*F$4/100," ")),IF(E118&lt;&gt;0,E118*F$2/(100+F$2)," "))</f>
        <v> </v>
      </c>
      <c r="G118" s="283" t="str">
        <f aca="false">IF((E118&lt;&gt;0),E118-F118," ")</f>
        <v> </v>
      </c>
    </row>
    <row r="119" customFormat="false" ht="12.75" hidden="false" customHeight="false" outlineLevel="0" collapsed="false">
      <c r="F119" s="283" t="str">
        <f aca="false">IF(F$4&gt;0,(IF(E119&lt;&gt;0,E119*F$4/100," ")),IF(E119&lt;&gt;0,E119*F$2/(100+F$2)," "))</f>
        <v> </v>
      </c>
      <c r="G119" s="283" t="str">
        <f aca="false">IF((E119&lt;&gt;0),E119-F119," ")</f>
        <v> </v>
      </c>
    </row>
    <row r="120" customFormat="false" ht="12.75" hidden="false" customHeight="false" outlineLevel="0" collapsed="false">
      <c r="F120" s="283" t="str">
        <f aca="false">IF(F$4&gt;0,(IF(E120&lt;&gt;0,E120*F$4/100," ")),IF(E120&lt;&gt;0,E120*F$2/(100+F$2)," "))</f>
        <v> </v>
      </c>
      <c r="G120" s="283" t="str">
        <f aca="false">IF((E120&lt;&gt;0),E120-F120," ")</f>
        <v> </v>
      </c>
    </row>
    <row r="121" customFormat="false" ht="12.75" hidden="false" customHeight="false" outlineLevel="0" collapsed="false">
      <c r="F121" s="283" t="str">
        <f aca="false">IF(F$4&gt;0,(IF(E121&lt;&gt;0,E121*F$4/100," ")),IF(E121&lt;&gt;0,E121*F$2/(100+F$2)," "))</f>
        <v> </v>
      </c>
      <c r="G121" s="283" t="str">
        <f aca="false">IF((E121&lt;&gt;0),E121-F121," ")</f>
        <v> </v>
      </c>
    </row>
    <row r="122" customFormat="false" ht="12.75" hidden="false" customHeight="false" outlineLevel="0" collapsed="false">
      <c r="F122" s="283" t="str">
        <f aca="false">IF(F$4&gt;0,(IF(E122&lt;&gt;0,E122*F$4/100," ")),IF(E122&lt;&gt;0,E122*F$2/(100+F$2)," "))</f>
        <v> </v>
      </c>
      <c r="G122" s="283" t="str">
        <f aca="false">IF((E122&lt;&gt;0),E122-F122," ")</f>
        <v> </v>
      </c>
    </row>
    <row r="123" customFormat="false" ht="12.75" hidden="false" customHeight="false" outlineLevel="0" collapsed="false">
      <c r="F123" s="283" t="str">
        <f aca="false">IF(F$4&gt;0,(IF(E123&lt;&gt;0,E123*F$4/100," ")),IF(E123&lt;&gt;0,E123*F$2/(100+F$2)," "))</f>
        <v> </v>
      </c>
      <c r="G123" s="283" t="str">
        <f aca="false">IF((E123&lt;&gt;0),E123-F123," ")</f>
        <v> </v>
      </c>
    </row>
    <row r="124" customFormat="false" ht="12.75" hidden="false" customHeight="false" outlineLevel="0" collapsed="false">
      <c r="F124" s="283" t="str">
        <f aca="false">IF(F$4&gt;0,(IF(E124&lt;&gt;0,E124*F$4/100," ")),IF(E124&lt;&gt;0,E124*F$2/(100+F$2)," "))</f>
        <v> </v>
      </c>
      <c r="G124" s="283" t="str">
        <f aca="false">IF((E124&lt;&gt;0),E124-F124," ")</f>
        <v> </v>
      </c>
    </row>
    <row r="125" customFormat="false" ht="12.75" hidden="false" customHeight="false" outlineLevel="0" collapsed="false">
      <c r="F125" s="283" t="str">
        <f aca="false">IF(F$4&gt;0,(IF(E125&lt;&gt;0,E125*F$4/100," ")),IF(E125&lt;&gt;0,E125*F$2/(100+F$2)," "))</f>
        <v> </v>
      </c>
      <c r="G125" s="283" t="str">
        <f aca="false">IF((E125&lt;&gt;0),E125-F125," ")</f>
        <v> </v>
      </c>
    </row>
    <row r="126" customFormat="false" ht="12.75" hidden="false" customHeight="false" outlineLevel="0" collapsed="false">
      <c r="F126" s="283" t="str">
        <f aca="false">IF(F$4&gt;0,(IF(E126&lt;&gt;0,E126*F$4/100," ")),IF(E126&lt;&gt;0,E126*F$2/(100+F$2)," "))</f>
        <v> </v>
      </c>
      <c r="G126" s="283" t="str">
        <f aca="false">IF((E126&lt;&gt;0),E126-F126," ")</f>
        <v> </v>
      </c>
    </row>
    <row r="127" customFormat="false" ht="12.75" hidden="false" customHeight="false" outlineLevel="0" collapsed="false">
      <c r="F127" s="283" t="str">
        <f aca="false">IF(F$4&gt;0,(IF(E127&lt;&gt;0,E127*F$4/100," ")),IF(E127&lt;&gt;0,E127*F$2/(100+F$2)," "))</f>
        <v> </v>
      </c>
      <c r="G127" s="283" t="str">
        <f aca="false">IF((E127&lt;&gt;0),E127-F127," ")</f>
        <v> </v>
      </c>
    </row>
    <row r="128" customFormat="false" ht="12.75" hidden="false" customHeight="false" outlineLevel="0" collapsed="false">
      <c r="F128" s="283" t="str">
        <f aca="false">IF(F$4&gt;0,(IF(E128&lt;&gt;0,E128*F$4/100," ")),IF(E128&lt;&gt;0,E128*F$2/(100+F$2)," "))</f>
        <v> </v>
      </c>
      <c r="G128" s="283" t="str">
        <f aca="false">IF((E128&lt;&gt;0),E128-F128," ")</f>
        <v> </v>
      </c>
    </row>
    <row r="129" customFormat="false" ht="12.75" hidden="false" customHeight="false" outlineLevel="0" collapsed="false">
      <c r="F129" s="283" t="str">
        <f aca="false">IF(F$4&gt;0,(IF(E129&lt;&gt;0,E129*F$4/100," ")),IF(E129&lt;&gt;0,E129*F$2/(100+F$2)," "))</f>
        <v> </v>
      </c>
      <c r="G129" s="283" t="str">
        <f aca="false">IF((E129&lt;&gt;0),E129-F129," ")</f>
        <v> </v>
      </c>
    </row>
    <row r="130" customFormat="false" ht="12.75" hidden="false" customHeight="false" outlineLevel="0" collapsed="false">
      <c r="F130" s="283" t="str">
        <f aca="false">IF(F$4&gt;0,(IF(E130&lt;&gt;0,E130*F$4/100," ")),IF(E130&lt;&gt;0,E130*F$2/(100+F$2)," "))</f>
        <v> </v>
      </c>
      <c r="G130" s="283" t="str">
        <f aca="false">IF((E130&lt;&gt;0),E130-F130," ")</f>
        <v> </v>
      </c>
    </row>
    <row r="131" customFormat="false" ht="12.75" hidden="false" customHeight="false" outlineLevel="0" collapsed="false">
      <c r="F131" s="283" t="str">
        <f aca="false">IF(F$4&gt;0,(IF(E131&lt;&gt;0,E131*F$4/100," ")),IF(E131&lt;&gt;0,E131*F$2/(100+F$2)," "))</f>
        <v> </v>
      </c>
      <c r="G131" s="283" t="str">
        <f aca="false">IF((E131&lt;&gt;0),E131-F131," ")</f>
        <v> </v>
      </c>
    </row>
    <row r="132" customFormat="false" ht="12.75" hidden="false" customHeight="false" outlineLevel="0" collapsed="false">
      <c r="F132" s="283" t="str">
        <f aca="false">IF(F$4&gt;0,(IF(E132&lt;&gt;0,E132*F$4/100," ")),IF(E132&lt;&gt;0,E132*F$2/(100+F$2)," "))</f>
        <v> </v>
      </c>
      <c r="G132" s="283" t="str">
        <f aca="false">IF((E132&lt;&gt;0),E132-F132," ")</f>
        <v> </v>
      </c>
    </row>
    <row r="133" customFormat="false" ht="12.75" hidden="false" customHeight="false" outlineLevel="0" collapsed="false">
      <c r="F133" s="283" t="str">
        <f aca="false">IF(F$4&gt;0,(IF(E133&lt;&gt;0,E133*F$4/100," ")),IF(E133&lt;&gt;0,E133*F$2/(100+F$2)," "))</f>
        <v> </v>
      </c>
      <c r="G133" s="283" t="str">
        <f aca="false">IF((E133&lt;&gt;0),E133-F133," ")</f>
        <v> </v>
      </c>
    </row>
    <row r="134" customFormat="false" ht="12.75" hidden="false" customHeight="false" outlineLevel="0" collapsed="false">
      <c r="F134" s="283" t="str">
        <f aca="false">IF(F$4&gt;0,(IF(E134&lt;&gt;0,E134*F$4/100," ")),IF(E134&lt;&gt;0,E134*F$2/(100+F$2)," "))</f>
        <v> </v>
      </c>
      <c r="G134" s="283" t="str">
        <f aca="false">IF((E134&lt;&gt;0),E134-F134," ")</f>
        <v> </v>
      </c>
    </row>
    <row r="135" customFormat="false" ht="12.75" hidden="false" customHeight="false" outlineLevel="0" collapsed="false">
      <c r="F135" s="283" t="str">
        <f aca="false">IF(F$4&gt;0,(IF(E135&lt;&gt;0,E135*F$4/100," ")),IF(E135&lt;&gt;0,E135*F$2/(100+F$2)," "))</f>
        <v> </v>
      </c>
      <c r="G135" s="283" t="str">
        <f aca="false">IF((E135&lt;&gt;0),E135-F135," ")</f>
        <v> </v>
      </c>
    </row>
    <row r="136" customFormat="false" ht="12.75" hidden="false" customHeight="false" outlineLevel="0" collapsed="false">
      <c r="F136" s="283" t="str">
        <f aca="false">IF(F$4&gt;0,(IF(E136&lt;&gt;0,E136*F$4/100," ")),IF(E136&lt;&gt;0,E136*F$2/(100+F$2)," "))</f>
        <v> </v>
      </c>
      <c r="G136" s="283" t="str">
        <f aca="false">IF((E136&lt;&gt;0),E136-F136," ")</f>
        <v> </v>
      </c>
    </row>
    <row r="137" customFormat="false" ht="12.75" hidden="false" customHeight="false" outlineLevel="0" collapsed="false">
      <c r="F137" s="283" t="str">
        <f aca="false">IF(F$4&gt;0,(IF(E137&lt;&gt;0,E137*F$4/100," ")),IF(E137&lt;&gt;0,E137*F$2/(100+F$2)," "))</f>
        <v> </v>
      </c>
      <c r="G137" s="283" t="str">
        <f aca="false">IF((E137&lt;&gt;0),E137-F137," ")</f>
        <v> </v>
      </c>
    </row>
    <row r="138" customFormat="false" ht="12.75" hidden="false" customHeight="false" outlineLevel="0" collapsed="false">
      <c r="F138" s="283" t="str">
        <f aca="false">IF(F$4&gt;0,(IF(E138&lt;&gt;0,E138*F$4/100," ")),IF(E138&lt;&gt;0,E138*F$2/(100+F$2)," "))</f>
        <v> </v>
      </c>
      <c r="G138" s="283" t="str">
        <f aca="false">IF((E138&lt;&gt;0),E138-F138," ")</f>
        <v> </v>
      </c>
    </row>
    <row r="139" customFormat="false" ht="12.75" hidden="false" customHeight="false" outlineLevel="0" collapsed="false">
      <c r="F139" s="283" t="str">
        <f aca="false">IF(F$4&gt;0,(IF(E139&lt;&gt;0,E139*F$4/100," ")),IF(E139&lt;&gt;0,E139*F$2/(100+F$2)," "))</f>
        <v> </v>
      </c>
      <c r="G139" s="283" t="str">
        <f aca="false">IF((E139&lt;&gt;0),E139-F139," ")</f>
        <v> </v>
      </c>
    </row>
    <row r="140" customFormat="false" ht="12.75" hidden="false" customHeight="false" outlineLevel="0" collapsed="false">
      <c r="F140" s="283" t="str">
        <f aca="false">IF(F$4&gt;0,(IF(E140&lt;&gt;0,E140*F$4/100," ")),IF(E140&lt;&gt;0,E140*F$2/(100+F$2)," "))</f>
        <v> </v>
      </c>
      <c r="G140" s="283" t="str">
        <f aca="false">IF((E140&lt;&gt;0),E140-F140," ")</f>
        <v> </v>
      </c>
    </row>
    <row r="141" customFormat="false" ht="12.75" hidden="false" customHeight="false" outlineLevel="0" collapsed="false">
      <c r="F141" s="283" t="str">
        <f aca="false">IF(F$4&gt;0,(IF(E141&lt;&gt;0,E141*F$4/100," ")),IF(E141&lt;&gt;0,E141*F$2/(100+F$2)," "))</f>
        <v> </v>
      </c>
      <c r="G141" s="283" t="str">
        <f aca="false">IF((E141&lt;&gt;0),E141-F141," ")</f>
        <v> </v>
      </c>
    </row>
    <row r="142" customFormat="false" ht="12.75" hidden="false" customHeight="false" outlineLevel="0" collapsed="false">
      <c r="F142" s="283" t="str">
        <f aca="false">IF(F$4&gt;0,(IF(E142&lt;&gt;0,E142*F$4/100," ")),IF(E142&lt;&gt;0,E142*F$2/(100+F$2)," "))</f>
        <v> </v>
      </c>
      <c r="G142" s="283" t="str">
        <f aca="false">IF((E142&lt;&gt;0),E142-F142," ")</f>
        <v> </v>
      </c>
    </row>
    <row r="143" customFormat="false" ht="12.75" hidden="false" customHeight="false" outlineLevel="0" collapsed="false">
      <c r="F143" s="283" t="str">
        <f aca="false">IF(F$4&gt;0,(IF(E143&lt;&gt;0,E143*F$4/100," ")),IF(E143&lt;&gt;0,E143*F$2/(100+F$2)," "))</f>
        <v> </v>
      </c>
      <c r="G143" s="283" t="str">
        <f aca="false">IF((E143&lt;&gt;0),E143-F143," ")</f>
        <v> </v>
      </c>
    </row>
    <row r="144" customFormat="false" ht="12.75" hidden="false" customHeight="false" outlineLevel="0" collapsed="false">
      <c r="F144" s="283" t="str">
        <f aca="false">IF(F$4&gt;0,(IF(E144&lt;&gt;0,E144*F$4/100," ")),IF(E144&lt;&gt;0,E144*F$2/(100+F$2)," "))</f>
        <v> </v>
      </c>
      <c r="G144" s="283" t="str">
        <f aca="false">IF((E144&lt;&gt;0),E144-F144," ")</f>
        <v> </v>
      </c>
    </row>
    <row r="145" customFormat="false" ht="12.75" hidden="false" customHeight="false" outlineLevel="0" collapsed="false">
      <c r="F145" s="283" t="str">
        <f aca="false">IF(F$4&gt;0,(IF(E145&lt;&gt;0,E145*F$4/100," ")),IF(E145&lt;&gt;0,E145*F$2/(100+F$2)," "))</f>
        <v> </v>
      </c>
      <c r="G145" s="283" t="str">
        <f aca="false">IF((E145&lt;&gt;0),E145-F145," ")</f>
        <v> </v>
      </c>
    </row>
    <row r="146" customFormat="false" ht="12.75" hidden="false" customHeight="false" outlineLevel="0" collapsed="false">
      <c r="F146" s="283" t="str">
        <f aca="false">IF(F$4&gt;0,(IF(E146&lt;&gt;0,E146*F$4/100," ")),IF(E146&lt;&gt;0,E146*F$2/(100+F$2)," "))</f>
        <v> </v>
      </c>
      <c r="G146" s="283" t="str">
        <f aca="false">IF((E146&lt;&gt;0),E146-F146," ")</f>
        <v> </v>
      </c>
    </row>
    <row r="147" customFormat="false" ht="12.75" hidden="false" customHeight="false" outlineLevel="0" collapsed="false">
      <c r="F147" s="283" t="str">
        <f aca="false">IF(F$4&gt;0,(IF(E147&lt;&gt;0,E147*F$4/100," ")),IF(E147&lt;&gt;0,E147*F$2/(100+F$2)," "))</f>
        <v> </v>
      </c>
      <c r="G147" s="283" t="str">
        <f aca="false">IF((E147&lt;&gt;0),E147-F147," ")</f>
        <v> </v>
      </c>
    </row>
    <row r="148" customFormat="false" ht="12.75" hidden="false" customHeight="false" outlineLevel="0" collapsed="false">
      <c r="F148" s="283" t="str">
        <f aca="false">IF(F$4&gt;0,(IF(E148&lt;&gt;0,E148*F$4/100," ")),IF(E148&lt;&gt;0,E148*F$2/(100+F$2)," "))</f>
        <v> </v>
      </c>
      <c r="G148" s="283" t="str">
        <f aca="false">IF((E148&lt;&gt;0),E148-F148," ")</f>
        <v> </v>
      </c>
    </row>
    <row r="149" customFormat="false" ht="12.75" hidden="false" customHeight="false" outlineLevel="0" collapsed="false">
      <c r="F149" s="283" t="str">
        <f aca="false">IF(F$4&gt;0,(IF(E149&lt;&gt;0,E149*F$4/100," ")),IF(E149&lt;&gt;0,E149*F$2/(100+F$2)," "))</f>
        <v> </v>
      </c>
      <c r="G149" s="283" t="str">
        <f aca="false">IF((E149&lt;&gt;0),E149-F149," ")</f>
        <v> </v>
      </c>
    </row>
    <row r="150" customFormat="false" ht="12.75" hidden="false" customHeight="false" outlineLevel="0" collapsed="false">
      <c r="F150" s="283" t="str">
        <f aca="false">IF(F$4&gt;0,(IF(E150&lt;&gt;0,E150*F$4/100," ")),IF(E150&lt;&gt;0,E150*F$2/(100+F$2)," "))</f>
        <v> </v>
      </c>
      <c r="G150" s="283" t="str">
        <f aca="false">IF((E150&lt;&gt;0),E150-F150," ")</f>
        <v> </v>
      </c>
    </row>
    <row r="151" customFormat="false" ht="12.75" hidden="false" customHeight="false" outlineLevel="0" collapsed="false">
      <c r="F151" s="283" t="str">
        <f aca="false">IF(F$4&gt;0,(IF(E151&lt;&gt;0,E151*F$4/100," ")),IF(E151&lt;&gt;0,E151*F$2/(100+F$2)," "))</f>
        <v> </v>
      </c>
      <c r="G151" s="283" t="str">
        <f aca="false">IF((E151&lt;&gt;0),E151-F151," ")</f>
        <v> </v>
      </c>
    </row>
    <row r="152" customFormat="false" ht="12.75" hidden="false" customHeight="false" outlineLevel="0" collapsed="false">
      <c r="F152" s="283" t="str">
        <f aca="false">IF(F$4&gt;0,(IF(E152&lt;&gt;0,E152*F$4/100," ")),IF(E152&lt;&gt;0,E152*F$2/(100+F$2)," "))</f>
        <v> </v>
      </c>
      <c r="G152" s="283" t="str">
        <f aca="false">IF((E152&lt;&gt;0),E152-F152," ")</f>
        <v> </v>
      </c>
    </row>
    <row r="153" customFormat="false" ht="12.75" hidden="false" customHeight="false" outlineLevel="0" collapsed="false">
      <c r="F153" s="283" t="str">
        <f aca="false">IF(F$4&gt;0,(IF(E153&lt;&gt;0,E153*F$4/100," ")),IF(E153&lt;&gt;0,E153*F$2/(100+F$2)," "))</f>
        <v> </v>
      </c>
      <c r="G153" s="283" t="str">
        <f aca="false">IF((E153&lt;&gt;0),E153-F153," ")</f>
        <v> </v>
      </c>
    </row>
    <row r="154" customFormat="false" ht="12.75" hidden="false" customHeight="false" outlineLevel="0" collapsed="false">
      <c r="F154" s="283" t="str">
        <f aca="false">IF(F$4&gt;0,(IF(E154&lt;&gt;0,E154*F$4/100," ")),IF(E154&lt;&gt;0,E154*F$2/(100+F$2)," "))</f>
        <v> </v>
      </c>
      <c r="G154" s="283" t="str">
        <f aca="false">IF((E154&lt;&gt;0),E154-F154," ")</f>
        <v> </v>
      </c>
    </row>
    <row r="155" customFormat="false" ht="12.75" hidden="false" customHeight="false" outlineLevel="0" collapsed="false">
      <c r="F155" s="283" t="str">
        <f aca="false">IF(F$4&gt;0,(IF(E155&lt;&gt;0,E155*F$4/100," ")),IF(E155&lt;&gt;0,E155*F$2/(100+F$2)," "))</f>
        <v> </v>
      </c>
      <c r="G155" s="283" t="str">
        <f aca="false">IF((E155&lt;&gt;0),E155-F155," ")</f>
        <v> </v>
      </c>
    </row>
    <row r="156" customFormat="false" ht="12.75" hidden="false" customHeight="false" outlineLevel="0" collapsed="false">
      <c r="F156" s="283" t="str">
        <f aca="false">IF(F$4&gt;0,(IF(E156&lt;&gt;0,E156*F$4/100," ")),IF(E156&lt;&gt;0,E156*F$2/(100+F$2)," "))</f>
        <v> </v>
      </c>
      <c r="G156" s="283" t="str">
        <f aca="false">IF((E156&lt;&gt;0),E156-F156," ")</f>
        <v> </v>
      </c>
    </row>
    <row r="157" customFormat="false" ht="12.75" hidden="false" customHeight="false" outlineLevel="0" collapsed="false">
      <c r="F157" s="283" t="str">
        <f aca="false">IF(F$4&gt;0,(IF(E157&lt;&gt;0,E157*F$4/100," ")),IF(E157&lt;&gt;0,E157*F$2/(100+F$2)," "))</f>
        <v> </v>
      </c>
      <c r="G157" s="283" t="str">
        <f aca="false">IF((E157&lt;&gt;0),E157-F157," ")</f>
        <v> </v>
      </c>
    </row>
    <row r="158" customFormat="false" ht="12.75" hidden="false" customHeight="false" outlineLevel="0" collapsed="false">
      <c r="F158" s="283" t="str">
        <f aca="false">IF(F$4&gt;0,(IF(E158&lt;&gt;0,E158*F$4/100," ")),IF(E158&lt;&gt;0,E158*F$2/(100+F$2)," "))</f>
        <v> </v>
      </c>
      <c r="G158" s="283" t="str">
        <f aca="false">IF((E158&lt;&gt;0),E158-F158," ")</f>
        <v> </v>
      </c>
    </row>
    <row r="159" customFormat="false" ht="12.75" hidden="false" customHeight="false" outlineLevel="0" collapsed="false">
      <c r="F159" s="283" t="str">
        <f aca="false">IF(F$4&gt;0,(IF(E159&lt;&gt;0,E159*F$4/100," ")),IF(E159&lt;&gt;0,E159*F$2/(100+F$2)," "))</f>
        <v> </v>
      </c>
      <c r="G159" s="283" t="str">
        <f aca="false">IF((E159&lt;&gt;0),E159-F159," ")</f>
        <v> </v>
      </c>
    </row>
    <row r="160" customFormat="false" ht="12.75" hidden="false" customHeight="false" outlineLevel="0" collapsed="false">
      <c r="F160" s="283" t="str">
        <f aca="false">IF(F$4&gt;0,(IF(E160&lt;&gt;0,E160*F$4/100," ")),IF(E160&lt;&gt;0,E160*F$2/(100+F$2)," "))</f>
        <v> </v>
      </c>
      <c r="G160" s="283" t="str">
        <f aca="false">IF((E160&lt;&gt;0),E160-F160," ")</f>
        <v> </v>
      </c>
    </row>
    <row r="161" customFormat="false" ht="12.75" hidden="false" customHeight="false" outlineLevel="0" collapsed="false">
      <c r="F161" s="283" t="str">
        <f aca="false">IF(F$4&gt;0,(IF(E161&lt;&gt;0,E161*F$4/100," ")),IF(E161&lt;&gt;0,E161*F$2/(100+F$2)," "))</f>
        <v> </v>
      </c>
      <c r="G161" s="283" t="str">
        <f aca="false">IF((E161&lt;&gt;0),E161-F161," ")</f>
        <v> </v>
      </c>
    </row>
    <row r="162" customFormat="false" ht="12.75" hidden="false" customHeight="false" outlineLevel="0" collapsed="false">
      <c r="F162" s="283" t="str">
        <f aca="false">IF(F$4&gt;0,(IF(E162&lt;&gt;0,E162*F$4/100," ")),IF(E162&lt;&gt;0,E162*F$2/(100+F$2)," "))</f>
        <v> </v>
      </c>
      <c r="G162" s="283" t="str">
        <f aca="false">IF((E162&lt;&gt;0),E162-F162," ")</f>
        <v> </v>
      </c>
    </row>
    <row r="163" customFormat="false" ht="12.75" hidden="false" customHeight="false" outlineLevel="0" collapsed="false">
      <c r="F163" s="283" t="str">
        <f aca="false">IF(F$4&gt;0,(IF(E163&lt;&gt;0,E163*F$4/100," ")),IF(E163&lt;&gt;0,E163*F$2/(100+F$2)," "))</f>
        <v> </v>
      </c>
      <c r="G163" s="283" t="str">
        <f aca="false">IF((E163&lt;&gt;0),E163-F163," ")</f>
        <v> </v>
      </c>
    </row>
    <row r="164" customFormat="false" ht="12.75" hidden="false" customHeight="false" outlineLevel="0" collapsed="false">
      <c r="F164" s="283" t="str">
        <f aca="false">IF(F$4&gt;0,(IF(E164&lt;&gt;0,E164*F$4/100," ")),IF(E164&lt;&gt;0,E164*F$2/(100+F$2)," "))</f>
        <v> </v>
      </c>
      <c r="G164" s="283" t="str">
        <f aca="false">IF((E164&lt;&gt;0),E164-F164," ")</f>
        <v> </v>
      </c>
    </row>
    <row r="165" customFormat="false" ht="12.75" hidden="false" customHeight="false" outlineLevel="0" collapsed="false">
      <c r="F165" s="283" t="str">
        <f aca="false">IF(F$4&gt;0,(IF(E165&lt;&gt;0,E165*F$4/100," ")),IF(E165&lt;&gt;0,E165*F$2/(100+F$2)," "))</f>
        <v> </v>
      </c>
      <c r="G165" s="283" t="str">
        <f aca="false">IF((E165&lt;&gt;0),E165-F165," ")</f>
        <v> </v>
      </c>
    </row>
    <row r="166" customFormat="false" ht="12.75" hidden="false" customHeight="false" outlineLevel="0" collapsed="false">
      <c r="F166" s="283" t="str">
        <f aca="false">IF(F$4&gt;0,(IF(E166&lt;&gt;0,E166*F$4/100," ")),IF(E166&lt;&gt;0,E166*F$2/(100+F$2)," "))</f>
        <v> </v>
      </c>
      <c r="G166" s="283" t="str">
        <f aca="false">IF((E166&lt;&gt;0),E166-F166," ")</f>
        <v> </v>
      </c>
    </row>
    <row r="167" customFormat="false" ht="12.75" hidden="false" customHeight="false" outlineLevel="0" collapsed="false">
      <c r="F167" s="283" t="str">
        <f aca="false">IF(F$4&gt;0,(IF(E167&lt;&gt;0,E167*F$4/100," ")),IF(E167&lt;&gt;0,E167*F$2/(100+F$2)," "))</f>
        <v> </v>
      </c>
      <c r="G167" s="283" t="str">
        <f aca="false">IF((E167&lt;&gt;0),E167-F167," ")</f>
        <v> </v>
      </c>
    </row>
    <row r="168" customFormat="false" ht="12.75" hidden="false" customHeight="false" outlineLevel="0" collapsed="false">
      <c r="F168" s="283" t="str">
        <f aca="false">IF(F$4&gt;0,(IF(E168&lt;&gt;0,E168*F$4/100," ")),IF(E168&lt;&gt;0,E168*F$2/(100+F$2)," "))</f>
        <v> </v>
      </c>
      <c r="G168" s="283" t="str">
        <f aca="false">IF((E168&lt;&gt;0),E168-F168," ")</f>
        <v> </v>
      </c>
    </row>
    <row r="169" customFormat="false" ht="12.75" hidden="false" customHeight="false" outlineLevel="0" collapsed="false">
      <c r="F169" s="283" t="str">
        <f aca="false">IF(F$4&gt;0,(IF(E169&lt;&gt;0,E169*F$4/100," ")),IF(E169&lt;&gt;0,E169*F$2/(100+F$2)," "))</f>
        <v> </v>
      </c>
      <c r="G169" s="283" t="str">
        <f aca="false">IF((E169&lt;&gt;0),E169-F169," ")</f>
        <v> </v>
      </c>
    </row>
    <row r="170" customFormat="false" ht="12.75" hidden="false" customHeight="false" outlineLevel="0" collapsed="false">
      <c r="F170" s="283" t="str">
        <f aca="false">IF(F$4&gt;0,(IF(E170&lt;&gt;0,E170*F$4/100," ")),IF(E170&lt;&gt;0,E170*F$2/(100+F$2)," "))</f>
        <v> </v>
      </c>
      <c r="G170" s="283" t="str">
        <f aca="false">IF((E170&lt;&gt;0),E170-F170," ")</f>
        <v> </v>
      </c>
    </row>
    <row r="171" customFormat="false" ht="12.75" hidden="false" customHeight="false" outlineLevel="0" collapsed="false">
      <c r="F171" s="283" t="str">
        <f aca="false">IF(F$4&gt;0,(IF(E171&lt;&gt;0,E171*F$4/100," ")),IF(E171&lt;&gt;0,E171*F$2/(100+F$2)," "))</f>
        <v> </v>
      </c>
      <c r="G171" s="283" t="str">
        <f aca="false">IF((E171&lt;&gt;0),E171-F171," ")</f>
        <v> </v>
      </c>
    </row>
    <row r="172" customFormat="false" ht="12.75" hidden="false" customHeight="false" outlineLevel="0" collapsed="false">
      <c r="F172" s="283" t="str">
        <f aca="false">IF(F$4&gt;0,(IF(E172&lt;&gt;0,E172*F$4/100," ")),IF(E172&lt;&gt;0,E172*F$2/(100+F$2)," "))</f>
        <v> </v>
      </c>
      <c r="G172" s="283" t="str">
        <f aca="false">IF((E172&lt;&gt;0),E172-F172," ")</f>
        <v> </v>
      </c>
    </row>
    <row r="173" customFormat="false" ht="12.75" hidden="false" customHeight="false" outlineLevel="0" collapsed="false">
      <c r="F173" s="283" t="str">
        <f aca="false">IF(F$4&gt;0,(IF(E173&lt;&gt;0,E173*F$4/100," ")),IF(E173&lt;&gt;0,E173*F$2/(100+F$2)," "))</f>
        <v> </v>
      </c>
      <c r="G173" s="283" t="str">
        <f aca="false">IF((E173&lt;&gt;0),E173-F173," ")</f>
        <v> </v>
      </c>
    </row>
    <row r="174" customFormat="false" ht="12.75" hidden="false" customHeight="false" outlineLevel="0" collapsed="false">
      <c r="F174" s="283" t="str">
        <f aca="false">IF(F$4&gt;0,(IF(E174&lt;&gt;0,E174*F$4/100," ")),IF(E174&lt;&gt;0,E174*F$2/(100+F$2)," "))</f>
        <v> </v>
      </c>
      <c r="G174" s="283" t="str">
        <f aca="false">IF((E174&lt;&gt;0),E174-F174," ")</f>
        <v> </v>
      </c>
    </row>
    <row r="175" customFormat="false" ht="12.75" hidden="false" customHeight="false" outlineLevel="0" collapsed="false">
      <c r="F175" s="283" t="str">
        <f aca="false">IF(F$4&gt;0,(IF(E175&lt;&gt;0,E175*F$4/100," ")),IF(E175&lt;&gt;0,E175*F$2/(100+F$2)," "))</f>
        <v> </v>
      </c>
      <c r="G175" s="283" t="str">
        <f aca="false">IF((E175&lt;&gt;0),E175-F175," ")</f>
        <v> </v>
      </c>
    </row>
    <row r="176" customFormat="false" ht="12.75" hidden="false" customHeight="false" outlineLevel="0" collapsed="false">
      <c r="F176" s="283" t="str">
        <f aca="false">IF(F$4&gt;0,(IF(E176&lt;&gt;0,E176*F$4/100," ")),IF(E176&lt;&gt;0,E176*F$2/(100+F$2)," "))</f>
        <v> </v>
      </c>
      <c r="G176" s="283" t="str">
        <f aca="false">IF((E176&lt;&gt;0),E176-F176," ")</f>
        <v> </v>
      </c>
    </row>
    <row r="177" customFormat="false" ht="12.75" hidden="false" customHeight="false" outlineLevel="0" collapsed="false">
      <c r="F177" s="283" t="str">
        <f aca="false">IF(F$4&gt;0,(IF(E177&lt;&gt;0,E177*F$4/100," ")),IF(E177&lt;&gt;0,E177*F$2/(100+F$2)," "))</f>
        <v> </v>
      </c>
      <c r="G177" s="283" t="str">
        <f aca="false">IF((E177&lt;&gt;0),E177-F177," ")</f>
        <v> </v>
      </c>
    </row>
    <row r="178" customFormat="false" ht="12.75" hidden="false" customHeight="false" outlineLevel="0" collapsed="false">
      <c r="F178" s="283" t="str">
        <f aca="false">IF(F$4&gt;0,(IF(E178&lt;&gt;0,E178*F$4/100," ")),IF(E178&lt;&gt;0,E178*F$2/(100+F$2)," "))</f>
        <v> </v>
      </c>
      <c r="G178" s="283" t="str">
        <f aca="false">IF((E178&lt;&gt;0),E178-F178," ")</f>
        <v> </v>
      </c>
    </row>
    <row r="179" customFormat="false" ht="12.75" hidden="false" customHeight="false" outlineLevel="0" collapsed="false">
      <c r="F179" s="283" t="str">
        <f aca="false">IF(F$4&gt;0,(IF(E179&lt;&gt;0,E179*F$4/100," ")),IF(E179&lt;&gt;0,E179*F$2/(100+F$2)," "))</f>
        <v> </v>
      </c>
      <c r="G179" s="283" t="str">
        <f aca="false">IF((E179&lt;&gt;0),E179-F179," ")</f>
        <v> </v>
      </c>
    </row>
    <row r="180" customFormat="false" ht="12.75" hidden="false" customHeight="false" outlineLevel="0" collapsed="false">
      <c r="F180" s="283" t="str">
        <f aca="false">IF(F$4&gt;0,(IF(E180&lt;&gt;0,E180*F$4/100," ")),IF(E180&lt;&gt;0,E180*F$2/(100+F$2)," "))</f>
        <v> </v>
      </c>
      <c r="G180" s="283" t="str">
        <f aca="false">IF((E180&lt;&gt;0),E180-F180," ")</f>
        <v> </v>
      </c>
    </row>
    <row r="181" customFormat="false" ht="12.75" hidden="false" customHeight="false" outlineLevel="0" collapsed="false">
      <c r="F181" s="283" t="str">
        <f aca="false">IF(F$4&gt;0,(IF(E181&lt;&gt;0,E181*F$4/100," ")),IF(E181&lt;&gt;0,E181*F$2/(100+F$2)," "))</f>
        <v> </v>
      </c>
      <c r="G181" s="283" t="str">
        <f aca="false">IF((E181&lt;&gt;0),E181-F181," ")</f>
        <v> </v>
      </c>
    </row>
    <row r="182" customFormat="false" ht="12.75" hidden="false" customHeight="false" outlineLevel="0" collapsed="false">
      <c r="F182" s="283" t="str">
        <f aca="false">IF(F$4&gt;0,(IF(E182&lt;&gt;0,E182*F$4/100," ")),IF(E182&lt;&gt;0,E182*F$2/(100+F$2)," "))</f>
        <v> </v>
      </c>
      <c r="G182" s="283" t="str">
        <f aca="false">IF((E182&lt;&gt;0),E182-F182," ")</f>
        <v> </v>
      </c>
    </row>
    <row r="183" customFormat="false" ht="12.75" hidden="false" customHeight="false" outlineLevel="0" collapsed="false">
      <c r="F183" s="283" t="str">
        <f aca="false">IF(F$4&gt;0,(IF(E183&lt;&gt;0,E183*F$4/100," ")),IF(E183&lt;&gt;0,E183*F$2/(100+F$2)," "))</f>
        <v> </v>
      </c>
      <c r="G183" s="283" t="str">
        <f aca="false">IF((E183&lt;&gt;0),E183-F183," ")</f>
        <v> </v>
      </c>
    </row>
    <row r="184" customFormat="false" ht="12.75" hidden="false" customHeight="false" outlineLevel="0" collapsed="false">
      <c r="F184" s="283" t="str">
        <f aca="false">IF(F$4&gt;0,(IF(E184&lt;&gt;0,E184*F$4/100," ")),IF(E184&lt;&gt;0,E184*F$2/(100+F$2)," "))</f>
        <v> </v>
      </c>
      <c r="G184" s="283" t="str">
        <f aca="false">IF((E184&lt;&gt;0),E184-F184," ")</f>
        <v> </v>
      </c>
    </row>
    <row r="185" customFormat="false" ht="12.75" hidden="false" customHeight="false" outlineLevel="0" collapsed="false">
      <c r="F185" s="283" t="str">
        <f aca="false">IF(F$4&gt;0,(IF(E185&lt;&gt;0,E185*F$4/100," ")),IF(E185&lt;&gt;0,E185*F$2/(100+F$2)," "))</f>
        <v> </v>
      </c>
      <c r="G185" s="283" t="str">
        <f aca="false">IF((E185&lt;&gt;0),E185-F185," ")</f>
        <v> </v>
      </c>
    </row>
    <row r="186" customFormat="false" ht="12.75" hidden="false" customHeight="false" outlineLevel="0" collapsed="false">
      <c r="F186" s="283" t="str">
        <f aca="false">IF(F$4&gt;0,(IF(E186&lt;&gt;0,E186*F$4/100," ")),IF(E186&lt;&gt;0,E186*F$2/(100+F$2)," "))</f>
        <v> </v>
      </c>
      <c r="G186" s="283" t="str">
        <f aca="false">IF((E186&lt;&gt;0),E186-F186," ")</f>
        <v> </v>
      </c>
    </row>
    <row r="187" customFormat="false" ht="12.75" hidden="false" customHeight="false" outlineLevel="0" collapsed="false">
      <c r="F187" s="283" t="str">
        <f aca="false">IF(F$4&gt;0,(IF(E187&lt;&gt;0,E187*F$4/100," ")),IF(E187&lt;&gt;0,E187*F$2/(100+F$2)," "))</f>
        <v> </v>
      </c>
      <c r="G187" s="283" t="str">
        <f aca="false">IF((E187&lt;&gt;0),E187-F187," ")</f>
        <v> </v>
      </c>
    </row>
    <row r="188" customFormat="false" ht="12.75" hidden="false" customHeight="false" outlineLevel="0" collapsed="false">
      <c r="F188" s="283" t="str">
        <f aca="false">IF(F$4&gt;0,(IF(E188&lt;&gt;0,E188*F$4/100," ")),IF(E188&lt;&gt;0,E188*F$2/(100+F$2)," "))</f>
        <v> </v>
      </c>
      <c r="G188" s="283" t="str">
        <f aca="false">IF((E188&lt;&gt;0),E188-F188," ")</f>
        <v> </v>
      </c>
    </row>
    <row r="189" customFormat="false" ht="12.75" hidden="false" customHeight="false" outlineLevel="0" collapsed="false">
      <c r="F189" s="283" t="str">
        <f aca="false">IF(F$4&gt;0,(IF(E189&lt;&gt;0,E189*F$4/100," ")),IF(E189&lt;&gt;0,E189*F$2/(100+F$2)," "))</f>
        <v> </v>
      </c>
      <c r="G189" s="283" t="str">
        <f aca="false">IF((E189&lt;&gt;0),E189-F189," ")</f>
        <v> </v>
      </c>
    </row>
    <row r="190" customFormat="false" ht="12.75" hidden="false" customHeight="false" outlineLevel="0" collapsed="false">
      <c r="F190" s="283" t="str">
        <f aca="false">IF(F$4&gt;0,(IF(E190&lt;&gt;0,E190*F$4/100," ")),IF(E190&lt;&gt;0,E190*F$2/(100+F$2)," "))</f>
        <v> </v>
      </c>
      <c r="G190" s="283" t="str">
        <f aca="false">IF((E190&lt;&gt;0),E190-F190," ")</f>
        <v> </v>
      </c>
    </row>
    <row r="191" customFormat="false" ht="12.75" hidden="false" customHeight="false" outlineLevel="0" collapsed="false">
      <c r="F191" s="283" t="str">
        <f aca="false">IF(F$4&gt;0,(IF(E191&lt;&gt;0,E191*F$4/100," ")),IF(E191&lt;&gt;0,E191*F$2/(100+F$2)," "))</f>
        <v> </v>
      </c>
      <c r="G191" s="283" t="str">
        <f aca="false">IF((E191&lt;&gt;0),E191-F191," ")</f>
        <v> </v>
      </c>
    </row>
    <row r="192" customFormat="false" ht="12.75" hidden="false" customHeight="false" outlineLevel="0" collapsed="false">
      <c r="F192" s="283" t="str">
        <f aca="false">IF(F$4&gt;0,(IF(E192&lt;&gt;0,E192*F$4/100," ")),IF(E192&lt;&gt;0,E192*F$2/(100+F$2)," "))</f>
        <v> </v>
      </c>
      <c r="G192" s="283" t="str">
        <f aca="false">IF((E192&lt;&gt;0),E192-F192," ")</f>
        <v> </v>
      </c>
    </row>
    <row r="193" customFormat="false" ht="12.75" hidden="false" customHeight="false" outlineLevel="0" collapsed="false">
      <c r="F193" s="283" t="str">
        <f aca="false">IF(F$4&gt;0,(IF(E193&lt;&gt;0,E193*F$4/100," ")),IF(E193&lt;&gt;0,E193*F$2/(100+F$2)," "))</f>
        <v> </v>
      </c>
      <c r="G193" s="283" t="str">
        <f aca="false">IF((E193&lt;&gt;0),E193-F193," ")</f>
        <v> </v>
      </c>
    </row>
    <row r="194" customFormat="false" ht="12.75" hidden="false" customHeight="false" outlineLevel="0" collapsed="false">
      <c r="F194" s="283" t="str">
        <f aca="false">IF(F$4&gt;0,(IF(E194&lt;&gt;0,E194*F$4/100," ")),IF(E194&lt;&gt;0,E194*F$2/(100+F$2)," "))</f>
        <v> </v>
      </c>
      <c r="G194" s="283" t="str">
        <f aca="false">IF((E194&lt;&gt;0),E194-F194," ")</f>
        <v> </v>
      </c>
    </row>
    <row r="195" customFormat="false" ht="12.75" hidden="false" customHeight="false" outlineLevel="0" collapsed="false">
      <c r="F195" s="283" t="str">
        <f aca="false">IF(F$4&gt;0,(IF(E195&lt;&gt;0,E195*F$4/100," ")),IF(E195&lt;&gt;0,E195*F$2/(100+F$2)," "))</f>
        <v> </v>
      </c>
      <c r="G195" s="283" t="str">
        <f aca="false">IF((E195&lt;&gt;0),E195-F195," ")</f>
        <v> </v>
      </c>
    </row>
    <row r="196" customFormat="false" ht="12.75" hidden="false" customHeight="false" outlineLevel="0" collapsed="false">
      <c r="F196" s="283" t="str">
        <f aca="false">IF(F$4&gt;0,(IF(E196&lt;&gt;0,E196*F$4/100," ")),IF(E196&lt;&gt;0,E196*F$2/(100+F$2)," "))</f>
        <v> </v>
      </c>
      <c r="G196" s="283" t="str">
        <f aca="false">IF((E196&lt;&gt;0),E196-F196," ")</f>
        <v> </v>
      </c>
    </row>
    <row r="197" customFormat="false" ht="12.75" hidden="false" customHeight="false" outlineLevel="0" collapsed="false">
      <c r="F197" s="283" t="str">
        <f aca="false">IF(F$4&gt;0,(IF(E197&lt;&gt;0,E197*F$4/100," ")),IF(E197&lt;&gt;0,E197*F$2/(100+F$2)," "))</f>
        <v> </v>
      </c>
      <c r="G197" s="283" t="str">
        <f aca="false">IF((E197&lt;&gt;0),E197-F197," ")</f>
        <v> </v>
      </c>
    </row>
    <row r="198" customFormat="false" ht="12.75" hidden="false" customHeight="false" outlineLevel="0" collapsed="false">
      <c r="F198" s="283" t="str">
        <f aca="false">IF(F$4&gt;0,(IF(E198&lt;&gt;0,E198*F$4/100," ")),IF(E198&lt;&gt;0,E198*F$2/(100+F$2)," "))</f>
        <v> </v>
      </c>
      <c r="G198" s="283" t="str">
        <f aca="false">IF((E198&lt;&gt;0),E198-F198," ")</f>
        <v> </v>
      </c>
    </row>
    <row r="199" customFormat="false" ht="12.75" hidden="false" customHeight="false" outlineLevel="0" collapsed="false">
      <c r="F199" s="283" t="str">
        <f aca="false">IF(F$4&gt;0,(IF(E199&lt;&gt;0,E199*F$4/100," ")),IF(E199&lt;&gt;0,E199*F$2/(100+F$2)," "))</f>
        <v> </v>
      </c>
      <c r="G199" s="283" t="str">
        <f aca="false">IF((E199&lt;&gt;0),E199-F199," ")</f>
        <v> </v>
      </c>
    </row>
    <row r="200" customFormat="false" ht="12.75" hidden="false" customHeight="false" outlineLevel="0" collapsed="false">
      <c r="A200" s="175"/>
      <c r="B200" s="166"/>
      <c r="C200" s="173"/>
      <c r="D200" s="169"/>
      <c r="E200" s="166"/>
      <c r="F200" s="166" t="str">
        <f aca="false">IF(F$4&gt;0,(IF(E200&lt;&gt;0,E200*F$4/100," ")),IF(E200&lt;&gt;0,E200*F$2/(100+F$2)," "))</f>
        <v> </v>
      </c>
      <c r="G200" s="166" t="str">
        <f aca="false">IF((E200&lt;&gt;0),E200-F200," ")</f>
        <v> </v>
      </c>
    </row>
    <row r="201" customFormat="false" ht="12.75" hidden="false" customHeight="false" outlineLevel="0" collapsed="false">
      <c r="A201" s="285" t="s">
        <v>544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285" width="9.15"/>
    <col collapsed="false" customWidth="true" hidden="false" outlineLevel="0" max="2" min="2" style="283" width="20.15"/>
    <col collapsed="false" customWidth="true" hidden="false" outlineLevel="0" max="3" min="3" style="172" width="12.82"/>
    <col collapsed="false" customWidth="true" hidden="false" outlineLevel="0" max="4" min="4" style="284" width="7.66"/>
    <col collapsed="false" customWidth="true" hidden="false" outlineLevel="0" max="5" min="5" style="283" width="9.66"/>
    <col collapsed="false" customWidth="true" hidden="false" outlineLevel="0" max="6" min="6" style="283" width="8.66"/>
    <col collapsed="false" customWidth="true" hidden="false" outlineLevel="0" max="7" min="7" style="283" width="9.66"/>
    <col collapsed="false" customWidth="false" hidden="false" outlineLevel="0" max="257" min="8" style="171" width="9.15"/>
  </cols>
  <sheetData>
    <row r="1" s="180" customFormat="true" ht="28.5" hidden="false" customHeight="true" outlineLevel="0" collapsed="false">
      <c r="A1" s="398" t="s">
        <v>536</v>
      </c>
      <c r="B1" s="398"/>
      <c r="C1" s="183" t="s">
        <v>537</v>
      </c>
      <c r="D1" s="182"/>
      <c r="E1" s="181" t="n">
        <f aca="false">SUM(E5:E200)</f>
        <v>0</v>
      </c>
      <c r="F1" s="181" t="n">
        <f aca="false">SUM(F5:F200)</f>
        <v>0</v>
      </c>
      <c r="G1" s="181" t="n">
        <f aca="false">SUM(G5:G200)</f>
        <v>0</v>
      </c>
    </row>
    <row r="2" s="180" customFormat="true" ht="12.75" hidden="false" customHeight="true" outlineLevel="0" collapsed="false">
      <c r="A2" s="399" t="s">
        <v>538</v>
      </c>
      <c r="B2" s="400" t="s">
        <v>539</v>
      </c>
      <c r="C2" s="401" t="s">
        <v>540</v>
      </c>
      <c r="D2" s="402"/>
      <c r="E2" s="400" t="s">
        <v>541</v>
      </c>
      <c r="F2" s="245" t="n">
        <f aca="false">[1]ClosingDebtors!$H$2</f>
        <v>0</v>
      </c>
      <c r="G2" s="400" t="s">
        <v>542</v>
      </c>
    </row>
    <row r="3" s="176" customFormat="true" ht="12.75" hidden="false" customHeight="false" outlineLevel="0" collapsed="false">
      <c r="A3" s="399"/>
      <c r="B3" s="400"/>
      <c r="C3" s="401"/>
      <c r="D3" s="402"/>
      <c r="E3" s="400"/>
      <c r="F3" s="251" t="s">
        <v>543</v>
      </c>
      <c r="G3" s="400"/>
    </row>
    <row r="4" customFormat="false" ht="12.75" hidden="false" customHeight="false" outlineLevel="0" collapsed="false">
      <c r="A4" s="399"/>
      <c r="B4" s="399"/>
      <c r="C4" s="399"/>
      <c r="D4" s="402"/>
      <c r="E4" s="400"/>
      <c r="F4" s="252" t="n">
        <f aca="false">[1]ClosingDebtors!$H$4</f>
        <v>0</v>
      </c>
      <c r="G4" s="400"/>
    </row>
    <row r="5" customFormat="false" ht="12.75" hidden="false" customHeight="false" outlineLevel="0" collapsed="false">
      <c r="F5" s="283" t="str">
        <f aca="false">IF(F$4&gt;0,(IF(E5&lt;&gt;0,E5*F$4/100," ")),IF(E5&lt;&gt;0,E5*F$2/(100+F$2)," "))</f>
        <v> </v>
      </c>
      <c r="G5" s="283" t="str">
        <f aca="false">IF((E5&lt;&gt;0),E5-F5," ")</f>
        <v> </v>
      </c>
    </row>
    <row r="6" customFormat="false" ht="12.75" hidden="false" customHeight="false" outlineLevel="0" collapsed="false">
      <c r="F6" s="283" t="str">
        <f aca="false">IF(F$4&gt;0,(IF(E6&lt;&gt;0,E6*F$4/100," ")),IF(E6&lt;&gt;0,E6*F$2/(100+F$2)," "))</f>
        <v> </v>
      </c>
      <c r="G6" s="283" t="str">
        <f aca="false">IF((E6&lt;&gt;0),E6-F6," ")</f>
        <v> </v>
      </c>
    </row>
    <row r="7" customFormat="false" ht="12.75" hidden="false" customHeight="false" outlineLevel="0" collapsed="false">
      <c r="F7" s="283" t="str">
        <f aca="false">IF(F$4&gt;0,(IF(E7&lt;&gt;0,E7*F$4/100," ")),IF(E7&lt;&gt;0,E7*F$2/(100+F$2)," "))</f>
        <v> </v>
      </c>
      <c r="G7" s="283" t="str">
        <f aca="false">IF((E7&lt;&gt;0),E7-F7," ")</f>
        <v> </v>
      </c>
    </row>
    <row r="8" customFormat="false" ht="12.75" hidden="false" customHeight="false" outlineLevel="0" collapsed="false">
      <c r="F8" s="283" t="str">
        <f aca="false">IF(F$4&gt;0,(IF(E8&lt;&gt;0,E8*F$4/100," ")),IF(E8&lt;&gt;0,E8*F$2/(100+F$2)," "))</f>
        <v> </v>
      </c>
      <c r="G8" s="283" t="str">
        <f aca="false">IF((E8&lt;&gt;0),E8-F8," ")</f>
        <v> </v>
      </c>
    </row>
    <row r="9" customFormat="false" ht="12.75" hidden="false" customHeight="false" outlineLevel="0" collapsed="false">
      <c r="F9" s="283" t="str">
        <f aca="false">IF(F$4&gt;0,(IF(E9&lt;&gt;0,E9*F$4/100," ")),IF(E9&lt;&gt;0,E9*F$2/(100+F$2)," "))</f>
        <v> </v>
      </c>
      <c r="G9" s="283" t="str">
        <f aca="false">IF((E9&lt;&gt;0),E9-F9," ")</f>
        <v> </v>
      </c>
    </row>
    <row r="10" customFormat="false" ht="12.75" hidden="false" customHeight="false" outlineLevel="0" collapsed="false">
      <c r="F10" s="283" t="str">
        <f aca="false">IF(F$4&gt;0,(IF(E10&lt;&gt;0,E10*F$4/100," ")),IF(E10&lt;&gt;0,E10*F$2/(100+F$2)," "))</f>
        <v> </v>
      </c>
      <c r="G10" s="283" t="str">
        <f aca="false">IF((E10&lt;&gt;0),E10-F10," ")</f>
        <v> </v>
      </c>
    </row>
    <row r="11" customFormat="false" ht="12.75" hidden="false" customHeight="false" outlineLevel="0" collapsed="false">
      <c r="F11" s="283" t="str">
        <f aca="false">IF(F$4&gt;0,(IF(E11&lt;&gt;0,E11*F$4/100," ")),IF(E11&lt;&gt;0,E11*F$2/(100+F$2)," "))</f>
        <v> </v>
      </c>
      <c r="G11" s="283" t="str">
        <f aca="false">IF((E11&lt;&gt;0),E11-F11," ")</f>
        <v> </v>
      </c>
    </row>
    <row r="12" customFormat="false" ht="12.75" hidden="false" customHeight="false" outlineLevel="0" collapsed="false">
      <c r="F12" s="283" t="str">
        <f aca="false">IF(F$4&gt;0,(IF(E12&lt;&gt;0,E12*F$4/100," ")),IF(E12&lt;&gt;0,E12*F$2/(100+F$2)," "))</f>
        <v> </v>
      </c>
      <c r="G12" s="283" t="str">
        <f aca="false">IF((E12&lt;&gt;0),E12-F12," ")</f>
        <v> </v>
      </c>
    </row>
    <row r="13" customFormat="false" ht="12.75" hidden="false" customHeight="false" outlineLevel="0" collapsed="false">
      <c r="F13" s="283" t="str">
        <f aca="false">IF(F$4&gt;0,(IF(E13&lt;&gt;0,E13*F$4/100," ")),IF(E13&lt;&gt;0,E13*F$2/(100+F$2)," "))</f>
        <v> </v>
      </c>
      <c r="G13" s="283" t="str">
        <f aca="false">IF((E13&lt;&gt;0),E13-F13," ")</f>
        <v> </v>
      </c>
    </row>
    <row r="14" customFormat="false" ht="12.75" hidden="false" customHeight="false" outlineLevel="0" collapsed="false">
      <c r="F14" s="283" t="str">
        <f aca="false">IF(F$4&gt;0,(IF(E14&lt;&gt;0,E14*F$4/100," ")),IF(E14&lt;&gt;0,E14*F$2/(100+F$2)," "))</f>
        <v> </v>
      </c>
      <c r="G14" s="283" t="str">
        <f aca="false">IF((E14&lt;&gt;0),E14-F14," ")</f>
        <v> </v>
      </c>
    </row>
    <row r="15" customFormat="false" ht="12.75" hidden="false" customHeight="false" outlineLevel="0" collapsed="false">
      <c r="F15" s="283" t="str">
        <f aca="false">IF(F$4&gt;0,(IF(E15&lt;&gt;0,E15*F$4/100," ")),IF(E15&lt;&gt;0,E15*F$2/(100+F$2)," "))</f>
        <v> </v>
      </c>
      <c r="G15" s="283" t="str">
        <f aca="false">IF((E15&lt;&gt;0),E15-F15," ")</f>
        <v> </v>
      </c>
    </row>
    <row r="16" customFormat="false" ht="12.75" hidden="false" customHeight="false" outlineLevel="0" collapsed="false">
      <c r="F16" s="283" t="str">
        <f aca="false">IF(F$4&gt;0,(IF(E16&lt;&gt;0,E16*F$4/100," ")),IF(E16&lt;&gt;0,E16*F$2/(100+F$2)," "))</f>
        <v> </v>
      </c>
      <c r="G16" s="283" t="str">
        <f aca="false">IF((E16&lt;&gt;0),E16-F16," ")</f>
        <v> </v>
      </c>
    </row>
    <row r="17" customFormat="false" ht="12.75" hidden="false" customHeight="false" outlineLevel="0" collapsed="false">
      <c r="F17" s="283" t="str">
        <f aca="false">IF(F$4&gt;0,(IF(E17&lt;&gt;0,E17*F$4/100," ")),IF(E17&lt;&gt;0,E17*F$2/(100+F$2)," "))</f>
        <v> </v>
      </c>
      <c r="G17" s="283" t="str">
        <f aca="false">IF((E17&lt;&gt;0),E17-F17," ")</f>
        <v> </v>
      </c>
    </row>
    <row r="18" customFormat="false" ht="12.75" hidden="false" customHeight="false" outlineLevel="0" collapsed="false">
      <c r="F18" s="283" t="str">
        <f aca="false">IF(F$4&gt;0,(IF(E18&lt;&gt;0,E18*F$4/100," ")),IF(E18&lt;&gt;0,E18*F$2/(100+F$2)," "))</f>
        <v> </v>
      </c>
      <c r="G18" s="283" t="str">
        <f aca="false">IF((E18&lt;&gt;0),E18-F18," ")</f>
        <v> </v>
      </c>
    </row>
    <row r="19" customFormat="false" ht="12.75" hidden="false" customHeight="false" outlineLevel="0" collapsed="false">
      <c r="F19" s="283" t="str">
        <f aca="false">IF(F$4&gt;0,(IF(E19&lt;&gt;0,E19*F$4/100," ")),IF(E19&lt;&gt;0,E19*F$2/(100+F$2)," "))</f>
        <v> </v>
      </c>
      <c r="G19" s="283" t="str">
        <f aca="false">IF((E19&lt;&gt;0),E19-F19," ")</f>
        <v> </v>
      </c>
    </row>
    <row r="20" customFormat="false" ht="12.75" hidden="false" customHeight="false" outlineLevel="0" collapsed="false">
      <c r="F20" s="283" t="str">
        <f aca="false">IF(F$4&gt;0,(IF(E20&lt;&gt;0,E20*F$4/100," ")),IF(E20&lt;&gt;0,E20*F$2/(100+F$2)," "))</f>
        <v> </v>
      </c>
      <c r="G20" s="283" t="str">
        <f aca="false">IF((E20&lt;&gt;0),E20-F20," ")</f>
        <v> </v>
      </c>
    </row>
    <row r="21" customFormat="false" ht="12.75" hidden="false" customHeight="false" outlineLevel="0" collapsed="false">
      <c r="F21" s="283" t="str">
        <f aca="false">IF(F$4&gt;0,(IF(E21&lt;&gt;0,E21*F$4/100," ")),IF(E21&lt;&gt;0,E21*F$2/(100+F$2)," "))</f>
        <v> </v>
      </c>
      <c r="G21" s="283" t="str">
        <f aca="false">IF((E21&lt;&gt;0),E21-F21," ")</f>
        <v> </v>
      </c>
    </row>
    <row r="22" customFormat="false" ht="12.75" hidden="false" customHeight="false" outlineLevel="0" collapsed="false">
      <c r="F22" s="283" t="str">
        <f aca="false">IF(F$4&gt;0,(IF(E22&lt;&gt;0,E22*F$4/100," ")),IF(E22&lt;&gt;0,E22*F$2/(100+F$2)," "))</f>
        <v> </v>
      </c>
      <c r="G22" s="283" t="str">
        <f aca="false">IF((E22&lt;&gt;0),E22-F22," ")</f>
        <v> </v>
      </c>
    </row>
    <row r="23" customFormat="false" ht="12.75" hidden="false" customHeight="false" outlineLevel="0" collapsed="false">
      <c r="F23" s="283" t="str">
        <f aca="false">IF(F$4&gt;0,(IF(E23&lt;&gt;0,E23*F$4/100," ")),IF(E23&lt;&gt;0,E23*F$2/(100+F$2)," "))</f>
        <v> </v>
      </c>
      <c r="G23" s="283" t="str">
        <f aca="false">IF((E23&lt;&gt;0),E23-F23," ")</f>
        <v> </v>
      </c>
    </row>
    <row r="24" customFormat="false" ht="12.75" hidden="false" customHeight="false" outlineLevel="0" collapsed="false">
      <c r="F24" s="283" t="str">
        <f aca="false">IF(F$4&gt;0,(IF(E24&lt;&gt;0,E24*F$4/100," ")),IF(E24&lt;&gt;0,E24*F$2/(100+F$2)," "))</f>
        <v> </v>
      </c>
      <c r="G24" s="283" t="str">
        <f aca="false">IF((E24&lt;&gt;0),E24-F24," ")</f>
        <v> </v>
      </c>
    </row>
    <row r="25" customFormat="false" ht="12.75" hidden="false" customHeight="false" outlineLevel="0" collapsed="false">
      <c r="F25" s="283" t="str">
        <f aca="false">IF(F$4&gt;0,(IF(E25&lt;&gt;0,E25*F$4/100," ")),IF(E25&lt;&gt;0,E25*F$2/(100+F$2)," "))</f>
        <v> </v>
      </c>
      <c r="G25" s="283" t="str">
        <f aca="false">IF((E25&lt;&gt;0),E25-F25," ")</f>
        <v> </v>
      </c>
    </row>
    <row r="26" customFormat="false" ht="12.75" hidden="false" customHeight="false" outlineLevel="0" collapsed="false">
      <c r="F26" s="283" t="str">
        <f aca="false">IF(F$4&gt;0,(IF(E26&lt;&gt;0,E26*F$4/100," ")),IF(E26&lt;&gt;0,E26*F$2/(100+F$2)," "))</f>
        <v> </v>
      </c>
      <c r="G26" s="283" t="str">
        <f aca="false">IF((E26&lt;&gt;0),E26-F26," ")</f>
        <v> </v>
      </c>
    </row>
    <row r="27" customFormat="false" ht="12.75" hidden="false" customHeight="false" outlineLevel="0" collapsed="false">
      <c r="F27" s="283" t="str">
        <f aca="false">IF(F$4&gt;0,(IF(E27&lt;&gt;0,E27*F$4/100," ")),IF(E27&lt;&gt;0,E27*F$2/(100+F$2)," "))</f>
        <v> </v>
      </c>
      <c r="G27" s="283" t="str">
        <f aca="false">IF((E27&lt;&gt;0),E27-F27," ")</f>
        <v> </v>
      </c>
    </row>
    <row r="28" customFormat="false" ht="12.75" hidden="false" customHeight="false" outlineLevel="0" collapsed="false">
      <c r="F28" s="283" t="str">
        <f aca="false">IF(F$4&gt;0,(IF(E28&lt;&gt;0,E28*F$4/100," ")),IF(E28&lt;&gt;0,E28*F$2/(100+F$2)," "))</f>
        <v> </v>
      </c>
      <c r="G28" s="283" t="str">
        <f aca="false">IF((E28&lt;&gt;0),E28-F28," ")</f>
        <v> </v>
      </c>
    </row>
    <row r="29" customFormat="false" ht="12.75" hidden="false" customHeight="false" outlineLevel="0" collapsed="false">
      <c r="F29" s="283" t="str">
        <f aca="false">IF(F$4&gt;0,(IF(E29&lt;&gt;0,E29*F$4/100," ")),IF(E29&lt;&gt;0,E29*F$2/(100+F$2)," "))</f>
        <v> </v>
      </c>
      <c r="G29" s="283" t="str">
        <f aca="false">IF((E29&lt;&gt;0),E29-F29," ")</f>
        <v> </v>
      </c>
    </row>
    <row r="30" customFormat="false" ht="12.75" hidden="false" customHeight="false" outlineLevel="0" collapsed="false">
      <c r="F30" s="283" t="str">
        <f aca="false">IF(F$4&gt;0,(IF(E30&lt;&gt;0,E30*F$4/100," ")),IF(E30&lt;&gt;0,E30*F$2/(100+F$2)," "))</f>
        <v> </v>
      </c>
      <c r="G30" s="283" t="str">
        <f aca="false">IF((E30&lt;&gt;0),E30-F30," ")</f>
        <v> </v>
      </c>
    </row>
    <row r="31" customFormat="false" ht="12.75" hidden="false" customHeight="false" outlineLevel="0" collapsed="false">
      <c r="F31" s="283" t="str">
        <f aca="false">IF(F$4&gt;0,(IF(E31&lt;&gt;0,E31*F$4/100," ")),IF(E31&lt;&gt;0,E31*F$2/(100+F$2)," "))</f>
        <v> </v>
      </c>
      <c r="G31" s="283" t="str">
        <f aca="false">IF((E31&lt;&gt;0),E31-F31," ")</f>
        <v> </v>
      </c>
    </row>
    <row r="32" customFormat="false" ht="12.75" hidden="false" customHeight="false" outlineLevel="0" collapsed="false">
      <c r="F32" s="283" t="str">
        <f aca="false">IF(F$4&gt;0,(IF(E32&lt;&gt;0,E32*F$4/100," ")),IF(E32&lt;&gt;0,E32*F$2/(100+F$2)," "))</f>
        <v> </v>
      </c>
      <c r="G32" s="283" t="str">
        <f aca="false">IF((E32&lt;&gt;0),E32-F32," ")</f>
        <v> </v>
      </c>
    </row>
    <row r="33" customFormat="false" ht="12.75" hidden="false" customHeight="false" outlineLevel="0" collapsed="false">
      <c r="F33" s="283" t="str">
        <f aca="false">IF(F$4&gt;0,(IF(E33&lt;&gt;0,E33*F$4/100," ")),IF(E33&lt;&gt;0,E33*F$2/(100+F$2)," "))</f>
        <v> </v>
      </c>
      <c r="G33" s="283" t="str">
        <f aca="false">IF((E33&lt;&gt;0),E33-F33," ")</f>
        <v> </v>
      </c>
    </row>
    <row r="34" customFormat="false" ht="12.75" hidden="false" customHeight="false" outlineLevel="0" collapsed="false">
      <c r="F34" s="283" t="str">
        <f aca="false">IF(F$4&gt;0,(IF(E34&lt;&gt;0,E34*F$4/100," ")),IF(E34&lt;&gt;0,E34*F$2/(100+F$2)," "))</f>
        <v> </v>
      </c>
      <c r="G34" s="283" t="str">
        <f aca="false">IF((E34&lt;&gt;0),E34-F34," ")</f>
        <v> </v>
      </c>
    </row>
    <row r="35" customFormat="false" ht="12.75" hidden="false" customHeight="false" outlineLevel="0" collapsed="false">
      <c r="F35" s="283" t="str">
        <f aca="false">IF(F$4&gt;0,(IF(E35&lt;&gt;0,E35*F$4/100," ")),IF(E35&lt;&gt;0,E35*F$2/(100+F$2)," "))</f>
        <v> </v>
      </c>
      <c r="G35" s="283" t="str">
        <f aca="false">IF((E35&lt;&gt;0),E35-F35," ")</f>
        <v> </v>
      </c>
    </row>
    <row r="36" customFormat="false" ht="12.75" hidden="false" customHeight="false" outlineLevel="0" collapsed="false">
      <c r="F36" s="283" t="str">
        <f aca="false">IF(F$4&gt;0,(IF(E36&lt;&gt;0,E36*F$4/100," ")),IF(E36&lt;&gt;0,E36*F$2/(100+F$2)," "))</f>
        <v> </v>
      </c>
      <c r="G36" s="283" t="str">
        <f aca="false">IF((E36&lt;&gt;0),E36-F36," ")</f>
        <v> </v>
      </c>
    </row>
    <row r="37" customFormat="false" ht="12.75" hidden="false" customHeight="false" outlineLevel="0" collapsed="false">
      <c r="F37" s="283" t="str">
        <f aca="false">IF(F$4&gt;0,(IF(E37&lt;&gt;0,E37*F$4/100," ")),IF(E37&lt;&gt;0,E37*F$2/(100+F$2)," "))</f>
        <v> </v>
      </c>
      <c r="G37" s="283" t="str">
        <f aca="false">IF((E37&lt;&gt;0),E37-F37," ")</f>
        <v> </v>
      </c>
    </row>
    <row r="38" customFormat="false" ht="12.75" hidden="false" customHeight="false" outlineLevel="0" collapsed="false">
      <c r="F38" s="283" t="str">
        <f aca="false">IF(F$4&gt;0,(IF(E38&lt;&gt;0,E38*F$4/100," ")),IF(E38&lt;&gt;0,E38*F$2/(100+F$2)," "))</f>
        <v> </v>
      </c>
      <c r="G38" s="283" t="str">
        <f aca="false">IF((E38&lt;&gt;0),E38-F38," ")</f>
        <v> </v>
      </c>
    </row>
    <row r="39" customFormat="false" ht="12.75" hidden="false" customHeight="false" outlineLevel="0" collapsed="false">
      <c r="F39" s="283" t="str">
        <f aca="false">IF(F$4&gt;0,(IF(E39&lt;&gt;0,E39*F$4/100," ")),IF(E39&lt;&gt;0,E39*F$2/(100+F$2)," "))</f>
        <v> </v>
      </c>
      <c r="G39" s="283" t="str">
        <f aca="false">IF((E39&lt;&gt;0),E39-F39," ")</f>
        <v> </v>
      </c>
    </row>
    <row r="40" customFormat="false" ht="12.75" hidden="false" customHeight="false" outlineLevel="0" collapsed="false">
      <c r="F40" s="283" t="str">
        <f aca="false">IF(F$4&gt;0,(IF(E40&lt;&gt;0,E40*F$4/100," ")),IF(E40&lt;&gt;0,E40*F$2/(100+F$2)," "))</f>
        <v> </v>
      </c>
      <c r="G40" s="283" t="str">
        <f aca="false">IF((E40&lt;&gt;0),E40-F40," ")</f>
        <v> </v>
      </c>
    </row>
    <row r="41" customFormat="false" ht="12.75" hidden="false" customHeight="false" outlineLevel="0" collapsed="false">
      <c r="F41" s="283" t="str">
        <f aca="false">IF(F$4&gt;0,(IF(E41&lt;&gt;0,E41*F$4/100," ")),IF(E41&lt;&gt;0,E41*F$2/(100+F$2)," "))</f>
        <v> </v>
      </c>
      <c r="G41" s="283" t="str">
        <f aca="false">IF((E41&lt;&gt;0),E41-F41," ")</f>
        <v> </v>
      </c>
    </row>
    <row r="42" customFormat="false" ht="12.75" hidden="false" customHeight="false" outlineLevel="0" collapsed="false">
      <c r="F42" s="283" t="str">
        <f aca="false">IF(F$4&gt;0,(IF(E42&lt;&gt;0,E42*F$4/100," ")),IF(E42&lt;&gt;0,E42*F$2/(100+F$2)," "))</f>
        <v> </v>
      </c>
      <c r="G42" s="283" t="str">
        <f aca="false">IF((E42&lt;&gt;0),E42-F42," ")</f>
        <v> </v>
      </c>
    </row>
    <row r="43" customFormat="false" ht="12.75" hidden="false" customHeight="false" outlineLevel="0" collapsed="false">
      <c r="F43" s="283" t="str">
        <f aca="false">IF(F$4&gt;0,(IF(E43&lt;&gt;0,E43*F$4/100," ")),IF(E43&lt;&gt;0,E43*F$2/(100+F$2)," "))</f>
        <v> </v>
      </c>
      <c r="G43" s="283" t="str">
        <f aca="false">IF((E43&lt;&gt;0),E43-F43," ")</f>
        <v> </v>
      </c>
    </row>
    <row r="44" customFormat="false" ht="12.75" hidden="false" customHeight="false" outlineLevel="0" collapsed="false">
      <c r="F44" s="283" t="str">
        <f aca="false">IF(F$4&gt;0,(IF(E44&lt;&gt;0,E44*F$4/100," ")),IF(E44&lt;&gt;0,E44*F$2/(100+F$2)," "))</f>
        <v> </v>
      </c>
      <c r="G44" s="283" t="str">
        <f aca="false">IF((E44&lt;&gt;0),E44-F44," ")</f>
        <v> </v>
      </c>
    </row>
    <row r="45" customFormat="false" ht="12.75" hidden="false" customHeight="false" outlineLevel="0" collapsed="false">
      <c r="F45" s="283" t="str">
        <f aca="false">IF(F$4&gt;0,(IF(E45&lt;&gt;0,E45*F$4/100," ")),IF(E45&lt;&gt;0,E45*F$2/(100+F$2)," "))</f>
        <v> </v>
      </c>
      <c r="G45" s="283" t="str">
        <f aca="false">IF((E45&lt;&gt;0),E45-F45," ")</f>
        <v> </v>
      </c>
    </row>
    <row r="46" customFormat="false" ht="12.75" hidden="false" customHeight="false" outlineLevel="0" collapsed="false">
      <c r="F46" s="283" t="str">
        <f aca="false">IF(F$4&gt;0,(IF(E46&lt;&gt;0,E46*F$4/100," ")),IF(E46&lt;&gt;0,E46*F$2/(100+F$2)," "))</f>
        <v> </v>
      </c>
      <c r="G46" s="283" t="str">
        <f aca="false">IF((E46&lt;&gt;0),E46-F46," ")</f>
        <v> </v>
      </c>
    </row>
    <row r="47" customFormat="false" ht="12.75" hidden="false" customHeight="false" outlineLevel="0" collapsed="false">
      <c r="F47" s="283" t="str">
        <f aca="false">IF(F$4&gt;0,(IF(E47&lt;&gt;0,E47*F$4/100," ")),IF(E47&lt;&gt;0,E47*F$2/(100+F$2)," "))</f>
        <v> </v>
      </c>
      <c r="G47" s="283" t="str">
        <f aca="false">IF((E47&lt;&gt;0),E47-F47," ")</f>
        <v> </v>
      </c>
    </row>
    <row r="48" customFormat="false" ht="12.75" hidden="false" customHeight="false" outlineLevel="0" collapsed="false">
      <c r="F48" s="283" t="str">
        <f aca="false">IF(F$4&gt;0,(IF(E48&lt;&gt;0,E48*F$4/100," ")),IF(E48&lt;&gt;0,E48*F$2/(100+F$2)," "))</f>
        <v> </v>
      </c>
      <c r="G48" s="283" t="str">
        <f aca="false">IF((E48&lt;&gt;0),E48-F48," ")</f>
        <v> </v>
      </c>
    </row>
    <row r="49" customFormat="false" ht="12.75" hidden="false" customHeight="false" outlineLevel="0" collapsed="false">
      <c r="F49" s="283" t="str">
        <f aca="false">IF(F$4&gt;0,(IF(E49&lt;&gt;0,E49*F$4/100," ")),IF(E49&lt;&gt;0,E49*F$2/(100+F$2)," "))</f>
        <v> </v>
      </c>
      <c r="G49" s="283" t="str">
        <f aca="false">IF((E49&lt;&gt;0),E49-F49," ")</f>
        <v> </v>
      </c>
    </row>
    <row r="50" customFormat="false" ht="12.75" hidden="false" customHeight="false" outlineLevel="0" collapsed="false">
      <c r="F50" s="283" t="str">
        <f aca="false">IF(F$4&gt;0,(IF(E50&lt;&gt;0,E50*F$4/100," ")),IF(E50&lt;&gt;0,E50*F$2/(100+F$2)," "))</f>
        <v> </v>
      </c>
      <c r="G50" s="283" t="str">
        <f aca="false">IF((E50&lt;&gt;0),E50-F50," ")</f>
        <v> </v>
      </c>
    </row>
    <row r="51" customFormat="false" ht="12.75" hidden="false" customHeight="false" outlineLevel="0" collapsed="false">
      <c r="F51" s="283" t="str">
        <f aca="false">IF(F$4&gt;0,(IF(E51&lt;&gt;0,E51*F$4/100," ")),IF(E51&lt;&gt;0,E51*F$2/(100+F$2)," "))</f>
        <v> </v>
      </c>
      <c r="G51" s="283" t="str">
        <f aca="false">IF((E51&lt;&gt;0),E51-F51," ")</f>
        <v> </v>
      </c>
    </row>
    <row r="52" customFormat="false" ht="12.75" hidden="false" customHeight="false" outlineLevel="0" collapsed="false">
      <c r="F52" s="283" t="str">
        <f aca="false">IF(F$4&gt;0,(IF(E52&lt;&gt;0,E52*F$4/100," ")),IF(E52&lt;&gt;0,E52*F$2/(100+F$2)," "))</f>
        <v> </v>
      </c>
      <c r="G52" s="283" t="str">
        <f aca="false">IF((E52&lt;&gt;0),E52-F52," ")</f>
        <v> </v>
      </c>
    </row>
    <row r="53" customFormat="false" ht="12.75" hidden="false" customHeight="false" outlineLevel="0" collapsed="false">
      <c r="F53" s="283" t="str">
        <f aca="false">IF(F$4&gt;0,(IF(E53&lt;&gt;0,E53*F$4/100," ")),IF(E53&lt;&gt;0,E53*F$2/(100+F$2)," "))</f>
        <v> </v>
      </c>
      <c r="G53" s="283" t="str">
        <f aca="false">IF((E53&lt;&gt;0),E53-F53," ")</f>
        <v> </v>
      </c>
    </row>
    <row r="54" customFormat="false" ht="12.75" hidden="false" customHeight="false" outlineLevel="0" collapsed="false">
      <c r="F54" s="283" t="str">
        <f aca="false">IF(F$4&gt;0,(IF(E54&lt;&gt;0,E54*F$4/100," ")),IF(E54&lt;&gt;0,E54*F$2/(100+F$2)," "))</f>
        <v> </v>
      </c>
      <c r="G54" s="283" t="str">
        <f aca="false">IF((E54&lt;&gt;0),E54-F54," ")</f>
        <v> </v>
      </c>
    </row>
    <row r="55" customFormat="false" ht="12.75" hidden="false" customHeight="false" outlineLevel="0" collapsed="false">
      <c r="F55" s="283" t="str">
        <f aca="false">IF(F$4&gt;0,(IF(E55&lt;&gt;0,E55*F$4/100," ")),IF(E55&lt;&gt;0,E55*F$2/(100+F$2)," "))</f>
        <v> </v>
      </c>
      <c r="G55" s="283" t="str">
        <f aca="false">IF((E55&lt;&gt;0),E55-F55," ")</f>
        <v> </v>
      </c>
    </row>
    <row r="56" customFormat="false" ht="12.75" hidden="false" customHeight="false" outlineLevel="0" collapsed="false">
      <c r="F56" s="283" t="str">
        <f aca="false">IF(F$4&gt;0,(IF(E56&lt;&gt;0,E56*F$4/100," ")),IF(E56&lt;&gt;0,E56*F$2/(100+F$2)," "))</f>
        <v> </v>
      </c>
      <c r="G56" s="283" t="str">
        <f aca="false">IF((E56&lt;&gt;0),E56-F56," ")</f>
        <v> </v>
      </c>
    </row>
    <row r="57" customFormat="false" ht="12.75" hidden="false" customHeight="false" outlineLevel="0" collapsed="false">
      <c r="F57" s="283" t="str">
        <f aca="false">IF(F$4&gt;0,(IF(E57&lt;&gt;0,E57*F$4/100," ")),IF(E57&lt;&gt;0,E57*F$2/(100+F$2)," "))</f>
        <v> </v>
      </c>
      <c r="G57" s="283" t="str">
        <f aca="false">IF((E57&lt;&gt;0),E57-F57," ")</f>
        <v> </v>
      </c>
    </row>
    <row r="58" customFormat="false" ht="12.75" hidden="false" customHeight="false" outlineLevel="0" collapsed="false">
      <c r="F58" s="283" t="str">
        <f aca="false">IF(F$4&gt;0,(IF(E58&lt;&gt;0,E58*F$4/100," ")),IF(E58&lt;&gt;0,E58*F$2/(100+F$2)," "))</f>
        <v> </v>
      </c>
      <c r="G58" s="283" t="str">
        <f aca="false">IF((E58&lt;&gt;0),E58-F58," ")</f>
        <v> </v>
      </c>
    </row>
    <row r="59" customFormat="false" ht="12.75" hidden="false" customHeight="false" outlineLevel="0" collapsed="false">
      <c r="F59" s="283" t="str">
        <f aca="false">IF(F$4&gt;0,(IF(E59&lt;&gt;0,E59*F$4/100," ")),IF(E59&lt;&gt;0,E59*F$2/(100+F$2)," "))</f>
        <v> </v>
      </c>
      <c r="G59" s="283" t="str">
        <f aca="false">IF((E59&lt;&gt;0),E59-F59," ")</f>
        <v> </v>
      </c>
    </row>
    <row r="60" customFormat="false" ht="12.75" hidden="false" customHeight="false" outlineLevel="0" collapsed="false">
      <c r="F60" s="283" t="str">
        <f aca="false">IF(F$4&gt;0,(IF(E60&lt;&gt;0,E60*F$4/100," ")),IF(E60&lt;&gt;0,E60*F$2/(100+F$2)," "))</f>
        <v> </v>
      </c>
      <c r="G60" s="283" t="str">
        <f aca="false">IF((E60&lt;&gt;0),E60-F60," ")</f>
        <v> </v>
      </c>
    </row>
    <row r="61" customFormat="false" ht="12.75" hidden="false" customHeight="false" outlineLevel="0" collapsed="false">
      <c r="F61" s="283" t="str">
        <f aca="false">IF(F$4&gt;0,(IF(E61&lt;&gt;0,E61*F$4/100," ")),IF(E61&lt;&gt;0,E61*F$2/(100+F$2)," "))</f>
        <v> </v>
      </c>
      <c r="G61" s="283" t="str">
        <f aca="false">IF((E61&lt;&gt;0),E61-F61," ")</f>
        <v> </v>
      </c>
    </row>
    <row r="62" customFormat="false" ht="12.75" hidden="false" customHeight="false" outlineLevel="0" collapsed="false">
      <c r="F62" s="283" t="str">
        <f aca="false">IF(F$4&gt;0,(IF(E62&lt;&gt;0,E62*F$4/100," ")),IF(E62&lt;&gt;0,E62*F$2/(100+F$2)," "))</f>
        <v> </v>
      </c>
      <c r="G62" s="283" t="str">
        <f aca="false">IF((E62&lt;&gt;0),E62-F62," ")</f>
        <v> </v>
      </c>
    </row>
    <row r="63" customFormat="false" ht="12.75" hidden="false" customHeight="false" outlineLevel="0" collapsed="false">
      <c r="F63" s="283" t="str">
        <f aca="false">IF(F$4&gt;0,(IF(E63&lt;&gt;0,E63*F$4/100," ")),IF(E63&lt;&gt;0,E63*F$2/(100+F$2)," "))</f>
        <v> </v>
      </c>
      <c r="G63" s="283" t="str">
        <f aca="false">IF((E63&lt;&gt;0),E63-F63," ")</f>
        <v> </v>
      </c>
    </row>
    <row r="64" customFormat="false" ht="12.75" hidden="false" customHeight="false" outlineLevel="0" collapsed="false">
      <c r="F64" s="283" t="str">
        <f aca="false">IF(F$4&gt;0,(IF(E64&lt;&gt;0,E64*F$4/100," ")),IF(E64&lt;&gt;0,E64*F$2/(100+F$2)," "))</f>
        <v> </v>
      </c>
      <c r="G64" s="283" t="str">
        <f aca="false">IF((E64&lt;&gt;0),E64-F64," ")</f>
        <v> </v>
      </c>
    </row>
    <row r="65" customFormat="false" ht="12.75" hidden="false" customHeight="false" outlineLevel="0" collapsed="false">
      <c r="F65" s="283" t="str">
        <f aca="false">IF(F$4&gt;0,(IF(E65&lt;&gt;0,E65*F$4/100," ")),IF(E65&lt;&gt;0,E65*F$2/(100+F$2)," "))</f>
        <v> </v>
      </c>
      <c r="G65" s="283" t="str">
        <f aca="false">IF((E65&lt;&gt;0),E65-F65," ")</f>
        <v> </v>
      </c>
    </row>
    <row r="66" customFormat="false" ht="12.75" hidden="false" customHeight="false" outlineLevel="0" collapsed="false">
      <c r="F66" s="283" t="str">
        <f aca="false">IF(F$4&gt;0,(IF(E66&lt;&gt;0,E66*F$4/100," ")),IF(E66&lt;&gt;0,E66*F$2/(100+F$2)," "))</f>
        <v> </v>
      </c>
      <c r="G66" s="283" t="str">
        <f aca="false">IF((E66&lt;&gt;0),E66-F66," ")</f>
        <v> </v>
      </c>
    </row>
    <row r="67" customFormat="false" ht="12.75" hidden="false" customHeight="false" outlineLevel="0" collapsed="false">
      <c r="F67" s="283" t="str">
        <f aca="false">IF(F$4&gt;0,(IF(E67&lt;&gt;0,E67*F$4/100," ")),IF(E67&lt;&gt;0,E67*F$2/(100+F$2)," "))</f>
        <v> </v>
      </c>
      <c r="G67" s="283" t="str">
        <f aca="false">IF((E67&lt;&gt;0),E67-F67," ")</f>
        <v> </v>
      </c>
    </row>
    <row r="68" customFormat="false" ht="12.75" hidden="false" customHeight="false" outlineLevel="0" collapsed="false">
      <c r="F68" s="283" t="str">
        <f aca="false">IF(F$4&gt;0,(IF(E68&lt;&gt;0,E68*F$4/100," ")),IF(E68&lt;&gt;0,E68*F$2/(100+F$2)," "))</f>
        <v> </v>
      </c>
      <c r="G68" s="283" t="str">
        <f aca="false">IF((E68&lt;&gt;0),E68-F68," ")</f>
        <v> </v>
      </c>
    </row>
    <row r="69" customFormat="false" ht="12.75" hidden="false" customHeight="false" outlineLevel="0" collapsed="false">
      <c r="F69" s="283" t="str">
        <f aca="false">IF(F$4&gt;0,(IF(E69&lt;&gt;0,E69*F$4/100," ")),IF(E69&lt;&gt;0,E69*F$2/(100+F$2)," "))</f>
        <v> </v>
      </c>
      <c r="G69" s="283" t="str">
        <f aca="false">IF((E69&lt;&gt;0),E69-F69," ")</f>
        <v> </v>
      </c>
    </row>
    <row r="70" customFormat="false" ht="12.75" hidden="false" customHeight="false" outlineLevel="0" collapsed="false">
      <c r="F70" s="283" t="str">
        <f aca="false">IF(F$4&gt;0,(IF(E70&lt;&gt;0,E70*F$4/100," ")),IF(E70&lt;&gt;0,E70*F$2/(100+F$2)," "))</f>
        <v> </v>
      </c>
      <c r="G70" s="283" t="str">
        <f aca="false">IF((E70&lt;&gt;0),E70-F70," ")</f>
        <v> </v>
      </c>
    </row>
    <row r="71" customFormat="false" ht="12.75" hidden="false" customHeight="false" outlineLevel="0" collapsed="false">
      <c r="F71" s="283" t="str">
        <f aca="false">IF(F$4&gt;0,(IF(E71&lt;&gt;0,E71*F$4/100," ")),IF(E71&lt;&gt;0,E71*F$2/(100+F$2)," "))</f>
        <v> </v>
      </c>
      <c r="G71" s="283" t="str">
        <f aca="false">IF((E71&lt;&gt;0),E71-F71," ")</f>
        <v> </v>
      </c>
    </row>
    <row r="72" customFormat="false" ht="12.75" hidden="false" customHeight="false" outlineLevel="0" collapsed="false">
      <c r="F72" s="283" t="str">
        <f aca="false">IF(F$4&gt;0,(IF(E72&lt;&gt;0,E72*F$4/100," ")),IF(E72&lt;&gt;0,E72*F$2/(100+F$2)," "))</f>
        <v> </v>
      </c>
      <c r="G72" s="283" t="str">
        <f aca="false">IF((E72&lt;&gt;0),E72-F72," ")</f>
        <v> </v>
      </c>
    </row>
    <row r="73" customFormat="false" ht="12.75" hidden="false" customHeight="false" outlineLevel="0" collapsed="false">
      <c r="F73" s="283" t="str">
        <f aca="false">IF(F$4&gt;0,(IF(E73&lt;&gt;0,E73*F$4/100," ")),IF(E73&lt;&gt;0,E73*F$2/(100+F$2)," "))</f>
        <v> </v>
      </c>
      <c r="G73" s="283" t="str">
        <f aca="false">IF((E73&lt;&gt;0),E73-F73," ")</f>
        <v> </v>
      </c>
    </row>
    <row r="74" customFormat="false" ht="12.75" hidden="false" customHeight="false" outlineLevel="0" collapsed="false">
      <c r="F74" s="283" t="str">
        <f aca="false">IF(F$4&gt;0,(IF(E74&lt;&gt;0,E74*F$4/100," ")),IF(E74&lt;&gt;0,E74*F$2/(100+F$2)," "))</f>
        <v> </v>
      </c>
      <c r="G74" s="283" t="str">
        <f aca="false">IF((E74&lt;&gt;0),E74-F74," ")</f>
        <v> </v>
      </c>
    </row>
    <row r="75" customFormat="false" ht="12.75" hidden="false" customHeight="false" outlineLevel="0" collapsed="false">
      <c r="F75" s="283" t="str">
        <f aca="false">IF(F$4&gt;0,(IF(E75&lt;&gt;0,E75*F$4/100," ")),IF(E75&lt;&gt;0,E75*F$2/(100+F$2)," "))</f>
        <v> </v>
      </c>
      <c r="G75" s="283" t="str">
        <f aca="false">IF((E75&lt;&gt;0),E75-F75," ")</f>
        <v> </v>
      </c>
    </row>
    <row r="76" customFormat="false" ht="12.75" hidden="false" customHeight="false" outlineLevel="0" collapsed="false">
      <c r="F76" s="283" t="str">
        <f aca="false">IF(F$4&gt;0,(IF(E76&lt;&gt;0,E76*F$4/100," ")),IF(E76&lt;&gt;0,E76*F$2/(100+F$2)," "))</f>
        <v> </v>
      </c>
      <c r="G76" s="283" t="str">
        <f aca="false">IF((E76&lt;&gt;0),E76-F76," ")</f>
        <v> </v>
      </c>
    </row>
    <row r="77" customFormat="false" ht="12.75" hidden="false" customHeight="false" outlineLevel="0" collapsed="false">
      <c r="F77" s="283" t="str">
        <f aca="false">IF(F$4&gt;0,(IF(E77&lt;&gt;0,E77*F$4/100," ")),IF(E77&lt;&gt;0,E77*F$2/(100+F$2)," "))</f>
        <v> </v>
      </c>
      <c r="G77" s="283" t="str">
        <f aca="false">IF((E77&lt;&gt;0),E77-F77," ")</f>
        <v> </v>
      </c>
    </row>
    <row r="78" customFormat="false" ht="12.75" hidden="false" customHeight="false" outlineLevel="0" collapsed="false">
      <c r="F78" s="283" t="str">
        <f aca="false">IF(F$4&gt;0,(IF(E78&lt;&gt;0,E78*F$4/100," ")),IF(E78&lt;&gt;0,E78*F$2/(100+F$2)," "))</f>
        <v> </v>
      </c>
      <c r="G78" s="283" t="str">
        <f aca="false">IF((E78&lt;&gt;0),E78-F78," ")</f>
        <v> </v>
      </c>
    </row>
    <row r="79" customFormat="false" ht="12.75" hidden="false" customHeight="false" outlineLevel="0" collapsed="false">
      <c r="F79" s="283" t="str">
        <f aca="false">IF(F$4&gt;0,(IF(E79&lt;&gt;0,E79*F$4/100," ")),IF(E79&lt;&gt;0,E79*F$2/(100+F$2)," "))</f>
        <v> </v>
      </c>
      <c r="G79" s="283" t="str">
        <f aca="false">IF((E79&lt;&gt;0),E79-F79," ")</f>
        <v> </v>
      </c>
    </row>
    <row r="80" customFormat="false" ht="12.75" hidden="false" customHeight="false" outlineLevel="0" collapsed="false">
      <c r="F80" s="283" t="str">
        <f aca="false">IF(F$4&gt;0,(IF(E80&lt;&gt;0,E80*F$4/100," ")),IF(E80&lt;&gt;0,E80*F$2/(100+F$2)," "))</f>
        <v> </v>
      </c>
      <c r="G80" s="283" t="str">
        <f aca="false">IF((E80&lt;&gt;0),E80-F80," ")</f>
        <v> </v>
      </c>
    </row>
    <row r="81" customFormat="false" ht="12.75" hidden="false" customHeight="false" outlineLevel="0" collapsed="false">
      <c r="F81" s="283" t="str">
        <f aca="false">IF(F$4&gt;0,(IF(E81&lt;&gt;0,E81*F$4/100," ")),IF(E81&lt;&gt;0,E81*F$2/(100+F$2)," "))</f>
        <v> </v>
      </c>
      <c r="G81" s="283" t="str">
        <f aca="false">IF((E81&lt;&gt;0),E81-F81," ")</f>
        <v> </v>
      </c>
    </row>
    <row r="82" customFormat="false" ht="12.75" hidden="false" customHeight="false" outlineLevel="0" collapsed="false">
      <c r="F82" s="283" t="str">
        <f aca="false">IF(F$4&gt;0,(IF(E82&lt;&gt;0,E82*F$4/100," ")),IF(E82&lt;&gt;0,E82*F$2/(100+F$2)," "))</f>
        <v> </v>
      </c>
      <c r="G82" s="283" t="str">
        <f aca="false">IF((E82&lt;&gt;0),E82-F82," ")</f>
        <v> </v>
      </c>
    </row>
    <row r="83" customFormat="false" ht="12.75" hidden="false" customHeight="false" outlineLevel="0" collapsed="false">
      <c r="F83" s="283" t="str">
        <f aca="false">IF(F$4&gt;0,(IF(E83&lt;&gt;0,E83*F$4/100," ")),IF(E83&lt;&gt;0,E83*F$2/(100+F$2)," "))</f>
        <v> </v>
      </c>
      <c r="G83" s="283" t="str">
        <f aca="false">IF((E83&lt;&gt;0),E83-F83," ")</f>
        <v> </v>
      </c>
    </row>
    <row r="84" customFormat="false" ht="12.75" hidden="false" customHeight="false" outlineLevel="0" collapsed="false">
      <c r="F84" s="283" t="str">
        <f aca="false">IF(F$4&gt;0,(IF(E84&lt;&gt;0,E84*F$4/100," ")),IF(E84&lt;&gt;0,E84*F$2/(100+F$2)," "))</f>
        <v> </v>
      </c>
      <c r="G84" s="283" t="str">
        <f aca="false">IF((E84&lt;&gt;0),E84-F84," ")</f>
        <v> </v>
      </c>
    </row>
    <row r="85" customFormat="false" ht="12.75" hidden="false" customHeight="false" outlineLevel="0" collapsed="false">
      <c r="F85" s="283" t="str">
        <f aca="false">IF(F$4&gt;0,(IF(E85&lt;&gt;0,E85*F$4/100," ")),IF(E85&lt;&gt;0,E85*F$2/(100+F$2)," "))</f>
        <v> </v>
      </c>
      <c r="G85" s="283" t="str">
        <f aca="false">IF((E85&lt;&gt;0),E85-F85," ")</f>
        <v> </v>
      </c>
    </row>
    <row r="86" customFormat="false" ht="12.75" hidden="false" customHeight="false" outlineLevel="0" collapsed="false">
      <c r="F86" s="283" t="str">
        <f aca="false">IF(F$4&gt;0,(IF(E86&lt;&gt;0,E86*F$4/100," ")),IF(E86&lt;&gt;0,E86*F$2/(100+F$2)," "))</f>
        <v> </v>
      </c>
      <c r="G86" s="283" t="str">
        <f aca="false">IF((E86&lt;&gt;0),E86-F86," ")</f>
        <v> </v>
      </c>
    </row>
    <row r="87" customFormat="false" ht="12.75" hidden="false" customHeight="false" outlineLevel="0" collapsed="false">
      <c r="F87" s="283" t="str">
        <f aca="false">IF(F$4&gt;0,(IF(E87&lt;&gt;0,E87*F$4/100," ")),IF(E87&lt;&gt;0,E87*F$2/(100+F$2)," "))</f>
        <v> </v>
      </c>
      <c r="G87" s="283" t="str">
        <f aca="false">IF((E87&lt;&gt;0),E87-F87," ")</f>
        <v> </v>
      </c>
    </row>
    <row r="88" customFormat="false" ht="12.75" hidden="false" customHeight="false" outlineLevel="0" collapsed="false">
      <c r="F88" s="283" t="str">
        <f aca="false">IF(F$4&gt;0,(IF(E88&lt;&gt;0,E88*F$4/100," ")),IF(E88&lt;&gt;0,E88*F$2/(100+F$2)," "))</f>
        <v> </v>
      </c>
      <c r="G88" s="283" t="str">
        <f aca="false">IF((E88&lt;&gt;0),E88-F88," ")</f>
        <v> </v>
      </c>
    </row>
    <row r="89" customFormat="false" ht="12.75" hidden="false" customHeight="false" outlineLevel="0" collapsed="false">
      <c r="F89" s="283" t="str">
        <f aca="false">IF(F$4&gt;0,(IF(E89&lt;&gt;0,E89*F$4/100," ")),IF(E89&lt;&gt;0,E89*F$2/(100+F$2)," "))</f>
        <v> </v>
      </c>
      <c r="G89" s="283" t="str">
        <f aca="false">IF((E89&lt;&gt;0),E89-F89," ")</f>
        <v> </v>
      </c>
    </row>
    <row r="90" customFormat="false" ht="12.75" hidden="false" customHeight="false" outlineLevel="0" collapsed="false">
      <c r="F90" s="283" t="str">
        <f aca="false">IF(F$4&gt;0,(IF(E90&lt;&gt;0,E90*F$4/100," ")),IF(E90&lt;&gt;0,E90*F$2/(100+F$2)," "))</f>
        <v> </v>
      </c>
      <c r="G90" s="283" t="str">
        <f aca="false">IF((E90&lt;&gt;0),E90-F90," ")</f>
        <v> </v>
      </c>
    </row>
    <row r="91" customFormat="false" ht="12.75" hidden="false" customHeight="false" outlineLevel="0" collapsed="false">
      <c r="F91" s="283" t="str">
        <f aca="false">IF(F$4&gt;0,(IF(E91&lt;&gt;0,E91*F$4/100," ")),IF(E91&lt;&gt;0,E91*F$2/(100+F$2)," "))</f>
        <v> </v>
      </c>
      <c r="G91" s="283" t="str">
        <f aca="false">IF((E91&lt;&gt;0),E91-F91," ")</f>
        <v> </v>
      </c>
    </row>
    <row r="92" customFormat="false" ht="12.75" hidden="false" customHeight="false" outlineLevel="0" collapsed="false">
      <c r="F92" s="283" t="str">
        <f aca="false">IF(F$4&gt;0,(IF(E92&lt;&gt;0,E92*F$4/100," ")),IF(E92&lt;&gt;0,E92*F$2/(100+F$2)," "))</f>
        <v> </v>
      </c>
      <c r="G92" s="283" t="str">
        <f aca="false">IF((E92&lt;&gt;0),E92-F92," ")</f>
        <v> </v>
      </c>
    </row>
    <row r="93" customFormat="false" ht="12.75" hidden="false" customHeight="false" outlineLevel="0" collapsed="false">
      <c r="F93" s="283" t="str">
        <f aca="false">IF(F$4&gt;0,(IF(E93&lt;&gt;0,E93*F$4/100," ")),IF(E93&lt;&gt;0,E93*F$2/(100+F$2)," "))</f>
        <v> </v>
      </c>
      <c r="G93" s="283" t="str">
        <f aca="false">IF((E93&lt;&gt;0),E93-F93," ")</f>
        <v> </v>
      </c>
    </row>
    <row r="94" customFormat="false" ht="12.75" hidden="false" customHeight="false" outlineLevel="0" collapsed="false">
      <c r="F94" s="283" t="str">
        <f aca="false">IF(F$4&gt;0,(IF(E94&lt;&gt;0,E94*F$4/100," ")),IF(E94&lt;&gt;0,E94*F$2/(100+F$2)," "))</f>
        <v> </v>
      </c>
      <c r="G94" s="283" t="str">
        <f aca="false">IF((E94&lt;&gt;0),E94-F94," ")</f>
        <v> </v>
      </c>
    </row>
    <row r="95" customFormat="false" ht="12.75" hidden="false" customHeight="false" outlineLevel="0" collapsed="false">
      <c r="F95" s="283" t="str">
        <f aca="false">IF(F$4&gt;0,(IF(E95&lt;&gt;0,E95*F$4/100," ")),IF(E95&lt;&gt;0,E95*F$2/(100+F$2)," "))</f>
        <v> </v>
      </c>
      <c r="G95" s="283" t="str">
        <f aca="false">IF((E95&lt;&gt;0),E95-F95," ")</f>
        <v> </v>
      </c>
    </row>
    <row r="96" customFormat="false" ht="12.75" hidden="false" customHeight="false" outlineLevel="0" collapsed="false">
      <c r="F96" s="283" t="str">
        <f aca="false">IF(F$4&gt;0,(IF(E96&lt;&gt;0,E96*F$4/100," ")),IF(E96&lt;&gt;0,E96*F$2/(100+F$2)," "))</f>
        <v> </v>
      </c>
      <c r="G96" s="283" t="str">
        <f aca="false">IF((E96&lt;&gt;0),E96-F96," ")</f>
        <v> </v>
      </c>
    </row>
    <row r="97" customFormat="false" ht="12.75" hidden="false" customHeight="false" outlineLevel="0" collapsed="false">
      <c r="F97" s="283" t="str">
        <f aca="false">IF(F$4&gt;0,(IF(E97&lt;&gt;0,E97*F$4/100," ")),IF(E97&lt;&gt;0,E97*F$2/(100+F$2)," "))</f>
        <v> </v>
      </c>
      <c r="G97" s="283" t="str">
        <f aca="false">IF((E97&lt;&gt;0),E97-F97," ")</f>
        <v> </v>
      </c>
    </row>
    <row r="98" customFormat="false" ht="12.75" hidden="false" customHeight="false" outlineLevel="0" collapsed="false">
      <c r="F98" s="283" t="str">
        <f aca="false">IF(F$4&gt;0,(IF(E98&lt;&gt;0,E98*F$4/100," ")),IF(E98&lt;&gt;0,E98*F$2/(100+F$2)," "))</f>
        <v> </v>
      </c>
      <c r="G98" s="283" t="str">
        <f aca="false">IF((E98&lt;&gt;0),E98-F98," ")</f>
        <v> </v>
      </c>
    </row>
    <row r="99" customFormat="false" ht="12.75" hidden="false" customHeight="false" outlineLevel="0" collapsed="false">
      <c r="F99" s="283" t="str">
        <f aca="false">IF(F$4&gt;0,(IF(E99&lt;&gt;0,E99*F$4/100," ")),IF(E99&lt;&gt;0,E99*F$2/(100+F$2)," "))</f>
        <v> </v>
      </c>
      <c r="G99" s="283" t="str">
        <f aca="false">IF((E99&lt;&gt;0),E99-F99," ")</f>
        <v> </v>
      </c>
    </row>
    <row r="100" customFormat="false" ht="12.75" hidden="false" customHeight="false" outlineLevel="0" collapsed="false">
      <c r="F100" s="283" t="str">
        <f aca="false">IF(F$4&gt;0,(IF(E100&lt;&gt;0,E100*F$4/100," ")),IF(E100&lt;&gt;0,E100*F$2/(100+F$2)," "))</f>
        <v> </v>
      </c>
      <c r="G100" s="283" t="str">
        <f aca="false">IF((E100&lt;&gt;0),E100-F100," ")</f>
        <v> </v>
      </c>
    </row>
    <row r="101" customFormat="false" ht="12.75" hidden="false" customHeight="false" outlineLevel="0" collapsed="false">
      <c r="F101" s="283" t="str">
        <f aca="false">IF(F$4&gt;0,(IF(E101&lt;&gt;0,E101*F$4/100," ")),IF(E101&lt;&gt;0,E101*F$2/(100+F$2)," "))</f>
        <v> </v>
      </c>
      <c r="G101" s="283" t="str">
        <f aca="false">IF((E101&lt;&gt;0),E101-F101," ")</f>
        <v> </v>
      </c>
    </row>
    <row r="102" customFormat="false" ht="12.75" hidden="false" customHeight="false" outlineLevel="0" collapsed="false">
      <c r="F102" s="283" t="str">
        <f aca="false">IF(F$4&gt;0,(IF(E102&lt;&gt;0,E102*F$4/100," ")),IF(E102&lt;&gt;0,E102*F$2/(100+F$2)," "))</f>
        <v> </v>
      </c>
      <c r="G102" s="283" t="str">
        <f aca="false">IF((E102&lt;&gt;0),E102-F102," ")</f>
        <v> </v>
      </c>
    </row>
    <row r="103" customFormat="false" ht="12.75" hidden="false" customHeight="false" outlineLevel="0" collapsed="false">
      <c r="F103" s="283" t="str">
        <f aca="false">IF(F$4&gt;0,(IF(E103&lt;&gt;0,E103*F$4/100," ")),IF(E103&lt;&gt;0,E103*F$2/(100+F$2)," "))</f>
        <v> </v>
      </c>
      <c r="G103" s="283" t="str">
        <f aca="false">IF((E103&lt;&gt;0),E103-F103," ")</f>
        <v> </v>
      </c>
    </row>
    <row r="104" customFormat="false" ht="12.75" hidden="false" customHeight="false" outlineLevel="0" collapsed="false">
      <c r="F104" s="283" t="str">
        <f aca="false">IF(F$4&gt;0,(IF(E104&lt;&gt;0,E104*F$4/100," ")),IF(E104&lt;&gt;0,E104*F$2/(100+F$2)," "))</f>
        <v> </v>
      </c>
      <c r="G104" s="283" t="str">
        <f aca="false">IF((E104&lt;&gt;0),E104-F104," ")</f>
        <v> </v>
      </c>
    </row>
    <row r="105" customFormat="false" ht="12.75" hidden="false" customHeight="false" outlineLevel="0" collapsed="false">
      <c r="F105" s="283" t="str">
        <f aca="false">IF(F$4&gt;0,(IF(E105&lt;&gt;0,E105*F$4/100," ")),IF(E105&lt;&gt;0,E105*F$2/(100+F$2)," "))</f>
        <v> </v>
      </c>
      <c r="G105" s="283" t="str">
        <f aca="false">IF((E105&lt;&gt;0),E105-F105," ")</f>
        <v> </v>
      </c>
    </row>
    <row r="106" customFormat="false" ht="12.75" hidden="false" customHeight="false" outlineLevel="0" collapsed="false">
      <c r="F106" s="283" t="str">
        <f aca="false">IF(F$4&gt;0,(IF(E106&lt;&gt;0,E106*F$4/100," ")),IF(E106&lt;&gt;0,E106*F$2/(100+F$2)," "))</f>
        <v> </v>
      </c>
      <c r="G106" s="283" t="str">
        <f aca="false">IF((E106&lt;&gt;0),E106-F106," ")</f>
        <v> </v>
      </c>
    </row>
    <row r="107" customFormat="false" ht="12.75" hidden="false" customHeight="false" outlineLevel="0" collapsed="false">
      <c r="F107" s="283" t="str">
        <f aca="false">IF(F$4&gt;0,(IF(E107&lt;&gt;0,E107*F$4/100," ")),IF(E107&lt;&gt;0,E107*F$2/(100+F$2)," "))</f>
        <v> </v>
      </c>
      <c r="G107" s="283" t="str">
        <f aca="false">IF((E107&lt;&gt;0),E107-F107," ")</f>
        <v> </v>
      </c>
    </row>
    <row r="108" customFormat="false" ht="12.75" hidden="false" customHeight="false" outlineLevel="0" collapsed="false">
      <c r="F108" s="283" t="str">
        <f aca="false">IF(F$4&gt;0,(IF(E108&lt;&gt;0,E108*F$4/100," ")),IF(E108&lt;&gt;0,E108*F$2/(100+F$2)," "))</f>
        <v> </v>
      </c>
      <c r="G108" s="283" t="str">
        <f aca="false">IF((E108&lt;&gt;0),E108-F108," ")</f>
        <v> </v>
      </c>
    </row>
    <row r="109" customFormat="false" ht="12.75" hidden="false" customHeight="false" outlineLevel="0" collapsed="false">
      <c r="F109" s="283" t="str">
        <f aca="false">IF(F$4&gt;0,(IF(E109&lt;&gt;0,E109*F$4/100," ")),IF(E109&lt;&gt;0,E109*F$2/(100+F$2)," "))</f>
        <v> </v>
      </c>
      <c r="G109" s="283" t="str">
        <f aca="false">IF((E109&lt;&gt;0),E109-F109," ")</f>
        <v> </v>
      </c>
    </row>
    <row r="110" customFormat="false" ht="12.75" hidden="false" customHeight="false" outlineLevel="0" collapsed="false">
      <c r="F110" s="283" t="str">
        <f aca="false">IF(F$4&gt;0,(IF(E110&lt;&gt;0,E110*F$4/100," ")),IF(E110&lt;&gt;0,E110*F$2/(100+F$2)," "))</f>
        <v> </v>
      </c>
      <c r="G110" s="283" t="str">
        <f aca="false">IF((E110&lt;&gt;0),E110-F110," ")</f>
        <v> </v>
      </c>
    </row>
    <row r="111" customFormat="false" ht="12.75" hidden="false" customHeight="false" outlineLevel="0" collapsed="false">
      <c r="F111" s="283" t="str">
        <f aca="false">IF(F$4&gt;0,(IF(E111&lt;&gt;0,E111*F$4/100," ")),IF(E111&lt;&gt;0,E111*F$2/(100+F$2)," "))</f>
        <v> </v>
      </c>
      <c r="G111" s="283" t="str">
        <f aca="false">IF((E111&lt;&gt;0),E111-F111," ")</f>
        <v> </v>
      </c>
    </row>
    <row r="112" customFormat="false" ht="12.75" hidden="false" customHeight="false" outlineLevel="0" collapsed="false">
      <c r="F112" s="283" t="str">
        <f aca="false">IF(F$4&gt;0,(IF(E112&lt;&gt;0,E112*F$4/100," ")),IF(E112&lt;&gt;0,E112*F$2/(100+F$2)," "))</f>
        <v> </v>
      </c>
      <c r="G112" s="283" t="str">
        <f aca="false">IF((E112&lt;&gt;0),E112-F112," ")</f>
        <v> </v>
      </c>
    </row>
    <row r="113" customFormat="false" ht="12.75" hidden="false" customHeight="false" outlineLevel="0" collapsed="false">
      <c r="F113" s="283" t="str">
        <f aca="false">IF(F$4&gt;0,(IF(E113&lt;&gt;0,E113*F$4/100," ")),IF(E113&lt;&gt;0,E113*F$2/(100+F$2)," "))</f>
        <v> </v>
      </c>
      <c r="G113" s="283" t="str">
        <f aca="false">IF((E113&lt;&gt;0),E113-F113," ")</f>
        <v> </v>
      </c>
    </row>
    <row r="114" customFormat="false" ht="12.75" hidden="false" customHeight="false" outlineLevel="0" collapsed="false">
      <c r="F114" s="283" t="str">
        <f aca="false">IF(F$4&gt;0,(IF(E114&lt;&gt;0,E114*F$4/100," ")),IF(E114&lt;&gt;0,E114*F$2/(100+F$2)," "))</f>
        <v> </v>
      </c>
      <c r="G114" s="283" t="str">
        <f aca="false">IF((E114&lt;&gt;0),E114-F114," ")</f>
        <v> </v>
      </c>
    </row>
    <row r="115" customFormat="false" ht="12.75" hidden="false" customHeight="false" outlineLevel="0" collapsed="false">
      <c r="F115" s="283" t="str">
        <f aca="false">IF(F$4&gt;0,(IF(E115&lt;&gt;0,E115*F$4/100," ")),IF(E115&lt;&gt;0,E115*F$2/(100+F$2)," "))</f>
        <v> </v>
      </c>
      <c r="G115" s="283" t="str">
        <f aca="false">IF((E115&lt;&gt;0),E115-F115," ")</f>
        <v> </v>
      </c>
    </row>
    <row r="116" customFormat="false" ht="12.75" hidden="false" customHeight="false" outlineLevel="0" collapsed="false">
      <c r="F116" s="283" t="str">
        <f aca="false">IF(F$4&gt;0,(IF(E116&lt;&gt;0,E116*F$4/100," ")),IF(E116&lt;&gt;0,E116*F$2/(100+F$2)," "))</f>
        <v> </v>
      </c>
      <c r="G116" s="283" t="str">
        <f aca="false">IF((E116&lt;&gt;0),E116-F116," ")</f>
        <v> </v>
      </c>
    </row>
    <row r="117" customFormat="false" ht="12.75" hidden="false" customHeight="false" outlineLevel="0" collapsed="false">
      <c r="F117" s="283" t="str">
        <f aca="false">IF(F$4&gt;0,(IF(E117&lt;&gt;0,E117*F$4/100," ")),IF(E117&lt;&gt;0,E117*F$2/(100+F$2)," "))</f>
        <v> </v>
      </c>
      <c r="G117" s="283" t="str">
        <f aca="false">IF((E117&lt;&gt;0),E117-F117," ")</f>
        <v> </v>
      </c>
    </row>
    <row r="118" customFormat="false" ht="12.75" hidden="false" customHeight="false" outlineLevel="0" collapsed="false">
      <c r="F118" s="283" t="str">
        <f aca="false">IF(F$4&gt;0,(IF(E118&lt;&gt;0,E118*F$4/100," ")),IF(E118&lt;&gt;0,E118*F$2/(100+F$2)," "))</f>
        <v> </v>
      </c>
      <c r="G118" s="283" t="str">
        <f aca="false">IF((E118&lt;&gt;0),E118-F118," ")</f>
        <v> </v>
      </c>
    </row>
    <row r="119" customFormat="false" ht="12.75" hidden="false" customHeight="false" outlineLevel="0" collapsed="false">
      <c r="F119" s="283" t="str">
        <f aca="false">IF(F$4&gt;0,(IF(E119&lt;&gt;0,E119*F$4/100," ")),IF(E119&lt;&gt;0,E119*F$2/(100+F$2)," "))</f>
        <v> </v>
      </c>
      <c r="G119" s="283" t="str">
        <f aca="false">IF((E119&lt;&gt;0),E119-F119," ")</f>
        <v> </v>
      </c>
    </row>
    <row r="120" customFormat="false" ht="12.75" hidden="false" customHeight="false" outlineLevel="0" collapsed="false">
      <c r="F120" s="283" t="str">
        <f aca="false">IF(F$4&gt;0,(IF(E120&lt;&gt;0,E120*F$4/100," ")),IF(E120&lt;&gt;0,E120*F$2/(100+F$2)," "))</f>
        <v> </v>
      </c>
      <c r="G120" s="283" t="str">
        <f aca="false">IF((E120&lt;&gt;0),E120-F120," ")</f>
        <v> </v>
      </c>
    </row>
    <row r="121" customFormat="false" ht="12.75" hidden="false" customHeight="false" outlineLevel="0" collapsed="false">
      <c r="F121" s="283" t="str">
        <f aca="false">IF(F$4&gt;0,(IF(E121&lt;&gt;0,E121*F$4/100," ")),IF(E121&lt;&gt;0,E121*F$2/(100+F$2)," "))</f>
        <v> </v>
      </c>
      <c r="G121" s="283" t="str">
        <f aca="false">IF((E121&lt;&gt;0),E121-F121," ")</f>
        <v> </v>
      </c>
    </row>
    <row r="122" customFormat="false" ht="12.75" hidden="false" customHeight="false" outlineLevel="0" collapsed="false">
      <c r="F122" s="283" t="str">
        <f aca="false">IF(F$4&gt;0,(IF(E122&lt;&gt;0,E122*F$4/100," ")),IF(E122&lt;&gt;0,E122*F$2/(100+F$2)," "))</f>
        <v> </v>
      </c>
      <c r="G122" s="283" t="str">
        <f aca="false">IF((E122&lt;&gt;0),E122-F122," ")</f>
        <v> </v>
      </c>
    </row>
    <row r="123" customFormat="false" ht="12.75" hidden="false" customHeight="false" outlineLevel="0" collapsed="false">
      <c r="F123" s="283" t="str">
        <f aca="false">IF(F$4&gt;0,(IF(E123&lt;&gt;0,E123*F$4/100," ")),IF(E123&lt;&gt;0,E123*F$2/(100+F$2)," "))</f>
        <v> </v>
      </c>
      <c r="G123" s="283" t="str">
        <f aca="false">IF((E123&lt;&gt;0),E123-F123," ")</f>
        <v> </v>
      </c>
    </row>
    <row r="124" customFormat="false" ht="12.75" hidden="false" customHeight="false" outlineLevel="0" collapsed="false">
      <c r="F124" s="283" t="str">
        <f aca="false">IF(F$4&gt;0,(IF(E124&lt;&gt;0,E124*F$4/100," ")),IF(E124&lt;&gt;0,E124*F$2/(100+F$2)," "))</f>
        <v> </v>
      </c>
      <c r="G124" s="283" t="str">
        <f aca="false">IF((E124&lt;&gt;0),E124-F124," ")</f>
        <v> </v>
      </c>
    </row>
    <row r="125" customFormat="false" ht="12.75" hidden="false" customHeight="false" outlineLevel="0" collapsed="false">
      <c r="F125" s="283" t="str">
        <f aca="false">IF(F$4&gt;0,(IF(E125&lt;&gt;0,E125*F$4/100," ")),IF(E125&lt;&gt;0,E125*F$2/(100+F$2)," "))</f>
        <v> </v>
      </c>
      <c r="G125" s="283" t="str">
        <f aca="false">IF((E125&lt;&gt;0),E125-F125," ")</f>
        <v> </v>
      </c>
    </row>
    <row r="126" customFormat="false" ht="12.75" hidden="false" customHeight="false" outlineLevel="0" collapsed="false">
      <c r="F126" s="283" t="str">
        <f aca="false">IF(F$4&gt;0,(IF(E126&lt;&gt;0,E126*F$4/100," ")),IF(E126&lt;&gt;0,E126*F$2/(100+F$2)," "))</f>
        <v> </v>
      </c>
      <c r="G126" s="283" t="str">
        <f aca="false">IF((E126&lt;&gt;0),E126-F126," ")</f>
        <v> </v>
      </c>
    </row>
    <row r="127" customFormat="false" ht="12.75" hidden="false" customHeight="false" outlineLevel="0" collapsed="false">
      <c r="F127" s="283" t="str">
        <f aca="false">IF(F$4&gt;0,(IF(E127&lt;&gt;0,E127*F$4/100," ")),IF(E127&lt;&gt;0,E127*F$2/(100+F$2)," "))</f>
        <v> </v>
      </c>
      <c r="G127" s="283" t="str">
        <f aca="false">IF((E127&lt;&gt;0),E127-F127," ")</f>
        <v> </v>
      </c>
    </row>
    <row r="128" customFormat="false" ht="12.75" hidden="false" customHeight="false" outlineLevel="0" collapsed="false">
      <c r="F128" s="283" t="str">
        <f aca="false">IF(F$4&gt;0,(IF(E128&lt;&gt;0,E128*F$4/100," ")),IF(E128&lt;&gt;0,E128*F$2/(100+F$2)," "))</f>
        <v> </v>
      </c>
      <c r="G128" s="283" t="str">
        <f aca="false">IF((E128&lt;&gt;0),E128-F128," ")</f>
        <v> </v>
      </c>
    </row>
    <row r="129" customFormat="false" ht="12.75" hidden="false" customHeight="false" outlineLevel="0" collapsed="false">
      <c r="F129" s="283" t="str">
        <f aca="false">IF(F$4&gt;0,(IF(E129&lt;&gt;0,E129*F$4/100," ")),IF(E129&lt;&gt;0,E129*F$2/(100+F$2)," "))</f>
        <v> </v>
      </c>
      <c r="G129" s="283" t="str">
        <f aca="false">IF((E129&lt;&gt;0),E129-F129," ")</f>
        <v> </v>
      </c>
    </row>
    <row r="130" customFormat="false" ht="12.75" hidden="false" customHeight="false" outlineLevel="0" collapsed="false">
      <c r="F130" s="283" t="str">
        <f aca="false">IF(F$4&gt;0,(IF(E130&lt;&gt;0,E130*F$4/100," ")),IF(E130&lt;&gt;0,E130*F$2/(100+F$2)," "))</f>
        <v> </v>
      </c>
      <c r="G130" s="283" t="str">
        <f aca="false">IF((E130&lt;&gt;0),E130-F130," ")</f>
        <v> </v>
      </c>
    </row>
    <row r="131" customFormat="false" ht="12.75" hidden="false" customHeight="false" outlineLevel="0" collapsed="false">
      <c r="F131" s="283" t="str">
        <f aca="false">IF(F$4&gt;0,(IF(E131&lt;&gt;0,E131*F$4/100," ")),IF(E131&lt;&gt;0,E131*F$2/(100+F$2)," "))</f>
        <v> </v>
      </c>
      <c r="G131" s="283" t="str">
        <f aca="false">IF((E131&lt;&gt;0),E131-F131," ")</f>
        <v> </v>
      </c>
    </row>
    <row r="132" customFormat="false" ht="12.75" hidden="false" customHeight="false" outlineLevel="0" collapsed="false">
      <c r="F132" s="283" t="str">
        <f aca="false">IF(F$4&gt;0,(IF(E132&lt;&gt;0,E132*F$4/100," ")),IF(E132&lt;&gt;0,E132*F$2/(100+F$2)," "))</f>
        <v> </v>
      </c>
      <c r="G132" s="283" t="str">
        <f aca="false">IF((E132&lt;&gt;0),E132-F132," ")</f>
        <v> </v>
      </c>
    </row>
    <row r="133" customFormat="false" ht="12.75" hidden="false" customHeight="false" outlineLevel="0" collapsed="false">
      <c r="F133" s="283" t="str">
        <f aca="false">IF(F$4&gt;0,(IF(E133&lt;&gt;0,E133*F$4/100," ")),IF(E133&lt;&gt;0,E133*F$2/(100+F$2)," "))</f>
        <v> </v>
      </c>
      <c r="G133" s="283" t="str">
        <f aca="false">IF((E133&lt;&gt;0),E133-F133," ")</f>
        <v> </v>
      </c>
    </row>
    <row r="134" customFormat="false" ht="12.75" hidden="false" customHeight="false" outlineLevel="0" collapsed="false">
      <c r="F134" s="283" t="str">
        <f aca="false">IF(F$4&gt;0,(IF(E134&lt;&gt;0,E134*F$4/100," ")),IF(E134&lt;&gt;0,E134*F$2/(100+F$2)," "))</f>
        <v> </v>
      </c>
      <c r="G134" s="283" t="str">
        <f aca="false">IF((E134&lt;&gt;0),E134-F134," ")</f>
        <v> </v>
      </c>
    </row>
    <row r="135" customFormat="false" ht="12.75" hidden="false" customHeight="false" outlineLevel="0" collapsed="false">
      <c r="F135" s="283" t="str">
        <f aca="false">IF(F$4&gt;0,(IF(E135&lt;&gt;0,E135*F$4/100," ")),IF(E135&lt;&gt;0,E135*F$2/(100+F$2)," "))</f>
        <v> </v>
      </c>
      <c r="G135" s="283" t="str">
        <f aca="false">IF((E135&lt;&gt;0),E135-F135," ")</f>
        <v> </v>
      </c>
    </row>
    <row r="136" customFormat="false" ht="12.75" hidden="false" customHeight="false" outlineLevel="0" collapsed="false">
      <c r="F136" s="283" t="str">
        <f aca="false">IF(F$4&gt;0,(IF(E136&lt;&gt;0,E136*F$4/100," ")),IF(E136&lt;&gt;0,E136*F$2/(100+F$2)," "))</f>
        <v> </v>
      </c>
      <c r="G136" s="283" t="str">
        <f aca="false">IF((E136&lt;&gt;0),E136-F136," ")</f>
        <v> </v>
      </c>
    </row>
    <row r="137" customFormat="false" ht="12.75" hidden="false" customHeight="false" outlineLevel="0" collapsed="false">
      <c r="F137" s="283" t="str">
        <f aca="false">IF(F$4&gt;0,(IF(E137&lt;&gt;0,E137*F$4/100," ")),IF(E137&lt;&gt;0,E137*F$2/(100+F$2)," "))</f>
        <v> </v>
      </c>
      <c r="G137" s="283" t="str">
        <f aca="false">IF((E137&lt;&gt;0),E137-F137," ")</f>
        <v> </v>
      </c>
    </row>
    <row r="138" customFormat="false" ht="12.75" hidden="false" customHeight="false" outlineLevel="0" collapsed="false">
      <c r="F138" s="283" t="str">
        <f aca="false">IF(F$4&gt;0,(IF(E138&lt;&gt;0,E138*F$4/100," ")),IF(E138&lt;&gt;0,E138*F$2/(100+F$2)," "))</f>
        <v> </v>
      </c>
      <c r="G138" s="283" t="str">
        <f aca="false">IF((E138&lt;&gt;0),E138-F138," ")</f>
        <v> </v>
      </c>
    </row>
    <row r="139" customFormat="false" ht="12.75" hidden="false" customHeight="false" outlineLevel="0" collapsed="false">
      <c r="F139" s="283" t="str">
        <f aca="false">IF(F$4&gt;0,(IF(E139&lt;&gt;0,E139*F$4/100," ")),IF(E139&lt;&gt;0,E139*F$2/(100+F$2)," "))</f>
        <v> </v>
      </c>
      <c r="G139" s="283" t="str">
        <f aca="false">IF((E139&lt;&gt;0),E139-F139," ")</f>
        <v> </v>
      </c>
    </row>
    <row r="140" customFormat="false" ht="12.75" hidden="false" customHeight="false" outlineLevel="0" collapsed="false">
      <c r="F140" s="283" t="str">
        <f aca="false">IF(F$4&gt;0,(IF(E140&lt;&gt;0,E140*F$4/100," ")),IF(E140&lt;&gt;0,E140*F$2/(100+F$2)," "))</f>
        <v> </v>
      </c>
      <c r="G140" s="283" t="str">
        <f aca="false">IF((E140&lt;&gt;0),E140-F140," ")</f>
        <v> </v>
      </c>
    </row>
    <row r="141" customFormat="false" ht="12.75" hidden="false" customHeight="false" outlineLevel="0" collapsed="false">
      <c r="F141" s="283" t="str">
        <f aca="false">IF(F$4&gt;0,(IF(E141&lt;&gt;0,E141*F$4/100," ")),IF(E141&lt;&gt;0,E141*F$2/(100+F$2)," "))</f>
        <v> </v>
      </c>
      <c r="G141" s="283" t="str">
        <f aca="false">IF((E141&lt;&gt;0),E141-F141," ")</f>
        <v> </v>
      </c>
    </row>
    <row r="142" customFormat="false" ht="12.75" hidden="false" customHeight="false" outlineLevel="0" collapsed="false">
      <c r="F142" s="283" t="str">
        <f aca="false">IF(F$4&gt;0,(IF(E142&lt;&gt;0,E142*F$4/100," ")),IF(E142&lt;&gt;0,E142*F$2/(100+F$2)," "))</f>
        <v> </v>
      </c>
      <c r="G142" s="283" t="str">
        <f aca="false">IF((E142&lt;&gt;0),E142-F142," ")</f>
        <v> </v>
      </c>
    </row>
    <row r="143" customFormat="false" ht="12.75" hidden="false" customHeight="false" outlineLevel="0" collapsed="false">
      <c r="F143" s="283" t="str">
        <f aca="false">IF(F$4&gt;0,(IF(E143&lt;&gt;0,E143*F$4/100," ")),IF(E143&lt;&gt;0,E143*F$2/(100+F$2)," "))</f>
        <v> </v>
      </c>
      <c r="G143" s="283" t="str">
        <f aca="false">IF((E143&lt;&gt;0),E143-F143," ")</f>
        <v> </v>
      </c>
    </row>
    <row r="144" customFormat="false" ht="12.75" hidden="false" customHeight="false" outlineLevel="0" collapsed="false">
      <c r="F144" s="283" t="str">
        <f aca="false">IF(F$4&gt;0,(IF(E144&lt;&gt;0,E144*F$4/100," ")),IF(E144&lt;&gt;0,E144*F$2/(100+F$2)," "))</f>
        <v> </v>
      </c>
      <c r="G144" s="283" t="str">
        <f aca="false">IF((E144&lt;&gt;0),E144-F144," ")</f>
        <v> </v>
      </c>
    </row>
    <row r="145" customFormat="false" ht="12.75" hidden="false" customHeight="false" outlineLevel="0" collapsed="false">
      <c r="F145" s="283" t="str">
        <f aca="false">IF(F$4&gt;0,(IF(E145&lt;&gt;0,E145*F$4/100," ")),IF(E145&lt;&gt;0,E145*F$2/(100+F$2)," "))</f>
        <v> </v>
      </c>
      <c r="G145" s="283" t="str">
        <f aca="false">IF((E145&lt;&gt;0),E145-F145," ")</f>
        <v> </v>
      </c>
    </row>
    <row r="146" customFormat="false" ht="12.75" hidden="false" customHeight="false" outlineLevel="0" collapsed="false">
      <c r="F146" s="283" t="str">
        <f aca="false">IF(F$4&gt;0,(IF(E146&lt;&gt;0,E146*F$4/100," ")),IF(E146&lt;&gt;0,E146*F$2/(100+F$2)," "))</f>
        <v> </v>
      </c>
      <c r="G146" s="283" t="str">
        <f aca="false">IF((E146&lt;&gt;0),E146-F146," ")</f>
        <v> </v>
      </c>
    </row>
    <row r="147" customFormat="false" ht="12.75" hidden="false" customHeight="false" outlineLevel="0" collapsed="false">
      <c r="F147" s="283" t="str">
        <f aca="false">IF(F$4&gt;0,(IF(E147&lt;&gt;0,E147*F$4/100," ")),IF(E147&lt;&gt;0,E147*F$2/(100+F$2)," "))</f>
        <v> </v>
      </c>
      <c r="G147" s="283" t="str">
        <f aca="false">IF((E147&lt;&gt;0),E147-F147," ")</f>
        <v> </v>
      </c>
    </row>
    <row r="148" customFormat="false" ht="12.75" hidden="false" customHeight="false" outlineLevel="0" collapsed="false">
      <c r="F148" s="283" t="str">
        <f aca="false">IF(F$4&gt;0,(IF(E148&lt;&gt;0,E148*F$4/100," ")),IF(E148&lt;&gt;0,E148*F$2/(100+F$2)," "))</f>
        <v> </v>
      </c>
      <c r="G148" s="283" t="str">
        <f aca="false">IF((E148&lt;&gt;0),E148-F148," ")</f>
        <v> </v>
      </c>
    </row>
    <row r="149" customFormat="false" ht="12.75" hidden="false" customHeight="false" outlineLevel="0" collapsed="false">
      <c r="F149" s="283" t="str">
        <f aca="false">IF(F$4&gt;0,(IF(E149&lt;&gt;0,E149*F$4/100," ")),IF(E149&lt;&gt;0,E149*F$2/(100+F$2)," "))</f>
        <v> </v>
      </c>
      <c r="G149" s="283" t="str">
        <f aca="false">IF((E149&lt;&gt;0),E149-F149," ")</f>
        <v> </v>
      </c>
    </row>
    <row r="150" customFormat="false" ht="12.75" hidden="false" customHeight="false" outlineLevel="0" collapsed="false">
      <c r="F150" s="283" t="str">
        <f aca="false">IF(F$4&gt;0,(IF(E150&lt;&gt;0,E150*F$4/100," ")),IF(E150&lt;&gt;0,E150*F$2/(100+F$2)," "))</f>
        <v> </v>
      </c>
      <c r="G150" s="283" t="str">
        <f aca="false">IF((E150&lt;&gt;0),E150-F150," ")</f>
        <v> </v>
      </c>
    </row>
    <row r="151" customFormat="false" ht="12.75" hidden="false" customHeight="false" outlineLevel="0" collapsed="false">
      <c r="F151" s="283" t="str">
        <f aca="false">IF(F$4&gt;0,(IF(E151&lt;&gt;0,E151*F$4/100," ")),IF(E151&lt;&gt;0,E151*F$2/(100+F$2)," "))</f>
        <v> </v>
      </c>
      <c r="G151" s="283" t="str">
        <f aca="false">IF((E151&lt;&gt;0),E151-F151," ")</f>
        <v> </v>
      </c>
    </row>
    <row r="152" customFormat="false" ht="12.75" hidden="false" customHeight="false" outlineLevel="0" collapsed="false">
      <c r="F152" s="283" t="str">
        <f aca="false">IF(F$4&gt;0,(IF(E152&lt;&gt;0,E152*F$4/100," ")),IF(E152&lt;&gt;0,E152*F$2/(100+F$2)," "))</f>
        <v> </v>
      </c>
      <c r="G152" s="283" t="str">
        <f aca="false">IF((E152&lt;&gt;0),E152-F152," ")</f>
        <v> </v>
      </c>
    </row>
    <row r="153" customFormat="false" ht="12.75" hidden="false" customHeight="false" outlineLevel="0" collapsed="false">
      <c r="F153" s="283" t="str">
        <f aca="false">IF(F$4&gt;0,(IF(E153&lt;&gt;0,E153*F$4/100," ")),IF(E153&lt;&gt;0,E153*F$2/(100+F$2)," "))</f>
        <v> </v>
      </c>
      <c r="G153" s="283" t="str">
        <f aca="false">IF((E153&lt;&gt;0),E153-F153," ")</f>
        <v> </v>
      </c>
    </row>
    <row r="154" customFormat="false" ht="12.75" hidden="false" customHeight="false" outlineLevel="0" collapsed="false">
      <c r="F154" s="283" t="str">
        <f aca="false">IF(F$4&gt;0,(IF(E154&lt;&gt;0,E154*F$4/100," ")),IF(E154&lt;&gt;0,E154*F$2/(100+F$2)," "))</f>
        <v> </v>
      </c>
      <c r="G154" s="283" t="str">
        <f aca="false">IF((E154&lt;&gt;0),E154-F154," ")</f>
        <v> </v>
      </c>
    </row>
    <row r="155" customFormat="false" ht="12.75" hidden="false" customHeight="false" outlineLevel="0" collapsed="false">
      <c r="F155" s="283" t="str">
        <f aca="false">IF(F$4&gt;0,(IF(E155&lt;&gt;0,E155*F$4/100," ")),IF(E155&lt;&gt;0,E155*F$2/(100+F$2)," "))</f>
        <v> </v>
      </c>
      <c r="G155" s="283" t="str">
        <f aca="false">IF((E155&lt;&gt;0),E155-F155," ")</f>
        <v> </v>
      </c>
    </row>
    <row r="156" customFormat="false" ht="12.75" hidden="false" customHeight="false" outlineLevel="0" collapsed="false">
      <c r="F156" s="283" t="str">
        <f aca="false">IF(F$4&gt;0,(IF(E156&lt;&gt;0,E156*F$4/100," ")),IF(E156&lt;&gt;0,E156*F$2/(100+F$2)," "))</f>
        <v> </v>
      </c>
      <c r="G156" s="283" t="str">
        <f aca="false">IF((E156&lt;&gt;0),E156-F156," ")</f>
        <v> </v>
      </c>
    </row>
    <row r="157" customFormat="false" ht="12.75" hidden="false" customHeight="false" outlineLevel="0" collapsed="false">
      <c r="F157" s="283" t="str">
        <f aca="false">IF(F$4&gt;0,(IF(E157&lt;&gt;0,E157*F$4/100," ")),IF(E157&lt;&gt;0,E157*F$2/(100+F$2)," "))</f>
        <v> </v>
      </c>
      <c r="G157" s="283" t="str">
        <f aca="false">IF((E157&lt;&gt;0),E157-F157," ")</f>
        <v> </v>
      </c>
    </row>
    <row r="158" customFormat="false" ht="12.75" hidden="false" customHeight="false" outlineLevel="0" collapsed="false">
      <c r="F158" s="283" t="str">
        <f aca="false">IF(F$4&gt;0,(IF(E158&lt;&gt;0,E158*F$4/100," ")),IF(E158&lt;&gt;0,E158*F$2/(100+F$2)," "))</f>
        <v> </v>
      </c>
      <c r="G158" s="283" t="str">
        <f aca="false">IF((E158&lt;&gt;0),E158-F158," ")</f>
        <v> </v>
      </c>
    </row>
    <row r="159" customFormat="false" ht="12.75" hidden="false" customHeight="false" outlineLevel="0" collapsed="false">
      <c r="F159" s="283" t="str">
        <f aca="false">IF(F$4&gt;0,(IF(E159&lt;&gt;0,E159*F$4/100," ")),IF(E159&lt;&gt;0,E159*F$2/(100+F$2)," "))</f>
        <v> </v>
      </c>
      <c r="G159" s="283" t="str">
        <f aca="false">IF((E159&lt;&gt;0),E159-F159," ")</f>
        <v> </v>
      </c>
    </row>
    <row r="160" customFormat="false" ht="12.75" hidden="false" customHeight="false" outlineLevel="0" collapsed="false">
      <c r="F160" s="283" t="str">
        <f aca="false">IF(F$4&gt;0,(IF(E160&lt;&gt;0,E160*F$4/100," ")),IF(E160&lt;&gt;0,E160*F$2/(100+F$2)," "))</f>
        <v> </v>
      </c>
      <c r="G160" s="283" t="str">
        <f aca="false">IF((E160&lt;&gt;0),E160-F160," ")</f>
        <v> </v>
      </c>
    </row>
    <row r="161" customFormat="false" ht="12.75" hidden="false" customHeight="false" outlineLevel="0" collapsed="false">
      <c r="F161" s="283" t="str">
        <f aca="false">IF(F$4&gt;0,(IF(E161&lt;&gt;0,E161*F$4/100," ")),IF(E161&lt;&gt;0,E161*F$2/(100+F$2)," "))</f>
        <v> </v>
      </c>
      <c r="G161" s="283" t="str">
        <f aca="false">IF((E161&lt;&gt;0),E161-F161," ")</f>
        <v> </v>
      </c>
    </row>
    <row r="162" customFormat="false" ht="12.75" hidden="false" customHeight="false" outlineLevel="0" collapsed="false">
      <c r="F162" s="283" t="str">
        <f aca="false">IF(F$4&gt;0,(IF(E162&lt;&gt;0,E162*F$4/100," ")),IF(E162&lt;&gt;0,E162*F$2/(100+F$2)," "))</f>
        <v> </v>
      </c>
      <c r="G162" s="283" t="str">
        <f aca="false">IF((E162&lt;&gt;0),E162-F162," ")</f>
        <v> </v>
      </c>
    </row>
    <row r="163" customFormat="false" ht="12.75" hidden="false" customHeight="false" outlineLevel="0" collapsed="false">
      <c r="F163" s="283" t="str">
        <f aca="false">IF(F$4&gt;0,(IF(E163&lt;&gt;0,E163*F$4/100," ")),IF(E163&lt;&gt;0,E163*F$2/(100+F$2)," "))</f>
        <v> </v>
      </c>
      <c r="G163" s="283" t="str">
        <f aca="false">IF((E163&lt;&gt;0),E163-F163," ")</f>
        <v> </v>
      </c>
    </row>
    <row r="164" customFormat="false" ht="12.75" hidden="false" customHeight="false" outlineLevel="0" collapsed="false">
      <c r="F164" s="283" t="str">
        <f aca="false">IF(F$4&gt;0,(IF(E164&lt;&gt;0,E164*F$4/100," ")),IF(E164&lt;&gt;0,E164*F$2/(100+F$2)," "))</f>
        <v> </v>
      </c>
      <c r="G164" s="283" t="str">
        <f aca="false">IF((E164&lt;&gt;0),E164-F164," ")</f>
        <v> </v>
      </c>
    </row>
    <row r="165" customFormat="false" ht="12.75" hidden="false" customHeight="false" outlineLevel="0" collapsed="false">
      <c r="F165" s="283" t="str">
        <f aca="false">IF(F$4&gt;0,(IF(E165&lt;&gt;0,E165*F$4/100," ")),IF(E165&lt;&gt;0,E165*F$2/(100+F$2)," "))</f>
        <v> </v>
      </c>
      <c r="G165" s="283" t="str">
        <f aca="false">IF((E165&lt;&gt;0),E165-F165," ")</f>
        <v> </v>
      </c>
    </row>
    <row r="166" customFormat="false" ht="12.75" hidden="false" customHeight="false" outlineLevel="0" collapsed="false">
      <c r="F166" s="283" t="str">
        <f aca="false">IF(F$4&gt;0,(IF(E166&lt;&gt;0,E166*F$4/100," ")),IF(E166&lt;&gt;0,E166*F$2/(100+F$2)," "))</f>
        <v> </v>
      </c>
      <c r="G166" s="283" t="str">
        <f aca="false">IF((E166&lt;&gt;0),E166-F166," ")</f>
        <v> </v>
      </c>
    </row>
    <row r="167" customFormat="false" ht="12.75" hidden="false" customHeight="false" outlineLevel="0" collapsed="false">
      <c r="F167" s="283" t="str">
        <f aca="false">IF(F$4&gt;0,(IF(E167&lt;&gt;0,E167*F$4/100," ")),IF(E167&lt;&gt;0,E167*F$2/(100+F$2)," "))</f>
        <v> </v>
      </c>
      <c r="G167" s="283" t="str">
        <f aca="false">IF((E167&lt;&gt;0),E167-F167," ")</f>
        <v> </v>
      </c>
    </row>
    <row r="168" customFormat="false" ht="12.75" hidden="false" customHeight="false" outlineLevel="0" collapsed="false">
      <c r="F168" s="283" t="str">
        <f aca="false">IF(F$4&gt;0,(IF(E168&lt;&gt;0,E168*F$4/100," ")),IF(E168&lt;&gt;0,E168*F$2/(100+F$2)," "))</f>
        <v> </v>
      </c>
      <c r="G168" s="283" t="str">
        <f aca="false">IF((E168&lt;&gt;0),E168-F168," ")</f>
        <v> </v>
      </c>
    </row>
    <row r="169" customFormat="false" ht="12.75" hidden="false" customHeight="false" outlineLevel="0" collapsed="false">
      <c r="F169" s="283" t="str">
        <f aca="false">IF(F$4&gt;0,(IF(E169&lt;&gt;0,E169*F$4/100," ")),IF(E169&lt;&gt;0,E169*F$2/(100+F$2)," "))</f>
        <v> </v>
      </c>
      <c r="G169" s="283" t="str">
        <f aca="false">IF((E169&lt;&gt;0),E169-F169," ")</f>
        <v> </v>
      </c>
    </row>
    <row r="170" customFormat="false" ht="12.75" hidden="false" customHeight="false" outlineLevel="0" collapsed="false">
      <c r="F170" s="283" t="str">
        <f aca="false">IF(F$4&gt;0,(IF(E170&lt;&gt;0,E170*F$4/100," ")),IF(E170&lt;&gt;0,E170*F$2/(100+F$2)," "))</f>
        <v> </v>
      </c>
      <c r="G170" s="283" t="str">
        <f aca="false">IF((E170&lt;&gt;0),E170-F170," ")</f>
        <v> </v>
      </c>
    </row>
    <row r="171" customFormat="false" ht="12.75" hidden="false" customHeight="false" outlineLevel="0" collapsed="false">
      <c r="F171" s="283" t="str">
        <f aca="false">IF(F$4&gt;0,(IF(E171&lt;&gt;0,E171*F$4/100," ")),IF(E171&lt;&gt;0,E171*F$2/(100+F$2)," "))</f>
        <v> </v>
      </c>
      <c r="G171" s="283" t="str">
        <f aca="false">IF((E171&lt;&gt;0),E171-F171," ")</f>
        <v> </v>
      </c>
    </row>
    <row r="172" customFormat="false" ht="12.75" hidden="false" customHeight="false" outlineLevel="0" collapsed="false">
      <c r="F172" s="283" t="str">
        <f aca="false">IF(F$4&gt;0,(IF(E172&lt;&gt;0,E172*F$4/100," ")),IF(E172&lt;&gt;0,E172*F$2/(100+F$2)," "))</f>
        <v> </v>
      </c>
      <c r="G172" s="283" t="str">
        <f aca="false">IF((E172&lt;&gt;0),E172-F172," ")</f>
        <v> </v>
      </c>
    </row>
    <row r="173" customFormat="false" ht="12.75" hidden="false" customHeight="false" outlineLevel="0" collapsed="false">
      <c r="F173" s="283" t="str">
        <f aca="false">IF(F$4&gt;0,(IF(E173&lt;&gt;0,E173*F$4/100," ")),IF(E173&lt;&gt;0,E173*F$2/(100+F$2)," "))</f>
        <v> </v>
      </c>
      <c r="G173" s="283" t="str">
        <f aca="false">IF((E173&lt;&gt;0),E173-F173," ")</f>
        <v> </v>
      </c>
    </row>
    <row r="174" customFormat="false" ht="12.75" hidden="false" customHeight="false" outlineLevel="0" collapsed="false">
      <c r="F174" s="283" t="str">
        <f aca="false">IF(F$4&gt;0,(IF(E174&lt;&gt;0,E174*F$4/100," ")),IF(E174&lt;&gt;0,E174*F$2/(100+F$2)," "))</f>
        <v> </v>
      </c>
      <c r="G174" s="283" t="str">
        <f aca="false">IF((E174&lt;&gt;0),E174-F174," ")</f>
        <v> </v>
      </c>
    </row>
    <row r="175" customFormat="false" ht="12.75" hidden="false" customHeight="false" outlineLevel="0" collapsed="false">
      <c r="F175" s="283" t="str">
        <f aca="false">IF(F$4&gt;0,(IF(E175&lt;&gt;0,E175*F$4/100," ")),IF(E175&lt;&gt;0,E175*F$2/(100+F$2)," "))</f>
        <v> </v>
      </c>
      <c r="G175" s="283" t="str">
        <f aca="false">IF((E175&lt;&gt;0),E175-F175," ")</f>
        <v> </v>
      </c>
    </row>
    <row r="176" customFormat="false" ht="12.75" hidden="false" customHeight="false" outlineLevel="0" collapsed="false">
      <c r="F176" s="283" t="str">
        <f aca="false">IF(F$4&gt;0,(IF(E176&lt;&gt;0,E176*F$4/100," ")),IF(E176&lt;&gt;0,E176*F$2/(100+F$2)," "))</f>
        <v> </v>
      </c>
      <c r="G176" s="283" t="str">
        <f aca="false">IF((E176&lt;&gt;0),E176-F176," ")</f>
        <v> </v>
      </c>
    </row>
    <row r="177" customFormat="false" ht="12.75" hidden="false" customHeight="false" outlineLevel="0" collapsed="false">
      <c r="F177" s="283" t="str">
        <f aca="false">IF(F$4&gt;0,(IF(E177&lt;&gt;0,E177*F$4/100," ")),IF(E177&lt;&gt;0,E177*F$2/(100+F$2)," "))</f>
        <v> </v>
      </c>
      <c r="G177" s="283" t="str">
        <f aca="false">IF((E177&lt;&gt;0),E177-F177," ")</f>
        <v> </v>
      </c>
    </row>
    <row r="178" customFormat="false" ht="12.75" hidden="false" customHeight="false" outlineLevel="0" collapsed="false">
      <c r="F178" s="283" t="str">
        <f aca="false">IF(F$4&gt;0,(IF(E178&lt;&gt;0,E178*F$4/100," ")),IF(E178&lt;&gt;0,E178*F$2/(100+F$2)," "))</f>
        <v> </v>
      </c>
      <c r="G178" s="283" t="str">
        <f aca="false">IF((E178&lt;&gt;0),E178-F178," ")</f>
        <v> </v>
      </c>
    </row>
    <row r="179" customFormat="false" ht="12.75" hidden="false" customHeight="false" outlineLevel="0" collapsed="false">
      <c r="F179" s="283" t="str">
        <f aca="false">IF(F$4&gt;0,(IF(E179&lt;&gt;0,E179*F$4/100," ")),IF(E179&lt;&gt;0,E179*F$2/(100+F$2)," "))</f>
        <v> </v>
      </c>
      <c r="G179" s="283" t="str">
        <f aca="false">IF((E179&lt;&gt;0),E179-F179," ")</f>
        <v> </v>
      </c>
    </row>
    <row r="180" customFormat="false" ht="12.75" hidden="false" customHeight="false" outlineLevel="0" collapsed="false">
      <c r="F180" s="283" t="str">
        <f aca="false">IF(F$4&gt;0,(IF(E180&lt;&gt;0,E180*F$4/100," ")),IF(E180&lt;&gt;0,E180*F$2/(100+F$2)," "))</f>
        <v> </v>
      </c>
      <c r="G180" s="283" t="str">
        <f aca="false">IF((E180&lt;&gt;0),E180-F180," ")</f>
        <v> </v>
      </c>
    </row>
    <row r="181" customFormat="false" ht="12.75" hidden="false" customHeight="false" outlineLevel="0" collapsed="false">
      <c r="F181" s="283" t="str">
        <f aca="false">IF(F$4&gt;0,(IF(E181&lt;&gt;0,E181*F$4/100," ")),IF(E181&lt;&gt;0,E181*F$2/(100+F$2)," "))</f>
        <v> </v>
      </c>
      <c r="G181" s="283" t="str">
        <f aca="false">IF((E181&lt;&gt;0),E181-F181," ")</f>
        <v> </v>
      </c>
    </row>
    <row r="182" customFormat="false" ht="12.75" hidden="false" customHeight="false" outlineLevel="0" collapsed="false">
      <c r="F182" s="283" t="str">
        <f aca="false">IF(F$4&gt;0,(IF(E182&lt;&gt;0,E182*F$4/100," ")),IF(E182&lt;&gt;0,E182*F$2/(100+F$2)," "))</f>
        <v> </v>
      </c>
      <c r="G182" s="283" t="str">
        <f aca="false">IF((E182&lt;&gt;0),E182-F182," ")</f>
        <v> </v>
      </c>
    </row>
    <row r="183" customFormat="false" ht="12.75" hidden="false" customHeight="false" outlineLevel="0" collapsed="false">
      <c r="F183" s="283" t="str">
        <f aca="false">IF(F$4&gt;0,(IF(E183&lt;&gt;0,E183*F$4/100," ")),IF(E183&lt;&gt;0,E183*F$2/(100+F$2)," "))</f>
        <v> </v>
      </c>
      <c r="G183" s="283" t="str">
        <f aca="false">IF((E183&lt;&gt;0),E183-F183," ")</f>
        <v> </v>
      </c>
    </row>
    <row r="184" customFormat="false" ht="12.75" hidden="false" customHeight="false" outlineLevel="0" collapsed="false">
      <c r="F184" s="283" t="str">
        <f aca="false">IF(F$4&gt;0,(IF(E184&lt;&gt;0,E184*F$4/100," ")),IF(E184&lt;&gt;0,E184*F$2/(100+F$2)," "))</f>
        <v> </v>
      </c>
      <c r="G184" s="283" t="str">
        <f aca="false">IF((E184&lt;&gt;0),E184-F184," ")</f>
        <v> </v>
      </c>
    </row>
    <row r="185" customFormat="false" ht="12.75" hidden="false" customHeight="false" outlineLevel="0" collapsed="false">
      <c r="F185" s="283" t="str">
        <f aca="false">IF(F$4&gt;0,(IF(E185&lt;&gt;0,E185*F$4/100," ")),IF(E185&lt;&gt;0,E185*F$2/(100+F$2)," "))</f>
        <v> </v>
      </c>
      <c r="G185" s="283" t="str">
        <f aca="false">IF((E185&lt;&gt;0),E185-F185," ")</f>
        <v> </v>
      </c>
    </row>
    <row r="186" customFormat="false" ht="12.75" hidden="false" customHeight="false" outlineLevel="0" collapsed="false">
      <c r="F186" s="283" t="str">
        <f aca="false">IF(F$4&gt;0,(IF(E186&lt;&gt;0,E186*F$4/100," ")),IF(E186&lt;&gt;0,E186*F$2/(100+F$2)," "))</f>
        <v> </v>
      </c>
      <c r="G186" s="283" t="str">
        <f aca="false">IF((E186&lt;&gt;0),E186-F186," ")</f>
        <v> </v>
      </c>
    </row>
    <row r="187" customFormat="false" ht="12.75" hidden="false" customHeight="false" outlineLevel="0" collapsed="false">
      <c r="F187" s="283" t="str">
        <f aca="false">IF(F$4&gt;0,(IF(E187&lt;&gt;0,E187*F$4/100," ")),IF(E187&lt;&gt;0,E187*F$2/(100+F$2)," "))</f>
        <v> </v>
      </c>
      <c r="G187" s="283" t="str">
        <f aca="false">IF((E187&lt;&gt;0),E187-F187," ")</f>
        <v> </v>
      </c>
    </row>
    <row r="188" customFormat="false" ht="12.75" hidden="false" customHeight="false" outlineLevel="0" collapsed="false">
      <c r="F188" s="283" t="str">
        <f aca="false">IF(F$4&gt;0,(IF(E188&lt;&gt;0,E188*F$4/100," ")),IF(E188&lt;&gt;0,E188*F$2/(100+F$2)," "))</f>
        <v> </v>
      </c>
      <c r="G188" s="283" t="str">
        <f aca="false">IF((E188&lt;&gt;0),E188-F188," ")</f>
        <v> </v>
      </c>
    </row>
    <row r="189" customFormat="false" ht="12.75" hidden="false" customHeight="false" outlineLevel="0" collapsed="false">
      <c r="F189" s="283" t="str">
        <f aca="false">IF(F$4&gt;0,(IF(E189&lt;&gt;0,E189*F$4/100," ")),IF(E189&lt;&gt;0,E189*F$2/(100+F$2)," "))</f>
        <v> </v>
      </c>
      <c r="G189" s="283" t="str">
        <f aca="false">IF((E189&lt;&gt;0),E189-F189," ")</f>
        <v> </v>
      </c>
    </row>
    <row r="190" customFormat="false" ht="12.75" hidden="false" customHeight="false" outlineLevel="0" collapsed="false">
      <c r="F190" s="283" t="str">
        <f aca="false">IF(F$4&gt;0,(IF(E190&lt;&gt;0,E190*F$4/100," ")),IF(E190&lt;&gt;0,E190*F$2/(100+F$2)," "))</f>
        <v> </v>
      </c>
      <c r="G190" s="283" t="str">
        <f aca="false">IF((E190&lt;&gt;0),E190-F190," ")</f>
        <v> </v>
      </c>
    </row>
    <row r="191" customFormat="false" ht="12.75" hidden="false" customHeight="false" outlineLevel="0" collapsed="false">
      <c r="F191" s="283" t="str">
        <f aca="false">IF(F$4&gt;0,(IF(E191&lt;&gt;0,E191*F$4/100," ")),IF(E191&lt;&gt;0,E191*F$2/(100+F$2)," "))</f>
        <v> </v>
      </c>
      <c r="G191" s="283" t="str">
        <f aca="false">IF((E191&lt;&gt;0),E191-F191," ")</f>
        <v> </v>
      </c>
    </row>
    <row r="192" customFormat="false" ht="12.75" hidden="false" customHeight="false" outlineLevel="0" collapsed="false">
      <c r="F192" s="283" t="str">
        <f aca="false">IF(F$4&gt;0,(IF(E192&lt;&gt;0,E192*F$4/100," ")),IF(E192&lt;&gt;0,E192*F$2/(100+F$2)," "))</f>
        <v> </v>
      </c>
      <c r="G192" s="283" t="str">
        <f aca="false">IF((E192&lt;&gt;0),E192-F192," ")</f>
        <v> </v>
      </c>
    </row>
    <row r="193" customFormat="false" ht="12.75" hidden="false" customHeight="false" outlineLevel="0" collapsed="false">
      <c r="F193" s="283" t="str">
        <f aca="false">IF(F$4&gt;0,(IF(E193&lt;&gt;0,E193*F$4/100," ")),IF(E193&lt;&gt;0,E193*F$2/(100+F$2)," "))</f>
        <v> </v>
      </c>
      <c r="G193" s="283" t="str">
        <f aca="false">IF((E193&lt;&gt;0),E193-F193," ")</f>
        <v> </v>
      </c>
    </row>
    <row r="194" customFormat="false" ht="12.75" hidden="false" customHeight="false" outlineLevel="0" collapsed="false">
      <c r="F194" s="283" t="str">
        <f aca="false">IF(F$4&gt;0,(IF(E194&lt;&gt;0,E194*F$4/100," ")),IF(E194&lt;&gt;0,E194*F$2/(100+F$2)," "))</f>
        <v> </v>
      </c>
      <c r="G194" s="283" t="str">
        <f aca="false">IF((E194&lt;&gt;0),E194-F194," ")</f>
        <v> </v>
      </c>
    </row>
    <row r="195" customFormat="false" ht="12.75" hidden="false" customHeight="false" outlineLevel="0" collapsed="false">
      <c r="F195" s="283" t="str">
        <f aca="false">IF(F$4&gt;0,(IF(E195&lt;&gt;0,E195*F$4/100," ")),IF(E195&lt;&gt;0,E195*F$2/(100+F$2)," "))</f>
        <v> </v>
      </c>
      <c r="G195" s="283" t="str">
        <f aca="false">IF((E195&lt;&gt;0),E195-F195," ")</f>
        <v> </v>
      </c>
    </row>
    <row r="196" customFormat="false" ht="12.75" hidden="false" customHeight="false" outlineLevel="0" collapsed="false">
      <c r="F196" s="283" t="str">
        <f aca="false">IF(F$4&gt;0,(IF(E196&lt;&gt;0,E196*F$4/100," ")),IF(E196&lt;&gt;0,E196*F$2/(100+F$2)," "))</f>
        <v> </v>
      </c>
      <c r="G196" s="283" t="str">
        <f aca="false">IF((E196&lt;&gt;0),E196-F196," ")</f>
        <v> </v>
      </c>
    </row>
    <row r="197" customFormat="false" ht="12.75" hidden="false" customHeight="false" outlineLevel="0" collapsed="false">
      <c r="F197" s="283" t="str">
        <f aca="false">IF(F$4&gt;0,(IF(E197&lt;&gt;0,E197*F$4/100," ")),IF(E197&lt;&gt;0,E197*F$2/(100+F$2)," "))</f>
        <v> </v>
      </c>
      <c r="G197" s="283" t="str">
        <f aca="false">IF((E197&lt;&gt;0),E197-F197," ")</f>
        <v> </v>
      </c>
    </row>
    <row r="198" customFormat="false" ht="12.75" hidden="false" customHeight="false" outlineLevel="0" collapsed="false">
      <c r="F198" s="283" t="str">
        <f aca="false">IF(F$4&gt;0,(IF(E198&lt;&gt;0,E198*F$4/100," ")),IF(E198&lt;&gt;0,E198*F$2/(100+F$2)," "))</f>
        <v> </v>
      </c>
      <c r="G198" s="283" t="str">
        <f aca="false">IF((E198&lt;&gt;0),E198-F198," ")</f>
        <v> </v>
      </c>
    </row>
    <row r="199" customFormat="false" ht="12.75" hidden="false" customHeight="false" outlineLevel="0" collapsed="false">
      <c r="F199" s="283" t="str">
        <f aca="false">IF(F$4&gt;0,(IF(E199&lt;&gt;0,E199*F$4/100," ")),IF(E199&lt;&gt;0,E199*F$2/(100+F$2)," "))</f>
        <v> </v>
      </c>
      <c r="G199" s="283" t="str">
        <f aca="false">IF((E199&lt;&gt;0),E199-F199," ")</f>
        <v> </v>
      </c>
    </row>
    <row r="200" customFormat="false" ht="12.75" hidden="false" customHeight="false" outlineLevel="0" collapsed="false">
      <c r="A200" s="175"/>
      <c r="B200" s="166"/>
      <c r="C200" s="173"/>
      <c r="D200" s="169"/>
      <c r="E200" s="166"/>
      <c r="F200" s="166" t="str">
        <f aca="false">IF(F$4&gt;0,(IF(E200&lt;&gt;0,E200*F$4/100," ")),IF(E200&lt;&gt;0,E200*F$2/(100+F$2)," "))</f>
        <v> </v>
      </c>
      <c r="G200" s="166" t="str">
        <f aca="false">IF((E200&lt;&gt;0),E200-F200," ")</f>
        <v> </v>
      </c>
    </row>
    <row r="201" customFormat="false" ht="12.75" hidden="false" customHeight="false" outlineLevel="0" collapsed="false">
      <c r="A201" s="285" t="s">
        <v>544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68" width="8.82"/>
    <col collapsed="false" customWidth="true" hidden="false" outlineLevel="0" max="2" min="2" style="184" width="19.66"/>
    <col collapsed="false" customWidth="true" hidden="false" outlineLevel="0" max="3" min="3" style="155" width="12.66"/>
    <col collapsed="false" customWidth="true" hidden="false" outlineLevel="0" max="4" min="4" style="187" width="5.82"/>
    <col collapsed="false" customWidth="true" hidden="false" outlineLevel="0" max="5" min="5" style="192" width="14.66"/>
    <col collapsed="false" customWidth="true" hidden="false" outlineLevel="0" max="6" min="6" style="156" width="5.66"/>
    <col collapsed="false" customWidth="true" hidden="false" outlineLevel="0" max="7" min="7" style="153" width="10.5"/>
    <col collapsed="false" customWidth="true" hidden="false" outlineLevel="0" max="8" min="8" style="153" width="9.66"/>
    <col collapsed="false" customWidth="true" hidden="false" outlineLevel="0" max="9" min="9" style="153" width="10.66"/>
    <col collapsed="false" customWidth="false" hidden="false" outlineLevel="0" max="257" min="10" style="184" width="9.15"/>
  </cols>
  <sheetData>
    <row r="1" s="171" customFormat="true" ht="30" hidden="false" customHeight="true" outlineLevel="0" collapsed="false">
      <c r="A1" s="398" t="s">
        <v>536</v>
      </c>
      <c r="B1" s="398"/>
      <c r="C1" s="347" t="s">
        <v>545</v>
      </c>
      <c r="D1" s="364"/>
      <c r="E1" s="181" t="s">
        <v>537</v>
      </c>
      <c r="F1" s="403"/>
      <c r="G1" s="181" t="n">
        <f aca="false">SUM(G5:G200)</f>
        <v>0</v>
      </c>
      <c r="H1" s="181" t="n">
        <f aca="false">SUM(H5:H200)</f>
        <v>0</v>
      </c>
      <c r="I1" s="181" t="n">
        <f aca="false">SUM(I5:I200)</f>
        <v>0</v>
      </c>
    </row>
    <row r="2" s="212" customFormat="true" ht="12" hidden="false" customHeight="true" outlineLevel="0" collapsed="false">
      <c r="A2" s="404" t="s">
        <v>546</v>
      </c>
      <c r="B2" s="405" t="str">
        <f aca="false">IF((I1-SUM(P1:AL1)&lt;&gt;0),"COMPLETE EXPENSE ANALYSIS by inserting expense letter in col F","Supplier")</f>
        <v>Supplier</v>
      </c>
      <c r="C2" s="347"/>
      <c r="D2" s="364"/>
      <c r="E2" s="406" t="s">
        <v>547</v>
      </c>
      <c r="F2" s="403"/>
      <c r="G2" s="407" t="s">
        <v>548</v>
      </c>
      <c r="H2" s="257" t="n">
        <f aca="false">[2]OpeningCreditors!$H$2</f>
        <v>0</v>
      </c>
      <c r="I2" s="407" t="s">
        <v>549</v>
      </c>
    </row>
    <row r="3" s="238" customFormat="true" ht="12" hidden="false" customHeight="true" outlineLevel="0" collapsed="false">
      <c r="A3" s="404"/>
      <c r="B3" s="404"/>
      <c r="C3" s="347"/>
      <c r="D3" s="364"/>
      <c r="E3" s="364"/>
      <c r="F3" s="364"/>
      <c r="G3" s="407"/>
      <c r="H3" s="407" t="s">
        <v>550</v>
      </c>
      <c r="I3" s="407"/>
    </row>
    <row r="4" customFormat="false" ht="12.75" hidden="false" customHeight="false" outlineLevel="0" collapsed="false">
      <c r="A4" s="404"/>
      <c r="B4" s="404"/>
      <c r="C4" s="347"/>
      <c r="D4" s="364"/>
      <c r="E4" s="364"/>
      <c r="F4" s="364"/>
      <c r="G4" s="407"/>
      <c r="H4" s="407"/>
      <c r="I4" s="407"/>
    </row>
    <row r="5" customFormat="false" ht="12.75" hidden="false" customHeight="false" outlineLevel="0" collapsed="false">
      <c r="B5" s="156"/>
      <c r="C5" s="187"/>
      <c r="E5" s="156"/>
      <c r="F5" s="184"/>
      <c r="G5" s="237"/>
      <c r="H5" s="153" t="str">
        <f aca="false">IF(G5&lt;&gt;0,G5*H$2/(100+H$2)," ")</f>
        <v> </v>
      </c>
      <c r="I5" s="153" t="str">
        <f aca="false">IF((G5&lt;&gt;0),G5-H5," ")</f>
        <v> </v>
      </c>
    </row>
    <row r="6" customFormat="false" ht="12.75" hidden="false" customHeight="false" outlineLevel="0" collapsed="false">
      <c r="F6" s="184"/>
      <c r="H6" s="153" t="str">
        <f aca="false">IF(G6&lt;&gt;0,G6*H$2/(100+H$2)," ")</f>
        <v> </v>
      </c>
      <c r="I6" s="153" t="str">
        <f aca="false">IF((G6&lt;&gt;0),G6-H6," ")</f>
        <v> </v>
      </c>
    </row>
    <row r="7" customFormat="false" ht="12.75" hidden="false" customHeight="false" outlineLevel="0" collapsed="false">
      <c r="F7" s="184"/>
      <c r="H7" s="153" t="str">
        <f aca="false">IF(G7&lt;&gt;0,G7*H$2/(100+H$2)," ")</f>
        <v> </v>
      </c>
      <c r="I7" s="153" t="str">
        <f aca="false">IF((G7&lt;&gt;0),G7-H7," ")</f>
        <v> </v>
      </c>
    </row>
    <row r="8" customFormat="false" ht="12.75" hidden="false" customHeight="false" outlineLevel="0" collapsed="false">
      <c r="F8" s="184"/>
      <c r="H8" s="153" t="str">
        <f aca="false">IF(G8&lt;&gt;0,G8*H$2/(100+H$2)," ")</f>
        <v> </v>
      </c>
      <c r="I8" s="153" t="str">
        <f aca="false">IF((G8&lt;&gt;0),G8-H8," ")</f>
        <v> </v>
      </c>
    </row>
    <row r="9" customFormat="false" ht="12.75" hidden="false" customHeight="false" outlineLevel="0" collapsed="false">
      <c r="F9" s="184"/>
      <c r="H9" s="153" t="str">
        <f aca="false">IF(G9&lt;&gt;0,G9*H$2/(100+H$2)," ")</f>
        <v> </v>
      </c>
      <c r="I9" s="153" t="str">
        <f aca="false">IF((G9&lt;&gt;0),G9-H9," ")</f>
        <v> </v>
      </c>
    </row>
    <row r="10" customFormat="false" ht="12.75" hidden="false" customHeight="false" outlineLevel="0" collapsed="false">
      <c r="F10" s="184"/>
      <c r="H10" s="153" t="str">
        <f aca="false">IF(G10&lt;&gt;0,G10*H$2/(100+H$2)," ")</f>
        <v> </v>
      </c>
      <c r="I10" s="153" t="str">
        <f aca="false">IF((G10&lt;&gt;0),G10-H10," ")</f>
        <v> </v>
      </c>
    </row>
    <row r="11" customFormat="false" ht="12.75" hidden="false" customHeight="false" outlineLevel="0" collapsed="false">
      <c r="F11" s="184"/>
      <c r="H11" s="153" t="str">
        <f aca="false">IF(G11&lt;&gt;0,G11*H$2/(100+H$2)," ")</f>
        <v> </v>
      </c>
      <c r="I11" s="153" t="str">
        <f aca="false">IF((G11&lt;&gt;0),G11-H11," ")</f>
        <v> </v>
      </c>
    </row>
    <row r="12" customFormat="false" ht="12.75" hidden="false" customHeight="false" outlineLevel="0" collapsed="false">
      <c r="F12" s="184"/>
      <c r="H12" s="153" t="str">
        <f aca="false">IF(G12&lt;&gt;0,G12*H$2/(100+H$2)," ")</f>
        <v> </v>
      </c>
      <c r="I12" s="153" t="str">
        <f aca="false">IF((G12&lt;&gt;0),G12-H12," ")</f>
        <v> </v>
      </c>
    </row>
    <row r="13" customFormat="false" ht="12.75" hidden="false" customHeight="false" outlineLevel="0" collapsed="false">
      <c r="F13" s="184"/>
      <c r="H13" s="153" t="str">
        <f aca="false">IF(G13&lt;&gt;0,G13*H$2/(100+H$2)," ")</f>
        <v> </v>
      </c>
      <c r="I13" s="153" t="str">
        <f aca="false">IF((G13&lt;&gt;0),G13-H13," ")</f>
        <v> </v>
      </c>
    </row>
    <row r="14" customFormat="false" ht="12.75" hidden="false" customHeight="false" outlineLevel="0" collapsed="false">
      <c r="F14" s="184"/>
      <c r="H14" s="153" t="str">
        <f aca="false">IF(G14&lt;&gt;0,G14*H$2/(100+H$2)," ")</f>
        <v> </v>
      </c>
      <c r="I14" s="153" t="str">
        <f aca="false">IF((G14&lt;&gt;0),G14-H14," ")</f>
        <v> </v>
      </c>
    </row>
    <row r="15" customFormat="false" ht="12.75" hidden="false" customHeight="false" outlineLevel="0" collapsed="false">
      <c r="F15" s="184"/>
      <c r="H15" s="153" t="str">
        <f aca="false">IF(H$4="X"," ",IF(G15&lt;&gt;0,G15*H$2/(100+H$2)," "))</f>
        <v> </v>
      </c>
      <c r="I15" s="153" t="str">
        <f aca="false">IF((G15&lt;&gt;0),G15-H15," ")</f>
        <v> </v>
      </c>
    </row>
    <row r="16" customFormat="false" ht="12.75" hidden="false" customHeight="false" outlineLevel="0" collapsed="false">
      <c r="F16" s="184"/>
      <c r="H16" s="153" t="str">
        <f aca="false">IF(H$4="X"," ",IF(G16&lt;&gt;0,G16*H$2/(100+H$2)," "))</f>
        <v> </v>
      </c>
      <c r="I16" s="153" t="str">
        <f aca="false">IF((G16&lt;&gt;0),G16-H16," ")</f>
        <v> </v>
      </c>
    </row>
    <row r="17" customFormat="false" ht="12.75" hidden="false" customHeight="false" outlineLevel="0" collapsed="false">
      <c r="F17" s="184"/>
      <c r="H17" s="153" t="str">
        <f aca="false">IF(H$4="X"," ",IF(G17&lt;&gt;0,G17*H$2/(100+H$2)," "))</f>
        <v> </v>
      </c>
      <c r="I17" s="153" t="str">
        <f aca="false">IF((G17&lt;&gt;0),G17-H17," ")</f>
        <v> </v>
      </c>
    </row>
    <row r="18" customFormat="false" ht="12.75" hidden="false" customHeight="false" outlineLevel="0" collapsed="false">
      <c r="F18" s="184"/>
      <c r="H18" s="153" t="str">
        <f aca="false">IF(H$4="X"," ",IF(G18&lt;&gt;0,G18*H$2/(100+H$2)," "))</f>
        <v> </v>
      </c>
      <c r="I18" s="153" t="str">
        <f aca="false">IF((G18&lt;&gt;0),G18-H18," ")</f>
        <v> </v>
      </c>
    </row>
    <row r="19" customFormat="false" ht="12.75" hidden="false" customHeight="false" outlineLevel="0" collapsed="false">
      <c r="F19" s="184"/>
      <c r="H19" s="153" t="str">
        <f aca="false">IF(H$4="X"," ",IF(G19&lt;&gt;0,G19*H$2/(100+H$2)," "))</f>
        <v> </v>
      </c>
      <c r="I19" s="153" t="str">
        <f aca="false">IF((G19&lt;&gt;0),G19-H19," ")</f>
        <v> </v>
      </c>
    </row>
    <row r="20" customFormat="false" ht="12.75" hidden="false" customHeight="false" outlineLevel="0" collapsed="false">
      <c r="F20" s="184"/>
      <c r="H20" s="153" t="str">
        <f aca="false">IF(H$4="X"," ",IF(G20&lt;&gt;0,G20*H$2/(100+H$2)," "))</f>
        <v> </v>
      </c>
      <c r="I20" s="153" t="str">
        <f aca="false">IF((G20&lt;&gt;0),G20-H20," ")</f>
        <v> </v>
      </c>
    </row>
    <row r="21" customFormat="false" ht="12.75" hidden="false" customHeight="false" outlineLevel="0" collapsed="false">
      <c r="F21" s="184"/>
      <c r="H21" s="153" t="str">
        <f aca="false">IF(H$4="X"," ",IF(G21&lt;&gt;0,G21*H$2/(100+H$2)," "))</f>
        <v> </v>
      </c>
      <c r="I21" s="153" t="str">
        <f aca="false">IF((G21&lt;&gt;0),G21-H21," ")</f>
        <v> </v>
      </c>
    </row>
    <row r="22" customFormat="false" ht="12.75" hidden="false" customHeight="false" outlineLevel="0" collapsed="false">
      <c r="E22" s="184"/>
      <c r="F22" s="184"/>
      <c r="H22" s="153" t="str">
        <f aca="false">IF(H$4="X"," ",IF(G22&lt;&gt;0,G22*H$2/(100+H$2)," "))</f>
        <v> </v>
      </c>
      <c r="I22" s="153" t="str">
        <f aca="false">IF((G22&lt;&gt;0),G22-H22," ")</f>
        <v> </v>
      </c>
    </row>
    <row r="23" customFormat="false" ht="12.75" hidden="false" customHeight="false" outlineLevel="0" collapsed="false">
      <c r="E23" s="240"/>
      <c r="F23" s="184"/>
      <c r="H23" s="153" t="str">
        <f aca="false">IF(H$4="X"," ",IF(G23&lt;&gt;0,G23*H$2/(100+H$2)," "))</f>
        <v> </v>
      </c>
      <c r="I23" s="153" t="str">
        <f aca="false">IF((G23&lt;&gt;0),G23-H23," ")</f>
        <v> </v>
      </c>
    </row>
    <row r="24" customFormat="false" ht="12.75" hidden="false" customHeight="false" outlineLevel="0" collapsed="false">
      <c r="F24" s="184"/>
      <c r="H24" s="153" t="str">
        <f aca="false">IF(H$4="X"," ",IF(G24&lt;&gt;0,G24*H$2/(100+H$2)," "))</f>
        <v> </v>
      </c>
      <c r="I24" s="153" t="str">
        <f aca="false">IF((G24&lt;&gt;0),G24-H24," ")</f>
        <v> </v>
      </c>
    </row>
    <row r="25" customFormat="false" ht="12.75" hidden="false" customHeight="false" outlineLevel="0" collapsed="false">
      <c r="F25" s="184"/>
      <c r="H25" s="153" t="str">
        <f aca="false">IF(H$4="X"," ",IF(G25&lt;&gt;0,G25*H$2/(100+H$2)," "))</f>
        <v> </v>
      </c>
      <c r="I25" s="153" t="str">
        <f aca="false">IF((G25&lt;&gt;0),G25-H25," ")</f>
        <v> </v>
      </c>
    </row>
    <row r="26" customFormat="false" ht="12.75" hidden="false" customHeight="false" outlineLevel="0" collapsed="false">
      <c r="F26" s="184"/>
      <c r="H26" s="153" t="str">
        <f aca="false">IF(H$4="X"," ",IF(G26&lt;&gt;0,G26*H$2/(100+H$2)," "))</f>
        <v> </v>
      </c>
      <c r="I26" s="153" t="str">
        <f aca="false">IF((G26&lt;&gt;0),G26-H26," ")</f>
        <v> </v>
      </c>
    </row>
    <row r="27" customFormat="false" ht="12.75" hidden="false" customHeight="false" outlineLevel="0" collapsed="false">
      <c r="F27" s="184"/>
      <c r="H27" s="153" t="str">
        <f aca="false">IF(H$4="X"," ",IF(G27&lt;&gt;0,G27*H$2/(100+H$2)," "))</f>
        <v> </v>
      </c>
      <c r="I27" s="153" t="str">
        <f aca="false">IF((G27&lt;&gt;0),G27-H27," ")</f>
        <v> </v>
      </c>
    </row>
    <row r="28" customFormat="false" ht="12.75" hidden="false" customHeight="false" outlineLevel="0" collapsed="false">
      <c r="F28" s="184"/>
      <c r="H28" s="153" t="str">
        <f aca="false">IF(H$4="X"," ",IF(G28&lt;&gt;0,G28*H$2/(100+H$2)," "))</f>
        <v> </v>
      </c>
      <c r="I28" s="153" t="str">
        <f aca="false">IF((G28&lt;&gt;0),G28-H28," ")</f>
        <v> </v>
      </c>
    </row>
    <row r="29" customFormat="false" ht="12.75" hidden="false" customHeight="false" outlineLevel="0" collapsed="false">
      <c r="F29" s="184"/>
      <c r="H29" s="153" t="str">
        <f aca="false">IF(H$4="X"," ",IF(G29&lt;&gt;0,G29*H$2/(100+H$2)," "))</f>
        <v> </v>
      </c>
      <c r="I29" s="153" t="str">
        <f aca="false">IF((G29&lt;&gt;0),G29-H29," ")</f>
        <v> </v>
      </c>
    </row>
    <row r="30" customFormat="false" ht="12.75" hidden="false" customHeight="false" outlineLevel="0" collapsed="false">
      <c r="F30" s="184"/>
      <c r="H30" s="153" t="str">
        <f aca="false">IF(H$4="X"," ",IF(G30&lt;&gt;0,G30*H$2/(100+H$2)," "))</f>
        <v> </v>
      </c>
      <c r="I30" s="153" t="str">
        <f aca="false">IF((G30&lt;&gt;0),G30-H30," ")</f>
        <v> </v>
      </c>
    </row>
    <row r="31" customFormat="false" ht="12.75" hidden="false" customHeight="false" outlineLevel="0" collapsed="false">
      <c r="F31" s="184"/>
      <c r="H31" s="153" t="str">
        <f aca="false">IF(H$4="X"," ",IF(G31&lt;&gt;0,G31*H$2/(100+H$2)," "))</f>
        <v> </v>
      </c>
      <c r="I31" s="153" t="str">
        <f aca="false">IF((G31&lt;&gt;0),G31-H31," ")</f>
        <v> </v>
      </c>
    </row>
    <row r="32" customFormat="false" ht="12.75" hidden="false" customHeight="false" outlineLevel="0" collapsed="false">
      <c r="F32" s="184"/>
      <c r="H32" s="153" t="str">
        <f aca="false">IF(H$4="X"," ",IF(G32&lt;&gt;0,G32*H$2/(100+H$2)," "))</f>
        <v> </v>
      </c>
      <c r="I32" s="153" t="str">
        <f aca="false">IF((G32&lt;&gt;0),G32-H32," ")</f>
        <v> </v>
      </c>
    </row>
    <row r="33" customFormat="false" ht="12.75" hidden="false" customHeight="false" outlineLevel="0" collapsed="false">
      <c r="F33" s="184"/>
      <c r="H33" s="153" t="str">
        <f aca="false">IF(H$4="X"," ",IF(G33&lt;&gt;0,G33*H$2/(100+H$2)," "))</f>
        <v> </v>
      </c>
      <c r="I33" s="153" t="str">
        <f aca="false">IF((G33&lt;&gt;0),G33-H33," ")</f>
        <v> </v>
      </c>
    </row>
    <row r="34" customFormat="false" ht="12.75" hidden="false" customHeight="false" outlineLevel="0" collapsed="false">
      <c r="F34" s="184"/>
      <c r="H34" s="153" t="str">
        <f aca="false">IF(H$4="X"," ",IF(G34&lt;&gt;0,G34*H$2/(100+H$2)," "))</f>
        <v> </v>
      </c>
      <c r="I34" s="153" t="str">
        <f aca="false">IF((G34&lt;&gt;0),G34-H34," ")</f>
        <v> </v>
      </c>
    </row>
    <row r="35" customFormat="false" ht="12.75" hidden="false" customHeight="false" outlineLevel="0" collapsed="false">
      <c r="F35" s="184"/>
      <c r="H35" s="153" t="str">
        <f aca="false">IF(H$4="X"," ",IF(G35&lt;&gt;0,G35*H$2/(100+H$2)," "))</f>
        <v> </v>
      </c>
      <c r="I35" s="153" t="str">
        <f aca="false">IF((G35&lt;&gt;0),G35-H35," ")</f>
        <v> </v>
      </c>
    </row>
    <row r="36" customFormat="false" ht="12.75" hidden="false" customHeight="false" outlineLevel="0" collapsed="false">
      <c r="F36" s="184"/>
      <c r="H36" s="153" t="str">
        <f aca="false">IF(H$4="X"," ",IF(G36&lt;&gt;0,G36*H$2/(100+H$2)," "))</f>
        <v> </v>
      </c>
      <c r="I36" s="153" t="str">
        <f aca="false">IF((G36&lt;&gt;0),G36-H36," ")</f>
        <v> </v>
      </c>
    </row>
    <row r="37" customFormat="false" ht="12.75" hidden="false" customHeight="false" outlineLevel="0" collapsed="false">
      <c r="F37" s="184"/>
      <c r="H37" s="153" t="str">
        <f aca="false">IF(H$4="X"," ",IF(G37&lt;&gt;0,G37*H$2/(100+H$2)," "))</f>
        <v> </v>
      </c>
      <c r="I37" s="153" t="str">
        <f aca="false">IF((G37&lt;&gt;0),G37-H37," ")</f>
        <v> </v>
      </c>
    </row>
    <row r="38" customFormat="false" ht="12.75" hidden="false" customHeight="false" outlineLevel="0" collapsed="false">
      <c r="F38" s="184"/>
      <c r="H38" s="153" t="str">
        <f aca="false">IF(H$4="X"," ",IF(G38&lt;&gt;0,G38*H$2/(100+H$2)," "))</f>
        <v> </v>
      </c>
      <c r="I38" s="153" t="str">
        <f aca="false">IF((G38&lt;&gt;0),G38-H38," ")</f>
        <v> </v>
      </c>
    </row>
    <row r="39" customFormat="false" ht="12.75" hidden="false" customHeight="false" outlineLevel="0" collapsed="false">
      <c r="F39" s="184"/>
      <c r="H39" s="153" t="str">
        <f aca="false">IF(H$4="X"," ",IF(G39&lt;&gt;0,G39*H$2/(100+H$2)," "))</f>
        <v> </v>
      </c>
      <c r="I39" s="153" t="str">
        <f aca="false">IF((G39&lt;&gt;0),G39-H39," ")</f>
        <v> </v>
      </c>
    </row>
    <row r="40" customFormat="false" ht="12.75" hidden="false" customHeight="false" outlineLevel="0" collapsed="false">
      <c r="F40" s="184"/>
      <c r="H40" s="153" t="str">
        <f aca="false">IF(H$4="X"," ",IF(G40&lt;&gt;0,G40*H$2/(100+H$2)," "))</f>
        <v> </v>
      </c>
      <c r="I40" s="153" t="str">
        <f aca="false">IF((G40&lt;&gt;0),G40-H40," ")</f>
        <v> </v>
      </c>
    </row>
    <row r="41" customFormat="false" ht="12.75" hidden="false" customHeight="false" outlineLevel="0" collapsed="false">
      <c r="F41" s="184"/>
      <c r="H41" s="153" t="str">
        <f aca="false">IF(H$4="X"," ",IF(G41&lt;&gt;0,G41*H$2/(100+H$2)," "))</f>
        <v> </v>
      </c>
      <c r="I41" s="153" t="str">
        <f aca="false">IF((G41&lt;&gt;0),G41-H41," ")</f>
        <v> </v>
      </c>
    </row>
    <row r="42" customFormat="false" ht="12.75" hidden="false" customHeight="false" outlineLevel="0" collapsed="false">
      <c r="F42" s="184"/>
      <c r="H42" s="153" t="str">
        <f aca="false">IF(H$4="X"," ",IF(G42&lt;&gt;0,G42*H$2/(100+H$2)," "))</f>
        <v> </v>
      </c>
      <c r="I42" s="153" t="str">
        <f aca="false">IF((G42&lt;&gt;0),G42-H42," ")</f>
        <v> </v>
      </c>
    </row>
    <row r="43" customFormat="false" ht="12.75" hidden="false" customHeight="false" outlineLevel="0" collapsed="false">
      <c r="F43" s="184"/>
      <c r="H43" s="153" t="str">
        <f aca="false">IF(H$4="X"," ",IF(G43&lt;&gt;0,G43*H$2/(100+H$2)," "))</f>
        <v> </v>
      </c>
      <c r="I43" s="153" t="str">
        <f aca="false">IF((G43&lt;&gt;0),G43-H43," ")</f>
        <v> </v>
      </c>
    </row>
    <row r="44" customFormat="false" ht="12.75" hidden="false" customHeight="false" outlineLevel="0" collapsed="false">
      <c r="F44" s="184"/>
      <c r="H44" s="153" t="str">
        <f aca="false">IF(H$4="X"," ",IF(G44&lt;&gt;0,G44*H$2/(100+H$2)," "))</f>
        <v> </v>
      </c>
      <c r="I44" s="153" t="str">
        <f aca="false">IF((G44&lt;&gt;0),G44-H44," ")</f>
        <v> </v>
      </c>
    </row>
    <row r="45" customFormat="false" ht="12.75" hidden="false" customHeight="false" outlineLevel="0" collapsed="false">
      <c r="F45" s="184"/>
      <c r="H45" s="153" t="str">
        <f aca="false">IF(H$4="X"," ",IF(G45&lt;&gt;0,G45*H$2/(100+H$2)," "))</f>
        <v> </v>
      </c>
      <c r="I45" s="153" t="str">
        <f aca="false">IF((G45&lt;&gt;0),G45-H45," ")</f>
        <v> </v>
      </c>
    </row>
    <row r="46" customFormat="false" ht="12.75" hidden="false" customHeight="false" outlineLevel="0" collapsed="false">
      <c r="F46" s="184"/>
      <c r="H46" s="153" t="str">
        <f aca="false">IF(H$4="X"," ",IF(G46&lt;&gt;0,G46*H$2/(100+H$2)," "))</f>
        <v> </v>
      </c>
      <c r="I46" s="153" t="str">
        <f aca="false">IF((G46&lt;&gt;0),G46-H46," ")</f>
        <v> </v>
      </c>
    </row>
    <row r="47" customFormat="false" ht="12.75" hidden="false" customHeight="false" outlineLevel="0" collapsed="false">
      <c r="F47" s="184"/>
      <c r="H47" s="153" t="str">
        <f aca="false">IF(H$4="X"," ",IF(G47&lt;&gt;0,G47*H$2/(100+H$2)," "))</f>
        <v> </v>
      </c>
      <c r="I47" s="153" t="str">
        <f aca="false">IF((G47&lt;&gt;0),G47-H47," ")</f>
        <v> </v>
      </c>
    </row>
    <row r="48" customFormat="false" ht="12.75" hidden="false" customHeight="false" outlineLevel="0" collapsed="false">
      <c r="F48" s="184"/>
      <c r="H48" s="153" t="str">
        <f aca="false">IF(H$4="X"," ",IF(G48&lt;&gt;0,G48*H$2/(100+H$2)," "))</f>
        <v> </v>
      </c>
      <c r="I48" s="153" t="str">
        <f aca="false">IF((G48&lt;&gt;0),G48-H48," ")</f>
        <v> </v>
      </c>
    </row>
    <row r="49" customFormat="false" ht="12.75" hidden="false" customHeight="false" outlineLevel="0" collapsed="false">
      <c r="F49" s="184"/>
      <c r="H49" s="153" t="str">
        <f aca="false">IF(H$4="X"," ",IF(G49&lt;&gt;0,G49*H$2/(100+H$2)," "))</f>
        <v> </v>
      </c>
      <c r="I49" s="153" t="str">
        <f aca="false">IF((G49&lt;&gt;0),G49-H49," ")</f>
        <v> </v>
      </c>
    </row>
    <row r="50" customFormat="false" ht="12.75" hidden="false" customHeight="false" outlineLevel="0" collapsed="false">
      <c r="F50" s="184"/>
      <c r="H50" s="153" t="str">
        <f aca="false">IF(H$4="X"," ",IF(G50&lt;&gt;0,G50*H$2/(100+H$2)," "))</f>
        <v> </v>
      </c>
      <c r="I50" s="153" t="str">
        <f aca="false">IF((G50&lt;&gt;0),G50-H50," ")</f>
        <v> </v>
      </c>
    </row>
    <row r="51" customFormat="false" ht="12.75" hidden="false" customHeight="false" outlineLevel="0" collapsed="false">
      <c r="F51" s="184"/>
      <c r="H51" s="153" t="str">
        <f aca="false">IF(H$4="X"," ",IF(G51&lt;&gt;0,G51*H$2/(100+H$2)," "))</f>
        <v> </v>
      </c>
      <c r="I51" s="153" t="str">
        <f aca="false">IF((G51&lt;&gt;0),G51-H51," ")</f>
        <v> </v>
      </c>
    </row>
    <row r="52" customFormat="false" ht="12.75" hidden="false" customHeight="false" outlineLevel="0" collapsed="false">
      <c r="F52" s="184"/>
      <c r="H52" s="153" t="str">
        <f aca="false">IF(H$4="X"," ",IF(G52&lt;&gt;0,G52*H$2/(100+H$2)," "))</f>
        <v> </v>
      </c>
      <c r="I52" s="153" t="str">
        <f aca="false">IF((G52&lt;&gt;0),G52-H52," ")</f>
        <v> </v>
      </c>
    </row>
    <row r="53" customFormat="false" ht="12.75" hidden="false" customHeight="false" outlineLevel="0" collapsed="false">
      <c r="F53" s="184"/>
      <c r="H53" s="153" t="str">
        <f aca="false">IF(H$4="X"," ",IF(G53&lt;&gt;0,G53*H$2/(100+H$2)," "))</f>
        <v> </v>
      </c>
      <c r="I53" s="153" t="str">
        <f aca="false">IF((G53&lt;&gt;0),G53-H53," ")</f>
        <v> </v>
      </c>
    </row>
    <row r="54" customFormat="false" ht="12.75" hidden="false" customHeight="false" outlineLevel="0" collapsed="false">
      <c r="F54" s="184"/>
      <c r="H54" s="153" t="str">
        <f aca="false">IF(H$4="X"," ",IF(G54&lt;&gt;0,G54*H$2/(100+H$2)," "))</f>
        <v> </v>
      </c>
      <c r="I54" s="153" t="str">
        <f aca="false">IF((G54&lt;&gt;0),G54-H54," ")</f>
        <v> </v>
      </c>
    </row>
    <row r="55" customFormat="false" ht="12.75" hidden="false" customHeight="false" outlineLevel="0" collapsed="false">
      <c r="F55" s="184"/>
      <c r="H55" s="153" t="str">
        <f aca="false">IF(H$4="X"," ",IF(G55&lt;&gt;0,G55*H$2/(100+H$2)," "))</f>
        <v> </v>
      </c>
      <c r="I55" s="153" t="str">
        <f aca="false">IF((G55&lt;&gt;0),G55-H55," ")</f>
        <v> </v>
      </c>
    </row>
    <row r="56" customFormat="false" ht="12.75" hidden="false" customHeight="false" outlineLevel="0" collapsed="false">
      <c r="F56" s="184"/>
      <c r="H56" s="153" t="str">
        <f aca="false">IF(H$4="X"," ",IF(G56&lt;&gt;0,G56*H$2/(100+H$2)," "))</f>
        <v> </v>
      </c>
      <c r="I56" s="153" t="str">
        <f aca="false">IF((G56&lt;&gt;0),G56-H56," ")</f>
        <v> </v>
      </c>
    </row>
    <row r="57" customFormat="false" ht="12.75" hidden="false" customHeight="false" outlineLevel="0" collapsed="false">
      <c r="F57" s="184"/>
      <c r="H57" s="153" t="str">
        <f aca="false">IF(H$4="X"," ",IF(G57&lt;&gt;0,G57*H$2/(100+H$2)," "))</f>
        <v> </v>
      </c>
      <c r="I57" s="153" t="str">
        <f aca="false">IF((G57&lt;&gt;0),G57-H57," ")</f>
        <v> </v>
      </c>
    </row>
    <row r="58" customFormat="false" ht="12.75" hidden="false" customHeight="false" outlineLevel="0" collapsed="false">
      <c r="F58" s="184"/>
      <c r="H58" s="153" t="str">
        <f aca="false">IF(H$4="X"," ",IF(G58&lt;&gt;0,G58*H$2/(100+H$2)," "))</f>
        <v> </v>
      </c>
      <c r="I58" s="153" t="str">
        <f aca="false">IF((G58&lt;&gt;0),G58-H58," ")</f>
        <v> </v>
      </c>
    </row>
    <row r="59" customFormat="false" ht="12.75" hidden="false" customHeight="false" outlineLevel="0" collapsed="false">
      <c r="F59" s="184"/>
      <c r="H59" s="153" t="str">
        <f aca="false">IF(H$4="X"," ",IF(G59&lt;&gt;0,G59*H$2/(100+H$2)," "))</f>
        <v> </v>
      </c>
      <c r="I59" s="153" t="str">
        <f aca="false">IF((G59&lt;&gt;0),G59-H59," ")</f>
        <v> </v>
      </c>
    </row>
    <row r="60" customFormat="false" ht="12.75" hidden="false" customHeight="false" outlineLevel="0" collapsed="false">
      <c r="F60" s="184"/>
      <c r="H60" s="153" t="str">
        <f aca="false">IF(H$4="X"," ",IF(G60&lt;&gt;0,G60*H$2/(100+H$2)," "))</f>
        <v> </v>
      </c>
      <c r="I60" s="153" t="str">
        <f aca="false">IF((G60&lt;&gt;0),G60-H60," ")</f>
        <v> </v>
      </c>
    </row>
    <row r="61" customFormat="false" ht="12.75" hidden="false" customHeight="false" outlineLevel="0" collapsed="false">
      <c r="F61" s="184"/>
      <c r="H61" s="153" t="str">
        <f aca="false">IF(H$4="X"," ",IF(G61&lt;&gt;0,G61*H$2/(100+H$2)," "))</f>
        <v> </v>
      </c>
      <c r="I61" s="153" t="str">
        <f aca="false">IF((G61&lt;&gt;0),G61-H61," ")</f>
        <v> </v>
      </c>
    </row>
    <row r="62" customFormat="false" ht="12.75" hidden="false" customHeight="false" outlineLevel="0" collapsed="false">
      <c r="F62" s="184"/>
      <c r="H62" s="153" t="str">
        <f aca="false">IF(H$4="X"," ",IF(G62&lt;&gt;0,G62*H$2/(100+H$2)," "))</f>
        <v> </v>
      </c>
      <c r="I62" s="153" t="str">
        <f aca="false">IF((G62&lt;&gt;0),G62-H62," ")</f>
        <v> </v>
      </c>
    </row>
    <row r="63" customFormat="false" ht="12.75" hidden="false" customHeight="false" outlineLevel="0" collapsed="false">
      <c r="F63" s="184"/>
      <c r="H63" s="153" t="str">
        <f aca="false">IF(H$4="X"," ",IF(G63&lt;&gt;0,G63*H$2/(100+H$2)," "))</f>
        <v> </v>
      </c>
      <c r="I63" s="153" t="str">
        <f aca="false">IF((G63&lt;&gt;0),G63-H63," ")</f>
        <v> </v>
      </c>
    </row>
    <row r="64" customFormat="false" ht="12.75" hidden="false" customHeight="false" outlineLevel="0" collapsed="false">
      <c r="F64" s="184"/>
      <c r="H64" s="153" t="str">
        <f aca="false">IF(H$4="X"," ",IF(G64&lt;&gt;0,G64*H$2/(100+H$2)," "))</f>
        <v> </v>
      </c>
      <c r="I64" s="153" t="str">
        <f aca="false">IF((G64&lt;&gt;0),G64-H64," ")</f>
        <v> </v>
      </c>
    </row>
    <row r="65" customFormat="false" ht="12.75" hidden="false" customHeight="false" outlineLevel="0" collapsed="false">
      <c r="F65" s="184"/>
      <c r="H65" s="153" t="str">
        <f aca="false">IF(H$4="X"," ",IF(G65&lt;&gt;0,G65*H$2/(100+H$2)," "))</f>
        <v> </v>
      </c>
      <c r="I65" s="153" t="str">
        <f aca="false">IF((G65&lt;&gt;0),G65-H65," ")</f>
        <v> </v>
      </c>
    </row>
    <row r="66" customFormat="false" ht="12.75" hidden="false" customHeight="false" outlineLevel="0" collapsed="false">
      <c r="F66" s="184"/>
      <c r="H66" s="153" t="str">
        <f aca="false">IF(H$4="X"," ",IF(G66&lt;&gt;0,G66*H$2/(100+H$2)," "))</f>
        <v> </v>
      </c>
      <c r="I66" s="153" t="str">
        <f aca="false">IF((G66&lt;&gt;0),G66-H66," ")</f>
        <v> </v>
      </c>
    </row>
    <row r="67" customFormat="false" ht="12.75" hidden="false" customHeight="false" outlineLevel="0" collapsed="false">
      <c r="F67" s="184"/>
      <c r="H67" s="153" t="str">
        <f aca="false">IF(H$4="X"," ",IF(G67&lt;&gt;0,G67*H$2/(100+H$2)," "))</f>
        <v> </v>
      </c>
      <c r="I67" s="153" t="str">
        <f aca="false">IF((G67&lt;&gt;0),G67-H67," ")</f>
        <v> </v>
      </c>
    </row>
    <row r="68" customFormat="false" ht="12.75" hidden="false" customHeight="false" outlineLevel="0" collapsed="false">
      <c r="F68" s="184"/>
      <c r="H68" s="153" t="str">
        <f aca="false">IF(H$4="X"," ",IF(G68&lt;&gt;0,G68*H$2/(100+H$2)," "))</f>
        <v> </v>
      </c>
      <c r="I68" s="153" t="str">
        <f aca="false">IF((G68&lt;&gt;0),G68-H68," ")</f>
        <v> </v>
      </c>
    </row>
    <row r="69" customFormat="false" ht="12.75" hidden="false" customHeight="false" outlineLevel="0" collapsed="false">
      <c r="F69" s="184"/>
      <c r="H69" s="153" t="str">
        <f aca="false">IF(H$4="X"," ",IF(G69&lt;&gt;0,G69*H$2/(100+H$2)," "))</f>
        <v> </v>
      </c>
      <c r="I69" s="153" t="str">
        <f aca="false">IF((G69&lt;&gt;0),G69-H69," ")</f>
        <v> </v>
      </c>
    </row>
    <row r="70" customFormat="false" ht="12.75" hidden="false" customHeight="false" outlineLevel="0" collapsed="false">
      <c r="F70" s="184"/>
      <c r="H70" s="153" t="str">
        <f aca="false">IF(H$4="X"," ",IF(G70&lt;&gt;0,G70*H$2/(100+H$2)," "))</f>
        <v> </v>
      </c>
      <c r="I70" s="153" t="str">
        <f aca="false">IF((G70&lt;&gt;0),G70-H70," ")</f>
        <v> </v>
      </c>
    </row>
    <row r="71" customFormat="false" ht="12.75" hidden="false" customHeight="false" outlineLevel="0" collapsed="false">
      <c r="F71" s="184"/>
      <c r="H71" s="153" t="str">
        <f aca="false">IF(H$4="X"," ",IF(G71&lt;&gt;0,G71*H$2/(100+H$2)," "))</f>
        <v> </v>
      </c>
      <c r="I71" s="153" t="str">
        <f aca="false">IF((G71&lt;&gt;0),G71-H71," ")</f>
        <v> </v>
      </c>
    </row>
    <row r="72" customFormat="false" ht="12.75" hidden="false" customHeight="false" outlineLevel="0" collapsed="false">
      <c r="F72" s="184"/>
      <c r="H72" s="153" t="str">
        <f aca="false">IF(H$4="X"," ",IF(G72&lt;&gt;0,G72*H$2/(100+H$2)," "))</f>
        <v> </v>
      </c>
      <c r="I72" s="153" t="str">
        <f aca="false">IF((G72&lt;&gt;0),G72-H72," ")</f>
        <v> </v>
      </c>
    </row>
    <row r="73" customFormat="false" ht="12.75" hidden="false" customHeight="false" outlineLevel="0" collapsed="false">
      <c r="F73" s="184"/>
      <c r="H73" s="153" t="str">
        <f aca="false">IF(H$4="X"," ",IF(G73&lt;&gt;0,G73*H$2/(100+H$2)," "))</f>
        <v> </v>
      </c>
      <c r="I73" s="153" t="str">
        <f aca="false">IF((G73&lt;&gt;0),G73-H73," ")</f>
        <v> </v>
      </c>
    </row>
    <row r="74" customFormat="false" ht="12.75" hidden="false" customHeight="false" outlineLevel="0" collapsed="false">
      <c r="F74" s="184"/>
      <c r="H74" s="153" t="str">
        <f aca="false">IF(H$4="X"," ",IF(G74&lt;&gt;0,G74*H$2/(100+H$2)," "))</f>
        <v> </v>
      </c>
      <c r="I74" s="153" t="str">
        <f aca="false">IF((G74&lt;&gt;0),G74-H74," ")</f>
        <v> </v>
      </c>
    </row>
    <row r="75" customFormat="false" ht="12.75" hidden="false" customHeight="false" outlineLevel="0" collapsed="false">
      <c r="F75" s="184"/>
      <c r="H75" s="153" t="str">
        <f aca="false">IF(H$4="X"," ",IF(G75&lt;&gt;0,G75*H$2/(100+H$2)," "))</f>
        <v> </v>
      </c>
      <c r="I75" s="153" t="str">
        <f aca="false">IF((G75&lt;&gt;0),G75-H75," ")</f>
        <v> </v>
      </c>
    </row>
    <row r="76" customFormat="false" ht="12.75" hidden="false" customHeight="false" outlineLevel="0" collapsed="false">
      <c r="F76" s="184"/>
      <c r="H76" s="153" t="str">
        <f aca="false">IF(H$4="X"," ",IF(G76&lt;&gt;0,G76*H$2/(100+H$2)," "))</f>
        <v> </v>
      </c>
      <c r="I76" s="153" t="str">
        <f aca="false">IF((G76&lt;&gt;0),G76-H76," ")</f>
        <v> </v>
      </c>
    </row>
    <row r="77" customFormat="false" ht="12.75" hidden="false" customHeight="false" outlineLevel="0" collapsed="false">
      <c r="F77" s="184"/>
      <c r="H77" s="153" t="str">
        <f aca="false">IF(H$4="X"," ",IF(G77&lt;&gt;0,G77*H$2/(100+H$2)," "))</f>
        <v> </v>
      </c>
      <c r="I77" s="153" t="str">
        <f aca="false">IF((G77&lt;&gt;0),G77-H77," ")</f>
        <v> </v>
      </c>
    </row>
    <row r="78" customFormat="false" ht="12.75" hidden="false" customHeight="false" outlineLevel="0" collapsed="false">
      <c r="F78" s="184"/>
      <c r="H78" s="153" t="str">
        <f aca="false">IF(H$4="X"," ",IF(G78&lt;&gt;0,G78*H$2/(100+H$2)," "))</f>
        <v> </v>
      </c>
      <c r="I78" s="153" t="str">
        <f aca="false">IF((G78&lt;&gt;0),G78-H78," ")</f>
        <v> </v>
      </c>
    </row>
    <row r="79" customFormat="false" ht="12.75" hidden="false" customHeight="false" outlineLevel="0" collapsed="false">
      <c r="F79" s="184"/>
      <c r="H79" s="153" t="str">
        <f aca="false">IF(H$4="X"," ",IF(G79&lt;&gt;0,G79*H$2/(100+H$2)," "))</f>
        <v> </v>
      </c>
      <c r="I79" s="153" t="str">
        <f aca="false">IF((G79&lt;&gt;0),G79-H79," ")</f>
        <v> </v>
      </c>
    </row>
    <row r="80" customFormat="false" ht="12.75" hidden="false" customHeight="false" outlineLevel="0" collapsed="false">
      <c r="F80" s="184"/>
      <c r="H80" s="153" t="str">
        <f aca="false">IF(H$4="X"," ",IF(G80&lt;&gt;0,G80*H$2/(100+H$2)," "))</f>
        <v> </v>
      </c>
      <c r="I80" s="153" t="str">
        <f aca="false">IF((G80&lt;&gt;0),G80-H80," ")</f>
        <v> </v>
      </c>
    </row>
    <row r="81" customFormat="false" ht="12.75" hidden="false" customHeight="false" outlineLevel="0" collapsed="false">
      <c r="F81" s="184"/>
      <c r="H81" s="153" t="str">
        <f aca="false">IF(H$4="X"," ",IF(G81&lt;&gt;0,G81*H$2/(100+H$2)," "))</f>
        <v> </v>
      </c>
      <c r="I81" s="153" t="str">
        <f aca="false">IF((G81&lt;&gt;0),G81-H81," ")</f>
        <v> </v>
      </c>
    </row>
    <row r="82" customFormat="false" ht="12.75" hidden="false" customHeight="false" outlineLevel="0" collapsed="false">
      <c r="F82" s="184"/>
      <c r="H82" s="153" t="str">
        <f aca="false">IF(H$4="X"," ",IF(G82&lt;&gt;0,G82*H$2/(100+H$2)," "))</f>
        <v> </v>
      </c>
      <c r="I82" s="153" t="str">
        <f aca="false">IF((G82&lt;&gt;0),G82-H82," ")</f>
        <v> </v>
      </c>
    </row>
    <row r="83" customFormat="false" ht="12.75" hidden="false" customHeight="false" outlineLevel="0" collapsed="false">
      <c r="F83" s="184"/>
      <c r="H83" s="153" t="str">
        <f aca="false">IF(H$4="X"," ",IF(G83&lt;&gt;0,G83*H$2/(100+H$2)," "))</f>
        <v> </v>
      </c>
      <c r="I83" s="153" t="str">
        <f aca="false">IF((G83&lt;&gt;0),G83-H83," ")</f>
        <v> </v>
      </c>
    </row>
    <row r="84" customFormat="false" ht="12.75" hidden="false" customHeight="false" outlineLevel="0" collapsed="false">
      <c r="F84" s="184"/>
      <c r="H84" s="153" t="str">
        <f aca="false">IF(H$4="X"," ",IF(G84&lt;&gt;0,G84*H$2/(100+H$2)," "))</f>
        <v> </v>
      </c>
      <c r="I84" s="153" t="str">
        <f aca="false">IF((G84&lt;&gt;0),G84-H84," ")</f>
        <v> </v>
      </c>
    </row>
    <row r="85" customFormat="false" ht="12.75" hidden="false" customHeight="false" outlineLevel="0" collapsed="false">
      <c r="F85" s="184"/>
      <c r="H85" s="153" t="str">
        <f aca="false">IF(H$4="X"," ",IF(G85&lt;&gt;0,G85*H$2/(100+H$2)," "))</f>
        <v> </v>
      </c>
      <c r="I85" s="153" t="str">
        <f aca="false">IF((G85&lt;&gt;0),G85-H85," ")</f>
        <v> </v>
      </c>
    </row>
    <row r="86" customFormat="false" ht="12.75" hidden="false" customHeight="false" outlineLevel="0" collapsed="false">
      <c r="F86" s="184"/>
      <c r="H86" s="153" t="str">
        <f aca="false">IF(H$4="X"," ",IF(G86&lt;&gt;0,G86*H$2/(100+H$2)," "))</f>
        <v> </v>
      </c>
      <c r="I86" s="153" t="str">
        <f aca="false">IF((G86&lt;&gt;0),G86-H86," ")</f>
        <v> </v>
      </c>
    </row>
    <row r="87" customFormat="false" ht="12.75" hidden="false" customHeight="false" outlineLevel="0" collapsed="false">
      <c r="F87" s="184"/>
      <c r="H87" s="153" t="str">
        <f aca="false">IF(H$4="X"," ",IF(G87&lt;&gt;0,G87*H$2/(100+H$2)," "))</f>
        <v> </v>
      </c>
      <c r="I87" s="153" t="str">
        <f aca="false">IF((G87&lt;&gt;0),G87-H87," ")</f>
        <v> </v>
      </c>
    </row>
    <row r="88" customFormat="false" ht="12.75" hidden="false" customHeight="false" outlineLevel="0" collapsed="false">
      <c r="F88" s="184"/>
      <c r="H88" s="153" t="str">
        <f aca="false">IF(H$4="X"," ",IF(G88&lt;&gt;0,G88*H$2/(100+H$2)," "))</f>
        <v> </v>
      </c>
      <c r="I88" s="153" t="str">
        <f aca="false">IF((G88&lt;&gt;0),G88-H88," ")</f>
        <v> </v>
      </c>
    </row>
    <row r="89" customFormat="false" ht="12.75" hidden="false" customHeight="false" outlineLevel="0" collapsed="false">
      <c r="F89" s="184"/>
      <c r="H89" s="153" t="str">
        <f aca="false">IF(H$4="X"," ",IF(G89&lt;&gt;0,G89*H$2/(100+H$2)," "))</f>
        <v> </v>
      </c>
      <c r="I89" s="153" t="str">
        <f aca="false">IF((G89&lt;&gt;0),G89-H89," ")</f>
        <v> </v>
      </c>
    </row>
    <row r="90" customFormat="false" ht="12.75" hidden="false" customHeight="false" outlineLevel="0" collapsed="false">
      <c r="F90" s="184"/>
      <c r="H90" s="153" t="str">
        <f aca="false">IF(H$4="X"," ",IF(G90&lt;&gt;0,G90*H$2/(100+H$2)," "))</f>
        <v> </v>
      </c>
      <c r="I90" s="153" t="str">
        <f aca="false">IF((G90&lt;&gt;0),G90-H90," ")</f>
        <v> </v>
      </c>
    </row>
    <row r="91" customFormat="false" ht="12.75" hidden="false" customHeight="false" outlineLevel="0" collapsed="false">
      <c r="F91" s="184"/>
      <c r="H91" s="153" t="str">
        <f aca="false">IF(H$4="X"," ",IF(G91&lt;&gt;0,G91*H$2/(100+H$2)," "))</f>
        <v> </v>
      </c>
      <c r="I91" s="153" t="str">
        <f aca="false">IF((G91&lt;&gt;0),G91-H91," ")</f>
        <v> </v>
      </c>
    </row>
    <row r="92" customFormat="false" ht="12.75" hidden="false" customHeight="false" outlineLevel="0" collapsed="false">
      <c r="F92" s="184"/>
      <c r="H92" s="153" t="str">
        <f aca="false">IF(H$4="X"," ",IF(G92&lt;&gt;0,G92*H$2/(100+H$2)," "))</f>
        <v> </v>
      </c>
      <c r="I92" s="153" t="str">
        <f aca="false">IF((G92&lt;&gt;0),G92-H92," ")</f>
        <v> </v>
      </c>
    </row>
    <row r="93" customFormat="false" ht="12.75" hidden="false" customHeight="false" outlineLevel="0" collapsed="false">
      <c r="F93" s="184"/>
      <c r="H93" s="153" t="str">
        <f aca="false">IF(H$4="X"," ",IF(G93&lt;&gt;0,G93*H$2/(100+H$2)," "))</f>
        <v> </v>
      </c>
      <c r="I93" s="153" t="str">
        <f aca="false">IF((G93&lt;&gt;0),G93-H93," ")</f>
        <v> </v>
      </c>
    </row>
    <row r="94" customFormat="false" ht="12.75" hidden="false" customHeight="false" outlineLevel="0" collapsed="false">
      <c r="F94" s="184"/>
      <c r="H94" s="153" t="str">
        <f aca="false">IF(H$4="X"," ",IF(G94&lt;&gt;0,G94*H$2/(100+H$2)," "))</f>
        <v> </v>
      </c>
      <c r="I94" s="153" t="str">
        <f aca="false">IF((G94&lt;&gt;0),G94-H94," ")</f>
        <v> </v>
      </c>
    </row>
    <row r="95" customFormat="false" ht="12.75" hidden="false" customHeight="false" outlineLevel="0" collapsed="false">
      <c r="F95" s="184"/>
      <c r="H95" s="153" t="str">
        <f aca="false">IF(H$4="X"," ",IF(G95&lt;&gt;0,G95*H$2/(100+H$2)," "))</f>
        <v> </v>
      </c>
      <c r="I95" s="153" t="str">
        <f aca="false">IF((G95&lt;&gt;0),G95-H95," ")</f>
        <v> </v>
      </c>
    </row>
    <row r="96" customFormat="false" ht="12.75" hidden="false" customHeight="false" outlineLevel="0" collapsed="false">
      <c r="F96" s="184"/>
      <c r="H96" s="153" t="str">
        <f aca="false">IF(H$4="X"," ",IF(G96&lt;&gt;0,G96*H$2/(100+H$2)," "))</f>
        <v> </v>
      </c>
      <c r="I96" s="153" t="str">
        <f aca="false">IF((G96&lt;&gt;0),G96-H96," ")</f>
        <v> </v>
      </c>
    </row>
    <row r="97" customFormat="false" ht="12.75" hidden="false" customHeight="false" outlineLevel="0" collapsed="false">
      <c r="F97" s="184"/>
      <c r="H97" s="153" t="str">
        <f aca="false">IF(H$4="X"," ",IF(G97&lt;&gt;0,G97*H$2/(100+H$2)," "))</f>
        <v> </v>
      </c>
      <c r="I97" s="153" t="str">
        <f aca="false">IF((G97&lt;&gt;0),G97-H97," ")</f>
        <v> </v>
      </c>
    </row>
    <row r="98" customFormat="false" ht="12.75" hidden="false" customHeight="false" outlineLevel="0" collapsed="false">
      <c r="F98" s="184"/>
      <c r="H98" s="153" t="str">
        <f aca="false">IF(H$4="X"," ",IF(G98&lt;&gt;0,G98*H$2/(100+H$2)," "))</f>
        <v> </v>
      </c>
      <c r="I98" s="153" t="str">
        <f aca="false">IF((G98&lt;&gt;0),G98-H98," ")</f>
        <v> </v>
      </c>
    </row>
    <row r="99" customFormat="false" ht="12.75" hidden="false" customHeight="false" outlineLevel="0" collapsed="false">
      <c r="F99" s="184"/>
      <c r="H99" s="153" t="str">
        <f aca="false">IF(H$4="X"," ",IF(G99&lt;&gt;0,G99*H$2/(100+H$2)," "))</f>
        <v> </v>
      </c>
      <c r="I99" s="153" t="str">
        <f aca="false">IF((G99&lt;&gt;0),G99-H99," ")</f>
        <v> </v>
      </c>
    </row>
    <row r="100" customFormat="false" ht="12.75" hidden="false" customHeight="false" outlineLevel="0" collapsed="false">
      <c r="F100" s="184"/>
      <c r="H100" s="153" t="str">
        <f aca="false">IF(H$4="X"," ",IF(G100&lt;&gt;0,G100*H$2/(100+H$2)," "))</f>
        <v> </v>
      </c>
      <c r="I100" s="153" t="str">
        <f aca="false">IF((G100&lt;&gt;0),G100-H100," ")</f>
        <v> </v>
      </c>
    </row>
    <row r="101" customFormat="false" ht="12.75" hidden="false" customHeight="false" outlineLevel="0" collapsed="false">
      <c r="F101" s="184"/>
      <c r="H101" s="153" t="str">
        <f aca="false">IF(H$4="X"," ",IF(G101&lt;&gt;0,G101*H$2/(100+H$2)," "))</f>
        <v> </v>
      </c>
      <c r="I101" s="153" t="str">
        <f aca="false">IF((G101&lt;&gt;0),G101-H101," ")</f>
        <v> </v>
      </c>
    </row>
    <row r="102" customFormat="false" ht="12.75" hidden="false" customHeight="false" outlineLevel="0" collapsed="false">
      <c r="F102" s="184"/>
      <c r="H102" s="153" t="str">
        <f aca="false">IF(H$4="X"," ",IF(G102&lt;&gt;0,G102*H$2/(100+H$2)," "))</f>
        <v> </v>
      </c>
      <c r="I102" s="153" t="str">
        <f aca="false">IF((G102&lt;&gt;0),G102-H102," ")</f>
        <v> </v>
      </c>
    </row>
    <row r="103" customFormat="false" ht="12.75" hidden="false" customHeight="false" outlineLevel="0" collapsed="false">
      <c r="F103" s="184"/>
      <c r="H103" s="153" t="str">
        <f aca="false">IF(H$4="X"," ",IF(G103&lt;&gt;0,G103*H$2/(100+H$2)," "))</f>
        <v> </v>
      </c>
      <c r="I103" s="153" t="str">
        <f aca="false">IF((G103&lt;&gt;0),G103-H103," ")</f>
        <v> </v>
      </c>
    </row>
    <row r="104" customFormat="false" ht="12.75" hidden="false" customHeight="false" outlineLevel="0" collapsed="false">
      <c r="F104" s="184"/>
      <c r="H104" s="153" t="str">
        <f aca="false">IF(H$4="X"," ",IF(G104&lt;&gt;0,G104*H$2/(100+H$2)," "))</f>
        <v> </v>
      </c>
      <c r="I104" s="153" t="str">
        <f aca="false">IF((G104&lt;&gt;0),G104-H104," ")</f>
        <v> </v>
      </c>
    </row>
    <row r="105" customFormat="false" ht="12.75" hidden="false" customHeight="false" outlineLevel="0" collapsed="false">
      <c r="F105" s="184"/>
      <c r="H105" s="153" t="str">
        <f aca="false">IF(H$4="X"," ",IF(G105&lt;&gt;0,G105*H$2/(100+H$2)," "))</f>
        <v> </v>
      </c>
      <c r="I105" s="153" t="str">
        <f aca="false">IF((G105&lt;&gt;0),G105-H105," ")</f>
        <v> </v>
      </c>
    </row>
    <row r="106" customFormat="false" ht="12.75" hidden="false" customHeight="false" outlineLevel="0" collapsed="false">
      <c r="F106" s="184"/>
      <c r="H106" s="153" t="str">
        <f aca="false">IF(H$4="X"," ",IF(G106&lt;&gt;0,G106*H$2/(100+H$2)," "))</f>
        <v> </v>
      </c>
      <c r="I106" s="153" t="str">
        <f aca="false">IF((G106&lt;&gt;0),G106-H106," ")</f>
        <v> </v>
      </c>
    </row>
    <row r="107" customFormat="false" ht="12.75" hidden="false" customHeight="false" outlineLevel="0" collapsed="false">
      <c r="F107" s="184"/>
      <c r="H107" s="153" t="str">
        <f aca="false">IF(H$4="X"," ",IF(G107&lt;&gt;0,G107*H$2/(100+H$2)," "))</f>
        <v> </v>
      </c>
      <c r="I107" s="153" t="str">
        <f aca="false">IF((G107&lt;&gt;0),G107-H107," ")</f>
        <v> </v>
      </c>
    </row>
    <row r="108" customFormat="false" ht="12.75" hidden="false" customHeight="false" outlineLevel="0" collapsed="false">
      <c r="F108" s="184"/>
      <c r="H108" s="153" t="str">
        <f aca="false">IF(H$4="X"," ",IF(G108&lt;&gt;0,G108*H$2/(100+H$2)," "))</f>
        <v> </v>
      </c>
      <c r="I108" s="153" t="str">
        <f aca="false">IF((G108&lt;&gt;0),G108-H108," ")</f>
        <v> </v>
      </c>
    </row>
    <row r="109" customFormat="false" ht="12.75" hidden="false" customHeight="false" outlineLevel="0" collapsed="false">
      <c r="F109" s="184"/>
      <c r="H109" s="153" t="str">
        <f aca="false">IF(H$4="X"," ",IF(G109&lt;&gt;0,G109*H$2/(100+H$2)," "))</f>
        <v> </v>
      </c>
      <c r="I109" s="153" t="str">
        <f aca="false">IF((G109&lt;&gt;0),G109-H109," ")</f>
        <v> </v>
      </c>
    </row>
    <row r="110" customFormat="false" ht="12.75" hidden="false" customHeight="false" outlineLevel="0" collapsed="false">
      <c r="F110" s="184"/>
      <c r="H110" s="153" t="str">
        <f aca="false">IF(H$4="X"," ",IF(G110&lt;&gt;0,G110*H$2/(100+H$2)," "))</f>
        <v> </v>
      </c>
      <c r="I110" s="153" t="str">
        <f aca="false">IF((G110&lt;&gt;0),G110-H110," ")</f>
        <v> </v>
      </c>
    </row>
    <row r="111" customFormat="false" ht="12.75" hidden="false" customHeight="false" outlineLevel="0" collapsed="false">
      <c r="F111" s="184"/>
      <c r="H111" s="153" t="str">
        <f aca="false">IF(H$4="X"," ",IF(G111&lt;&gt;0,G111*H$2/(100+H$2)," "))</f>
        <v> </v>
      </c>
      <c r="I111" s="153" t="str">
        <f aca="false">IF((G111&lt;&gt;0),G111-H111," ")</f>
        <v> </v>
      </c>
    </row>
    <row r="112" customFormat="false" ht="12.75" hidden="false" customHeight="false" outlineLevel="0" collapsed="false">
      <c r="F112" s="184"/>
      <c r="H112" s="153" t="str">
        <f aca="false">IF(H$4="X"," ",IF(G112&lt;&gt;0,G112*H$2/(100+H$2)," "))</f>
        <v> </v>
      </c>
      <c r="I112" s="153" t="str">
        <f aca="false">IF((G112&lt;&gt;0),G112-H112," ")</f>
        <v> </v>
      </c>
    </row>
    <row r="113" customFormat="false" ht="12.75" hidden="false" customHeight="false" outlineLevel="0" collapsed="false">
      <c r="F113" s="184"/>
      <c r="H113" s="153" t="str">
        <f aca="false">IF(H$4="X"," ",IF(G113&lt;&gt;0,G113*H$2/(100+H$2)," "))</f>
        <v> </v>
      </c>
      <c r="I113" s="153" t="str">
        <f aca="false">IF((G113&lt;&gt;0),G113-H113," ")</f>
        <v> </v>
      </c>
    </row>
    <row r="114" customFormat="false" ht="12.75" hidden="false" customHeight="false" outlineLevel="0" collapsed="false">
      <c r="F114" s="184"/>
      <c r="H114" s="153" t="str">
        <f aca="false">IF(H$4="X"," ",IF(G114&lt;&gt;0,G114*H$2/(100+H$2)," "))</f>
        <v> </v>
      </c>
      <c r="I114" s="153" t="str">
        <f aca="false">IF((G114&lt;&gt;0),G114-H114," ")</f>
        <v> </v>
      </c>
    </row>
    <row r="115" customFormat="false" ht="12.75" hidden="false" customHeight="false" outlineLevel="0" collapsed="false">
      <c r="F115" s="184"/>
      <c r="H115" s="153" t="str">
        <f aca="false">IF(H$4="X"," ",IF(G115&lt;&gt;0,G115*H$2/(100+H$2)," "))</f>
        <v> </v>
      </c>
      <c r="I115" s="153" t="str">
        <f aca="false">IF((G115&lt;&gt;0),G115-H115," ")</f>
        <v> </v>
      </c>
    </row>
    <row r="116" customFormat="false" ht="12.75" hidden="false" customHeight="false" outlineLevel="0" collapsed="false">
      <c r="F116" s="184"/>
      <c r="H116" s="153" t="str">
        <f aca="false">IF(H$4="X"," ",IF(G116&lt;&gt;0,G116*H$2/(100+H$2)," "))</f>
        <v> </v>
      </c>
      <c r="I116" s="153" t="str">
        <f aca="false">IF((G116&lt;&gt;0),G116-H116," ")</f>
        <v> </v>
      </c>
    </row>
    <row r="117" customFormat="false" ht="12.75" hidden="false" customHeight="false" outlineLevel="0" collapsed="false">
      <c r="F117" s="184"/>
      <c r="H117" s="153" t="str">
        <f aca="false">IF(H$4="X"," ",IF(G117&lt;&gt;0,G117*H$2/(100+H$2)," "))</f>
        <v> </v>
      </c>
      <c r="I117" s="153" t="str">
        <f aca="false">IF((G117&lt;&gt;0),G117-H117," ")</f>
        <v> </v>
      </c>
    </row>
    <row r="118" customFormat="false" ht="12.75" hidden="false" customHeight="false" outlineLevel="0" collapsed="false">
      <c r="F118" s="184"/>
      <c r="H118" s="153" t="str">
        <f aca="false">IF(H$4="X"," ",IF(G118&lt;&gt;0,G118*H$2/(100+H$2)," "))</f>
        <v> </v>
      </c>
      <c r="I118" s="153" t="str">
        <f aca="false">IF((G118&lt;&gt;0),G118-H118," ")</f>
        <v> </v>
      </c>
    </row>
    <row r="119" customFormat="false" ht="12.75" hidden="false" customHeight="false" outlineLevel="0" collapsed="false">
      <c r="F119" s="184"/>
      <c r="H119" s="153" t="str">
        <f aca="false">IF(H$4="X"," ",IF(G119&lt;&gt;0,G119*H$2/(100+H$2)," "))</f>
        <v> </v>
      </c>
      <c r="I119" s="153" t="str">
        <f aca="false">IF((G119&lt;&gt;0),G119-H119," ")</f>
        <v> </v>
      </c>
    </row>
    <row r="120" customFormat="false" ht="12.75" hidden="false" customHeight="false" outlineLevel="0" collapsed="false">
      <c r="F120" s="184"/>
      <c r="H120" s="153" t="str">
        <f aca="false">IF(H$4="X"," ",IF(G120&lt;&gt;0,G120*H$2/(100+H$2)," "))</f>
        <v> </v>
      </c>
      <c r="I120" s="153" t="str">
        <f aca="false">IF((G120&lt;&gt;0),G120-H120," ")</f>
        <v> </v>
      </c>
    </row>
    <row r="121" customFormat="false" ht="12.75" hidden="false" customHeight="false" outlineLevel="0" collapsed="false">
      <c r="F121" s="184"/>
      <c r="H121" s="153" t="str">
        <f aca="false">IF(H$4="X"," ",IF(G121&lt;&gt;0,G121*H$2/(100+H$2)," "))</f>
        <v> </v>
      </c>
      <c r="I121" s="153" t="str">
        <f aca="false">IF((G121&lt;&gt;0),G121-H121," ")</f>
        <v> </v>
      </c>
    </row>
    <row r="122" customFormat="false" ht="12.75" hidden="false" customHeight="false" outlineLevel="0" collapsed="false">
      <c r="F122" s="184"/>
      <c r="H122" s="153" t="str">
        <f aca="false">IF(H$4="X"," ",IF(G122&lt;&gt;0,G122*H$2/(100+H$2)," "))</f>
        <v> </v>
      </c>
      <c r="I122" s="153" t="str">
        <f aca="false">IF((G122&lt;&gt;0),G122-H122," ")</f>
        <v> </v>
      </c>
    </row>
    <row r="123" customFormat="false" ht="12.75" hidden="false" customHeight="false" outlineLevel="0" collapsed="false">
      <c r="F123" s="184"/>
      <c r="H123" s="153" t="str">
        <f aca="false">IF(H$4="X"," ",IF(G123&lt;&gt;0,G123*H$2/(100+H$2)," "))</f>
        <v> </v>
      </c>
      <c r="I123" s="153" t="str">
        <f aca="false">IF((G123&lt;&gt;0),G123-H123," ")</f>
        <v> </v>
      </c>
    </row>
    <row r="124" customFormat="false" ht="12.75" hidden="false" customHeight="false" outlineLevel="0" collapsed="false">
      <c r="F124" s="184"/>
      <c r="H124" s="153" t="str">
        <f aca="false">IF(H$4="X"," ",IF(G124&lt;&gt;0,G124*H$2/(100+H$2)," "))</f>
        <v> </v>
      </c>
      <c r="I124" s="153" t="str">
        <f aca="false">IF((G124&lt;&gt;0),G124-H124," ")</f>
        <v> </v>
      </c>
    </row>
    <row r="125" customFormat="false" ht="12.75" hidden="false" customHeight="false" outlineLevel="0" collapsed="false">
      <c r="F125" s="184"/>
      <c r="H125" s="153" t="str">
        <f aca="false">IF(H$4="X"," ",IF(G125&lt;&gt;0,G125*H$2/(100+H$2)," "))</f>
        <v> </v>
      </c>
      <c r="I125" s="153" t="str">
        <f aca="false">IF((G125&lt;&gt;0),G125-H125," ")</f>
        <v> </v>
      </c>
    </row>
    <row r="126" customFormat="false" ht="12.75" hidden="false" customHeight="false" outlineLevel="0" collapsed="false">
      <c r="F126" s="184"/>
      <c r="H126" s="153" t="str">
        <f aca="false">IF(H$4="X"," ",IF(G126&lt;&gt;0,G126*H$2/(100+H$2)," "))</f>
        <v> </v>
      </c>
      <c r="I126" s="153" t="str">
        <f aca="false">IF((G126&lt;&gt;0),G126-H126," ")</f>
        <v> </v>
      </c>
    </row>
    <row r="127" customFormat="false" ht="12.75" hidden="false" customHeight="false" outlineLevel="0" collapsed="false">
      <c r="F127" s="184"/>
      <c r="H127" s="153" t="str">
        <f aca="false">IF(H$4="X"," ",IF(G127&lt;&gt;0,G127*H$2/(100+H$2)," "))</f>
        <v> </v>
      </c>
      <c r="I127" s="153" t="str">
        <f aca="false">IF((G127&lt;&gt;0),G127-H127," ")</f>
        <v> </v>
      </c>
    </row>
    <row r="128" customFormat="false" ht="12.75" hidden="false" customHeight="false" outlineLevel="0" collapsed="false">
      <c r="F128" s="184"/>
      <c r="H128" s="153" t="str">
        <f aca="false">IF(H$4="X"," ",IF(G128&lt;&gt;0,G128*H$2/(100+H$2)," "))</f>
        <v> </v>
      </c>
      <c r="I128" s="153" t="str">
        <f aca="false">IF((G128&lt;&gt;0),G128-H128," ")</f>
        <v> </v>
      </c>
    </row>
    <row r="129" customFormat="false" ht="12.75" hidden="false" customHeight="false" outlineLevel="0" collapsed="false">
      <c r="F129" s="184"/>
      <c r="H129" s="153" t="str">
        <f aca="false">IF(H$4="X"," ",IF(G129&lt;&gt;0,G129*H$2/(100+H$2)," "))</f>
        <v> </v>
      </c>
      <c r="I129" s="153" t="str">
        <f aca="false">IF((G129&lt;&gt;0),G129-H129," ")</f>
        <v> </v>
      </c>
    </row>
    <row r="130" customFormat="false" ht="12.75" hidden="false" customHeight="false" outlineLevel="0" collapsed="false">
      <c r="F130" s="184"/>
      <c r="H130" s="153" t="str">
        <f aca="false">IF(H$4="X"," ",IF(G130&lt;&gt;0,G130*H$2/(100+H$2)," "))</f>
        <v> </v>
      </c>
      <c r="I130" s="153" t="str">
        <f aca="false">IF((G130&lt;&gt;0),G130-H130," ")</f>
        <v> </v>
      </c>
    </row>
    <row r="131" customFormat="false" ht="12.75" hidden="false" customHeight="false" outlineLevel="0" collapsed="false">
      <c r="F131" s="184"/>
      <c r="H131" s="153" t="str">
        <f aca="false">IF(H$4="X"," ",IF(G131&lt;&gt;0,G131*H$2/(100+H$2)," "))</f>
        <v> </v>
      </c>
      <c r="I131" s="153" t="str">
        <f aca="false">IF((G131&lt;&gt;0),G131-H131," ")</f>
        <v> </v>
      </c>
    </row>
    <row r="132" customFormat="false" ht="12.75" hidden="false" customHeight="false" outlineLevel="0" collapsed="false">
      <c r="F132" s="184"/>
      <c r="H132" s="153" t="str">
        <f aca="false">IF(H$4="X"," ",IF(G132&lt;&gt;0,G132*H$2/(100+H$2)," "))</f>
        <v> </v>
      </c>
      <c r="I132" s="153" t="str">
        <f aca="false">IF((G132&lt;&gt;0),G132-H132," ")</f>
        <v> </v>
      </c>
    </row>
    <row r="133" customFormat="false" ht="12.75" hidden="false" customHeight="false" outlineLevel="0" collapsed="false">
      <c r="F133" s="184"/>
      <c r="H133" s="153" t="str">
        <f aca="false">IF(H$4="X"," ",IF(G133&lt;&gt;0,G133*H$2/(100+H$2)," "))</f>
        <v> </v>
      </c>
      <c r="I133" s="153" t="str">
        <f aca="false">IF((G133&lt;&gt;0),G133-H133," ")</f>
        <v> </v>
      </c>
    </row>
    <row r="134" customFormat="false" ht="12.75" hidden="false" customHeight="false" outlineLevel="0" collapsed="false">
      <c r="F134" s="184"/>
      <c r="H134" s="153" t="str">
        <f aca="false">IF(H$4="X"," ",IF(G134&lt;&gt;0,G134*H$2/(100+H$2)," "))</f>
        <v> </v>
      </c>
      <c r="I134" s="153" t="str">
        <f aca="false">IF((G134&lt;&gt;0),G134-H134," ")</f>
        <v> </v>
      </c>
    </row>
    <row r="135" customFormat="false" ht="12.75" hidden="false" customHeight="false" outlineLevel="0" collapsed="false">
      <c r="F135" s="184"/>
      <c r="H135" s="153" t="str">
        <f aca="false">IF(H$4="X"," ",IF(G135&lt;&gt;0,G135*H$2/(100+H$2)," "))</f>
        <v> </v>
      </c>
      <c r="I135" s="153" t="str">
        <f aca="false">IF((G135&lt;&gt;0),G135-H135," ")</f>
        <v> </v>
      </c>
    </row>
    <row r="136" customFormat="false" ht="12.75" hidden="false" customHeight="false" outlineLevel="0" collapsed="false">
      <c r="F136" s="184"/>
      <c r="H136" s="153" t="str">
        <f aca="false">IF(H$4="X"," ",IF(G136&lt;&gt;0,G136*H$2/(100+H$2)," "))</f>
        <v> </v>
      </c>
      <c r="I136" s="153" t="str">
        <f aca="false">IF((G136&lt;&gt;0),G136-H136," ")</f>
        <v> </v>
      </c>
    </row>
    <row r="137" customFormat="false" ht="12.75" hidden="false" customHeight="false" outlineLevel="0" collapsed="false">
      <c r="F137" s="184"/>
      <c r="H137" s="153" t="str">
        <f aca="false">IF(H$4="X"," ",IF(G137&lt;&gt;0,G137*H$2/(100+H$2)," "))</f>
        <v> </v>
      </c>
      <c r="I137" s="153" t="str">
        <f aca="false">IF((G137&lt;&gt;0),G137-H137," ")</f>
        <v> </v>
      </c>
    </row>
    <row r="138" customFormat="false" ht="12.75" hidden="false" customHeight="false" outlineLevel="0" collapsed="false">
      <c r="F138" s="184"/>
      <c r="H138" s="153" t="str">
        <f aca="false">IF(H$4="X"," ",IF(G138&lt;&gt;0,G138*H$2/(100+H$2)," "))</f>
        <v> </v>
      </c>
      <c r="I138" s="153" t="str">
        <f aca="false">IF((G138&lt;&gt;0),G138-H138," ")</f>
        <v> </v>
      </c>
    </row>
    <row r="139" customFormat="false" ht="12.75" hidden="false" customHeight="false" outlineLevel="0" collapsed="false">
      <c r="F139" s="184"/>
      <c r="H139" s="153" t="str">
        <f aca="false">IF(H$4="X"," ",IF(G139&lt;&gt;0,G139*H$2/(100+H$2)," "))</f>
        <v> </v>
      </c>
      <c r="I139" s="153" t="str">
        <f aca="false">IF((G139&lt;&gt;0),G139-H139," ")</f>
        <v> </v>
      </c>
    </row>
    <row r="140" customFormat="false" ht="12.75" hidden="false" customHeight="false" outlineLevel="0" collapsed="false">
      <c r="F140" s="184"/>
      <c r="H140" s="153" t="str">
        <f aca="false">IF(H$4="X"," ",IF(G140&lt;&gt;0,G140*H$2/(100+H$2)," "))</f>
        <v> </v>
      </c>
      <c r="I140" s="153" t="str">
        <f aca="false">IF((G140&lt;&gt;0),G140-H140," ")</f>
        <v> </v>
      </c>
    </row>
    <row r="141" customFormat="false" ht="12.75" hidden="false" customHeight="false" outlineLevel="0" collapsed="false">
      <c r="F141" s="184"/>
      <c r="H141" s="153" t="str">
        <f aca="false">IF(H$4="X"," ",IF(G141&lt;&gt;0,G141*H$2/(100+H$2)," "))</f>
        <v> </v>
      </c>
      <c r="I141" s="153" t="str">
        <f aca="false">IF((G141&lt;&gt;0),G141-H141," ")</f>
        <v> </v>
      </c>
    </row>
    <row r="142" customFormat="false" ht="12.75" hidden="false" customHeight="false" outlineLevel="0" collapsed="false">
      <c r="F142" s="184"/>
      <c r="H142" s="153" t="str">
        <f aca="false">IF(H$4="X"," ",IF(G142&lt;&gt;0,G142*H$2/(100+H$2)," "))</f>
        <v> </v>
      </c>
      <c r="I142" s="153" t="str">
        <f aca="false">IF((G142&lt;&gt;0),G142-H142," ")</f>
        <v> </v>
      </c>
    </row>
    <row r="143" customFormat="false" ht="12.75" hidden="false" customHeight="false" outlineLevel="0" collapsed="false">
      <c r="F143" s="184"/>
      <c r="H143" s="153" t="str">
        <f aca="false">IF(H$4="X"," ",IF(G143&lt;&gt;0,G143*H$2/(100+H$2)," "))</f>
        <v> </v>
      </c>
      <c r="I143" s="153" t="str">
        <f aca="false">IF((G143&lt;&gt;0),G143-H143," ")</f>
        <v> </v>
      </c>
    </row>
    <row r="144" customFormat="false" ht="12.75" hidden="false" customHeight="false" outlineLevel="0" collapsed="false">
      <c r="F144" s="184"/>
      <c r="H144" s="153" t="str">
        <f aca="false">IF(H$4="X"," ",IF(G144&lt;&gt;0,G144*H$2/(100+H$2)," "))</f>
        <v> </v>
      </c>
      <c r="I144" s="153" t="str">
        <f aca="false">IF((G144&lt;&gt;0),G144-H144," ")</f>
        <v> </v>
      </c>
    </row>
    <row r="145" customFormat="false" ht="12.75" hidden="false" customHeight="false" outlineLevel="0" collapsed="false">
      <c r="F145" s="184"/>
      <c r="H145" s="153" t="str">
        <f aca="false">IF(H$4="X"," ",IF(G145&lt;&gt;0,G145*H$2/(100+H$2)," "))</f>
        <v> </v>
      </c>
      <c r="I145" s="153" t="str">
        <f aca="false">IF((G145&lt;&gt;0),G145-H145," ")</f>
        <v> </v>
      </c>
    </row>
    <row r="146" customFormat="false" ht="12.75" hidden="false" customHeight="false" outlineLevel="0" collapsed="false">
      <c r="F146" s="184"/>
      <c r="H146" s="153" t="str">
        <f aca="false">IF(H$4="X"," ",IF(G146&lt;&gt;0,G146*H$2/(100+H$2)," "))</f>
        <v> </v>
      </c>
      <c r="I146" s="153" t="str">
        <f aca="false">IF((G146&lt;&gt;0),G146-H146," ")</f>
        <v> </v>
      </c>
    </row>
    <row r="147" customFormat="false" ht="12.75" hidden="false" customHeight="false" outlineLevel="0" collapsed="false">
      <c r="F147" s="184"/>
      <c r="H147" s="153" t="str">
        <f aca="false">IF(H$4="X"," ",IF(G147&lt;&gt;0,G147*H$2/(100+H$2)," "))</f>
        <v> </v>
      </c>
      <c r="I147" s="153" t="str">
        <f aca="false">IF((G147&lt;&gt;0),G147-H147," ")</f>
        <v> </v>
      </c>
    </row>
    <row r="148" customFormat="false" ht="12.75" hidden="false" customHeight="false" outlineLevel="0" collapsed="false">
      <c r="F148" s="184"/>
      <c r="H148" s="153" t="str">
        <f aca="false">IF(H$4="X"," ",IF(G148&lt;&gt;0,G148*H$2/(100+H$2)," "))</f>
        <v> </v>
      </c>
      <c r="I148" s="153" t="str">
        <f aca="false">IF((G148&lt;&gt;0),G148-H148," ")</f>
        <v> </v>
      </c>
    </row>
    <row r="149" customFormat="false" ht="12.75" hidden="false" customHeight="false" outlineLevel="0" collapsed="false">
      <c r="F149" s="184"/>
      <c r="H149" s="153" t="str">
        <f aca="false">IF(H$4="X"," ",IF(G149&lt;&gt;0,G149*H$2/(100+H$2)," "))</f>
        <v> </v>
      </c>
      <c r="I149" s="153" t="str">
        <f aca="false">IF((G149&lt;&gt;0),G149-H149," ")</f>
        <v> </v>
      </c>
    </row>
    <row r="150" customFormat="false" ht="12.75" hidden="false" customHeight="false" outlineLevel="0" collapsed="false">
      <c r="F150" s="184"/>
      <c r="H150" s="153" t="str">
        <f aca="false">IF(H$4="X"," ",IF(G150&lt;&gt;0,G150*H$2/(100+H$2)," "))</f>
        <v> </v>
      </c>
      <c r="I150" s="153" t="str">
        <f aca="false">IF((G150&lt;&gt;0),G150-H150," ")</f>
        <v> </v>
      </c>
    </row>
    <row r="151" customFormat="false" ht="12.75" hidden="false" customHeight="false" outlineLevel="0" collapsed="false">
      <c r="F151" s="184"/>
      <c r="H151" s="153" t="str">
        <f aca="false">IF(H$4="X"," ",IF(G151&lt;&gt;0,G151*H$2/(100+H$2)," "))</f>
        <v> </v>
      </c>
      <c r="I151" s="153" t="str">
        <f aca="false">IF((G151&lt;&gt;0),G151-H151," ")</f>
        <v> </v>
      </c>
    </row>
    <row r="152" customFormat="false" ht="12.75" hidden="false" customHeight="false" outlineLevel="0" collapsed="false">
      <c r="F152" s="184"/>
      <c r="H152" s="153" t="str">
        <f aca="false">IF(H$4="X"," ",IF(G152&lt;&gt;0,G152*H$2/(100+H$2)," "))</f>
        <v> </v>
      </c>
      <c r="I152" s="153" t="str">
        <f aca="false">IF((G152&lt;&gt;0),G152-H152," ")</f>
        <v> </v>
      </c>
    </row>
    <row r="153" customFormat="false" ht="12.75" hidden="false" customHeight="false" outlineLevel="0" collapsed="false">
      <c r="F153" s="184"/>
      <c r="H153" s="153" t="str">
        <f aca="false">IF(H$4="X"," ",IF(G153&lt;&gt;0,G153*H$2/(100+H$2)," "))</f>
        <v> </v>
      </c>
      <c r="I153" s="153" t="str">
        <f aca="false">IF((G153&lt;&gt;0),G153-H153," ")</f>
        <v> </v>
      </c>
    </row>
    <row r="154" customFormat="false" ht="12.75" hidden="false" customHeight="false" outlineLevel="0" collapsed="false">
      <c r="F154" s="184"/>
      <c r="H154" s="153" t="str">
        <f aca="false">IF(H$4="X"," ",IF(G154&lt;&gt;0,G154*H$2/(100+H$2)," "))</f>
        <v> </v>
      </c>
      <c r="I154" s="153" t="str">
        <f aca="false">IF((G154&lt;&gt;0),G154-H154," ")</f>
        <v> </v>
      </c>
    </row>
    <row r="155" customFormat="false" ht="12.75" hidden="false" customHeight="false" outlineLevel="0" collapsed="false">
      <c r="F155" s="184"/>
      <c r="H155" s="153" t="str">
        <f aca="false">IF(H$4="X"," ",IF(G155&lt;&gt;0,G155*H$2/(100+H$2)," "))</f>
        <v> </v>
      </c>
      <c r="I155" s="153" t="str">
        <f aca="false">IF((G155&lt;&gt;0),G155-H155," ")</f>
        <v> </v>
      </c>
    </row>
    <row r="156" customFormat="false" ht="12.75" hidden="false" customHeight="false" outlineLevel="0" collapsed="false">
      <c r="F156" s="184"/>
      <c r="H156" s="153" t="str">
        <f aca="false">IF(H$4="X"," ",IF(G156&lt;&gt;0,G156*H$2/(100+H$2)," "))</f>
        <v> </v>
      </c>
      <c r="I156" s="153" t="str">
        <f aca="false">IF((G156&lt;&gt;0),G156-H156," ")</f>
        <v> </v>
      </c>
    </row>
    <row r="157" customFormat="false" ht="12.75" hidden="false" customHeight="false" outlineLevel="0" collapsed="false">
      <c r="F157" s="184"/>
      <c r="H157" s="153" t="str">
        <f aca="false">IF(H$4="X"," ",IF(G157&lt;&gt;0,G157*H$2/(100+H$2)," "))</f>
        <v> </v>
      </c>
      <c r="I157" s="153" t="str">
        <f aca="false">IF((G157&lt;&gt;0),G157-H157," ")</f>
        <v> </v>
      </c>
    </row>
    <row r="158" customFormat="false" ht="12.75" hidden="false" customHeight="false" outlineLevel="0" collapsed="false">
      <c r="F158" s="184"/>
      <c r="H158" s="153" t="str">
        <f aca="false">IF(H$4="X"," ",IF(G158&lt;&gt;0,G158*H$2/(100+H$2)," "))</f>
        <v> </v>
      </c>
      <c r="I158" s="153" t="str">
        <f aca="false">IF((G158&lt;&gt;0),G158-H158," ")</f>
        <v> </v>
      </c>
    </row>
    <row r="159" customFormat="false" ht="12.75" hidden="false" customHeight="false" outlineLevel="0" collapsed="false">
      <c r="F159" s="184"/>
      <c r="H159" s="153" t="str">
        <f aca="false">IF(H$4="X"," ",IF(G159&lt;&gt;0,G159*H$2/(100+H$2)," "))</f>
        <v> </v>
      </c>
      <c r="I159" s="153" t="str">
        <f aca="false">IF((G159&lt;&gt;0),G159-H159," ")</f>
        <v> </v>
      </c>
    </row>
    <row r="160" customFormat="false" ht="12.75" hidden="false" customHeight="false" outlineLevel="0" collapsed="false">
      <c r="F160" s="184"/>
      <c r="H160" s="153" t="str">
        <f aca="false">IF(H$4="X"," ",IF(G160&lt;&gt;0,G160*H$2/(100+H$2)," "))</f>
        <v> </v>
      </c>
      <c r="I160" s="153" t="str">
        <f aca="false">IF((G160&lt;&gt;0),G160-H160," ")</f>
        <v> </v>
      </c>
    </row>
    <row r="161" customFormat="false" ht="12.75" hidden="false" customHeight="false" outlineLevel="0" collapsed="false">
      <c r="F161" s="184"/>
      <c r="H161" s="153" t="str">
        <f aca="false">IF(H$4="X"," ",IF(G161&lt;&gt;0,G161*H$2/(100+H$2)," "))</f>
        <v> </v>
      </c>
      <c r="I161" s="153" t="str">
        <f aca="false">IF((G161&lt;&gt;0),G161-H161," ")</f>
        <v> </v>
      </c>
    </row>
    <row r="162" customFormat="false" ht="12.75" hidden="false" customHeight="false" outlineLevel="0" collapsed="false">
      <c r="F162" s="184"/>
      <c r="H162" s="153" t="str">
        <f aca="false">IF(H$4="X"," ",IF(G162&lt;&gt;0,G162*H$2/(100+H$2)," "))</f>
        <v> </v>
      </c>
      <c r="I162" s="153" t="str">
        <f aca="false">IF((G162&lt;&gt;0),G162-H162," ")</f>
        <v> </v>
      </c>
    </row>
    <row r="163" customFormat="false" ht="12.75" hidden="false" customHeight="false" outlineLevel="0" collapsed="false">
      <c r="F163" s="184"/>
      <c r="H163" s="153" t="str">
        <f aca="false">IF(H$4="X"," ",IF(G163&lt;&gt;0,G163*H$2/(100+H$2)," "))</f>
        <v> </v>
      </c>
      <c r="I163" s="153" t="str">
        <f aca="false">IF((G163&lt;&gt;0),G163-H163," ")</f>
        <v> </v>
      </c>
    </row>
    <row r="164" customFormat="false" ht="12.75" hidden="false" customHeight="false" outlineLevel="0" collapsed="false">
      <c r="F164" s="184"/>
      <c r="H164" s="153" t="str">
        <f aca="false">IF(H$4="X"," ",IF(G164&lt;&gt;0,G164*H$2/(100+H$2)," "))</f>
        <v> </v>
      </c>
      <c r="I164" s="153" t="str">
        <f aca="false">IF((G164&lt;&gt;0),G164-H164," ")</f>
        <v> </v>
      </c>
    </row>
    <row r="165" customFormat="false" ht="12.75" hidden="false" customHeight="false" outlineLevel="0" collapsed="false">
      <c r="F165" s="184"/>
      <c r="H165" s="153" t="str">
        <f aca="false">IF(H$4="X"," ",IF(G165&lt;&gt;0,G165*H$2/(100+H$2)," "))</f>
        <v> </v>
      </c>
      <c r="I165" s="153" t="str">
        <f aca="false">IF((G165&lt;&gt;0),G165-H165," ")</f>
        <v> </v>
      </c>
    </row>
    <row r="166" customFormat="false" ht="12.75" hidden="false" customHeight="false" outlineLevel="0" collapsed="false">
      <c r="F166" s="184"/>
      <c r="H166" s="153" t="str">
        <f aca="false">IF(H$4="X"," ",IF(G166&lt;&gt;0,G166*H$2/(100+H$2)," "))</f>
        <v> </v>
      </c>
      <c r="I166" s="153" t="str">
        <f aca="false">IF((G166&lt;&gt;0),G166-H166," ")</f>
        <v> </v>
      </c>
    </row>
    <row r="167" customFormat="false" ht="12.75" hidden="false" customHeight="false" outlineLevel="0" collapsed="false">
      <c r="F167" s="184"/>
      <c r="H167" s="153" t="str">
        <f aca="false">IF(H$4="X"," ",IF(G167&lt;&gt;0,G167*H$2/(100+H$2)," "))</f>
        <v> </v>
      </c>
      <c r="I167" s="153" t="str">
        <f aca="false">IF((G167&lt;&gt;0),G167-H167," ")</f>
        <v> </v>
      </c>
    </row>
    <row r="168" customFormat="false" ht="12.75" hidden="false" customHeight="false" outlineLevel="0" collapsed="false">
      <c r="F168" s="184"/>
      <c r="H168" s="153" t="str">
        <f aca="false">IF(H$4="X"," ",IF(G168&lt;&gt;0,G168*H$2/(100+H$2)," "))</f>
        <v> </v>
      </c>
      <c r="I168" s="153" t="str">
        <f aca="false">IF((G168&lt;&gt;0),G168-H168," ")</f>
        <v> </v>
      </c>
    </row>
    <row r="169" customFormat="false" ht="12.75" hidden="false" customHeight="false" outlineLevel="0" collapsed="false">
      <c r="F169" s="184"/>
      <c r="H169" s="153" t="str">
        <f aca="false">IF(H$4="X"," ",IF(G169&lt;&gt;0,G169*H$2/(100+H$2)," "))</f>
        <v> </v>
      </c>
      <c r="I169" s="153" t="str">
        <f aca="false">IF((G169&lt;&gt;0),G169-H169," ")</f>
        <v> </v>
      </c>
    </row>
    <row r="170" customFormat="false" ht="12.75" hidden="false" customHeight="false" outlineLevel="0" collapsed="false">
      <c r="F170" s="184"/>
      <c r="H170" s="153" t="str">
        <f aca="false">IF(H$4="X"," ",IF(G170&lt;&gt;0,G170*H$2/(100+H$2)," "))</f>
        <v> </v>
      </c>
      <c r="I170" s="153" t="str">
        <f aca="false">IF((G170&lt;&gt;0),G170-H170," ")</f>
        <v> </v>
      </c>
    </row>
    <row r="171" customFormat="false" ht="12.75" hidden="false" customHeight="false" outlineLevel="0" collapsed="false">
      <c r="F171" s="184"/>
      <c r="H171" s="153" t="str">
        <f aca="false">IF(H$4="X"," ",IF(G171&lt;&gt;0,G171*H$2/(100+H$2)," "))</f>
        <v> </v>
      </c>
      <c r="I171" s="153" t="str">
        <f aca="false">IF((G171&lt;&gt;0),G171-H171," ")</f>
        <v> </v>
      </c>
    </row>
    <row r="172" customFormat="false" ht="12.75" hidden="false" customHeight="false" outlineLevel="0" collapsed="false">
      <c r="F172" s="184"/>
      <c r="H172" s="153" t="str">
        <f aca="false">IF(H$4="X"," ",IF(G172&lt;&gt;0,G172*H$2/(100+H$2)," "))</f>
        <v> </v>
      </c>
      <c r="I172" s="153" t="str">
        <f aca="false">IF((G172&lt;&gt;0),G172-H172," ")</f>
        <v> </v>
      </c>
    </row>
    <row r="173" customFormat="false" ht="12.75" hidden="false" customHeight="false" outlineLevel="0" collapsed="false">
      <c r="F173" s="184"/>
      <c r="H173" s="153" t="str">
        <f aca="false">IF(H$4="X"," ",IF(G173&lt;&gt;0,G173*H$2/(100+H$2)," "))</f>
        <v> </v>
      </c>
      <c r="I173" s="153" t="str">
        <f aca="false">IF((G173&lt;&gt;0),G173-H173," ")</f>
        <v> </v>
      </c>
    </row>
    <row r="174" customFormat="false" ht="12.75" hidden="false" customHeight="false" outlineLevel="0" collapsed="false">
      <c r="F174" s="184"/>
      <c r="H174" s="153" t="str">
        <f aca="false">IF(H$4="X"," ",IF(G174&lt;&gt;0,G174*H$2/(100+H$2)," "))</f>
        <v> </v>
      </c>
      <c r="I174" s="153" t="str">
        <f aca="false">IF((G174&lt;&gt;0),G174-H174," ")</f>
        <v> </v>
      </c>
    </row>
    <row r="175" customFormat="false" ht="12.75" hidden="false" customHeight="false" outlineLevel="0" collapsed="false">
      <c r="F175" s="184"/>
      <c r="H175" s="153" t="str">
        <f aca="false">IF(H$4="X"," ",IF(G175&lt;&gt;0,G175*H$2/(100+H$2)," "))</f>
        <v> </v>
      </c>
      <c r="I175" s="153" t="str">
        <f aca="false">IF((G175&lt;&gt;0),G175-H175," ")</f>
        <v> </v>
      </c>
    </row>
    <row r="176" customFormat="false" ht="12.75" hidden="false" customHeight="false" outlineLevel="0" collapsed="false">
      <c r="F176" s="184"/>
      <c r="H176" s="153" t="str">
        <f aca="false">IF(H$4="X"," ",IF(G176&lt;&gt;0,G176*H$2/(100+H$2)," "))</f>
        <v> </v>
      </c>
      <c r="I176" s="153" t="str">
        <f aca="false">IF((G176&lt;&gt;0),G176-H176," ")</f>
        <v> </v>
      </c>
    </row>
    <row r="177" customFormat="false" ht="12.75" hidden="false" customHeight="false" outlineLevel="0" collapsed="false">
      <c r="F177" s="184"/>
      <c r="H177" s="153" t="str">
        <f aca="false">IF(H$4="X"," ",IF(G177&lt;&gt;0,G177*H$2/(100+H$2)," "))</f>
        <v> </v>
      </c>
      <c r="I177" s="153" t="str">
        <f aca="false">IF((G177&lt;&gt;0),G177-H177," ")</f>
        <v> </v>
      </c>
    </row>
    <row r="178" customFormat="false" ht="12.75" hidden="false" customHeight="false" outlineLevel="0" collapsed="false">
      <c r="F178" s="184"/>
      <c r="H178" s="153" t="str">
        <f aca="false">IF(H$4="X"," ",IF(G178&lt;&gt;0,G178*H$2/(100+H$2)," "))</f>
        <v> </v>
      </c>
      <c r="I178" s="153" t="str">
        <f aca="false">IF((G178&lt;&gt;0),G178-H178," ")</f>
        <v> </v>
      </c>
    </row>
    <row r="179" customFormat="false" ht="12.75" hidden="false" customHeight="false" outlineLevel="0" collapsed="false">
      <c r="F179" s="184"/>
      <c r="H179" s="153" t="str">
        <f aca="false">IF(H$4="X"," ",IF(G179&lt;&gt;0,G179*H$2/(100+H$2)," "))</f>
        <v> </v>
      </c>
      <c r="I179" s="153" t="str">
        <f aca="false">IF((G179&lt;&gt;0),G179-H179," ")</f>
        <v> </v>
      </c>
    </row>
    <row r="180" customFormat="false" ht="12.75" hidden="false" customHeight="false" outlineLevel="0" collapsed="false">
      <c r="F180" s="184"/>
      <c r="H180" s="153" t="str">
        <f aca="false">IF(H$4="X"," ",IF(G180&lt;&gt;0,G180*H$2/(100+H$2)," "))</f>
        <v> </v>
      </c>
      <c r="I180" s="153" t="str">
        <f aca="false">IF((G180&lt;&gt;0),G180-H180," ")</f>
        <v> </v>
      </c>
    </row>
    <row r="181" customFormat="false" ht="12.75" hidden="false" customHeight="false" outlineLevel="0" collapsed="false">
      <c r="F181" s="184"/>
      <c r="H181" s="153" t="str">
        <f aca="false">IF(H$4="X"," ",IF(G181&lt;&gt;0,G181*H$2/(100+H$2)," "))</f>
        <v> </v>
      </c>
      <c r="I181" s="153" t="str">
        <f aca="false">IF((G181&lt;&gt;0),G181-H181," ")</f>
        <v> </v>
      </c>
    </row>
    <row r="182" customFormat="false" ht="12.75" hidden="false" customHeight="false" outlineLevel="0" collapsed="false">
      <c r="F182" s="184"/>
      <c r="H182" s="153" t="str">
        <f aca="false">IF(H$4="X"," ",IF(G182&lt;&gt;0,G182*H$2/(100+H$2)," "))</f>
        <v> </v>
      </c>
      <c r="I182" s="153" t="str">
        <f aca="false">IF((G182&lt;&gt;0),G182-H182," ")</f>
        <v> </v>
      </c>
    </row>
    <row r="183" customFormat="false" ht="12.75" hidden="false" customHeight="false" outlineLevel="0" collapsed="false">
      <c r="F183" s="184"/>
      <c r="H183" s="153" t="str">
        <f aca="false">IF(H$4="X"," ",IF(G183&lt;&gt;0,G183*H$2/(100+H$2)," "))</f>
        <v> </v>
      </c>
      <c r="I183" s="153" t="str">
        <f aca="false">IF((G183&lt;&gt;0),G183-H183," ")</f>
        <v> </v>
      </c>
    </row>
    <row r="184" customFormat="false" ht="12.75" hidden="false" customHeight="false" outlineLevel="0" collapsed="false">
      <c r="F184" s="184"/>
      <c r="H184" s="153" t="str">
        <f aca="false">IF(H$4="X"," ",IF(G184&lt;&gt;0,G184*H$2/(100+H$2)," "))</f>
        <v> </v>
      </c>
      <c r="I184" s="153" t="str">
        <f aca="false">IF((G184&lt;&gt;0),G184-H184," ")</f>
        <v> </v>
      </c>
    </row>
    <row r="185" customFormat="false" ht="12.75" hidden="false" customHeight="false" outlineLevel="0" collapsed="false">
      <c r="F185" s="184"/>
      <c r="H185" s="153" t="str">
        <f aca="false">IF(H$4="X"," ",IF(G185&lt;&gt;0,G185*H$2/(100+H$2)," "))</f>
        <v> </v>
      </c>
      <c r="I185" s="153" t="str">
        <f aca="false">IF((G185&lt;&gt;0),G185-H185," ")</f>
        <v> </v>
      </c>
    </row>
    <row r="186" customFormat="false" ht="12.75" hidden="false" customHeight="false" outlineLevel="0" collapsed="false">
      <c r="F186" s="184"/>
      <c r="H186" s="153" t="str">
        <f aca="false">IF(H$4="X"," ",IF(G186&lt;&gt;0,G186*H$2/(100+H$2)," "))</f>
        <v> </v>
      </c>
      <c r="I186" s="153" t="str">
        <f aca="false">IF((G186&lt;&gt;0),G186-H186," ")</f>
        <v> </v>
      </c>
    </row>
    <row r="187" customFormat="false" ht="12.75" hidden="false" customHeight="false" outlineLevel="0" collapsed="false">
      <c r="F187" s="184"/>
      <c r="H187" s="153" t="str">
        <f aca="false">IF(H$4="X"," ",IF(G187&lt;&gt;0,G187*H$2/(100+H$2)," "))</f>
        <v> </v>
      </c>
      <c r="I187" s="153" t="str">
        <f aca="false">IF((G187&lt;&gt;0),G187-H187," ")</f>
        <v> </v>
      </c>
    </row>
    <row r="188" customFormat="false" ht="12.75" hidden="false" customHeight="false" outlineLevel="0" collapsed="false">
      <c r="F188" s="184"/>
      <c r="H188" s="153" t="str">
        <f aca="false">IF(H$4="X"," ",IF(G188&lt;&gt;0,G188*H$2/(100+H$2)," "))</f>
        <v> </v>
      </c>
      <c r="I188" s="153" t="str">
        <f aca="false">IF((G188&lt;&gt;0),G188-H188," ")</f>
        <v> </v>
      </c>
    </row>
    <row r="189" customFormat="false" ht="12.75" hidden="false" customHeight="false" outlineLevel="0" collapsed="false">
      <c r="F189" s="184"/>
      <c r="H189" s="153" t="str">
        <f aca="false">IF(H$4="X"," ",IF(G189&lt;&gt;0,G189*H$2/(100+H$2)," "))</f>
        <v> </v>
      </c>
      <c r="I189" s="153" t="str">
        <f aca="false">IF((G189&lt;&gt;0),G189-H189," ")</f>
        <v> </v>
      </c>
    </row>
    <row r="190" customFormat="false" ht="12.75" hidden="false" customHeight="false" outlineLevel="0" collapsed="false">
      <c r="F190" s="184"/>
      <c r="H190" s="153" t="str">
        <f aca="false">IF(H$4="X"," ",IF(G190&lt;&gt;0,G190*H$2/(100+H$2)," "))</f>
        <v> </v>
      </c>
      <c r="I190" s="153" t="str">
        <f aca="false">IF((G190&lt;&gt;0),G190-H190," ")</f>
        <v> </v>
      </c>
    </row>
    <row r="191" customFormat="false" ht="12.75" hidden="false" customHeight="false" outlineLevel="0" collapsed="false">
      <c r="F191" s="184"/>
      <c r="H191" s="153" t="str">
        <f aca="false">IF(H$4="X"," ",IF(G191&lt;&gt;0,G191*H$2/(100+H$2)," "))</f>
        <v> </v>
      </c>
      <c r="I191" s="153" t="str">
        <f aca="false">IF((G191&lt;&gt;0),G191-H191," ")</f>
        <v> </v>
      </c>
    </row>
    <row r="192" customFormat="false" ht="12.75" hidden="false" customHeight="false" outlineLevel="0" collapsed="false">
      <c r="F192" s="184"/>
      <c r="H192" s="153" t="str">
        <f aca="false">IF(H$4="X"," ",IF(G192&lt;&gt;0,G192*H$2/(100+H$2)," "))</f>
        <v> </v>
      </c>
      <c r="I192" s="153" t="str">
        <f aca="false">IF((G192&lt;&gt;0),G192-H192," ")</f>
        <v> </v>
      </c>
    </row>
    <row r="193" customFormat="false" ht="12.75" hidden="false" customHeight="false" outlineLevel="0" collapsed="false">
      <c r="F193" s="184"/>
      <c r="H193" s="153" t="str">
        <f aca="false">IF(H$4="X"," ",IF(G193&lt;&gt;0,G193*H$2/(100+H$2)," "))</f>
        <v> </v>
      </c>
      <c r="I193" s="153" t="str">
        <f aca="false">IF((G193&lt;&gt;0),G193-H193," ")</f>
        <v> </v>
      </c>
    </row>
    <row r="194" customFormat="false" ht="12.75" hidden="false" customHeight="false" outlineLevel="0" collapsed="false">
      <c r="F194" s="184"/>
      <c r="H194" s="153" t="str">
        <f aca="false">IF(H$4="X"," ",IF(G194&lt;&gt;0,G194*H$2/(100+H$2)," "))</f>
        <v> </v>
      </c>
      <c r="I194" s="153" t="str">
        <f aca="false">IF((G194&lt;&gt;0),G194-H194," ")</f>
        <v> </v>
      </c>
    </row>
    <row r="195" customFormat="false" ht="12.75" hidden="false" customHeight="false" outlineLevel="0" collapsed="false">
      <c r="F195" s="184"/>
      <c r="H195" s="153" t="str">
        <f aca="false">IF(H$4="X"," ",IF(G195&lt;&gt;0,G195*H$2/(100+H$2)," "))</f>
        <v> </v>
      </c>
      <c r="I195" s="153" t="str">
        <f aca="false">IF((G195&lt;&gt;0),G195-H195," ")</f>
        <v> </v>
      </c>
    </row>
    <row r="196" customFormat="false" ht="12.75" hidden="false" customHeight="false" outlineLevel="0" collapsed="false">
      <c r="F196" s="184"/>
      <c r="H196" s="153" t="str">
        <f aca="false">IF(H$4="X"," ",IF(G196&lt;&gt;0,G196*H$2/(100+H$2)," "))</f>
        <v> </v>
      </c>
      <c r="I196" s="153" t="str">
        <f aca="false">IF((G196&lt;&gt;0),G196-H196," ")</f>
        <v> </v>
      </c>
    </row>
    <row r="197" customFormat="false" ht="12.75" hidden="false" customHeight="false" outlineLevel="0" collapsed="false">
      <c r="F197" s="184"/>
      <c r="H197" s="153" t="str">
        <f aca="false">IF(H$4="X"," ",IF(G197&lt;&gt;0,G197*H$2/(100+H$2)," "))</f>
        <v> </v>
      </c>
      <c r="I197" s="153" t="str">
        <f aca="false">IF((G197&lt;&gt;0),G197-H197," ")</f>
        <v> </v>
      </c>
    </row>
    <row r="198" customFormat="false" ht="12.75" hidden="false" customHeight="false" outlineLevel="0" collapsed="false">
      <c r="F198" s="184"/>
      <c r="H198" s="153" t="str">
        <f aca="false">IF(H$4="X"," ",IF(G198&lt;&gt;0,G198*H$2/(100+H$2)," "))</f>
        <v> </v>
      </c>
      <c r="I198" s="153" t="str">
        <f aca="false">IF((G198&lt;&gt;0),G198-H198," ")</f>
        <v> </v>
      </c>
    </row>
    <row r="199" customFormat="false" ht="12.75" hidden="false" customHeight="false" outlineLevel="0" collapsed="false">
      <c r="F199" s="184"/>
      <c r="H199" s="153" t="str">
        <f aca="false">IF(H$4="X"," ",IF(G199&lt;&gt;0,G199*H$2/(100+H$2)," "))</f>
        <v> </v>
      </c>
      <c r="I199" s="153" t="str">
        <f aca="false">IF((G199&lt;&gt;0),G199-H199," ")</f>
        <v> </v>
      </c>
    </row>
    <row r="200" customFormat="false" ht="12.75" hidden="false" customHeight="false" outlineLevel="0" collapsed="false">
      <c r="A200" s="232"/>
      <c r="B200" s="221"/>
      <c r="C200" s="225"/>
      <c r="D200" s="213"/>
      <c r="E200" s="261"/>
      <c r="F200" s="221"/>
      <c r="G200" s="211"/>
      <c r="H200" s="211" t="str">
        <f aca="false">IF(H$4="X"," ",IF(G200&lt;&gt;0,G200*H$2/(100+H$2)," "))</f>
        <v> </v>
      </c>
      <c r="I200" s="211" t="str">
        <f aca="false">IF((G200&lt;&gt;0),G200-H200," ")</f>
        <v> </v>
      </c>
    </row>
    <row r="201" customFormat="false" ht="12.75" hidden="false" customHeight="false" outlineLevel="0" collapsed="false">
      <c r="A201" s="285" t="s">
        <v>544</v>
      </c>
      <c r="H201" s="153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68" width="8.82"/>
    <col collapsed="false" customWidth="true" hidden="false" outlineLevel="0" max="2" min="2" style="184" width="19.66"/>
    <col collapsed="false" customWidth="true" hidden="false" outlineLevel="0" max="3" min="3" style="155" width="12.66"/>
    <col collapsed="false" customWidth="true" hidden="false" outlineLevel="0" max="4" min="4" style="187" width="5.82"/>
    <col collapsed="false" customWidth="true" hidden="false" outlineLevel="0" max="5" min="5" style="192" width="14.66"/>
    <col collapsed="false" customWidth="true" hidden="false" outlineLevel="0" max="6" min="6" style="156" width="5.66"/>
    <col collapsed="false" customWidth="true" hidden="false" outlineLevel="0" max="7" min="7" style="153" width="10.5"/>
    <col collapsed="false" customWidth="true" hidden="false" outlineLevel="0" max="8" min="8" style="153" width="9.66"/>
    <col collapsed="false" customWidth="true" hidden="false" outlineLevel="0" max="9" min="9" style="153" width="10.66"/>
    <col collapsed="false" customWidth="false" hidden="false" outlineLevel="0" max="257" min="10" style="184" width="9.15"/>
  </cols>
  <sheetData>
    <row r="1" s="171" customFormat="true" ht="30" hidden="false" customHeight="true" outlineLevel="0" collapsed="false">
      <c r="A1" s="398" t="s">
        <v>536</v>
      </c>
      <c r="B1" s="398"/>
      <c r="C1" s="347" t="s">
        <v>545</v>
      </c>
      <c r="D1" s="364"/>
      <c r="E1" s="181" t="s">
        <v>537</v>
      </c>
      <c r="F1" s="403"/>
      <c r="G1" s="181" t="n">
        <f aca="false">SUM(G5:G200)</f>
        <v>0</v>
      </c>
      <c r="H1" s="181" t="n">
        <f aca="false">SUM(H5:H200)</f>
        <v>0</v>
      </c>
      <c r="I1" s="181" t="n">
        <f aca="false">SUM(I5:I200)</f>
        <v>0</v>
      </c>
    </row>
    <row r="2" s="212" customFormat="true" ht="12" hidden="false" customHeight="true" outlineLevel="0" collapsed="false">
      <c r="A2" s="404" t="s">
        <v>546</v>
      </c>
      <c r="B2" s="405" t="str">
        <f aca="false">IF((I1-SUM(P1:AL1)&lt;&gt;0),"COMPLETE EXPENSE ANALYSIS by inserting expense letter in col F","Supplier")</f>
        <v>Supplier</v>
      </c>
      <c r="C2" s="347"/>
      <c r="D2" s="364"/>
      <c r="E2" s="406" t="s">
        <v>547</v>
      </c>
      <c r="F2" s="403"/>
      <c r="G2" s="407" t="s">
        <v>548</v>
      </c>
      <c r="H2" s="257" t="n">
        <f aca="false">[2]OpeningCreditors!$H$2</f>
        <v>0</v>
      </c>
      <c r="I2" s="407" t="s">
        <v>549</v>
      </c>
    </row>
    <row r="3" s="238" customFormat="true" ht="12" hidden="false" customHeight="true" outlineLevel="0" collapsed="false">
      <c r="A3" s="404"/>
      <c r="B3" s="404"/>
      <c r="C3" s="347"/>
      <c r="D3" s="364"/>
      <c r="E3" s="364"/>
      <c r="F3" s="364"/>
      <c r="G3" s="407"/>
      <c r="H3" s="407" t="s">
        <v>550</v>
      </c>
      <c r="I3" s="407"/>
    </row>
    <row r="4" customFormat="false" ht="12.75" hidden="false" customHeight="false" outlineLevel="0" collapsed="false">
      <c r="A4" s="404"/>
      <c r="B4" s="404"/>
      <c r="C4" s="347"/>
      <c r="D4" s="364"/>
      <c r="E4" s="364"/>
      <c r="F4" s="364"/>
      <c r="G4" s="407"/>
      <c r="H4" s="407"/>
      <c r="I4" s="407"/>
    </row>
    <row r="5" customFormat="false" ht="12.75" hidden="false" customHeight="false" outlineLevel="0" collapsed="false">
      <c r="B5" s="156"/>
      <c r="C5" s="187"/>
      <c r="E5" s="156"/>
      <c r="F5" s="184"/>
      <c r="G5" s="237"/>
      <c r="H5" s="153" t="str">
        <f aca="false">IF(G5&lt;&gt;0,G5*H$2/(100+H$2)," ")</f>
        <v> </v>
      </c>
      <c r="I5" s="153" t="str">
        <f aca="false">IF((G5&lt;&gt;0),G5-H5," ")</f>
        <v> </v>
      </c>
    </row>
    <row r="6" customFormat="false" ht="12.75" hidden="false" customHeight="false" outlineLevel="0" collapsed="false">
      <c r="F6" s="184"/>
      <c r="H6" s="153" t="str">
        <f aca="false">IF(G6&lt;&gt;0,G6*H$2/(100+H$2)," ")</f>
        <v> </v>
      </c>
      <c r="I6" s="153" t="str">
        <f aca="false">IF((G6&lt;&gt;0),G6-H6," ")</f>
        <v> </v>
      </c>
    </row>
    <row r="7" customFormat="false" ht="12.75" hidden="false" customHeight="false" outlineLevel="0" collapsed="false">
      <c r="F7" s="184"/>
      <c r="H7" s="153" t="str">
        <f aca="false">IF(G7&lt;&gt;0,G7*H$2/(100+H$2)," ")</f>
        <v> </v>
      </c>
      <c r="I7" s="153" t="str">
        <f aca="false">IF((G7&lt;&gt;0),G7-H7," ")</f>
        <v> </v>
      </c>
    </row>
    <row r="8" customFormat="false" ht="12.75" hidden="false" customHeight="false" outlineLevel="0" collapsed="false">
      <c r="F8" s="184"/>
      <c r="H8" s="153" t="str">
        <f aca="false">IF(G8&lt;&gt;0,G8*H$2/(100+H$2)," ")</f>
        <v> </v>
      </c>
      <c r="I8" s="153" t="str">
        <f aca="false">IF((G8&lt;&gt;0),G8-H8," ")</f>
        <v> </v>
      </c>
    </row>
    <row r="9" customFormat="false" ht="12.75" hidden="false" customHeight="false" outlineLevel="0" collapsed="false">
      <c r="F9" s="184"/>
      <c r="H9" s="153" t="str">
        <f aca="false">IF(G9&lt;&gt;0,G9*H$2/(100+H$2)," ")</f>
        <v> </v>
      </c>
      <c r="I9" s="153" t="str">
        <f aca="false">IF((G9&lt;&gt;0),G9-H9," ")</f>
        <v> </v>
      </c>
    </row>
    <row r="10" customFormat="false" ht="12.75" hidden="false" customHeight="false" outlineLevel="0" collapsed="false">
      <c r="F10" s="184"/>
      <c r="H10" s="153" t="str">
        <f aca="false">IF(G10&lt;&gt;0,G10*H$2/(100+H$2)," ")</f>
        <v> </v>
      </c>
      <c r="I10" s="153" t="str">
        <f aca="false">IF((G10&lt;&gt;0),G10-H10," ")</f>
        <v> </v>
      </c>
    </row>
    <row r="11" customFormat="false" ht="12.75" hidden="false" customHeight="false" outlineLevel="0" collapsed="false">
      <c r="F11" s="184"/>
      <c r="H11" s="153" t="str">
        <f aca="false">IF(G11&lt;&gt;0,G11*H$2/(100+H$2)," ")</f>
        <v> </v>
      </c>
      <c r="I11" s="153" t="str">
        <f aca="false">IF((G11&lt;&gt;0),G11-H11," ")</f>
        <v> </v>
      </c>
    </row>
    <row r="12" customFormat="false" ht="12.75" hidden="false" customHeight="false" outlineLevel="0" collapsed="false">
      <c r="F12" s="184"/>
      <c r="H12" s="153" t="str">
        <f aca="false">IF(G12&lt;&gt;0,G12*H$2/(100+H$2)," ")</f>
        <v> </v>
      </c>
      <c r="I12" s="153" t="str">
        <f aca="false">IF((G12&lt;&gt;0),G12-H12," ")</f>
        <v> </v>
      </c>
    </row>
    <row r="13" customFormat="false" ht="12.75" hidden="false" customHeight="false" outlineLevel="0" collapsed="false">
      <c r="F13" s="184"/>
      <c r="H13" s="153" t="str">
        <f aca="false">IF(G13&lt;&gt;0,G13*H$2/(100+H$2)," ")</f>
        <v> </v>
      </c>
      <c r="I13" s="153" t="str">
        <f aca="false">IF((G13&lt;&gt;0),G13-H13," ")</f>
        <v> </v>
      </c>
    </row>
    <row r="14" customFormat="false" ht="12.75" hidden="false" customHeight="false" outlineLevel="0" collapsed="false">
      <c r="F14" s="184"/>
      <c r="H14" s="153" t="str">
        <f aca="false">IF(G14&lt;&gt;0,G14*H$2/(100+H$2)," ")</f>
        <v> </v>
      </c>
      <c r="I14" s="153" t="str">
        <f aca="false">IF((G14&lt;&gt;0),G14-H14," ")</f>
        <v> </v>
      </c>
    </row>
    <row r="15" customFormat="false" ht="12.75" hidden="false" customHeight="false" outlineLevel="0" collapsed="false">
      <c r="F15" s="184"/>
      <c r="H15" s="153" t="str">
        <f aca="false">IF(H$4="X"," ",IF(G15&lt;&gt;0,G15*H$2/(100+H$2)," "))</f>
        <v> </v>
      </c>
      <c r="I15" s="153" t="str">
        <f aca="false">IF((G15&lt;&gt;0),G15-H15," ")</f>
        <v> </v>
      </c>
    </row>
    <row r="16" customFormat="false" ht="12.75" hidden="false" customHeight="false" outlineLevel="0" collapsed="false">
      <c r="F16" s="184"/>
      <c r="H16" s="153" t="str">
        <f aca="false">IF(H$4="X"," ",IF(G16&lt;&gt;0,G16*H$2/(100+H$2)," "))</f>
        <v> </v>
      </c>
      <c r="I16" s="153" t="str">
        <f aca="false">IF((G16&lt;&gt;0),G16-H16," ")</f>
        <v> </v>
      </c>
    </row>
    <row r="17" customFormat="false" ht="12.75" hidden="false" customHeight="false" outlineLevel="0" collapsed="false">
      <c r="F17" s="184"/>
      <c r="H17" s="153" t="str">
        <f aca="false">IF(H$4="X"," ",IF(G17&lt;&gt;0,G17*H$2/(100+H$2)," "))</f>
        <v> </v>
      </c>
      <c r="I17" s="153" t="str">
        <f aca="false">IF((G17&lt;&gt;0),G17-H17," ")</f>
        <v> </v>
      </c>
    </row>
    <row r="18" customFormat="false" ht="12.75" hidden="false" customHeight="false" outlineLevel="0" collapsed="false">
      <c r="F18" s="184"/>
      <c r="H18" s="153" t="str">
        <f aca="false">IF(H$4="X"," ",IF(G18&lt;&gt;0,G18*H$2/(100+H$2)," "))</f>
        <v> </v>
      </c>
      <c r="I18" s="153" t="str">
        <f aca="false">IF((G18&lt;&gt;0),G18-H18," ")</f>
        <v> </v>
      </c>
    </row>
    <row r="19" customFormat="false" ht="12.75" hidden="false" customHeight="false" outlineLevel="0" collapsed="false">
      <c r="F19" s="184"/>
      <c r="H19" s="153" t="str">
        <f aca="false">IF(H$4="X"," ",IF(G19&lt;&gt;0,G19*H$2/(100+H$2)," "))</f>
        <v> </v>
      </c>
      <c r="I19" s="153" t="str">
        <f aca="false">IF((G19&lt;&gt;0),G19-H19," ")</f>
        <v> </v>
      </c>
    </row>
    <row r="20" customFormat="false" ht="12.75" hidden="false" customHeight="false" outlineLevel="0" collapsed="false">
      <c r="F20" s="184"/>
      <c r="H20" s="153" t="str">
        <f aca="false">IF(H$4="X"," ",IF(G20&lt;&gt;0,G20*H$2/(100+H$2)," "))</f>
        <v> </v>
      </c>
      <c r="I20" s="153" t="str">
        <f aca="false">IF((G20&lt;&gt;0),G20-H20," ")</f>
        <v> </v>
      </c>
    </row>
    <row r="21" customFormat="false" ht="12.75" hidden="false" customHeight="false" outlineLevel="0" collapsed="false">
      <c r="F21" s="184"/>
      <c r="H21" s="153" t="str">
        <f aca="false">IF(H$4="X"," ",IF(G21&lt;&gt;0,G21*H$2/(100+H$2)," "))</f>
        <v> </v>
      </c>
      <c r="I21" s="153" t="str">
        <f aca="false">IF((G21&lt;&gt;0),G21-H21," ")</f>
        <v> </v>
      </c>
    </row>
    <row r="22" customFormat="false" ht="12.75" hidden="false" customHeight="false" outlineLevel="0" collapsed="false">
      <c r="E22" s="184"/>
      <c r="F22" s="184"/>
      <c r="H22" s="153" t="str">
        <f aca="false">IF(H$4="X"," ",IF(G22&lt;&gt;0,G22*H$2/(100+H$2)," "))</f>
        <v> </v>
      </c>
      <c r="I22" s="153" t="str">
        <f aca="false">IF((G22&lt;&gt;0),G22-H22," ")</f>
        <v> </v>
      </c>
    </row>
    <row r="23" customFormat="false" ht="12.75" hidden="false" customHeight="false" outlineLevel="0" collapsed="false">
      <c r="E23" s="240"/>
      <c r="F23" s="184"/>
      <c r="H23" s="153" t="str">
        <f aca="false">IF(H$4="X"," ",IF(G23&lt;&gt;0,G23*H$2/(100+H$2)," "))</f>
        <v> </v>
      </c>
      <c r="I23" s="153" t="str">
        <f aca="false">IF((G23&lt;&gt;0),G23-H23," ")</f>
        <v> </v>
      </c>
    </row>
    <row r="24" customFormat="false" ht="12.75" hidden="false" customHeight="false" outlineLevel="0" collapsed="false">
      <c r="F24" s="184"/>
      <c r="H24" s="153" t="str">
        <f aca="false">IF(H$4="X"," ",IF(G24&lt;&gt;0,G24*H$2/(100+H$2)," "))</f>
        <v> </v>
      </c>
      <c r="I24" s="153" t="str">
        <f aca="false">IF((G24&lt;&gt;0),G24-H24," ")</f>
        <v> </v>
      </c>
    </row>
    <row r="25" customFormat="false" ht="12.75" hidden="false" customHeight="false" outlineLevel="0" collapsed="false">
      <c r="F25" s="184"/>
      <c r="H25" s="153" t="str">
        <f aca="false">IF(H$4="X"," ",IF(G25&lt;&gt;0,G25*H$2/(100+H$2)," "))</f>
        <v> </v>
      </c>
      <c r="I25" s="153" t="str">
        <f aca="false">IF((G25&lt;&gt;0),G25-H25," ")</f>
        <v> </v>
      </c>
    </row>
    <row r="26" customFormat="false" ht="12.75" hidden="false" customHeight="false" outlineLevel="0" collapsed="false">
      <c r="F26" s="184"/>
      <c r="H26" s="153" t="str">
        <f aca="false">IF(H$4="X"," ",IF(G26&lt;&gt;0,G26*H$2/(100+H$2)," "))</f>
        <v> </v>
      </c>
      <c r="I26" s="153" t="str">
        <f aca="false">IF((G26&lt;&gt;0),G26-H26," ")</f>
        <v> </v>
      </c>
    </row>
    <row r="27" customFormat="false" ht="12.75" hidden="false" customHeight="false" outlineLevel="0" collapsed="false">
      <c r="F27" s="184"/>
      <c r="H27" s="153" t="str">
        <f aca="false">IF(H$4="X"," ",IF(G27&lt;&gt;0,G27*H$2/(100+H$2)," "))</f>
        <v> </v>
      </c>
      <c r="I27" s="153" t="str">
        <f aca="false">IF((G27&lt;&gt;0),G27-H27," ")</f>
        <v> </v>
      </c>
    </row>
    <row r="28" customFormat="false" ht="12.75" hidden="false" customHeight="false" outlineLevel="0" collapsed="false">
      <c r="F28" s="184"/>
      <c r="H28" s="153" t="str">
        <f aca="false">IF(H$4="X"," ",IF(G28&lt;&gt;0,G28*H$2/(100+H$2)," "))</f>
        <v> </v>
      </c>
      <c r="I28" s="153" t="str">
        <f aca="false">IF((G28&lt;&gt;0),G28-H28," ")</f>
        <v> </v>
      </c>
    </row>
    <row r="29" customFormat="false" ht="12.75" hidden="false" customHeight="false" outlineLevel="0" collapsed="false">
      <c r="F29" s="184"/>
      <c r="H29" s="153" t="str">
        <f aca="false">IF(H$4="X"," ",IF(G29&lt;&gt;0,G29*H$2/(100+H$2)," "))</f>
        <v> </v>
      </c>
      <c r="I29" s="153" t="str">
        <f aca="false">IF((G29&lt;&gt;0),G29-H29," ")</f>
        <v> </v>
      </c>
    </row>
    <row r="30" customFormat="false" ht="12.75" hidden="false" customHeight="false" outlineLevel="0" collapsed="false">
      <c r="F30" s="184"/>
      <c r="H30" s="153" t="str">
        <f aca="false">IF(H$4="X"," ",IF(G30&lt;&gt;0,G30*H$2/(100+H$2)," "))</f>
        <v> </v>
      </c>
      <c r="I30" s="153" t="str">
        <f aca="false">IF((G30&lt;&gt;0),G30-H30," ")</f>
        <v> </v>
      </c>
    </row>
    <row r="31" customFormat="false" ht="12.75" hidden="false" customHeight="false" outlineLevel="0" collapsed="false">
      <c r="F31" s="184"/>
      <c r="H31" s="153" t="str">
        <f aca="false">IF(H$4="X"," ",IF(G31&lt;&gt;0,G31*H$2/(100+H$2)," "))</f>
        <v> </v>
      </c>
      <c r="I31" s="153" t="str">
        <f aca="false">IF((G31&lt;&gt;0),G31-H31," ")</f>
        <v> </v>
      </c>
    </row>
    <row r="32" customFormat="false" ht="12.75" hidden="false" customHeight="false" outlineLevel="0" collapsed="false">
      <c r="F32" s="184"/>
      <c r="H32" s="153" t="str">
        <f aca="false">IF(H$4="X"," ",IF(G32&lt;&gt;0,G32*H$2/(100+H$2)," "))</f>
        <v> </v>
      </c>
      <c r="I32" s="153" t="str">
        <f aca="false">IF((G32&lt;&gt;0),G32-H32," ")</f>
        <v> </v>
      </c>
    </row>
    <row r="33" customFormat="false" ht="12.75" hidden="false" customHeight="false" outlineLevel="0" collapsed="false">
      <c r="F33" s="184"/>
      <c r="H33" s="153" t="str">
        <f aca="false">IF(H$4="X"," ",IF(G33&lt;&gt;0,G33*H$2/(100+H$2)," "))</f>
        <v> </v>
      </c>
      <c r="I33" s="153" t="str">
        <f aca="false">IF((G33&lt;&gt;0),G33-H33," ")</f>
        <v> </v>
      </c>
    </row>
    <row r="34" customFormat="false" ht="12.75" hidden="false" customHeight="false" outlineLevel="0" collapsed="false">
      <c r="F34" s="184"/>
      <c r="H34" s="153" t="str">
        <f aca="false">IF(H$4="X"," ",IF(G34&lt;&gt;0,G34*H$2/(100+H$2)," "))</f>
        <v> </v>
      </c>
      <c r="I34" s="153" t="str">
        <f aca="false">IF((G34&lt;&gt;0),G34-H34," ")</f>
        <v> </v>
      </c>
    </row>
    <row r="35" customFormat="false" ht="12.75" hidden="false" customHeight="false" outlineLevel="0" collapsed="false">
      <c r="F35" s="184"/>
      <c r="H35" s="153" t="str">
        <f aca="false">IF(H$4="X"," ",IF(G35&lt;&gt;0,G35*H$2/(100+H$2)," "))</f>
        <v> </v>
      </c>
      <c r="I35" s="153" t="str">
        <f aca="false">IF((G35&lt;&gt;0),G35-H35," ")</f>
        <v> </v>
      </c>
    </row>
    <row r="36" customFormat="false" ht="12.75" hidden="false" customHeight="false" outlineLevel="0" collapsed="false">
      <c r="F36" s="184"/>
      <c r="H36" s="153" t="str">
        <f aca="false">IF(H$4="X"," ",IF(G36&lt;&gt;0,G36*H$2/(100+H$2)," "))</f>
        <v> </v>
      </c>
      <c r="I36" s="153" t="str">
        <f aca="false">IF((G36&lt;&gt;0),G36-H36," ")</f>
        <v> </v>
      </c>
    </row>
    <row r="37" customFormat="false" ht="12.75" hidden="false" customHeight="false" outlineLevel="0" collapsed="false">
      <c r="F37" s="184"/>
      <c r="H37" s="153" t="str">
        <f aca="false">IF(H$4="X"," ",IF(G37&lt;&gt;0,G37*H$2/(100+H$2)," "))</f>
        <v> </v>
      </c>
      <c r="I37" s="153" t="str">
        <f aca="false">IF((G37&lt;&gt;0),G37-H37," ")</f>
        <v> </v>
      </c>
    </row>
    <row r="38" customFormat="false" ht="12.75" hidden="false" customHeight="false" outlineLevel="0" collapsed="false">
      <c r="F38" s="184"/>
      <c r="H38" s="153" t="str">
        <f aca="false">IF(H$4="X"," ",IF(G38&lt;&gt;0,G38*H$2/(100+H$2)," "))</f>
        <v> </v>
      </c>
      <c r="I38" s="153" t="str">
        <f aca="false">IF((G38&lt;&gt;0),G38-H38," ")</f>
        <v> </v>
      </c>
    </row>
    <row r="39" customFormat="false" ht="12.75" hidden="false" customHeight="false" outlineLevel="0" collapsed="false">
      <c r="F39" s="184"/>
      <c r="H39" s="153" t="str">
        <f aca="false">IF(H$4="X"," ",IF(G39&lt;&gt;0,G39*H$2/(100+H$2)," "))</f>
        <v> </v>
      </c>
      <c r="I39" s="153" t="str">
        <f aca="false">IF((G39&lt;&gt;0),G39-H39," ")</f>
        <v> </v>
      </c>
    </row>
    <row r="40" customFormat="false" ht="12.75" hidden="false" customHeight="false" outlineLevel="0" collapsed="false">
      <c r="F40" s="184"/>
      <c r="H40" s="153" t="str">
        <f aca="false">IF(H$4="X"," ",IF(G40&lt;&gt;0,G40*H$2/(100+H$2)," "))</f>
        <v> </v>
      </c>
      <c r="I40" s="153" t="str">
        <f aca="false">IF((G40&lt;&gt;0),G40-H40," ")</f>
        <v> </v>
      </c>
    </row>
    <row r="41" customFormat="false" ht="12.75" hidden="false" customHeight="false" outlineLevel="0" collapsed="false">
      <c r="F41" s="184"/>
      <c r="H41" s="153" t="str">
        <f aca="false">IF(H$4="X"," ",IF(G41&lt;&gt;0,G41*H$2/(100+H$2)," "))</f>
        <v> </v>
      </c>
      <c r="I41" s="153" t="str">
        <f aca="false">IF((G41&lt;&gt;0),G41-H41," ")</f>
        <v> </v>
      </c>
    </row>
    <row r="42" customFormat="false" ht="12.75" hidden="false" customHeight="false" outlineLevel="0" collapsed="false">
      <c r="F42" s="184"/>
      <c r="H42" s="153" t="str">
        <f aca="false">IF(H$4="X"," ",IF(G42&lt;&gt;0,G42*H$2/(100+H$2)," "))</f>
        <v> </v>
      </c>
      <c r="I42" s="153" t="str">
        <f aca="false">IF((G42&lt;&gt;0),G42-H42," ")</f>
        <v> </v>
      </c>
    </row>
    <row r="43" customFormat="false" ht="12.75" hidden="false" customHeight="false" outlineLevel="0" collapsed="false">
      <c r="F43" s="184"/>
      <c r="H43" s="153" t="str">
        <f aca="false">IF(H$4="X"," ",IF(G43&lt;&gt;0,G43*H$2/(100+H$2)," "))</f>
        <v> </v>
      </c>
      <c r="I43" s="153" t="str">
        <f aca="false">IF((G43&lt;&gt;0),G43-H43," ")</f>
        <v> </v>
      </c>
    </row>
    <row r="44" customFormat="false" ht="12.75" hidden="false" customHeight="false" outlineLevel="0" collapsed="false">
      <c r="F44" s="184"/>
      <c r="H44" s="153" t="str">
        <f aca="false">IF(H$4="X"," ",IF(G44&lt;&gt;0,G44*H$2/(100+H$2)," "))</f>
        <v> </v>
      </c>
      <c r="I44" s="153" t="str">
        <f aca="false">IF((G44&lt;&gt;0),G44-H44," ")</f>
        <v> </v>
      </c>
    </row>
    <row r="45" customFormat="false" ht="12.75" hidden="false" customHeight="false" outlineLevel="0" collapsed="false">
      <c r="F45" s="184"/>
      <c r="H45" s="153" t="str">
        <f aca="false">IF(H$4="X"," ",IF(G45&lt;&gt;0,G45*H$2/(100+H$2)," "))</f>
        <v> </v>
      </c>
      <c r="I45" s="153" t="str">
        <f aca="false">IF((G45&lt;&gt;0),G45-H45," ")</f>
        <v> </v>
      </c>
    </row>
    <row r="46" customFormat="false" ht="12.75" hidden="false" customHeight="false" outlineLevel="0" collapsed="false">
      <c r="F46" s="184"/>
      <c r="H46" s="153" t="str">
        <f aca="false">IF(H$4="X"," ",IF(G46&lt;&gt;0,G46*H$2/(100+H$2)," "))</f>
        <v> </v>
      </c>
      <c r="I46" s="153" t="str">
        <f aca="false">IF((G46&lt;&gt;0),G46-H46," ")</f>
        <v> </v>
      </c>
    </row>
    <row r="47" customFormat="false" ht="12.75" hidden="false" customHeight="false" outlineLevel="0" collapsed="false">
      <c r="F47" s="184"/>
      <c r="H47" s="153" t="str">
        <f aca="false">IF(H$4="X"," ",IF(G47&lt;&gt;0,G47*H$2/(100+H$2)," "))</f>
        <v> </v>
      </c>
      <c r="I47" s="153" t="str">
        <f aca="false">IF((G47&lt;&gt;0),G47-H47," ")</f>
        <v> </v>
      </c>
    </row>
    <row r="48" customFormat="false" ht="12.75" hidden="false" customHeight="false" outlineLevel="0" collapsed="false">
      <c r="F48" s="184"/>
      <c r="H48" s="153" t="str">
        <f aca="false">IF(H$4="X"," ",IF(G48&lt;&gt;0,G48*H$2/(100+H$2)," "))</f>
        <v> </v>
      </c>
      <c r="I48" s="153" t="str">
        <f aca="false">IF((G48&lt;&gt;0),G48-H48," ")</f>
        <v> </v>
      </c>
    </row>
    <row r="49" customFormat="false" ht="12.75" hidden="false" customHeight="false" outlineLevel="0" collapsed="false">
      <c r="F49" s="184"/>
      <c r="H49" s="153" t="str">
        <f aca="false">IF(H$4="X"," ",IF(G49&lt;&gt;0,G49*H$2/(100+H$2)," "))</f>
        <v> </v>
      </c>
      <c r="I49" s="153" t="str">
        <f aca="false">IF((G49&lt;&gt;0),G49-H49," ")</f>
        <v> </v>
      </c>
    </row>
    <row r="50" customFormat="false" ht="12.75" hidden="false" customHeight="false" outlineLevel="0" collapsed="false">
      <c r="F50" s="184"/>
      <c r="H50" s="153" t="str">
        <f aca="false">IF(H$4="X"," ",IF(G50&lt;&gt;0,G50*H$2/(100+H$2)," "))</f>
        <v> </v>
      </c>
      <c r="I50" s="153" t="str">
        <f aca="false">IF((G50&lt;&gt;0),G50-H50," ")</f>
        <v> </v>
      </c>
    </row>
    <row r="51" customFormat="false" ht="12.75" hidden="false" customHeight="false" outlineLevel="0" collapsed="false">
      <c r="F51" s="184"/>
      <c r="H51" s="153" t="str">
        <f aca="false">IF(H$4="X"," ",IF(G51&lt;&gt;0,G51*H$2/(100+H$2)," "))</f>
        <v> </v>
      </c>
      <c r="I51" s="153" t="str">
        <f aca="false">IF((G51&lt;&gt;0),G51-H51," ")</f>
        <v> </v>
      </c>
    </row>
    <row r="52" customFormat="false" ht="12.75" hidden="false" customHeight="false" outlineLevel="0" collapsed="false">
      <c r="F52" s="184"/>
      <c r="H52" s="153" t="str">
        <f aca="false">IF(H$4="X"," ",IF(G52&lt;&gt;0,G52*H$2/(100+H$2)," "))</f>
        <v> </v>
      </c>
      <c r="I52" s="153" t="str">
        <f aca="false">IF((G52&lt;&gt;0),G52-H52," ")</f>
        <v> </v>
      </c>
    </row>
    <row r="53" customFormat="false" ht="12.75" hidden="false" customHeight="false" outlineLevel="0" collapsed="false">
      <c r="F53" s="184"/>
      <c r="H53" s="153" t="str">
        <f aca="false">IF(H$4="X"," ",IF(G53&lt;&gt;0,G53*H$2/(100+H$2)," "))</f>
        <v> </v>
      </c>
      <c r="I53" s="153" t="str">
        <f aca="false">IF((G53&lt;&gt;0),G53-H53," ")</f>
        <v> </v>
      </c>
    </row>
    <row r="54" customFormat="false" ht="12.75" hidden="false" customHeight="false" outlineLevel="0" collapsed="false">
      <c r="F54" s="184"/>
      <c r="H54" s="153" t="str">
        <f aca="false">IF(H$4="X"," ",IF(G54&lt;&gt;0,G54*H$2/(100+H$2)," "))</f>
        <v> </v>
      </c>
      <c r="I54" s="153" t="str">
        <f aca="false">IF((G54&lt;&gt;0),G54-H54," ")</f>
        <v> </v>
      </c>
    </row>
    <row r="55" customFormat="false" ht="12.75" hidden="false" customHeight="false" outlineLevel="0" collapsed="false">
      <c r="F55" s="184"/>
      <c r="H55" s="153" t="str">
        <f aca="false">IF(H$4="X"," ",IF(G55&lt;&gt;0,G55*H$2/(100+H$2)," "))</f>
        <v> </v>
      </c>
      <c r="I55" s="153" t="str">
        <f aca="false">IF((G55&lt;&gt;0),G55-H55," ")</f>
        <v> </v>
      </c>
    </row>
    <row r="56" customFormat="false" ht="12.75" hidden="false" customHeight="false" outlineLevel="0" collapsed="false">
      <c r="F56" s="184"/>
      <c r="H56" s="153" t="str">
        <f aca="false">IF(H$4="X"," ",IF(G56&lt;&gt;0,G56*H$2/(100+H$2)," "))</f>
        <v> </v>
      </c>
      <c r="I56" s="153" t="str">
        <f aca="false">IF((G56&lt;&gt;0),G56-H56," ")</f>
        <v> </v>
      </c>
    </row>
    <row r="57" customFormat="false" ht="12.75" hidden="false" customHeight="false" outlineLevel="0" collapsed="false">
      <c r="F57" s="184"/>
      <c r="H57" s="153" t="str">
        <f aca="false">IF(H$4="X"," ",IF(G57&lt;&gt;0,G57*H$2/(100+H$2)," "))</f>
        <v> </v>
      </c>
      <c r="I57" s="153" t="str">
        <f aca="false">IF((G57&lt;&gt;0),G57-H57," ")</f>
        <v> </v>
      </c>
    </row>
    <row r="58" customFormat="false" ht="12.75" hidden="false" customHeight="false" outlineLevel="0" collapsed="false">
      <c r="F58" s="184"/>
      <c r="H58" s="153" t="str">
        <f aca="false">IF(H$4="X"," ",IF(G58&lt;&gt;0,G58*H$2/(100+H$2)," "))</f>
        <v> </v>
      </c>
      <c r="I58" s="153" t="str">
        <f aca="false">IF((G58&lt;&gt;0),G58-H58," ")</f>
        <v> </v>
      </c>
    </row>
    <row r="59" customFormat="false" ht="12.75" hidden="false" customHeight="false" outlineLevel="0" collapsed="false">
      <c r="F59" s="184"/>
      <c r="H59" s="153" t="str">
        <f aca="false">IF(H$4="X"," ",IF(G59&lt;&gt;0,G59*H$2/(100+H$2)," "))</f>
        <v> </v>
      </c>
      <c r="I59" s="153" t="str">
        <f aca="false">IF((G59&lt;&gt;0),G59-H59," ")</f>
        <v> </v>
      </c>
    </row>
    <row r="60" customFormat="false" ht="12.75" hidden="false" customHeight="false" outlineLevel="0" collapsed="false">
      <c r="F60" s="184"/>
      <c r="H60" s="153" t="str">
        <f aca="false">IF(H$4="X"," ",IF(G60&lt;&gt;0,G60*H$2/(100+H$2)," "))</f>
        <v> </v>
      </c>
      <c r="I60" s="153" t="str">
        <f aca="false">IF((G60&lt;&gt;0),G60-H60," ")</f>
        <v> </v>
      </c>
    </row>
    <row r="61" customFormat="false" ht="12.75" hidden="false" customHeight="false" outlineLevel="0" collapsed="false">
      <c r="F61" s="184"/>
      <c r="H61" s="153" t="str">
        <f aca="false">IF(H$4="X"," ",IF(G61&lt;&gt;0,G61*H$2/(100+H$2)," "))</f>
        <v> </v>
      </c>
      <c r="I61" s="153" t="str">
        <f aca="false">IF((G61&lt;&gt;0),G61-H61," ")</f>
        <v> </v>
      </c>
    </row>
    <row r="62" customFormat="false" ht="12.75" hidden="false" customHeight="false" outlineLevel="0" collapsed="false">
      <c r="F62" s="184"/>
      <c r="H62" s="153" t="str">
        <f aca="false">IF(H$4="X"," ",IF(G62&lt;&gt;0,G62*H$2/(100+H$2)," "))</f>
        <v> </v>
      </c>
      <c r="I62" s="153" t="str">
        <f aca="false">IF((G62&lt;&gt;0),G62-H62," ")</f>
        <v> </v>
      </c>
    </row>
    <row r="63" customFormat="false" ht="12.75" hidden="false" customHeight="false" outlineLevel="0" collapsed="false">
      <c r="F63" s="184"/>
      <c r="H63" s="153" t="str">
        <f aca="false">IF(H$4="X"," ",IF(G63&lt;&gt;0,G63*H$2/(100+H$2)," "))</f>
        <v> </v>
      </c>
      <c r="I63" s="153" t="str">
        <f aca="false">IF((G63&lt;&gt;0),G63-H63," ")</f>
        <v> </v>
      </c>
    </row>
    <row r="64" customFormat="false" ht="12.75" hidden="false" customHeight="false" outlineLevel="0" collapsed="false">
      <c r="F64" s="184"/>
      <c r="H64" s="153" t="str">
        <f aca="false">IF(H$4="X"," ",IF(G64&lt;&gt;0,G64*H$2/(100+H$2)," "))</f>
        <v> </v>
      </c>
      <c r="I64" s="153" t="str">
        <f aca="false">IF((G64&lt;&gt;0),G64-H64," ")</f>
        <v> </v>
      </c>
    </row>
    <row r="65" customFormat="false" ht="12.75" hidden="false" customHeight="false" outlineLevel="0" collapsed="false">
      <c r="F65" s="184"/>
      <c r="H65" s="153" t="str">
        <f aca="false">IF(H$4="X"," ",IF(G65&lt;&gt;0,G65*H$2/(100+H$2)," "))</f>
        <v> </v>
      </c>
      <c r="I65" s="153" t="str">
        <f aca="false">IF((G65&lt;&gt;0),G65-H65," ")</f>
        <v> </v>
      </c>
    </row>
    <row r="66" customFormat="false" ht="12.75" hidden="false" customHeight="false" outlineLevel="0" collapsed="false">
      <c r="F66" s="184"/>
      <c r="H66" s="153" t="str">
        <f aca="false">IF(H$4="X"," ",IF(G66&lt;&gt;0,G66*H$2/(100+H$2)," "))</f>
        <v> </v>
      </c>
      <c r="I66" s="153" t="str">
        <f aca="false">IF((G66&lt;&gt;0),G66-H66," ")</f>
        <v> </v>
      </c>
    </row>
    <row r="67" customFormat="false" ht="12.75" hidden="false" customHeight="false" outlineLevel="0" collapsed="false">
      <c r="F67" s="184"/>
      <c r="H67" s="153" t="str">
        <f aca="false">IF(H$4="X"," ",IF(G67&lt;&gt;0,G67*H$2/(100+H$2)," "))</f>
        <v> </v>
      </c>
      <c r="I67" s="153" t="str">
        <f aca="false">IF((G67&lt;&gt;0),G67-H67," ")</f>
        <v> </v>
      </c>
    </row>
    <row r="68" customFormat="false" ht="12.75" hidden="false" customHeight="false" outlineLevel="0" collapsed="false">
      <c r="F68" s="184"/>
      <c r="H68" s="153" t="str">
        <f aca="false">IF(H$4="X"," ",IF(G68&lt;&gt;0,G68*H$2/(100+H$2)," "))</f>
        <v> </v>
      </c>
      <c r="I68" s="153" t="str">
        <f aca="false">IF((G68&lt;&gt;0),G68-H68," ")</f>
        <v> </v>
      </c>
    </row>
    <row r="69" customFormat="false" ht="12.75" hidden="false" customHeight="false" outlineLevel="0" collapsed="false">
      <c r="F69" s="184"/>
      <c r="H69" s="153" t="str">
        <f aca="false">IF(H$4="X"," ",IF(G69&lt;&gt;0,G69*H$2/(100+H$2)," "))</f>
        <v> </v>
      </c>
      <c r="I69" s="153" t="str">
        <f aca="false">IF((G69&lt;&gt;0),G69-H69," ")</f>
        <v> </v>
      </c>
    </row>
    <row r="70" customFormat="false" ht="12.75" hidden="false" customHeight="false" outlineLevel="0" collapsed="false">
      <c r="F70" s="184"/>
      <c r="H70" s="153" t="str">
        <f aca="false">IF(H$4="X"," ",IF(G70&lt;&gt;0,G70*H$2/(100+H$2)," "))</f>
        <v> </v>
      </c>
      <c r="I70" s="153" t="str">
        <f aca="false">IF((G70&lt;&gt;0),G70-H70," ")</f>
        <v> </v>
      </c>
    </row>
    <row r="71" customFormat="false" ht="12.75" hidden="false" customHeight="false" outlineLevel="0" collapsed="false">
      <c r="F71" s="184"/>
      <c r="H71" s="153" t="str">
        <f aca="false">IF(H$4="X"," ",IF(G71&lt;&gt;0,G71*H$2/(100+H$2)," "))</f>
        <v> </v>
      </c>
      <c r="I71" s="153" t="str">
        <f aca="false">IF((G71&lt;&gt;0),G71-H71," ")</f>
        <v> </v>
      </c>
    </row>
    <row r="72" customFormat="false" ht="12.75" hidden="false" customHeight="false" outlineLevel="0" collapsed="false">
      <c r="F72" s="184"/>
      <c r="H72" s="153" t="str">
        <f aca="false">IF(H$4="X"," ",IF(G72&lt;&gt;0,G72*H$2/(100+H$2)," "))</f>
        <v> </v>
      </c>
      <c r="I72" s="153" t="str">
        <f aca="false">IF((G72&lt;&gt;0),G72-H72," ")</f>
        <v> </v>
      </c>
    </row>
    <row r="73" customFormat="false" ht="12.75" hidden="false" customHeight="false" outlineLevel="0" collapsed="false">
      <c r="F73" s="184"/>
      <c r="H73" s="153" t="str">
        <f aca="false">IF(H$4="X"," ",IF(G73&lt;&gt;0,G73*H$2/(100+H$2)," "))</f>
        <v> </v>
      </c>
      <c r="I73" s="153" t="str">
        <f aca="false">IF((G73&lt;&gt;0),G73-H73," ")</f>
        <v> </v>
      </c>
    </row>
    <row r="74" customFormat="false" ht="12.75" hidden="false" customHeight="false" outlineLevel="0" collapsed="false">
      <c r="F74" s="184"/>
      <c r="H74" s="153" t="str">
        <f aca="false">IF(H$4="X"," ",IF(G74&lt;&gt;0,G74*H$2/(100+H$2)," "))</f>
        <v> </v>
      </c>
      <c r="I74" s="153" t="str">
        <f aca="false">IF((G74&lt;&gt;0),G74-H74," ")</f>
        <v> </v>
      </c>
    </row>
    <row r="75" customFormat="false" ht="12.75" hidden="false" customHeight="false" outlineLevel="0" collapsed="false">
      <c r="F75" s="184"/>
      <c r="H75" s="153" t="str">
        <f aca="false">IF(H$4="X"," ",IF(G75&lt;&gt;0,G75*H$2/(100+H$2)," "))</f>
        <v> </v>
      </c>
      <c r="I75" s="153" t="str">
        <f aca="false">IF((G75&lt;&gt;0),G75-H75," ")</f>
        <v> </v>
      </c>
    </row>
    <row r="76" customFormat="false" ht="12.75" hidden="false" customHeight="false" outlineLevel="0" collapsed="false">
      <c r="F76" s="184"/>
      <c r="H76" s="153" t="str">
        <f aca="false">IF(H$4="X"," ",IF(G76&lt;&gt;0,G76*H$2/(100+H$2)," "))</f>
        <v> </v>
      </c>
      <c r="I76" s="153" t="str">
        <f aca="false">IF((G76&lt;&gt;0),G76-H76," ")</f>
        <v> </v>
      </c>
    </row>
    <row r="77" customFormat="false" ht="12.75" hidden="false" customHeight="false" outlineLevel="0" collapsed="false">
      <c r="F77" s="184"/>
      <c r="H77" s="153" t="str">
        <f aca="false">IF(H$4="X"," ",IF(G77&lt;&gt;0,G77*H$2/(100+H$2)," "))</f>
        <v> </v>
      </c>
      <c r="I77" s="153" t="str">
        <f aca="false">IF((G77&lt;&gt;0),G77-H77," ")</f>
        <v> </v>
      </c>
    </row>
    <row r="78" customFormat="false" ht="12.75" hidden="false" customHeight="false" outlineLevel="0" collapsed="false">
      <c r="F78" s="184"/>
      <c r="H78" s="153" t="str">
        <f aca="false">IF(H$4="X"," ",IF(G78&lt;&gt;0,G78*H$2/(100+H$2)," "))</f>
        <v> </v>
      </c>
      <c r="I78" s="153" t="str">
        <f aca="false">IF((G78&lt;&gt;0),G78-H78," ")</f>
        <v> </v>
      </c>
    </row>
    <row r="79" customFormat="false" ht="12.75" hidden="false" customHeight="false" outlineLevel="0" collapsed="false">
      <c r="F79" s="184"/>
      <c r="H79" s="153" t="str">
        <f aca="false">IF(H$4="X"," ",IF(G79&lt;&gt;0,G79*H$2/(100+H$2)," "))</f>
        <v> </v>
      </c>
      <c r="I79" s="153" t="str">
        <f aca="false">IF((G79&lt;&gt;0),G79-H79," ")</f>
        <v> </v>
      </c>
    </row>
    <row r="80" customFormat="false" ht="12.75" hidden="false" customHeight="false" outlineLevel="0" collapsed="false">
      <c r="F80" s="184"/>
      <c r="H80" s="153" t="str">
        <f aca="false">IF(H$4="X"," ",IF(G80&lt;&gt;0,G80*H$2/(100+H$2)," "))</f>
        <v> </v>
      </c>
      <c r="I80" s="153" t="str">
        <f aca="false">IF((G80&lt;&gt;0),G80-H80," ")</f>
        <v> </v>
      </c>
    </row>
    <row r="81" customFormat="false" ht="12.75" hidden="false" customHeight="false" outlineLevel="0" collapsed="false">
      <c r="F81" s="184"/>
      <c r="H81" s="153" t="str">
        <f aca="false">IF(H$4="X"," ",IF(G81&lt;&gt;0,G81*H$2/(100+H$2)," "))</f>
        <v> </v>
      </c>
      <c r="I81" s="153" t="str">
        <f aca="false">IF((G81&lt;&gt;0),G81-H81," ")</f>
        <v> </v>
      </c>
    </row>
    <row r="82" customFormat="false" ht="12.75" hidden="false" customHeight="false" outlineLevel="0" collapsed="false">
      <c r="F82" s="184"/>
      <c r="H82" s="153" t="str">
        <f aca="false">IF(H$4="X"," ",IF(G82&lt;&gt;0,G82*H$2/(100+H$2)," "))</f>
        <v> </v>
      </c>
      <c r="I82" s="153" t="str">
        <f aca="false">IF((G82&lt;&gt;0),G82-H82," ")</f>
        <v> </v>
      </c>
    </row>
    <row r="83" customFormat="false" ht="12.75" hidden="false" customHeight="false" outlineLevel="0" collapsed="false">
      <c r="F83" s="184"/>
      <c r="H83" s="153" t="str">
        <f aca="false">IF(H$4="X"," ",IF(G83&lt;&gt;0,G83*H$2/(100+H$2)," "))</f>
        <v> </v>
      </c>
      <c r="I83" s="153" t="str">
        <f aca="false">IF((G83&lt;&gt;0),G83-H83," ")</f>
        <v> </v>
      </c>
    </row>
    <row r="84" customFormat="false" ht="12.75" hidden="false" customHeight="false" outlineLevel="0" collapsed="false">
      <c r="F84" s="184"/>
      <c r="H84" s="153" t="str">
        <f aca="false">IF(H$4="X"," ",IF(G84&lt;&gt;0,G84*H$2/(100+H$2)," "))</f>
        <v> </v>
      </c>
      <c r="I84" s="153" t="str">
        <f aca="false">IF((G84&lt;&gt;0),G84-H84," ")</f>
        <v> </v>
      </c>
    </row>
    <row r="85" customFormat="false" ht="12.75" hidden="false" customHeight="false" outlineLevel="0" collapsed="false">
      <c r="F85" s="184"/>
      <c r="H85" s="153" t="str">
        <f aca="false">IF(H$4="X"," ",IF(G85&lt;&gt;0,G85*H$2/(100+H$2)," "))</f>
        <v> </v>
      </c>
      <c r="I85" s="153" t="str">
        <f aca="false">IF((G85&lt;&gt;0),G85-H85," ")</f>
        <v> </v>
      </c>
    </row>
    <row r="86" customFormat="false" ht="12.75" hidden="false" customHeight="false" outlineLevel="0" collapsed="false">
      <c r="F86" s="184"/>
      <c r="H86" s="153" t="str">
        <f aca="false">IF(H$4="X"," ",IF(G86&lt;&gt;0,G86*H$2/(100+H$2)," "))</f>
        <v> </v>
      </c>
      <c r="I86" s="153" t="str">
        <f aca="false">IF((G86&lt;&gt;0),G86-H86," ")</f>
        <v> </v>
      </c>
    </row>
    <row r="87" customFormat="false" ht="12.75" hidden="false" customHeight="false" outlineLevel="0" collapsed="false">
      <c r="F87" s="184"/>
      <c r="H87" s="153" t="str">
        <f aca="false">IF(H$4="X"," ",IF(G87&lt;&gt;0,G87*H$2/(100+H$2)," "))</f>
        <v> </v>
      </c>
      <c r="I87" s="153" t="str">
        <f aca="false">IF((G87&lt;&gt;0),G87-H87," ")</f>
        <v> </v>
      </c>
    </row>
    <row r="88" customFormat="false" ht="12.75" hidden="false" customHeight="false" outlineLevel="0" collapsed="false">
      <c r="F88" s="184"/>
      <c r="H88" s="153" t="str">
        <f aca="false">IF(H$4="X"," ",IF(G88&lt;&gt;0,G88*H$2/(100+H$2)," "))</f>
        <v> </v>
      </c>
      <c r="I88" s="153" t="str">
        <f aca="false">IF((G88&lt;&gt;0),G88-H88," ")</f>
        <v> </v>
      </c>
    </row>
    <row r="89" customFormat="false" ht="12.75" hidden="false" customHeight="false" outlineLevel="0" collapsed="false">
      <c r="F89" s="184"/>
      <c r="H89" s="153" t="str">
        <f aca="false">IF(H$4="X"," ",IF(G89&lt;&gt;0,G89*H$2/(100+H$2)," "))</f>
        <v> </v>
      </c>
      <c r="I89" s="153" t="str">
        <f aca="false">IF((G89&lt;&gt;0),G89-H89," ")</f>
        <v> </v>
      </c>
    </row>
    <row r="90" customFormat="false" ht="12.75" hidden="false" customHeight="false" outlineLevel="0" collapsed="false">
      <c r="F90" s="184"/>
      <c r="H90" s="153" t="str">
        <f aca="false">IF(H$4="X"," ",IF(G90&lt;&gt;0,G90*H$2/(100+H$2)," "))</f>
        <v> </v>
      </c>
      <c r="I90" s="153" t="str">
        <f aca="false">IF((G90&lt;&gt;0),G90-H90," ")</f>
        <v> </v>
      </c>
    </row>
    <row r="91" customFormat="false" ht="12.75" hidden="false" customHeight="false" outlineLevel="0" collapsed="false">
      <c r="F91" s="184"/>
      <c r="H91" s="153" t="str">
        <f aca="false">IF(H$4="X"," ",IF(G91&lt;&gt;0,G91*H$2/(100+H$2)," "))</f>
        <v> </v>
      </c>
      <c r="I91" s="153" t="str">
        <f aca="false">IF((G91&lt;&gt;0),G91-H91," ")</f>
        <v> </v>
      </c>
    </row>
    <row r="92" customFormat="false" ht="12.75" hidden="false" customHeight="false" outlineLevel="0" collapsed="false">
      <c r="F92" s="184"/>
      <c r="H92" s="153" t="str">
        <f aca="false">IF(H$4="X"," ",IF(G92&lt;&gt;0,G92*H$2/(100+H$2)," "))</f>
        <v> </v>
      </c>
      <c r="I92" s="153" t="str">
        <f aca="false">IF((G92&lt;&gt;0),G92-H92," ")</f>
        <v> </v>
      </c>
    </row>
    <row r="93" customFormat="false" ht="12.75" hidden="false" customHeight="false" outlineLevel="0" collapsed="false">
      <c r="F93" s="184"/>
      <c r="H93" s="153" t="str">
        <f aca="false">IF(H$4="X"," ",IF(G93&lt;&gt;0,G93*H$2/(100+H$2)," "))</f>
        <v> </v>
      </c>
      <c r="I93" s="153" t="str">
        <f aca="false">IF((G93&lt;&gt;0),G93-H93," ")</f>
        <v> </v>
      </c>
    </row>
    <row r="94" customFormat="false" ht="12.75" hidden="false" customHeight="false" outlineLevel="0" collapsed="false">
      <c r="F94" s="184"/>
      <c r="H94" s="153" t="str">
        <f aca="false">IF(H$4="X"," ",IF(G94&lt;&gt;0,G94*H$2/(100+H$2)," "))</f>
        <v> </v>
      </c>
      <c r="I94" s="153" t="str">
        <f aca="false">IF((G94&lt;&gt;0),G94-H94," ")</f>
        <v> </v>
      </c>
    </row>
    <row r="95" customFormat="false" ht="12.75" hidden="false" customHeight="false" outlineLevel="0" collapsed="false">
      <c r="F95" s="184"/>
      <c r="H95" s="153" t="str">
        <f aca="false">IF(H$4="X"," ",IF(G95&lt;&gt;0,G95*H$2/(100+H$2)," "))</f>
        <v> </v>
      </c>
      <c r="I95" s="153" t="str">
        <f aca="false">IF((G95&lt;&gt;0),G95-H95," ")</f>
        <v> </v>
      </c>
    </row>
    <row r="96" customFormat="false" ht="12.75" hidden="false" customHeight="false" outlineLevel="0" collapsed="false">
      <c r="F96" s="184"/>
      <c r="H96" s="153" t="str">
        <f aca="false">IF(H$4="X"," ",IF(G96&lt;&gt;0,G96*H$2/(100+H$2)," "))</f>
        <v> </v>
      </c>
      <c r="I96" s="153" t="str">
        <f aca="false">IF((G96&lt;&gt;0),G96-H96," ")</f>
        <v> </v>
      </c>
    </row>
    <row r="97" customFormat="false" ht="12.75" hidden="false" customHeight="false" outlineLevel="0" collapsed="false">
      <c r="F97" s="184"/>
      <c r="H97" s="153" t="str">
        <f aca="false">IF(H$4="X"," ",IF(G97&lt;&gt;0,G97*H$2/(100+H$2)," "))</f>
        <v> </v>
      </c>
      <c r="I97" s="153" t="str">
        <f aca="false">IF((G97&lt;&gt;0),G97-H97," ")</f>
        <v> </v>
      </c>
    </row>
    <row r="98" customFormat="false" ht="12.75" hidden="false" customHeight="false" outlineLevel="0" collapsed="false">
      <c r="F98" s="184"/>
      <c r="H98" s="153" t="str">
        <f aca="false">IF(H$4="X"," ",IF(G98&lt;&gt;0,G98*H$2/(100+H$2)," "))</f>
        <v> </v>
      </c>
      <c r="I98" s="153" t="str">
        <f aca="false">IF((G98&lt;&gt;0),G98-H98," ")</f>
        <v> </v>
      </c>
    </row>
    <row r="99" customFormat="false" ht="12.75" hidden="false" customHeight="false" outlineLevel="0" collapsed="false">
      <c r="F99" s="184"/>
      <c r="H99" s="153" t="str">
        <f aca="false">IF(H$4="X"," ",IF(G99&lt;&gt;0,G99*H$2/(100+H$2)," "))</f>
        <v> </v>
      </c>
      <c r="I99" s="153" t="str">
        <f aca="false">IF((G99&lt;&gt;0),G99-H99," ")</f>
        <v> </v>
      </c>
    </row>
    <row r="100" customFormat="false" ht="12.75" hidden="false" customHeight="false" outlineLevel="0" collapsed="false">
      <c r="F100" s="184"/>
      <c r="H100" s="153" t="str">
        <f aca="false">IF(H$4="X"," ",IF(G100&lt;&gt;0,G100*H$2/(100+H$2)," "))</f>
        <v> </v>
      </c>
      <c r="I100" s="153" t="str">
        <f aca="false">IF((G100&lt;&gt;0),G100-H100," ")</f>
        <v> </v>
      </c>
    </row>
    <row r="101" customFormat="false" ht="12.75" hidden="false" customHeight="false" outlineLevel="0" collapsed="false">
      <c r="F101" s="184"/>
      <c r="H101" s="153" t="str">
        <f aca="false">IF(H$4="X"," ",IF(G101&lt;&gt;0,G101*H$2/(100+H$2)," "))</f>
        <v> </v>
      </c>
      <c r="I101" s="153" t="str">
        <f aca="false">IF((G101&lt;&gt;0),G101-H101," ")</f>
        <v> </v>
      </c>
    </row>
    <row r="102" customFormat="false" ht="12.75" hidden="false" customHeight="false" outlineLevel="0" collapsed="false">
      <c r="F102" s="184"/>
      <c r="H102" s="153" t="str">
        <f aca="false">IF(H$4="X"," ",IF(G102&lt;&gt;0,G102*H$2/(100+H$2)," "))</f>
        <v> </v>
      </c>
      <c r="I102" s="153" t="str">
        <f aca="false">IF((G102&lt;&gt;0),G102-H102," ")</f>
        <v> </v>
      </c>
    </row>
    <row r="103" customFormat="false" ht="12.75" hidden="false" customHeight="false" outlineLevel="0" collapsed="false">
      <c r="F103" s="184"/>
      <c r="H103" s="153" t="str">
        <f aca="false">IF(H$4="X"," ",IF(G103&lt;&gt;0,G103*H$2/(100+H$2)," "))</f>
        <v> </v>
      </c>
      <c r="I103" s="153" t="str">
        <f aca="false">IF((G103&lt;&gt;0),G103-H103," ")</f>
        <v> </v>
      </c>
    </row>
    <row r="104" customFormat="false" ht="12.75" hidden="false" customHeight="false" outlineLevel="0" collapsed="false">
      <c r="F104" s="184"/>
      <c r="H104" s="153" t="str">
        <f aca="false">IF(H$4="X"," ",IF(G104&lt;&gt;0,G104*H$2/(100+H$2)," "))</f>
        <v> </v>
      </c>
      <c r="I104" s="153" t="str">
        <f aca="false">IF((G104&lt;&gt;0),G104-H104," ")</f>
        <v> </v>
      </c>
    </row>
    <row r="105" customFormat="false" ht="12.75" hidden="false" customHeight="false" outlineLevel="0" collapsed="false">
      <c r="F105" s="184"/>
      <c r="H105" s="153" t="str">
        <f aca="false">IF(H$4="X"," ",IF(G105&lt;&gt;0,G105*H$2/(100+H$2)," "))</f>
        <v> </v>
      </c>
      <c r="I105" s="153" t="str">
        <f aca="false">IF((G105&lt;&gt;0),G105-H105," ")</f>
        <v> </v>
      </c>
    </row>
    <row r="106" customFormat="false" ht="12.75" hidden="false" customHeight="false" outlineLevel="0" collapsed="false">
      <c r="F106" s="184"/>
      <c r="H106" s="153" t="str">
        <f aca="false">IF(H$4="X"," ",IF(G106&lt;&gt;0,G106*H$2/(100+H$2)," "))</f>
        <v> </v>
      </c>
      <c r="I106" s="153" t="str">
        <f aca="false">IF((G106&lt;&gt;0),G106-H106," ")</f>
        <v> </v>
      </c>
    </row>
    <row r="107" customFormat="false" ht="12.75" hidden="false" customHeight="false" outlineLevel="0" collapsed="false">
      <c r="F107" s="184"/>
      <c r="H107" s="153" t="str">
        <f aca="false">IF(H$4="X"," ",IF(G107&lt;&gt;0,G107*H$2/(100+H$2)," "))</f>
        <v> </v>
      </c>
      <c r="I107" s="153" t="str">
        <f aca="false">IF((G107&lt;&gt;0),G107-H107," ")</f>
        <v> </v>
      </c>
    </row>
    <row r="108" customFormat="false" ht="12.75" hidden="false" customHeight="false" outlineLevel="0" collapsed="false">
      <c r="F108" s="184"/>
      <c r="H108" s="153" t="str">
        <f aca="false">IF(H$4="X"," ",IF(G108&lt;&gt;0,G108*H$2/(100+H$2)," "))</f>
        <v> </v>
      </c>
      <c r="I108" s="153" t="str">
        <f aca="false">IF((G108&lt;&gt;0),G108-H108," ")</f>
        <v> </v>
      </c>
    </row>
    <row r="109" customFormat="false" ht="12.75" hidden="false" customHeight="false" outlineLevel="0" collapsed="false">
      <c r="F109" s="184"/>
      <c r="H109" s="153" t="str">
        <f aca="false">IF(H$4="X"," ",IF(G109&lt;&gt;0,G109*H$2/(100+H$2)," "))</f>
        <v> </v>
      </c>
      <c r="I109" s="153" t="str">
        <f aca="false">IF((G109&lt;&gt;0),G109-H109," ")</f>
        <v> </v>
      </c>
    </row>
    <row r="110" customFormat="false" ht="12.75" hidden="false" customHeight="false" outlineLevel="0" collapsed="false">
      <c r="F110" s="184"/>
      <c r="H110" s="153" t="str">
        <f aca="false">IF(H$4="X"," ",IF(G110&lt;&gt;0,G110*H$2/(100+H$2)," "))</f>
        <v> </v>
      </c>
      <c r="I110" s="153" t="str">
        <f aca="false">IF((G110&lt;&gt;0),G110-H110," ")</f>
        <v> </v>
      </c>
    </row>
    <row r="111" customFormat="false" ht="12.75" hidden="false" customHeight="false" outlineLevel="0" collapsed="false">
      <c r="F111" s="184"/>
      <c r="H111" s="153" t="str">
        <f aca="false">IF(H$4="X"," ",IF(G111&lt;&gt;0,G111*H$2/(100+H$2)," "))</f>
        <v> </v>
      </c>
      <c r="I111" s="153" t="str">
        <f aca="false">IF((G111&lt;&gt;0),G111-H111," ")</f>
        <v> </v>
      </c>
    </row>
    <row r="112" customFormat="false" ht="12.75" hidden="false" customHeight="false" outlineLevel="0" collapsed="false">
      <c r="F112" s="184"/>
      <c r="H112" s="153" t="str">
        <f aca="false">IF(H$4="X"," ",IF(G112&lt;&gt;0,G112*H$2/(100+H$2)," "))</f>
        <v> </v>
      </c>
      <c r="I112" s="153" t="str">
        <f aca="false">IF((G112&lt;&gt;0),G112-H112," ")</f>
        <v> </v>
      </c>
    </row>
    <row r="113" customFormat="false" ht="12.75" hidden="false" customHeight="false" outlineLevel="0" collapsed="false">
      <c r="F113" s="184"/>
      <c r="H113" s="153" t="str">
        <f aca="false">IF(H$4="X"," ",IF(G113&lt;&gt;0,G113*H$2/(100+H$2)," "))</f>
        <v> </v>
      </c>
      <c r="I113" s="153" t="str">
        <f aca="false">IF((G113&lt;&gt;0),G113-H113," ")</f>
        <v> </v>
      </c>
    </row>
    <row r="114" customFormat="false" ht="12.75" hidden="false" customHeight="false" outlineLevel="0" collapsed="false">
      <c r="F114" s="184"/>
      <c r="H114" s="153" t="str">
        <f aca="false">IF(H$4="X"," ",IF(G114&lt;&gt;0,G114*H$2/(100+H$2)," "))</f>
        <v> </v>
      </c>
      <c r="I114" s="153" t="str">
        <f aca="false">IF((G114&lt;&gt;0),G114-H114," ")</f>
        <v> </v>
      </c>
    </row>
    <row r="115" customFormat="false" ht="12.75" hidden="false" customHeight="false" outlineLevel="0" collapsed="false">
      <c r="F115" s="184"/>
      <c r="H115" s="153" t="str">
        <f aca="false">IF(H$4="X"," ",IF(G115&lt;&gt;0,G115*H$2/(100+H$2)," "))</f>
        <v> </v>
      </c>
      <c r="I115" s="153" t="str">
        <f aca="false">IF((G115&lt;&gt;0),G115-H115," ")</f>
        <v> </v>
      </c>
    </row>
    <row r="116" customFormat="false" ht="12.75" hidden="false" customHeight="false" outlineLevel="0" collapsed="false">
      <c r="F116" s="184"/>
      <c r="H116" s="153" t="str">
        <f aca="false">IF(H$4="X"," ",IF(G116&lt;&gt;0,G116*H$2/(100+H$2)," "))</f>
        <v> </v>
      </c>
      <c r="I116" s="153" t="str">
        <f aca="false">IF((G116&lt;&gt;0),G116-H116," ")</f>
        <v> </v>
      </c>
    </row>
    <row r="117" customFormat="false" ht="12.75" hidden="false" customHeight="false" outlineLevel="0" collapsed="false">
      <c r="F117" s="184"/>
      <c r="H117" s="153" t="str">
        <f aca="false">IF(H$4="X"," ",IF(G117&lt;&gt;0,G117*H$2/(100+H$2)," "))</f>
        <v> </v>
      </c>
      <c r="I117" s="153" t="str">
        <f aca="false">IF((G117&lt;&gt;0),G117-H117," ")</f>
        <v> </v>
      </c>
    </row>
    <row r="118" customFormat="false" ht="12.75" hidden="false" customHeight="false" outlineLevel="0" collapsed="false">
      <c r="F118" s="184"/>
      <c r="H118" s="153" t="str">
        <f aca="false">IF(H$4="X"," ",IF(G118&lt;&gt;0,G118*H$2/(100+H$2)," "))</f>
        <v> </v>
      </c>
      <c r="I118" s="153" t="str">
        <f aca="false">IF((G118&lt;&gt;0),G118-H118," ")</f>
        <v> </v>
      </c>
    </row>
    <row r="119" customFormat="false" ht="12.75" hidden="false" customHeight="false" outlineLevel="0" collapsed="false">
      <c r="F119" s="184"/>
      <c r="H119" s="153" t="str">
        <f aca="false">IF(H$4="X"," ",IF(G119&lt;&gt;0,G119*H$2/(100+H$2)," "))</f>
        <v> </v>
      </c>
      <c r="I119" s="153" t="str">
        <f aca="false">IF((G119&lt;&gt;0),G119-H119," ")</f>
        <v> </v>
      </c>
    </row>
    <row r="120" customFormat="false" ht="12.75" hidden="false" customHeight="false" outlineLevel="0" collapsed="false">
      <c r="F120" s="184"/>
      <c r="H120" s="153" t="str">
        <f aca="false">IF(H$4="X"," ",IF(G120&lt;&gt;0,G120*H$2/(100+H$2)," "))</f>
        <v> </v>
      </c>
      <c r="I120" s="153" t="str">
        <f aca="false">IF((G120&lt;&gt;0),G120-H120," ")</f>
        <v> </v>
      </c>
    </row>
    <row r="121" customFormat="false" ht="12.75" hidden="false" customHeight="false" outlineLevel="0" collapsed="false">
      <c r="F121" s="184"/>
      <c r="H121" s="153" t="str">
        <f aca="false">IF(H$4="X"," ",IF(G121&lt;&gt;0,G121*H$2/(100+H$2)," "))</f>
        <v> </v>
      </c>
      <c r="I121" s="153" t="str">
        <f aca="false">IF((G121&lt;&gt;0),G121-H121," ")</f>
        <v> </v>
      </c>
    </row>
    <row r="122" customFormat="false" ht="12.75" hidden="false" customHeight="false" outlineLevel="0" collapsed="false">
      <c r="F122" s="184"/>
      <c r="H122" s="153" t="str">
        <f aca="false">IF(H$4="X"," ",IF(G122&lt;&gt;0,G122*H$2/(100+H$2)," "))</f>
        <v> </v>
      </c>
      <c r="I122" s="153" t="str">
        <f aca="false">IF((G122&lt;&gt;0),G122-H122," ")</f>
        <v> </v>
      </c>
    </row>
    <row r="123" customFormat="false" ht="12.75" hidden="false" customHeight="false" outlineLevel="0" collapsed="false">
      <c r="F123" s="184"/>
      <c r="H123" s="153" t="str">
        <f aca="false">IF(H$4="X"," ",IF(G123&lt;&gt;0,G123*H$2/(100+H$2)," "))</f>
        <v> </v>
      </c>
      <c r="I123" s="153" t="str">
        <f aca="false">IF((G123&lt;&gt;0),G123-H123," ")</f>
        <v> </v>
      </c>
    </row>
    <row r="124" customFormat="false" ht="12.75" hidden="false" customHeight="false" outlineLevel="0" collapsed="false">
      <c r="F124" s="184"/>
      <c r="H124" s="153" t="str">
        <f aca="false">IF(H$4="X"," ",IF(G124&lt;&gt;0,G124*H$2/(100+H$2)," "))</f>
        <v> </v>
      </c>
      <c r="I124" s="153" t="str">
        <f aca="false">IF((G124&lt;&gt;0),G124-H124," ")</f>
        <v> </v>
      </c>
    </row>
    <row r="125" customFormat="false" ht="12.75" hidden="false" customHeight="false" outlineLevel="0" collapsed="false">
      <c r="F125" s="184"/>
      <c r="H125" s="153" t="str">
        <f aca="false">IF(H$4="X"," ",IF(G125&lt;&gt;0,G125*H$2/(100+H$2)," "))</f>
        <v> </v>
      </c>
      <c r="I125" s="153" t="str">
        <f aca="false">IF((G125&lt;&gt;0),G125-H125," ")</f>
        <v> </v>
      </c>
    </row>
    <row r="126" customFormat="false" ht="12.75" hidden="false" customHeight="false" outlineLevel="0" collapsed="false">
      <c r="F126" s="184"/>
      <c r="H126" s="153" t="str">
        <f aca="false">IF(H$4="X"," ",IF(G126&lt;&gt;0,G126*H$2/(100+H$2)," "))</f>
        <v> </v>
      </c>
      <c r="I126" s="153" t="str">
        <f aca="false">IF((G126&lt;&gt;0),G126-H126," ")</f>
        <v> </v>
      </c>
    </row>
    <row r="127" customFormat="false" ht="12.75" hidden="false" customHeight="false" outlineLevel="0" collapsed="false">
      <c r="F127" s="184"/>
      <c r="H127" s="153" t="str">
        <f aca="false">IF(H$4="X"," ",IF(G127&lt;&gt;0,G127*H$2/(100+H$2)," "))</f>
        <v> </v>
      </c>
      <c r="I127" s="153" t="str">
        <f aca="false">IF((G127&lt;&gt;0),G127-H127," ")</f>
        <v> </v>
      </c>
    </row>
    <row r="128" customFormat="false" ht="12.75" hidden="false" customHeight="false" outlineLevel="0" collapsed="false">
      <c r="F128" s="184"/>
      <c r="H128" s="153" t="str">
        <f aca="false">IF(H$4="X"," ",IF(G128&lt;&gt;0,G128*H$2/(100+H$2)," "))</f>
        <v> </v>
      </c>
      <c r="I128" s="153" t="str">
        <f aca="false">IF((G128&lt;&gt;0),G128-H128," ")</f>
        <v> </v>
      </c>
    </row>
    <row r="129" customFormat="false" ht="12.75" hidden="false" customHeight="false" outlineLevel="0" collapsed="false">
      <c r="F129" s="184"/>
      <c r="H129" s="153" t="str">
        <f aca="false">IF(H$4="X"," ",IF(G129&lt;&gt;0,G129*H$2/(100+H$2)," "))</f>
        <v> </v>
      </c>
      <c r="I129" s="153" t="str">
        <f aca="false">IF((G129&lt;&gt;0),G129-H129," ")</f>
        <v> </v>
      </c>
    </row>
    <row r="130" customFormat="false" ht="12.75" hidden="false" customHeight="false" outlineLevel="0" collapsed="false">
      <c r="F130" s="184"/>
      <c r="H130" s="153" t="str">
        <f aca="false">IF(H$4="X"," ",IF(G130&lt;&gt;0,G130*H$2/(100+H$2)," "))</f>
        <v> </v>
      </c>
      <c r="I130" s="153" t="str">
        <f aca="false">IF((G130&lt;&gt;0),G130-H130," ")</f>
        <v> </v>
      </c>
    </row>
    <row r="131" customFormat="false" ht="12.75" hidden="false" customHeight="false" outlineLevel="0" collapsed="false">
      <c r="F131" s="184"/>
      <c r="H131" s="153" t="str">
        <f aca="false">IF(H$4="X"," ",IF(G131&lt;&gt;0,G131*H$2/(100+H$2)," "))</f>
        <v> </v>
      </c>
      <c r="I131" s="153" t="str">
        <f aca="false">IF((G131&lt;&gt;0),G131-H131," ")</f>
        <v> </v>
      </c>
    </row>
    <row r="132" customFormat="false" ht="12.75" hidden="false" customHeight="false" outlineLevel="0" collapsed="false">
      <c r="F132" s="184"/>
      <c r="H132" s="153" t="str">
        <f aca="false">IF(H$4="X"," ",IF(G132&lt;&gt;0,G132*H$2/(100+H$2)," "))</f>
        <v> </v>
      </c>
      <c r="I132" s="153" t="str">
        <f aca="false">IF((G132&lt;&gt;0),G132-H132," ")</f>
        <v> </v>
      </c>
    </row>
    <row r="133" customFormat="false" ht="12.75" hidden="false" customHeight="false" outlineLevel="0" collapsed="false">
      <c r="F133" s="184"/>
      <c r="H133" s="153" t="str">
        <f aca="false">IF(H$4="X"," ",IF(G133&lt;&gt;0,G133*H$2/(100+H$2)," "))</f>
        <v> </v>
      </c>
      <c r="I133" s="153" t="str">
        <f aca="false">IF((G133&lt;&gt;0),G133-H133," ")</f>
        <v> </v>
      </c>
    </row>
    <row r="134" customFormat="false" ht="12.75" hidden="false" customHeight="false" outlineLevel="0" collapsed="false">
      <c r="F134" s="184"/>
      <c r="H134" s="153" t="str">
        <f aca="false">IF(H$4="X"," ",IF(G134&lt;&gt;0,G134*H$2/(100+H$2)," "))</f>
        <v> </v>
      </c>
      <c r="I134" s="153" t="str">
        <f aca="false">IF((G134&lt;&gt;0),G134-H134," ")</f>
        <v> </v>
      </c>
    </row>
    <row r="135" customFormat="false" ht="12.75" hidden="false" customHeight="false" outlineLevel="0" collapsed="false">
      <c r="F135" s="184"/>
      <c r="H135" s="153" t="str">
        <f aca="false">IF(H$4="X"," ",IF(G135&lt;&gt;0,G135*H$2/(100+H$2)," "))</f>
        <v> </v>
      </c>
      <c r="I135" s="153" t="str">
        <f aca="false">IF((G135&lt;&gt;0),G135-H135," ")</f>
        <v> </v>
      </c>
    </row>
    <row r="136" customFormat="false" ht="12.75" hidden="false" customHeight="false" outlineLevel="0" collapsed="false">
      <c r="F136" s="184"/>
      <c r="H136" s="153" t="str">
        <f aca="false">IF(H$4="X"," ",IF(G136&lt;&gt;0,G136*H$2/(100+H$2)," "))</f>
        <v> </v>
      </c>
      <c r="I136" s="153" t="str">
        <f aca="false">IF((G136&lt;&gt;0),G136-H136," ")</f>
        <v> </v>
      </c>
    </row>
    <row r="137" customFormat="false" ht="12.75" hidden="false" customHeight="false" outlineLevel="0" collapsed="false">
      <c r="F137" s="184"/>
      <c r="H137" s="153" t="str">
        <f aca="false">IF(H$4="X"," ",IF(G137&lt;&gt;0,G137*H$2/(100+H$2)," "))</f>
        <v> </v>
      </c>
      <c r="I137" s="153" t="str">
        <f aca="false">IF((G137&lt;&gt;0),G137-H137," ")</f>
        <v> </v>
      </c>
    </row>
    <row r="138" customFormat="false" ht="12.75" hidden="false" customHeight="false" outlineLevel="0" collapsed="false">
      <c r="F138" s="184"/>
      <c r="H138" s="153" t="str">
        <f aca="false">IF(H$4="X"," ",IF(G138&lt;&gt;0,G138*H$2/(100+H$2)," "))</f>
        <v> </v>
      </c>
      <c r="I138" s="153" t="str">
        <f aca="false">IF((G138&lt;&gt;0),G138-H138," ")</f>
        <v> </v>
      </c>
    </row>
    <row r="139" customFormat="false" ht="12.75" hidden="false" customHeight="false" outlineLevel="0" collapsed="false">
      <c r="F139" s="184"/>
      <c r="H139" s="153" t="str">
        <f aca="false">IF(H$4="X"," ",IF(G139&lt;&gt;0,G139*H$2/(100+H$2)," "))</f>
        <v> </v>
      </c>
      <c r="I139" s="153" t="str">
        <f aca="false">IF((G139&lt;&gt;0),G139-H139," ")</f>
        <v> </v>
      </c>
    </row>
    <row r="140" customFormat="false" ht="12.75" hidden="false" customHeight="false" outlineLevel="0" collapsed="false">
      <c r="F140" s="184"/>
      <c r="H140" s="153" t="str">
        <f aca="false">IF(H$4="X"," ",IF(G140&lt;&gt;0,G140*H$2/(100+H$2)," "))</f>
        <v> </v>
      </c>
      <c r="I140" s="153" t="str">
        <f aca="false">IF((G140&lt;&gt;0),G140-H140," ")</f>
        <v> </v>
      </c>
    </row>
    <row r="141" customFormat="false" ht="12.75" hidden="false" customHeight="false" outlineLevel="0" collapsed="false">
      <c r="F141" s="184"/>
      <c r="H141" s="153" t="str">
        <f aca="false">IF(H$4="X"," ",IF(G141&lt;&gt;0,G141*H$2/(100+H$2)," "))</f>
        <v> </v>
      </c>
      <c r="I141" s="153" t="str">
        <f aca="false">IF((G141&lt;&gt;0),G141-H141," ")</f>
        <v> </v>
      </c>
    </row>
    <row r="142" customFormat="false" ht="12.75" hidden="false" customHeight="false" outlineLevel="0" collapsed="false">
      <c r="F142" s="184"/>
      <c r="H142" s="153" t="str">
        <f aca="false">IF(H$4="X"," ",IF(G142&lt;&gt;0,G142*H$2/(100+H$2)," "))</f>
        <v> </v>
      </c>
      <c r="I142" s="153" t="str">
        <f aca="false">IF((G142&lt;&gt;0),G142-H142," ")</f>
        <v> </v>
      </c>
    </row>
    <row r="143" customFormat="false" ht="12.75" hidden="false" customHeight="false" outlineLevel="0" collapsed="false">
      <c r="F143" s="184"/>
      <c r="H143" s="153" t="str">
        <f aca="false">IF(H$4="X"," ",IF(G143&lt;&gt;0,G143*H$2/(100+H$2)," "))</f>
        <v> </v>
      </c>
      <c r="I143" s="153" t="str">
        <f aca="false">IF((G143&lt;&gt;0),G143-H143," ")</f>
        <v> </v>
      </c>
    </row>
    <row r="144" customFormat="false" ht="12.75" hidden="false" customHeight="false" outlineLevel="0" collapsed="false">
      <c r="F144" s="184"/>
      <c r="H144" s="153" t="str">
        <f aca="false">IF(H$4="X"," ",IF(G144&lt;&gt;0,G144*H$2/(100+H$2)," "))</f>
        <v> </v>
      </c>
      <c r="I144" s="153" t="str">
        <f aca="false">IF((G144&lt;&gt;0),G144-H144," ")</f>
        <v> </v>
      </c>
    </row>
    <row r="145" customFormat="false" ht="12.75" hidden="false" customHeight="false" outlineLevel="0" collapsed="false">
      <c r="F145" s="184"/>
      <c r="H145" s="153" t="str">
        <f aca="false">IF(H$4="X"," ",IF(G145&lt;&gt;0,G145*H$2/(100+H$2)," "))</f>
        <v> </v>
      </c>
      <c r="I145" s="153" t="str">
        <f aca="false">IF((G145&lt;&gt;0),G145-H145," ")</f>
        <v> </v>
      </c>
    </row>
    <row r="146" customFormat="false" ht="12.75" hidden="false" customHeight="false" outlineLevel="0" collapsed="false">
      <c r="F146" s="184"/>
      <c r="H146" s="153" t="str">
        <f aca="false">IF(H$4="X"," ",IF(G146&lt;&gt;0,G146*H$2/(100+H$2)," "))</f>
        <v> </v>
      </c>
      <c r="I146" s="153" t="str">
        <f aca="false">IF((G146&lt;&gt;0),G146-H146," ")</f>
        <v> </v>
      </c>
    </row>
    <row r="147" customFormat="false" ht="12.75" hidden="false" customHeight="false" outlineLevel="0" collapsed="false">
      <c r="F147" s="184"/>
      <c r="H147" s="153" t="str">
        <f aca="false">IF(H$4="X"," ",IF(G147&lt;&gt;0,G147*H$2/(100+H$2)," "))</f>
        <v> </v>
      </c>
      <c r="I147" s="153" t="str">
        <f aca="false">IF((G147&lt;&gt;0),G147-H147," ")</f>
        <v> </v>
      </c>
    </row>
    <row r="148" customFormat="false" ht="12.75" hidden="false" customHeight="false" outlineLevel="0" collapsed="false">
      <c r="F148" s="184"/>
      <c r="H148" s="153" t="str">
        <f aca="false">IF(H$4="X"," ",IF(G148&lt;&gt;0,G148*H$2/(100+H$2)," "))</f>
        <v> </v>
      </c>
      <c r="I148" s="153" t="str">
        <f aca="false">IF((G148&lt;&gt;0),G148-H148," ")</f>
        <v> </v>
      </c>
    </row>
    <row r="149" customFormat="false" ht="12.75" hidden="false" customHeight="false" outlineLevel="0" collapsed="false">
      <c r="F149" s="184"/>
      <c r="H149" s="153" t="str">
        <f aca="false">IF(H$4="X"," ",IF(G149&lt;&gt;0,G149*H$2/(100+H$2)," "))</f>
        <v> </v>
      </c>
      <c r="I149" s="153" t="str">
        <f aca="false">IF((G149&lt;&gt;0),G149-H149," ")</f>
        <v> </v>
      </c>
    </row>
    <row r="150" customFormat="false" ht="12.75" hidden="false" customHeight="false" outlineLevel="0" collapsed="false">
      <c r="F150" s="184"/>
      <c r="H150" s="153" t="str">
        <f aca="false">IF(H$4="X"," ",IF(G150&lt;&gt;0,G150*H$2/(100+H$2)," "))</f>
        <v> </v>
      </c>
      <c r="I150" s="153" t="str">
        <f aca="false">IF((G150&lt;&gt;0),G150-H150," ")</f>
        <v> </v>
      </c>
    </row>
    <row r="151" customFormat="false" ht="12.75" hidden="false" customHeight="false" outlineLevel="0" collapsed="false">
      <c r="F151" s="184"/>
      <c r="H151" s="153" t="str">
        <f aca="false">IF(H$4="X"," ",IF(G151&lt;&gt;0,G151*H$2/(100+H$2)," "))</f>
        <v> </v>
      </c>
      <c r="I151" s="153" t="str">
        <f aca="false">IF((G151&lt;&gt;0),G151-H151," ")</f>
        <v> </v>
      </c>
    </row>
    <row r="152" customFormat="false" ht="12.75" hidden="false" customHeight="false" outlineLevel="0" collapsed="false">
      <c r="F152" s="184"/>
      <c r="H152" s="153" t="str">
        <f aca="false">IF(H$4="X"," ",IF(G152&lt;&gt;0,G152*H$2/(100+H$2)," "))</f>
        <v> </v>
      </c>
      <c r="I152" s="153" t="str">
        <f aca="false">IF((G152&lt;&gt;0),G152-H152," ")</f>
        <v> </v>
      </c>
    </row>
    <row r="153" customFormat="false" ht="12.75" hidden="false" customHeight="false" outlineLevel="0" collapsed="false">
      <c r="F153" s="184"/>
      <c r="H153" s="153" t="str">
        <f aca="false">IF(H$4="X"," ",IF(G153&lt;&gt;0,G153*H$2/(100+H$2)," "))</f>
        <v> </v>
      </c>
      <c r="I153" s="153" t="str">
        <f aca="false">IF((G153&lt;&gt;0),G153-H153," ")</f>
        <v> </v>
      </c>
    </row>
    <row r="154" customFormat="false" ht="12.75" hidden="false" customHeight="false" outlineLevel="0" collapsed="false">
      <c r="F154" s="184"/>
      <c r="H154" s="153" t="str">
        <f aca="false">IF(H$4="X"," ",IF(G154&lt;&gt;0,G154*H$2/(100+H$2)," "))</f>
        <v> </v>
      </c>
      <c r="I154" s="153" t="str">
        <f aca="false">IF((G154&lt;&gt;0),G154-H154," ")</f>
        <v> </v>
      </c>
    </row>
    <row r="155" customFormat="false" ht="12.75" hidden="false" customHeight="false" outlineLevel="0" collapsed="false">
      <c r="F155" s="184"/>
      <c r="H155" s="153" t="str">
        <f aca="false">IF(H$4="X"," ",IF(G155&lt;&gt;0,G155*H$2/(100+H$2)," "))</f>
        <v> </v>
      </c>
      <c r="I155" s="153" t="str">
        <f aca="false">IF((G155&lt;&gt;0),G155-H155," ")</f>
        <v> </v>
      </c>
    </row>
    <row r="156" customFormat="false" ht="12.75" hidden="false" customHeight="false" outlineLevel="0" collapsed="false">
      <c r="F156" s="184"/>
      <c r="H156" s="153" t="str">
        <f aca="false">IF(H$4="X"," ",IF(G156&lt;&gt;0,G156*H$2/(100+H$2)," "))</f>
        <v> </v>
      </c>
      <c r="I156" s="153" t="str">
        <f aca="false">IF((G156&lt;&gt;0),G156-H156," ")</f>
        <v> </v>
      </c>
    </row>
    <row r="157" customFormat="false" ht="12.75" hidden="false" customHeight="false" outlineLevel="0" collapsed="false">
      <c r="F157" s="184"/>
      <c r="H157" s="153" t="str">
        <f aca="false">IF(H$4="X"," ",IF(G157&lt;&gt;0,G157*H$2/(100+H$2)," "))</f>
        <v> </v>
      </c>
      <c r="I157" s="153" t="str">
        <f aca="false">IF((G157&lt;&gt;0),G157-H157," ")</f>
        <v> </v>
      </c>
    </row>
    <row r="158" customFormat="false" ht="12.75" hidden="false" customHeight="false" outlineLevel="0" collapsed="false">
      <c r="F158" s="184"/>
      <c r="H158" s="153" t="str">
        <f aca="false">IF(H$4="X"," ",IF(G158&lt;&gt;0,G158*H$2/(100+H$2)," "))</f>
        <v> </v>
      </c>
      <c r="I158" s="153" t="str">
        <f aca="false">IF((G158&lt;&gt;0),G158-H158," ")</f>
        <v> </v>
      </c>
    </row>
    <row r="159" customFormat="false" ht="12.75" hidden="false" customHeight="false" outlineLevel="0" collapsed="false">
      <c r="F159" s="184"/>
      <c r="H159" s="153" t="str">
        <f aca="false">IF(H$4="X"," ",IF(G159&lt;&gt;0,G159*H$2/(100+H$2)," "))</f>
        <v> </v>
      </c>
      <c r="I159" s="153" t="str">
        <f aca="false">IF((G159&lt;&gt;0),G159-H159," ")</f>
        <v> </v>
      </c>
    </row>
    <row r="160" customFormat="false" ht="12.75" hidden="false" customHeight="false" outlineLevel="0" collapsed="false">
      <c r="F160" s="184"/>
      <c r="H160" s="153" t="str">
        <f aca="false">IF(H$4="X"," ",IF(G160&lt;&gt;0,G160*H$2/(100+H$2)," "))</f>
        <v> </v>
      </c>
      <c r="I160" s="153" t="str">
        <f aca="false">IF((G160&lt;&gt;0),G160-H160," ")</f>
        <v> </v>
      </c>
    </row>
    <row r="161" customFormat="false" ht="12.75" hidden="false" customHeight="false" outlineLevel="0" collapsed="false">
      <c r="F161" s="184"/>
      <c r="H161" s="153" t="str">
        <f aca="false">IF(H$4="X"," ",IF(G161&lt;&gt;0,G161*H$2/(100+H$2)," "))</f>
        <v> </v>
      </c>
      <c r="I161" s="153" t="str">
        <f aca="false">IF((G161&lt;&gt;0),G161-H161," ")</f>
        <v> </v>
      </c>
    </row>
    <row r="162" customFormat="false" ht="12.75" hidden="false" customHeight="false" outlineLevel="0" collapsed="false">
      <c r="F162" s="184"/>
      <c r="H162" s="153" t="str">
        <f aca="false">IF(H$4="X"," ",IF(G162&lt;&gt;0,G162*H$2/(100+H$2)," "))</f>
        <v> </v>
      </c>
      <c r="I162" s="153" t="str">
        <f aca="false">IF((G162&lt;&gt;0),G162-H162," ")</f>
        <v> </v>
      </c>
    </row>
    <row r="163" customFormat="false" ht="12.75" hidden="false" customHeight="false" outlineLevel="0" collapsed="false">
      <c r="F163" s="184"/>
      <c r="H163" s="153" t="str">
        <f aca="false">IF(H$4="X"," ",IF(G163&lt;&gt;0,G163*H$2/(100+H$2)," "))</f>
        <v> </v>
      </c>
      <c r="I163" s="153" t="str">
        <f aca="false">IF((G163&lt;&gt;0),G163-H163," ")</f>
        <v> </v>
      </c>
    </row>
    <row r="164" customFormat="false" ht="12.75" hidden="false" customHeight="false" outlineLevel="0" collapsed="false">
      <c r="F164" s="184"/>
      <c r="H164" s="153" t="str">
        <f aca="false">IF(H$4="X"," ",IF(G164&lt;&gt;0,G164*H$2/(100+H$2)," "))</f>
        <v> </v>
      </c>
      <c r="I164" s="153" t="str">
        <f aca="false">IF((G164&lt;&gt;0),G164-H164," ")</f>
        <v> </v>
      </c>
    </row>
    <row r="165" customFormat="false" ht="12.75" hidden="false" customHeight="false" outlineLevel="0" collapsed="false">
      <c r="F165" s="184"/>
      <c r="H165" s="153" t="str">
        <f aca="false">IF(H$4="X"," ",IF(G165&lt;&gt;0,G165*H$2/(100+H$2)," "))</f>
        <v> </v>
      </c>
      <c r="I165" s="153" t="str">
        <f aca="false">IF((G165&lt;&gt;0),G165-H165," ")</f>
        <v> </v>
      </c>
    </row>
    <row r="166" customFormat="false" ht="12.75" hidden="false" customHeight="false" outlineLevel="0" collapsed="false">
      <c r="F166" s="184"/>
      <c r="H166" s="153" t="str">
        <f aca="false">IF(H$4="X"," ",IF(G166&lt;&gt;0,G166*H$2/(100+H$2)," "))</f>
        <v> </v>
      </c>
      <c r="I166" s="153" t="str">
        <f aca="false">IF((G166&lt;&gt;0),G166-H166," ")</f>
        <v> </v>
      </c>
    </row>
    <row r="167" customFormat="false" ht="12.75" hidden="false" customHeight="false" outlineLevel="0" collapsed="false">
      <c r="F167" s="184"/>
      <c r="H167" s="153" t="str">
        <f aca="false">IF(H$4="X"," ",IF(G167&lt;&gt;0,G167*H$2/(100+H$2)," "))</f>
        <v> </v>
      </c>
      <c r="I167" s="153" t="str">
        <f aca="false">IF((G167&lt;&gt;0),G167-H167," ")</f>
        <v> </v>
      </c>
    </row>
    <row r="168" customFormat="false" ht="12.75" hidden="false" customHeight="false" outlineLevel="0" collapsed="false">
      <c r="F168" s="184"/>
      <c r="H168" s="153" t="str">
        <f aca="false">IF(H$4="X"," ",IF(G168&lt;&gt;0,G168*H$2/(100+H$2)," "))</f>
        <v> </v>
      </c>
      <c r="I168" s="153" t="str">
        <f aca="false">IF((G168&lt;&gt;0),G168-H168," ")</f>
        <v> </v>
      </c>
    </row>
    <row r="169" customFormat="false" ht="12.75" hidden="false" customHeight="false" outlineLevel="0" collapsed="false">
      <c r="F169" s="184"/>
      <c r="H169" s="153" t="str">
        <f aca="false">IF(H$4="X"," ",IF(G169&lt;&gt;0,G169*H$2/(100+H$2)," "))</f>
        <v> </v>
      </c>
      <c r="I169" s="153" t="str">
        <f aca="false">IF((G169&lt;&gt;0),G169-H169," ")</f>
        <v> </v>
      </c>
    </row>
    <row r="170" customFormat="false" ht="12.75" hidden="false" customHeight="false" outlineLevel="0" collapsed="false">
      <c r="F170" s="184"/>
      <c r="H170" s="153" t="str">
        <f aca="false">IF(H$4="X"," ",IF(G170&lt;&gt;0,G170*H$2/(100+H$2)," "))</f>
        <v> </v>
      </c>
      <c r="I170" s="153" t="str">
        <f aca="false">IF((G170&lt;&gt;0),G170-H170," ")</f>
        <v> </v>
      </c>
    </row>
    <row r="171" customFormat="false" ht="12.75" hidden="false" customHeight="false" outlineLevel="0" collapsed="false">
      <c r="F171" s="184"/>
      <c r="H171" s="153" t="str">
        <f aca="false">IF(H$4="X"," ",IF(G171&lt;&gt;0,G171*H$2/(100+H$2)," "))</f>
        <v> </v>
      </c>
      <c r="I171" s="153" t="str">
        <f aca="false">IF((G171&lt;&gt;0),G171-H171," ")</f>
        <v> </v>
      </c>
    </row>
    <row r="172" customFormat="false" ht="12.75" hidden="false" customHeight="false" outlineLevel="0" collapsed="false">
      <c r="F172" s="184"/>
      <c r="H172" s="153" t="str">
        <f aca="false">IF(H$4="X"," ",IF(G172&lt;&gt;0,G172*H$2/(100+H$2)," "))</f>
        <v> </v>
      </c>
      <c r="I172" s="153" t="str">
        <f aca="false">IF((G172&lt;&gt;0),G172-H172," ")</f>
        <v> </v>
      </c>
    </row>
    <row r="173" customFormat="false" ht="12.75" hidden="false" customHeight="false" outlineLevel="0" collapsed="false">
      <c r="F173" s="184"/>
      <c r="H173" s="153" t="str">
        <f aca="false">IF(H$4="X"," ",IF(G173&lt;&gt;0,G173*H$2/(100+H$2)," "))</f>
        <v> </v>
      </c>
      <c r="I173" s="153" t="str">
        <f aca="false">IF((G173&lt;&gt;0),G173-H173," ")</f>
        <v> </v>
      </c>
    </row>
    <row r="174" customFormat="false" ht="12.75" hidden="false" customHeight="false" outlineLevel="0" collapsed="false">
      <c r="F174" s="184"/>
      <c r="H174" s="153" t="str">
        <f aca="false">IF(H$4="X"," ",IF(G174&lt;&gt;0,G174*H$2/(100+H$2)," "))</f>
        <v> </v>
      </c>
      <c r="I174" s="153" t="str">
        <f aca="false">IF((G174&lt;&gt;0),G174-H174," ")</f>
        <v> </v>
      </c>
    </row>
    <row r="175" customFormat="false" ht="12.75" hidden="false" customHeight="false" outlineLevel="0" collapsed="false">
      <c r="F175" s="184"/>
      <c r="H175" s="153" t="str">
        <f aca="false">IF(H$4="X"," ",IF(G175&lt;&gt;0,G175*H$2/(100+H$2)," "))</f>
        <v> </v>
      </c>
      <c r="I175" s="153" t="str">
        <f aca="false">IF((G175&lt;&gt;0),G175-H175," ")</f>
        <v> </v>
      </c>
    </row>
    <row r="176" customFormat="false" ht="12.75" hidden="false" customHeight="false" outlineLevel="0" collapsed="false">
      <c r="F176" s="184"/>
      <c r="H176" s="153" t="str">
        <f aca="false">IF(H$4="X"," ",IF(G176&lt;&gt;0,G176*H$2/(100+H$2)," "))</f>
        <v> </v>
      </c>
      <c r="I176" s="153" t="str">
        <f aca="false">IF((G176&lt;&gt;0),G176-H176," ")</f>
        <v> </v>
      </c>
    </row>
    <row r="177" customFormat="false" ht="12.75" hidden="false" customHeight="false" outlineLevel="0" collapsed="false">
      <c r="F177" s="184"/>
      <c r="H177" s="153" t="str">
        <f aca="false">IF(H$4="X"," ",IF(G177&lt;&gt;0,G177*H$2/(100+H$2)," "))</f>
        <v> </v>
      </c>
      <c r="I177" s="153" t="str">
        <f aca="false">IF((G177&lt;&gt;0),G177-H177," ")</f>
        <v> </v>
      </c>
    </row>
    <row r="178" customFormat="false" ht="12.75" hidden="false" customHeight="false" outlineLevel="0" collapsed="false">
      <c r="F178" s="184"/>
      <c r="H178" s="153" t="str">
        <f aca="false">IF(H$4="X"," ",IF(G178&lt;&gt;0,G178*H$2/(100+H$2)," "))</f>
        <v> </v>
      </c>
      <c r="I178" s="153" t="str">
        <f aca="false">IF((G178&lt;&gt;0),G178-H178," ")</f>
        <v> </v>
      </c>
    </row>
    <row r="179" customFormat="false" ht="12.75" hidden="false" customHeight="false" outlineLevel="0" collapsed="false">
      <c r="F179" s="184"/>
      <c r="H179" s="153" t="str">
        <f aca="false">IF(H$4="X"," ",IF(G179&lt;&gt;0,G179*H$2/(100+H$2)," "))</f>
        <v> </v>
      </c>
      <c r="I179" s="153" t="str">
        <f aca="false">IF((G179&lt;&gt;0),G179-H179," ")</f>
        <v> </v>
      </c>
    </row>
    <row r="180" customFormat="false" ht="12.75" hidden="false" customHeight="false" outlineLevel="0" collapsed="false">
      <c r="F180" s="184"/>
      <c r="H180" s="153" t="str">
        <f aca="false">IF(H$4="X"," ",IF(G180&lt;&gt;0,G180*H$2/(100+H$2)," "))</f>
        <v> </v>
      </c>
      <c r="I180" s="153" t="str">
        <f aca="false">IF((G180&lt;&gt;0),G180-H180," ")</f>
        <v> </v>
      </c>
    </row>
    <row r="181" customFormat="false" ht="12.75" hidden="false" customHeight="false" outlineLevel="0" collapsed="false">
      <c r="F181" s="184"/>
      <c r="H181" s="153" t="str">
        <f aca="false">IF(H$4="X"," ",IF(G181&lt;&gt;0,G181*H$2/(100+H$2)," "))</f>
        <v> </v>
      </c>
      <c r="I181" s="153" t="str">
        <f aca="false">IF((G181&lt;&gt;0),G181-H181," ")</f>
        <v> </v>
      </c>
    </row>
    <row r="182" customFormat="false" ht="12.75" hidden="false" customHeight="false" outlineLevel="0" collapsed="false">
      <c r="F182" s="184"/>
      <c r="H182" s="153" t="str">
        <f aca="false">IF(H$4="X"," ",IF(G182&lt;&gt;0,G182*H$2/(100+H$2)," "))</f>
        <v> </v>
      </c>
      <c r="I182" s="153" t="str">
        <f aca="false">IF((G182&lt;&gt;0),G182-H182," ")</f>
        <v> </v>
      </c>
    </row>
    <row r="183" customFormat="false" ht="12.75" hidden="false" customHeight="false" outlineLevel="0" collapsed="false">
      <c r="F183" s="184"/>
      <c r="H183" s="153" t="str">
        <f aca="false">IF(H$4="X"," ",IF(G183&lt;&gt;0,G183*H$2/(100+H$2)," "))</f>
        <v> </v>
      </c>
      <c r="I183" s="153" t="str">
        <f aca="false">IF((G183&lt;&gt;0),G183-H183," ")</f>
        <v> </v>
      </c>
    </row>
    <row r="184" customFormat="false" ht="12.75" hidden="false" customHeight="false" outlineLevel="0" collapsed="false">
      <c r="F184" s="184"/>
      <c r="H184" s="153" t="str">
        <f aca="false">IF(H$4="X"," ",IF(G184&lt;&gt;0,G184*H$2/(100+H$2)," "))</f>
        <v> </v>
      </c>
      <c r="I184" s="153" t="str">
        <f aca="false">IF((G184&lt;&gt;0),G184-H184," ")</f>
        <v> </v>
      </c>
    </row>
    <row r="185" customFormat="false" ht="12.75" hidden="false" customHeight="false" outlineLevel="0" collapsed="false">
      <c r="F185" s="184"/>
      <c r="H185" s="153" t="str">
        <f aca="false">IF(H$4="X"," ",IF(G185&lt;&gt;0,G185*H$2/(100+H$2)," "))</f>
        <v> </v>
      </c>
      <c r="I185" s="153" t="str">
        <f aca="false">IF((G185&lt;&gt;0),G185-H185," ")</f>
        <v> </v>
      </c>
    </row>
    <row r="186" customFormat="false" ht="12.75" hidden="false" customHeight="false" outlineLevel="0" collapsed="false">
      <c r="F186" s="184"/>
      <c r="H186" s="153" t="str">
        <f aca="false">IF(H$4="X"," ",IF(G186&lt;&gt;0,G186*H$2/(100+H$2)," "))</f>
        <v> </v>
      </c>
      <c r="I186" s="153" t="str">
        <f aca="false">IF((G186&lt;&gt;0),G186-H186," ")</f>
        <v> </v>
      </c>
    </row>
    <row r="187" customFormat="false" ht="12.75" hidden="false" customHeight="false" outlineLevel="0" collapsed="false">
      <c r="F187" s="184"/>
      <c r="H187" s="153" t="str">
        <f aca="false">IF(H$4="X"," ",IF(G187&lt;&gt;0,G187*H$2/(100+H$2)," "))</f>
        <v> </v>
      </c>
      <c r="I187" s="153" t="str">
        <f aca="false">IF((G187&lt;&gt;0),G187-H187," ")</f>
        <v> </v>
      </c>
    </row>
    <row r="188" customFormat="false" ht="12.75" hidden="false" customHeight="false" outlineLevel="0" collapsed="false">
      <c r="F188" s="184"/>
      <c r="H188" s="153" t="str">
        <f aca="false">IF(H$4="X"," ",IF(G188&lt;&gt;0,G188*H$2/(100+H$2)," "))</f>
        <v> </v>
      </c>
      <c r="I188" s="153" t="str">
        <f aca="false">IF((G188&lt;&gt;0),G188-H188," ")</f>
        <v> </v>
      </c>
    </row>
    <row r="189" customFormat="false" ht="12.75" hidden="false" customHeight="false" outlineLevel="0" collapsed="false">
      <c r="F189" s="184"/>
      <c r="H189" s="153" t="str">
        <f aca="false">IF(H$4="X"," ",IF(G189&lt;&gt;0,G189*H$2/(100+H$2)," "))</f>
        <v> </v>
      </c>
      <c r="I189" s="153" t="str">
        <f aca="false">IF((G189&lt;&gt;0),G189-H189," ")</f>
        <v> </v>
      </c>
    </row>
    <row r="190" customFormat="false" ht="12.75" hidden="false" customHeight="false" outlineLevel="0" collapsed="false">
      <c r="F190" s="184"/>
      <c r="H190" s="153" t="str">
        <f aca="false">IF(H$4="X"," ",IF(G190&lt;&gt;0,G190*H$2/(100+H$2)," "))</f>
        <v> </v>
      </c>
      <c r="I190" s="153" t="str">
        <f aca="false">IF((G190&lt;&gt;0),G190-H190," ")</f>
        <v> </v>
      </c>
    </row>
    <row r="191" customFormat="false" ht="12.75" hidden="false" customHeight="false" outlineLevel="0" collapsed="false">
      <c r="F191" s="184"/>
      <c r="H191" s="153" t="str">
        <f aca="false">IF(H$4="X"," ",IF(G191&lt;&gt;0,G191*H$2/(100+H$2)," "))</f>
        <v> </v>
      </c>
      <c r="I191" s="153" t="str">
        <f aca="false">IF((G191&lt;&gt;0),G191-H191," ")</f>
        <v> </v>
      </c>
    </row>
    <row r="192" customFormat="false" ht="12.75" hidden="false" customHeight="false" outlineLevel="0" collapsed="false">
      <c r="F192" s="184"/>
      <c r="H192" s="153" t="str">
        <f aca="false">IF(H$4="X"," ",IF(G192&lt;&gt;0,G192*H$2/(100+H$2)," "))</f>
        <v> </v>
      </c>
      <c r="I192" s="153" t="str">
        <f aca="false">IF((G192&lt;&gt;0),G192-H192," ")</f>
        <v> </v>
      </c>
    </row>
    <row r="193" customFormat="false" ht="12.75" hidden="false" customHeight="false" outlineLevel="0" collapsed="false">
      <c r="F193" s="184"/>
      <c r="H193" s="153" t="str">
        <f aca="false">IF(H$4="X"," ",IF(G193&lt;&gt;0,G193*H$2/(100+H$2)," "))</f>
        <v> </v>
      </c>
      <c r="I193" s="153" t="str">
        <f aca="false">IF((G193&lt;&gt;0),G193-H193," ")</f>
        <v> </v>
      </c>
    </row>
    <row r="194" customFormat="false" ht="12.75" hidden="false" customHeight="false" outlineLevel="0" collapsed="false">
      <c r="F194" s="184"/>
      <c r="H194" s="153" t="str">
        <f aca="false">IF(H$4="X"," ",IF(G194&lt;&gt;0,G194*H$2/(100+H$2)," "))</f>
        <v> </v>
      </c>
      <c r="I194" s="153" t="str">
        <f aca="false">IF((G194&lt;&gt;0),G194-H194," ")</f>
        <v> </v>
      </c>
    </row>
    <row r="195" customFormat="false" ht="12.75" hidden="false" customHeight="false" outlineLevel="0" collapsed="false">
      <c r="F195" s="184"/>
      <c r="H195" s="153" t="str">
        <f aca="false">IF(H$4="X"," ",IF(G195&lt;&gt;0,G195*H$2/(100+H$2)," "))</f>
        <v> </v>
      </c>
      <c r="I195" s="153" t="str">
        <f aca="false">IF((G195&lt;&gt;0),G195-H195," ")</f>
        <v> </v>
      </c>
    </row>
    <row r="196" customFormat="false" ht="12.75" hidden="false" customHeight="false" outlineLevel="0" collapsed="false">
      <c r="F196" s="184"/>
      <c r="H196" s="153" t="str">
        <f aca="false">IF(H$4="X"," ",IF(G196&lt;&gt;0,G196*H$2/(100+H$2)," "))</f>
        <v> </v>
      </c>
      <c r="I196" s="153" t="str">
        <f aca="false">IF((G196&lt;&gt;0),G196-H196," ")</f>
        <v> </v>
      </c>
    </row>
    <row r="197" customFormat="false" ht="12.75" hidden="false" customHeight="false" outlineLevel="0" collapsed="false">
      <c r="F197" s="184"/>
      <c r="H197" s="153" t="str">
        <f aca="false">IF(H$4="X"," ",IF(G197&lt;&gt;0,G197*H$2/(100+H$2)," "))</f>
        <v> </v>
      </c>
      <c r="I197" s="153" t="str">
        <f aca="false">IF((G197&lt;&gt;0),G197-H197," ")</f>
        <v> </v>
      </c>
    </row>
    <row r="198" customFormat="false" ht="12.75" hidden="false" customHeight="false" outlineLevel="0" collapsed="false">
      <c r="F198" s="184"/>
      <c r="H198" s="153" t="str">
        <f aca="false">IF(H$4="X"," ",IF(G198&lt;&gt;0,G198*H$2/(100+H$2)," "))</f>
        <v> </v>
      </c>
      <c r="I198" s="153" t="str">
        <f aca="false">IF((G198&lt;&gt;0),G198-H198," ")</f>
        <v> </v>
      </c>
    </row>
    <row r="199" customFormat="false" ht="12.75" hidden="false" customHeight="false" outlineLevel="0" collapsed="false">
      <c r="F199" s="184"/>
      <c r="H199" s="153" t="str">
        <f aca="false">IF(H$4="X"," ",IF(G199&lt;&gt;0,G199*H$2/(100+H$2)," "))</f>
        <v> </v>
      </c>
      <c r="I199" s="153" t="str">
        <f aca="false">IF((G199&lt;&gt;0),G199-H199," ")</f>
        <v> </v>
      </c>
    </row>
    <row r="200" customFormat="false" ht="12.75" hidden="false" customHeight="false" outlineLevel="0" collapsed="false">
      <c r="A200" s="232"/>
      <c r="B200" s="221"/>
      <c r="C200" s="225"/>
      <c r="D200" s="213"/>
      <c r="E200" s="261"/>
      <c r="F200" s="221"/>
      <c r="G200" s="211"/>
      <c r="H200" s="211" t="str">
        <f aca="false">IF(H$4="X"," ",IF(G200&lt;&gt;0,G200*H$2/(100+H$2)," "))</f>
        <v> </v>
      </c>
      <c r="I200" s="211" t="str">
        <f aca="false">IF((G200&lt;&gt;0),G200-H200," ")</f>
        <v> </v>
      </c>
    </row>
    <row r="201" customFormat="false" ht="12.75" hidden="false" customHeight="false" outlineLevel="0" collapsed="false">
      <c r="A201" s="285" t="s">
        <v>544</v>
      </c>
      <c r="H201" s="153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68" width="8.82"/>
    <col collapsed="false" customWidth="true" hidden="false" outlineLevel="0" max="2" min="2" style="184" width="19.66"/>
    <col collapsed="false" customWidth="true" hidden="false" outlineLevel="0" max="3" min="3" style="155" width="12.66"/>
    <col collapsed="false" customWidth="true" hidden="false" outlineLevel="0" max="4" min="4" style="187" width="5.82"/>
    <col collapsed="false" customWidth="true" hidden="false" outlineLevel="0" max="5" min="5" style="192" width="14.66"/>
    <col collapsed="false" customWidth="true" hidden="false" outlineLevel="0" max="6" min="6" style="156" width="5.66"/>
    <col collapsed="false" customWidth="true" hidden="false" outlineLevel="0" max="7" min="7" style="153" width="10.5"/>
    <col collapsed="false" customWidth="true" hidden="false" outlineLevel="0" max="8" min="8" style="153" width="9.66"/>
    <col collapsed="false" customWidth="true" hidden="false" outlineLevel="0" max="9" min="9" style="153" width="10.66"/>
    <col collapsed="false" customWidth="false" hidden="false" outlineLevel="0" max="257" min="10" style="184" width="9.15"/>
  </cols>
  <sheetData>
    <row r="1" s="171" customFormat="true" ht="30" hidden="false" customHeight="true" outlineLevel="0" collapsed="false">
      <c r="A1" s="398" t="s">
        <v>536</v>
      </c>
      <c r="B1" s="398"/>
      <c r="C1" s="347" t="s">
        <v>545</v>
      </c>
      <c r="D1" s="364"/>
      <c r="E1" s="181" t="s">
        <v>537</v>
      </c>
      <c r="F1" s="403"/>
      <c r="G1" s="181" t="n">
        <f aca="false">SUM(G5:G200)</f>
        <v>0</v>
      </c>
      <c r="H1" s="181" t="n">
        <f aca="false">SUM(H5:H200)</f>
        <v>0</v>
      </c>
      <c r="I1" s="181" t="n">
        <f aca="false">SUM(I5:I200)</f>
        <v>0</v>
      </c>
    </row>
    <row r="2" s="212" customFormat="true" ht="12" hidden="false" customHeight="true" outlineLevel="0" collapsed="false">
      <c r="A2" s="404" t="s">
        <v>546</v>
      </c>
      <c r="B2" s="405" t="str">
        <f aca="false">IF((I1-SUM(P1:AL1)&lt;&gt;0),"COMPLETE EXPENSE ANALYSIS by inserting expense letter in col F","Supplier")</f>
        <v>Supplier</v>
      </c>
      <c r="C2" s="347"/>
      <c r="D2" s="364"/>
      <c r="E2" s="406" t="s">
        <v>547</v>
      </c>
      <c r="F2" s="403"/>
      <c r="G2" s="407" t="s">
        <v>548</v>
      </c>
      <c r="H2" s="257" t="n">
        <f aca="false">[2]ClosingCreditors!$H$2</f>
        <v>0</v>
      </c>
      <c r="I2" s="407" t="s">
        <v>549</v>
      </c>
    </row>
    <row r="3" s="238" customFormat="true" ht="12" hidden="false" customHeight="true" outlineLevel="0" collapsed="false">
      <c r="A3" s="404"/>
      <c r="B3" s="404"/>
      <c r="C3" s="347"/>
      <c r="D3" s="364"/>
      <c r="E3" s="364"/>
      <c r="F3" s="364"/>
      <c r="G3" s="407"/>
      <c r="H3" s="407" t="s">
        <v>550</v>
      </c>
      <c r="I3" s="407"/>
    </row>
    <row r="4" customFormat="false" ht="12.75" hidden="false" customHeight="false" outlineLevel="0" collapsed="false">
      <c r="A4" s="404"/>
      <c r="B4" s="404"/>
      <c r="C4" s="347"/>
      <c r="D4" s="364"/>
      <c r="E4" s="364"/>
      <c r="F4" s="364"/>
      <c r="G4" s="407"/>
      <c r="H4" s="407"/>
      <c r="I4" s="407"/>
    </row>
    <row r="5" customFormat="false" ht="12.75" hidden="false" customHeight="false" outlineLevel="0" collapsed="false">
      <c r="B5" s="156"/>
      <c r="C5" s="187"/>
      <c r="E5" s="156"/>
      <c r="F5" s="184"/>
      <c r="G5" s="237"/>
      <c r="H5" s="153" t="str">
        <f aca="false">IF(G5&lt;&gt;0,G5*H$2/(100+H$2)," ")</f>
        <v> </v>
      </c>
      <c r="I5" s="153" t="str">
        <f aca="false">IF((G5&lt;&gt;0),G5-H5," ")</f>
        <v> </v>
      </c>
    </row>
    <row r="6" customFormat="false" ht="12.75" hidden="false" customHeight="false" outlineLevel="0" collapsed="false">
      <c r="F6" s="184"/>
      <c r="H6" s="153" t="str">
        <f aca="false">IF(G6&lt;&gt;0,G6*H$2/(100+H$2)," ")</f>
        <v> </v>
      </c>
      <c r="I6" s="153" t="str">
        <f aca="false">IF((G6&lt;&gt;0),G6-H6," ")</f>
        <v> </v>
      </c>
    </row>
    <row r="7" customFormat="false" ht="12.75" hidden="false" customHeight="false" outlineLevel="0" collapsed="false">
      <c r="F7" s="184"/>
      <c r="H7" s="153" t="str">
        <f aca="false">IF(G7&lt;&gt;0,G7*H$2/(100+H$2)," ")</f>
        <v> </v>
      </c>
      <c r="I7" s="153" t="str">
        <f aca="false">IF((G7&lt;&gt;0),G7-H7," ")</f>
        <v> </v>
      </c>
    </row>
    <row r="8" customFormat="false" ht="12.75" hidden="false" customHeight="false" outlineLevel="0" collapsed="false">
      <c r="F8" s="184"/>
      <c r="H8" s="153" t="str">
        <f aca="false">IF(G8&lt;&gt;0,G8*H$2/(100+H$2)," ")</f>
        <v> </v>
      </c>
      <c r="I8" s="153" t="str">
        <f aca="false">IF((G8&lt;&gt;0),G8-H8," ")</f>
        <v> </v>
      </c>
    </row>
    <row r="9" customFormat="false" ht="12.75" hidden="false" customHeight="false" outlineLevel="0" collapsed="false">
      <c r="F9" s="184"/>
      <c r="H9" s="153" t="str">
        <f aca="false">IF(G9&lt;&gt;0,G9*H$2/(100+H$2)," ")</f>
        <v> </v>
      </c>
      <c r="I9" s="153" t="str">
        <f aca="false">IF((G9&lt;&gt;0),G9-H9," ")</f>
        <v> </v>
      </c>
    </row>
    <row r="10" customFormat="false" ht="12.75" hidden="false" customHeight="false" outlineLevel="0" collapsed="false">
      <c r="F10" s="184"/>
      <c r="H10" s="153" t="str">
        <f aca="false">IF(G10&lt;&gt;0,G10*H$2/(100+H$2)," ")</f>
        <v> </v>
      </c>
      <c r="I10" s="153" t="str">
        <f aca="false">IF((G10&lt;&gt;0),G10-H10," ")</f>
        <v> </v>
      </c>
    </row>
    <row r="11" customFormat="false" ht="12.75" hidden="false" customHeight="false" outlineLevel="0" collapsed="false">
      <c r="F11" s="184"/>
      <c r="H11" s="153" t="str">
        <f aca="false">IF(G11&lt;&gt;0,G11*H$2/(100+H$2)," ")</f>
        <v> </v>
      </c>
      <c r="I11" s="153" t="str">
        <f aca="false">IF((G11&lt;&gt;0),G11-H11," ")</f>
        <v> </v>
      </c>
    </row>
    <row r="12" customFormat="false" ht="12.75" hidden="false" customHeight="false" outlineLevel="0" collapsed="false">
      <c r="F12" s="184"/>
      <c r="H12" s="153" t="str">
        <f aca="false">IF(G12&lt;&gt;0,G12*H$2/(100+H$2)," ")</f>
        <v> </v>
      </c>
      <c r="I12" s="153" t="str">
        <f aca="false">IF((G12&lt;&gt;0),G12-H12," ")</f>
        <v> </v>
      </c>
    </row>
    <row r="13" customFormat="false" ht="12.75" hidden="false" customHeight="false" outlineLevel="0" collapsed="false">
      <c r="F13" s="184"/>
      <c r="H13" s="153" t="str">
        <f aca="false">IF(G13&lt;&gt;0,G13*H$2/(100+H$2)," ")</f>
        <v> </v>
      </c>
      <c r="I13" s="153" t="str">
        <f aca="false">IF((G13&lt;&gt;0),G13-H13," ")</f>
        <v> </v>
      </c>
    </row>
    <row r="14" customFormat="false" ht="12.75" hidden="false" customHeight="false" outlineLevel="0" collapsed="false">
      <c r="F14" s="184"/>
      <c r="H14" s="153" t="str">
        <f aca="false">IF(G14&lt;&gt;0,G14*H$2/(100+H$2)," ")</f>
        <v> </v>
      </c>
      <c r="I14" s="153" t="str">
        <f aca="false">IF((G14&lt;&gt;0),G14-H14," ")</f>
        <v> </v>
      </c>
    </row>
    <row r="15" customFormat="false" ht="12.75" hidden="false" customHeight="false" outlineLevel="0" collapsed="false">
      <c r="F15" s="184"/>
      <c r="H15" s="153" t="str">
        <f aca="false">IF(H$4="X"," ",IF(G15&lt;&gt;0,G15*H$2/(100+H$2)," "))</f>
        <v> </v>
      </c>
      <c r="I15" s="153" t="str">
        <f aca="false">IF((G15&lt;&gt;0),G15-H15," ")</f>
        <v> </v>
      </c>
    </row>
    <row r="16" customFormat="false" ht="12.75" hidden="false" customHeight="false" outlineLevel="0" collapsed="false">
      <c r="F16" s="184"/>
      <c r="H16" s="153" t="str">
        <f aca="false">IF(H$4="X"," ",IF(G16&lt;&gt;0,G16*H$2/(100+H$2)," "))</f>
        <v> </v>
      </c>
      <c r="I16" s="153" t="str">
        <f aca="false">IF((G16&lt;&gt;0),G16-H16," ")</f>
        <v> </v>
      </c>
    </row>
    <row r="17" customFormat="false" ht="12.75" hidden="false" customHeight="false" outlineLevel="0" collapsed="false">
      <c r="F17" s="184"/>
      <c r="H17" s="153" t="str">
        <f aca="false">IF(H$4="X"," ",IF(G17&lt;&gt;0,G17*H$2/(100+H$2)," "))</f>
        <v> </v>
      </c>
      <c r="I17" s="153" t="str">
        <f aca="false">IF((G17&lt;&gt;0),G17-H17," ")</f>
        <v> </v>
      </c>
    </row>
    <row r="18" customFormat="false" ht="12.75" hidden="false" customHeight="false" outlineLevel="0" collapsed="false">
      <c r="F18" s="184"/>
      <c r="H18" s="153" t="str">
        <f aca="false">IF(H$4="X"," ",IF(G18&lt;&gt;0,G18*H$2/(100+H$2)," "))</f>
        <v> </v>
      </c>
      <c r="I18" s="153" t="str">
        <f aca="false">IF((G18&lt;&gt;0),G18-H18," ")</f>
        <v> </v>
      </c>
    </row>
    <row r="19" customFormat="false" ht="12.75" hidden="false" customHeight="false" outlineLevel="0" collapsed="false">
      <c r="F19" s="184"/>
      <c r="H19" s="153" t="str">
        <f aca="false">IF(H$4="X"," ",IF(G19&lt;&gt;0,G19*H$2/(100+H$2)," "))</f>
        <v> </v>
      </c>
      <c r="I19" s="153" t="str">
        <f aca="false">IF((G19&lt;&gt;0),G19-H19," ")</f>
        <v> </v>
      </c>
    </row>
    <row r="20" customFormat="false" ht="12.75" hidden="false" customHeight="false" outlineLevel="0" collapsed="false">
      <c r="F20" s="184"/>
      <c r="H20" s="153" t="str">
        <f aca="false">IF(H$4="X"," ",IF(G20&lt;&gt;0,G20*H$2/(100+H$2)," "))</f>
        <v> </v>
      </c>
      <c r="I20" s="153" t="str">
        <f aca="false">IF((G20&lt;&gt;0),G20-H20," ")</f>
        <v> </v>
      </c>
    </row>
    <row r="21" customFormat="false" ht="12.75" hidden="false" customHeight="false" outlineLevel="0" collapsed="false">
      <c r="F21" s="184"/>
      <c r="H21" s="153" t="str">
        <f aca="false">IF(H$4="X"," ",IF(G21&lt;&gt;0,G21*H$2/(100+H$2)," "))</f>
        <v> </v>
      </c>
      <c r="I21" s="153" t="str">
        <f aca="false">IF((G21&lt;&gt;0),G21-H21," ")</f>
        <v> </v>
      </c>
    </row>
    <row r="22" customFormat="false" ht="12.75" hidden="false" customHeight="false" outlineLevel="0" collapsed="false">
      <c r="E22" s="184"/>
      <c r="F22" s="184"/>
      <c r="H22" s="153" t="str">
        <f aca="false">IF(H$4="X"," ",IF(G22&lt;&gt;0,G22*H$2/(100+H$2)," "))</f>
        <v> </v>
      </c>
      <c r="I22" s="153" t="str">
        <f aca="false">IF((G22&lt;&gt;0),G22-H22," ")</f>
        <v> </v>
      </c>
    </row>
    <row r="23" customFormat="false" ht="12.75" hidden="false" customHeight="false" outlineLevel="0" collapsed="false">
      <c r="E23" s="240"/>
      <c r="F23" s="184"/>
      <c r="H23" s="153" t="str">
        <f aca="false">IF(H$4="X"," ",IF(G23&lt;&gt;0,G23*H$2/(100+H$2)," "))</f>
        <v> </v>
      </c>
      <c r="I23" s="153" t="str">
        <f aca="false">IF((G23&lt;&gt;0),G23-H23," ")</f>
        <v> </v>
      </c>
    </row>
    <row r="24" customFormat="false" ht="12.75" hidden="false" customHeight="false" outlineLevel="0" collapsed="false">
      <c r="F24" s="184"/>
      <c r="H24" s="153" t="str">
        <f aca="false">IF(H$4="X"," ",IF(G24&lt;&gt;0,G24*H$2/(100+H$2)," "))</f>
        <v> </v>
      </c>
      <c r="I24" s="153" t="str">
        <f aca="false">IF((G24&lt;&gt;0),G24-H24," ")</f>
        <v> </v>
      </c>
    </row>
    <row r="25" customFormat="false" ht="12.75" hidden="false" customHeight="false" outlineLevel="0" collapsed="false">
      <c r="F25" s="184"/>
      <c r="H25" s="153" t="str">
        <f aca="false">IF(H$4="X"," ",IF(G25&lt;&gt;0,G25*H$2/(100+H$2)," "))</f>
        <v> </v>
      </c>
      <c r="I25" s="153" t="str">
        <f aca="false">IF((G25&lt;&gt;0),G25-H25," ")</f>
        <v> </v>
      </c>
    </row>
    <row r="26" customFormat="false" ht="12.75" hidden="false" customHeight="false" outlineLevel="0" collapsed="false">
      <c r="F26" s="184"/>
      <c r="H26" s="153" t="str">
        <f aca="false">IF(H$4="X"," ",IF(G26&lt;&gt;0,G26*H$2/(100+H$2)," "))</f>
        <v> </v>
      </c>
      <c r="I26" s="153" t="str">
        <f aca="false">IF((G26&lt;&gt;0),G26-H26," ")</f>
        <v> </v>
      </c>
    </row>
    <row r="27" customFormat="false" ht="12.75" hidden="false" customHeight="false" outlineLevel="0" collapsed="false">
      <c r="F27" s="184"/>
      <c r="H27" s="153" t="str">
        <f aca="false">IF(H$4="X"," ",IF(G27&lt;&gt;0,G27*H$2/(100+H$2)," "))</f>
        <v> </v>
      </c>
      <c r="I27" s="153" t="str">
        <f aca="false">IF((G27&lt;&gt;0),G27-H27," ")</f>
        <v> </v>
      </c>
    </row>
    <row r="28" customFormat="false" ht="12.75" hidden="false" customHeight="false" outlineLevel="0" collapsed="false">
      <c r="F28" s="184"/>
      <c r="H28" s="153" t="str">
        <f aca="false">IF(H$4="X"," ",IF(G28&lt;&gt;0,G28*H$2/(100+H$2)," "))</f>
        <v> </v>
      </c>
      <c r="I28" s="153" t="str">
        <f aca="false">IF((G28&lt;&gt;0),G28-H28," ")</f>
        <v> </v>
      </c>
    </row>
    <row r="29" customFormat="false" ht="12.75" hidden="false" customHeight="false" outlineLevel="0" collapsed="false">
      <c r="F29" s="184"/>
      <c r="H29" s="153" t="str">
        <f aca="false">IF(H$4="X"," ",IF(G29&lt;&gt;0,G29*H$2/(100+H$2)," "))</f>
        <v> </v>
      </c>
      <c r="I29" s="153" t="str">
        <f aca="false">IF((G29&lt;&gt;0),G29-H29," ")</f>
        <v> </v>
      </c>
    </row>
    <row r="30" customFormat="false" ht="12.75" hidden="false" customHeight="false" outlineLevel="0" collapsed="false">
      <c r="F30" s="184"/>
      <c r="H30" s="153" t="str">
        <f aca="false">IF(H$4="X"," ",IF(G30&lt;&gt;0,G30*H$2/(100+H$2)," "))</f>
        <v> </v>
      </c>
      <c r="I30" s="153" t="str">
        <f aca="false">IF((G30&lt;&gt;0),G30-H30," ")</f>
        <v> </v>
      </c>
    </row>
    <row r="31" customFormat="false" ht="12.75" hidden="false" customHeight="false" outlineLevel="0" collapsed="false">
      <c r="F31" s="184"/>
      <c r="H31" s="153" t="str">
        <f aca="false">IF(H$4="X"," ",IF(G31&lt;&gt;0,G31*H$2/(100+H$2)," "))</f>
        <v> </v>
      </c>
      <c r="I31" s="153" t="str">
        <f aca="false">IF((G31&lt;&gt;0),G31-H31," ")</f>
        <v> </v>
      </c>
    </row>
    <row r="32" customFormat="false" ht="12.75" hidden="false" customHeight="false" outlineLevel="0" collapsed="false">
      <c r="F32" s="184"/>
      <c r="H32" s="153" t="str">
        <f aca="false">IF(H$4="X"," ",IF(G32&lt;&gt;0,G32*H$2/(100+H$2)," "))</f>
        <v> </v>
      </c>
      <c r="I32" s="153" t="str">
        <f aca="false">IF((G32&lt;&gt;0),G32-H32," ")</f>
        <v> </v>
      </c>
    </row>
    <row r="33" customFormat="false" ht="12.75" hidden="false" customHeight="false" outlineLevel="0" collapsed="false">
      <c r="F33" s="184"/>
      <c r="H33" s="153" t="str">
        <f aca="false">IF(H$4="X"," ",IF(G33&lt;&gt;0,G33*H$2/(100+H$2)," "))</f>
        <v> </v>
      </c>
      <c r="I33" s="153" t="str">
        <f aca="false">IF((G33&lt;&gt;0),G33-H33," ")</f>
        <v> </v>
      </c>
    </row>
    <row r="34" customFormat="false" ht="12.75" hidden="false" customHeight="false" outlineLevel="0" collapsed="false">
      <c r="F34" s="184"/>
      <c r="H34" s="153" t="str">
        <f aca="false">IF(H$4="X"," ",IF(G34&lt;&gt;0,G34*H$2/(100+H$2)," "))</f>
        <v> </v>
      </c>
      <c r="I34" s="153" t="str">
        <f aca="false">IF((G34&lt;&gt;0),G34-H34," ")</f>
        <v> </v>
      </c>
    </row>
    <row r="35" customFormat="false" ht="12.75" hidden="false" customHeight="false" outlineLevel="0" collapsed="false">
      <c r="F35" s="184"/>
      <c r="H35" s="153" t="str">
        <f aca="false">IF(H$4="X"," ",IF(G35&lt;&gt;0,G35*H$2/(100+H$2)," "))</f>
        <v> </v>
      </c>
      <c r="I35" s="153" t="str">
        <f aca="false">IF((G35&lt;&gt;0),G35-H35," ")</f>
        <v> </v>
      </c>
    </row>
    <row r="36" customFormat="false" ht="12.75" hidden="false" customHeight="false" outlineLevel="0" collapsed="false">
      <c r="F36" s="184"/>
      <c r="H36" s="153" t="str">
        <f aca="false">IF(H$4="X"," ",IF(G36&lt;&gt;0,G36*H$2/(100+H$2)," "))</f>
        <v> </v>
      </c>
      <c r="I36" s="153" t="str">
        <f aca="false">IF((G36&lt;&gt;0),G36-H36," ")</f>
        <v> </v>
      </c>
    </row>
    <row r="37" customFormat="false" ht="12.75" hidden="false" customHeight="false" outlineLevel="0" collapsed="false">
      <c r="F37" s="184"/>
      <c r="H37" s="153" t="str">
        <f aca="false">IF(H$4="X"," ",IF(G37&lt;&gt;0,G37*H$2/(100+H$2)," "))</f>
        <v> </v>
      </c>
      <c r="I37" s="153" t="str">
        <f aca="false">IF((G37&lt;&gt;0),G37-H37," ")</f>
        <v> </v>
      </c>
    </row>
    <row r="38" customFormat="false" ht="12.75" hidden="false" customHeight="false" outlineLevel="0" collapsed="false">
      <c r="F38" s="184"/>
      <c r="H38" s="153" t="str">
        <f aca="false">IF(H$4="X"," ",IF(G38&lt;&gt;0,G38*H$2/(100+H$2)," "))</f>
        <v> </v>
      </c>
      <c r="I38" s="153" t="str">
        <f aca="false">IF((G38&lt;&gt;0),G38-H38," ")</f>
        <v> </v>
      </c>
    </row>
    <row r="39" customFormat="false" ht="12.75" hidden="false" customHeight="false" outlineLevel="0" collapsed="false">
      <c r="F39" s="184"/>
      <c r="H39" s="153" t="str">
        <f aca="false">IF(H$4="X"," ",IF(G39&lt;&gt;0,G39*H$2/(100+H$2)," "))</f>
        <v> </v>
      </c>
      <c r="I39" s="153" t="str">
        <f aca="false">IF((G39&lt;&gt;0),G39-H39," ")</f>
        <v> </v>
      </c>
    </row>
    <row r="40" customFormat="false" ht="12.75" hidden="false" customHeight="false" outlineLevel="0" collapsed="false">
      <c r="F40" s="184"/>
      <c r="H40" s="153" t="str">
        <f aca="false">IF(H$4="X"," ",IF(G40&lt;&gt;0,G40*H$2/(100+H$2)," "))</f>
        <v> </v>
      </c>
      <c r="I40" s="153" t="str">
        <f aca="false">IF((G40&lt;&gt;0),G40-H40," ")</f>
        <v> </v>
      </c>
    </row>
    <row r="41" customFormat="false" ht="12.75" hidden="false" customHeight="false" outlineLevel="0" collapsed="false">
      <c r="F41" s="184"/>
      <c r="H41" s="153" t="str">
        <f aca="false">IF(H$4="X"," ",IF(G41&lt;&gt;0,G41*H$2/(100+H$2)," "))</f>
        <v> </v>
      </c>
      <c r="I41" s="153" t="str">
        <f aca="false">IF((G41&lt;&gt;0),G41-H41," ")</f>
        <v> </v>
      </c>
    </row>
    <row r="42" customFormat="false" ht="12.75" hidden="false" customHeight="false" outlineLevel="0" collapsed="false">
      <c r="F42" s="184"/>
      <c r="H42" s="153" t="str">
        <f aca="false">IF(H$4="X"," ",IF(G42&lt;&gt;0,G42*H$2/(100+H$2)," "))</f>
        <v> </v>
      </c>
      <c r="I42" s="153" t="str">
        <f aca="false">IF((G42&lt;&gt;0),G42-H42," ")</f>
        <v> </v>
      </c>
    </row>
    <row r="43" customFormat="false" ht="12.75" hidden="false" customHeight="false" outlineLevel="0" collapsed="false">
      <c r="F43" s="184"/>
      <c r="H43" s="153" t="str">
        <f aca="false">IF(H$4="X"," ",IF(G43&lt;&gt;0,G43*H$2/(100+H$2)," "))</f>
        <v> </v>
      </c>
      <c r="I43" s="153" t="str">
        <f aca="false">IF((G43&lt;&gt;0),G43-H43," ")</f>
        <v> </v>
      </c>
    </row>
    <row r="44" customFormat="false" ht="12.75" hidden="false" customHeight="false" outlineLevel="0" collapsed="false">
      <c r="F44" s="184"/>
      <c r="H44" s="153" t="str">
        <f aca="false">IF(H$4="X"," ",IF(G44&lt;&gt;0,G44*H$2/(100+H$2)," "))</f>
        <v> </v>
      </c>
      <c r="I44" s="153" t="str">
        <f aca="false">IF((G44&lt;&gt;0),G44-H44," ")</f>
        <v> </v>
      </c>
    </row>
    <row r="45" customFormat="false" ht="12.75" hidden="false" customHeight="false" outlineLevel="0" collapsed="false">
      <c r="F45" s="184"/>
      <c r="H45" s="153" t="str">
        <f aca="false">IF(H$4="X"," ",IF(G45&lt;&gt;0,G45*H$2/(100+H$2)," "))</f>
        <v> </v>
      </c>
      <c r="I45" s="153" t="str">
        <f aca="false">IF((G45&lt;&gt;0),G45-H45," ")</f>
        <v> </v>
      </c>
    </row>
    <row r="46" customFormat="false" ht="12.75" hidden="false" customHeight="false" outlineLevel="0" collapsed="false">
      <c r="F46" s="184"/>
      <c r="H46" s="153" t="str">
        <f aca="false">IF(H$4="X"," ",IF(G46&lt;&gt;0,G46*H$2/(100+H$2)," "))</f>
        <v> </v>
      </c>
      <c r="I46" s="153" t="str">
        <f aca="false">IF((G46&lt;&gt;0),G46-H46," ")</f>
        <v> </v>
      </c>
    </row>
    <row r="47" customFormat="false" ht="12.75" hidden="false" customHeight="false" outlineLevel="0" collapsed="false">
      <c r="F47" s="184"/>
      <c r="H47" s="153" t="str">
        <f aca="false">IF(H$4="X"," ",IF(G47&lt;&gt;0,G47*H$2/(100+H$2)," "))</f>
        <v> </v>
      </c>
      <c r="I47" s="153" t="str">
        <f aca="false">IF((G47&lt;&gt;0),G47-H47," ")</f>
        <v> </v>
      </c>
    </row>
    <row r="48" customFormat="false" ht="12.75" hidden="false" customHeight="false" outlineLevel="0" collapsed="false">
      <c r="F48" s="184"/>
      <c r="H48" s="153" t="str">
        <f aca="false">IF(H$4="X"," ",IF(G48&lt;&gt;0,G48*H$2/(100+H$2)," "))</f>
        <v> </v>
      </c>
      <c r="I48" s="153" t="str">
        <f aca="false">IF((G48&lt;&gt;0),G48-H48," ")</f>
        <v> </v>
      </c>
    </row>
    <row r="49" customFormat="false" ht="12.75" hidden="false" customHeight="false" outlineLevel="0" collapsed="false">
      <c r="F49" s="184"/>
      <c r="H49" s="153" t="str">
        <f aca="false">IF(H$4="X"," ",IF(G49&lt;&gt;0,G49*H$2/(100+H$2)," "))</f>
        <v> </v>
      </c>
      <c r="I49" s="153" t="str">
        <f aca="false">IF((G49&lt;&gt;0),G49-H49," ")</f>
        <v> </v>
      </c>
    </row>
    <row r="50" customFormat="false" ht="12.75" hidden="false" customHeight="false" outlineLevel="0" collapsed="false">
      <c r="F50" s="184"/>
      <c r="H50" s="153" t="str">
        <f aca="false">IF(H$4="X"," ",IF(G50&lt;&gt;0,G50*H$2/(100+H$2)," "))</f>
        <v> </v>
      </c>
      <c r="I50" s="153" t="str">
        <f aca="false">IF((G50&lt;&gt;0),G50-H50," ")</f>
        <v> </v>
      </c>
    </row>
    <row r="51" customFormat="false" ht="12.75" hidden="false" customHeight="false" outlineLevel="0" collapsed="false">
      <c r="F51" s="184"/>
      <c r="H51" s="153" t="str">
        <f aca="false">IF(H$4="X"," ",IF(G51&lt;&gt;0,G51*H$2/(100+H$2)," "))</f>
        <v> </v>
      </c>
      <c r="I51" s="153" t="str">
        <f aca="false">IF((G51&lt;&gt;0),G51-H51," ")</f>
        <v> </v>
      </c>
    </row>
    <row r="52" customFormat="false" ht="12.75" hidden="false" customHeight="false" outlineLevel="0" collapsed="false">
      <c r="F52" s="184"/>
      <c r="H52" s="153" t="str">
        <f aca="false">IF(H$4="X"," ",IF(G52&lt;&gt;0,G52*H$2/(100+H$2)," "))</f>
        <v> </v>
      </c>
      <c r="I52" s="153" t="str">
        <f aca="false">IF((G52&lt;&gt;0),G52-H52," ")</f>
        <v> </v>
      </c>
    </row>
    <row r="53" customFormat="false" ht="12.75" hidden="false" customHeight="false" outlineLevel="0" collapsed="false">
      <c r="F53" s="184"/>
      <c r="H53" s="153" t="str">
        <f aca="false">IF(H$4="X"," ",IF(G53&lt;&gt;0,G53*H$2/(100+H$2)," "))</f>
        <v> </v>
      </c>
      <c r="I53" s="153" t="str">
        <f aca="false">IF((G53&lt;&gt;0),G53-H53," ")</f>
        <v> </v>
      </c>
    </row>
    <row r="54" customFormat="false" ht="12.75" hidden="false" customHeight="false" outlineLevel="0" collapsed="false">
      <c r="F54" s="184"/>
      <c r="H54" s="153" t="str">
        <f aca="false">IF(H$4="X"," ",IF(G54&lt;&gt;0,G54*H$2/(100+H$2)," "))</f>
        <v> </v>
      </c>
      <c r="I54" s="153" t="str">
        <f aca="false">IF((G54&lt;&gt;0),G54-H54," ")</f>
        <v> </v>
      </c>
    </row>
    <row r="55" customFormat="false" ht="12.75" hidden="false" customHeight="false" outlineLevel="0" collapsed="false">
      <c r="F55" s="184"/>
      <c r="H55" s="153" t="str">
        <f aca="false">IF(H$4="X"," ",IF(G55&lt;&gt;0,G55*H$2/(100+H$2)," "))</f>
        <v> </v>
      </c>
      <c r="I55" s="153" t="str">
        <f aca="false">IF((G55&lt;&gt;0),G55-H55," ")</f>
        <v> </v>
      </c>
    </row>
    <row r="56" customFormat="false" ht="12.75" hidden="false" customHeight="false" outlineLevel="0" collapsed="false">
      <c r="F56" s="184"/>
      <c r="H56" s="153" t="str">
        <f aca="false">IF(H$4="X"," ",IF(G56&lt;&gt;0,G56*H$2/(100+H$2)," "))</f>
        <v> </v>
      </c>
      <c r="I56" s="153" t="str">
        <f aca="false">IF((G56&lt;&gt;0),G56-H56," ")</f>
        <v> </v>
      </c>
    </row>
    <row r="57" customFormat="false" ht="12.75" hidden="false" customHeight="false" outlineLevel="0" collapsed="false">
      <c r="F57" s="184"/>
      <c r="H57" s="153" t="str">
        <f aca="false">IF(H$4="X"," ",IF(G57&lt;&gt;0,G57*H$2/(100+H$2)," "))</f>
        <v> </v>
      </c>
      <c r="I57" s="153" t="str">
        <f aca="false">IF((G57&lt;&gt;0),G57-H57," ")</f>
        <v> </v>
      </c>
    </row>
    <row r="58" customFormat="false" ht="12.75" hidden="false" customHeight="false" outlineLevel="0" collapsed="false">
      <c r="F58" s="184"/>
      <c r="H58" s="153" t="str">
        <f aca="false">IF(H$4="X"," ",IF(G58&lt;&gt;0,G58*H$2/(100+H$2)," "))</f>
        <v> </v>
      </c>
      <c r="I58" s="153" t="str">
        <f aca="false">IF((G58&lt;&gt;0),G58-H58," ")</f>
        <v> </v>
      </c>
    </row>
    <row r="59" customFormat="false" ht="12.75" hidden="false" customHeight="false" outlineLevel="0" collapsed="false">
      <c r="F59" s="184"/>
      <c r="H59" s="153" t="str">
        <f aca="false">IF(H$4="X"," ",IF(G59&lt;&gt;0,G59*H$2/(100+H$2)," "))</f>
        <v> </v>
      </c>
      <c r="I59" s="153" t="str">
        <f aca="false">IF((G59&lt;&gt;0),G59-H59," ")</f>
        <v> </v>
      </c>
    </row>
    <row r="60" customFormat="false" ht="12.75" hidden="false" customHeight="false" outlineLevel="0" collapsed="false">
      <c r="F60" s="184"/>
      <c r="H60" s="153" t="str">
        <f aca="false">IF(H$4="X"," ",IF(G60&lt;&gt;0,G60*H$2/(100+H$2)," "))</f>
        <v> </v>
      </c>
      <c r="I60" s="153" t="str">
        <f aca="false">IF((G60&lt;&gt;0),G60-H60," ")</f>
        <v> </v>
      </c>
    </row>
    <row r="61" customFormat="false" ht="12.75" hidden="false" customHeight="false" outlineLevel="0" collapsed="false">
      <c r="F61" s="184"/>
      <c r="H61" s="153" t="str">
        <f aca="false">IF(H$4="X"," ",IF(G61&lt;&gt;0,G61*H$2/(100+H$2)," "))</f>
        <v> </v>
      </c>
      <c r="I61" s="153" t="str">
        <f aca="false">IF((G61&lt;&gt;0),G61-H61," ")</f>
        <v> </v>
      </c>
    </row>
    <row r="62" customFormat="false" ht="12.75" hidden="false" customHeight="false" outlineLevel="0" collapsed="false">
      <c r="F62" s="184"/>
      <c r="H62" s="153" t="str">
        <f aca="false">IF(H$4="X"," ",IF(G62&lt;&gt;0,G62*H$2/(100+H$2)," "))</f>
        <v> </v>
      </c>
      <c r="I62" s="153" t="str">
        <f aca="false">IF((G62&lt;&gt;0),G62-H62," ")</f>
        <v> </v>
      </c>
    </row>
    <row r="63" customFormat="false" ht="12.75" hidden="false" customHeight="false" outlineLevel="0" collapsed="false">
      <c r="F63" s="184"/>
      <c r="H63" s="153" t="str">
        <f aca="false">IF(H$4="X"," ",IF(G63&lt;&gt;0,G63*H$2/(100+H$2)," "))</f>
        <v> </v>
      </c>
      <c r="I63" s="153" t="str">
        <f aca="false">IF((G63&lt;&gt;0),G63-H63," ")</f>
        <v> </v>
      </c>
    </row>
    <row r="64" customFormat="false" ht="12.75" hidden="false" customHeight="false" outlineLevel="0" collapsed="false">
      <c r="F64" s="184"/>
      <c r="H64" s="153" t="str">
        <f aca="false">IF(H$4="X"," ",IF(G64&lt;&gt;0,G64*H$2/(100+H$2)," "))</f>
        <v> </v>
      </c>
      <c r="I64" s="153" t="str">
        <f aca="false">IF((G64&lt;&gt;0),G64-H64," ")</f>
        <v> </v>
      </c>
    </row>
    <row r="65" customFormat="false" ht="12.75" hidden="false" customHeight="false" outlineLevel="0" collapsed="false">
      <c r="F65" s="184"/>
      <c r="H65" s="153" t="str">
        <f aca="false">IF(H$4="X"," ",IF(G65&lt;&gt;0,G65*H$2/(100+H$2)," "))</f>
        <v> </v>
      </c>
      <c r="I65" s="153" t="str">
        <f aca="false">IF((G65&lt;&gt;0),G65-H65," ")</f>
        <v> </v>
      </c>
    </row>
    <row r="66" customFormat="false" ht="12.75" hidden="false" customHeight="false" outlineLevel="0" collapsed="false">
      <c r="F66" s="184"/>
      <c r="H66" s="153" t="str">
        <f aca="false">IF(H$4="X"," ",IF(G66&lt;&gt;0,G66*H$2/(100+H$2)," "))</f>
        <v> </v>
      </c>
      <c r="I66" s="153" t="str">
        <f aca="false">IF((G66&lt;&gt;0),G66-H66," ")</f>
        <v> </v>
      </c>
    </row>
    <row r="67" customFormat="false" ht="12.75" hidden="false" customHeight="false" outlineLevel="0" collapsed="false">
      <c r="F67" s="184"/>
      <c r="H67" s="153" t="str">
        <f aca="false">IF(H$4="X"," ",IF(G67&lt;&gt;0,G67*H$2/(100+H$2)," "))</f>
        <v> </v>
      </c>
      <c r="I67" s="153" t="str">
        <f aca="false">IF((G67&lt;&gt;0),G67-H67," ")</f>
        <v> </v>
      </c>
    </row>
    <row r="68" customFormat="false" ht="12.75" hidden="false" customHeight="false" outlineLevel="0" collapsed="false">
      <c r="F68" s="184"/>
      <c r="H68" s="153" t="str">
        <f aca="false">IF(H$4="X"," ",IF(G68&lt;&gt;0,G68*H$2/(100+H$2)," "))</f>
        <v> </v>
      </c>
      <c r="I68" s="153" t="str">
        <f aca="false">IF((G68&lt;&gt;0),G68-H68," ")</f>
        <v> </v>
      </c>
    </row>
    <row r="69" customFormat="false" ht="12.75" hidden="false" customHeight="false" outlineLevel="0" collapsed="false">
      <c r="F69" s="184"/>
      <c r="H69" s="153" t="str">
        <f aca="false">IF(H$4="X"," ",IF(G69&lt;&gt;0,G69*H$2/(100+H$2)," "))</f>
        <v> </v>
      </c>
      <c r="I69" s="153" t="str">
        <f aca="false">IF((G69&lt;&gt;0),G69-H69," ")</f>
        <v> </v>
      </c>
    </row>
    <row r="70" customFormat="false" ht="12.75" hidden="false" customHeight="false" outlineLevel="0" collapsed="false">
      <c r="F70" s="184"/>
      <c r="H70" s="153" t="str">
        <f aca="false">IF(H$4="X"," ",IF(G70&lt;&gt;0,G70*H$2/(100+H$2)," "))</f>
        <v> </v>
      </c>
      <c r="I70" s="153" t="str">
        <f aca="false">IF((G70&lt;&gt;0),G70-H70," ")</f>
        <v> </v>
      </c>
    </row>
    <row r="71" customFormat="false" ht="12.75" hidden="false" customHeight="false" outlineLevel="0" collapsed="false">
      <c r="F71" s="184"/>
      <c r="H71" s="153" t="str">
        <f aca="false">IF(H$4="X"," ",IF(G71&lt;&gt;0,G71*H$2/(100+H$2)," "))</f>
        <v> </v>
      </c>
      <c r="I71" s="153" t="str">
        <f aca="false">IF((G71&lt;&gt;0),G71-H71," ")</f>
        <v> </v>
      </c>
    </row>
    <row r="72" customFormat="false" ht="12.75" hidden="false" customHeight="false" outlineLevel="0" collapsed="false">
      <c r="F72" s="184"/>
      <c r="H72" s="153" t="str">
        <f aca="false">IF(H$4="X"," ",IF(G72&lt;&gt;0,G72*H$2/(100+H$2)," "))</f>
        <v> </v>
      </c>
      <c r="I72" s="153" t="str">
        <f aca="false">IF((G72&lt;&gt;0),G72-H72," ")</f>
        <v> </v>
      </c>
    </row>
    <row r="73" customFormat="false" ht="12.75" hidden="false" customHeight="false" outlineLevel="0" collapsed="false">
      <c r="F73" s="184"/>
      <c r="H73" s="153" t="str">
        <f aca="false">IF(H$4="X"," ",IF(G73&lt;&gt;0,G73*H$2/(100+H$2)," "))</f>
        <v> </v>
      </c>
      <c r="I73" s="153" t="str">
        <f aca="false">IF((G73&lt;&gt;0),G73-H73," ")</f>
        <v> </v>
      </c>
    </row>
    <row r="74" customFormat="false" ht="12.75" hidden="false" customHeight="false" outlineLevel="0" collapsed="false">
      <c r="F74" s="184"/>
      <c r="H74" s="153" t="str">
        <f aca="false">IF(H$4="X"," ",IF(G74&lt;&gt;0,G74*H$2/(100+H$2)," "))</f>
        <v> </v>
      </c>
      <c r="I74" s="153" t="str">
        <f aca="false">IF((G74&lt;&gt;0),G74-H74," ")</f>
        <v> </v>
      </c>
    </row>
    <row r="75" customFormat="false" ht="12.75" hidden="false" customHeight="false" outlineLevel="0" collapsed="false">
      <c r="F75" s="184"/>
      <c r="H75" s="153" t="str">
        <f aca="false">IF(H$4="X"," ",IF(G75&lt;&gt;0,G75*H$2/(100+H$2)," "))</f>
        <v> </v>
      </c>
      <c r="I75" s="153" t="str">
        <f aca="false">IF((G75&lt;&gt;0),G75-H75," ")</f>
        <v> </v>
      </c>
    </row>
    <row r="76" customFormat="false" ht="12.75" hidden="false" customHeight="false" outlineLevel="0" collapsed="false">
      <c r="F76" s="184"/>
      <c r="H76" s="153" t="str">
        <f aca="false">IF(H$4="X"," ",IF(G76&lt;&gt;0,G76*H$2/(100+H$2)," "))</f>
        <v> </v>
      </c>
      <c r="I76" s="153" t="str">
        <f aca="false">IF((G76&lt;&gt;0),G76-H76," ")</f>
        <v> </v>
      </c>
    </row>
    <row r="77" customFormat="false" ht="12.75" hidden="false" customHeight="false" outlineLevel="0" collapsed="false">
      <c r="F77" s="184"/>
      <c r="H77" s="153" t="str">
        <f aca="false">IF(H$4="X"," ",IF(G77&lt;&gt;0,G77*H$2/(100+H$2)," "))</f>
        <v> </v>
      </c>
      <c r="I77" s="153" t="str">
        <f aca="false">IF((G77&lt;&gt;0),G77-H77," ")</f>
        <v> </v>
      </c>
    </row>
    <row r="78" customFormat="false" ht="12.75" hidden="false" customHeight="false" outlineLevel="0" collapsed="false">
      <c r="F78" s="184"/>
      <c r="H78" s="153" t="str">
        <f aca="false">IF(H$4="X"," ",IF(G78&lt;&gt;0,G78*H$2/(100+H$2)," "))</f>
        <v> </v>
      </c>
      <c r="I78" s="153" t="str">
        <f aca="false">IF((G78&lt;&gt;0),G78-H78," ")</f>
        <v> </v>
      </c>
    </row>
    <row r="79" customFormat="false" ht="12.75" hidden="false" customHeight="false" outlineLevel="0" collapsed="false">
      <c r="F79" s="184"/>
      <c r="H79" s="153" t="str">
        <f aca="false">IF(H$4="X"," ",IF(G79&lt;&gt;0,G79*H$2/(100+H$2)," "))</f>
        <v> </v>
      </c>
      <c r="I79" s="153" t="str">
        <f aca="false">IF((G79&lt;&gt;0),G79-H79," ")</f>
        <v> </v>
      </c>
    </row>
    <row r="80" customFormat="false" ht="12.75" hidden="false" customHeight="false" outlineLevel="0" collapsed="false">
      <c r="F80" s="184"/>
      <c r="H80" s="153" t="str">
        <f aca="false">IF(H$4="X"," ",IF(G80&lt;&gt;0,G80*H$2/(100+H$2)," "))</f>
        <v> </v>
      </c>
      <c r="I80" s="153" t="str">
        <f aca="false">IF((G80&lt;&gt;0),G80-H80," ")</f>
        <v> </v>
      </c>
    </row>
    <row r="81" customFormat="false" ht="12.75" hidden="false" customHeight="false" outlineLevel="0" collapsed="false">
      <c r="F81" s="184"/>
      <c r="H81" s="153" t="str">
        <f aca="false">IF(H$4="X"," ",IF(G81&lt;&gt;0,G81*H$2/(100+H$2)," "))</f>
        <v> </v>
      </c>
      <c r="I81" s="153" t="str">
        <f aca="false">IF((G81&lt;&gt;0),G81-H81," ")</f>
        <v> </v>
      </c>
    </row>
    <row r="82" customFormat="false" ht="12.75" hidden="false" customHeight="false" outlineLevel="0" collapsed="false">
      <c r="F82" s="184"/>
      <c r="H82" s="153" t="str">
        <f aca="false">IF(H$4="X"," ",IF(G82&lt;&gt;0,G82*H$2/(100+H$2)," "))</f>
        <v> </v>
      </c>
      <c r="I82" s="153" t="str">
        <f aca="false">IF((G82&lt;&gt;0),G82-H82," ")</f>
        <v> </v>
      </c>
    </row>
    <row r="83" customFormat="false" ht="12.75" hidden="false" customHeight="false" outlineLevel="0" collapsed="false">
      <c r="F83" s="184"/>
      <c r="H83" s="153" t="str">
        <f aca="false">IF(H$4="X"," ",IF(G83&lt;&gt;0,G83*H$2/(100+H$2)," "))</f>
        <v> </v>
      </c>
      <c r="I83" s="153" t="str">
        <f aca="false">IF((G83&lt;&gt;0),G83-H83," ")</f>
        <v> </v>
      </c>
    </row>
    <row r="84" customFormat="false" ht="12.75" hidden="false" customHeight="false" outlineLevel="0" collapsed="false">
      <c r="F84" s="184"/>
      <c r="H84" s="153" t="str">
        <f aca="false">IF(H$4="X"," ",IF(G84&lt;&gt;0,G84*H$2/(100+H$2)," "))</f>
        <v> </v>
      </c>
      <c r="I84" s="153" t="str">
        <f aca="false">IF((G84&lt;&gt;0),G84-H84," ")</f>
        <v> </v>
      </c>
    </row>
    <row r="85" customFormat="false" ht="12.75" hidden="false" customHeight="false" outlineLevel="0" collapsed="false">
      <c r="F85" s="184"/>
      <c r="H85" s="153" t="str">
        <f aca="false">IF(H$4="X"," ",IF(G85&lt;&gt;0,G85*H$2/(100+H$2)," "))</f>
        <v> </v>
      </c>
      <c r="I85" s="153" t="str">
        <f aca="false">IF((G85&lt;&gt;0),G85-H85," ")</f>
        <v> </v>
      </c>
    </row>
    <row r="86" customFormat="false" ht="12.75" hidden="false" customHeight="false" outlineLevel="0" collapsed="false">
      <c r="F86" s="184"/>
      <c r="H86" s="153" t="str">
        <f aca="false">IF(H$4="X"," ",IF(G86&lt;&gt;0,G86*H$2/(100+H$2)," "))</f>
        <v> </v>
      </c>
      <c r="I86" s="153" t="str">
        <f aca="false">IF((G86&lt;&gt;0),G86-H86," ")</f>
        <v> </v>
      </c>
    </row>
    <row r="87" customFormat="false" ht="12.75" hidden="false" customHeight="false" outlineLevel="0" collapsed="false">
      <c r="F87" s="184"/>
      <c r="H87" s="153" t="str">
        <f aca="false">IF(H$4="X"," ",IF(G87&lt;&gt;0,G87*H$2/(100+H$2)," "))</f>
        <v> </v>
      </c>
      <c r="I87" s="153" t="str">
        <f aca="false">IF((G87&lt;&gt;0),G87-H87," ")</f>
        <v> </v>
      </c>
    </row>
    <row r="88" customFormat="false" ht="12.75" hidden="false" customHeight="false" outlineLevel="0" collapsed="false">
      <c r="F88" s="184"/>
      <c r="H88" s="153" t="str">
        <f aca="false">IF(H$4="X"," ",IF(G88&lt;&gt;0,G88*H$2/(100+H$2)," "))</f>
        <v> </v>
      </c>
      <c r="I88" s="153" t="str">
        <f aca="false">IF((G88&lt;&gt;0),G88-H88," ")</f>
        <v> </v>
      </c>
    </row>
    <row r="89" customFormat="false" ht="12.75" hidden="false" customHeight="false" outlineLevel="0" collapsed="false">
      <c r="F89" s="184"/>
      <c r="H89" s="153" t="str">
        <f aca="false">IF(H$4="X"," ",IF(G89&lt;&gt;0,G89*H$2/(100+H$2)," "))</f>
        <v> </v>
      </c>
      <c r="I89" s="153" t="str">
        <f aca="false">IF((G89&lt;&gt;0),G89-H89," ")</f>
        <v> </v>
      </c>
    </row>
    <row r="90" customFormat="false" ht="12.75" hidden="false" customHeight="false" outlineLevel="0" collapsed="false">
      <c r="F90" s="184"/>
      <c r="H90" s="153" t="str">
        <f aca="false">IF(H$4="X"," ",IF(G90&lt;&gt;0,G90*H$2/(100+H$2)," "))</f>
        <v> </v>
      </c>
      <c r="I90" s="153" t="str">
        <f aca="false">IF((G90&lt;&gt;0),G90-H90," ")</f>
        <v> </v>
      </c>
    </row>
    <row r="91" customFormat="false" ht="12.75" hidden="false" customHeight="false" outlineLevel="0" collapsed="false">
      <c r="F91" s="184"/>
      <c r="H91" s="153" t="str">
        <f aca="false">IF(H$4="X"," ",IF(G91&lt;&gt;0,G91*H$2/(100+H$2)," "))</f>
        <v> </v>
      </c>
      <c r="I91" s="153" t="str">
        <f aca="false">IF((G91&lt;&gt;0),G91-H91," ")</f>
        <v> </v>
      </c>
    </row>
    <row r="92" customFormat="false" ht="12.75" hidden="false" customHeight="false" outlineLevel="0" collapsed="false">
      <c r="F92" s="184"/>
      <c r="H92" s="153" t="str">
        <f aca="false">IF(H$4="X"," ",IF(G92&lt;&gt;0,G92*H$2/(100+H$2)," "))</f>
        <v> </v>
      </c>
      <c r="I92" s="153" t="str">
        <f aca="false">IF((G92&lt;&gt;0),G92-H92," ")</f>
        <v> </v>
      </c>
    </row>
    <row r="93" customFormat="false" ht="12.75" hidden="false" customHeight="false" outlineLevel="0" collapsed="false">
      <c r="F93" s="184"/>
      <c r="H93" s="153" t="str">
        <f aca="false">IF(H$4="X"," ",IF(G93&lt;&gt;0,G93*H$2/(100+H$2)," "))</f>
        <v> </v>
      </c>
      <c r="I93" s="153" t="str">
        <f aca="false">IF((G93&lt;&gt;0),G93-H93," ")</f>
        <v> </v>
      </c>
    </row>
    <row r="94" customFormat="false" ht="12.75" hidden="false" customHeight="false" outlineLevel="0" collapsed="false">
      <c r="F94" s="184"/>
      <c r="H94" s="153" t="str">
        <f aca="false">IF(H$4="X"," ",IF(G94&lt;&gt;0,G94*H$2/(100+H$2)," "))</f>
        <v> </v>
      </c>
      <c r="I94" s="153" t="str">
        <f aca="false">IF((G94&lt;&gt;0),G94-H94," ")</f>
        <v> </v>
      </c>
    </row>
    <row r="95" customFormat="false" ht="12.75" hidden="false" customHeight="false" outlineLevel="0" collapsed="false">
      <c r="F95" s="184"/>
      <c r="H95" s="153" t="str">
        <f aca="false">IF(H$4="X"," ",IF(G95&lt;&gt;0,G95*H$2/(100+H$2)," "))</f>
        <v> </v>
      </c>
      <c r="I95" s="153" t="str">
        <f aca="false">IF((G95&lt;&gt;0),G95-H95," ")</f>
        <v> </v>
      </c>
    </row>
    <row r="96" customFormat="false" ht="12.75" hidden="false" customHeight="false" outlineLevel="0" collapsed="false">
      <c r="F96" s="184"/>
      <c r="H96" s="153" t="str">
        <f aca="false">IF(H$4="X"," ",IF(G96&lt;&gt;0,G96*H$2/(100+H$2)," "))</f>
        <v> </v>
      </c>
      <c r="I96" s="153" t="str">
        <f aca="false">IF((G96&lt;&gt;0),G96-H96," ")</f>
        <v> </v>
      </c>
    </row>
    <row r="97" customFormat="false" ht="12.75" hidden="false" customHeight="false" outlineLevel="0" collapsed="false">
      <c r="F97" s="184"/>
      <c r="H97" s="153" t="str">
        <f aca="false">IF(H$4="X"," ",IF(G97&lt;&gt;0,G97*H$2/(100+H$2)," "))</f>
        <v> </v>
      </c>
      <c r="I97" s="153" t="str">
        <f aca="false">IF((G97&lt;&gt;0),G97-H97," ")</f>
        <v> </v>
      </c>
    </row>
    <row r="98" customFormat="false" ht="12.75" hidden="false" customHeight="false" outlineLevel="0" collapsed="false">
      <c r="F98" s="184"/>
      <c r="H98" s="153" t="str">
        <f aca="false">IF(H$4="X"," ",IF(G98&lt;&gt;0,G98*H$2/(100+H$2)," "))</f>
        <v> </v>
      </c>
      <c r="I98" s="153" t="str">
        <f aca="false">IF((G98&lt;&gt;0),G98-H98," ")</f>
        <v> </v>
      </c>
    </row>
    <row r="99" customFormat="false" ht="12.75" hidden="false" customHeight="false" outlineLevel="0" collapsed="false">
      <c r="F99" s="184"/>
      <c r="H99" s="153" t="str">
        <f aca="false">IF(H$4="X"," ",IF(G99&lt;&gt;0,G99*H$2/(100+H$2)," "))</f>
        <v> </v>
      </c>
      <c r="I99" s="153" t="str">
        <f aca="false">IF((G99&lt;&gt;0),G99-H99," ")</f>
        <v> </v>
      </c>
    </row>
    <row r="100" customFormat="false" ht="12.75" hidden="false" customHeight="false" outlineLevel="0" collapsed="false">
      <c r="F100" s="184"/>
      <c r="H100" s="153" t="str">
        <f aca="false">IF(H$4="X"," ",IF(G100&lt;&gt;0,G100*H$2/(100+H$2)," "))</f>
        <v> </v>
      </c>
      <c r="I100" s="153" t="str">
        <f aca="false">IF((G100&lt;&gt;0),G100-H100," ")</f>
        <v> </v>
      </c>
    </row>
    <row r="101" customFormat="false" ht="12.75" hidden="false" customHeight="false" outlineLevel="0" collapsed="false">
      <c r="F101" s="184"/>
      <c r="H101" s="153" t="str">
        <f aca="false">IF(H$4="X"," ",IF(G101&lt;&gt;0,G101*H$2/(100+H$2)," "))</f>
        <v> </v>
      </c>
      <c r="I101" s="153" t="str">
        <f aca="false">IF((G101&lt;&gt;0),G101-H101," ")</f>
        <v> </v>
      </c>
    </row>
    <row r="102" customFormat="false" ht="12.75" hidden="false" customHeight="false" outlineLevel="0" collapsed="false">
      <c r="F102" s="184"/>
      <c r="H102" s="153" t="str">
        <f aca="false">IF(H$4="X"," ",IF(G102&lt;&gt;0,G102*H$2/(100+H$2)," "))</f>
        <v> </v>
      </c>
      <c r="I102" s="153" t="str">
        <f aca="false">IF((G102&lt;&gt;0),G102-H102," ")</f>
        <v> </v>
      </c>
    </row>
    <row r="103" customFormat="false" ht="12.75" hidden="false" customHeight="false" outlineLevel="0" collapsed="false">
      <c r="F103" s="184"/>
      <c r="H103" s="153" t="str">
        <f aca="false">IF(H$4="X"," ",IF(G103&lt;&gt;0,G103*H$2/(100+H$2)," "))</f>
        <v> </v>
      </c>
      <c r="I103" s="153" t="str">
        <f aca="false">IF((G103&lt;&gt;0),G103-H103," ")</f>
        <v> </v>
      </c>
    </row>
    <row r="104" customFormat="false" ht="12.75" hidden="false" customHeight="false" outlineLevel="0" collapsed="false">
      <c r="F104" s="184"/>
      <c r="H104" s="153" t="str">
        <f aca="false">IF(H$4="X"," ",IF(G104&lt;&gt;0,G104*H$2/(100+H$2)," "))</f>
        <v> </v>
      </c>
      <c r="I104" s="153" t="str">
        <f aca="false">IF((G104&lt;&gt;0),G104-H104," ")</f>
        <v> </v>
      </c>
    </row>
    <row r="105" customFormat="false" ht="12.75" hidden="false" customHeight="false" outlineLevel="0" collapsed="false">
      <c r="F105" s="184"/>
      <c r="H105" s="153" t="str">
        <f aca="false">IF(H$4="X"," ",IF(G105&lt;&gt;0,G105*H$2/(100+H$2)," "))</f>
        <v> </v>
      </c>
      <c r="I105" s="153" t="str">
        <f aca="false">IF((G105&lt;&gt;0),G105-H105," ")</f>
        <v> </v>
      </c>
    </row>
    <row r="106" customFormat="false" ht="12.75" hidden="false" customHeight="false" outlineLevel="0" collapsed="false">
      <c r="F106" s="184"/>
      <c r="H106" s="153" t="str">
        <f aca="false">IF(H$4="X"," ",IF(G106&lt;&gt;0,G106*H$2/(100+H$2)," "))</f>
        <v> </v>
      </c>
      <c r="I106" s="153" t="str">
        <f aca="false">IF((G106&lt;&gt;0),G106-H106," ")</f>
        <v> </v>
      </c>
    </row>
    <row r="107" customFormat="false" ht="12.75" hidden="false" customHeight="false" outlineLevel="0" collapsed="false">
      <c r="F107" s="184"/>
      <c r="H107" s="153" t="str">
        <f aca="false">IF(H$4="X"," ",IF(G107&lt;&gt;0,G107*H$2/(100+H$2)," "))</f>
        <v> </v>
      </c>
      <c r="I107" s="153" t="str">
        <f aca="false">IF((G107&lt;&gt;0),G107-H107," ")</f>
        <v> </v>
      </c>
    </row>
    <row r="108" customFormat="false" ht="12.75" hidden="false" customHeight="false" outlineLevel="0" collapsed="false">
      <c r="F108" s="184"/>
      <c r="H108" s="153" t="str">
        <f aca="false">IF(H$4="X"," ",IF(G108&lt;&gt;0,G108*H$2/(100+H$2)," "))</f>
        <v> </v>
      </c>
      <c r="I108" s="153" t="str">
        <f aca="false">IF((G108&lt;&gt;0),G108-H108," ")</f>
        <v> </v>
      </c>
    </row>
    <row r="109" customFormat="false" ht="12.75" hidden="false" customHeight="false" outlineLevel="0" collapsed="false">
      <c r="F109" s="184"/>
      <c r="H109" s="153" t="str">
        <f aca="false">IF(H$4="X"," ",IF(G109&lt;&gt;0,G109*H$2/(100+H$2)," "))</f>
        <v> </v>
      </c>
      <c r="I109" s="153" t="str">
        <f aca="false">IF((G109&lt;&gt;0),G109-H109," ")</f>
        <v> </v>
      </c>
    </row>
    <row r="110" customFormat="false" ht="12.75" hidden="false" customHeight="false" outlineLevel="0" collapsed="false">
      <c r="F110" s="184"/>
      <c r="H110" s="153" t="str">
        <f aca="false">IF(H$4="X"," ",IF(G110&lt;&gt;0,G110*H$2/(100+H$2)," "))</f>
        <v> </v>
      </c>
      <c r="I110" s="153" t="str">
        <f aca="false">IF((G110&lt;&gt;0),G110-H110," ")</f>
        <v> </v>
      </c>
    </row>
    <row r="111" customFormat="false" ht="12.75" hidden="false" customHeight="false" outlineLevel="0" collapsed="false">
      <c r="F111" s="184"/>
      <c r="H111" s="153" t="str">
        <f aca="false">IF(H$4="X"," ",IF(G111&lt;&gt;0,G111*H$2/(100+H$2)," "))</f>
        <v> </v>
      </c>
      <c r="I111" s="153" t="str">
        <f aca="false">IF((G111&lt;&gt;0),G111-H111," ")</f>
        <v> </v>
      </c>
    </row>
    <row r="112" customFormat="false" ht="12.75" hidden="false" customHeight="false" outlineLevel="0" collapsed="false">
      <c r="F112" s="184"/>
      <c r="H112" s="153" t="str">
        <f aca="false">IF(H$4="X"," ",IF(G112&lt;&gt;0,G112*H$2/(100+H$2)," "))</f>
        <v> </v>
      </c>
      <c r="I112" s="153" t="str">
        <f aca="false">IF((G112&lt;&gt;0),G112-H112," ")</f>
        <v> </v>
      </c>
    </row>
    <row r="113" customFormat="false" ht="12.75" hidden="false" customHeight="false" outlineLevel="0" collapsed="false">
      <c r="F113" s="184"/>
      <c r="H113" s="153" t="str">
        <f aca="false">IF(H$4="X"," ",IF(G113&lt;&gt;0,G113*H$2/(100+H$2)," "))</f>
        <v> </v>
      </c>
      <c r="I113" s="153" t="str">
        <f aca="false">IF((G113&lt;&gt;0),G113-H113," ")</f>
        <v> </v>
      </c>
    </row>
    <row r="114" customFormat="false" ht="12.75" hidden="false" customHeight="false" outlineLevel="0" collapsed="false">
      <c r="F114" s="184"/>
      <c r="H114" s="153" t="str">
        <f aca="false">IF(H$4="X"," ",IF(G114&lt;&gt;0,G114*H$2/(100+H$2)," "))</f>
        <v> </v>
      </c>
      <c r="I114" s="153" t="str">
        <f aca="false">IF((G114&lt;&gt;0),G114-H114," ")</f>
        <v> </v>
      </c>
    </row>
    <row r="115" customFormat="false" ht="12.75" hidden="false" customHeight="false" outlineLevel="0" collapsed="false">
      <c r="F115" s="184"/>
      <c r="H115" s="153" t="str">
        <f aca="false">IF(H$4="X"," ",IF(G115&lt;&gt;0,G115*H$2/(100+H$2)," "))</f>
        <v> </v>
      </c>
      <c r="I115" s="153" t="str">
        <f aca="false">IF((G115&lt;&gt;0),G115-H115," ")</f>
        <v> </v>
      </c>
    </row>
    <row r="116" customFormat="false" ht="12.75" hidden="false" customHeight="false" outlineLevel="0" collapsed="false">
      <c r="F116" s="184"/>
      <c r="H116" s="153" t="str">
        <f aca="false">IF(H$4="X"," ",IF(G116&lt;&gt;0,G116*H$2/(100+H$2)," "))</f>
        <v> </v>
      </c>
      <c r="I116" s="153" t="str">
        <f aca="false">IF((G116&lt;&gt;0),G116-H116," ")</f>
        <v> </v>
      </c>
    </row>
    <row r="117" customFormat="false" ht="12.75" hidden="false" customHeight="false" outlineLevel="0" collapsed="false">
      <c r="F117" s="184"/>
      <c r="H117" s="153" t="str">
        <f aca="false">IF(H$4="X"," ",IF(G117&lt;&gt;0,G117*H$2/(100+H$2)," "))</f>
        <v> </v>
      </c>
      <c r="I117" s="153" t="str">
        <f aca="false">IF((G117&lt;&gt;0),G117-H117," ")</f>
        <v> </v>
      </c>
    </row>
    <row r="118" customFormat="false" ht="12.75" hidden="false" customHeight="false" outlineLevel="0" collapsed="false">
      <c r="F118" s="184"/>
      <c r="H118" s="153" t="str">
        <f aca="false">IF(H$4="X"," ",IF(G118&lt;&gt;0,G118*H$2/(100+H$2)," "))</f>
        <v> </v>
      </c>
      <c r="I118" s="153" t="str">
        <f aca="false">IF((G118&lt;&gt;0),G118-H118," ")</f>
        <v> </v>
      </c>
    </row>
    <row r="119" customFormat="false" ht="12.75" hidden="false" customHeight="false" outlineLevel="0" collapsed="false">
      <c r="F119" s="184"/>
      <c r="H119" s="153" t="str">
        <f aca="false">IF(H$4="X"," ",IF(G119&lt;&gt;0,G119*H$2/(100+H$2)," "))</f>
        <v> </v>
      </c>
      <c r="I119" s="153" t="str">
        <f aca="false">IF((G119&lt;&gt;0),G119-H119," ")</f>
        <v> </v>
      </c>
    </row>
    <row r="120" customFormat="false" ht="12.75" hidden="false" customHeight="false" outlineLevel="0" collapsed="false">
      <c r="F120" s="184"/>
      <c r="H120" s="153" t="str">
        <f aca="false">IF(H$4="X"," ",IF(G120&lt;&gt;0,G120*H$2/(100+H$2)," "))</f>
        <v> </v>
      </c>
      <c r="I120" s="153" t="str">
        <f aca="false">IF((G120&lt;&gt;0),G120-H120," ")</f>
        <v> </v>
      </c>
    </row>
    <row r="121" customFormat="false" ht="12.75" hidden="false" customHeight="false" outlineLevel="0" collapsed="false">
      <c r="F121" s="184"/>
      <c r="H121" s="153" t="str">
        <f aca="false">IF(H$4="X"," ",IF(G121&lt;&gt;0,G121*H$2/(100+H$2)," "))</f>
        <v> </v>
      </c>
      <c r="I121" s="153" t="str">
        <f aca="false">IF((G121&lt;&gt;0),G121-H121," ")</f>
        <v> </v>
      </c>
    </row>
    <row r="122" customFormat="false" ht="12.75" hidden="false" customHeight="false" outlineLevel="0" collapsed="false">
      <c r="F122" s="184"/>
      <c r="H122" s="153" t="str">
        <f aca="false">IF(H$4="X"," ",IF(G122&lt;&gt;0,G122*H$2/(100+H$2)," "))</f>
        <v> </v>
      </c>
      <c r="I122" s="153" t="str">
        <f aca="false">IF((G122&lt;&gt;0),G122-H122," ")</f>
        <v> </v>
      </c>
    </row>
    <row r="123" customFormat="false" ht="12.75" hidden="false" customHeight="false" outlineLevel="0" collapsed="false">
      <c r="F123" s="184"/>
      <c r="H123" s="153" t="str">
        <f aca="false">IF(H$4="X"," ",IF(G123&lt;&gt;0,G123*H$2/(100+H$2)," "))</f>
        <v> </v>
      </c>
      <c r="I123" s="153" t="str">
        <f aca="false">IF((G123&lt;&gt;0),G123-H123," ")</f>
        <v> </v>
      </c>
    </row>
    <row r="124" customFormat="false" ht="12.75" hidden="false" customHeight="false" outlineLevel="0" collapsed="false">
      <c r="F124" s="184"/>
      <c r="H124" s="153" t="str">
        <f aca="false">IF(H$4="X"," ",IF(G124&lt;&gt;0,G124*H$2/(100+H$2)," "))</f>
        <v> </v>
      </c>
      <c r="I124" s="153" t="str">
        <f aca="false">IF((G124&lt;&gt;0),G124-H124," ")</f>
        <v> </v>
      </c>
    </row>
    <row r="125" customFormat="false" ht="12.75" hidden="false" customHeight="false" outlineLevel="0" collapsed="false">
      <c r="F125" s="184"/>
      <c r="H125" s="153" t="str">
        <f aca="false">IF(H$4="X"," ",IF(G125&lt;&gt;0,G125*H$2/(100+H$2)," "))</f>
        <v> </v>
      </c>
      <c r="I125" s="153" t="str">
        <f aca="false">IF((G125&lt;&gt;0),G125-H125," ")</f>
        <v> </v>
      </c>
    </row>
    <row r="126" customFormat="false" ht="12.75" hidden="false" customHeight="false" outlineLevel="0" collapsed="false">
      <c r="F126" s="184"/>
      <c r="H126" s="153" t="str">
        <f aca="false">IF(H$4="X"," ",IF(G126&lt;&gt;0,G126*H$2/(100+H$2)," "))</f>
        <v> </v>
      </c>
      <c r="I126" s="153" t="str">
        <f aca="false">IF((G126&lt;&gt;0),G126-H126," ")</f>
        <v> </v>
      </c>
    </row>
    <row r="127" customFormat="false" ht="12.75" hidden="false" customHeight="false" outlineLevel="0" collapsed="false">
      <c r="F127" s="184"/>
      <c r="H127" s="153" t="str">
        <f aca="false">IF(H$4="X"," ",IF(G127&lt;&gt;0,G127*H$2/(100+H$2)," "))</f>
        <v> </v>
      </c>
      <c r="I127" s="153" t="str">
        <f aca="false">IF((G127&lt;&gt;0),G127-H127," ")</f>
        <v> </v>
      </c>
    </row>
    <row r="128" customFormat="false" ht="12.75" hidden="false" customHeight="false" outlineLevel="0" collapsed="false">
      <c r="F128" s="184"/>
      <c r="H128" s="153" t="str">
        <f aca="false">IF(H$4="X"," ",IF(G128&lt;&gt;0,G128*H$2/(100+H$2)," "))</f>
        <v> </v>
      </c>
      <c r="I128" s="153" t="str">
        <f aca="false">IF((G128&lt;&gt;0),G128-H128," ")</f>
        <v> </v>
      </c>
    </row>
    <row r="129" customFormat="false" ht="12.75" hidden="false" customHeight="false" outlineLevel="0" collapsed="false">
      <c r="F129" s="184"/>
      <c r="H129" s="153" t="str">
        <f aca="false">IF(H$4="X"," ",IF(G129&lt;&gt;0,G129*H$2/(100+H$2)," "))</f>
        <v> </v>
      </c>
      <c r="I129" s="153" t="str">
        <f aca="false">IF((G129&lt;&gt;0),G129-H129," ")</f>
        <v> </v>
      </c>
    </row>
    <row r="130" customFormat="false" ht="12.75" hidden="false" customHeight="false" outlineLevel="0" collapsed="false">
      <c r="F130" s="184"/>
      <c r="H130" s="153" t="str">
        <f aca="false">IF(H$4="X"," ",IF(G130&lt;&gt;0,G130*H$2/(100+H$2)," "))</f>
        <v> </v>
      </c>
      <c r="I130" s="153" t="str">
        <f aca="false">IF((G130&lt;&gt;0),G130-H130," ")</f>
        <v> </v>
      </c>
    </row>
    <row r="131" customFormat="false" ht="12.75" hidden="false" customHeight="false" outlineLevel="0" collapsed="false">
      <c r="F131" s="184"/>
      <c r="H131" s="153" t="str">
        <f aca="false">IF(H$4="X"," ",IF(G131&lt;&gt;0,G131*H$2/(100+H$2)," "))</f>
        <v> </v>
      </c>
      <c r="I131" s="153" t="str">
        <f aca="false">IF((G131&lt;&gt;0),G131-H131," ")</f>
        <v> </v>
      </c>
    </row>
    <row r="132" customFormat="false" ht="12.75" hidden="false" customHeight="false" outlineLevel="0" collapsed="false">
      <c r="F132" s="184"/>
      <c r="H132" s="153" t="str">
        <f aca="false">IF(H$4="X"," ",IF(G132&lt;&gt;0,G132*H$2/(100+H$2)," "))</f>
        <v> </v>
      </c>
      <c r="I132" s="153" t="str">
        <f aca="false">IF((G132&lt;&gt;0),G132-H132," ")</f>
        <v> </v>
      </c>
    </row>
    <row r="133" customFormat="false" ht="12.75" hidden="false" customHeight="false" outlineLevel="0" collapsed="false">
      <c r="F133" s="184"/>
      <c r="H133" s="153" t="str">
        <f aca="false">IF(H$4="X"," ",IF(G133&lt;&gt;0,G133*H$2/(100+H$2)," "))</f>
        <v> </v>
      </c>
      <c r="I133" s="153" t="str">
        <f aca="false">IF((G133&lt;&gt;0),G133-H133," ")</f>
        <v> </v>
      </c>
    </row>
    <row r="134" customFormat="false" ht="12.75" hidden="false" customHeight="false" outlineLevel="0" collapsed="false">
      <c r="F134" s="184"/>
      <c r="H134" s="153" t="str">
        <f aca="false">IF(H$4="X"," ",IF(G134&lt;&gt;0,G134*H$2/(100+H$2)," "))</f>
        <v> </v>
      </c>
      <c r="I134" s="153" t="str">
        <f aca="false">IF((G134&lt;&gt;0),G134-H134," ")</f>
        <v> </v>
      </c>
    </row>
    <row r="135" customFormat="false" ht="12.75" hidden="false" customHeight="false" outlineLevel="0" collapsed="false">
      <c r="F135" s="184"/>
      <c r="H135" s="153" t="str">
        <f aca="false">IF(H$4="X"," ",IF(G135&lt;&gt;0,G135*H$2/(100+H$2)," "))</f>
        <v> </v>
      </c>
      <c r="I135" s="153" t="str">
        <f aca="false">IF((G135&lt;&gt;0),G135-H135," ")</f>
        <v> </v>
      </c>
    </row>
    <row r="136" customFormat="false" ht="12.75" hidden="false" customHeight="false" outlineLevel="0" collapsed="false">
      <c r="F136" s="184"/>
      <c r="H136" s="153" t="str">
        <f aca="false">IF(H$4="X"," ",IF(G136&lt;&gt;0,G136*H$2/(100+H$2)," "))</f>
        <v> </v>
      </c>
      <c r="I136" s="153" t="str">
        <f aca="false">IF((G136&lt;&gt;0),G136-H136," ")</f>
        <v> </v>
      </c>
    </row>
    <row r="137" customFormat="false" ht="12.75" hidden="false" customHeight="false" outlineLevel="0" collapsed="false">
      <c r="F137" s="184"/>
      <c r="H137" s="153" t="str">
        <f aca="false">IF(H$4="X"," ",IF(G137&lt;&gt;0,G137*H$2/(100+H$2)," "))</f>
        <v> </v>
      </c>
      <c r="I137" s="153" t="str">
        <f aca="false">IF((G137&lt;&gt;0),G137-H137," ")</f>
        <v> </v>
      </c>
    </row>
    <row r="138" customFormat="false" ht="12.75" hidden="false" customHeight="false" outlineLevel="0" collapsed="false">
      <c r="F138" s="184"/>
      <c r="H138" s="153" t="str">
        <f aca="false">IF(H$4="X"," ",IF(G138&lt;&gt;0,G138*H$2/(100+H$2)," "))</f>
        <v> </v>
      </c>
      <c r="I138" s="153" t="str">
        <f aca="false">IF((G138&lt;&gt;0),G138-H138," ")</f>
        <v> </v>
      </c>
    </row>
    <row r="139" customFormat="false" ht="12.75" hidden="false" customHeight="false" outlineLevel="0" collapsed="false">
      <c r="F139" s="184"/>
      <c r="H139" s="153" t="str">
        <f aca="false">IF(H$4="X"," ",IF(G139&lt;&gt;0,G139*H$2/(100+H$2)," "))</f>
        <v> </v>
      </c>
      <c r="I139" s="153" t="str">
        <f aca="false">IF((G139&lt;&gt;0),G139-H139," ")</f>
        <v> </v>
      </c>
    </row>
    <row r="140" customFormat="false" ht="12.75" hidden="false" customHeight="false" outlineLevel="0" collapsed="false">
      <c r="F140" s="184"/>
      <c r="H140" s="153" t="str">
        <f aca="false">IF(H$4="X"," ",IF(G140&lt;&gt;0,G140*H$2/(100+H$2)," "))</f>
        <v> </v>
      </c>
      <c r="I140" s="153" t="str">
        <f aca="false">IF((G140&lt;&gt;0),G140-H140," ")</f>
        <v> </v>
      </c>
    </row>
    <row r="141" customFormat="false" ht="12.75" hidden="false" customHeight="false" outlineLevel="0" collapsed="false">
      <c r="F141" s="184"/>
      <c r="H141" s="153" t="str">
        <f aca="false">IF(H$4="X"," ",IF(G141&lt;&gt;0,G141*H$2/(100+H$2)," "))</f>
        <v> </v>
      </c>
      <c r="I141" s="153" t="str">
        <f aca="false">IF((G141&lt;&gt;0),G141-H141," ")</f>
        <v> </v>
      </c>
    </row>
    <row r="142" customFormat="false" ht="12.75" hidden="false" customHeight="false" outlineLevel="0" collapsed="false">
      <c r="F142" s="184"/>
      <c r="H142" s="153" t="str">
        <f aca="false">IF(H$4="X"," ",IF(G142&lt;&gt;0,G142*H$2/(100+H$2)," "))</f>
        <v> </v>
      </c>
      <c r="I142" s="153" t="str">
        <f aca="false">IF((G142&lt;&gt;0),G142-H142," ")</f>
        <v> </v>
      </c>
    </row>
    <row r="143" customFormat="false" ht="12.75" hidden="false" customHeight="false" outlineLevel="0" collapsed="false">
      <c r="F143" s="184"/>
      <c r="H143" s="153" t="str">
        <f aca="false">IF(H$4="X"," ",IF(G143&lt;&gt;0,G143*H$2/(100+H$2)," "))</f>
        <v> </v>
      </c>
      <c r="I143" s="153" t="str">
        <f aca="false">IF((G143&lt;&gt;0),G143-H143," ")</f>
        <v> </v>
      </c>
    </row>
    <row r="144" customFormat="false" ht="12.75" hidden="false" customHeight="false" outlineLevel="0" collapsed="false">
      <c r="F144" s="184"/>
      <c r="H144" s="153" t="str">
        <f aca="false">IF(H$4="X"," ",IF(G144&lt;&gt;0,G144*H$2/(100+H$2)," "))</f>
        <v> </v>
      </c>
      <c r="I144" s="153" t="str">
        <f aca="false">IF((G144&lt;&gt;0),G144-H144," ")</f>
        <v> </v>
      </c>
    </row>
    <row r="145" customFormat="false" ht="12.75" hidden="false" customHeight="false" outlineLevel="0" collapsed="false">
      <c r="F145" s="184"/>
      <c r="H145" s="153" t="str">
        <f aca="false">IF(H$4="X"," ",IF(G145&lt;&gt;0,G145*H$2/(100+H$2)," "))</f>
        <v> </v>
      </c>
      <c r="I145" s="153" t="str">
        <f aca="false">IF((G145&lt;&gt;0),G145-H145," ")</f>
        <v> </v>
      </c>
    </row>
    <row r="146" customFormat="false" ht="12.75" hidden="false" customHeight="false" outlineLevel="0" collapsed="false">
      <c r="F146" s="184"/>
      <c r="H146" s="153" t="str">
        <f aca="false">IF(H$4="X"," ",IF(G146&lt;&gt;0,G146*H$2/(100+H$2)," "))</f>
        <v> </v>
      </c>
      <c r="I146" s="153" t="str">
        <f aca="false">IF((G146&lt;&gt;0),G146-H146," ")</f>
        <v> </v>
      </c>
    </row>
    <row r="147" customFormat="false" ht="12.75" hidden="false" customHeight="false" outlineLevel="0" collapsed="false">
      <c r="F147" s="184"/>
      <c r="H147" s="153" t="str">
        <f aca="false">IF(H$4="X"," ",IF(G147&lt;&gt;0,G147*H$2/(100+H$2)," "))</f>
        <v> </v>
      </c>
      <c r="I147" s="153" t="str">
        <f aca="false">IF((G147&lt;&gt;0),G147-H147," ")</f>
        <v> </v>
      </c>
    </row>
    <row r="148" customFormat="false" ht="12.75" hidden="false" customHeight="false" outlineLevel="0" collapsed="false">
      <c r="F148" s="184"/>
      <c r="H148" s="153" t="str">
        <f aca="false">IF(H$4="X"," ",IF(G148&lt;&gt;0,G148*H$2/(100+H$2)," "))</f>
        <v> </v>
      </c>
      <c r="I148" s="153" t="str">
        <f aca="false">IF((G148&lt;&gt;0),G148-H148," ")</f>
        <v> </v>
      </c>
    </row>
    <row r="149" customFormat="false" ht="12.75" hidden="false" customHeight="false" outlineLevel="0" collapsed="false">
      <c r="F149" s="184"/>
      <c r="H149" s="153" t="str">
        <f aca="false">IF(H$4="X"," ",IF(G149&lt;&gt;0,G149*H$2/(100+H$2)," "))</f>
        <v> </v>
      </c>
      <c r="I149" s="153" t="str">
        <f aca="false">IF((G149&lt;&gt;0),G149-H149," ")</f>
        <v> </v>
      </c>
    </row>
    <row r="150" customFormat="false" ht="12.75" hidden="false" customHeight="false" outlineLevel="0" collapsed="false">
      <c r="F150" s="184"/>
      <c r="H150" s="153" t="str">
        <f aca="false">IF(H$4="X"," ",IF(G150&lt;&gt;0,G150*H$2/(100+H$2)," "))</f>
        <v> </v>
      </c>
      <c r="I150" s="153" t="str">
        <f aca="false">IF((G150&lt;&gt;0),G150-H150," ")</f>
        <v> </v>
      </c>
    </row>
    <row r="151" customFormat="false" ht="12.75" hidden="false" customHeight="false" outlineLevel="0" collapsed="false">
      <c r="F151" s="184"/>
      <c r="H151" s="153" t="str">
        <f aca="false">IF(H$4="X"," ",IF(G151&lt;&gt;0,G151*H$2/(100+H$2)," "))</f>
        <v> </v>
      </c>
      <c r="I151" s="153" t="str">
        <f aca="false">IF((G151&lt;&gt;0),G151-H151," ")</f>
        <v> </v>
      </c>
    </row>
    <row r="152" customFormat="false" ht="12.75" hidden="false" customHeight="false" outlineLevel="0" collapsed="false">
      <c r="F152" s="184"/>
      <c r="H152" s="153" t="str">
        <f aca="false">IF(H$4="X"," ",IF(G152&lt;&gt;0,G152*H$2/(100+H$2)," "))</f>
        <v> </v>
      </c>
      <c r="I152" s="153" t="str">
        <f aca="false">IF((G152&lt;&gt;0),G152-H152," ")</f>
        <v> </v>
      </c>
    </row>
    <row r="153" customFormat="false" ht="12.75" hidden="false" customHeight="false" outlineLevel="0" collapsed="false">
      <c r="F153" s="184"/>
      <c r="H153" s="153" t="str">
        <f aca="false">IF(H$4="X"," ",IF(G153&lt;&gt;0,G153*H$2/(100+H$2)," "))</f>
        <v> </v>
      </c>
      <c r="I153" s="153" t="str">
        <f aca="false">IF((G153&lt;&gt;0),G153-H153," ")</f>
        <v> </v>
      </c>
    </row>
    <row r="154" customFormat="false" ht="12.75" hidden="false" customHeight="false" outlineLevel="0" collapsed="false">
      <c r="F154" s="184"/>
      <c r="H154" s="153" t="str">
        <f aca="false">IF(H$4="X"," ",IF(G154&lt;&gt;0,G154*H$2/(100+H$2)," "))</f>
        <v> </v>
      </c>
      <c r="I154" s="153" t="str">
        <f aca="false">IF((G154&lt;&gt;0),G154-H154," ")</f>
        <v> </v>
      </c>
    </row>
    <row r="155" customFormat="false" ht="12.75" hidden="false" customHeight="false" outlineLevel="0" collapsed="false">
      <c r="F155" s="184"/>
      <c r="H155" s="153" t="str">
        <f aca="false">IF(H$4="X"," ",IF(G155&lt;&gt;0,G155*H$2/(100+H$2)," "))</f>
        <v> </v>
      </c>
      <c r="I155" s="153" t="str">
        <f aca="false">IF((G155&lt;&gt;0),G155-H155," ")</f>
        <v> </v>
      </c>
    </row>
    <row r="156" customFormat="false" ht="12.75" hidden="false" customHeight="false" outlineLevel="0" collapsed="false">
      <c r="F156" s="184"/>
      <c r="H156" s="153" t="str">
        <f aca="false">IF(H$4="X"," ",IF(G156&lt;&gt;0,G156*H$2/(100+H$2)," "))</f>
        <v> </v>
      </c>
      <c r="I156" s="153" t="str">
        <f aca="false">IF((G156&lt;&gt;0),G156-H156," ")</f>
        <v> </v>
      </c>
    </row>
    <row r="157" customFormat="false" ht="12.75" hidden="false" customHeight="false" outlineLevel="0" collapsed="false">
      <c r="F157" s="184"/>
      <c r="H157" s="153" t="str">
        <f aca="false">IF(H$4="X"," ",IF(G157&lt;&gt;0,G157*H$2/(100+H$2)," "))</f>
        <v> </v>
      </c>
      <c r="I157" s="153" t="str">
        <f aca="false">IF((G157&lt;&gt;0),G157-H157," ")</f>
        <v> </v>
      </c>
    </row>
    <row r="158" customFormat="false" ht="12.75" hidden="false" customHeight="false" outlineLevel="0" collapsed="false">
      <c r="F158" s="184"/>
      <c r="H158" s="153" t="str">
        <f aca="false">IF(H$4="X"," ",IF(G158&lt;&gt;0,G158*H$2/(100+H$2)," "))</f>
        <v> </v>
      </c>
      <c r="I158" s="153" t="str">
        <f aca="false">IF((G158&lt;&gt;0),G158-H158," ")</f>
        <v> </v>
      </c>
    </row>
    <row r="159" customFormat="false" ht="12.75" hidden="false" customHeight="false" outlineLevel="0" collapsed="false">
      <c r="F159" s="184"/>
      <c r="H159" s="153" t="str">
        <f aca="false">IF(H$4="X"," ",IF(G159&lt;&gt;0,G159*H$2/(100+H$2)," "))</f>
        <v> </v>
      </c>
      <c r="I159" s="153" t="str">
        <f aca="false">IF((G159&lt;&gt;0),G159-H159," ")</f>
        <v> </v>
      </c>
    </row>
    <row r="160" customFormat="false" ht="12.75" hidden="false" customHeight="false" outlineLevel="0" collapsed="false">
      <c r="F160" s="184"/>
      <c r="H160" s="153" t="str">
        <f aca="false">IF(H$4="X"," ",IF(G160&lt;&gt;0,G160*H$2/(100+H$2)," "))</f>
        <v> </v>
      </c>
      <c r="I160" s="153" t="str">
        <f aca="false">IF((G160&lt;&gt;0),G160-H160," ")</f>
        <v> </v>
      </c>
    </row>
    <row r="161" customFormat="false" ht="12.75" hidden="false" customHeight="false" outlineLevel="0" collapsed="false">
      <c r="F161" s="184"/>
      <c r="H161" s="153" t="str">
        <f aca="false">IF(H$4="X"," ",IF(G161&lt;&gt;0,G161*H$2/(100+H$2)," "))</f>
        <v> </v>
      </c>
      <c r="I161" s="153" t="str">
        <f aca="false">IF((G161&lt;&gt;0),G161-H161," ")</f>
        <v> </v>
      </c>
    </row>
    <row r="162" customFormat="false" ht="12.75" hidden="false" customHeight="false" outlineLevel="0" collapsed="false">
      <c r="F162" s="184"/>
      <c r="H162" s="153" t="str">
        <f aca="false">IF(H$4="X"," ",IF(G162&lt;&gt;0,G162*H$2/(100+H$2)," "))</f>
        <v> </v>
      </c>
      <c r="I162" s="153" t="str">
        <f aca="false">IF((G162&lt;&gt;0),G162-H162," ")</f>
        <v> </v>
      </c>
    </row>
    <row r="163" customFormat="false" ht="12.75" hidden="false" customHeight="false" outlineLevel="0" collapsed="false">
      <c r="F163" s="184"/>
      <c r="H163" s="153" t="str">
        <f aca="false">IF(H$4="X"," ",IF(G163&lt;&gt;0,G163*H$2/(100+H$2)," "))</f>
        <v> </v>
      </c>
      <c r="I163" s="153" t="str">
        <f aca="false">IF((G163&lt;&gt;0),G163-H163," ")</f>
        <v> </v>
      </c>
    </row>
    <row r="164" customFormat="false" ht="12.75" hidden="false" customHeight="false" outlineLevel="0" collapsed="false">
      <c r="F164" s="184"/>
      <c r="H164" s="153" t="str">
        <f aca="false">IF(H$4="X"," ",IF(G164&lt;&gt;0,G164*H$2/(100+H$2)," "))</f>
        <v> </v>
      </c>
      <c r="I164" s="153" t="str">
        <f aca="false">IF((G164&lt;&gt;0),G164-H164," ")</f>
        <v> </v>
      </c>
    </row>
    <row r="165" customFormat="false" ht="12.75" hidden="false" customHeight="false" outlineLevel="0" collapsed="false">
      <c r="F165" s="184"/>
      <c r="H165" s="153" t="str">
        <f aca="false">IF(H$4="X"," ",IF(G165&lt;&gt;0,G165*H$2/(100+H$2)," "))</f>
        <v> </v>
      </c>
      <c r="I165" s="153" t="str">
        <f aca="false">IF((G165&lt;&gt;0),G165-H165," ")</f>
        <v> </v>
      </c>
    </row>
    <row r="166" customFormat="false" ht="12.75" hidden="false" customHeight="false" outlineLevel="0" collapsed="false">
      <c r="F166" s="184"/>
      <c r="H166" s="153" t="str">
        <f aca="false">IF(H$4="X"," ",IF(G166&lt;&gt;0,G166*H$2/(100+H$2)," "))</f>
        <v> </v>
      </c>
      <c r="I166" s="153" t="str">
        <f aca="false">IF((G166&lt;&gt;0),G166-H166," ")</f>
        <v> </v>
      </c>
    </row>
    <row r="167" customFormat="false" ht="12.75" hidden="false" customHeight="false" outlineLevel="0" collapsed="false">
      <c r="F167" s="184"/>
      <c r="H167" s="153" t="str">
        <f aca="false">IF(H$4="X"," ",IF(G167&lt;&gt;0,G167*H$2/(100+H$2)," "))</f>
        <v> </v>
      </c>
      <c r="I167" s="153" t="str">
        <f aca="false">IF((G167&lt;&gt;0),G167-H167," ")</f>
        <v> </v>
      </c>
    </row>
    <row r="168" customFormat="false" ht="12.75" hidden="false" customHeight="false" outlineLevel="0" collapsed="false">
      <c r="F168" s="184"/>
      <c r="H168" s="153" t="str">
        <f aca="false">IF(H$4="X"," ",IF(G168&lt;&gt;0,G168*H$2/(100+H$2)," "))</f>
        <v> </v>
      </c>
      <c r="I168" s="153" t="str">
        <f aca="false">IF((G168&lt;&gt;0),G168-H168," ")</f>
        <v> </v>
      </c>
    </row>
    <row r="169" customFormat="false" ht="12.75" hidden="false" customHeight="false" outlineLevel="0" collapsed="false">
      <c r="F169" s="184"/>
      <c r="H169" s="153" t="str">
        <f aca="false">IF(H$4="X"," ",IF(G169&lt;&gt;0,G169*H$2/(100+H$2)," "))</f>
        <v> </v>
      </c>
      <c r="I169" s="153" t="str">
        <f aca="false">IF((G169&lt;&gt;0),G169-H169," ")</f>
        <v> </v>
      </c>
    </row>
    <row r="170" customFormat="false" ht="12.75" hidden="false" customHeight="false" outlineLevel="0" collapsed="false">
      <c r="F170" s="184"/>
      <c r="H170" s="153" t="str">
        <f aca="false">IF(H$4="X"," ",IF(G170&lt;&gt;0,G170*H$2/(100+H$2)," "))</f>
        <v> </v>
      </c>
      <c r="I170" s="153" t="str">
        <f aca="false">IF((G170&lt;&gt;0),G170-H170," ")</f>
        <v> </v>
      </c>
    </row>
    <row r="171" customFormat="false" ht="12.75" hidden="false" customHeight="false" outlineLevel="0" collapsed="false">
      <c r="F171" s="184"/>
      <c r="H171" s="153" t="str">
        <f aca="false">IF(H$4="X"," ",IF(G171&lt;&gt;0,G171*H$2/(100+H$2)," "))</f>
        <v> </v>
      </c>
      <c r="I171" s="153" t="str">
        <f aca="false">IF((G171&lt;&gt;0),G171-H171," ")</f>
        <v> </v>
      </c>
    </row>
    <row r="172" customFormat="false" ht="12.75" hidden="false" customHeight="false" outlineLevel="0" collapsed="false">
      <c r="F172" s="184"/>
      <c r="H172" s="153" t="str">
        <f aca="false">IF(H$4="X"," ",IF(G172&lt;&gt;0,G172*H$2/(100+H$2)," "))</f>
        <v> </v>
      </c>
      <c r="I172" s="153" t="str">
        <f aca="false">IF((G172&lt;&gt;0),G172-H172," ")</f>
        <v> </v>
      </c>
    </row>
    <row r="173" customFormat="false" ht="12.75" hidden="false" customHeight="false" outlineLevel="0" collapsed="false">
      <c r="F173" s="184"/>
      <c r="H173" s="153" t="str">
        <f aca="false">IF(H$4="X"," ",IF(G173&lt;&gt;0,G173*H$2/(100+H$2)," "))</f>
        <v> </v>
      </c>
      <c r="I173" s="153" t="str">
        <f aca="false">IF((G173&lt;&gt;0),G173-H173," ")</f>
        <v> </v>
      </c>
    </row>
    <row r="174" customFormat="false" ht="12.75" hidden="false" customHeight="false" outlineLevel="0" collapsed="false">
      <c r="F174" s="184"/>
      <c r="H174" s="153" t="str">
        <f aca="false">IF(H$4="X"," ",IF(G174&lt;&gt;0,G174*H$2/(100+H$2)," "))</f>
        <v> </v>
      </c>
      <c r="I174" s="153" t="str">
        <f aca="false">IF((G174&lt;&gt;0),G174-H174," ")</f>
        <v> </v>
      </c>
    </row>
    <row r="175" customFormat="false" ht="12.75" hidden="false" customHeight="false" outlineLevel="0" collapsed="false">
      <c r="F175" s="184"/>
      <c r="H175" s="153" t="str">
        <f aca="false">IF(H$4="X"," ",IF(G175&lt;&gt;0,G175*H$2/(100+H$2)," "))</f>
        <v> </v>
      </c>
      <c r="I175" s="153" t="str">
        <f aca="false">IF((G175&lt;&gt;0),G175-H175," ")</f>
        <v> </v>
      </c>
    </row>
    <row r="176" customFormat="false" ht="12.75" hidden="false" customHeight="false" outlineLevel="0" collapsed="false">
      <c r="F176" s="184"/>
      <c r="H176" s="153" t="str">
        <f aca="false">IF(H$4="X"," ",IF(G176&lt;&gt;0,G176*H$2/(100+H$2)," "))</f>
        <v> </v>
      </c>
      <c r="I176" s="153" t="str">
        <f aca="false">IF((G176&lt;&gt;0),G176-H176," ")</f>
        <v> </v>
      </c>
    </row>
    <row r="177" customFormat="false" ht="12.75" hidden="false" customHeight="false" outlineLevel="0" collapsed="false">
      <c r="F177" s="184"/>
      <c r="H177" s="153" t="str">
        <f aca="false">IF(H$4="X"," ",IF(G177&lt;&gt;0,G177*H$2/(100+H$2)," "))</f>
        <v> </v>
      </c>
      <c r="I177" s="153" t="str">
        <f aca="false">IF((G177&lt;&gt;0),G177-H177," ")</f>
        <v> </v>
      </c>
    </row>
    <row r="178" customFormat="false" ht="12.75" hidden="false" customHeight="false" outlineLevel="0" collapsed="false">
      <c r="F178" s="184"/>
      <c r="H178" s="153" t="str">
        <f aca="false">IF(H$4="X"," ",IF(G178&lt;&gt;0,G178*H$2/(100+H$2)," "))</f>
        <v> </v>
      </c>
      <c r="I178" s="153" t="str">
        <f aca="false">IF((G178&lt;&gt;0),G178-H178," ")</f>
        <v> </v>
      </c>
    </row>
    <row r="179" customFormat="false" ht="12.75" hidden="false" customHeight="false" outlineLevel="0" collapsed="false">
      <c r="F179" s="184"/>
      <c r="H179" s="153" t="str">
        <f aca="false">IF(H$4="X"," ",IF(G179&lt;&gt;0,G179*H$2/(100+H$2)," "))</f>
        <v> </v>
      </c>
      <c r="I179" s="153" t="str">
        <f aca="false">IF((G179&lt;&gt;0),G179-H179," ")</f>
        <v> </v>
      </c>
    </row>
    <row r="180" customFormat="false" ht="12.75" hidden="false" customHeight="false" outlineLevel="0" collapsed="false">
      <c r="F180" s="184"/>
      <c r="H180" s="153" t="str">
        <f aca="false">IF(H$4="X"," ",IF(G180&lt;&gt;0,G180*H$2/(100+H$2)," "))</f>
        <v> </v>
      </c>
      <c r="I180" s="153" t="str">
        <f aca="false">IF((G180&lt;&gt;0),G180-H180," ")</f>
        <v> </v>
      </c>
    </row>
    <row r="181" customFormat="false" ht="12.75" hidden="false" customHeight="false" outlineLevel="0" collapsed="false">
      <c r="F181" s="184"/>
      <c r="H181" s="153" t="str">
        <f aca="false">IF(H$4="X"," ",IF(G181&lt;&gt;0,G181*H$2/(100+H$2)," "))</f>
        <v> </v>
      </c>
      <c r="I181" s="153" t="str">
        <f aca="false">IF((G181&lt;&gt;0),G181-H181," ")</f>
        <v> </v>
      </c>
    </row>
    <row r="182" customFormat="false" ht="12.75" hidden="false" customHeight="false" outlineLevel="0" collapsed="false">
      <c r="F182" s="184"/>
      <c r="H182" s="153" t="str">
        <f aca="false">IF(H$4="X"," ",IF(G182&lt;&gt;0,G182*H$2/(100+H$2)," "))</f>
        <v> </v>
      </c>
      <c r="I182" s="153" t="str">
        <f aca="false">IF((G182&lt;&gt;0),G182-H182," ")</f>
        <v> </v>
      </c>
    </row>
    <row r="183" customFormat="false" ht="12.75" hidden="false" customHeight="false" outlineLevel="0" collapsed="false">
      <c r="F183" s="184"/>
      <c r="H183" s="153" t="str">
        <f aca="false">IF(H$4="X"," ",IF(G183&lt;&gt;0,G183*H$2/(100+H$2)," "))</f>
        <v> </v>
      </c>
      <c r="I183" s="153" t="str">
        <f aca="false">IF((G183&lt;&gt;0),G183-H183," ")</f>
        <v> </v>
      </c>
    </row>
    <row r="184" customFormat="false" ht="12.75" hidden="false" customHeight="false" outlineLevel="0" collapsed="false">
      <c r="F184" s="184"/>
      <c r="H184" s="153" t="str">
        <f aca="false">IF(H$4="X"," ",IF(G184&lt;&gt;0,G184*H$2/(100+H$2)," "))</f>
        <v> </v>
      </c>
      <c r="I184" s="153" t="str">
        <f aca="false">IF((G184&lt;&gt;0),G184-H184," ")</f>
        <v> </v>
      </c>
    </row>
    <row r="185" customFormat="false" ht="12.75" hidden="false" customHeight="false" outlineLevel="0" collapsed="false">
      <c r="F185" s="184"/>
      <c r="H185" s="153" t="str">
        <f aca="false">IF(H$4="X"," ",IF(G185&lt;&gt;0,G185*H$2/(100+H$2)," "))</f>
        <v> </v>
      </c>
      <c r="I185" s="153" t="str">
        <f aca="false">IF((G185&lt;&gt;0),G185-H185," ")</f>
        <v> </v>
      </c>
    </row>
    <row r="186" customFormat="false" ht="12.75" hidden="false" customHeight="false" outlineLevel="0" collapsed="false">
      <c r="F186" s="184"/>
      <c r="H186" s="153" t="str">
        <f aca="false">IF(H$4="X"," ",IF(G186&lt;&gt;0,G186*H$2/(100+H$2)," "))</f>
        <v> </v>
      </c>
      <c r="I186" s="153" t="str">
        <f aca="false">IF((G186&lt;&gt;0),G186-H186," ")</f>
        <v> </v>
      </c>
    </row>
    <row r="187" customFormat="false" ht="12.75" hidden="false" customHeight="false" outlineLevel="0" collapsed="false">
      <c r="F187" s="184"/>
      <c r="H187" s="153" t="str">
        <f aca="false">IF(H$4="X"," ",IF(G187&lt;&gt;0,G187*H$2/(100+H$2)," "))</f>
        <v> </v>
      </c>
      <c r="I187" s="153" t="str">
        <f aca="false">IF((G187&lt;&gt;0),G187-H187," ")</f>
        <v> </v>
      </c>
    </row>
    <row r="188" customFormat="false" ht="12.75" hidden="false" customHeight="false" outlineLevel="0" collapsed="false">
      <c r="F188" s="184"/>
      <c r="H188" s="153" t="str">
        <f aca="false">IF(H$4="X"," ",IF(G188&lt;&gt;0,G188*H$2/(100+H$2)," "))</f>
        <v> </v>
      </c>
      <c r="I188" s="153" t="str">
        <f aca="false">IF((G188&lt;&gt;0),G188-H188," ")</f>
        <v> </v>
      </c>
    </row>
    <row r="189" customFormat="false" ht="12.75" hidden="false" customHeight="false" outlineLevel="0" collapsed="false">
      <c r="F189" s="184"/>
      <c r="H189" s="153" t="str">
        <f aca="false">IF(H$4="X"," ",IF(G189&lt;&gt;0,G189*H$2/(100+H$2)," "))</f>
        <v> </v>
      </c>
      <c r="I189" s="153" t="str">
        <f aca="false">IF((G189&lt;&gt;0),G189-H189," ")</f>
        <v> </v>
      </c>
    </row>
    <row r="190" customFormat="false" ht="12.75" hidden="false" customHeight="false" outlineLevel="0" collapsed="false">
      <c r="F190" s="184"/>
      <c r="H190" s="153" t="str">
        <f aca="false">IF(H$4="X"," ",IF(G190&lt;&gt;0,G190*H$2/(100+H$2)," "))</f>
        <v> </v>
      </c>
      <c r="I190" s="153" t="str">
        <f aca="false">IF((G190&lt;&gt;0),G190-H190," ")</f>
        <v> </v>
      </c>
    </row>
    <row r="191" customFormat="false" ht="12.75" hidden="false" customHeight="false" outlineLevel="0" collapsed="false">
      <c r="F191" s="184"/>
      <c r="H191" s="153" t="str">
        <f aca="false">IF(H$4="X"," ",IF(G191&lt;&gt;0,G191*H$2/(100+H$2)," "))</f>
        <v> </v>
      </c>
      <c r="I191" s="153" t="str">
        <f aca="false">IF((G191&lt;&gt;0),G191-H191," ")</f>
        <v> </v>
      </c>
    </row>
    <row r="192" customFormat="false" ht="12.75" hidden="false" customHeight="false" outlineLevel="0" collapsed="false">
      <c r="F192" s="184"/>
      <c r="H192" s="153" t="str">
        <f aca="false">IF(H$4="X"," ",IF(G192&lt;&gt;0,G192*H$2/(100+H$2)," "))</f>
        <v> </v>
      </c>
      <c r="I192" s="153" t="str">
        <f aca="false">IF((G192&lt;&gt;0),G192-H192," ")</f>
        <v> </v>
      </c>
    </row>
    <row r="193" customFormat="false" ht="12.75" hidden="false" customHeight="false" outlineLevel="0" collapsed="false">
      <c r="F193" s="184"/>
      <c r="H193" s="153" t="str">
        <f aca="false">IF(H$4="X"," ",IF(G193&lt;&gt;0,G193*H$2/(100+H$2)," "))</f>
        <v> </v>
      </c>
      <c r="I193" s="153" t="str">
        <f aca="false">IF((G193&lt;&gt;0),G193-H193," ")</f>
        <v> </v>
      </c>
    </row>
    <row r="194" customFormat="false" ht="12.75" hidden="false" customHeight="false" outlineLevel="0" collapsed="false">
      <c r="F194" s="184"/>
      <c r="H194" s="153" t="str">
        <f aca="false">IF(H$4="X"," ",IF(G194&lt;&gt;0,G194*H$2/(100+H$2)," "))</f>
        <v> </v>
      </c>
      <c r="I194" s="153" t="str">
        <f aca="false">IF((G194&lt;&gt;0),G194-H194," ")</f>
        <v> </v>
      </c>
    </row>
    <row r="195" customFormat="false" ht="12.75" hidden="false" customHeight="false" outlineLevel="0" collapsed="false">
      <c r="F195" s="184"/>
      <c r="H195" s="153" t="str">
        <f aca="false">IF(H$4="X"," ",IF(G195&lt;&gt;0,G195*H$2/(100+H$2)," "))</f>
        <v> </v>
      </c>
      <c r="I195" s="153" t="str">
        <f aca="false">IF((G195&lt;&gt;0),G195-H195," ")</f>
        <v> </v>
      </c>
    </row>
    <row r="196" customFormat="false" ht="12.75" hidden="false" customHeight="false" outlineLevel="0" collapsed="false">
      <c r="F196" s="184"/>
      <c r="H196" s="153" t="str">
        <f aca="false">IF(H$4="X"," ",IF(G196&lt;&gt;0,G196*H$2/(100+H$2)," "))</f>
        <v> </v>
      </c>
      <c r="I196" s="153" t="str">
        <f aca="false">IF((G196&lt;&gt;0),G196-H196," ")</f>
        <v> </v>
      </c>
    </row>
    <row r="197" customFormat="false" ht="12.75" hidden="false" customHeight="false" outlineLevel="0" collapsed="false">
      <c r="F197" s="184"/>
      <c r="H197" s="153" t="str">
        <f aca="false">IF(H$4="X"," ",IF(G197&lt;&gt;0,G197*H$2/(100+H$2)," "))</f>
        <v> </v>
      </c>
      <c r="I197" s="153" t="str">
        <f aca="false">IF((G197&lt;&gt;0),G197-H197," ")</f>
        <v> </v>
      </c>
    </row>
    <row r="198" customFormat="false" ht="12.75" hidden="false" customHeight="false" outlineLevel="0" collapsed="false">
      <c r="F198" s="184"/>
      <c r="H198" s="153" t="str">
        <f aca="false">IF(H$4="X"," ",IF(G198&lt;&gt;0,G198*H$2/(100+H$2)," "))</f>
        <v> </v>
      </c>
      <c r="I198" s="153" t="str">
        <f aca="false">IF((G198&lt;&gt;0),G198-H198," ")</f>
        <v> </v>
      </c>
    </row>
    <row r="199" customFormat="false" ht="12.75" hidden="false" customHeight="false" outlineLevel="0" collapsed="false">
      <c r="F199" s="184"/>
      <c r="H199" s="153" t="str">
        <f aca="false">IF(H$4="X"," ",IF(G199&lt;&gt;0,G199*H$2/(100+H$2)," "))</f>
        <v> </v>
      </c>
      <c r="I199" s="153" t="str">
        <f aca="false">IF((G199&lt;&gt;0),G199-H199," ")</f>
        <v> </v>
      </c>
    </row>
    <row r="200" customFormat="false" ht="12.75" hidden="false" customHeight="false" outlineLevel="0" collapsed="false">
      <c r="A200" s="232"/>
      <c r="B200" s="221"/>
      <c r="C200" s="225"/>
      <c r="D200" s="213"/>
      <c r="E200" s="261"/>
      <c r="F200" s="221"/>
      <c r="G200" s="211"/>
      <c r="H200" s="211" t="str">
        <f aca="false">IF(H$4="X"," ",IF(G200&lt;&gt;0,G200*H$2/(100+H$2)," "))</f>
        <v> </v>
      </c>
      <c r="I200" s="211" t="str">
        <f aca="false">IF((G200&lt;&gt;0),G200-H200," ")</f>
        <v> </v>
      </c>
    </row>
    <row r="201" customFormat="false" ht="12.75" hidden="false" customHeight="false" outlineLevel="0" collapsed="false">
      <c r="A201" s="285" t="s">
        <v>544</v>
      </c>
      <c r="H201" s="153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68" width="8.82"/>
    <col collapsed="false" customWidth="true" hidden="false" outlineLevel="0" max="2" min="2" style="184" width="19.66"/>
    <col collapsed="false" customWidth="true" hidden="false" outlineLevel="0" max="3" min="3" style="155" width="12.66"/>
    <col collapsed="false" customWidth="true" hidden="false" outlineLevel="0" max="4" min="4" style="187" width="5.82"/>
    <col collapsed="false" customWidth="true" hidden="false" outlineLevel="0" max="5" min="5" style="192" width="14.66"/>
    <col collapsed="false" customWidth="true" hidden="false" outlineLevel="0" max="6" min="6" style="156" width="5.66"/>
    <col collapsed="false" customWidth="true" hidden="false" outlineLevel="0" max="7" min="7" style="153" width="10.5"/>
    <col collapsed="false" customWidth="true" hidden="false" outlineLevel="0" max="8" min="8" style="153" width="9.66"/>
    <col collapsed="false" customWidth="true" hidden="false" outlineLevel="0" max="9" min="9" style="153" width="10.66"/>
    <col collapsed="false" customWidth="false" hidden="false" outlineLevel="0" max="257" min="10" style="184" width="9.15"/>
  </cols>
  <sheetData>
    <row r="1" s="171" customFormat="true" ht="30" hidden="false" customHeight="true" outlineLevel="0" collapsed="false">
      <c r="A1" s="398" t="s">
        <v>536</v>
      </c>
      <c r="B1" s="398"/>
      <c r="C1" s="347" t="s">
        <v>545</v>
      </c>
      <c r="D1" s="364"/>
      <c r="E1" s="181" t="s">
        <v>537</v>
      </c>
      <c r="F1" s="403"/>
      <c r="G1" s="181" t="n">
        <f aca="false">SUM(G5:G200)</f>
        <v>0</v>
      </c>
      <c r="H1" s="181" t="n">
        <f aca="false">SUM(H5:H200)</f>
        <v>0</v>
      </c>
      <c r="I1" s="181" t="n">
        <f aca="false">SUM(I5:I200)</f>
        <v>0</v>
      </c>
    </row>
    <row r="2" s="212" customFormat="true" ht="12" hidden="false" customHeight="true" outlineLevel="0" collapsed="false">
      <c r="A2" s="404" t="s">
        <v>546</v>
      </c>
      <c r="B2" s="405" t="str">
        <f aca="false">IF((I1-SUM(P1:AL1)&lt;&gt;0),"COMPLETE EXPENSE ANALYSIS by inserting expense letter in col F","Supplier")</f>
        <v>Supplier</v>
      </c>
      <c r="C2" s="347"/>
      <c r="D2" s="364"/>
      <c r="E2" s="406" t="s">
        <v>547</v>
      </c>
      <c r="F2" s="403"/>
      <c r="G2" s="407" t="s">
        <v>548</v>
      </c>
      <c r="H2" s="257" t="n">
        <f aca="false">[2]ClosingCreditors!$H$2</f>
        <v>0</v>
      </c>
      <c r="I2" s="407" t="s">
        <v>549</v>
      </c>
    </row>
    <row r="3" s="238" customFormat="true" ht="12" hidden="false" customHeight="true" outlineLevel="0" collapsed="false">
      <c r="A3" s="404"/>
      <c r="B3" s="404"/>
      <c r="C3" s="347"/>
      <c r="D3" s="364"/>
      <c r="E3" s="364"/>
      <c r="F3" s="364"/>
      <c r="G3" s="407"/>
      <c r="H3" s="407" t="s">
        <v>550</v>
      </c>
      <c r="I3" s="407"/>
    </row>
    <row r="4" customFormat="false" ht="12.75" hidden="false" customHeight="false" outlineLevel="0" collapsed="false">
      <c r="A4" s="404"/>
      <c r="B4" s="404"/>
      <c r="C4" s="347"/>
      <c r="D4" s="364"/>
      <c r="E4" s="364"/>
      <c r="F4" s="364"/>
      <c r="G4" s="407"/>
      <c r="H4" s="407"/>
      <c r="I4" s="407"/>
    </row>
    <row r="5" customFormat="false" ht="12.75" hidden="false" customHeight="false" outlineLevel="0" collapsed="false">
      <c r="B5" s="156"/>
      <c r="C5" s="187"/>
      <c r="E5" s="156"/>
      <c r="F5" s="184"/>
      <c r="G5" s="237"/>
      <c r="H5" s="153" t="str">
        <f aca="false">IF(G5&lt;&gt;0,G5*H$2/(100+H$2)," ")</f>
        <v> </v>
      </c>
      <c r="I5" s="153" t="str">
        <f aca="false">IF((G5&lt;&gt;0),G5-H5," ")</f>
        <v> </v>
      </c>
    </row>
    <row r="6" customFormat="false" ht="12.75" hidden="false" customHeight="false" outlineLevel="0" collapsed="false">
      <c r="F6" s="184"/>
      <c r="H6" s="153" t="str">
        <f aca="false">IF(G6&lt;&gt;0,G6*H$2/(100+H$2)," ")</f>
        <v> </v>
      </c>
      <c r="I6" s="153" t="str">
        <f aca="false">IF((G6&lt;&gt;0),G6-H6," ")</f>
        <v> </v>
      </c>
    </row>
    <row r="7" customFormat="false" ht="12.75" hidden="false" customHeight="false" outlineLevel="0" collapsed="false">
      <c r="F7" s="184"/>
      <c r="H7" s="153" t="str">
        <f aca="false">IF(G7&lt;&gt;0,G7*H$2/(100+H$2)," ")</f>
        <v> </v>
      </c>
      <c r="I7" s="153" t="str">
        <f aca="false">IF((G7&lt;&gt;0),G7-H7," ")</f>
        <v> </v>
      </c>
    </row>
    <row r="8" customFormat="false" ht="12.75" hidden="false" customHeight="false" outlineLevel="0" collapsed="false">
      <c r="F8" s="184"/>
      <c r="H8" s="153" t="str">
        <f aca="false">IF(G8&lt;&gt;0,G8*H$2/(100+H$2)," ")</f>
        <v> </v>
      </c>
      <c r="I8" s="153" t="str">
        <f aca="false">IF((G8&lt;&gt;0),G8-H8," ")</f>
        <v> </v>
      </c>
    </row>
    <row r="9" customFormat="false" ht="12.75" hidden="false" customHeight="false" outlineLevel="0" collapsed="false">
      <c r="F9" s="184"/>
      <c r="H9" s="153" t="str">
        <f aca="false">IF(G9&lt;&gt;0,G9*H$2/(100+H$2)," ")</f>
        <v> </v>
      </c>
      <c r="I9" s="153" t="str">
        <f aca="false">IF((G9&lt;&gt;0),G9-H9," ")</f>
        <v> </v>
      </c>
    </row>
    <row r="10" customFormat="false" ht="12.75" hidden="false" customHeight="false" outlineLevel="0" collapsed="false">
      <c r="F10" s="184"/>
      <c r="H10" s="153" t="str">
        <f aca="false">IF(G10&lt;&gt;0,G10*H$2/(100+H$2)," ")</f>
        <v> </v>
      </c>
      <c r="I10" s="153" t="str">
        <f aca="false">IF((G10&lt;&gt;0),G10-H10," ")</f>
        <v> </v>
      </c>
    </row>
    <row r="11" customFormat="false" ht="12.75" hidden="false" customHeight="false" outlineLevel="0" collapsed="false">
      <c r="F11" s="184"/>
      <c r="H11" s="153" t="str">
        <f aca="false">IF(G11&lt;&gt;0,G11*H$2/(100+H$2)," ")</f>
        <v> </v>
      </c>
      <c r="I11" s="153" t="str">
        <f aca="false">IF((G11&lt;&gt;0),G11-H11," ")</f>
        <v> </v>
      </c>
    </row>
    <row r="12" customFormat="false" ht="12.75" hidden="false" customHeight="false" outlineLevel="0" collapsed="false">
      <c r="F12" s="184"/>
      <c r="H12" s="153" t="str">
        <f aca="false">IF(G12&lt;&gt;0,G12*H$2/(100+H$2)," ")</f>
        <v> </v>
      </c>
      <c r="I12" s="153" t="str">
        <f aca="false">IF((G12&lt;&gt;0),G12-H12," ")</f>
        <v> </v>
      </c>
    </row>
    <row r="13" customFormat="false" ht="12.75" hidden="false" customHeight="false" outlineLevel="0" collapsed="false">
      <c r="F13" s="184"/>
      <c r="H13" s="153" t="str">
        <f aca="false">IF(G13&lt;&gt;0,G13*H$2/(100+H$2)," ")</f>
        <v> </v>
      </c>
      <c r="I13" s="153" t="str">
        <f aca="false">IF((G13&lt;&gt;0),G13-H13," ")</f>
        <v> </v>
      </c>
    </row>
    <row r="14" customFormat="false" ht="12.75" hidden="false" customHeight="false" outlineLevel="0" collapsed="false">
      <c r="F14" s="184"/>
      <c r="H14" s="153" t="str">
        <f aca="false">IF(G14&lt;&gt;0,G14*H$2/(100+H$2)," ")</f>
        <v> </v>
      </c>
      <c r="I14" s="153" t="str">
        <f aca="false">IF((G14&lt;&gt;0),G14-H14," ")</f>
        <v> </v>
      </c>
    </row>
    <row r="15" customFormat="false" ht="12.75" hidden="false" customHeight="false" outlineLevel="0" collapsed="false">
      <c r="F15" s="184"/>
      <c r="H15" s="153" t="str">
        <f aca="false">IF(H$4="X"," ",IF(G15&lt;&gt;0,G15*H$2/(100+H$2)," "))</f>
        <v> </v>
      </c>
      <c r="I15" s="153" t="str">
        <f aca="false">IF((G15&lt;&gt;0),G15-H15," ")</f>
        <v> </v>
      </c>
    </row>
    <row r="16" customFormat="false" ht="12.75" hidden="false" customHeight="false" outlineLevel="0" collapsed="false">
      <c r="F16" s="184"/>
      <c r="H16" s="153" t="str">
        <f aca="false">IF(H$4="X"," ",IF(G16&lt;&gt;0,G16*H$2/(100+H$2)," "))</f>
        <v> </v>
      </c>
      <c r="I16" s="153" t="str">
        <f aca="false">IF((G16&lt;&gt;0),G16-H16," ")</f>
        <v> </v>
      </c>
    </row>
    <row r="17" customFormat="false" ht="12.75" hidden="false" customHeight="false" outlineLevel="0" collapsed="false">
      <c r="F17" s="184"/>
      <c r="H17" s="153" t="str">
        <f aca="false">IF(H$4="X"," ",IF(G17&lt;&gt;0,G17*H$2/(100+H$2)," "))</f>
        <v> </v>
      </c>
      <c r="I17" s="153" t="str">
        <f aca="false">IF((G17&lt;&gt;0),G17-H17," ")</f>
        <v> </v>
      </c>
    </row>
    <row r="18" customFormat="false" ht="12.75" hidden="false" customHeight="false" outlineLevel="0" collapsed="false">
      <c r="F18" s="184"/>
      <c r="H18" s="153" t="str">
        <f aca="false">IF(H$4="X"," ",IF(G18&lt;&gt;0,G18*H$2/(100+H$2)," "))</f>
        <v> </v>
      </c>
      <c r="I18" s="153" t="str">
        <f aca="false">IF((G18&lt;&gt;0),G18-H18," ")</f>
        <v> </v>
      </c>
    </row>
    <row r="19" customFormat="false" ht="12.75" hidden="false" customHeight="false" outlineLevel="0" collapsed="false">
      <c r="F19" s="184"/>
      <c r="H19" s="153" t="str">
        <f aca="false">IF(H$4="X"," ",IF(G19&lt;&gt;0,G19*H$2/(100+H$2)," "))</f>
        <v> </v>
      </c>
      <c r="I19" s="153" t="str">
        <f aca="false">IF((G19&lt;&gt;0),G19-H19," ")</f>
        <v> </v>
      </c>
    </row>
    <row r="20" customFormat="false" ht="12.75" hidden="false" customHeight="false" outlineLevel="0" collapsed="false">
      <c r="F20" s="184"/>
      <c r="H20" s="153" t="str">
        <f aca="false">IF(H$4="X"," ",IF(G20&lt;&gt;0,G20*H$2/(100+H$2)," "))</f>
        <v> </v>
      </c>
      <c r="I20" s="153" t="str">
        <f aca="false">IF((G20&lt;&gt;0),G20-H20," ")</f>
        <v> </v>
      </c>
    </row>
    <row r="21" customFormat="false" ht="12.75" hidden="false" customHeight="false" outlineLevel="0" collapsed="false">
      <c r="F21" s="184"/>
      <c r="H21" s="153" t="str">
        <f aca="false">IF(H$4="X"," ",IF(G21&lt;&gt;0,G21*H$2/(100+H$2)," "))</f>
        <v> </v>
      </c>
      <c r="I21" s="153" t="str">
        <f aca="false">IF((G21&lt;&gt;0),G21-H21," ")</f>
        <v> </v>
      </c>
    </row>
    <row r="22" customFormat="false" ht="12.75" hidden="false" customHeight="false" outlineLevel="0" collapsed="false">
      <c r="E22" s="184"/>
      <c r="F22" s="184"/>
      <c r="H22" s="153" t="str">
        <f aca="false">IF(H$4="X"," ",IF(G22&lt;&gt;0,G22*H$2/(100+H$2)," "))</f>
        <v> </v>
      </c>
      <c r="I22" s="153" t="str">
        <f aca="false">IF((G22&lt;&gt;0),G22-H22," ")</f>
        <v> </v>
      </c>
    </row>
    <row r="23" customFormat="false" ht="12.75" hidden="false" customHeight="false" outlineLevel="0" collapsed="false">
      <c r="E23" s="240"/>
      <c r="F23" s="184"/>
      <c r="H23" s="153" t="str">
        <f aca="false">IF(H$4="X"," ",IF(G23&lt;&gt;0,G23*H$2/(100+H$2)," "))</f>
        <v> </v>
      </c>
      <c r="I23" s="153" t="str">
        <f aca="false">IF((G23&lt;&gt;0),G23-H23," ")</f>
        <v> </v>
      </c>
    </row>
    <row r="24" customFormat="false" ht="12.75" hidden="false" customHeight="false" outlineLevel="0" collapsed="false">
      <c r="F24" s="184"/>
      <c r="H24" s="153" t="str">
        <f aca="false">IF(H$4="X"," ",IF(G24&lt;&gt;0,G24*H$2/(100+H$2)," "))</f>
        <v> </v>
      </c>
      <c r="I24" s="153" t="str">
        <f aca="false">IF((G24&lt;&gt;0),G24-H24," ")</f>
        <v> </v>
      </c>
    </row>
    <row r="25" customFormat="false" ht="12.75" hidden="false" customHeight="false" outlineLevel="0" collapsed="false">
      <c r="F25" s="184"/>
      <c r="H25" s="153" t="str">
        <f aca="false">IF(H$4="X"," ",IF(G25&lt;&gt;0,G25*H$2/(100+H$2)," "))</f>
        <v> </v>
      </c>
      <c r="I25" s="153" t="str">
        <f aca="false">IF((G25&lt;&gt;0),G25-H25," ")</f>
        <v> </v>
      </c>
    </row>
    <row r="26" customFormat="false" ht="12.75" hidden="false" customHeight="false" outlineLevel="0" collapsed="false">
      <c r="F26" s="184"/>
      <c r="H26" s="153" t="str">
        <f aca="false">IF(H$4="X"," ",IF(G26&lt;&gt;0,G26*H$2/(100+H$2)," "))</f>
        <v> </v>
      </c>
      <c r="I26" s="153" t="str">
        <f aca="false">IF((G26&lt;&gt;0),G26-H26," ")</f>
        <v> </v>
      </c>
    </row>
    <row r="27" customFormat="false" ht="12.75" hidden="false" customHeight="false" outlineLevel="0" collapsed="false">
      <c r="F27" s="184"/>
      <c r="H27" s="153" t="str">
        <f aca="false">IF(H$4="X"," ",IF(G27&lt;&gt;0,G27*H$2/(100+H$2)," "))</f>
        <v> </v>
      </c>
      <c r="I27" s="153" t="str">
        <f aca="false">IF((G27&lt;&gt;0),G27-H27," ")</f>
        <v> </v>
      </c>
    </row>
    <row r="28" customFormat="false" ht="12.75" hidden="false" customHeight="false" outlineLevel="0" collapsed="false">
      <c r="F28" s="184"/>
      <c r="H28" s="153" t="str">
        <f aca="false">IF(H$4="X"," ",IF(G28&lt;&gt;0,G28*H$2/(100+H$2)," "))</f>
        <v> </v>
      </c>
      <c r="I28" s="153" t="str">
        <f aca="false">IF((G28&lt;&gt;0),G28-H28," ")</f>
        <v> </v>
      </c>
    </row>
    <row r="29" customFormat="false" ht="12.75" hidden="false" customHeight="false" outlineLevel="0" collapsed="false">
      <c r="F29" s="184"/>
      <c r="H29" s="153" t="str">
        <f aca="false">IF(H$4="X"," ",IF(G29&lt;&gt;0,G29*H$2/(100+H$2)," "))</f>
        <v> </v>
      </c>
      <c r="I29" s="153" t="str">
        <f aca="false">IF((G29&lt;&gt;0),G29-H29," ")</f>
        <v> </v>
      </c>
    </row>
    <row r="30" customFormat="false" ht="12.75" hidden="false" customHeight="false" outlineLevel="0" collapsed="false">
      <c r="F30" s="184"/>
      <c r="H30" s="153" t="str">
        <f aca="false">IF(H$4="X"," ",IF(G30&lt;&gt;0,G30*H$2/(100+H$2)," "))</f>
        <v> </v>
      </c>
      <c r="I30" s="153" t="str">
        <f aca="false">IF((G30&lt;&gt;0),G30-H30," ")</f>
        <v> </v>
      </c>
    </row>
    <row r="31" customFormat="false" ht="12.75" hidden="false" customHeight="false" outlineLevel="0" collapsed="false">
      <c r="F31" s="184"/>
      <c r="H31" s="153" t="str">
        <f aca="false">IF(H$4="X"," ",IF(G31&lt;&gt;0,G31*H$2/(100+H$2)," "))</f>
        <v> </v>
      </c>
      <c r="I31" s="153" t="str">
        <f aca="false">IF((G31&lt;&gt;0),G31-H31," ")</f>
        <v> </v>
      </c>
    </row>
    <row r="32" customFormat="false" ht="12.75" hidden="false" customHeight="false" outlineLevel="0" collapsed="false">
      <c r="F32" s="184"/>
      <c r="H32" s="153" t="str">
        <f aca="false">IF(H$4="X"," ",IF(G32&lt;&gt;0,G32*H$2/(100+H$2)," "))</f>
        <v> </v>
      </c>
      <c r="I32" s="153" t="str">
        <f aca="false">IF((G32&lt;&gt;0),G32-H32," ")</f>
        <v> </v>
      </c>
    </row>
    <row r="33" customFormat="false" ht="12.75" hidden="false" customHeight="false" outlineLevel="0" collapsed="false">
      <c r="F33" s="184"/>
      <c r="H33" s="153" t="str">
        <f aca="false">IF(H$4="X"," ",IF(G33&lt;&gt;0,G33*H$2/(100+H$2)," "))</f>
        <v> </v>
      </c>
      <c r="I33" s="153" t="str">
        <f aca="false">IF((G33&lt;&gt;0),G33-H33," ")</f>
        <v> </v>
      </c>
    </row>
    <row r="34" customFormat="false" ht="12.75" hidden="false" customHeight="false" outlineLevel="0" collapsed="false">
      <c r="F34" s="184"/>
      <c r="H34" s="153" t="str">
        <f aca="false">IF(H$4="X"," ",IF(G34&lt;&gt;0,G34*H$2/(100+H$2)," "))</f>
        <v> </v>
      </c>
      <c r="I34" s="153" t="str">
        <f aca="false">IF((G34&lt;&gt;0),G34-H34," ")</f>
        <v> </v>
      </c>
    </row>
    <row r="35" customFormat="false" ht="12.75" hidden="false" customHeight="false" outlineLevel="0" collapsed="false">
      <c r="F35" s="184"/>
      <c r="H35" s="153" t="str">
        <f aca="false">IF(H$4="X"," ",IF(G35&lt;&gt;0,G35*H$2/(100+H$2)," "))</f>
        <v> </v>
      </c>
      <c r="I35" s="153" t="str">
        <f aca="false">IF((G35&lt;&gt;0),G35-H35," ")</f>
        <v> </v>
      </c>
    </row>
    <row r="36" customFormat="false" ht="12.75" hidden="false" customHeight="false" outlineLevel="0" collapsed="false">
      <c r="F36" s="184"/>
      <c r="H36" s="153" t="str">
        <f aca="false">IF(H$4="X"," ",IF(G36&lt;&gt;0,G36*H$2/(100+H$2)," "))</f>
        <v> </v>
      </c>
      <c r="I36" s="153" t="str">
        <f aca="false">IF((G36&lt;&gt;0),G36-H36," ")</f>
        <v> </v>
      </c>
    </row>
    <row r="37" customFormat="false" ht="12.75" hidden="false" customHeight="false" outlineLevel="0" collapsed="false">
      <c r="F37" s="184"/>
      <c r="H37" s="153" t="str">
        <f aca="false">IF(H$4="X"," ",IF(G37&lt;&gt;0,G37*H$2/(100+H$2)," "))</f>
        <v> </v>
      </c>
      <c r="I37" s="153" t="str">
        <f aca="false">IF((G37&lt;&gt;0),G37-H37," ")</f>
        <v> </v>
      </c>
    </row>
    <row r="38" customFormat="false" ht="12.75" hidden="false" customHeight="false" outlineLevel="0" collapsed="false">
      <c r="F38" s="184"/>
      <c r="H38" s="153" t="str">
        <f aca="false">IF(H$4="X"," ",IF(G38&lt;&gt;0,G38*H$2/(100+H$2)," "))</f>
        <v> </v>
      </c>
      <c r="I38" s="153" t="str">
        <f aca="false">IF((G38&lt;&gt;0),G38-H38," ")</f>
        <v> </v>
      </c>
    </row>
    <row r="39" customFormat="false" ht="12.75" hidden="false" customHeight="false" outlineLevel="0" collapsed="false">
      <c r="F39" s="184"/>
      <c r="H39" s="153" t="str">
        <f aca="false">IF(H$4="X"," ",IF(G39&lt;&gt;0,G39*H$2/(100+H$2)," "))</f>
        <v> </v>
      </c>
      <c r="I39" s="153" t="str">
        <f aca="false">IF((G39&lt;&gt;0),G39-H39," ")</f>
        <v> </v>
      </c>
    </row>
    <row r="40" customFormat="false" ht="12.75" hidden="false" customHeight="false" outlineLevel="0" collapsed="false">
      <c r="F40" s="184"/>
      <c r="H40" s="153" t="str">
        <f aca="false">IF(H$4="X"," ",IF(G40&lt;&gt;0,G40*H$2/(100+H$2)," "))</f>
        <v> </v>
      </c>
      <c r="I40" s="153" t="str">
        <f aca="false">IF((G40&lt;&gt;0),G40-H40," ")</f>
        <v> </v>
      </c>
    </row>
    <row r="41" customFormat="false" ht="12.75" hidden="false" customHeight="false" outlineLevel="0" collapsed="false">
      <c r="F41" s="184"/>
      <c r="H41" s="153" t="str">
        <f aca="false">IF(H$4="X"," ",IF(G41&lt;&gt;0,G41*H$2/(100+H$2)," "))</f>
        <v> </v>
      </c>
      <c r="I41" s="153" t="str">
        <f aca="false">IF((G41&lt;&gt;0),G41-H41," ")</f>
        <v> </v>
      </c>
    </row>
    <row r="42" customFormat="false" ht="12.75" hidden="false" customHeight="false" outlineLevel="0" collapsed="false">
      <c r="F42" s="184"/>
      <c r="H42" s="153" t="str">
        <f aca="false">IF(H$4="X"," ",IF(G42&lt;&gt;0,G42*H$2/(100+H$2)," "))</f>
        <v> </v>
      </c>
      <c r="I42" s="153" t="str">
        <f aca="false">IF((G42&lt;&gt;0),G42-H42," ")</f>
        <v> </v>
      </c>
    </row>
    <row r="43" customFormat="false" ht="12.75" hidden="false" customHeight="false" outlineLevel="0" collapsed="false">
      <c r="F43" s="184"/>
      <c r="H43" s="153" t="str">
        <f aca="false">IF(H$4="X"," ",IF(G43&lt;&gt;0,G43*H$2/(100+H$2)," "))</f>
        <v> </v>
      </c>
      <c r="I43" s="153" t="str">
        <f aca="false">IF((G43&lt;&gt;0),G43-H43," ")</f>
        <v> </v>
      </c>
    </row>
    <row r="44" customFormat="false" ht="12.75" hidden="false" customHeight="false" outlineLevel="0" collapsed="false">
      <c r="F44" s="184"/>
      <c r="H44" s="153" t="str">
        <f aca="false">IF(H$4="X"," ",IF(G44&lt;&gt;0,G44*H$2/(100+H$2)," "))</f>
        <v> </v>
      </c>
      <c r="I44" s="153" t="str">
        <f aca="false">IF((G44&lt;&gt;0),G44-H44," ")</f>
        <v> </v>
      </c>
    </row>
    <row r="45" customFormat="false" ht="12.75" hidden="false" customHeight="false" outlineLevel="0" collapsed="false">
      <c r="F45" s="184"/>
      <c r="H45" s="153" t="str">
        <f aca="false">IF(H$4="X"," ",IF(G45&lt;&gt;0,G45*H$2/(100+H$2)," "))</f>
        <v> </v>
      </c>
      <c r="I45" s="153" t="str">
        <f aca="false">IF((G45&lt;&gt;0),G45-H45," ")</f>
        <v> </v>
      </c>
    </row>
    <row r="46" customFormat="false" ht="12.75" hidden="false" customHeight="false" outlineLevel="0" collapsed="false">
      <c r="F46" s="184"/>
      <c r="H46" s="153" t="str">
        <f aca="false">IF(H$4="X"," ",IF(G46&lt;&gt;0,G46*H$2/(100+H$2)," "))</f>
        <v> </v>
      </c>
      <c r="I46" s="153" t="str">
        <f aca="false">IF((G46&lt;&gt;0),G46-H46," ")</f>
        <v> </v>
      </c>
    </row>
    <row r="47" customFormat="false" ht="12.75" hidden="false" customHeight="false" outlineLevel="0" collapsed="false">
      <c r="F47" s="184"/>
      <c r="H47" s="153" t="str">
        <f aca="false">IF(H$4="X"," ",IF(G47&lt;&gt;0,G47*H$2/(100+H$2)," "))</f>
        <v> </v>
      </c>
      <c r="I47" s="153" t="str">
        <f aca="false">IF((G47&lt;&gt;0),G47-H47," ")</f>
        <v> </v>
      </c>
    </row>
    <row r="48" customFormat="false" ht="12.75" hidden="false" customHeight="false" outlineLevel="0" collapsed="false">
      <c r="F48" s="184"/>
      <c r="H48" s="153" t="str">
        <f aca="false">IF(H$4="X"," ",IF(G48&lt;&gt;0,G48*H$2/(100+H$2)," "))</f>
        <v> </v>
      </c>
      <c r="I48" s="153" t="str">
        <f aca="false">IF((G48&lt;&gt;0),G48-H48," ")</f>
        <v> </v>
      </c>
    </row>
    <row r="49" customFormat="false" ht="12.75" hidden="false" customHeight="false" outlineLevel="0" collapsed="false">
      <c r="F49" s="184"/>
      <c r="H49" s="153" t="str">
        <f aca="false">IF(H$4="X"," ",IF(G49&lt;&gt;0,G49*H$2/(100+H$2)," "))</f>
        <v> </v>
      </c>
      <c r="I49" s="153" t="str">
        <f aca="false">IF((G49&lt;&gt;0),G49-H49," ")</f>
        <v> </v>
      </c>
    </row>
    <row r="50" customFormat="false" ht="12.75" hidden="false" customHeight="false" outlineLevel="0" collapsed="false">
      <c r="F50" s="184"/>
      <c r="H50" s="153" t="str">
        <f aca="false">IF(H$4="X"," ",IF(G50&lt;&gt;0,G50*H$2/(100+H$2)," "))</f>
        <v> </v>
      </c>
      <c r="I50" s="153" t="str">
        <f aca="false">IF((G50&lt;&gt;0),G50-H50," ")</f>
        <v> </v>
      </c>
    </row>
    <row r="51" customFormat="false" ht="12.75" hidden="false" customHeight="false" outlineLevel="0" collapsed="false">
      <c r="F51" s="184"/>
      <c r="H51" s="153" t="str">
        <f aca="false">IF(H$4="X"," ",IF(G51&lt;&gt;0,G51*H$2/(100+H$2)," "))</f>
        <v> </v>
      </c>
      <c r="I51" s="153" t="str">
        <f aca="false">IF((G51&lt;&gt;0),G51-H51," ")</f>
        <v> </v>
      </c>
    </row>
    <row r="52" customFormat="false" ht="12.75" hidden="false" customHeight="false" outlineLevel="0" collapsed="false">
      <c r="F52" s="184"/>
      <c r="H52" s="153" t="str">
        <f aca="false">IF(H$4="X"," ",IF(G52&lt;&gt;0,G52*H$2/(100+H$2)," "))</f>
        <v> </v>
      </c>
      <c r="I52" s="153" t="str">
        <f aca="false">IF((G52&lt;&gt;0),G52-H52," ")</f>
        <v> </v>
      </c>
    </row>
    <row r="53" customFormat="false" ht="12.75" hidden="false" customHeight="false" outlineLevel="0" collapsed="false">
      <c r="F53" s="184"/>
      <c r="H53" s="153" t="str">
        <f aca="false">IF(H$4="X"," ",IF(G53&lt;&gt;0,G53*H$2/(100+H$2)," "))</f>
        <v> </v>
      </c>
      <c r="I53" s="153" t="str">
        <f aca="false">IF((G53&lt;&gt;0),G53-H53," ")</f>
        <v> </v>
      </c>
    </row>
    <row r="54" customFormat="false" ht="12.75" hidden="false" customHeight="false" outlineLevel="0" collapsed="false">
      <c r="F54" s="184"/>
      <c r="H54" s="153" t="str">
        <f aca="false">IF(H$4="X"," ",IF(G54&lt;&gt;0,G54*H$2/(100+H$2)," "))</f>
        <v> </v>
      </c>
      <c r="I54" s="153" t="str">
        <f aca="false">IF((G54&lt;&gt;0),G54-H54," ")</f>
        <v> </v>
      </c>
    </row>
    <row r="55" customFormat="false" ht="12.75" hidden="false" customHeight="false" outlineLevel="0" collapsed="false">
      <c r="F55" s="184"/>
      <c r="H55" s="153" t="str">
        <f aca="false">IF(H$4="X"," ",IF(G55&lt;&gt;0,G55*H$2/(100+H$2)," "))</f>
        <v> </v>
      </c>
      <c r="I55" s="153" t="str">
        <f aca="false">IF((G55&lt;&gt;0),G55-H55," ")</f>
        <v> </v>
      </c>
    </row>
    <row r="56" customFormat="false" ht="12.75" hidden="false" customHeight="false" outlineLevel="0" collapsed="false">
      <c r="F56" s="184"/>
      <c r="H56" s="153" t="str">
        <f aca="false">IF(H$4="X"," ",IF(G56&lt;&gt;0,G56*H$2/(100+H$2)," "))</f>
        <v> </v>
      </c>
      <c r="I56" s="153" t="str">
        <f aca="false">IF((G56&lt;&gt;0),G56-H56," ")</f>
        <v> </v>
      </c>
    </row>
    <row r="57" customFormat="false" ht="12.75" hidden="false" customHeight="false" outlineLevel="0" collapsed="false">
      <c r="F57" s="184"/>
      <c r="H57" s="153" t="str">
        <f aca="false">IF(H$4="X"," ",IF(G57&lt;&gt;0,G57*H$2/(100+H$2)," "))</f>
        <v> </v>
      </c>
      <c r="I57" s="153" t="str">
        <f aca="false">IF((G57&lt;&gt;0),G57-H57," ")</f>
        <v> </v>
      </c>
    </row>
    <row r="58" customFormat="false" ht="12.75" hidden="false" customHeight="false" outlineLevel="0" collapsed="false">
      <c r="F58" s="184"/>
      <c r="H58" s="153" t="str">
        <f aca="false">IF(H$4="X"," ",IF(G58&lt;&gt;0,G58*H$2/(100+H$2)," "))</f>
        <v> </v>
      </c>
      <c r="I58" s="153" t="str">
        <f aca="false">IF((G58&lt;&gt;0),G58-H58," ")</f>
        <v> </v>
      </c>
    </row>
    <row r="59" customFormat="false" ht="12.75" hidden="false" customHeight="false" outlineLevel="0" collapsed="false">
      <c r="F59" s="184"/>
      <c r="H59" s="153" t="str">
        <f aca="false">IF(H$4="X"," ",IF(G59&lt;&gt;0,G59*H$2/(100+H$2)," "))</f>
        <v> </v>
      </c>
      <c r="I59" s="153" t="str">
        <f aca="false">IF((G59&lt;&gt;0),G59-H59," ")</f>
        <v> </v>
      </c>
    </row>
    <row r="60" customFormat="false" ht="12.75" hidden="false" customHeight="false" outlineLevel="0" collapsed="false">
      <c r="F60" s="184"/>
      <c r="H60" s="153" t="str">
        <f aca="false">IF(H$4="X"," ",IF(G60&lt;&gt;0,G60*H$2/(100+H$2)," "))</f>
        <v> </v>
      </c>
      <c r="I60" s="153" t="str">
        <f aca="false">IF((G60&lt;&gt;0),G60-H60," ")</f>
        <v> </v>
      </c>
    </row>
    <row r="61" customFormat="false" ht="12.75" hidden="false" customHeight="false" outlineLevel="0" collapsed="false">
      <c r="F61" s="184"/>
      <c r="H61" s="153" t="str">
        <f aca="false">IF(H$4="X"," ",IF(G61&lt;&gt;0,G61*H$2/(100+H$2)," "))</f>
        <v> </v>
      </c>
      <c r="I61" s="153" t="str">
        <f aca="false">IF((G61&lt;&gt;0),G61-H61," ")</f>
        <v> </v>
      </c>
    </row>
    <row r="62" customFormat="false" ht="12.75" hidden="false" customHeight="false" outlineLevel="0" collapsed="false">
      <c r="F62" s="184"/>
      <c r="H62" s="153" t="str">
        <f aca="false">IF(H$4="X"," ",IF(G62&lt;&gt;0,G62*H$2/(100+H$2)," "))</f>
        <v> </v>
      </c>
      <c r="I62" s="153" t="str">
        <f aca="false">IF((G62&lt;&gt;0),G62-H62," ")</f>
        <v> </v>
      </c>
    </row>
    <row r="63" customFormat="false" ht="12.75" hidden="false" customHeight="false" outlineLevel="0" collapsed="false">
      <c r="F63" s="184"/>
      <c r="H63" s="153" t="str">
        <f aca="false">IF(H$4="X"," ",IF(G63&lt;&gt;0,G63*H$2/(100+H$2)," "))</f>
        <v> </v>
      </c>
      <c r="I63" s="153" t="str">
        <f aca="false">IF((G63&lt;&gt;0),G63-H63," ")</f>
        <v> </v>
      </c>
    </row>
    <row r="64" customFormat="false" ht="12.75" hidden="false" customHeight="false" outlineLevel="0" collapsed="false">
      <c r="F64" s="184"/>
      <c r="H64" s="153" t="str">
        <f aca="false">IF(H$4="X"," ",IF(G64&lt;&gt;0,G64*H$2/(100+H$2)," "))</f>
        <v> </v>
      </c>
      <c r="I64" s="153" t="str">
        <f aca="false">IF((G64&lt;&gt;0),G64-H64," ")</f>
        <v> </v>
      </c>
    </row>
    <row r="65" customFormat="false" ht="12.75" hidden="false" customHeight="false" outlineLevel="0" collapsed="false">
      <c r="F65" s="184"/>
      <c r="H65" s="153" t="str">
        <f aca="false">IF(H$4="X"," ",IF(G65&lt;&gt;0,G65*H$2/(100+H$2)," "))</f>
        <v> </v>
      </c>
      <c r="I65" s="153" t="str">
        <f aca="false">IF((G65&lt;&gt;0),G65-H65," ")</f>
        <v> </v>
      </c>
    </row>
    <row r="66" customFormat="false" ht="12.75" hidden="false" customHeight="false" outlineLevel="0" collapsed="false">
      <c r="F66" s="184"/>
      <c r="H66" s="153" t="str">
        <f aca="false">IF(H$4="X"," ",IF(G66&lt;&gt;0,G66*H$2/(100+H$2)," "))</f>
        <v> </v>
      </c>
      <c r="I66" s="153" t="str">
        <f aca="false">IF((G66&lt;&gt;0),G66-H66," ")</f>
        <v> </v>
      </c>
    </row>
    <row r="67" customFormat="false" ht="12.75" hidden="false" customHeight="false" outlineLevel="0" collapsed="false">
      <c r="F67" s="184"/>
      <c r="H67" s="153" t="str">
        <f aca="false">IF(H$4="X"," ",IF(G67&lt;&gt;0,G67*H$2/(100+H$2)," "))</f>
        <v> </v>
      </c>
      <c r="I67" s="153" t="str">
        <f aca="false">IF((G67&lt;&gt;0),G67-H67," ")</f>
        <v> </v>
      </c>
    </row>
    <row r="68" customFormat="false" ht="12.75" hidden="false" customHeight="false" outlineLevel="0" collapsed="false">
      <c r="F68" s="184"/>
      <c r="H68" s="153" t="str">
        <f aca="false">IF(H$4="X"," ",IF(G68&lt;&gt;0,G68*H$2/(100+H$2)," "))</f>
        <v> </v>
      </c>
      <c r="I68" s="153" t="str">
        <f aca="false">IF((G68&lt;&gt;0),G68-H68," ")</f>
        <v> </v>
      </c>
    </row>
    <row r="69" customFormat="false" ht="12.75" hidden="false" customHeight="false" outlineLevel="0" collapsed="false">
      <c r="F69" s="184"/>
      <c r="H69" s="153" t="str">
        <f aca="false">IF(H$4="X"," ",IF(G69&lt;&gt;0,G69*H$2/(100+H$2)," "))</f>
        <v> </v>
      </c>
      <c r="I69" s="153" t="str">
        <f aca="false">IF((G69&lt;&gt;0),G69-H69," ")</f>
        <v> </v>
      </c>
    </row>
    <row r="70" customFormat="false" ht="12.75" hidden="false" customHeight="false" outlineLevel="0" collapsed="false">
      <c r="F70" s="184"/>
      <c r="H70" s="153" t="str">
        <f aca="false">IF(H$4="X"," ",IF(G70&lt;&gt;0,G70*H$2/(100+H$2)," "))</f>
        <v> </v>
      </c>
      <c r="I70" s="153" t="str">
        <f aca="false">IF((G70&lt;&gt;0),G70-H70," ")</f>
        <v> </v>
      </c>
    </row>
    <row r="71" customFormat="false" ht="12.75" hidden="false" customHeight="false" outlineLevel="0" collapsed="false">
      <c r="F71" s="184"/>
      <c r="H71" s="153" t="str">
        <f aca="false">IF(H$4="X"," ",IF(G71&lt;&gt;0,G71*H$2/(100+H$2)," "))</f>
        <v> </v>
      </c>
      <c r="I71" s="153" t="str">
        <f aca="false">IF((G71&lt;&gt;0),G71-H71," ")</f>
        <v> </v>
      </c>
    </row>
    <row r="72" customFormat="false" ht="12.75" hidden="false" customHeight="false" outlineLevel="0" collapsed="false">
      <c r="F72" s="184"/>
      <c r="H72" s="153" t="str">
        <f aca="false">IF(H$4="X"," ",IF(G72&lt;&gt;0,G72*H$2/(100+H$2)," "))</f>
        <v> </v>
      </c>
      <c r="I72" s="153" t="str">
        <f aca="false">IF((G72&lt;&gt;0),G72-H72," ")</f>
        <v> </v>
      </c>
    </row>
    <row r="73" customFormat="false" ht="12.75" hidden="false" customHeight="false" outlineLevel="0" collapsed="false">
      <c r="F73" s="184"/>
      <c r="H73" s="153" t="str">
        <f aca="false">IF(H$4="X"," ",IF(G73&lt;&gt;0,G73*H$2/(100+H$2)," "))</f>
        <v> </v>
      </c>
      <c r="I73" s="153" t="str">
        <f aca="false">IF((G73&lt;&gt;0),G73-H73," ")</f>
        <v> </v>
      </c>
    </row>
    <row r="74" customFormat="false" ht="12.75" hidden="false" customHeight="false" outlineLevel="0" collapsed="false">
      <c r="F74" s="184"/>
      <c r="H74" s="153" t="str">
        <f aca="false">IF(H$4="X"," ",IF(G74&lt;&gt;0,G74*H$2/(100+H$2)," "))</f>
        <v> </v>
      </c>
      <c r="I74" s="153" t="str">
        <f aca="false">IF((G74&lt;&gt;0),G74-H74," ")</f>
        <v> </v>
      </c>
    </row>
    <row r="75" customFormat="false" ht="12.75" hidden="false" customHeight="false" outlineLevel="0" collapsed="false">
      <c r="F75" s="184"/>
      <c r="H75" s="153" t="str">
        <f aca="false">IF(H$4="X"," ",IF(G75&lt;&gt;0,G75*H$2/(100+H$2)," "))</f>
        <v> </v>
      </c>
      <c r="I75" s="153" t="str">
        <f aca="false">IF((G75&lt;&gt;0),G75-H75," ")</f>
        <v> </v>
      </c>
    </row>
    <row r="76" customFormat="false" ht="12.75" hidden="false" customHeight="false" outlineLevel="0" collapsed="false">
      <c r="F76" s="184"/>
      <c r="H76" s="153" t="str">
        <f aca="false">IF(H$4="X"," ",IF(G76&lt;&gt;0,G76*H$2/(100+H$2)," "))</f>
        <v> </v>
      </c>
      <c r="I76" s="153" t="str">
        <f aca="false">IF((G76&lt;&gt;0),G76-H76," ")</f>
        <v> </v>
      </c>
    </row>
    <row r="77" customFormat="false" ht="12.75" hidden="false" customHeight="false" outlineLevel="0" collapsed="false">
      <c r="F77" s="184"/>
      <c r="H77" s="153" t="str">
        <f aca="false">IF(H$4="X"," ",IF(G77&lt;&gt;0,G77*H$2/(100+H$2)," "))</f>
        <v> </v>
      </c>
      <c r="I77" s="153" t="str">
        <f aca="false">IF((G77&lt;&gt;0),G77-H77," ")</f>
        <v> </v>
      </c>
    </row>
    <row r="78" customFormat="false" ht="12.75" hidden="false" customHeight="false" outlineLevel="0" collapsed="false">
      <c r="F78" s="184"/>
      <c r="H78" s="153" t="str">
        <f aca="false">IF(H$4="X"," ",IF(G78&lt;&gt;0,G78*H$2/(100+H$2)," "))</f>
        <v> </v>
      </c>
      <c r="I78" s="153" t="str">
        <f aca="false">IF((G78&lt;&gt;0),G78-H78," ")</f>
        <v> </v>
      </c>
    </row>
    <row r="79" customFormat="false" ht="12.75" hidden="false" customHeight="false" outlineLevel="0" collapsed="false">
      <c r="F79" s="184"/>
      <c r="H79" s="153" t="str">
        <f aca="false">IF(H$4="X"," ",IF(G79&lt;&gt;0,G79*H$2/(100+H$2)," "))</f>
        <v> </v>
      </c>
      <c r="I79" s="153" t="str">
        <f aca="false">IF((G79&lt;&gt;0),G79-H79," ")</f>
        <v> </v>
      </c>
    </row>
    <row r="80" customFormat="false" ht="12.75" hidden="false" customHeight="false" outlineLevel="0" collapsed="false">
      <c r="F80" s="184"/>
      <c r="H80" s="153" t="str">
        <f aca="false">IF(H$4="X"," ",IF(G80&lt;&gt;0,G80*H$2/(100+H$2)," "))</f>
        <v> </v>
      </c>
      <c r="I80" s="153" t="str">
        <f aca="false">IF((G80&lt;&gt;0),G80-H80," ")</f>
        <v> </v>
      </c>
    </row>
    <row r="81" customFormat="false" ht="12.75" hidden="false" customHeight="false" outlineLevel="0" collapsed="false">
      <c r="F81" s="184"/>
      <c r="H81" s="153" t="str">
        <f aca="false">IF(H$4="X"," ",IF(G81&lt;&gt;0,G81*H$2/(100+H$2)," "))</f>
        <v> </v>
      </c>
      <c r="I81" s="153" t="str">
        <f aca="false">IF((G81&lt;&gt;0),G81-H81," ")</f>
        <v> </v>
      </c>
    </row>
    <row r="82" customFormat="false" ht="12.75" hidden="false" customHeight="false" outlineLevel="0" collapsed="false">
      <c r="F82" s="184"/>
      <c r="H82" s="153" t="str">
        <f aca="false">IF(H$4="X"," ",IF(G82&lt;&gt;0,G82*H$2/(100+H$2)," "))</f>
        <v> </v>
      </c>
      <c r="I82" s="153" t="str">
        <f aca="false">IF((G82&lt;&gt;0),G82-H82," ")</f>
        <v> </v>
      </c>
    </row>
    <row r="83" customFormat="false" ht="12.75" hidden="false" customHeight="false" outlineLevel="0" collapsed="false">
      <c r="F83" s="184"/>
      <c r="H83" s="153" t="str">
        <f aca="false">IF(H$4="X"," ",IF(G83&lt;&gt;0,G83*H$2/(100+H$2)," "))</f>
        <v> </v>
      </c>
      <c r="I83" s="153" t="str">
        <f aca="false">IF((G83&lt;&gt;0),G83-H83," ")</f>
        <v> </v>
      </c>
    </row>
    <row r="84" customFormat="false" ht="12.75" hidden="false" customHeight="false" outlineLevel="0" collapsed="false">
      <c r="F84" s="184"/>
      <c r="H84" s="153" t="str">
        <f aca="false">IF(H$4="X"," ",IF(G84&lt;&gt;0,G84*H$2/(100+H$2)," "))</f>
        <v> </v>
      </c>
      <c r="I84" s="153" t="str">
        <f aca="false">IF((G84&lt;&gt;0),G84-H84," ")</f>
        <v> </v>
      </c>
    </row>
    <row r="85" customFormat="false" ht="12.75" hidden="false" customHeight="false" outlineLevel="0" collapsed="false">
      <c r="F85" s="184"/>
      <c r="H85" s="153" t="str">
        <f aca="false">IF(H$4="X"," ",IF(G85&lt;&gt;0,G85*H$2/(100+H$2)," "))</f>
        <v> </v>
      </c>
      <c r="I85" s="153" t="str">
        <f aca="false">IF((G85&lt;&gt;0),G85-H85," ")</f>
        <v> </v>
      </c>
    </row>
    <row r="86" customFormat="false" ht="12.75" hidden="false" customHeight="false" outlineLevel="0" collapsed="false">
      <c r="F86" s="184"/>
      <c r="H86" s="153" t="str">
        <f aca="false">IF(H$4="X"," ",IF(G86&lt;&gt;0,G86*H$2/(100+H$2)," "))</f>
        <v> </v>
      </c>
      <c r="I86" s="153" t="str">
        <f aca="false">IF((G86&lt;&gt;0),G86-H86," ")</f>
        <v> </v>
      </c>
    </row>
    <row r="87" customFormat="false" ht="12.75" hidden="false" customHeight="false" outlineLevel="0" collapsed="false">
      <c r="F87" s="184"/>
      <c r="H87" s="153" t="str">
        <f aca="false">IF(H$4="X"," ",IF(G87&lt;&gt;0,G87*H$2/(100+H$2)," "))</f>
        <v> </v>
      </c>
      <c r="I87" s="153" t="str">
        <f aca="false">IF((G87&lt;&gt;0),G87-H87," ")</f>
        <v> </v>
      </c>
    </row>
    <row r="88" customFormat="false" ht="12.75" hidden="false" customHeight="false" outlineLevel="0" collapsed="false">
      <c r="F88" s="184"/>
      <c r="H88" s="153" t="str">
        <f aca="false">IF(H$4="X"," ",IF(G88&lt;&gt;0,G88*H$2/(100+H$2)," "))</f>
        <v> </v>
      </c>
      <c r="I88" s="153" t="str">
        <f aca="false">IF((G88&lt;&gt;0),G88-H88," ")</f>
        <v> </v>
      </c>
    </row>
    <row r="89" customFormat="false" ht="12.75" hidden="false" customHeight="false" outlineLevel="0" collapsed="false">
      <c r="F89" s="184"/>
      <c r="H89" s="153" t="str">
        <f aca="false">IF(H$4="X"," ",IF(G89&lt;&gt;0,G89*H$2/(100+H$2)," "))</f>
        <v> </v>
      </c>
      <c r="I89" s="153" t="str">
        <f aca="false">IF((G89&lt;&gt;0),G89-H89," ")</f>
        <v> </v>
      </c>
    </row>
    <row r="90" customFormat="false" ht="12.75" hidden="false" customHeight="false" outlineLevel="0" collapsed="false">
      <c r="F90" s="184"/>
      <c r="H90" s="153" t="str">
        <f aca="false">IF(H$4="X"," ",IF(G90&lt;&gt;0,G90*H$2/(100+H$2)," "))</f>
        <v> </v>
      </c>
      <c r="I90" s="153" t="str">
        <f aca="false">IF((G90&lt;&gt;0),G90-H90," ")</f>
        <v> </v>
      </c>
    </row>
    <row r="91" customFormat="false" ht="12.75" hidden="false" customHeight="false" outlineLevel="0" collapsed="false">
      <c r="F91" s="184"/>
      <c r="H91" s="153" t="str">
        <f aca="false">IF(H$4="X"," ",IF(G91&lt;&gt;0,G91*H$2/(100+H$2)," "))</f>
        <v> </v>
      </c>
      <c r="I91" s="153" t="str">
        <f aca="false">IF((G91&lt;&gt;0),G91-H91," ")</f>
        <v> </v>
      </c>
    </row>
    <row r="92" customFormat="false" ht="12.75" hidden="false" customHeight="false" outlineLevel="0" collapsed="false">
      <c r="F92" s="184"/>
      <c r="H92" s="153" t="str">
        <f aca="false">IF(H$4="X"," ",IF(G92&lt;&gt;0,G92*H$2/(100+H$2)," "))</f>
        <v> </v>
      </c>
      <c r="I92" s="153" t="str">
        <f aca="false">IF((G92&lt;&gt;0),G92-H92," ")</f>
        <v> </v>
      </c>
    </row>
    <row r="93" customFormat="false" ht="12.75" hidden="false" customHeight="false" outlineLevel="0" collapsed="false">
      <c r="F93" s="184"/>
      <c r="H93" s="153" t="str">
        <f aca="false">IF(H$4="X"," ",IF(G93&lt;&gt;0,G93*H$2/(100+H$2)," "))</f>
        <v> </v>
      </c>
      <c r="I93" s="153" t="str">
        <f aca="false">IF((G93&lt;&gt;0),G93-H93," ")</f>
        <v> </v>
      </c>
    </row>
    <row r="94" customFormat="false" ht="12.75" hidden="false" customHeight="false" outlineLevel="0" collapsed="false">
      <c r="F94" s="184"/>
      <c r="H94" s="153" t="str">
        <f aca="false">IF(H$4="X"," ",IF(G94&lt;&gt;0,G94*H$2/(100+H$2)," "))</f>
        <v> </v>
      </c>
      <c r="I94" s="153" t="str">
        <f aca="false">IF((G94&lt;&gt;0),G94-H94," ")</f>
        <v> </v>
      </c>
    </row>
    <row r="95" customFormat="false" ht="12.75" hidden="false" customHeight="false" outlineLevel="0" collapsed="false">
      <c r="F95" s="184"/>
      <c r="H95" s="153" t="str">
        <f aca="false">IF(H$4="X"," ",IF(G95&lt;&gt;0,G95*H$2/(100+H$2)," "))</f>
        <v> </v>
      </c>
      <c r="I95" s="153" t="str">
        <f aca="false">IF((G95&lt;&gt;0),G95-H95," ")</f>
        <v> </v>
      </c>
    </row>
    <row r="96" customFormat="false" ht="12.75" hidden="false" customHeight="false" outlineLevel="0" collapsed="false">
      <c r="F96" s="184"/>
      <c r="H96" s="153" t="str">
        <f aca="false">IF(H$4="X"," ",IF(G96&lt;&gt;0,G96*H$2/(100+H$2)," "))</f>
        <v> </v>
      </c>
      <c r="I96" s="153" t="str">
        <f aca="false">IF((G96&lt;&gt;0),G96-H96," ")</f>
        <v> </v>
      </c>
    </row>
    <row r="97" customFormat="false" ht="12.75" hidden="false" customHeight="false" outlineLevel="0" collapsed="false">
      <c r="F97" s="184"/>
      <c r="H97" s="153" t="str">
        <f aca="false">IF(H$4="X"," ",IF(G97&lt;&gt;0,G97*H$2/(100+H$2)," "))</f>
        <v> </v>
      </c>
      <c r="I97" s="153" t="str">
        <f aca="false">IF((G97&lt;&gt;0),G97-H97," ")</f>
        <v> </v>
      </c>
    </row>
    <row r="98" customFormat="false" ht="12.75" hidden="false" customHeight="false" outlineLevel="0" collapsed="false">
      <c r="F98" s="184"/>
      <c r="H98" s="153" t="str">
        <f aca="false">IF(H$4="X"," ",IF(G98&lt;&gt;0,G98*H$2/(100+H$2)," "))</f>
        <v> </v>
      </c>
      <c r="I98" s="153" t="str">
        <f aca="false">IF((G98&lt;&gt;0),G98-H98," ")</f>
        <v> </v>
      </c>
    </row>
    <row r="99" customFormat="false" ht="12.75" hidden="false" customHeight="false" outlineLevel="0" collapsed="false">
      <c r="F99" s="184"/>
      <c r="H99" s="153" t="str">
        <f aca="false">IF(H$4="X"," ",IF(G99&lt;&gt;0,G99*H$2/(100+H$2)," "))</f>
        <v> </v>
      </c>
      <c r="I99" s="153" t="str">
        <f aca="false">IF((G99&lt;&gt;0),G99-H99," ")</f>
        <v> </v>
      </c>
    </row>
    <row r="100" customFormat="false" ht="12.75" hidden="false" customHeight="false" outlineLevel="0" collapsed="false">
      <c r="F100" s="184"/>
      <c r="H100" s="153" t="str">
        <f aca="false">IF(H$4="X"," ",IF(G100&lt;&gt;0,G100*H$2/(100+H$2)," "))</f>
        <v> </v>
      </c>
      <c r="I100" s="153" t="str">
        <f aca="false">IF((G100&lt;&gt;0),G100-H100," ")</f>
        <v> </v>
      </c>
    </row>
    <row r="101" customFormat="false" ht="12.75" hidden="false" customHeight="false" outlineLevel="0" collapsed="false">
      <c r="F101" s="184"/>
      <c r="H101" s="153" t="str">
        <f aca="false">IF(H$4="X"," ",IF(G101&lt;&gt;0,G101*H$2/(100+H$2)," "))</f>
        <v> </v>
      </c>
      <c r="I101" s="153" t="str">
        <f aca="false">IF((G101&lt;&gt;0),G101-H101," ")</f>
        <v> </v>
      </c>
    </row>
    <row r="102" customFormat="false" ht="12.75" hidden="false" customHeight="false" outlineLevel="0" collapsed="false">
      <c r="F102" s="184"/>
      <c r="H102" s="153" t="str">
        <f aca="false">IF(H$4="X"," ",IF(G102&lt;&gt;0,G102*H$2/(100+H$2)," "))</f>
        <v> </v>
      </c>
      <c r="I102" s="153" t="str">
        <f aca="false">IF((G102&lt;&gt;0),G102-H102," ")</f>
        <v> </v>
      </c>
    </row>
    <row r="103" customFormat="false" ht="12.75" hidden="false" customHeight="false" outlineLevel="0" collapsed="false">
      <c r="F103" s="184"/>
      <c r="H103" s="153" t="str">
        <f aca="false">IF(H$4="X"," ",IF(G103&lt;&gt;0,G103*H$2/(100+H$2)," "))</f>
        <v> </v>
      </c>
      <c r="I103" s="153" t="str">
        <f aca="false">IF((G103&lt;&gt;0),G103-H103," ")</f>
        <v> </v>
      </c>
    </row>
    <row r="104" customFormat="false" ht="12.75" hidden="false" customHeight="false" outlineLevel="0" collapsed="false">
      <c r="F104" s="184"/>
      <c r="H104" s="153" t="str">
        <f aca="false">IF(H$4="X"," ",IF(G104&lt;&gt;0,G104*H$2/(100+H$2)," "))</f>
        <v> </v>
      </c>
      <c r="I104" s="153" t="str">
        <f aca="false">IF((G104&lt;&gt;0),G104-H104," ")</f>
        <v> </v>
      </c>
    </row>
    <row r="105" customFormat="false" ht="12.75" hidden="false" customHeight="false" outlineLevel="0" collapsed="false">
      <c r="F105" s="184"/>
      <c r="H105" s="153" t="str">
        <f aca="false">IF(H$4="X"," ",IF(G105&lt;&gt;0,G105*H$2/(100+H$2)," "))</f>
        <v> </v>
      </c>
      <c r="I105" s="153" t="str">
        <f aca="false">IF((G105&lt;&gt;0),G105-H105," ")</f>
        <v> </v>
      </c>
    </row>
    <row r="106" customFormat="false" ht="12.75" hidden="false" customHeight="false" outlineLevel="0" collapsed="false">
      <c r="F106" s="184"/>
      <c r="H106" s="153" t="str">
        <f aca="false">IF(H$4="X"," ",IF(G106&lt;&gt;0,G106*H$2/(100+H$2)," "))</f>
        <v> </v>
      </c>
      <c r="I106" s="153" t="str">
        <f aca="false">IF((G106&lt;&gt;0),G106-H106," ")</f>
        <v> </v>
      </c>
    </row>
    <row r="107" customFormat="false" ht="12.75" hidden="false" customHeight="false" outlineLevel="0" collapsed="false">
      <c r="F107" s="184"/>
      <c r="H107" s="153" t="str">
        <f aca="false">IF(H$4="X"," ",IF(G107&lt;&gt;0,G107*H$2/(100+H$2)," "))</f>
        <v> </v>
      </c>
      <c r="I107" s="153" t="str">
        <f aca="false">IF((G107&lt;&gt;0),G107-H107," ")</f>
        <v> </v>
      </c>
    </row>
    <row r="108" customFormat="false" ht="12.75" hidden="false" customHeight="false" outlineLevel="0" collapsed="false">
      <c r="F108" s="184"/>
      <c r="H108" s="153" t="str">
        <f aca="false">IF(H$4="X"," ",IF(G108&lt;&gt;0,G108*H$2/(100+H$2)," "))</f>
        <v> </v>
      </c>
      <c r="I108" s="153" t="str">
        <f aca="false">IF((G108&lt;&gt;0),G108-H108," ")</f>
        <v> </v>
      </c>
    </row>
    <row r="109" customFormat="false" ht="12.75" hidden="false" customHeight="false" outlineLevel="0" collapsed="false">
      <c r="F109" s="184"/>
      <c r="H109" s="153" t="str">
        <f aca="false">IF(H$4="X"," ",IF(G109&lt;&gt;0,G109*H$2/(100+H$2)," "))</f>
        <v> </v>
      </c>
      <c r="I109" s="153" t="str">
        <f aca="false">IF((G109&lt;&gt;0),G109-H109," ")</f>
        <v> </v>
      </c>
    </row>
    <row r="110" customFormat="false" ht="12.75" hidden="false" customHeight="false" outlineLevel="0" collapsed="false">
      <c r="F110" s="184"/>
      <c r="H110" s="153" t="str">
        <f aca="false">IF(H$4="X"," ",IF(G110&lt;&gt;0,G110*H$2/(100+H$2)," "))</f>
        <v> </v>
      </c>
      <c r="I110" s="153" t="str">
        <f aca="false">IF((G110&lt;&gt;0),G110-H110," ")</f>
        <v> </v>
      </c>
    </row>
    <row r="111" customFormat="false" ht="12.75" hidden="false" customHeight="false" outlineLevel="0" collapsed="false">
      <c r="F111" s="184"/>
      <c r="H111" s="153" t="str">
        <f aca="false">IF(H$4="X"," ",IF(G111&lt;&gt;0,G111*H$2/(100+H$2)," "))</f>
        <v> </v>
      </c>
      <c r="I111" s="153" t="str">
        <f aca="false">IF((G111&lt;&gt;0),G111-H111," ")</f>
        <v> </v>
      </c>
    </row>
    <row r="112" customFormat="false" ht="12.75" hidden="false" customHeight="false" outlineLevel="0" collapsed="false">
      <c r="F112" s="184"/>
      <c r="H112" s="153" t="str">
        <f aca="false">IF(H$4="X"," ",IF(G112&lt;&gt;0,G112*H$2/(100+H$2)," "))</f>
        <v> </v>
      </c>
      <c r="I112" s="153" t="str">
        <f aca="false">IF((G112&lt;&gt;0),G112-H112," ")</f>
        <v> </v>
      </c>
    </row>
    <row r="113" customFormat="false" ht="12.75" hidden="false" customHeight="false" outlineLevel="0" collapsed="false">
      <c r="F113" s="184"/>
      <c r="H113" s="153" t="str">
        <f aca="false">IF(H$4="X"," ",IF(G113&lt;&gt;0,G113*H$2/(100+H$2)," "))</f>
        <v> </v>
      </c>
      <c r="I113" s="153" t="str">
        <f aca="false">IF((G113&lt;&gt;0),G113-H113," ")</f>
        <v> </v>
      </c>
    </row>
    <row r="114" customFormat="false" ht="12.75" hidden="false" customHeight="false" outlineLevel="0" collapsed="false">
      <c r="F114" s="184"/>
      <c r="H114" s="153" t="str">
        <f aca="false">IF(H$4="X"," ",IF(G114&lt;&gt;0,G114*H$2/(100+H$2)," "))</f>
        <v> </v>
      </c>
      <c r="I114" s="153" t="str">
        <f aca="false">IF((G114&lt;&gt;0),G114-H114," ")</f>
        <v> </v>
      </c>
    </row>
    <row r="115" customFormat="false" ht="12.75" hidden="false" customHeight="false" outlineLevel="0" collapsed="false">
      <c r="F115" s="184"/>
      <c r="H115" s="153" t="str">
        <f aca="false">IF(H$4="X"," ",IF(G115&lt;&gt;0,G115*H$2/(100+H$2)," "))</f>
        <v> </v>
      </c>
      <c r="I115" s="153" t="str">
        <f aca="false">IF((G115&lt;&gt;0),G115-H115," ")</f>
        <v> </v>
      </c>
    </row>
    <row r="116" customFormat="false" ht="12.75" hidden="false" customHeight="false" outlineLevel="0" collapsed="false">
      <c r="F116" s="184"/>
      <c r="H116" s="153" t="str">
        <f aca="false">IF(H$4="X"," ",IF(G116&lt;&gt;0,G116*H$2/(100+H$2)," "))</f>
        <v> </v>
      </c>
      <c r="I116" s="153" t="str">
        <f aca="false">IF((G116&lt;&gt;0),G116-H116," ")</f>
        <v> </v>
      </c>
    </row>
    <row r="117" customFormat="false" ht="12.75" hidden="false" customHeight="false" outlineLevel="0" collapsed="false">
      <c r="F117" s="184"/>
      <c r="H117" s="153" t="str">
        <f aca="false">IF(H$4="X"," ",IF(G117&lt;&gt;0,G117*H$2/(100+H$2)," "))</f>
        <v> </v>
      </c>
      <c r="I117" s="153" t="str">
        <f aca="false">IF((G117&lt;&gt;0),G117-H117," ")</f>
        <v> </v>
      </c>
    </row>
    <row r="118" customFormat="false" ht="12.75" hidden="false" customHeight="false" outlineLevel="0" collapsed="false">
      <c r="F118" s="184"/>
      <c r="H118" s="153" t="str">
        <f aca="false">IF(H$4="X"," ",IF(G118&lt;&gt;0,G118*H$2/(100+H$2)," "))</f>
        <v> </v>
      </c>
      <c r="I118" s="153" t="str">
        <f aca="false">IF((G118&lt;&gt;0),G118-H118," ")</f>
        <v> </v>
      </c>
    </row>
    <row r="119" customFormat="false" ht="12.75" hidden="false" customHeight="false" outlineLevel="0" collapsed="false">
      <c r="F119" s="184"/>
      <c r="H119" s="153" t="str">
        <f aca="false">IF(H$4="X"," ",IF(G119&lt;&gt;0,G119*H$2/(100+H$2)," "))</f>
        <v> </v>
      </c>
      <c r="I119" s="153" t="str">
        <f aca="false">IF((G119&lt;&gt;0),G119-H119," ")</f>
        <v> </v>
      </c>
    </row>
    <row r="120" customFormat="false" ht="12.75" hidden="false" customHeight="false" outlineLevel="0" collapsed="false">
      <c r="F120" s="184"/>
      <c r="H120" s="153" t="str">
        <f aca="false">IF(H$4="X"," ",IF(G120&lt;&gt;0,G120*H$2/(100+H$2)," "))</f>
        <v> </v>
      </c>
      <c r="I120" s="153" t="str">
        <f aca="false">IF((G120&lt;&gt;0),G120-H120," ")</f>
        <v> </v>
      </c>
    </row>
    <row r="121" customFormat="false" ht="12.75" hidden="false" customHeight="false" outlineLevel="0" collapsed="false">
      <c r="F121" s="184"/>
      <c r="H121" s="153" t="str">
        <f aca="false">IF(H$4="X"," ",IF(G121&lt;&gt;0,G121*H$2/(100+H$2)," "))</f>
        <v> </v>
      </c>
      <c r="I121" s="153" t="str">
        <f aca="false">IF((G121&lt;&gt;0),G121-H121," ")</f>
        <v> </v>
      </c>
    </row>
    <row r="122" customFormat="false" ht="12.75" hidden="false" customHeight="false" outlineLevel="0" collapsed="false">
      <c r="F122" s="184"/>
      <c r="H122" s="153" t="str">
        <f aca="false">IF(H$4="X"," ",IF(G122&lt;&gt;0,G122*H$2/(100+H$2)," "))</f>
        <v> </v>
      </c>
      <c r="I122" s="153" t="str">
        <f aca="false">IF((G122&lt;&gt;0),G122-H122," ")</f>
        <v> </v>
      </c>
    </row>
    <row r="123" customFormat="false" ht="12.75" hidden="false" customHeight="false" outlineLevel="0" collapsed="false">
      <c r="F123" s="184"/>
      <c r="H123" s="153" t="str">
        <f aca="false">IF(H$4="X"," ",IF(G123&lt;&gt;0,G123*H$2/(100+H$2)," "))</f>
        <v> </v>
      </c>
      <c r="I123" s="153" t="str">
        <f aca="false">IF((G123&lt;&gt;0),G123-H123," ")</f>
        <v> </v>
      </c>
    </row>
    <row r="124" customFormat="false" ht="12.75" hidden="false" customHeight="false" outlineLevel="0" collapsed="false">
      <c r="F124" s="184"/>
      <c r="H124" s="153" t="str">
        <f aca="false">IF(H$4="X"," ",IF(G124&lt;&gt;0,G124*H$2/(100+H$2)," "))</f>
        <v> </v>
      </c>
      <c r="I124" s="153" t="str">
        <f aca="false">IF((G124&lt;&gt;0),G124-H124," ")</f>
        <v> </v>
      </c>
    </row>
    <row r="125" customFormat="false" ht="12.75" hidden="false" customHeight="false" outlineLevel="0" collapsed="false">
      <c r="F125" s="184"/>
      <c r="H125" s="153" t="str">
        <f aca="false">IF(H$4="X"," ",IF(G125&lt;&gt;0,G125*H$2/(100+H$2)," "))</f>
        <v> </v>
      </c>
      <c r="I125" s="153" t="str">
        <f aca="false">IF((G125&lt;&gt;0),G125-H125," ")</f>
        <v> </v>
      </c>
    </row>
    <row r="126" customFormat="false" ht="12.75" hidden="false" customHeight="false" outlineLevel="0" collapsed="false">
      <c r="F126" s="184"/>
      <c r="H126" s="153" t="str">
        <f aca="false">IF(H$4="X"," ",IF(G126&lt;&gt;0,G126*H$2/(100+H$2)," "))</f>
        <v> </v>
      </c>
      <c r="I126" s="153" t="str">
        <f aca="false">IF((G126&lt;&gt;0),G126-H126," ")</f>
        <v> </v>
      </c>
    </row>
    <row r="127" customFormat="false" ht="12.75" hidden="false" customHeight="false" outlineLevel="0" collapsed="false">
      <c r="F127" s="184"/>
      <c r="H127" s="153" t="str">
        <f aca="false">IF(H$4="X"," ",IF(G127&lt;&gt;0,G127*H$2/(100+H$2)," "))</f>
        <v> </v>
      </c>
      <c r="I127" s="153" t="str">
        <f aca="false">IF((G127&lt;&gt;0),G127-H127," ")</f>
        <v> </v>
      </c>
    </row>
    <row r="128" customFormat="false" ht="12.75" hidden="false" customHeight="false" outlineLevel="0" collapsed="false">
      <c r="F128" s="184"/>
      <c r="H128" s="153" t="str">
        <f aca="false">IF(H$4="X"," ",IF(G128&lt;&gt;0,G128*H$2/(100+H$2)," "))</f>
        <v> </v>
      </c>
      <c r="I128" s="153" t="str">
        <f aca="false">IF((G128&lt;&gt;0),G128-H128," ")</f>
        <v> </v>
      </c>
    </row>
    <row r="129" customFormat="false" ht="12.75" hidden="false" customHeight="false" outlineLevel="0" collapsed="false">
      <c r="F129" s="184"/>
      <c r="H129" s="153" t="str">
        <f aca="false">IF(H$4="X"," ",IF(G129&lt;&gt;0,G129*H$2/(100+H$2)," "))</f>
        <v> </v>
      </c>
      <c r="I129" s="153" t="str">
        <f aca="false">IF((G129&lt;&gt;0),G129-H129," ")</f>
        <v> </v>
      </c>
    </row>
    <row r="130" customFormat="false" ht="12.75" hidden="false" customHeight="false" outlineLevel="0" collapsed="false">
      <c r="F130" s="184"/>
      <c r="H130" s="153" t="str">
        <f aca="false">IF(H$4="X"," ",IF(G130&lt;&gt;0,G130*H$2/(100+H$2)," "))</f>
        <v> </v>
      </c>
      <c r="I130" s="153" t="str">
        <f aca="false">IF((G130&lt;&gt;0),G130-H130," ")</f>
        <v> </v>
      </c>
    </row>
    <row r="131" customFormat="false" ht="12.75" hidden="false" customHeight="false" outlineLevel="0" collapsed="false">
      <c r="F131" s="184"/>
      <c r="H131" s="153" t="str">
        <f aca="false">IF(H$4="X"," ",IF(G131&lt;&gt;0,G131*H$2/(100+H$2)," "))</f>
        <v> </v>
      </c>
      <c r="I131" s="153" t="str">
        <f aca="false">IF((G131&lt;&gt;0),G131-H131," ")</f>
        <v> </v>
      </c>
    </row>
    <row r="132" customFormat="false" ht="12.75" hidden="false" customHeight="false" outlineLevel="0" collapsed="false">
      <c r="F132" s="184"/>
      <c r="H132" s="153" t="str">
        <f aca="false">IF(H$4="X"," ",IF(G132&lt;&gt;0,G132*H$2/(100+H$2)," "))</f>
        <v> </v>
      </c>
      <c r="I132" s="153" t="str">
        <f aca="false">IF((G132&lt;&gt;0),G132-H132," ")</f>
        <v> </v>
      </c>
    </row>
    <row r="133" customFormat="false" ht="12.75" hidden="false" customHeight="false" outlineLevel="0" collapsed="false">
      <c r="F133" s="184"/>
      <c r="H133" s="153" t="str">
        <f aca="false">IF(H$4="X"," ",IF(G133&lt;&gt;0,G133*H$2/(100+H$2)," "))</f>
        <v> </v>
      </c>
      <c r="I133" s="153" t="str">
        <f aca="false">IF((G133&lt;&gt;0),G133-H133," ")</f>
        <v> </v>
      </c>
    </row>
    <row r="134" customFormat="false" ht="12.75" hidden="false" customHeight="false" outlineLevel="0" collapsed="false">
      <c r="F134" s="184"/>
      <c r="H134" s="153" t="str">
        <f aca="false">IF(H$4="X"," ",IF(G134&lt;&gt;0,G134*H$2/(100+H$2)," "))</f>
        <v> </v>
      </c>
      <c r="I134" s="153" t="str">
        <f aca="false">IF((G134&lt;&gt;0),G134-H134," ")</f>
        <v> </v>
      </c>
    </row>
    <row r="135" customFormat="false" ht="12.75" hidden="false" customHeight="false" outlineLevel="0" collapsed="false">
      <c r="F135" s="184"/>
      <c r="H135" s="153" t="str">
        <f aca="false">IF(H$4="X"," ",IF(G135&lt;&gt;0,G135*H$2/(100+H$2)," "))</f>
        <v> </v>
      </c>
      <c r="I135" s="153" t="str">
        <f aca="false">IF((G135&lt;&gt;0),G135-H135," ")</f>
        <v> </v>
      </c>
    </row>
    <row r="136" customFormat="false" ht="12.75" hidden="false" customHeight="false" outlineLevel="0" collapsed="false">
      <c r="F136" s="184"/>
      <c r="H136" s="153" t="str">
        <f aca="false">IF(H$4="X"," ",IF(G136&lt;&gt;0,G136*H$2/(100+H$2)," "))</f>
        <v> </v>
      </c>
      <c r="I136" s="153" t="str">
        <f aca="false">IF((G136&lt;&gt;0),G136-H136," ")</f>
        <v> </v>
      </c>
    </row>
    <row r="137" customFormat="false" ht="12.75" hidden="false" customHeight="false" outlineLevel="0" collapsed="false">
      <c r="F137" s="184"/>
      <c r="H137" s="153" t="str">
        <f aca="false">IF(H$4="X"," ",IF(G137&lt;&gt;0,G137*H$2/(100+H$2)," "))</f>
        <v> </v>
      </c>
      <c r="I137" s="153" t="str">
        <f aca="false">IF((G137&lt;&gt;0),G137-H137," ")</f>
        <v> </v>
      </c>
    </row>
    <row r="138" customFormat="false" ht="12.75" hidden="false" customHeight="false" outlineLevel="0" collapsed="false">
      <c r="F138" s="184"/>
      <c r="H138" s="153" t="str">
        <f aca="false">IF(H$4="X"," ",IF(G138&lt;&gt;0,G138*H$2/(100+H$2)," "))</f>
        <v> </v>
      </c>
      <c r="I138" s="153" t="str">
        <f aca="false">IF((G138&lt;&gt;0),G138-H138," ")</f>
        <v> </v>
      </c>
    </row>
    <row r="139" customFormat="false" ht="12.75" hidden="false" customHeight="false" outlineLevel="0" collapsed="false">
      <c r="F139" s="184"/>
      <c r="H139" s="153" t="str">
        <f aca="false">IF(H$4="X"," ",IF(G139&lt;&gt;0,G139*H$2/(100+H$2)," "))</f>
        <v> </v>
      </c>
      <c r="I139" s="153" t="str">
        <f aca="false">IF((G139&lt;&gt;0),G139-H139," ")</f>
        <v> </v>
      </c>
    </row>
    <row r="140" customFormat="false" ht="12.75" hidden="false" customHeight="false" outlineLevel="0" collapsed="false">
      <c r="F140" s="184"/>
      <c r="H140" s="153" t="str">
        <f aca="false">IF(H$4="X"," ",IF(G140&lt;&gt;0,G140*H$2/(100+H$2)," "))</f>
        <v> </v>
      </c>
      <c r="I140" s="153" t="str">
        <f aca="false">IF((G140&lt;&gt;0),G140-H140," ")</f>
        <v> </v>
      </c>
    </row>
    <row r="141" customFormat="false" ht="12.75" hidden="false" customHeight="false" outlineLevel="0" collapsed="false">
      <c r="F141" s="184"/>
      <c r="H141" s="153" t="str">
        <f aca="false">IF(H$4="X"," ",IF(G141&lt;&gt;0,G141*H$2/(100+H$2)," "))</f>
        <v> </v>
      </c>
      <c r="I141" s="153" t="str">
        <f aca="false">IF((G141&lt;&gt;0),G141-H141," ")</f>
        <v> </v>
      </c>
    </row>
    <row r="142" customFormat="false" ht="12.75" hidden="false" customHeight="false" outlineLevel="0" collapsed="false">
      <c r="F142" s="184"/>
      <c r="H142" s="153" t="str">
        <f aca="false">IF(H$4="X"," ",IF(G142&lt;&gt;0,G142*H$2/(100+H$2)," "))</f>
        <v> </v>
      </c>
      <c r="I142" s="153" t="str">
        <f aca="false">IF((G142&lt;&gt;0),G142-H142," ")</f>
        <v> </v>
      </c>
    </row>
    <row r="143" customFormat="false" ht="12.75" hidden="false" customHeight="false" outlineLevel="0" collapsed="false">
      <c r="F143" s="184"/>
      <c r="H143" s="153" t="str">
        <f aca="false">IF(H$4="X"," ",IF(G143&lt;&gt;0,G143*H$2/(100+H$2)," "))</f>
        <v> </v>
      </c>
      <c r="I143" s="153" t="str">
        <f aca="false">IF((G143&lt;&gt;0),G143-H143," ")</f>
        <v> </v>
      </c>
    </row>
    <row r="144" customFormat="false" ht="12.75" hidden="false" customHeight="false" outlineLevel="0" collapsed="false">
      <c r="F144" s="184"/>
      <c r="H144" s="153" t="str">
        <f aca="false">IF(H$4="X"," ",IF(G144&lt;&gt;0,G144*H$2/(100+H$2)," "))</f>
        <v> </v>
      </c>
      <c r="I144" s="153" t="str">
        <f aca="false">IF((G144&lt;&gt;0),G144-H144," ")</f>
        <v> </v>
      </c>
    </row>
    <row r="145" customFormat="false" ht="12.75" hidden="false" customHeight="false" outlineLevel="0" collapsed="false">
      <c r="F145" s="184"/>
      <c r="H145" s="153" t="str">
        <f aca="false">IF(H$4="X"," ",IF(G145&lt;&gt;0,G145*H$2/(100+H$2)," "))</f>
        <v> </v>
      </c>
      <c r="I145" s="153" t="str">
        <f aca="false">IF((G145&lt;&gt;0),G145-H145," ")</f>
        <v> </v>
      </c>
    </row>
    <row r="146" customFormat="false" ht="12.75" hidden="false" customHeight="false" outlineLevel="0" collapsed="false">
      <c r="F146" s="184"/>
      <c r="H146" s="153" t="str">
        <f aca="false">IF(H$4="X"," ",IF(G146&lt;&gt;0,G146*H$2/(100+H$2)," "))</f>
        <v> </v>
      </c>
      <c r="I146" s="153" t="str">
        <f aca="false">IF((G146&lt;&gt;0),G146-H146," ")</f>
        <v> </v>
      </c>
    </row>
    <row r="147" customFormat="false" ht="12.75" hidden="false" customHeight="false" outlineLevel="0" collapsed="false">
      <c r="F147" s="184"/>
      <c r="H147" s="153" t="str">
        <f aca="false">IF(H$4="X"," ",IF(G147&lt;&gt;0,G147*H$2/(100+H$2)," "))</f>
        <v> </v>
      </c>
      <c r="I147" s="153" t="str">
        <f aca="false">IF((G147&lt;&gt;0),G147-H147," ")</f>
        <v> </v>
      </c>
    </row>
    <row r="148" customFormat="false" ht="12.75" hidden="false" customHeight="false" outlineLevel="0" collapsed="false">
      <c r="F148" s="184"/>
      <c r="H148" s="153" t="str">
        <f aca="false">IF(H$4="X"," ",IF(G148&lt;&gt;0,G148*H$2/(100+H$2)," "))</f>
        <v> </v>
      </c>
      <c r="I148" s="153" t="str">
        <f aca="false">IF((G148&lt;&gt;0),G148-H148," ")</f>
        <v> </v>
      </c>
    </row>
    <row r="149" customFormat="false" ht="12.75" hidden="false" customHeight="false" outlineLevel="0" collapsed="false">
      <c r="F149" s="184"/>
      <c r="H149" s="153" t="str">
        <f aca="false">IF(H$4="X"," ",IF(G149&lt;&gt;0,G149*H$2/(100+H$2)," "))</f>
        <v> </v>
      </c>
      <c r="I149" s="153" t="str">
        <f aca="false">IF((G149&lt;&gt;0),G149-H149," ")</f>
        <v> </v>
      </c>
    </row>
    <row r="150" customFormat="false" ht="12.75" hidden="false" customHeight="false" outlineLevel="0" collapsed="false">
      <c r="F150" s="184"/>
      <c r="H150" s="153" t="str">
        <f aca="false">IF(H$4="X"," ",IF(G150&lt;&gt;0,G150*H$2/(100+H$2)," "))</f>
        <v> </v>
      </c>
      <c r="I150" s="153" t="str">
        <f aca="false">IF((G150&lt;&gt;0),G150-H150," ")</f>
        <v> </v>
      </c>
    </row>
    <row r="151" customFormat="false" ht="12.75" hidden="false" customHeight="false" outlineLevel="0" collapsed="false">
      <c r="F151" s="184"/>
      <c r="H151" s="153" t="str">
        <f aca="false">IF(H$4="X"," ",IF(G151&lt;&gt;0,G151*H$2/(100+H$2)," "))</f>
        <v> </v>
      </c>
      <c r="I151" s="153" t="str">
        <f aca="false">IF((G151&lt;&gt;0),G151-H151," ")</f>
        <v> </v>
      </c>
    </row>
    <row r="152" customFormat="false" ht="12.75" hidden="false" customHeight="false" outlineLevel="0" collapsed="false">
      <c r="F152" s="184"/>
      <c r="H152" s="153" t="str">
        <f aca="false">IF(H$4="X"," ",IF(G152&lt;&gt;0,G152*H$2/(100+H$2)," "))</f>
        <v> </v>
      </c>
      <c r="I152" s="153" t="str">
        <f aca="false">IF((G152&lt;&gt;0),G152-H152," ")</f>
        <v> </v>
      </c>
    </row>
    <row r="153" customFormat="false" ht="12.75" hidden="false" customHeight="false" outlineLevel="0" collapsed="false">
      <c r="F153" s="184"/>
      <c r="H153" s="153" t="str">
        <f aca="false">IF(H$4="X"," ",IF(G153&lt;&gt;0,G153*H$2/(100+H$2)," "))</f>
        <v> </v>
      </c>
      <c r="I153" s="153" t="str">
        <f aca="false">IF((G153&lt;&gt;0),G153-H153," ")</f>
        <v> </v>
      </c>
    </row>
    <row r="154" customFormat="false" ht="12.75" hidden="false" customHeight="false" outlineLevel="0" collapsed="false">
      <c r="F154" s="184"/>
      <c r="H154" s="153" t="str">
        <f aca="false">IF(H$4="X"," ",IF(G154&lt;&gt;0,G154*H$2/(100+H$2)," "))</f>
        <v> </v>
      </c>
      <c r="I154" s="153" t="str">
        <f aca="false">IF((G154&lt;&gt;0),G154-H154," ")</f>
        <v> </v>
      </c>
    </row>
    <row r="155" customFormat="false" ht="12.75" hidden="false" customHeight="false" outlineLevel="0" collapsed="false">
      <c r="F155" s="184"/>
      <c r="H155" s="153" t="str">
        <f aca="false">IF(H$4="X"," ",IF(G155&lt;&gt;0,G155*H$2/(100+H$2)," "))</f>
        <v> </v>
      </c>
      <c r="I155" s="153" t="str">
        <f aca="false">IF((G155&lt;&gt;0),G155-H155," ")</f>
        <v> </v>
      </c>
    </row>
    <row r="156" customFormat="false" ht="12.75" hidden="false" customHeight="false" outlineLevel="0" collapsed="false">
      <c r="F156" s="184"/>
      <c r="H156" s="153" t="str">
        <f aca="false">IF(H$4="X"," ",IF(G156&lt;&gt;0,G156*H$2/(100+H$2)," "))</f>
        <v> </v>
      </c>
      <c r="I156" s="153" t="str">
        <f aca="false">IF((G156&lt;&gt;0),G156-H156," ")</f>
        <v> </v>
      </c>
    </row>
    <row r="157" customFormat="false" ht="12.75" hidden="false" customHeight="false" outlineLevel="0" collapsed="false">
      <c r="F157" s="184"/>
      <c r="H157" s="153" t="str">
        <f aca="false">IF(H$4="X"," ",IF(G157&lt;&gt;0,G157*H$2/(100+H$2)," "))</f>
        <v> </v>
      </c>
      <c r="I157" s="153" t="str">
        <f aca="false">IF((G157&lt;&gt;0),G157-H157," ")</f>
        <v> </v>
      </c>
    </row>
    <row r="158" customFormat="false" ht="12.75" hidden="false" customHeight="false" outlineLevel="0" collapsed="false">
      <c r="F158" s="184"/>
      <c r="H158" s="153" t="str">
        <f aca="false">IF(H$4="X"," ",IF(G158&lt;&gt;0,G158*H$2/(100+H$2)," "))</f>
        <v> </v>
      </c>
      <c r="I158" s="153" t="str">
        <f aca="false">IF((G158&lt;&gt;0),G158-H158," ")</f>
        <v> </v>
      </c>
    </row>
    <row r="159" customFormat="false" ht="12.75" hidden="false" customHeight="false" outlineLevel="0" collapsed="false">
      <c r="F159" s="184"/>
      <c r="H159" s="153" t="str">
        <f aca="false">IF(H$4="X"," ",IF(G159&lt;&gt;0,G159*H$2/(100+H$2)," "))</f>
        <v> </v>
      </c>
      <c r="I159" s="153" t="str">
        <f aca="false">IF((G159&lt;&gt;0),G159-H159," ")</f>
        <v> </v>
      </c>
    </row>
    <row r="160" customFormat="false" ht="12.75" hidden="false" customHeight="false" outlineLevel="0" collapsed="false">
      <c r="F160" s="184"/>
      <c r="H160" s="153" t="str">
        <f aca="false">IF(H$4="X"," ",IF(G160&lt;&gt;0,G160*H$2/(100+H$2)," "))</f>
        <v> </v>
      </c>
      <c r="I160" s="153" t="str">
        <f aca="false">IF((G160&lt;&gt;0),G160-H160," ")</f>
        <v> </v>
      </c>
    </row>
    <row r="161" customFormat="false" ht="12.75" hidden="false" customHeight="false" outlineLevel="0" collapsed="false">
      <c r="F161" s="184"/>
      <c r="H161" s="153" t="str">
        <f aca="false">IF(H$4="X"," ",IF(G161&lt;&gt;0,G161*H$2/(100+H$2)," "))</f>
        <v> </v>
      </c>
      <c r="I161" s="153" t="str">
        <f aca="false">IF((G161&lt;&gt;0),G161-H161," ")</f>
        <v> </v>
      </c>
    </row>
    <row r="162" customFormat="false" ht="12.75" hidden="false" customHeight="false" outlineLevel="0" collapsed="false">
      <c r="F162" s="184"/>
      <c r="H162" s="153" t="str">
        <f aca="false">IF(H$4="X"," ",IF(G162&lt;&gt;0,G162*H$2/(100+H$2)," "))</f>
        <v> </v>
      </c>
      <c r="I162" s="153" t="str">
        <f aca="false">IF((G162&lt;&gt;0),G162-H162," ")</f>
        <v> </v>
      </c>
    </row>
    <row r="163" customFormat="false" ht="12.75" hidden="false" customHeight="false" outlineLevel="0" collapsed="false">
      <c r="F163" s="184"/>
      <c r="H163" s="153" t="str">
        <f aca="false">IF(H$4="X"," ",IF(G163&lt;&gt;0,G163*H$2/(100+H$2)," "))</f>
        <v> </v>
      </c>
      <c r="I163" s="153" t="str">
        <f aca="false">IF((G163&lt;&gt;0),G163-H163," ")</f>
        <v> </v>
      </c>
    </row>
    <row r="164" customFormat="false" ht="12.75" hidden="false" customHeight="false" outlineLevel="0" collapsed="false">
      <c r="F164" s="184"/>
      <c r="H164" s="153" t="str">
        <f aca="false">IF(H$4="X"," ",IF(G164&lt;&gt;0,G164*H$2/(100+H$2)," "))</f>
        <v> </v>
      </c>
      <c r="I164" s="153" t="str">
        <f aca="false">IF((G164&lt;&gt;0),G164-H164," ")</f>
        <v> </v>
      </c>
    </row>
    <row r="165" customFormat="false" ht="12.75" hidden="false" customHeight="false" outlineLevel="0" collapsed="false">
      <c r="F165" s="184"/>
      <c r="H165" s="153" t="str">
        <f aca="false">IF(H$4="X"," ",IF(G165&lt;&gt;0,G165*H$2/(100+H$2)," "))</f>
        <v> </v>
      </c>
      <c r="I165" s="153" t="str">
        <f aca="false">IF((G165&lt;&gt;0),G165-H165," ")</f>
        <v> </v>
      </c>
    </row>
    <row r="166" customFormat="false" ht="12.75" hidden="false" customHeight="false" outlineLevel="0" collapsed="false">
      <c r="F166" s="184"/>
      <c r="H166" s="153" t="str">
        <f aca="false">IF(H$4="X"," ",IF(G166&lt;&gt;0,G166*H$2/(100+H$2)," "))</f>
        <v> </v>
      </c>
      <c r="I166" s="153" t="str">
        <f aca="false">IF((G166&lt;&gt;0),G166-H166," ")</f>
        <v> </v>
      </c>
    </row>
    <row r="167" customFormat="false" ht="12.75" hidden="false" customHeight="false" outlineLevel="0" collapsed="false">
      <c r="F167" s="184"/>
      <c r="H167" s="153" t="str">
        <f aca="false">IF(H$4="X"," ",IF(G167&lt;&gt;0,G167*H$2/(100+H$2)," "))</f>
        <v> </v>
      </c>
      <c r="I167" s="153" t="str">
        <f aca="false">IF((G167&lt;&gt;0),G167-H167," ")</f>
        <v> </v>
      </c>
    </row>
    <row r="168" customFormat="false" ht="12.75" hidden="false" customHeight="false" outlineLevel="0" collapsed="false">
      <c r="F168" s="184"/>
      <c r="H168" s="153" t="str">
        <f aca="false">IF(H$4="X"," ",IF(G168&lt;&gt;0,G168*H$2/(100+H$2)," "))</f>
        <v> </v>
      </c>
      <c r="I168" s="153" t="str">
        <f aca="false">IF((G168&lt;&gt;0),G168-H168," ")</f>
        <v> </v>
      </c>
    </row>
    <row r="169" customFormat="false" ht="12.75" hidden="false" customHeight="false" outlineLevel="0" collapsed="false">
      <c r="F169" s="184"/>
      <c r="H169" s="153" t="str">
        <f aca="false">IF(H$4="X"," ",IF(G169&lt;&gt;0,G169*H$2/(100+H$2)," "))</f>
        <v> </v>
      </c>
      <c r="I169" s="153" t="str">
        <f aca="false">IF((G169&lt;&gt;0),G169-H169," ")</f>
        <v> </v>
      </c>
    </row>
    <row r="170" customFormat="false" ht="12.75" hidden="false" customHeight="false" outlineLevel="0" collapsed="false">
      <c r="F170" s="184"/>
      <c r="H170" s="153" t="str">
        <f aca="false">IF(H$4="X"," ",IF(G170&lt;&gt;0,G170*H$2/(100+H$2)," "))</f>
        <v> </v>
      </c>
      <c r="I170" s="153" t="str">
        <f aca="false">IF((G170&lt;&gt;0),G170-H170," ")</f>
        <v> </v>
      </c>
    </row>
    <row r="171" customFormat="false" ht="12.75" hidden="false" customHeight="false" outlineLevel="0" collapsed="false">
      <c r="F171" s="184"/>
      <c r="H171" s="153" t="str">
        <f aca="false">IF(H$4="X"," ",IF(G171&lt;&gt;0,G171*H$2/(100+H$2)," "))</f>
        <v> </v>
      </c>
      <c r="I171" s="153" t="str">
        <f aca="false">IF((G171&lt;&gt;0),G171-H171," ")</f>
        <v> </v>
      </c>
    </row>
    <row r="172" customFormat="false" ht="12.75" hidden="false" customHeight="false" outlineLevel="0" collapsed="false">
      <c r="F172" s="184"/>
      <c r="H172" s="153" t="str">
        <f aca="false">IF(H$4="X"," ",IF(G172&lt;&gt;0,G172*H$2/(100+H$2)," "))</f>
        <v> </v>
      </c>
      <c r="I172" s="153" t="str">
        <f aca="false">IF((G172&lt;&gt;0),G172-H172," ")</f>
        <v> </v>
      </c>
    </row>
    <row r="173" customFormat="false" ht="12.75" hidden="false" customHeight="false" outlineLevel="0" collapsed="false">
      <c r="F173" s="184"/>
      <c r="H173" s="153" t="str">
        <f aca="false">IF(H$4="X"," ",IF(G173&lt;&gt;0,G173*H$2/(100+H$2)," "))</f>
        <v> </v>
      </c>
      <c r="I173" s="153" t="str">
        <f aca="false">IF((G173&lt;&gt;0),G173-H173," ")</f>
        <v> </v>
      </c>
    </row>
    <row r="174" customFormat="false" ht="12.75" hidden="false" customHeight="false" outlineLevel="0" collapsed="false">
      <c r="F174" s="184"/>
      <c r="H174" s="153" t="str">
        <f aca="false">IF(H$4="X"," ",IF(G174&lt;&gt;0,G174*H$2/(100+H$2)," "))</f>
        <v> </v>
      </c>
      <c r="I174" s="153" t="str">
        <f aca="false">IF((G174&lt;&gt;0),G174-H174," ")</f>
        <v> </v>
      </c>
    </row>
    <row r="175" customFormat="false" ht="12.75" hidden="false" customHeight="false" outlineLevel="0" collapsed="false">
      <c r="F175" s="184"/>
      <c r="H175" s="153" t="str">
        <f aca="false">IF(H$4="X"," ",IF(G175&lt;&gt;0,G175*H$2/(100+H$2)," "))</f>
        <v> </v>
      </c>
      <c r="I175" s="153" t="str">
        <f aca="false">IF((G175&lt;&gt;0),G175-H175," ")</f>
        <v> </v>
      </c>
    </row>
    <row r="176" customFormat="false" ht="12.75" hidden="false" customHeight="false" outlineLevel="0" collapsed="false">
      <c r="F176" s="184"/>
      <c r="H176" s="153" t="str">
        <f aca="false">IF(H$4="X"," ",IF(G176&lt;&gt;0,G176*H$2/(100+H$2)," "))</f>
        <v> </v>
      </c>
      <c r="I176" s="153" t="str">
        <f aca="false">IF((G176&lt;&gt;0),G176-H176," ")</f>
        <v> </v>
      </c>
    </row>
    <row r="177" customFormat="false" ht="12.75" hidden="false" customHeight="false" outlineLevel="0" collapsed="false">
      <c r="F177" s="184"/>
      <c r="H177" s="153" t="str">
        <f aca="false">IF(H$4="X"," ",IF(G177&lt;&gt;0,G177*H$2/(100+H$2)," "))</f>
        <v> </v>
      </c>
      <c r="I177" s="153" t="str">
        <f aca="false">IF((G177&lt;&gt;0),G177-H177," ")</f>
        <v> </v>
      </c>
    </row>
    <row r="178" customFormat="false" ht="12.75" hidden="false" customHeight="false" outlineLevel="0" collapsed="false">
      <c r="F178" s="184"/>
      <c r="H178" s="153" t="str">
        <f aca="false">IF(H$4="X"," ",IF(G178&lt;&gt;0,G178*H$2/(100+H$2)," "))</f>
        <v> </v>
      </c>
      <c r="I178" s="153" t="str">
        <f aca="false">IF((G178&lt;&gt;0),G178-H178," ")</f>
        <v> </v>
      </c>
    </row>
    <row r="179" customFormat="false" ht="12.75" hidden="false" customHeight="false" outlineLevel="0" collapsed="false">
      <c r="F179" s="184"/>
      <c r="H179" s="153" t="str">
        <f aca="false">IF(H$4="X"," ",IF(G179&lt;&gt;0,G179*H$2/(100+H$2)," "))</f>
        <v> </v>
      </c>
      <c r="I179" s="153" t="str">
        <f aca="false">IF((G179&lt;&gt;0),G179-H179," ")</f>
        <v> </v>
      </c>
    </row>
    <row r="180" customFormat="false" ht="12.75" hidden="false" customHeight="false" outlineLevel="0" collapsed="false">
      <c r="F180" s="184"/>
      <c r="H180" s="153" t="str">
        <f aca="false">IF(H$4="X"," ",IF(G180&lt;&gt;0,G180*H$2/(100+H$2)," "))</f>
        <v> </v>
      </c>
      <c r="I180" s="153" t="str">
        <f aca="false">IF((G180&lt;&gt;0),G180-H180," ")</f>
        <v> </v>
      </c>
    </row>
    <row r="181" customFormat="false" ht="12.75" hidden="false" customHeight="false" outlineLevel="0" collapsed="false">
      <c r="F181" s="184"/>
      <c r="H181" s="153" t="str">
        <f aca="false">IF(H$4="X"," ",IF(G181&lt;&gt;0,G181*H$2/(100+H$2)," "))</f>
        <v> </v>
      </c>
      <c r="I181" s="153" t="str">
        <f aca="false">IF((G181&lt;&gt;0),G181-H181," ")</f>
        <v> </v>
      </c>
    </row>
    <row r="182" customFormat="false" ht="12.75" hidden="false" customHeight="false" outlineLevel="0" collapsed="false">
      <c r="F182" s="184"/>
      <c r="H182" s="153" t="str">
        <f aca="false">IF(H$4="X"," ",IF(G182&lt;&gt;0,G182*H$2/(100+H$2)," "))</f>
        <v> </v>
      </c>
      <c r="I182" s="153" t="str">
        <f aca="false">IF((G182&lt;&gt;0),G182-H182," ")</f>
        <v> </v>
      </c>
    </row>
    <row r="183" customFormat="false" ht="12.75" hidden="false" customHeight="false" outlineLevel="0" collapsed="false">
      <c r="F183" s="184"/>
      <c r="H183" s="153" t="str">
        <f aca="false">IF(H$4="X"," ",IF(G183&lt;&gt;0,G183*H$2/(100+H$2)," "))</f>
        <v> </v>
      </c>
      <c r="I183" s="153" t="str">
        <f aca="false">IF((G183&lt;&gt;0),G183-H183," ")</f>
        <v> </v>
      </c>
    </row>
    <row r="184" customFormat="false" ht="12.75" hidden="false" customHeight="false" outlineLevel="0" collapsed="false">
      <c r="F184" s="184"/>
      <c r="H184" s="153" t="str">
        <f aca="false">IF(H$4="X"," ",IF(G184&lt;&gt;0,G184*H$2/(100+H$2)," "))</f>
        <v> </v>
      </c>
      <c r="I184" s="153" t="str">
        <f aca="false">IF((G184&lt;&gt;0),G184-H184," ")</f>
        <v> </v>
      </c>
    </row>
    <row r="185" customFormat="false" ht="12.75" hidden="false" customHeight="false" outlineLevel="0" collapsed="false">
      <c r="F185" s="184"/>
      <c r="H185" s="153" t="str">
        <f aca="false">IF(H$4="X"," ",IF(G185&lt;&gt;0,G185*H$2/(100+H$2)," "))</f>
        <v> </v>
      </c>
      <c r="I185" s="153" t="str">
        <f aca="false">IF((G185&lt;&gt;0),G185-H185," ")</f>
        <v> </v>
      </c>
    </row>
    <row r="186" customFormat="false" ht="12.75" hidden="false" customHeight="false" outlineLevel="0" collapsed="false">
      <c r="F186" s="184"/>
      <c r="H186" s="153" t="str">
        <f aca="false">IF(H$4="X"," ",IF(G186&lt;&gt;0,G186*H$2/(100+H$2)," "))</f>
        <v> </v>
      </c>
      <c r="I186" s="153" t="str">
        <f aca="false">IF((G186&lt;&gt;0),G186-H186," ")</f>
        <v> </v>
      </c>
    </row>
    <row r="187" customFormat="false" ht="12.75" hidden="false" customHeight="false" outlineLevel="0" collapsed="false">
      <c r="F187" s="184"/>
      <c r="H187" s="153" t="str">
        <f aca="false">IF(H$4="X"," ",IF(G187&lt;&gt;0,G187*H$2/(100+H$2)," "))</f>
        <v> </v>
      </c>
      <c r="I187" s="153" t="str">
        <f aca="false">IF((G187&lt;&gt;0),G187-H187," ")</f>
        <v> </v>
      </c>
    </row>
    <row r="188" customFormat="false" ht="12.75" hidden="false" customHeight="false" outlineLevel="0" collapsed="false">
      <c r="F188" s="184"/>
      <c r="H188" s="153" t="str">
        <f aca="false">IF(H$4="X"," ",IF(G188&lt;&gt;0,G188*H$2/(100+H$2)," "))</f>
        <v> </v>
      </c>
      <c r="I188" s="153" t="str">
        <f aca="false">IF((G188&lt;&gt;0),G188-H188," ")</f>
        <v> </v>
      </c>
    </row>
    <row r="189" customFormat="false" ht="12.75" hidden="false" customHeight="false" outlineLevel="0" collapsed="false">
      <c r="F189" s="184"/>
      <c r="H189" s="153" t="str">
        <f aca="false">IF(H$4="X"," ",IF(G189&lt;&gt;0,G189*H$2/(100+H$2)," "))</f>
        <v> </v>
      </c>
      <c r="I189" s="153" t="str">
        <f aca="false">IF((G189&lt;&gt;0),G189-H189," ")</f>
        <v> </v>
      </c>
    </row>
    <row r="190" customFormat="false" ht="12.75" hidden="false" customHeight="false" outlineLevel="0" collapsed="false">
      <c r="F190" s="184"/>
      <c r="H190" s="153" t="str">
        <f aca="false">IF(H$4="X"," ",IF(G190&lt;&gt;0,G190*H$2/(100+H$2)," "))</f>
        <v> </v>
      </c>
      <c r="I190" s="153" t="str">
        <f aca="false">IF((G190&lt;&gt;0),G190-H190," ")</f>
        <v> </v>
      </c>
    </row>
    <row r="191" customFormat="false" ht="12.75" hidden="false" customHeight="false" outlineLevel="0" collapsed="false">
      <c r="F191" s="184"/>
      <c r="H191" s="153" t="str">
        <f aca="false">IF(H$4="X"," ",IF(G191&lt;&gt;0,G191*H$2/(100+H$2)," "))</f>
        <v> </v>
      </c>
      <c r="I191" s="153" t="str">
        <f aca="false">IF((G191&lt;&gt;0),G191-H191," ")</f>
        <v> </v>
      </c>
    </row>
    <row r="192" customFormat="false" ht="12.75" hidden="false" customHeight="false" outlineLevel="0" collapsed="false">
      <c r="F192" s="184"/>
      <c r="H192" s="153" t="str">
        <f aca="false">IF(H$4="X"," ",IF(G192&lt;&gt;0,G192*H$2/(100+H$2)," "))</f>
        <v> </v>
      </c>
      <c r="I192" s="153" t="str">
        <f aca="false">IF((G192&lt;&gt;0),G192-H192," ")</f>
        <v> </v>
      </c>
    </row>
    <row r="193" customFormat="false" ht="12.75" hidden="false" customHeight="false" outlineLevel="0" collapsed="false">
      <c r="F193" s="184"/>
      <c r="H193" s="153" t="str">
        <f aca="false">IF(H$4="X"," ",IF(G193&lt;&gt;0,G193*H$2/(100+H$2)," "))</f>
        <v> </v>
      </c>
      <c r="I193" s="153" t="str">
        <f aca="false">IF((G193&lt;&gt;0),G193-H193," ")</f>
        <v> </v>
      </c>
    </row>
    <row r="194" customFormat="false" ht="12.75" hidden="false" customHeight="false" outlineLevel="0" collapsed="false">
      <c r="F194" s="184"/>
      <c r="H194" s="153" t="str">
        <f aca="false">IF(H$4="X"," ",IF(G194&lt;&gt;0,G194*H$2/(100+H$2)," "))</f>
        <v> </v>
      </c>
      <c r="I194" s="153" t="str">
        <f aca="false">IF((G194&lt;&gt;0),G194-H194," ")</f>
        <v> </v>
      </c>
    </row>
    <row r="195" customFormat="false" ht="12.75" hidden="false" customHeight="false" outlineLevel="0" collapsed="false">
      <c r="F195" s="184"/>
      <c r="H195" s="153" t="str">
        <f aca="false">IF(H$4="X"," ",IF(G195&lt;&gt;0,G195*H$2/(100+H$2)," "))</f>
        <v> </v>
      </c>
      <c r="I195" s="153" t="str">
        <f aca="false">IF((G195&lt;&gt;0),G195-H195," ")</f>
        <v> </v>
      </c>
    </row>
    <row r="196" customFormat="false" ht="12.75" hidden="false" customHeight="false" outlineLevel="0" collapsed="false">
      <c r="F196" s="184"/>
      <c r="H196" s="153" t="str">
        <f aca="false">IF(H$4="X"," ",IF(G196&lt;&gt;0,G196*H$2/(100+H$2)," "))</f>
        <v> </v>
      </c>
      <c r="I196" s="153" t="str">
        <f aca="false">IF((G196&lt;&gt;0),G196-H196," ")</f>
        <v> </v>
      </c>
    </row>
    <row r="197" customFormat="false" ht="12.75" hidden="false" customHeight="false" outlineLevel="0" collapsed="false">
      <c r="F197" s="184"/>
      <c r="H197" s="153" t="str">
        <f aca="false">IF(H$4="X"," ",IF(G197&lt;&gt;0,G197*H$2/(100+H$2)," "))</f>
        <v> </v>
      </c>
      <c r="I197" s="153" t="str">
        <f aca="false">IF((G197&lt;&gt;0),G197-H197," ")</f>
        <v> </v>
      </c>
    </row>
    <row r="198" customFormat="false" ht="12.75" hidden="false" customHeight="false" outlineLevel="0" collapsed="false">
      <c r="F198" s="184"/>
      <c r="H198" s="153" t="str">
        <f aca="false">IF(H$4="X"," ",IF(G198&lt;&gt;0,G198*H$2/(100+H$2)," "))</f>
        <v> </v>
      </c>
      <c r="I198" s="153" t="str">
        <f aca="false">IF((G198&lt;&gt;0),G198-H198," ")</f>
        <v> </v>
      </c>
    </row>
    <row r="199" customFormat="false" ht="12.75" hidden="false" customHeight="false" outlineLevel="0" collapsed="false">
      <c r="F199" s="184"/>
      <c r="H199" s="153" t="str">
        <f aca="false">IF(H$4="X"," ",IF(G199&lt;&gt;0,G199*H$2/(100+H$2)," "))</f>
        <v> </v>
      </c>
      <c r="I199" s="153" t="str">
        <f aca="false">IF((G199&lt;&gt;0),G199-H199," ")</f>
        <v> </v>
      </c>
    </row>
    <row r="200" customFormat="false" ht="12.75" hidden="false" customHeight="false" outlineLevel="0" collapsed="false">
      <c r="A200" s="232"/>
      <c r="B200" s="221"/>
      <c r="C200" s="225"/>
      <c r="D200" s="213"/>
      <c r="E200" s="261"/>
      <c r="F200" s="221"/>
      <c r="G200" s="211"/>
      <c r="H200" s="211" t="str">
        <f aca="false">IF(H$4="X"," ",IF(G200&lt;&gt;0,G200*H$2/(100+H$2)," "))</f>
        <v> </v>
      </c>
      <c r="I200" s="211" t="str">
        <f aca="false">IF((G200&lt;&gt;0),G200-H200," ")</f>
        <v> </v>
      </c>
    </row>
    <row r="201" customFormat="false" ht="12.75" hidden="false" customHeight="false" outlineLevel="0" collapsed="false">
      <c r="A201" s="285" t="s">
        <v>544</v>
      </c>
      <c r="H201" s="153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