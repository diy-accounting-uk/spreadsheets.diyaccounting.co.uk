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<sst xmlns="http://schemas.openxmlformats.org/spreadsheetml/2006/main" count="799" uniqueCount="439">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</sst>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128469.475166666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130552.8085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120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IT consultancy and software development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169801.983333333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23071.4585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169398.016666666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84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2" t="n">
        <f aca="false">Admin!G5</f>
        <v>0.14</v>
      </c>
      <c r="H141" s="132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163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64000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23071.4585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128469.475166666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190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33</v>
      </c>
      <c r="O190" s="137" t="s">
        <v>196</v>
      </c>
      <c r="P190" s="138"/>
      <c r="Q190" s="138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128469.475166666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7" t="s">
        <v>196</v>
      </c>
      <c r="E197" s="138"/>
      <c r="F197" s="13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130552.8085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7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214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33</v>
      </c>
      <c r="O255" s="150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33</v>
      </c>
      <c r="O261" s="137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33</v>
      </c>
      <c r="O265" s="137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7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245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254</v>
      </c>
      <c r="B2" s="162" t="s">
        <v>255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33</v>
      </c>
      <c r="C4" s="167" t="s">
        <v>33</v>
      </c>
      <c r="D4" s="167" t="s">
        <v>33</v>
      </c>
      <c r="E4" s="167" t="s">
        <v>33</v>
      </c>
      <c r="F4" s="168" t="s">
        <v>33</v>
      </c>
      <c r="G4" s="167" t="s">
        <v>33</v>
      </c>
      <c r="H4" s="167" t="s">
        <v>33</v>
      </c>
      <c r="I4" s="168" t="s">
        <v>33</v>
      </c>
      <c r="J4" s="167" t="s">
        <v>33</v>
      </c>
      <c r="K4" s="167" t="s">
        <v>33</v>
      </c>
      <c r="L4" s="168" t="s">
        <v>33</v>
      </c>
      <c r="M4" s="169" t="s">
        <v>33</v>
      </c>
      <c r="N4" s="167" t="s">
        <v>33</v>
      </c>
      <c r="O4" s="165"/>
    </row>
    <row r="5" customFormat="false" ht="12" hidden="false" customHeight="false" outlineLevel="0" collapsed="false">
      <c r="A5" s="170" t="s">
        <v>256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257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258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259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260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261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262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263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264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265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266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267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268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269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270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271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272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273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274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275</v>
      </c>
      <c r="B27" s="171" t="n">
        <f aca="false">SUM(C27:N27)</f>
        <v>4091.66666666667</v>
      </c>
      <c r="C27" s="172" t="n">
        <f aca="false">[3]Apr!$Y$1+[3]Apr!$AC$1</f>
        <v>0</v>
      </c>
      <c r="D27" s="172" t="n">
        <f aca="false">[3]May!$Y$1+[3]May!$AC$1</f>
        <v>500</v>
      </c>
      <c r="E27" s="173" t="n">
        <f aca="false">[3]Jun!$Y$1+[3]Jun!$AC$1</f>
        <v>0</v>
      </c>
      <c r="F27" s="172" t="n">
        <f aca="false">[3]Jul!$Y$1+[3]Jul!$AC$1</f>
        <v>400</v>
      </c>
      <c r="G27" s="172" t="n">
        <f aca="false">[3]Aug!$Y$1+[3]Aug!$AC$1</f>
        <v>291.666666666667</v>
      </c>
      <c r="H27" s="173" t="n">
        <f aca="false">[3]Sep!$Y$1+[3]Sep!$AC$1</f>
        <v>0</v>
      </c>
      <c r="I27" s="172" t="n">
        <f aca="false">[3]Oct!$Y$1+[3]Oct!$AC$1</f>
        <v>2500</v>
      </c>
      <c r="J27" s="172" t="n">
        <f aca="false">[3]Nov!$Y$1+[3]Nov!$AC$1</f>
        <v>0</v>
      </c>
      <c r="K27" s="173" t="n">
        <f aca="false">[3]Dec!$Y$1+[3]Dec!$AC$1</f>
        <v>0</v>
      </c>
      <c r="L27" s="172" t="n">
        <f aca="false">[3]Jan!$Y$1+[3]Jan!$AC$1</f>
        <v>400</v>
      </c>
      <c r="M27" s="172" t="n">
        <f aca="false">[3]Feb!$Y$1+[3]Feb!$AC$1</f>
        <v>0</v>
      </c>
      <c r="N27" s="172" t="n">
        <f aca="false">[3]Mar!$Y$1+[3]Mar!$AC$1</f>
        <v>0</v>
      </c>
      <c r="O27" s="165"/>
    </row>
    <row r="28" customFormat="false" ht="12" hidden="false" customHeight="false" outlineLevel="0" collapsed="false">
      <c r="A28" s="183" t="s">
        <v>276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277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278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279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280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281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282</v>
      </c>
      <c r="B34" s="171" t="n">
        <f aca="false">SUM(C34:N34)</f>
        <v>13740</v>
      </c>
      <c r="C34" s="172" t="n">
        <f aca="false">([1]Schedule!$I$1)/12</f>
        <v>1145</v>
      </c>
      <c r="D34" s="172" t="n">
        <f aca="false">([1]Schedule!$I$1)/12</f>
        <v>1145</v>
      </c>
      <c r="E34" s="173" t="n">
        <f aca="false">([1]Schedule!$I$1)/12</f>
        <v>1145</v>
      </c>
      <c r="F34" s="172" t="n">
        <f aca="false">([1]Schedule!$I$1)/12</f>
        <v>1145</v>
      </c>
      <c r="G34" s="172" t="n">
        <f aca="false">([1]Schedule!$I$1)/12</f>
        <v>1145</v>
      </c>
      <c r="H34" s="173" t="n">
        <f aca="false">([1]Schedule!$I$1)/12</f>
        <v>1145</v>
      </c>
      <c r="I34" s="172" t="n">
        <f aca="false">([1]Schedule!$I$1)/12</f>
        <v>1145</v>
      </c>
      <c r="J34" s="172" t="n">
        <f aca="false">([1]Schedule!$I$1)/12</f>
        <v>1145</v>
      </c>
      <c r="K34" s="173" t="n">
        <f aca="false">([1]Schedule!$I$1)/12</f>
        <v>1145</v>
      </c>
      <c r="L34" s="172" t="n">
        <f aca="false">([1]Schedule!$I$1)/12</f>
        <v>1145</v>
      </c>
      <c r="M34" s="172" t="n">
        <f aca="false">([1]Schedule!$I$1)/12</f>
        <v>1145</v>
      </c>
      <c r="N34" s="172" t="n">
        <f aca="false">([1]Schedule!$I$1)/12</f>
        <v>1145</v>
      </c>
      <c r="O34" s="165"/>
    </row>
    <row r="35" customFormat="false" ht="12" hidden="false" customHeight="false" outlineLevel="0" collapsed="false">
      <c r="A35" s="174" t="s">
        <v>268</v>
      </c>
      <c r="B35" s="171" t="n">
        <f aca="false">SUM(B21:B34)</f>
        <v>149665.316666667</v>
      </c>
      <c r="C35" s="171" t="n">
        <f aca="false">SUM(C21:C34)</f>
        <v>12012.7833333333</v>
      </c>
      <c r="D35" s="171" t="n">
        <f aca="false">SUM(D21:D34)</f>
        <v>11323.5333333333</v>
      </c>
      <c r="E35" s="171" t="n">
        <f aca="false">SUM(E21:E34)</f>
        <v>13592.8666666667</v>
      </c>
      <c r="F35" s="175" t="n">
        <f aca="false">SUM(F21:F34)</f>
        <v>13829.7833333333</v>
      </c>
      <c r="G35" s="171" t="n">
        <f aca="false">SUM(G21:G34)</f>
        <v>11766.1166666667</v>
      </c>
      <c r="H35" s="171" t="n">
        <f aca="false">SUM(H21:H34)</f>
        <v>13242.8666666667</v>
      </c>
      <c r="I35" s="175" t="n">
        <f aca="false">SUM(I21:I34)</f>
        <v>13692.2833333333</v>
      </c>
      <c r="J35" s="171" t="n">
        <f aca="false">SUM(J21:J34)</f>
        <v>10880.5333333333</v>
      </c>
      <c r="K35" s="171" t="n">
        <f aca="false">SUM(K21:K34)</f>
        <v>15898.5333333333</v>
      </c>
      <c r="L35" s="175" t="n">
        <f aca="false">SUM(L21:L34)</f>
        <v>11392.7833333333</v>
      </c>
      <c r="M35" s="171" t="n">
        <f aca="false">SUM(M21:M34)</f>
        <v>11066.0333333333</v>
      </c>
      <c r="N35" s="171" t="n">
        <f aca="false">SUM(N21:N34)</f>
        <v>10967.2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283</v>
      </c>
      <c r="B37" s="171" t="n">
        <f aca="false">B19-B35</f>
        <v>171481.35</v>
      </c>
      <c r="C37" s="171" t="n">
        <f aca="false">C19-C35</f>
        <v>15083.05</v>
      </c>
      <c r="D37" s="171" t="n">
        <f aca="false">D19-D35</f>
        <v>15102.3</v>
      </c>
      <c r="E37" s="171" t="n">
        <f aca="false">E19-E35</f>
        <v>11036.3</v>
      </c>
      <c r="F37" s="175" t="n">
        <f aca="false">F19-F35</f>
        <v>13096.05</v>
      </c>
      <c r="G37" s="171" t="n">
        <f aca="false">G19-G35</f>
        <v>17563.05</v>
      </c>
      <c r="H37" s="171" t="n">
        <f aca="false">H19-H35</f>
        <v>14182.9666666666</v>
      </c>
      <c r="I37" s="175" t="n">
        <f aca="false">I19-I35</f>
        <v>15303.55</v>
      </c>
      <c r="J37" s="171" t="n">
        <f aca="false">J19-J35</f>
        <v>15145.3</v>
      </c>
      <c r="K37" s="171" t="n">
        <f aca="false">K19-K35</f>
        <v>10797.3</v>
      </c>
      <c r="L37" s="175" t="n">
        <f aca="false">L19-L35</f>
        <v>17283.05</v>
      </c>
      <c r="M37" s="171" t="n">
        <f aca="false">M19-M35</f>
        <v>16479.8</v>
      </c>
      <c r="N37" s="171" t="n">
        <f aca="false">N19-N35</f>
        <v>10408.6333333333</v>
      </c>
      <c r="O37" s="165"/>
    </row>
    <row r="38" customFormat="false" ht="12" hidden="false" customHeight="false" outlineLevel="0" collapsed="false">
      <c r="A38" s="170" t="s">
        <v>284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285</v>
      </c>
      <c r="B39" s="171" t="n">
        <f aca="false">B37+B38</f>
        <v>171481.35</v>
      </c>
      <c r="C39" s="171" t="n">
        <f aca="false">C37+C38</f>
        <v>15083.05</v>
      </c>
      <c r="D39" s="171" t="n">
        <f aca="false">D37+D38</f>
        <v>15102.3</v>
      </c>
      <c r="E39" s="171" t="n">
        <f aca="false">E37+E38</f>
        <v>11036.3</v>
      </c>
      <c r="F39" s="175" t="n">
        <f aca="false">F37+F38</f>
        <v>13096.05</v>
      </c>
      <c r="G39" s="171" t="n">
        <f aca="false">G37+G38</f>
        <v>17563.05</v>
      </c>
      <c r="H39" s="171" t="n">
        <f aca="false">H37+H38</f>
        <v>14182.9666666666</v>
      </c>
      <c r="I39" s="175" t="n">
        <f aca="false">I37+I38</f>
        <v>15303.55</v>
      </c>
      <c r="J39" s="171" t="n">
        <f aca="false">J37+J38</f>
        <v>15145.3</v>
      </c>
      <c r="K39" s="171" t="n">
        <f aca="false">K37+K38</f>
        <v>10797.3</v>
      </c>
      <c r="L39" s="175" t="n">
        <f aca="false">L37+L38</f>
        <v>17283.05</v>
      </c>
      <c r="M39" s="171" t="n">
        <f aca="false">M37+M38</f>
        <v>16479.8</v>
      </c>
      <c r="N39" s="171" t="n">
        <f aca="false">N37+N38</f>
        <v>10408.6333333333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286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287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288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289</v>
      </c>
      <c r="B44" s="178" t="n">
        <f aca="false">SUM(C44:N44)</f>
        <v>43952.4769999998</v>
      </c>
      <c r="C44" s="178" t="n">
        <f aca="false">IF(C9&gt;0,'Profit Forecast'!C$46/12,0)</f>
        <v>3662.70641666665</v>
      </c>
      <c r="D44" s="178" t="n">
        <f aca="false">IF(D9&gt;0,'Profit Forecast'!C$46/12,0)</f>
        <v>3662.70641666665</v>
      </c>
      <c r="E44" s="178" t="n">
        <f aca="false">IF(E9&gt;0,'Profit Forecast'!C$46/12,0)</f>
        <v>3662.70641666665</v>
      </c>
      <c r="F44" s="178" t="n">
        <f aca="false">IF(F9&gt;0,'Profit Forecast'!C$46/12,0)</f>
        <v>3662.70641666665</v>
      </c>
      <c r="G44" s="178" t="n">
        <f aca="false">IF(G9&gt;0,'Profit Forecast'!C$46/12,0)</f>
        <v>3662.70641666665</v>
      </c>
      <c r="H44" s="178" t="n">
        <f aca="false">IF(H9&gt;0,'Profit Forecast'!C$46/12,0)</f>
        <v>3662.70641666665</v>
      </c>
      <c r="I44" s="178" t="n">
        <f aca="false">IF(I9&gt;0,'Profit Forecast'!C$46/12,0)</f>
        <v>3662.70641666665</v>
      </c>
      <c r="J44" s="178" t="n">
        <f aca="false">IF(J9&gt;0,'Profit Forecast'!C$46/12,0)</f>
        <v>3662.70641666665</v>
      </c>
      <c r="K44" s="178" t="n">
        <f aca="false">IF(K9&gt;0,'Profit Forecast'!C$46/12,0)</f>
        <v>3662.70641666665</v>
      </c>
      <c r="L44" s="178" t="n">
        <f aca="false">IF(L9&gt;0,'Profit Forecast'!C$46/12,0)</f>
        <v>3662.70641666665</v>
      </c>
      <c r="M44" s="178" t="n">
        <f aca="false">IF(M9&gt;0,'Profit Forecast'!C$46/12,0)</f>
        <v>3662.70641666665</v>
      </c>
      <c r="N44" s="178" t="n">
        <f aca="false">IF(N9&gt;0,'Profit Forecast'!C$46/12,0)</f>
        <v>3662.70641666665</v>
      </c>
      <c r="O44" s="165"/>
    </row>
    <row r="45" customFormat="false" ht="12" hidden="false" customHeight="false" outlineLevel="0" collapsed="false">
      <c r="A45" s="189" t="s">
        <v>290</v>
      </c>
      <c r="B45" s="190" t="n">
        <f aca="false">SUM(C45:N45)</f>
        <v>100528.873</v>
      </c>
      <c r="C45" s="191" t="n">
        <f aca="false">C39-C42-C44</f>
        <v>10420.3435833333</v>
      </c>
      <c r="D45" s="192" t="n">
        <f aca="false">D39-D42-D44</f>
        <v>10439.5935833333</v>
      </c>
      <c r="E45" s="192" t="n">
        <f aca="false">E39-E42-E44</f>
        <v>6373.59358333332</v>
      </c>
      <c r="F45" s="192" t="n">
        <f aca="false">F39-F42-F44</f>
        <v>5433.34358333332</v>
      </c>
      <c r="G45" s="192" t="n">
        <f aca="false">G39-G42-G44</f>
        <v>12900.3435833333</v>
      </c>
      <c r="H45" s="192" t="n">
        <f aca="false">H39-H42-H44</f>
        <v>9520.26024999999</v>
      </c>
      <c r="I45" s="192" t="n">
        <f aca="false">I39-I42-I44</f>
        <v>7640.84358333332</v>
      </c>
      <c r="J45" s="192" t="n">
        <f aca="false">J39-J42-J44</f>
        <v>10482.5935833333</v>
      </c>
      <c r="K45" s="192" t="n">
        <f aca="false">K39-K42-K44</f>
        <v>6134.59358333332</v>
      </c>
      <c r="L45" s="192" t="n">
        <f aca="false">L39-L42-L44</f>
        <v>9620.34358333332</v>
      </c>
      <c r="M45" s="192" t="n">
        <f aca="false">M39-M42-M44</f>
        <v>11817.0935833333</v>
      </c>
      <c r="N45" s="192" t="n">
        <f aca="false">N39-N42-N44</f>
        <v>-254.073083333347</v>
      </c>
      <c r="O45" s="165"/>
    </row>
    <row r="46" customFormat="false" ht="12" hidden="false" customHeight="false" outlineLevel="0" collapsed="false">
      <c r="A46" s="183" t="s">
        <v>239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  <row r="49" customFormat="false" ht="12" hidden="false" customHeight="false" outlineLevel="0" collapsed="false">
      <c r="A49" s="183" t="s">
        <v>291</v>
      </c>
      <c r="B49" s="171" t="n">
        <f aca="false">SUM(C49:N49)</f>
        <v>291.666666666667</v>
      </c>
      <c r="C49" s="172" t="n">
        <f aca="false">[3]Apr!$AC$1</f>
        <v>0</v>
      </c>
      <c r="D49" s="172" t="n">
        <f aca="false">[3]May!$AC$1</f>
        <v>0</v>
      </c>
      <c r="E49" s="173" t="n">
        <f aca="false">[3]Jun!$AC$1</f>
        <v>0</v>
      </c>
      <c r="F49" s="172" t="n">
        <f aca="false">[3]Jul!$AC$1</f>
        <v>0</v>
      </c>
      <c r="G49" s="172" t="n">
        <f aca="false">[3]Aug!$AC$1</f>
        <v>291.666666666667</v>
      </c>
      <c r="H49" s="173" t="n">
        <f aca="false">[3]Sep!$AC$1</f>
        <v>0</v>
      </c>
      <c r="I49" s="172" t="n">
        <f aca="false">[3]Oct!$AC$1</f>
        <v>0</v>
      </c>
      <c r="J49" s="172" t="n">
        <f aca="false">[3]Nov!$AC$1</f>
        <v>0</v>
      </c>
      <c r="K49" s="173" t="n">
        <f aca="false">[3]Dec!$AC$1</f>
        <v>0</v>
      </c>
      <c r="L49" s="172" t="n">
        <f aca="false">[3]Jan!$AC$1</f>
        <v>0</v>
      </c>
      <c r="M49" s="172" t="n">
        <f aca="false">[3]Feb!$AC$1</f>
        <v>0</v>
      </c>
      <c r="N49" s="173" t="n">
        <f aca="false">[3]Mar!$AC$1</f>
        <v>0</v>
      </c>
      <c r="O49" s="165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292</v>
      </c>
      <c r="C2" s="198" t="s">
        <v>293</v>
      </c>
      <c r="D2" s="198" t="s">
        <v>294</v>
      </c>
      <c r="E2" s="198" t="s">
        <v>295</v>
      </c>
      <c r="F2" s="198" t="s">
        <v>296</v>
      </c>
      <c r="G2" s="198" t="s">
        <v>297</v>
      </c>
      <c r="H2" s="198" t="s">
        <v>298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299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300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301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302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303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304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305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306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307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308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309</v>
      </c>
      <c r="C18" s="201" t="n">
        <f aca="false">SUM('Profit &amp; Loss Account'!C27:E27)</f>
        <v>500</v>
      </c>
      <c r="D18" s="201" t="n">
        <f aca="false">SUM('Profit &amp; Loss Account'!F27:H27)</f>
        <v>691.666666666667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4091.66666666667</v>
      </c>
      <c r="H18" s="196"/>
      <c r="I18" s="196"/>
    </row>
    <row r="19" customFormat="false" ht="12.75" hidden="false" customHeight="false" outlineLevel="0" collapsed="false">
      <c r="A19" s="196"/>
      <c r="B19" s="196" t="s">
        <v>310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311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312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313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314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315</v>
      </c>
      <c r="C25" s="201" t="n">
        <f aca="false">SUM('Profit &amp; Loss Account'!C49:E49)</f>
        <v>0</v>
      </c>
      <c r="D25" s="201" t="n">
        <f aca="false">SUM('Profit &amp; Loss Account'!F49:H49)</f>
        <v>291.666666666667</v>
      </c>
      <c r="E25" s="201" t="n">
        <f aca="false">SUM('Profit &amp; Loss Account'!I49:K49)</f>
        <v>0</v>
      </c>
      <c r="F25" s="201" t="n">
        <f aca="false">SUM('Profit &amp; Loss Account'!L49:N49)</f>
        <v>0</v>
      </c>
      <c r="G25" s="201" t="n">
        <f aca="false">SUM(C25:F25)</f>
        <v>291.666666666667</v>
      </c>
      <c r="H25" s="196"/>
      <c r="I25" s="196"/>
    </row>
    <row r="26" customFormat="false" ht="13.5" hidden="false" customHeight="true" outlineLevel="0" collapsed="false">
      <c r="A26" s="196"/>
      <c r="B26" s="196" t="s">
        <v>282</v>
      </c>
      <c r="C26" s="201" t="n">
        <f aca="false">SUM('Profit &amp; Loss Account'!C33:E34)</f>
        <v>3478</v>
      </c>
      <c r="D26" s="201" t="n">
        <f aca="false">SUM('Profit &amp; Loss Account'!F33:H34)</f>
        <v>3478</v>
      </c>
      <c r="E26" s="201" t="n">
        <f aca="false">SUM('Profit &amp; Loss Account'!I33:K34)</f>
        <v>3478</v>
      </c>
      <c r="F26" s="201" t="n">
        <f aca="false">SUM('Profit &amp; Loss Account'!L33:N34)</f>
        <v>3478</v>
      </c>
      <c r="G26" s="201" t="n">
        <f aca="false">SUM(C26:F26)</f>
        <v>13912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316</v>
      </c>
      <c r="C29" s="204" t="n">
        <f aca="false">SUM(C7,C12,C13,C14,C15,C16,C17,C18,C19,C20,C21,C22,C24,C26)</f>
        <v>43378.35</v>
      </c>
      <c r="D29" s="204" t="n">
        <f aca="false">SUM(D7,D12,D13,D14,D15,D16,D17,D18,D19,D20,D21,D22,D24,D26)</f>
        <v>41441.2666666667</v>
      </c>
      <c r="E29" s="204" t="n">
        <f aca="false">SUM(E7,E12,E13,E14,E15,E16,E17,E18,E19,E20,E21,E22,E24,E26)</f>
        <v>45153.85</v>
      </c>
      <c r="F29" s="204" t="n">
        <f aca="false">SUM(F7,F12,F13,F14,F15,F16,F17,F18,F19,F20,F21,F22,F24,F26)</f>
        <v>39828.5166666667</v>
      </c>
      <c r="G29" s="204" t="n">
        <f aca="false">SUM(G7,G12,G13,G14,G15,G16,G17,G18,G19,G20,G21,G22,G24,G26)</f>
        <v>169801.983333333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133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301</v>
      </c>
      <c r="C36" s="201" t="n">
        <f aca="false">C7*$I$36</f>
        <v>45.65</v>
      </c>
      <c r="D36" s="201" t="n">
        <f aca="false">D7*$I$36</f>
        <v>52.05</v>
      </c>
      <c r="E36" s="201" t="n">
        <f aca="false">E7*$I$36</f>
        <v>43.65</v>
      </c>
      <c r="F36" s="201" t="n">
        <f aca="false">F7*$I$36</f>
        <v>128.05</v>
      </c>
      <c r="G36" s="201" t="n">
        <f aca="false">SUM(C36:F36)</f>
        <v>269.4</v>
      </c>
      <c r="H36" s="196" t="s">
        <v>317</v>
      </c>
      <c r="I36" s="196" t="n">
        <v>0.02</v>
      </c>
    </row>
    <row r="37" customFormat="false" ht="13.5" hidden="false" customHeight="true" outlineLevel="0" collapsed="false">
      <c r="A37" s="196"/>
      <c r="B37" s="196" t="s">
        <v>314</v>
      </c>
      <c r="C37" s="201" t="n">
        <f aca="false">C24*$I$37</f>
        <v>125</v>
      </c>
      <c r="D37" s="201" t="n">
        <f aca="false">D24*$I$37</f>
        <v>0</v>
      </c>
      <c r="E37" s="201" t="n">
        <f aca="false">E24*$I$37</f>
        <v>75</v>
      </c>
      <c r="F37" s="201" t="n">
        <f aca="false">F24*$I$37</f>
        <v>0</v>
      </c>
      <c r="G37" s="201" t="n">
        <f aca="false">SUM(C37:F37)</f>
        <v>200</v>
      </c>
      <c r="H37" s="196" t="s">
        <v>317</v>
      </c>
      <c r="I37" s="196" t="n">
        <v>0.03</v>
      </c>
    </row>
    <row r="38" customFormat="false" ht="12.75" hidden="false" customHeight="false" outlineLevel="0" collapsed="false">
      <c r="A38" s="196"/>
      <c r="B38" s="196" t="s">
        <v>303</v>
      </c>
      <c r="C38" s="201" t="n">
        <f aca="false">C12*$I$38</f>
        <v>879.024</v>
      </c>
      <c r="D38" s="201" t="n">
        <f aca="false">D12*$I$38</f>
        <v>905.690666666667</v>
      </c>
      <c r="E38" s="201" t="n">
        <f aca="false">E12*$I$38</f>
        <v>1045.69066666667</v>
      </c>
      <c r="F38" s="201" t="n">
        <f aca="false">F12*$I$38</f>
        <v>879.024</v>
      </c>
      <c r="G38" s="201" t="n">
        <f aca="false">SUM(C38:F38)</f>
        <v>3709.42933333333</v>
      </c>
      <c r="H38" s="196" t="s">
        <v>317</v>
      </c>
      <c r="I38" s="196" t="n">
        <v>0.04</v>
      </c>
    </row>
    <row r="39" customFormat="false" ht="13.5" hidden="false" customHeight="true" outlineLevel="0" collapsed="false">
      <c r="A39" s="196"/>
      <c r="B39" s="196" t="s">
        <v>318</v>
      </c>
      <c r="C39" s="201" t="n">
        <f aca="false">C17*$I$39</f>
        <v>515.5625</v>
      </c>
      <c r="D39" s="201" t="n">
        <f aca="false">D17*$I$39</f>
        <v>467.625</v>
      </c>
      <c r="E39" s="201" t="n">
        <f aca="false">E17*$I$39</f>
        <v>493.3125</v>
      </c>
      <c r="F39" s="201" t="n">
        <f aca="false">F17*$I$39</f>
        <v>519.5625</v>
      </c>
      <c r="G39" s="201" t="n">
        <f aca="false">SUM(C39:F39)</f>
        <v>1996.0625</v>
      </c>
      <c r="H39" s="196" t="s">
        <v>317</v>
      </c>
      <c r="I39" s="196" t="n">
        <v>0.25</v>
      </c>
    </row>
    <row r="40" customFormat="false" ht="12.75" hidden="false" customHeight="false" outlineLevel="0" collapsed="false">
      <c r="A40" s="196"/>
      <c r="B40" s="196" t="s">
        <v>304</v>
      </c>
      <c r="C40" s="201" t="n">
        <f aca="false">C13*$I$40</f>
        <v>165</v>
      </c>
      <c r="D40" s="201" t="n">
        <f aca="false">D13*$I$40</f>
        <v>162.5</v>
      </c>
      <c r="E40" s="201" t="n">
        <f aca="false">E13*$I$40</f>
        <v>167.5</v>
      </c>
      <c r="F40" s="201" t="n">
        <f aca="false">F13*$I$40</f>
        <v>165</v>
      </c>
      <c r="G40" s="201" t="n">
        <f aca="false">SUM(C40:F40)</f>
        <v>660</v>
      </c>
      <c r="H40" s="196" t="s">
        <v>317</v>
      </c>
      <c r="I40" s="196" t="n">
        <v>0.05</v>
      </c>
    </row>
    <row r="41" customFormat="false" ht="12.75" hidden="false" customHeight="false" outlineLevel="0" collapsed="false">
      <c r="A41" s="196"/>
      <c r="B41" s="196" t="s">
        <v>305</v>
      </c>
      <c r="C41" s="201" t="n">
        <f aca="false">C14*$I$41</f>
        <v>6</v>
      </c>
      <c r="D41" s="201" t="n">
        <f aca="false">D14*$I$41</f>
        <v>21</v>
      </c>
      <c r="E41" s="201" t="n">
        <f aca="false">E14*$I$41</f>
        <v>4.8</v>
      </c>
      <c r="F41" s="201" t="n">
        <f aca="false">F14*$I$41</f>
        <v>25.2</v>
      </c>
      <c r="G41" s="201" t="n">
        <f aca="false">SUM(C41:F41)</f>
        <v>57</v>
      </c>
      <c r="H41" s="196" t="s">
        <v>317</v>
      </c>
      <c r="I41" s="196" t="n">
        <v>0.06</v>
      </c>
    </row>
    <row r="42" customFormat="false" ht="12.75" hidden="false" customHeight="false" outlineLevel="0" collapsed="false">
      <c r="A42" s="196"/>
      <c r="B42" s="196" t="s">
        <v>306</v>
      </c>
      <c r="C42" s="201" t="n">
        <f aca="false">C15*$I$42</f>
        <v>51.275</v>
      </c>
      <c r="D42" s="201" t="n">
        <f aca="false">D15*$I$42</f>
        <v>48.825</v>
      </c>
      <c r="E42" s="201" t="n">
        <f aca="false">E15*$I$42</f>
        <v>56.875</v>
      </c>
      <c r="F42" s="201" t="n">
        <f aca="false">F15*$I$42</f>
        <v>55.475</v>
      </c>
      <c r="G42" s="201" t="n">
        <f aca="false">SUM(C42:F42)</f>
        <v>212.45</v>
      </c>
      <c r="H42" s="196" t="s">
        <v>317</v>
      </c>
      <c r="I42" s="196" t="n">
        <v>0.07</v>
      </c>
    </row>
    <row r="43" customFormat="false" ht="12.75" hidden="false" customHeight="false" outlineLevel="0" collapsed="false">
      <c r="A43" s="196"/>
      <c r="B43" s="196" t="s">
        <v>309</v>
      </c>
      <c r="C43" s="201" t="n">
        <f aca="false">C18*$I$43</f>
        <v>40</v>
      </c>
      <c r="D43" s="201" t="n">
        <f aca="false">D18*$I$43</f>
        <v>55.3333333333334</v>
      </c>
      <c r="E43" s="201" t="n">
        <f aca="false">E18*$I$43</f>
        <v>200</v>
      </c>
      <c r="F43" s="201" t="n">
        <f aca="false">F18*$I$43</f>
        <v>32</v>
      </c>
      <c r="G43" s="201" t="n">
        <f aca="false">SUM(C43:F43)</f>
        <v>327.333333333333</v>
      </c>
      <c r="H43" s="196" t="s">
        <v>317</v>
      </c>
      <c r="I43" s="196" t="n">
        <v>0.08</v>
      </c>
    </row>
    <row r="44" customFormat="false" ht="12.75" hidden="false" customHeight="false" outlineLevel="0" collapsed="false">
      <c r="A44" s="196"/>
      <c r="B44" s="196" t="s">
        <v>315</v>
      </c>
      <c r="C44" s="201" t="n">
        <f aca="false">C25</f>
        <v>0</v>
      </c>
      <c r="D44" s="201" t="n">
        <f aca="false">D25</f>
        <v>291.666666666667</v>
      </c>
      <c r="E44" s="201" t="n">
        <f aca="false">E25</f>
        <v>0</v>
      </c>
      <c r="F44" s="201" t="n">
        <f aca="false">F25</f>
        <v>0</v>
      </c>
      <c r="G44" s="201" t="n">
        <f aca="false">SUM(C44:F44)</f>
        <v>291.666666666667</v>
      </c>
      <c r="H44" s="196" t="s">
        <v>319</v>
      </c>
      <c r="I44" s="196"/>
    </row>
    <row r="45" customFormat="false" ht="12.75" hidden="false" customHeight="false" outlineLevel="0" collapsed="false">
      <c r="A45" s="196"/>
      <c r="B45" s="196" t="s">
        <v>312</v>
      </c>
      <c r="C45" s="201" t="n">
        <f aca="false">C21*$I$45</f>
        <v>0</v>
      </c>
      <c r="D45" s="201" t="n">
        <f aca="false">D21*$I$45</f>
        <v>0</v>
      </c>
      <c r="E45" s="201" t="n">
        <f aca="false">E21*$I$45</f>
        <v>0</v>
      </c>
      <c r="F45" s="201" t="n">
        <f aca="false">F21*$I$45</f>
        <v>0</v>
      </c>
      <c r="G45" s="201" t="n">
        <f aca="false">SUM(C45:F45)</f>
        <v>0</v>
      </c>
      <c r="H45" s="196" t="s">
        <v>317</v>
      </c>
      <c r="I45" s="196" t="n">
        <v>0.09</v>
      </c>
    </row>
    <row r="46" customFormat="false" ht="12.75" hidden="false" customHeight="false" outlineLevel="0" collapsed="false">
      <c r="A46" s="196"/>
      <c r="B46" s="196" t="s">
        <v>320</v>
      </c>
      <c r="C46" s="201" t="n">
        <f aca="false">C16*$I$46</f>
        <v>227.5</v>
      </c>
      <c r="D46" s="201" t="n">
        <f aca="false">D16*$I$46</f>
        <v>130.8</v>
      </c>
      <c r="E46" s="201" t="n">
        <f aca="false">E16*$I$46</f>
        <v>19.2</v>
      </c>
      <c r="F46" s="201" t="n">
        <f aca="false">F16*$I$46</f>
        <v>12.5</v>
      </c>
      <c r="G46" s="201" t="n">
        <f aca="false">SUM(C46:F46)</f>
        <v>390</v>
      </c>
      <c r="H46" s="196" t="s">
        <v>317</v>
      </c>
      <c r="I46" s="196" t="n">
        <v>0.1</v>
      </c>
    </row>
    <row r="47" customFormat="false" ht="12.75" hidden="false" customHeight="false" outlineLevel="0" collapsed="false">
      <c r="A47" s="196"/>
      <c r="B47" s="196" t="s">
        <v>321</v>
      </c>
      <c r="C47" s="201" t="n">
        <f aca="false">C20*$I$47</f>
        <v>0</v>
      </c>
      <c r="D47" s="201" t="n">
        <f aca="false">D20*$I$47</f>
        <v>0</v>
      </c>
      <c r="E47" s="201" t="n">
        <f aca="false">E20*$I$47</f>
        <v>0</v>
      </c>
      <c r="F47" s="201" t="n">
        <f aca="false">F20*$I$47</f>
        <v>-33</v>
      </c>
      <c r="G47" s="201" t="n">
        <f aca="false">SUM(C47:F47)</f>
        <v>-33</v>
      </c>
      <c r="H47" s="196" t="s">
        <v>317</v>
      </c>
      <c r="I47" s="196" t="n">
        <v>0.11</v>
      </c>
    </row>
    <row r="48" customFormat="false" ht="12.75" hidden="false" customHeight="false" outlineLevel="0" collapsed="false">
      <c r="A48" s="196"/>
      <c r="B48" s="196" t="s">
        <v>310</v>
      </c>
      <c r="C48" s="201" t="n">
        <f aca="false">C19*$I$48</f>
        <v>115</v>
      </c>
      <c r="D48" s="201" t="n">
        <f aca="false">D19*$I$48</f>
        <v>506.8</v>
      </c>
      <c r="E48" s="201" t="n">
        <f aca="false">E19*$I$48</f>
        <v>106.7</v>
      </c>
      <c r="F48" s="201" t="n">
        <f aca="false">F19*$I$48</f>
        <v>102.5</v>
      </c>
      <c r="G48" s="201" t="n">
        <f aca="false">SUM(C48:F48)</f>
        <v>831</v>
      </c>
      <c r="H48" s="196" t="s">
        <v>317</v>
      </c>
      <c r="I48" s="196" t="n">
        <v>0.12</v>
      </c>
    </row>
    <row r="49" customFormat="false" ht="12.75" hidden="false" customHeight="false" outlineLevel="0" collapsed="false">
      <c r="A49" s="196"/>
      <c r="B49" s="196" t="s">
        <v>282</v>
      </c>
      <c r="C49" s="201" t="n">
        <f aca="false">SUM('Profit &amp; Loss Account'!C34:E34)</f>
        <v>3435</v>
      </c>
      <c r="D49" s="201" t="n">
        <f aca="false">SUM('Profit &amp; Loss Account'!F34:H34)</f>
        <v>3435</v>
      </c>
      <c r="E49" s="201" t="n">
        <f aca="false">SUM('Profit &amp; Loss Account'!I34:K34)</f>
        <v>3435</v>
      </c>
      <c r="F49" s="201" t="n">
        <f aca="false">SUM('Profit &amp; Loss Account'!L34:N34)</f>
        <v>3435</v>
      </c>
      <c r="G49" s="201" t="n">
        <f aca="false">SUM(C49:F49)</f>
        <v>13740</v>
      </c>
      <c r="H49" s="196" t="s">
        <v>322</v>
      </c>
      <c r="I49" s="196"/>
    </row>
    <row r="50" customFormat="false" ht="12.75" hidden="false" customHeight="false" outlineLevel="0" collapsed="false">
      <c r="A50" s="196"/>
      <c r="B50" s="196" t="s">
        <v>313</v>
      </c>
      <c r="C50" s="201" t="n">
        <f aca="false">C22*$I$50</f>
        <v>201.175</v>
      </c>
      <c r="D50" s="201" t="n">
        <f aca="false">D22*$I$50</f>
        <v>42.575</v>
      </c>
      <c r="E50" s="201" t="n">
        <f aca="false">E22*$I$50</f>
        <v>137.041666666667</v>
      </c>
      <c r="F50" s="201" t="n">
        <f aca="false">F22*$I$50</f>
        <v>39.325</v>
      </c>
      <c r="G50" s="201" t="n">
        <f aca="false">SUM(C50:F50)</f>
        <v>420.116666666666</v>
      </c>
      <c r="H50" s="196" t="s">
        <v>317</v>
      </c>
      <c r="I50" s="196" t="n">
        <v>0.13</v>
      </c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323</v>
      </c>
      <c r="C2" s="217" t="str">
        <f aca="false">Admin!L2</f>
        <v>2026-27</v>
      </c>
      <c r="D2" s="218" t="s">
        <v>324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325</v>
      </c>
      <c r="C5" s="223"/>
      <c r="D5" s="223"/>
      <c r="E5" s="224" t="n">
        <f aca="false">'SE Full'!O210</f>
        <v>130552.8085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326</v>
      </c>
      <c r="C6" s="221" t="str">
        <f aca="false">C2</f>
        <v>2026-27</v>
      </c>
      <c r="D6" s="226"/>
      <c r="E6" s="219" t="n">
        <f aca="false">IF(E5&lt;=0,0,MAX(0,Admin!N$4-MAX(0,E5-Admin!N$5)/2))</f>
        <v>0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327</v>
      </c>
      <c r="C7" s="223"/>
      <c r="D7" s="223"/>
      <c r="E7" s="224" t="n">
        <f aca="false">IF((E5&gt;E6),(E5-E6),0)</f>
        <v>130552.8085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328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329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34976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330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2435.76382499982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331</v>
      </c>
      <c r="C11" s="230"/>
      <c r="D11" s="231"/>
      <c r="E11" s="232" t="n">
        <f aca="false">SUM(E8:E10)</f>
        <v>44951.7638249998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332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333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334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335</v>
      </c>
      <c r="C16" s="240"/>
      <c r="D16" s="227" t="n">
        <f aca="false">Admin!L23</f>
        <v>0.02</v>
      </c>
      <c r="E16" s="241" t="n">
        <f aca="false">IF((E5&gt;Admin!N$23),((E5-Admin!N$23)*D16),0)</f>
        <v>1605.65616999999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336</v>
      </c>
      <c r="C18" s="242"/>
      <c r="D18" s="238"/>
      <c r="E18" s="232" t="n">
        <f aca="false">SUM(E11:E17)</f>
        <v>48819.4199949998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337</v>
      </c>
      <c r="C21" s="244"/>
      <c r="D21" s="245" t="s">
        <v>338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339</v>
      </c>
      <c r="E23" s="248" t="s">
        <v>340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341</v>
      </c>
      <c r="C25" s="251" t="str">
        <f aca="false">Admin!B24</f>
        <v>2027-28</v>
      </c>
      <c r="D25" s="252" t="s">
        <v>342</v>
      </c>
      <c r="E25" s="241" t="n">
        <f aca="false">E18</f>
        <v>48819.4199949998</v>
      </c>
      <c r="F25" s="215"/>
      <c r="G25" s="219"/>
    </row>
    <row r="26" customFormat="false" ht="12.75" hidden="false" customHeight="false" outlineLevel="0" collapsed="false">
      <c r="A26" s="212"/>
      <c r="B26" s="221" t="s">
        <v>343</v>
      </c>
      <c r="C26" s="221"/>
      <c r="D26" s="253" t="n">
        <f aca="false">Admin!B21</f>
        <v>46783</v>
      </c>
      <c r="E26" s="224" t="n">
        <f aca="false">E25/2</f>
        <v>24409.7099974999</v>
      </c>
      <c r="F26" s="215"/>
      <c r="G26" s="219"/>
    </row>
    <row r="27" customFormat="false" ht="12.75" hidden="false" customHeight="false" outlineLevel="0" collapsed="false">
      <c r="A27" s="212"/>
      <c r="B27" s="221" t="s">
        <v>343</v>
      </c>
      <c r="C27" s="221"/>
      <c r="D27" s="253" t="n">
        <f aca="false">Admin!B22</f>
        <v>46965</v>
      </c>
      <c r="E27" s="224" t="n">
        <f aca="false">E25/2</f>
        <v>24409.7099974999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344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345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346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347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348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349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350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351</v>
      </c>
      <c r="C2" s="270" t="s">
        <v>352</v>
      </c>
      <c r="D2" s="270" t="s">
        <v>353</v>
      </c>
      <c r="E2" s="270" t="s">
        <v>354</v>
      </c>
      <c r="F2" s="270" t="s">
        <v>355</v>
      </c>
      <c r="G2" s="270" t="s">
        <v>356</v>
      </c>
      <c r="H2" s="270" t="s">
        <v>357</v>
      </c>
      <c r="I2" s="270" t="s">
        <v>358</v>
      </c>
      <c r="J2" s="271"/>
      <c r="K2" s="269" t="s">
        <v>359</v>
      </c>
      <c r="L2" s="272"/>
    </row>
    <row r="3" s="273" customFormat="true" ht="15" hidden="false" customHeight="true" outlineLevel="0" collapsed="false">
      <c r="A3" s="268"/>
      <c r="B3" s="274" t="s">
        <v>360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361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362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363</v>
      </c>
      <c r="I1" s="289"/>
      <c r="J1" s="289"/>
      <c r="K1" s="289"/>
      <c r="L1" s="289"/>
      <c r="M1" s="288"/>
      <c r="N1" s="289" t="s">
        <v>363</v>
      </c>
      <c r="O1" s="289"/>
      <c r="P1" s="289"/>
      <c r="Q1" s="289"/>
      <c r="R1" s="289"/>
      <c r="S1" s="288"/>
      <c r="T1" s="289" t="s">
        <v>363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364</v>
      </c>
      <c r="C2" s="295"/>
      <c r="D2" s="296" t="s">
        <v>365</v>
      </c>
      <c r="E2" s="297"/>
      <c r="F2" s="296" t="s">
        <v>366</v>
      </c>
      <c r="G2" s="297"/>
      <c r="H2" s="298" t="s">
        <v>367</v>
      </c>
      <c r="I2" s="297"/>
      <c r="J2" s="296" t="s">
        <v>368</v>
      </c>
      <c r="K2" s="297"/>
      <c r="L2" s="296" t="s">
        <v>369</v>
      </c>
      <c r="M2" s="297"/>
      <c r="N2" s="298" t="s">
        <v>370</v>
      </c>
      <c r="O2" s="297"/>
      <c r="P2" s="296" t="s">
        <v>371</v>
      </c>
      <c r="Q2" s="297"/>
      <c r="R2" s="296" t="s">
        <v>369</v>
      </c>
      <c r="S2" s="297"/>
      <c r="T2" s="298" t="s">
        <v>372</v>
      </c>
      <c r="U2" s="297"/>
      <c r="V2" s="296" t="s">
        <v>373</v>
      </c>
      <c r="W2" s="297"/>
      <c r="X2" s="299" t="s">
        <v>369</v>
      </c>
      <c r="Y2" s="300"/>
      <c r="Z2" s="296" t="s">
        <v>374</v>
      </c>
      <c r="AA2" s="297"/>
      <c r="AB2" s="296" t="s">
        <v>375</v>
      </c>
      <c r="AC2" s="301"/>
      <c r="AD2" s="302" t="s">
        <v>376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377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378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379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380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381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382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383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384</v>
      </c>
      <c r="C2" s="162" t="s">
        <v>255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33</v>
      </c>
      <c r="D4" s="167" t="s">
        <v>33</v>
      </c>
      <c r="E4" s="167" t="s">
        <v>33</v>
      </c>
      <c r="F4" s="167" t="s">
        <v>33</v>
      </c>
      <c r="G4" s="167" t="s">
        <v>33</v>
      </c>
      <c r="H4" s="167" t="s">
        <v>33</v>
      </c>
      <c r="I4" s="167" t="s">
        <v>33</v>
      </c>
      <c r="J4" s="167" t="s">
        <v>33</v>
      </c>
      <c r="K4" s="167" t="s">
        <v>33</v>
      </c>
      <c r="L4" s="167" t="s">
        <v>33</v>
      </c>
      <c r="M4" s="167" t="s">
        <v>33</v>
      </c>
      <c r="N4" s="169" t="s">
        <v>33</v>
      </c>
      <c r="O4" s="167" t="s">
        <v>33</v>
      </c>
      <c r="P4" s="159"/>
    </row>
    <row r="5" s="177" customFormat="true" ht="12" hidden="false" customHeight="false" outlineLevel="0" collapsed="false">
      <c r="A5" s="179"/>
      <c r="B5" s="333" t="s">
        <v>260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385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266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267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386</v>
      </c>
      <c r="C13" s="171" t="n">
        <f aca="false">SUM(D13:O13)</f>
        <v>149665.316666667</v>
      </c>
      <c r="D13" s="171" t="n">
        <f aca="false">'Profit &amp; Loss Account'!C35</f>
        <v>12012.7833333333</v>
      </c>
      <c r="E13" s="171" t="n">
        <f aca="false">'Profit &amp; Loss Account'!D35</f>
        <v>11323.5333333333</v>
      </c>
      <c r="F13" s="171" t="n">
        <f aca="false">'Profit &amp; Loss Account'!E35</f>
        <v>13592.8666666667</v>
      </c>
      <c r="G13" s="171" t="n">
        <f aca="false">'Profit &amp; Loss Account'!F35</f>
        <v>13829.7833333333</v>
      </c>
      <c r="H13" s="171" t="n">
        <f aca="false">'Profit &amp; Loss Account'!G35</f>
        <v>11766.1166666667</v>
      </c>
      <c r="I13" s="171" t="n">
        <f aca="false">'Profit &amp; Loss Account'!H35</f>
        <v>13242.8666666667</v>
      </c>
      <c r="J13" s="171" t="n">
        <f aca="false">'Profit &amp; Loss Account'!I35</f>
        <v>13692.2833333333</v>
      </c>
      <c r="K13" s="171" t="n">
        <f aca="false">'Profit &amp; Loss Account'!J35</f>
        <v>10880.5333333333</v>
      </c>
      <c r="L13" s="171" t="n">
        <f aca="false">'Profit &amp; Loss Account'!K35</f>
        <v>15898.5333333333</v>
      </c>
      <c r="M13" s="171" t="n">
        <f aca="false">'Profit &amp; Loss Account'!L35</f>
        <v>11392.7833333333</v>
      </c>
      <c r="N13" s="171" t="n">
        <f aca="false">'Profit &amp; Loss Account'!M35</f>
        <v>11066.0333333333</v>
      </c>
      <c r="O13" s="171" t="n">
        <f aca="false">'Profit &amp; Loss Account'!N35</f>
        <v>10967.2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283</v>
      </c>
      <c r="C15" s="171" t="n">
        <f aca="false">SUM(D15:O15)</f>
        <v>171481.35</v>
      </c>
      <c r="D15" s="171" t="n">
        <f aca="false">D11-D13</f>
        <v>15083.05</v>
      </c>
      <c r="E15" s="171" t="n">
        <f aca="false">E11-E13</f>
        <v>15102.3</v>
      </c>
      <c r="F15" s="171" t="n">
        <f aca="false">F11-F13</f>
        <v>11036.3</v>
      </c>
      <c r="G15" s="171" t="n">
        <f aca="false">G11-G13</f>
        <v>13096.05</v>
      </c>
      <c r="H15" s="171" t="n">
        <f aca="false">H11-H13</f>
        <v>17563.05</v>
      </c>
      <c r="I15" s="171" t="n">
        <f aca="false">I11-I13</f>
        <v>14182.9666666666</v>
      </c>
      <c r="J15" s="171" t="n">
        <f aca="false">J11-J13</f>
        <v>15303.55</v>
      </c>
      <c r="K15" s="171" t="n">
        <f aca="false">K11-K13</f>
        <v>15145.3</v>
      </c>
      <c r="L15" s="171" t="n">
        <f aca="false">L11-L13</f>
        <v>10797.3</v>
      </c>
      <c r="M15" s="171" t="n">
        <f aca="false">M11-M13</f>
        <v>17283.05</v>
      </c>
      <c r="N15" s="171" t="n">
        <f aca="false">N11-N13</f>
        <v>16479.8</v>
      </c>
      <c r="O15" s="171" t="n">
        <f aca="false">O11-O13</f>
        <v>10408.6333333333</v>
      </c>
      <c r="P15" s="159"/>
    </row>
    <row r="16" customFormat="false" ht="12" hidden="false" customHeight="false" outlineLevel="0" collapsed="false">
      <c r="A16" s="159"/>
      <c r="B16" s="335" t="s">
        <v>284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285</v>
      </c>
      <c r="C17" s="171" t="n">
        <f aca="false">SUM(D17:O17)</f>
        <v>171481.35</v>
      </c>
      <c r="D17" s="171" t="n">
        <f aca="false">D15+D16</f>
        <v>15083.05</v>
      </c>
      <c r="E17" s="171" t="n">
        <f aca="false">E15+E16</f>
        <v>15102.3</v>
      </c>
      <c r="F17" s="171" t="n">
        <f aca="false">F15+F16</f>
        <v>11036.3</v>
      </c>
      <c r="G17" s="171" t="n">
        <f aca="false">G15+G16</f>
        <v>13096.05</v>
      </c>
      <c r="H17" s="171" t="n">
        <f aca="false">H15+H16</f>
        <v>17563.05</v>
      </c>
      <c r="I17" s="171" t="n">
        <f aca="false">I15+I16</f>
        <v>14182.9666666666</v>
      </c>
      <c r="J17" s="171" t="n">
        <f aca="false">J15+J16</f>
        <v>15303.55</v>
      </c>
      <c r="K17" s="171" t="n">
        <f aca="false">K15+K16</f>
        <v>15145.3</v>
      </c>
      <c r="L17" s="171" t="n">
        <f aca="false">L15+L16</f>
        <v>10797.3</v>
      </c>
      <c r="M17" s="171" t="n">
        <f aca="false">M15+M16</f>
        <v>17283.05</v>
      </c>
      <c r="N17" s="171" t="n">
        <f aca="false">N15+N16</f>
        <v>16479.8</v>
      </c>
      <c r="O17" s="171" t="n">
        <f aca="false">O15+O16</f>
        <v>10408.6333333333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387</v>
      </c>
      <c r="C19" s="162" t="s">
        <v>255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260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385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266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267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386</v>
      </c>
      <c r="C30" s="171" t="n">
        <f aca="false">SUM(D30:O30)</f>
        <v>149665.316666667</v>
      </c>
      <c r="D30" s="171" t="n">
        <f aca="false">IF(C5&gt;0,IF(D5&gt;0,D13,C13/C21),0)</f>
        <v>12012.7833333333</v>
      </c>
      <c r="E30" s="171" t="n">
        <f aca="false">IF(C5&gt;0,IF(E5&gt;0,E13,C13/C21),0)</f>
        <v>11323.5333333333</v>
      </c>
      <c r="F30" s="171" t="n">
        <f aca="false">IF(C5&gt;0,IF(F5&gt;0,F13,C13/C21),0)</f>
        <v>13592.8666666667</v>
      </c>
      <c r="G30" s="171" t="n">
        <f aca="false">IF(C5&gt;0,IF(G5&gt;0,G13,C13/C21),0)</f>
        <v>13829.7833333333</v>
      </c>
      <c r="H30" s="171" t="n">
        <f aca="false">IF(C5&gt;0,IF(H5&gt;0,H13,C13/C21),0)</f>
        <v>11766.1166666667</v>
      </c>
      <c r="I30" s="171" t="n">
        <f aca="false">IF(C5&gt;0,IF(I5&gt;0,I13,C13/C21),0)</f>
        <v>13242.8666666667</v>
      </c>
      <c r="J30" s="171" t="n">
        <f aca="false">IF(C5&gt;0,IF(J5&gt;0,J13,C13/C21),0)</f>
        <v>13692.2833333333</v>
      </c>
      <c r="K30" s="171" t="n">
        <f aca="false">IF(C5&gt;0,IF(K5&gt;0,K13,C13/C21),0)</f>
        <v>10880.5333333333</v>
      </c>
      <c r="L30" s="171" t="n">
        <f aca="false">IF(C5&gt;0,IF(L5&gt;0,L13,C13/C21),0)</f>
        <v>15898.5333333333</v>
      </c>
      <c r="M30" s="171" t="n">
        <f aca="false">IF(C5&gt;0,IF(M5&gt;0,M13,C13/C21),0)</f>
        <v>11392.7833333333</v>
      </c>
      <c r="N30" s="171" t="n">
        <f aca="false">IF(C5&gt;0,IF(N5&gt;0,N13,C13/C21),0)</f>
        <v>11066.0333333333</v>
      </c>
      <c r="O30" s="171" t="n">
        <f aca="false">IF(C5&gt;0,IF(O5&gt;0,O13,C13/C21),0)</f>
        <v>10967.2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283</v>
      </c>
      <c r="C32" s="171" t="n">
        <f aca="false">SUM(D32:O32)</f>
        <v>171481.35</v>
      </c>
      <c r="D32" s="171" t="n">
        <f aca="false">D28-D30</f>
        <v>15083.05</v>
      </c>
      <c r="E32" s="171" t="n">
        <f aca="false">E28-E30</f>
        <v>15102.3</v>
      </c>
      <c r="F32" s="171" t="n">
        <f aca="false">F28-F30</f>
        <v>11036.3</v>
      </c>
      <c r="G32" s="171" t="n">
        <f aca="false">G28-G30</f>
        <v>13096.05</v>
      </c>
      <c r="H32" s="171" t="n">
        <f aca="false">H28-H30</f>
        <v>17563.05</v>
      </c>
      <c r="I32" s="171" t="n">
        <f aca="false">I28-I30</f>
        <v>14182.9666666666</v>
      </c>
      <c r="J32" s="171" t="n">
        <f aca="false">J28-J30</f>
        <v>15303.55</v>
      </c>
      <c r="K32" s="171" t="n">
        <f aca="false">K28-K30</f>
        <v>15145.3</v>
      </c>
      <c r="L32" s="171" t="n">
        <f aca="false">L28-L30</f>
        <v>10797.3</v>
      </c>
      <c r="M32" s="171" t="n">
        <f aca="false">M28-M30</f>
        <v>17283.05</v>
      </c>
      <c r="N32" s="171" t="n">
        <f aca="false">N28-N30</f>
        <v>16479.8</v>
      </c>
      <c r="O32" s="171" t="n">
        <f aca="false">O28-O30</f>
        <v>10408.6333333333</v>
      </c>
      <c r="P32" s="159"/>
    </row>
    <row r="33" customFormat="false" ht="12" hidden="false" customHeight="false" outlineLevel="0" collapsed="false">
      <c r="A33" s="159"/>
      <c r="B33" s="335" t="s">
        <v>284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285</v>
      </c>
      <c r="C34" s="171" t="n">
        <f aca="false">SUM(D34:O34)</f>
        <v>171481.35</v>
      </c>
      <c r="D34" s="171" t="n">
        <f aca="false">D32+D33</f>
        <v>15083.05</v>
      </c>
      <c r="E34" s="171" t="n">
        <f aca="false">E32+E33</f>
        <v>15102.3</v>
      </c>
      <c r="F34" s="171" t="n">
        <f aca="false">F32+F33</f>
        <v>11036.3</v>
      </c>
      <c r="G34" s="171" t="n">
        <f aca="false">G32+G33</f>
        <v>13096.05</v>
      </c>
      <c r="H34" s="171" t="n">
        <f aca="false">H32+H33</f>
        <v>17563.05</v>
      </c>
      <c r="I34" s="171" t="n">
        <f aca="false">I32+I33</f>
        <v>14182.9666666666</v>
      </c>
      <c r="J34" s="171" t="n">
        <f aca="false">J32+J33</f>
        <v>15303.55</v>
      </c>
      <c r="K34" s="171" t="n">
        <f aca="false">K32+K33</f>
        <v>15145.3</v>
      </c>
      <c r="L34" s="171" t="n">
        <f aca="false">L32+L33</f>
        <v>10797.3</v>
      </c>
      <c r="M34" s="171" t="n">
        <f aca="false">M32+M33</f>
        <v>17283.05</v>
      </c>
      <c r="N34" s="171" t="n">
        <f aca="false">N32+N33</f>
        <v>16479.8</v>
      </c>
      <c r="O34" s="171" t="n">
        <f aca="false">O32+O33</f>
        <v>10408.6333333333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388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389</v>
      </c>
      <c r="C37" s="340" t="n">
        <f aca="false">'Profit &amp; Loss Account'!B33+'Profit &amp; Loss Account'!B34</f>
        <v>13912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390</v>
      </c>
      <c r="C38" s="340" t="n">
        <f aca="false">[1]Schedule!$Q$1+[1]Schedule!$R$1+[1]Schedule!$Y$1-[1]Schedule!$Z$1</f>
        <v>64000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391</v>
      </c>
      <c r="C39" s="340" t="n">
        <f aca="false">C34+C37-C38</f>
        <v>121393.35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392</v>
      </c>
      <c r="C40" s="340" t="n">
        <f aca="false">IF(C39&lt;=0,0,MAX(0,Admin!N$4-MAX(0,C39-Admin!N$5)/2))</f>
        <v>1873.3250000002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393</v>
      </c>
      <c r="C41" s="340" t="n">
        <f aca="false">IF((C39&gt;C40),(C39-C40),0)</f>
        <v>119520.024999999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394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395</v>
      </c>
      <c r="C43" s="340" t="n">
        <f aca="false">IF(C41&gt;Admin!M$11,(MIN(C41,Admin!N$13)-Admin!M$11)*Admin!N$7,0)</f>
        <v>32728.0099999998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396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397</v>
      </c>
      <c r="C45" s="340" t="n">
        <f aca="false">IF(C39&gt;Admin!N$20,IF(C39&lt;Admin!N$23,(C39-Admin!N$20)*Admin!L$20,(Admin!N$23-Admin!N$20)*Admin!L$20),0)+IF(C39&gt;Admin!N$23,(C39-Admin!N$23)*Admin!L$23,0)</f>
        <v>3684.46699999999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398</v>
      </c>
      <c r="C46" s="342" t="n">
        <f aca="false">C42+C43+C44+C45</f>
        <v>43952.4769999998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399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400</v>
      </c>
      <c r="E2" s="349"/>
      <c r="F2" s="349"/>
      <c r="G2" s="350" t="str">
        <f aca="false">B23</f>
        <v>2026-27</v>
      </c>
      <c r="H2" s="63"/>
      <c r="I2" s="63"/>
      <c r="J2" s="351" t="s">
        <v>401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84</v>
      </c>
      <c r="E4" s="356"/>
      <c r="F4" s="356"/>
      <c r="G4" s="357" t="n">
        <v>1</v>
      </c>
      <c r="H4" s="63"/>
      <c r="I4" s="356" t="s">
        <v>402</v>
      </c>
      <c r="J4" s="356"/>
      <c r="K4" s="356"/>
      <c r="L4" s="356"/>
      <c r="M4" s="356"/>
      <c r="N4" s="358" t="n">
        <v>12570</v>
      </c>
      <c r="O4" s="353" t="s">
        <v>33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403</v>
      </c>
      <c r="E5" s="356"/>
      <c r="F5" s="356"/>
      <c r="G5" s="357" t="n">
        <v>0.14</v>
      </c>
      <c r="H5" s="63"/>
      <c r="I5" s="356" t="s">
        <v>404</v>
      </c>
      <c r="J5" s="356"/>
      <c r="K5" s="356"/>
      <c r="L5" s="356"/>
      <c r="M5" s="356"/>
      <c r="N5" s="359" t="n">
        <v>100000</v>
      </c>
      <c r="O5" s="353" t="s">
        <v>33</v>
      </c>
    </row>
    <row r="6" customFormat="false" ht="12" hidden="false" customHeight="true" outlineLevel="0" collapsed="false">
      <c r="A6" s="63"/>
      <c r="B6" s="348" t="n">
        <v>46173</v>
      </c>
      <c r="C6" s="63"/>
      <c r="D6" s="63"/>
      <c r="E6" s="63"/>
      <c r="F6" s="63"/>
      <c r="G6" s="353"/>
      <c r="H6" s="63"/>
      <c r="I6" s="356" t="s">
        <v>405</v>
      </c>
      <c r="J6" s="356"/>
      <c r="K6" s="356"/>
      <c r="L6" s="356"/>
      <c r="M6" s="356"/>
      <c r="N6" s="357" t="n">
        <v>0.2</v>
      </c>
      <c r="O6" s="353" t="s">
        <v>406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407</v>
      </c>
      <c r="E7" s="356"/>
      <c r="F7" s="356"/>
      <c r="G7" s="353"/>
      <c r="H7" s="63"/>
      <c r="I7" s="356" t="s">
        <v>408</v>
      </c>
      <c r="J7" s="356"/>
      <c r="K7" s="356"/>
      <c r="L7" s="356"/>
      <c r="M7" s="356"/>
      <c r="N7" s="357" t="n">
        <v>0.4</v>
      </c>
      <c r="O7" s="353" t="s">
        <v>406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409</v>
      </c>
      <c r="J8" s="356"/>
      <c r="K8" s="356"/>
      <c r="L8" s="356"/>
      <c r="M8" s="356"/>
      <c r="N8" s="357" t="n">
        <v>0.45</v>
      </c>
      <c r="O8" s="353" t="s">
        <v>406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410</v>
      </c>
      <c r="J9" s="356"/>
      <c r="K9" s="356"/>
      <c r="L9" s="360" t="s">
        <v>411</v>
      </c>
      <c r="M9" s="360" t="s">
        <v>412</v>
      </c>
      <c r="N9" s="361" t="s">
        <v>413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414</v>
      </c>
      <c r="E11" s="349"/>
      <c r="F11" s="349"/>
      <c r="G11" s="353" t="s">
        <v>406</v>
      </c>
      <c r="H11" s="63"/>
      <c r="I11" s="63" t="s">
        <v>415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416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417</v>
      </c>
      <c r="E13" s="356"/>
      <c r="F13" s="356"/>
      <c r="G13" s="357" t="n">
        <v>0</v>
      </c>
      <c r="H13" s="63"/>
      <c r="I13" s="63" t="s">
        <v>418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419</v>
      </c>
      <c r="E14" s="356"/>
      <c r="F14" s="356"/>
      <c r="G14" s="357" t="n">
        <v>0.1</v>
      </c>
      <c r="H14" s="63"/>
      <c r="I14" s="349" t="s">
        <v>420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421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422</v>
      </c>
      <c r="E16" s="356"/>
      <c r="F16" s="356"/>
      <c r="G16" s="357" t="n">
        <v>0.33</v>
      </c>
      <c r="H16" s="63"/>
      <c r="I16" s="356" t="s">
        <v>423</v>
      </c>
      <c r="J16" s="356"/>
      <c r="K16" s="356"/>
      <c r="L16" s="363" t="n">
        <v>3.65</v>
      </c>
      <c r="M16" s="63" t="s">
        <v>424</v>
      </c>
      <c r="N16" s="359" t="n">
        <v>7105</v>
      </c>
      <c r="O16" s="353" t="s">
        <v>33</v>
      </c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425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426</v>
      </c>
      <c r="E19" s="349"/>
      <c r="F19" s="353" t="s">
        <v>427</v>
      </c>
      <c r="G19" s="353" t="s">
        <v>428</v>
      </c>
      <c r="H19" s="63"/>
      <c r="I19" s="365" t="s">
        <v>429</v>
      </c>
      <c r="J19" s="365"/>
      <c r="K19" s="365"/>
      <c r="L19" s="63"/>
      <c r="M19" s="366" t="s">
        <v>430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33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431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432</v>
      </c>
      <c r="E22" s="63"/>
      <c r="F22" s="359" t="n">
        <v>10001</v>
      </c>
      <c r="G22" s="363" t="n">
        <v>0.25</v>
      </c>
      <c r="H22" s="63"/>
      <c r="I22" s="365" t="s">
        <v>433</v>
      </c>
      <c r="J22" s="365"/>
      <c r="K22" s="365"/>
      <c r="L22" s="63"/>
      <c r="M22" s="366" t="s">
        <v>434</v>
      </c>
      <c r="N22" s="63"/>
      <c r="O22" s="63"/>
    </row>
    <row r="23" customFormat="false" ht="12" hidden="false" customHeight="true" outlineLevel="0" collapsed="false">
      <c r="A23" s="63"/>
      <c r="B23" s="355" t="s">
        <v>435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33</v>
      </c>
    </row>
    <row r="24" customFormat="false" ht="12" hidden="false" customHeight="true" outlineLevel="0" collapsed="false">
      <c r="A24" s="63"/>
      <c r="B24" s="355" t="s">
        <v>436</v>
      </c>
      <c r="C24" s="63"/>
      <c r="D24" s="349" t="s">
        <v>426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437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438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