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<sst xmlns="http://schemas.openxmlformats.org/spreadsheetml/2006/main" count="819" uniqueCount="439">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</sst>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Q1">
            <v>0</v>
          </cell>
          <cell r="R1">
            <v>0</v>
          </cell>
          <cell r="S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> </v>
          </cell>
        </row>
        <row r="39">
          <cell r="R39" t="str">
            <v> </v>
          </cell>
        </row>
        <row r="40">
          <cell r="R40" t="str">
            <v> </v>
          </cell>
        </row>
        <row r="41">
          <cell r="R41" t="str">
            <v> </v>
          </cell>
        </row>
        <row r="42">
          <cell r="R42" t="str">
            <v> </v>
          </cell>
        </row>
        <row r="91">
          <cell r="R91" t="str">
            <v> </v>
          </cell>
        </row>
        <row r="92">
          <cell r="R92" t="str">
            <v> </v>
          </cell>
        </row>
        <row r="93">
          <cell r="R93" t="str">
            <v> </v>
          </cell>
        </row>
        <row r="94">
          <cell r="R94" t="str">
            <v> </v>
          </cell>
        </row>
        <row r="95">
          <cell r="R95" t="str">
            <v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11166.6666666667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11466.6666666667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12366.6666666667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11466.6666666667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12966.6666666667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10866.6666666667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12966.6666666667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11466.6666666667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12366.6666666667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11466.6666666667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12166.6666666667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10866.6666666667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600</v>
          </cell>
          <cell r="Q1">
            <v>0</v>
          </cell>
          <cell r="R1">
            <v>285</v>
          </cell>
          <cell r="S1">
            <v>0</v>
          </cell>
          <cell r="T1">
            <v>0</v>
          </cell>
          <cell r="U1">
            <v>120</v>
          </cell>
          <cell r="V1">
            <v>135</v>
          </cell>
          <cell r="W1">
            <v>602.25</v>
          </cell>
          <cell r="X1">
            <v>92</v>
          </cell>
          <cell r="Y1">
            <v>0</v>
          </cell>
          <cell r="Z1">
            <v>300</v>
          </cell>
          <cell r="AA1">
            <v>0</v>
          </cell>
        </row>
      </sheetData>
      <sheetData sheetId="2">
        <row r="1">
          <cell r="P1">
            <v>720</v>
          </cell>
          <cell r="Q1">
            <v>0</v>
          </cell>
          <cell r="R1">
            <v>249</v>
          </cell>
          <cell r="S1">
            <v>0</v>
          </cell>
          <cell r="T1">
            <v>0</v>
          </cell>
          <cell r="U1">
            <v>0</v>
          </cell>
          <cell r="V1">
            <v>153</v>
          </cell>
          <cell r="W1">
            <v>666</v>
          </cell>
          <cell r="X1">
            <v>152</v>
          </cell>
          <cell r="Y1">
            <v>600</v>
          </cell>
          <cell r="Z1">
            <v>300</v>
          </cell>
          <cell r="AA1">
            <v>0</v>
          </cell>
        </row>
      </sheetData>
      <sheetData sheetId="3">
        <row r="1">
          <cell r="P1">
            <v>360</v>
          </cell>
          <cell r="Q1">
            <v>5000</v>
          </cell>
          <cell r="R1">
            <v>285</v>
          </cell>
          <cell r="S1">
            <v>0</v>
          </cell>
          <cell r="T1">
            <v>360</v>
          </cell>
          <cell r="U1">
            <v>0</v>
          </cell>
          <cell r="V1">
            <v>231</v>
          </cell>
          <cell r="W1">
            <v>654</v>
          </cell>
          <cell r="X1">
            <v>272</v>
          </cell>
          <cell r="Y1">
            <v>0</v>
          </cell>
          <cell r="Z1">
            <v>550</v>
          </cell>
          <cell r="AA1">
            <v>0</v>
          </cell>
        </row>
      </sheetData>
      <sheetData sheetId="4">
        <row r="1">
          <cell r="P1">
            <v>720</v>
          </cell>
          <cell r="Q1">
            <v>0</v>
          </cell>
          <cell r="R1">
            <v>249</v>
          </cell>
          <cell r="S1">
            <v>0</v>
          </cell>
          <cell r="T1">
            <v>0</v>
          </cell>
          <cell r="U1">
            <v>180</v>
          </cell>
          <cell r="V1">
            <v>159</v>
          </cell>
          <cell r="W1">
            <v>584.25</v>
          </cell>
          <cell r="X1">
            <v>92</v>
          </cell>
          <cell r="Y1">
            <v>480</v>
          </cell>
          <cell r="Z1">
            <v>300</v>
          </cell>
          <cell r="AA1">
            <v>0</v>
          </cell>
        </row>
      </sheetData>
      <sheetData sheetId="5">
        <row r="1">
          <cell r="P1">
            <v>540</v>
          </cell>
          <cell r="Q1">
            <v>0</v>
          </cell>
          <cell r="R1">
            <v>285</v>
          </cell>
          <cell r="S1">
            <v>800</v>
          </cell>
          <cell r="T1">
            <v>0</v>
          </cell>
          <cell r="U1">
            <v>240</v>
          </cell>
          <cell r="V1">
            <v>135</v>
          </cell>
          <cell r="W1">
            <v>602.25</v>
          </cell>
          <cell r="X1">
            <v>140</v>
          </cell>
          <cell r="Y1">
            <v>0</v>
          </cell>
          <cell r="Z1">
            <v>300</v>
          </cell>
          <cell r="AA1">
            <v>0</v>
          </cell>
        </row>
      </sheetData>
      <sheetData sheetId="6">
        <row r="1">
          <cell r="P1">
            <v>240</v>
          </cell>
          <cell r="Q1">
            <v>0</v>
          </cell>
          <cell r="R1">
            <v>249</v>
          </cell>
          <cell r="S1">
            <v>0</v>
          </cell>
          <cell r="T1">
            <v>300</v>
          </cell>
          <cell r="U1">
            <v>0</v>
          </cell>
          <cell r="V1">
            <v>147</v>
          </cell>
          <cell r="W1">
            <v>708</v>
          </cell>
          <cell r="X1">
            <v>92</v>
          </cell>
          <cell r="Y1">
            <v>0</v>
          </cell>
          <cell r="Z1">
            <v>1468</v>
          </cell>
          <cell r="AA1">
            <v>0</v>
          </cell>
        </row>
      </sheetData>
      <sheetData sheetId="7">
        <row r="1">
          <cell r="P1">
            <v>480</v>
          </cell>
          <cell r="Q1">
            <v>0</v>
          </cell>
          <cell r="R1">
            <v>285</v>
          </cell>
          <cell r="S1">
            <v>0</v>
          </cell>
          <cell r="T1">
            <v>0</v>
          </cell>
          <cell r="U1">
            <v>96</v>
          </cell>
          <cell r="V1">
            <v>135</v>
          </cell>
          <cell r="W1">
            <v>606.75</v>
          </cell>
          <cell r="X1">
            <v>212</v>
          </cell>
          <cell r="Y1">
            <v>3000</v>
          </cell>
          <cell r="Z1">
            <v>300</v>
          </cell>
          <cell r="AA1">
            <v>0</v>
          </cell>
        </row>
      </sheetData>
      <sheetData sheetId="8">
        <row r="1">
          <cell r="P1">
            <v>840</v>
          </cell>
          <cell r="Q1">
            <v>3000</v>
          </cell>
          <cell r="R1">
            <v>249</v>
          </cell>
          <cell r="S1">
            <v>0</v>
          </cell>
          <cell r="T1">
            <v>0</v>
          </cell>
          <cell r="U1">
            <v>0</v>
          </cell>
          <cell r="V1">
            <v>165</v>
          </cell>
          <cell r="W1">
            <v>645</v>
          </cell>
          <cell r="X1">
            <v>164</v>
          </cell>
          <cell r="Y1">
            <v>0</v>
          </cell>
          <cell r="Z1">
            <v>300</v>
          </cell>
          <cell r="AA1">
            <v>0</v>
          </cell>
        </row>
      </sheetData>
      <sheetData sheetId="9">
        <row r="1">
          <cell r="P1">
            <v>480</v>
          </cell>
          <cell r="Q1">
            <v>0</v>
          </cell>
          <cell r="R1">
            <v>285</v>
          </cell>
          <cell r="S1">
            <v>5000</v>
          </cell>
          <cell r="T1">
            <v>420</v>
          </cell>
          <cell r="U1">
            <v>0</v>
          </cell>
          <cell r="V1">
            <v>255</v>
          </cell>
          <cell r="W1">
            <v>613.5</v>
          </cell>
          <cell r="X1">
            <v>92</v>
          </cell>
          <cell r="Y1">
            <v>0</v>
          </cell>
          <cell r="Z1">
            <v>467</v>
          </cell>
          <cell r="AA1">
            <v>500</v>
          </cell>
        </row>
      </sheetData>
      <sheetData sheetId="10">
        <row r="1">
          <cell r="P1">
            <v>600</v>
          </cell>
          <cell r="Q1">
            <v>0</v>
          </cell>
          <cell r="R1">
            <v>249</v>
          </cell>
          <cell r="S1">
            <v>0</v>
          </cell>
          <cell r="T1">
            <v>0</v>
          </cell>
          <cell r="U1">
            <v>144</v>
          </cell>
          <cell r="V1">
            <v>153</v>
          </cell>
          <cell r="W1">
            <v>638.25</v>
          </cell>
          <cell r="X1">
            <v>92</v>
          </cell>
          <cell r="Y1">
            <v>480</v>
          </cell>
          <cell r="Z1">
            <v>300</v>
          </cell>
          <cell r="AA1">
            <v>0</v>
          </cell>
        </row>
      </sheetData>
      <sheetData sheetId="11">
        <row r="1">
          <cell r="P1">
            <v>660</v>
          </cell>
          <cell r="Q1">
            <v>0</v>
          </cell>
          <cell r="R1">
            <v>285</v>
          </cell>
          <cell r="S1">
            <v>0</v>
          </cell>
          <cell r="T1">
            <v>0</v>
          </cell>
          <cell r="U1">
            <v>360</v>
          </cell>
          <cell r="V1">
            <v>135</v>
          </cell>
          <cell r="W1">
            <v>595.5</v>
          </cell>
          <cell r="X1">
            <v>368</v>
          </cell>
          <cell r="Y1">
            <v>0</v>
          </cell>
          <cell r="Z1">
            <v>300</v>
          </cell>
          <cell r="AA1">
            <v>0</v>
          </cell>
        </row>
      </sheetData>
      <sheetData sheetId="12">
        <row r="1">
          <cell r="P1">
            <v>300</v>
          </cell>
          <cell r="Q1">
            <v>0</v>
          </cell>
          <cell r="R1">
            <v>249</v>
          </cell>
          <cell r="S1">
            <v>0</v>
          </cell>
          <cell r="T1">
            <v>360</v>
          </cell>
          <cell r="U1">
            <v>0</v>
          </cell>
          <cell r="V1">
            <v>159</v>
          </cell>
          <cell r="W1">
            <v>682.5</v>
          </cell>
          <cell r="X1">
            <v>92</v>
          </cell>
          <cell r="Y1">
            <v>0</v>
          </cell>
          <cell r="Z1">
            <v>425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9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/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3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4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5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6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7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8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9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10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11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12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13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14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15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16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17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18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19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20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21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22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23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24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25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26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27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28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25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29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30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31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32</v>
      </c>
      <c r="D50" s="41" t="n">
        <v>0</v>
      </c>
      <c r="E50" s="41"/>
      <c r="F50" s="41"/>
      <c r="G50" s="42" t="s">
        <v>33</v>
      </c>
      <c r="H50" s="43" t="n">
        <v>0</v>
      </c>
      <c r="I50" s="43" t="n">
        <v>0</v>
      </c>
      <c r="J50" s="7"/>
      <c r="K50" s="7"/>
      <c r="L50" s="8"/>
      <c r="M50" s="7"/>
      <c r="N50" s="40" t="s">
        <v>32</v>
      </c>
      <c r="O50" s="41"/>
      <c r="P50" s="41"/>
      <c r="Q50" s="41"/>
      <c r="R50" s="42" t="s">
        <v>33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34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35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36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36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32</v>
      </c>
      <c r="D55" s="49" t="n">
        <f aca="false">'SE Short'!O94</f>
        <v>0</v>
      </c>
      <c r="E55" s="49"/>
      <c r="F55" s="49"/>
      <c r="G55" s="42" t="s">
        <v>33</v>
      </c>
      <c r="H55" s="43" t="n">
        <v>0</v>
      </c>
      <c r="I55" s="43" t="n">
        <v>0</v>
      </c>
      <c r="J55" s="7"/>
      <c r="K55" s="7"/>
      <c r="L55" s="7"/>
      <c r="M55" s="7"/>
      <c r="N55" s="40" t="s">
        <v>32</v>
      </c>
      <c r="O55" s="49" t="n">
        <f aca="false">D50-D55+'SE Short'!O106</f>
        <v>0</v>
      </c>
      <c r="P55" s="49"/>
      <c r="Q55" s="49"/>
      <c r="R55" s="42" t="s">
        <v>33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37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52"/>
      <c r="O1" s="53" t="s">
        <v>39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40</v>
      </c>
      <c r="P2" s="54"/>
      <c r="Q2" s="55" t="n">
        <f aca="false">Admin!B4</f>
        <v>46118</v>
      </c>
      <c r="R2" s="55"/>
      <c r="S2" s="55"/>
      <c r="T2" s="55"/>
      <c r="U2" s="56" t="s">
        <v>41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 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3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8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42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43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44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45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17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46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47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12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48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49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50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51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52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53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54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55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56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32</v>
      </c>
      <c r="D38" s="98" t="n">
        <f aca="false">'Profit &amp; Loss Account'!B9</f>
        <v>169200</v>
      </c>
      <c r="E38" s="98"/>
      <c r="F38" s="98"/>
      <c r="G38" s="99" t="s">
        <v>33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32</v>
      </c>
      <c r="O38" s="98" t="n">
        <f aca="false">'Profit &amp; Loss Account'!B38</f>
        <v>0</v>
      </c>
      <c r="P38" s="98"/>
      <c r="Q38" s="98"/>
      <c r="R38" s="99" t="s">
        <v>33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57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58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59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60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61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32</v>
      </c>
      <c r="D46" s="98" t="n">
        <f aca="false">IF('Profit &amp; Loss Account'!B9&gt;30000,'Profit &amp; Loss Account'!B17," ")</f>
        <v>17744</v>
      </c>
      <c r="E46" s="98"/>
      <c r="F46" s="98"/>
      <c r="G46" s="99" t="s">
        <v>33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32</v>
      </c>
      <c r="O46" s="98" t="n">
        <f aca="false">IF('Profit &amp; Loss Account'!B9&gt;30000,'Profit &amp; Loss Account'!B28," ")</f>
        <v>5310</v>
      </c>
      <c r="P46" s="98"/>
      <c r="Q46" s="98"/>
      <c r="R46" s="99" t="s">
        <v>33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62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63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64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32</v>
      </c>
      <c r="D51" s="98" t="n">
        <f aca="false">IF('Profit &amp; Loss Account'!B9&gt;30000,'Profit &amp; Loss Account'!B25+'Profit &amp; Loss Account'!B26," ")</f>
        <v>9458.25</v>
      </c>
      <c r="E51" s="98"/>
      <c r="F51" s="98"/>
      <c r="G51" s="99" t="s">
        <v>33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32</v>
      </c>
      <c r="O51" s="98" t="n">
        <f aca="false">IF('Profit &amp; Loss Account'!B9&gt;30000,'Profit &amp; Loss Account'!B30+'Profit &amp; Loss Account'!B31," ")</f>
        <v>0</v>
      </c>
      <c r="P51" s="98"/>
      <c r="Q51" s="98"/>
      <c r="R51" s="99" t="s">
        <v>33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65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IF('Profit &amp; Loss Account'!B9&gt;30000,'Profit &amp; Loss Account'!B21," ")</f>
        <v>5800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IF('Profit &amp; Loss Account'!B9&gt;30000,'Profit &amp; Loss Account'!B24," ")</f>
        <v>1962</v>
      </c>
      <c r="P55" s="98"/>
      <c r="Q55" s="98"/>
      <c r="R55" s="99" t="s">
        <v>33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67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68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69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32</v>
      </c>
      <c r="D60" s="98" t="n">
        <f aca="false">IF('Profit &amp; Loss Account'!B9&gt;30000,'Profit &amp; Loss Account'!B22," ")</f>
        <v>1440</v>
      </c>
      <c r="E60" s="98"/>
      <c r="F60" s="98"/>
      <c r="G60" s="99" t="s">
        <v>33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32</v>
      </c>
      <c r="O60" s="98" t="n">
        <f aca="false">IF('Profit &amp; Loss Account'!B9&gt;30000,'Profit &amp; Loss Account'!B27+'Profit &amp; Loss Account'!B29+'Profit &amp; Loss Account'!B32+'Profit &amp; Loss Account'!B33," ")</f>
        <v>4760</v>
      </c>
      <c r="P60" s="98"/>
      <c r="Q60" s="98"/>
      <c r="R60" s="99" t="s">
        <v>33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70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71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32</v>
      </c>
      <c r="D64" s="98" t="n">
        <f aca="false">IF('Profit &amp; Loss Account'!B9&gt;30000,'Profit &amp; Loss Account'!B23," ")</f>
        <v>1140</v>
      </c>
      <c r="E64" s="98"/>
      <c r="F64" s="98"/>
      <c r="G64" s="99" t="s">
        <v>33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32</v>
      </c>
      <c r="O64" s="98" t="n">
        <f aca="false">'Profit &amp; Loss Account'!B17+'Profit &amp; Loss Account'!B35-'Profit &amp; Loss Account'!B34</f>
        <v>47614.25</v>
      </c>
      <c r="P64" s="98"/>
      <c r="Q64" s="98"/>
      <c r="R64" s="99" t="s">
        <v>33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72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73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74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75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76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32</v>
      </c>
      <c r="D71" s="98" t="n">
        <f aca="false">IF((D38+O38-O64)&gt;=0,D38+O38-O64,0)</f>
        <v>121585.75</v>
      </c>
      <c r="E71" s="98"/>
      <c r="F71" s="98"/>
      <c r="G71" s="99" t="s">
        <v>33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32</v>
      </c>
      <c r="O71" s="98" t="n">
        <f aca="false">IF((D38+O38-O64)&lt;0,O64-D38-O38,0)</f>
        <v>0</v>
      </c>
      <c r="P71" s="98"/>
      <c r="Q71" s="98"/>
      <c r="R71" s="99" t="s">
        <v>33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77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78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79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80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81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82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32</v>
      </c>
      <c r="D80" s="98" t="n">
        <f aca="false">IF(([1]Schedule!$Q$1)&gt;0,[1]Schedule!$Q$1,0)</f>
        <v>0</v>
      </c>
      <c r="E80" s="98"/>
      <c r="F80" s="98"/>
      <c r="G80" s="99" t="s">
        <v>33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32</v>
      </c>
      <c r="O80" s="98" t="n">
        <f aca="false">IF(([1]Schedule!$R$1+[1]Schedule!$Y$1)&gt;0,[1]Schedule!$R$1+[1]Schedule!$Y$1,0)</f>
        <v>0</v>
      </c>
      <c r="P80" s="98"/>
      <c r="Q80" s="98"/>
      <c r="R80" s="99" t="s">
        <v>33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83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84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85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86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32</v>
      </c>
      <c r="D85" s="98" t="n">
        <f aca="false">IF(([1]Schedule!$R$1+[1]Schedule!$S$1)&lt;1000,[1]Schedule!$S$1,0)</f>
        <v>0</v>
      </c>
      <c r="E85" s="98"/>
      <c r="F85" s="98"/>
      <c r="G85" s="99" t="s">
        <v>33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32</v>
      </c>
      <c r="O85" s="98" t="n">
        <f aca="false">IF([1]Schedule!$Z$1&gt;0,[1]Schedule!$Z$1,0)</f>
        <v>0</v>
      </c>
      <c r="P85" s="98"/>
      <c r="Q85" s="98"/>
      <c r="R85" s="99" t="s">
        <v>33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87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88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89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90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91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92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93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32</v>
      </c>
      <c r="D94" s="98" t="n">
        <f aca="false">'Business Details'!O50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94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95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96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97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32</v>
      </c>
      <c r="D99" s="98" t="n">
        <f aca="false">IF((D71+O85+D94-O71-D80-D85-O80)&gt;0,D71+O85+D94-O71-D80-D85-O80,0)</f>
        <v>121585.75</v>
      </c>
      <c r="E99" s="98"/>
      <c r="F99" s="98"/>
      <c r="G99" s="99" t="s">
        <v>33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32</v>
      </c>
      <c r="O99" s="98" t="n">
        <f aca="false">'Profit &amp; Loss Account'!B11</f>
        <v>2083.33333333333</v>
      </c>
      <c r="P99" s="98"/>
      <c r="Q99" s="98"/>
      <c r="R99" s="99" t="s">
        <v>33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98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99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100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101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102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32</v>
      </c>
      <c r="D106" s="98" t="n">
        <f aca="false">IF((D99+O99-O94)&gt;0,D99+O99-O94,0)</f>
        <v>123669.083333334</v>
      </c>
      <c r="E106" s="98"/>
      <c r="F106" s="98"/>
      <c r="G106" s="99" t="s">
        <v>33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32</v>
      </c>
      <c r="O106" s="98" t="n">
        <f aca="false">IF((O71+D80+D85+O80-D71-O85-D94)&gt;=0,O71+D80+D85+O80-D71-O85-D94,0)</f>
        <v>0</v>
      </c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103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104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105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106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107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108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/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109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110</v>
      </c>
      <c r="O116" s="63"/>
      <c r="P116" s="63"/>
      <c r="Q116" s="63"/>
      <c r="R116" s="115" t="str">
        <f aca="false">Admin!G2</f>
        <v>2026-27</v>
      </c>
      <c r="S116" s="115"/>
      <c r="T116" s="115"/>
      <c r="U116" s="64" t="s">
        <v>111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112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113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114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32</v>
      </c>
      <c r="D119" s="98"/>
      <c r="E119" s="98"/>
      <c r="F119" s="98"/>
      <c r="G119" s="99" t="s">
        <v>33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32</v>
      </c>
      <c r="D124" s="98" t="n">
        <f aca="false">'Business Details'!O55</f>
        <v>0</v>
      </c>
      <c r="E124" s="98"/>
      <c r="F124" s="98"/>
      <c r="G124" s="99" t="s">
        <v>33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32</v>
      </c>
      <c r="O124" s="98" t="n">
        <f aca="false">[2]Mar!$X$1</f>
        <v>0</v>
      </c>
      <c r="P124" s="98"/>
      <c r="Q124" s="98"/>
      <c r="R124" s="99" t="s">
        <v>33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121" t="s">
        <v>120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40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41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 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3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4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5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6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7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8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9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10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11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12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13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14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15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16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17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18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19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20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21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22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23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24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25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26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121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27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28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25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122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53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123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55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'Profit &amp; Loss Account'!B9</f>
        <v>169200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'Profit &amp; Loss Account'!B38</f>
        <v>0</v>
      </c>
      <c r="P55" s="98"/>
      <c r="Q55" s="98"/>
      <c r="R55" s="99" t="s">
        <v>33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124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125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126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127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128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129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130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131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60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32</v>
      </c>
      <c r="D66" s="98" t="n">
        <f aca="false">'Profit &amp; Loss Account'!B14+'Profit &amp; Loss Account'!B16</f>
        <v>9744</v>
      </c>
      <c r="E66" s="98"/>
      <c r="F66" s="98"/>
      <c r="G66" s="99" t="s">
        <v>33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32</v>
      </c>
      <c r="O66" s="98"/>
      <c r="P66" s="98"/>
      <c r="Q66" s="98"/>
      <c r="R66" s="99" t="s">
        <v>33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132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32</v>
      </c>
      <c r="D70" s="98" t="n">
        <f aca="false">'Profit &amp; Loss Account'!B15</f>
        <v>8000</v>
      </c>
      <c r="E70" s="98"/>
      <c r="F70" s="98"/>
      <c r="G70" s="99" t="s">
        <v>33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32</v>
      </c>
      <c r="O70" s="98"/>
      <c r="P70" s="98"/>
      <c r="Q70" s="98"/>
      <c r="R70" s="99" t="s">
        <v>33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65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32</v>
      </c>
      <c r="D74" s="98" t="n">
        <f aca="false">'Profit &amp; Loss Account'!B21</f>
        <v>5800</v>
      </c>
      <c r="E74" s="98"/>
      <c r="F74" s="98"/>
      <c r="G74" s="99" t="s">
        <v>33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32</v>
      </c>
      <c r="O74" s="98"/>
      <c r="P74" s="98"/>
      <c r="Q74" s="98"/>
      <c r="R74" s="99" t="s">
        <v>33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133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32</v>
      </c>
      <c r="D78" s="98" t="n">
        <f aca="false">'Profit &amp; Loss Account'!B25+'Profit &amp; Loss Account'!B26</f>
        <v>9458.25</v>
      </c>
      <c r="E78" s="98"/>
      <c r="F78" s="98"/>
      <c r="G78" s="99" t="s">
        <v>33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32</v>
      </c>
      <c r="O78" s="98"/>
      <c r="P78" s="98"/>
      <c r="Q78" s="98"/>
      <c r="R78" s="99" t="s">
        <v>33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67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32</v>
      </c>
      <c r="D82" s="98" t="n">
        <f aca="false">'Profit &amp; Loss Account'!B22</f>
        <v>1440</v>
      </c>
      <c r="E82" s="98"/>
      <c r="F82" s="98"/>
      <c r="G82" s="99" t="s">
        <v>33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32</v>
      </c>
      <c r="O82" s="98"/>
      <c r="P82" s="98"/>
      <c r="Q82" s="98"/>
      <c r="R82" s="99" t="s">
        <v>33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134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32</v>
      </c>
      <c r="D86" s="98" t="n">
        <f aca="false">'Profit &amp; Loss Account'!B23</f>
        <v>1140</v>
      </c>
      <c r="E86" s="98"/>
      <c r="F86" s="98"/>
      <c r="G86" s="99" t="s">
        <v>33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32</v>
      </c>
      <c r="O86" s="98"/>
      <c r="P86" s="98"/>
      <c r="Q86" s="98"/>
      <c r="R86" s="99" t="s">
        <v>33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66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32</v>
      </c>
      <c r="D90" s="98" t="n">
        <f aca="false">'Profit &amp; Loss Account'!B24</f>
        <v>1962</v>
      </c>
      <c r="E90" s="98"/>
      <c r="F90" s="98"/>
      <c r="G90" s="99" t="s">
        <v>33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32</v>
      </c>
      <c r="O90" s="98"/>
      <c r="P90" s="98"/>
      <c r="Q90" s="98"/>
      <c r="R90" s="99" t="s">
        <v>33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135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32</v>
      </c>
      <c r="D94" s="98" t="n">
        <f aca="false">'Profit &amp; Loss Account'!B27</f>
        <v>4560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/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136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32</v>
      </c>
      <c r="D98" s="98" t="n">
        <f aca="false">'Profit &amp; Loss Account'!B30</f>
        <v>0</v>
      </c>
      <c r="E98" s="98"/>
      <c r="F98" s="98"/>
      <c r="G98" s="99" t="s">
        <v>33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32</v>
      </c>
      <c r="O98" s="98"/>
      <c r="P98" s="98"/>
      <c r="Q98" s="98"/>
      <c r="R98" s="99" t="s">
        <v>33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137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32</v>
      </c>
      <c r="D102" s="98" t="n">
        <f aca="false">'Profit &amp; Loss Account'!B31</f>
        <v>0</v>
      </c>
      <c r="E102" s="98"/>
      <c r="F102" s="98"/>
      <c r="G102" s="99" t="s">
        <v>33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32</v>
      </c>
      <c r="O102" s="98"/>
      <c r="P102" s="98"/>
      <c r="Q102" s="98"/>
      <c r="R102" s="99" t="s">
        <v>33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138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32</v>
      </c>
      <c r="D106" s="98" t="n">
        <f aca="false">'Profit &amp; Loss Account'!B29</f>
        <v>-300</v>
      </c>
      <c r="E106" s="98"/>
      <c r="F106" s="98"/>
      <c r="G106" s="99" t="s">
        <v>33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32</v>
      </c>
      <c r="O106" s="98"/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61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32</v>
      </c>
      <c r="D110" s="98" t="n">
        <f aca="false">'Profit &amp; Loss Account'!B28</f>
        <v>5310</v>
      </c>
      <c r="E110" s="98"/>
      <c r="F110" s="98"/>
      <c r="G110" s="99" t="s">
        <v>33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32</v>
      </c>
      <c r="O110" s="98"/>
      <c r="P110" s="98"/>
      <c r="Q110" s="98"/>
      <c r="R110" s="99" t="s">
        <v>33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139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 t="n">
        <f aca="false">'Profit &amp; Loss Account'!B33+'Profit &amp; Loss Account'!B34</f>
        <v>0</v>
      </c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32</v>
      </c>
      <c r="O114" s="98" t="n">
        <f aca="false">'Profit &amp; Loss Account'!B34</f>
        <v>0</v>
      </c>
      <c r="P114" s="98"/>
      <c r="Q114" s="98"/>
      <c r="R114" s="99" t="s">
        <v>33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140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32</v>
      </c>
      <c r="D118" s="98" t="n">
        <f aca="false">'Profit &amp; Loss Account'!B32</f>
        <v>500</v>
      </c>
      <c r="E118" s="98"/>
      <c r="F118" s="98"/>
      <c r="G118" s="99" t="s">
        <v>33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32</v>
      </c>
      <c r="O118" s="98"/>
      <c r="P118" s="98"/>
      <c r="Q118" s="98"/>
      <c r="R118" s="99" t="s">
        <v>33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141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142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32</v>
      </c>
      <c r="D122" s="98" t="n">
        <f aca="false">'Profit &amp; Loss Account'!B17+'Profit &amp; Loss Account'!B35</f>
        <v>47614.25</v>
      </c>
      <c r="E122" s="98"/>
      <c r="F122" s="98"/>
      <c r="G122" s="99" t="s">
        <v>33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32</v>
      </c>
      <c r="O122" s="98" t="n">
        <f aca="false">'Profit &amp; Loss Account'!B34</f>
        <v>0</v>
      </c>
      <c r="P122" s="98"/>
      <c r="Q122" s="98"/>
      <c r="R122" s="99" t="s">
        <v>33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72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73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74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32</v>
      </c>
      <c r="D129" s="98" t="n">
        <f aca="false">IF((D55+O55-D122)&gt;=0,D55+O55-D122,0)</f>
        <v>121585.75</v>
      </c>
      <c r="E129" s="98"/>
      <c r="F129" s="98"/>
      <c r="G129" s="99" t="s">
        <v>33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32</v>
      </c>
      <c r="O129" s="98" t="n">
        <f aca="false">IF((D55+O55-D122)&lt;0,D122-D55-O55,0)</f>
        <v>0</v>
      </c>
      <c r="P129" s="98"/>
      <c r="Q129" s="98"/>
      <c r="R129" s="99" t="s">
        <v>33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77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148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149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150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32</v>
      </c>
      <c r="D139" s="98" t="n">
        <f aca="false">IF([1]Schedule!$Q$1&gt;0,[1]Schedule!$Q$1,0)</f>
        <v>0</v>
      </c>
      <c r="E139" s="98"/>
      <c r="F139" s="98"/>
      <c r="G139" s="99" t="s">
        <v>33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32</v>
      </c>
      <c r="O139" s="98" t="n">
        <f aca="false">IF(([1]Schedule!$R$1+[1]Schedule!$S$1)&lt;1000,[1]Schedule!$S$1,0)</f>
        <v>0</v>
      </c>
      <c r="P139" s="98"/>
      <c r="Q139" s="98"/>
      <c r="R139" s="99" t="s">
        <v>33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151</v>
      </c>
      <c r="D141" s="64"/>
      <c r="E141" s="64"/>
      <c r="F141" s="64"/>
      <c r="G141" s="131" t="n">
        <f aca="false">Admin!G5</f>
        <v>0.14</v>
      </c>
      <c r="H141" s="131"/>
      <c r="I141" s="64" t="s">
        <v>152</v>
      </c>
      <c r="J141" s="64"/>
      <c r="K141" s="64"/>
      <c r="L141" s="75" t="n">
        <v>55</v>
      </c>
      <c r="M141" s="63"/>
      <c r="N141" s="64" t="s">
        <v>153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154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155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32</v>
      </c>
      <c r="D144" s="98" t="n">
        <f aca="false">[1]Schedule!$R$1-D152</f>
        <v>0</v>
      </c>
      <c r="E144" s="98"/>
      <c r="F144" s="98"/>
      <c r="G144" s="99" t="s">
        <v>33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32</v>
      </c>
      <c r="O144" s="98" t="n">
        <f aca="false">[1]Schedule!$Y$1</f>
        <v>0</v>
      </c>
      <c r="P144" s="98"/>
      <c r="Q144" s="98"/>
      <c r="R144" s="99" t="s">
        <v>33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156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32</v>
      </c>
      <c r="D147" s="98"/>
      <c r="E147" s="98"/>
      <c r="F147" s="98"/>
      <c r="G147" s="99" t="s">
        <v>33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157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158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32</v>
      </c>
      <c r="O149" s="98" t="n">
        <f aca="false">D139+D144+D147+D152+D156+D160+O139+O144</f>
        <v>0</v>
      </c>
      <c r="P149" s="98"/>
      <c r="Q149" s="98"/>
      <c r="R149" s="99" t="s">
        <v>33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159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160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32</v>
      </c>
      <c r="D152" s="98" t="n">
        <f aca="false">SUM([1]Schedule!$R$38:$R$42)+SUM([1]Schedule!$R$91:$R$95)</f>
        <v>0</v>
      </c>
      <c r="E152" s="98"/>
      <c r="F152" s="98"/>
      <c r="G152" s="99" t="s">
        <v>33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161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162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32</v>
      </c>
      <c r="O154" s="98"/>
      <c r="P154" s="98"/>
      <c r="Q154" s="98"/>
      <c r="R154" s="99" t="s">
        <v>33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32</v>
      </c>
      <c r="D156" s="98"/>
      <c r="E156" s="98"/>
      <c r="F156" s="98"/>
      <c r="G156" s="99" t="s">
        <v>33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163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164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165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166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167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32</v>
      </c>
      <c r="D160" s="98"/>
      <c r="E160" s="98"/>
      <c r="F160" s="98"/>
      <c r="G160" s="99" t="s">
        <v>33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32</v>
      </c>
      <c r="O160" s="98" t="n">
        <f aca="false">[1]Schedule!$Z$1</f>
        <v>0</v>
      </c>
      <c r="P160" s="98"/>
      <c r="Q160" s="98"/>
      <c r="R160" s="99" t="s">
        <v>33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168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169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170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171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172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114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173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32</v>
      </c>
      <c r="D169" s="98" t="n">
        <f aca="false">'Business Details'!O50</f>
        <v>0</v>
      </c>
      <c r="E169" s="98"/>
      <c r="F169" s="98"/>
      <c r="G169" s="99" t="s">
        <v>33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32</v>
      </c>
      <c r="O169" s="98" t="n">
        <f aca="false">O149+D179</f>
        <v>0</v>
      </c>
      <c r="P169" s="98"/>
      <c r="Q169" s="98"/>
      <c r="R169" s="99" t="s">
        <v>33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174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175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176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177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32</v>
      </c>
      <c r="D174" s="98" t="n">
        <f aca="false">O122+O154+O160+D169</f>
        <v>0</v>
      </c>
      <c r="E174" s="98"/>
      <c r="F174" s="98"/>
      <c r="G174" s="99" t="s">
        <v>33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32</v>
      </c>
      <c r="O174" s="98" t="n">
        <f aca="false">IF((D129+D174-O169)&gt;0,(D129+D174-O169),IF((-O129+D174-O169)&gt;0,(-O129+D174-O169),0))</f>
        <v>121585.75</v>
      </c>
      <c r="P174" s="98"/>
      <c r="Q174" s="98"/>
      <c r="R174" s="99" t="s">
        <v>33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178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179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180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181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32</v>
      </c>
      <c r="D179" s="98"/>
      <c r="E179" s="98"/>
      <c r="F179" s="98"/>
      <c r="G179" s="99" t="s">
        <v>33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32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33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182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183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184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185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186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187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188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189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190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191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32</v>
      </c>
      <c r="O190" s="136" t="s">
        <v>192</v>
      </c>
      <c r="P190" s="137"/>
      <c r="Q190" s="137"/>
      <c r="R190" s="99" t="s">
        <v>33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193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194</v>
      </c>
      <c r="O192" s="63"/>
      <c r="P192" s="63"/>
      <c r="Q192" s="138" t="str">
        <f aca="false">Admin!G2</f>
        <v>2026-27</v>
      </c>
      <c r="R192" s="64" t="s">
        <v>195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196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197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198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32</v>
      </c>
      <c r="O194" s="98" t="n">
        <f aca="false">O174</f>
        <v>121585.75</v>
      </c>
      <c r="P194" s="98"/>
      <c r="Q194" s="98"/>
      <c r="R194" s="99" t="s">
        <v>33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199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200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91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32</v>
      </c>
      <c r="D197" s="136" t="s">
        <v>192</v>
      </c>
      <c r="E197" s="137"/>
      <c r="F197" s="137"/>
      <c r="G197" s="99" t="s">
        <v>33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201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202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203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32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33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32</v>
      </c>
      <c r="D201" s="98"/>
      <c r="E201" s="98"/>
      <c r="F201" s="98"/>
      <c r="G201" s="99" t="s">
        <v>33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204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205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206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32</v>
      </c>
      <c r="O204" s="98" t="n">
        <f aca="false">'Profit &amp; Loss Account'!B11</f>
        <v>2083.33333333333</v>
      </c>
      <c r="P204" s="98"/>
      <c r="Q204" s="98"/>
      <c r="R204" s="99" t="s">
        <v>33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32</v>
      </c>
      <c r="D206" s="98"/>
      <c r="E206" s="98"/>
      <c r="F206" s="98"/>
      <c r="G206" s="99" t="s">
        <v>33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207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208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209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210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211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32</v>
      </c>
      <c r="D210" s="98"/>
      <c r="E210" s="98"/>
      <c r="F210" s="98"/>
      <c r="G210" s="99" t="s">
        <v>33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32</v>
      </c>
      <c r="O210" s="98" t="n">
        <f aca="false">O194-O199+O204</f>
        <v>123669.083333334</v>
      </c>
      <c r="P210" s="98"/>
      <c r="Q210" s="98"/>
      <c r="R210" s="99" t="s">
        <v>33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212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213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214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215</v>
      </c>
      <c r="D216" s="64"/>
      <c r="E216" s="64"/>
      <c r="F216" s="146" t="str">
        <f aca="false">Admin!G2</f>
        <v>2026-27</v>
      </c>
      <c r="G216" s="64" t="s">
        <v>216</v>
      </c>
      <c r="H216" s="64"/>
      <c r="I216" s="64"/>
      <c r="J216" s="63"/>
      <c r="K216" s="64"/>
      <c r="L216" s="75" t="n">
        <v>78</v>
      </c>
      <c r="M216" s="63"/>
      <c r="N216" s="64" t="s">
        <v>217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218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112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32</v>
      </c>
      <c r="D219" s="98" t="n">
        <f aca="false">O179+E197-D201+D210+P190</f>
        <v>0</v>
      </c>
      <c r="E219" s="98"/>
      <c r="F219" s="98"/>
      <c r="G219" s="99" t="s">
        <v>33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32</v>
      </c>
      <c r="O219" s="98"/>
      <c r="P219" s="98"/>
      <c r="Q219" s="98"/>
      <c r="R219" s="99" t="s">
        <v>33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219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107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32</v>
      </c>
      <c r="D224" s="98"/>
      <c r="E224" s="98"/>
      <c r="F224" s="98"/>
      <c r="G224" s="99" t="s">
        <v>33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32</v>
      </c>
      <c r="O224" s="98" t="n">
        <f aca="false">D219</f>
        <v>0</v>
      </c>
      <c r="P224" s="98"/>
      <c r="Q224" s="98"/>
      <c r="R224" s="99" t="s">
        <v>33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220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116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221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222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32</v>
      </c>
      <c r="D231" s="98" t="n">
        <f aca="false">[2]Mar!$X$1</f>
        <v>0</v>
      </c>
      <c r="E231" s="98"/>
      <c r="F231" s="98"/>
      <c r="G231" s="99" t="s">
        <v>33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32</v>
      </c>
      <c r="O231" s="98"/>
      <c r="P231" s="98"/>
      <c r="Q231" s="98"/>
      <c r="R231" s="99" t="s">
        <v>33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223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224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225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226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227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228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229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32</v>
      </c>
      <c r="D241" s="98"/>
      <c r="E241" s="98"/>
      <c r="F241" s="98"/>
      <c r="G241" s="99" t="s">
        <v>33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32</v>
      </c>
      <c r="O241" s="98"/>
      <c r="P241" s="98"/>
      <c r="Q241" s="98"/>
      <c r="R241" s="99" t="s">
        <v>33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230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231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32</v>
      </c>
      <c r="D245" s="98"/>
      <c r="E245" s="98"/>
      <c r="F245" s="98"/>
      <c r="G245" s="99" t="s">
        <v>33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32</v>
      </c>
      <c r="O245" s="98"/>
      <c r="P245" s="98"/>
      <c r="Q245" s="98"/>
      <c r="R245" s="99" t="s">
        <v>33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232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233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32</v>
      </c>
      <c r="D249" s="98"/>
      <c r="E249" s="98"/>
      <c r="F249" s="98"/>
      <c r="G249" s="99" t="s">
        <v>33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32</v>
      </c>
      <c r="O249" s="98"/>
      <c r="P249" s="98"/>
      <c r="Q249" s="98"/>
      <c r="R249" s="99" t="s">
        <v>33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234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235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32</v>
      </c>
      <c r="D253" s="98"/>
      <c r="E253" s="98"/>
      <c r="F253" s="98"/>
      <c r="G253" s="99" t="s">
        <v>33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236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237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32</v>
      </c>
      <c r="O255" s="149" t="s">
        <v>192</v>
      </c>
      <c r="P255" s="98"/>
      <c r="Q255" s="98"/>
      <c r="R255" s="98"/>
      <c r="S255" s="99" t="s">
        <v>33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32</v>
      </c>
      <c r="D257" s="98"/>
      <c r="E257" s="98"/>
      <c r="F257" s="98"/>
      <c r="G257" s="99" t="s">
        <v>33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238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239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240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32</v>
      </c>
      <c r="D261" s="98"/>
      <c r="E261" s="98"/>
      <c r="F261" s="98"/>
      <c r="G261" s="99" t="s">
        <v>33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32</v>
      </c>
      <c r="O261" s="136" t="s">
        <v>192</v>
      </c>
      <c r="P261" s="98"/>
      <c r="Q261" s="98"/>
      <c r="R261" s="98"/>
      <c r="S261" s="99" t="s">
        <v>33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241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242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32</v>
      </c>
      <c r="D265" s="98"/>
      <c r="E265" s="98"/>
      <c r="F265" s="98"/>
      <c r="G265" s="99" t="s">
        <v>33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32</v>
      </c>
      <c r="O265" s="136" t="s">
        <v>192</v>
      </c>
      <c r="P265" s="98"/>
      <c r="Q265" s="98"/>
      <c r="R265" s="98"/>
      <c r="S265" s="99" t="s">
        <v>33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243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244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32</v>
      </c>
      <c r="D269" s="98"/>
      <c r="E269" s="98"/>
      <c r="F269" s="98"/>
      <c r="G269" s="99" t="s">
        <v>33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32</v>
      </c>
      <c r="O269" s="98"/>
      <c r="P269" s="98"/>
      <c r="Q269" s="98"/>
      <c r="R269" s="99" t="s">
        <v>33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245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32</v>
      </c>
      <c r="O273" s="98"/>
      <c r="P273" s="98"/>
      <c r="Q273" s="98"/>
      <c r="R273" s="99" t="s">
        <v>33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246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32</v>
      </c>
      <c r="O277" s="136" t="s">
        <v>192</v>
      </c>
      <c r="P277" s="98"/>
      <c r="Q277" s="98"/>
      <c r="R277" s="98"/>
      <c r="S277" s="99" t="s">
        <v>33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247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248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12570</v>
      </c>
      <c r="K280" s="104" t="s">
        <v>249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250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251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252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253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254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32</v>
      </c>
      <c r="O286" s="98"/>
      <c r="P286" s="98"/>
      <c r="Q286" s="98"/>
      <c r="R286" s="99" t="s">
        <v>33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110</v>
      </c>
      <c r="D288" s="63"/>
      <c r="E288" s="63"/>
      <c r="F288" s="63"/>
      <c r="G288" s="115" t="str">
        <f aca="false">Admin!G2</f>
        <v>2026-27</v>
      </c>
      <c r="H288" s="115"/>
      <c r="I288" s="115"/>
      <c r="J288" s="63" t="s">
        <v>255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256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257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258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259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260</v>
      </c>
      <c r="B2" s="161" t="s">
        <v>261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32</v>
      </c>
      <c r="C4" s="166" t="s">
        <v>32</v>
      </c>
      <c r="D4" s="166" t="s">
        <v>32</v>
      </c>
      <c r="E4" s="166" t="s">
        <v>32</v>
      </c>
      <c r="F4" s="167" t="s">
        <v>32</v>
      </c>
      <c r="G4" s="166" t="s">
        <v>32</v>
      </c>
      <c r="H4" s="166" t="s">
        <v>32</v>
      </c>
      <c r="I4" s="167" t="s">
        <v>32</v>
      </c>
      <c r="J4" s="166" t="s">
        <v>32</v>
      </c>
      <c r="K4" s="166" t="s">
        <v>32</v>
      </c>
      <c r="L4" s="167" t="s">
        <v>32</v>
      </c>
      <c r="M4" s="168" t="s">
        <v>32</v>
      </c>
      <c r="N4" s="166" t="s">
        <v>32</v>
      </c>
      <c r="O4" s="164"/>
    </row>
    <row r="5" customFormat="false" ht="12" hidden="false" customHeight="false" outlineLevel="0" collapsed="false">
      <c r="A5" s="169" t="s">
        <v>262</v>
      </c>
      <c r="B5" s="170" t="n">
        <f aca="false">SUM(C5:N5)</f>
        <v>141600</v>
      </c>
      <c r="C5" s="171" t="n">
        <f aca="false">[2]Apr!$P$1</f>
        <v>11166.6666666667</v>
      </c>
      <c r="D5" s="171" t="n">
        <f aca="false">[2]May!$P$1</f>
        <v>11466.6666666667</v>
      </c>
      <c r="E5" s="172" t="n">
        <f aca="false">[2]Jun!$P$1</f>
        <v>12366.6666666667</v>
      </c>
      <c r="F5" s="171" t="n">
        <f aca="false">[2]Jul!$P$1</f>
        <v>11466.6666666667</v>
      </c>
      <c r="G5" s="171" t="n">
        <f aca="false">[2]Aug!$P$1</f>
        <v>12966.6666666667</v>
      </c>
      <c r="H5" s="172" t="n">
        <f aca="false">[2]Sep!$P$1</f>
        <v>10866.6666666667</v>
      </c>
      <c r="I5" s="171" t="n">
        <f aca="false">[2]Oct!$P$1</f>
        <v>12966.6666666667</v>
      </c>
      <c r="J5" s="171" t="n">
        <f aca="false">[2]Nov!$P$1</f>
        <v>11466.6666666667</v>
      </c>
      <c r="K5" s="172" t="n">
        <f aca="false">[2]Dec!$P$1</f>
        <v>12366.6666666667</v>
      </c>
      <c r="L5" s="171" t="n">
        <f aca="false">[2]Jan!$P$1</f>
        <v>11466.6666666667</v>
      </c>
      <c r="M5" s="171" t="n">
        <f aca="false">[2]Feb!$P$1</f>
        <v>12166.6666666667</v>
      </c>
      <c r="N5" s="171" t="n">
        <f aca="false">[2]Mar!$P$1</f>
        <v>10866.6666666667</v>
      </c>
      <c r="O5" s="164"/>
    </row>
    <row r="6" customFormat="false" ht="12" hidden="false" customHeight="false" outlineLevel="0" collapsed="false">
      <c r="A6" s="169" t="s">
        <v>263</v>
      </c>
      <c r="B6" s="170" t="n">
        <f aca="false">SUM(C6:N6)</f>
        <v>13600</v>
      </c>
      <c r="C6" s="171" t="n">
        <f aca="false">[2]Apr!$Q$1</f>
        <v>1800</v>
      </c>
      <c r="D6" s="171" t="n">
        <f aca="false">[2]May!$Q$1</f>
        <v>800</v>
      </c>
      <c r="E6" s="172" t="n">
        <f aca="false">[2]Jun!$Q$1</f>
        <v>800</v>
      </c>
      <c r="F6" s="171" t="n">
        <f aca="false">[2]Jul!$Q$1</f>
        <v>1800</v>
      </c>
      <c r="G6" s="171" t="n">
        <f aca="false">[2]Aug!$Q$1</f>
        <v>800</v>
      </c>
      <c r="H6" s="172" t="n">
        <f aca="false">[2]Sep!$Q$1</f>
        <v>800</v>
      </c>
      <c r="I6" s="171" t="n">
        <f aca="false">[2]Oct!$Q$1</f>
        <v>1800</v>
      </c>
      <c r="J6" s="171" t="n">
        <f aca="false">[2]Nov!$Q$1</f>
        <v>800</v>
      </c>
      <c r="K6" s="172" t="n">
        <f aca="false">[2]Dec!$Q$1</f>
        <v>800</v>
      </c>
      <c r="L6" s="171" t="n">
        <f aca="false">[2]Jan!$Q$1</f>
        <v>1800</v>
      </c>
      <c r="M6" s="171" t="n">
        <f aca="false">[2]Feb!$Q$1</f>
        <v>800</v>
      </c>
      <c r="N6" s="171" t="n">
        <f aca="false">[2]Mar!$Q$1</f>
        <v>800</v>
      </c>
      <c r="O6" s="164"/>
    </row>
    <row r="7" customFormat="false" ht="12" hidden="false" customHeight="false" outlineLevel="0" collapsed="false">
      <c r="A7" s="169" t="s">
        <v>264</v>
      </c>
      <c r="B7" s="170" t="n">
        <f aca="false">SUM(C7:N7)</f>
        <v>10300</v>
      </c>
      <c r="C7" s="171" t="n">
        <f aca="false">[2]Apr!$R$1</f>
        <v>0</v>
      </c>
      <c r="D7" s="171" t="n">
        <f aca="false">[2]May!$R$1</f>
        <v>1000</v>
      </c>
      <c r="E7" s="172" t="n">
        <f aca="false">[2]Jun!$R$1</f>
        <v>2000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1800</v>
      </c>
      <c r="I7" s="171" t="n">
        <f aca="false">[2]Oct!$R$1</f>
        <v>0</v>
      </c>
      <c r="J7" s="171" t="n">
        <f aca="false">[2]Nov!$R$1</f>
        <v>3000</v>
      </c>
      <c r="K7" s="172" t="n">
        <f aca="false">[2]Dec!$R$1</f>
        <v>0</v>
      </c>
      <c r="L7" s="171" t="n">
        <f aca="false">[2]Jan!$R$1</f>
        <v>1000</v>
      </c>
      <c r="M7" s="171" t="n">
        <f aca="false">[2]Feb!$R$1</f>
        <v>1500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265</v>
      </c>
      <c r="B8" s="170" t="n">
        <f aca="false">SUM(C8:N8)</f>
        <v>3700</v>
      </c>
      <c r="C8" s="171" t="n">
        <f aca="false">[2]Apr!$S$1</f>
        <v>700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700</v>
      </c>
      <c r="G8" s="171" t="n">
        <f aca="false">[2]Aug!$S$1</f>
        <v>0</v>
      </c>
      <c r="H8" s="172" t="n">
        <f aca="false">[2]Sep!$S$1</f>
        <v>500</v>
      </c>
      <c r="I8" s="171" t="n">
        <f aca="false">[2]Oct!$S$1</f>
        <v>700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1100</v>
      </c>
      <c r="M8" s="171" t="n">
        <f aca="false">[2]Feb!$S$1</f>
        <v>0</v>
      </c>
      <c r="N8" s="171" t="n">
        <f aca="false">[2]Mar!$S$1</f>
        <v>0</v>
      </c>
      <c r="O8" s="164"/>
    </row>
    <row r="9" s="176" customFormat="true" ht="12" hidden="false" customHeight="false" outlineLevel="0" collapsed="false">
      <c r="A9" s="173" t="s">
        <v>266</v>
      </c>
      <c r="B9" s="170" t="n">
        <f aca="false">SUM(B5:B8)</f>
        <v>169200</v>
      </c>
      <c r="C9" s="170" t="n">
        <f aca="false">SUM(C5:C8)</f>
        <v>13666.6666666667</v>
      </c>
      <c r="D9" s="170" t="n">
        <f aca="false">SUM(D5:D8)</f>
        <v>13266.6666666667</v>
      </c>
      <c r="E9" s="170" t="n">
        <f aca="false">SUM(E5:E8)</f>
        <v>15166.6666666667</v>
      </c>
      <c r="F9" s="174" t="n">
        <f aca="false">SUM(F5:F8)</f>
        <v>13966.6666666667</v>
      </c>
      <c r="G9" s="170" t="n">
        <f aca="false">SUM(G5:G8)</f>
        <v>13766.6666666667</v>
      </c>
      <c r="H9" s="170" t="n">
        <f aca="false">SUM(H5:H8)</f>
        <v>13966.6666666667</v>
      </c>
      <c r="I9" s="174" t="n">
        <f aca="false">SUM(I5:I8)</f>
        <v>15466.6666666667</v>
      </c>
      <c r="J9" s="170" t="n">
        <f aca="false">SUM(J5:J8)</f>
        <v>15266.6666666667</v>
      </c>
      <c r="K9" s="170" t="n">
        <f aca="false">SUM(K5:K8)</f>
        <v>13166.6666666667</v>
      </c>
      <c r="L9" s="174" t="n">
        <f aca="false">SUM(L5:L8)</f>
        <v>15366.6666666667</v>
      </c>
      <c r="M9" s="170" t="n">
        <f aca="false">SUM(M5:M8)</f>
        <v>14466.6666666667</v>
      </c>
      <c r="N9" s="170" t="n">
        <f aca="false">SUM(N5:N8)</f>
        <v>11666.6666666667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267</v>
      </c>
      <c r="B11" s="170" t="n">
        <f aca="false">SUM(C11:N11)</f>
        <v>2083.33333333333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2083.33333333333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268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269</v>
      </c>
      <c r="B14" s="170" t="n">
        <f aca="false">SUM(C14:N14)</f>
        <v>6540</v>
      </c>
      <c r="C14" s="171" t="n">
        <f aca="false">[3]Apr!$P$1+StockControl!AB6-StockControl!AB8</f>
        <v>600</v>
      </c>
      <c r="D14" s="171" t="n">
        <f aca="false">[3]May!$P$1+StockControl!AB8-StockControl!AB10</f>
        <v>720</v>
      </c>
      <c r="E14" s="172" t="n">
        <f aca="false">[3]Jun!$P$1+StockControl!AB10-StockControl!AB12</f>
        <v>360</v>
      </c>
      <c r="F14" s="171" t="n">
        <f aca="false">[3]Jul!$P$1+StockControl!AB12-StockControl!AB14</f>
        <v>720</v>
      </c>
      <c r="G14" s="171" t="n">
        <f aca="false">[3]Aug!$P$1+StockControl!AB14-StockControl!AB16</f>
        <v>540</v>
      </c>
      <c r="H14" s="172" t="n">
        <f aca="false">[3]Sep!$P$1+StockControl!AB16-StockControl!AB18</f>
        <v>240</v>
      </c>
      <c r="I14" s="171" t="n">
        <f aca="false">[3]Oct!$P$1+StockControl!AB18-StockControl!AB20</f>
        <v>480</v>
      </c>
      <c r="J14" s="171" t="n">
        <f aca="false">[3]Nov!$P$1+StockControl!AB20-StockControl!AB22</f>
        <v>840</v>
      </c>
      <c r="K14" s="172" t="n">
        <f aca="false">[3]Dec!$P$1+StockControl!AB22-StockControl!AB24</f>
        <v>480</v>
      </c>
      <c r="L14" s="171" t="n">
        <f aca="false">[3]Jan!$P$1+StockControl!AB24-StockControl!AB26</f>
        <v>600</v>
      </c>
      <c r="M14" s="171" t="n">
        <f aca="false">[3]Feb!$P$1+StockControl!AB26-StockControl!AB28</f>
        <v>660</v>
      </c>
      <c r="N14" s="171" t="n">
        <f aca="false">[3]Mar!$P$1+StockControl!AB28-StockControl!AB30</f>
        <v>300</v>
      </c>
      <c r="O14" s="164"/>
    </row>
    <row r="15" customFormat="false" ht="12" hidden="false" customHeight="false" outlineLevel="0" collapsed="false">
      <c r="A15" s="169" t="s">
        <v>270</v>
      </c>
      <c r="B15" s="170" t="n">
        <f aca="false">SUM(C15:N15)</f>
        <v>8000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5000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3000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271</v>
      </c>
      <c r="B16" s="170" t="n">
        <f aca="false">SUM(C16:N16)</f>
        <v>3204</v>
      </c>
      <c r="C16" s="171" t="n">
        <f aca="false">[3]Apr!$R$1</f>
        <v>285</v>
      </c>
      <c r="D16" s="171" t="n">
        <f aca="false">[3]May!$R$1</f>
        <v>249</v>
      </c>
      <c r="E16" s="172" t="n">
        <f aca="false">[3]Jun!$R$1</f>
        <v>285</v>
      </c>
      <c r="F16" s="171" t="n">
        <f aca="false">[3]Jul!$R$1</f>
        <v>249</v>
      </c>
      <c r="G16" s="171" t="n">
        <f aca="false">[3]Aug!$R$1</f>
        <v>285</v>
      </c>
      <c r="H16" s="172" t="n">
        <f aca="false">[3]Sep!$R$1</f>
        <v>249</v>
      </c>
      <c r="I16" s="171" t="n">
        <f aca="false">[3]Oct!$R$1</f>
        <v>285</v>
      </c>
      <c r="J16" s="171" t="n">
        <f aca="false">[3]Nov!$R$1</f>
        <v>249</v>
      </c>
      <c r="K16" s="172" t="n">
        <f aca="false">[3]Dec!$R$1</f>
        <v>285</v>
      </c>
      <c r="L16" s="171" t="n">
        <f aca="false">[3]Jan!$R$1</f>
        <v>249</v>
      </c>
      <c r="M16" s="171" t="n">
        <f aca="false">[3]Feb!$R$1</f>
        <v>285</v>
      </c>
      <c r="N16" s="171" t="n">
        <f aca="false">[3]Mar!$R$1</f>
        <v>249</v>
      </c>
      <c r="O16" s="164"/>
    </row>
    <row r="17" s="176" customFormat="true" ht="12" hidden="false" customHeight="false" outlineLevel="0" collapsed="false">
      <c r="A17" s="173" t="s">
        <v>272</v>
      </c>
      <c r="B17" s="170" t="n">
        <f aca="false">SUM(B14:B16)</f>
        <v>17744</v>
      </c>
      <c r="C17" s="170" t="n">
        <f aca="false">SUM(C14:C16)</f>
        <v>885</v>
      </c>
      <c r="D17" s="170" t="n">
        <f aca="false">SUM(D14:D16)</f>
        <v>969</v>
      </c>
      <c r="E17" s="170" t="n">
        <f aca="false">SUM(E14:E16)</f>
        <v>5645</v>
      </c>
      <c r="F17" s="174" t="n">
        <f aca="false">SUM(F14:F16)</f>
        <v>969</v>
      </c>
      <c r="G17" s="170" t="n">
        <f aca="false">SUM(G14:G16)</f>
        <v>825</v>
      </c>
      <c r="H17" s="170" t="n">
        <f aca="false">SUM(H14:H16)</f>
        <v>489</v>
      </c>
      <c r="I17" s="174" t="n">
        <f aca="false">SUM(I14:I16)</f>
        <v>765</v>
      </c>
      <c r="J17" s="170" t="n">
        <f aca="false">SUM(J14:J16)</f>
        <v>4089</v>
      </c>
      <c r="K17" s="170" t="n">
        <f aca="false">SUM(K14:K16)</f>
        <v>765</v>
      </c>
      <c r="L17" s="174" t="n">
        <f aca="false">SUM(L14:L16)</f>
        <v>849</v>
      </c>
      <c r="M17" s="170" t="n">
        <f aca="false">SUM(M14:M16)</f>
        <v>945</v>
      </c>
      <c r="N17" s="170" t="n">
        <f aca="false">SUM(N14:N16)</f>
        <v>549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273</v>
      </c>
      <c r="B19" s="170" t="n">
        <f aca="false">B9+B11-B17</f>
        <v>153539.333333334</v>
      </c>
      <c r="C19" s="170" t="n">
        <f aca="false">C9+C11-C17</f>
        <v>12781.6666666667</v>
      </c>
      <c r="D19" s="170" t="n">
        <f aca="false">D9+D11-D17</f>
        <v>12297.6666666667</v>
      </c>
      <c r="E19" s="170" t="n">
        <f aca="false">E9+E11-E17</f>
        <v>9521.6666666667</v>
      </c>
      <c r="F19" s="174" t="n">
        <f aca="false">F9+F11-F17</f>
        <v>12997.6666666667</v>
      </c>
      <c r="G19" s="170" t="n">
        <f aca="false">G9+G11-G17</f>
        <v>15025</v>
      </c>
      <c r="H19" s="170" t="n">
        <f aca="false">H9+H11-H17</f>
        <v>13477.6666666667</v>
      </c>
      <c r="I19" s="174" t="n">
        <f aca="false">I9+I11-I17</f>
        <v>14701.6666666667</v>
      </c>
      <c r="J19" s="170" t="n">
        <f aca="false">J9+J11-J17</f>
        <v>11177.6666666667</v>
      </c>
      <c r="K19" s="170" t="n">
        <f aca="false">K9+K11-K17</f>
        <v>12401.6666666667</v>
      </c>
      <c r="L19" s="174" t="n">
        <f aca="false">L9+L11-L17</f>
        <v>14517.6666666667</v>
      </c>
      <c r="M19" s="170" t="n">
        <f aca="false">M9+M11-M17</f>
        <v>13521.6666666667</v>
      </c>
      <c r="N19" s="170" t="n">
        <f aca="false">N9+N11-N17</f>
        <v>11117.6666666667</v>
      </c>
      <c r="O19" s="175"/>
    </row>
    <row r="20" s="176" customFormat="true" ht="10.5" hidden="false" customHeight="true" outlineLevel="0" collapsed="false">
      <c r="A20" s="180" t="s">
        <v>274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275</v>
      </c>
      <c r="B21" s="170" t="n">
        <f aca="false">SUM(C21:N21)</f>
        <v>5800</v>
      </c>
      <c r="C21" s="171" t="n">
        <f aca="false">[3]Apr!$S$1+Wagesinterface!C4+Wagesinterface!H4-Wagesinterface!I4</f>
        <v>0</v>
      </c>
      <c r="D21" s="171" t="n">
        <f aca="false">[3]May!$S$1+Wagesinterface!C5+Wagesinterface!H5-Wagesinterface!I5</f>
        <v>0</v>
      </c>
      <c r="E21" s="172" t="n">
        <f aca="false">[3]Jun!$S$1+Wagesinterface!C6+Wagesinterface!H6-Wagesinterface!I6</f>
        <v>0</v>
      </c>
      <c r="F21" s="171" t="n">
        <f aca="false">[3]Jul!$S$1+Wagesinterface!C7+Wagesinterface!H7-Wagesinterface!I7</f>
        <v>0</v>
      </c>
      <c r="G21" s="171" t="n">
        <f aca="false">[3]Aug!$S$1+Wagesinterface!C8+Wagesinterface!H8-Wagesinterface!I8</f>
        <v>800</v>
      </c>
      <c r="H21" s="172" t="n">
        <f aca="false">[3]Sep!$S$1+Wagesinterface!C9+Wagesinterface!H9-Wagesinterface!I9</f>
        <v>0</v>
      </c>
      <c r="I21" s="171" t="n">
        <f aca="false">[3]Oct!$S$1+Wagesinterface!C10+Wagesinterface!H10-Wagesinterface!I10</f>
        <v>0</v>
      </c>
      <c r="J21" s="171" t="n">
        <f aca="false">[3]Nov!$S$1+Wagesinterface!C11+Wagesinterface!H11-Wagesinterface!I11</f>
        <v>0</v>
      </c>
      <c r="K21" s="172" t="n">
        <f aca="false">[3]Dec!$S$1+Wagesinterface!C12+Wagesinterface!H12-Wagesinterface!I12</f>
        <v>5000</v>
      </c>
      <c r="L21" s="171" t="n">
        <f aca="false">[3]Jan!$S$1+Wagesinterface!C13+Wagesinterface!H13-Wagesinterface!I13</f>
        <v>0</v>
      </c>
      <c r="M21" s="171" t="n">
        <f aca="false">[3]Feb!$S$1+Wagesinterface!C14+Wagesinterface!H14-Wagesinterface!I14</f>
        <v>0</v>
      </c>
      <c r="N21" s="171" t="n">
        <f aca="false">[3]Mar!$S$1+Wagesinterface!C15+Wagesinterface!H15-Wagesinterface!I15</f>
        <v>0</v>
      </c>
      <c r="O21" s="164"/>
    </row>
    <row r="22" customFormat="false" ht="12" hidden="false" customHeight="false" outlineLevel="0" collapsed="false">
      <c r="A22" s="182" t="s">
        <v>276</v>
      </c>
      <c r="B22" s="170" t="n">
        <f aca="false">SUM(C22:N22)</f>
        <v>1440</v>
      </c>
      <c r="C22" s="171" t="n">
        <f aca="false">[3]Apr!$T$1</f>
        <v>0</v>
      </c>
      <c r="D22" s="171" t="n">
        <f aca="false">[3]May!$T$1</f>
        <v>0</v>
      </c>
      <c r="E22" s="172" t="n">
        <f aca="false">[3]Jun!$T$1</f>
        <v>360</v>
      </c>
      <c r="F22" s="171" t="n">
        <f aca="false">[3]Jul!$T$1</f>
        <v>0</v>
      </c>
      <c r="G22" s="171" t="n">
        <f aca="false">[3]Aug!$T$1</f>
        <v>0</v>
      </c>
      <c r="H22" s="172" t="n">
        <f aca="false">[3]Sep!$T$1</f>
        <v>300</v>
      </c>
      <c r="I22" s="171" t="n">
        <f aca="false">[3]Oct!$T$1</f>
        <v>0</v>
      </c>
      <c r="J22" s="171" t="n">
        <f aca="false">[3]Nov!$T$1</f>
        <v>0</v>
      </c>
      <c r="K22" s="172" t="n">
        <f aca="false">[3]Dec!$T$1</f>
        <v>420</v>
      </c>
      <c r="L22" s="171" t="n">
        <f aca="false">[3]Jan!$T$1</f>
        <v>0</v>
      </c>
      <c r="M22" s="171" t="n">
        <f aca="false">[3]Feb!$T$1</f>
        <v>0</v>
      </c>
      <c r="N22" s="171" t="n">
        <f aca="false">[3]Mar!$T$1</f>
        <v>360</v>
      </c>
      <c r="O22" s="164"/>
    </row>
    <row r="23" customFormat="false" ht="12" hidden="false" customHeight="false" outlineLevel="0" collapsed="false">
      <c r="A23" s="182" t="s">
        <v>277</v>
      </c>
      <c r="B23" s="170" t="n">
        <f aca="false">SUM(C23:N23)</f>
        <v>1140</v>
      </c>
      <c r="C23" s="171" t="n">
        <f aca="false">[3]Apr!$U$1</f>
        <v>120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180</v>
      </c>
      <c r="G23" s="171" t="n">
        <f aca="false">[3]Aug!$U$1</f>
        <v>240</v>
      </c>
      <c r="H23" s="172" t="n">
        <f aca="false">[3]Sep!$U$1</f>
        <v>0</v>
      </c>
      <c r="I23" s="171" t="n">
        <f aca="false">[3]Oct!$U$1</f>
        <v>96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144</v>
      </c>
      <c r="M23" s="171" t="n">
        <f aca="false">[3]Feb!$U$1</f>
        <v>360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278</v>
      </c>
      <c r="B24" s="170" t="n">
        <f aca="false">SUM(C24:N24)</f>
        <v>1962</v>
      </c>
      <c r="C24" s="171" t="n">
        <f aca="false">[3]Apr!$V$1</f>
        <v>135</v>
      </c>
      <c r="D24" s="171" t="n">
        <f aca="false">[3]May!$V$1</f>
        <v>153</v>
      </c>
      <c r="E24" s="172" t="n">
        <f aca="false">[3]Jun!$V$1</f>
        <v>231</v>
      </c>
      <c r="F24" s="171" t="n">
        <f aca="false">[3]Jul!$V$1</f>
        <v>159</v>
      </c>
      <c r="G24" s="171" t="n">
        <f aca="false">[3]Aug!$V$1</f>
        <v>135</v>
      </c>
      <c r="H24" s="172" t="n">
        <f aca="false">[3]Sep!$V$1</f>
        <v>147</v>
      </c>
      <c r="I24" s="171" t="n">
        <f aca="false">[3]Oct!$V$1</f>
        <v>135</v>
      </c>
      <c r="J24" s="171" t="n">
        <f aca="false">[3]Nov!$V$1</f>
        <v>165</v>
      </c>
      <c r="K24" s="172" t="n">
        <f aca="false">[3]Dec!$V$1</f>
        <v>255</v>
      </c>
      <c r="L24" s="171" t="n">
        <f aca="false">[3]Jan!$V$1</f>
        <v>153</v>
      </c>
      <c r="M24" s="171" t="n">
        <f aca="false">[3]Feb!$V$1</f>
        <v>135</v>
      </c>
      <c r="N24" s="171" t="n">
        <f aca="false">[3]Mar!$V$1</f>
        <v>159</v>
      </c>
      <c r="O24" s="164"/>
    </row>
    <row r="25" customFormat="false" ht="12" hidden="false" customHeight="false" outlineLevel="0" collapsed="false">
      <c r="A25" s="182" t="s">
        <v>279</v>
      </c>
      <c r="B25" s="170" t="n">
        <f aca="false">SUM(C25:N25)</f>
        <v>7598.25</v>
      </c>
      <c r="C25" s="171" t="n">
        <f aca="false">[3]Apr!$W$1</f>
        <v>602.25</v>
      </c>
      <c r="D25" s="171" t="n">
        <f aca="false">[3]May!$W$1</f>
        <v>666</v>
      </c>
      <c r="E25" s="172" t="n">
        <f aca="false">[3]Jun!$W$1</f>
        <v>654</v>
      </c>
      <c r="F25" s="171" t="n">
        <f aca="false">[3]Jul!$W$1</f>
        <v>584.25</v>
      </c>
      <c r="G25" s="171" t="n">
        <f aca="false">[3]Aug!$W$1</f>
        <v>602.25</v>
      </c>
      <c r="H25" s="172" t="n">
        <f aca="false">[3]Sep!$W$1</f>
        <v>708</v>
      </c>
      <c r="I25" s="171" t="n">
        <f aca="false">[3]Oct!$W$1</f>
        <v>606.75</v>
      </c>
      <c r="J25" s="171" t="n">
        <f aca="false">[3]Nov!$W$1</f>
        <v>645</v>
      </c>
      <c r="K25" s="172" t="n">
        <f aca="false">[3]Dec!$W$1</f>
        <v>613.5</v>
      </c>
      <c r="L25" s="171" t="n">
        <f aca="false">[3]Jan!$W$1</f>
        <v>638.25</v>
      </c>
      <c r="M25" s="171" t="n">
        <f aca="false">[3]Feb!$W$1</f>
        <v>595.5</v>
      </c>
      <c r="N25" s="171" t="n">
        <f aca="false">[3]Mar!$W$1</f>
        <v>682.5</v>
      </c>
      <c r="O25" s="164"/>
    </row>
    <row r="26" customFormat="false" ht="12" hidden="false" customHeight="false" outlineLevel="0" collapsed="false">
      <c r="A26" s="182" t="s">
        <v>280</v>
      </c>
      <c r="B26" s="170" t="n">
        <f aca="false">SUM(C26:N26)</f>
        <v>1860</v>
      </c>
      <c r="C26" s="171" t="n">
        <f aca="false">[3]Apr!$X$1</f>
        <v>92</v>
      </c>
      <c r="D26" s="171" t="n">
        <f aca="false">[3]May!$X$1</f>
        <v>152</v>
      </c>
      <c r="E26" s="172" t="n">
        <f aca="false">[3]Jun!$X$1</f>
        <v>272</v>
      </c>
      <c r="F26" s="171" t="n">
        <f aca="false">[3]Jul!$X$1</f>
        <v>92</v>
      </c>
      <c r="G26" s="171" t="n">
        <f aca="false">[3]Aug!$X$1</f>
        <v>140</v>
      </c>
      <c r="H26" s="172" t="n">
        <f aca="false">[3]Sep!$X$1</f>
        <v>92</v>
      </c>
      <c r="I26" s="171" t="n">
        <f aca="false">[3]Oct!$X$1</f>
        <v>212</v>
      </c>
      <c r="J26" s="171" t="n">
        <f aca="false">[3]Nov!$X$1</f>
        <v>164</v>
      </c>
      <c r="K26" s="172" t="n">
        <f aca="false">[3]Dec!$X$1</f>
        <v>92</v>
      </c>
      <c r="L26" s="171" t="n">
        <f aca="false">[3]Jan!$X$1</f>
        <v>92</v>
      </c>
      <c r="M26" s="171" t="n">
        <f aca="false">[3]Feb!$X$1</f>
        <v>368</v>
      </c>
      <c r="N26" s="171" t="n">
        <f aca="false">[3]Mar!$X$1</f>
        <v>92</v>
      </c>
      <c r="O26" s="164"/>
    </row>
    <row r="27" customFormat="false" ht="12" hidden="false" customHeight="false" outlineLevel="0" collapsed="false">
      <c r="A27" s="182" t="s">
        <v>281</v>
      </c>
      <c r="B27" s="170" t="n">
        <f aca="false">SUM(C27:N27)</f>
        <v>4560</v>
      </c>
      <c r="C27" s="171" t="n">
        <f aca="false">[3]Apr!$Y$1</f>
        <v>0</v>
      </c>
      <c r="D27" s="171" t="n">
        <f aca="false">[3]May!$Y$1</f>
        <v>600</v>
      </c>
      <c r="E27" s="172" t="n">
        <f aca="false">[3]Jun!$Y$1</f>
        <v>0</v>
      </c>
      <c r="F27" s="171" t="n">
        <f aca="false">[3]Jul!$Y$1</f>
        <v>480</v>
      </c>
      <c r="G27" s="171" t="n">
        <f aca="false">[3]Aug!$Y$1</f>
        <v>0</v>
      </c>
      <c r="H27" s="172" t="n">
        <f aca="false">[3]Sep!$Y$1</f>
        <v>0</v>
      </c>
      <c r="I27" s="171" t="n">
        <f aca="false">[3]Oct!$Y$1</f>
        <v>3000</v>
      </c>
      <c r="J27" s="171" t="n">
        <f aca="false">[3]Nov!$Y$1</f>
        <v>0</v>
      </c>
      <c r="K27" s="172" t="n">
        <f aca="false">[3]Dec!$Y$1</f>
        <v>0</v>
      </c>
      <c r="L27" s="171" t="n">
        <f aca="false">[3]Jan!$Y$1</f>
        <v>480</v>
      </c>
      <c r="M27" s="171" t="n">
        <f aca="false">[3]Feb!$Y$1</f>
        <v>0</v>
      </c>
      <c r="N27" s="171" t="n">
        <f aca="false">[3]Mar!$Y$1</f>
        <v>0</v>
      </c>
      <c r="O27" s="164"/>
    </row>
    <row r="28" customFormat="false" ht="12" hidden="false" customHeight="false" outlineLevel="0" collapsed="false">
      <c r="A28" s="182" t="s">
        <v>282</v>
      </c>
      <c r="B28" s="170" t="n">
        <f aca="false">SUM(C28:N28)</f>
        <v>5310</v>
      </c>
      <c r="C28" s="171" t="n">
        <f aca="false">[3]Apr!$Z$1</f>
        <v>300</v>
      </c>
      <c r="D28" s="171" t="n">
        <f aca="false">[3]May!$Z$1</f>
        <v>300</v>
      </c>
      <c r="E28" s="172" t="n">
        <f aca="false">[3]Jun!$Z$1</f>
        <v>550</v>
      </c>
      <c r="F28" s="171" t="n">
        <f aca="false">[3]Jul!$Z$1</f>
        <v>300</v>
      </c>
      <c r="G28" s="171" t="n">
        <f aca="false">[3]Aug!$Z$1</f>
        <v>300</v>
      </c>
      <c r="H28" s="172" t="n">
        <f aca="false">[3]Sep!$Z$1</f>
        <v>1468</v>
      </c>
      <c r="I28" s="171" t="n">
        <f aca="false">[3]Oct!$Z$1</f>
        <v>300</v>
      </c>
      <c r="J28" s="171" t="n">
        <f aca="false">[3]Nov!$Z$1</f>
        <v>300</v>
      </c>
      <c r="K28" s="172" t="n">
        <f aca="false">[3]Dec!$Z$1</f>
        <v>467</v>
      </c>
      <c r="L28" s="171" t="n">
        <f aca="false">[3]Jan!$Z$1</f>
        <v>300</v>
      </c>
      <c r="M28" s="171" t="n">
        <f aca="false">[3]Feb!$Z$1</f>
        <v>300</v>
      </c>
      <c r="N28" s="171" t="n">
        <f aca="false">[3]Mar!$Z$1</f>
        <v>425</v>
      </c>
      <c r="O28" s="164"/>
    </row>
    <row r="29" customFormat="false" ht="12" hidden="false" customHeight="false" outlineLevel="0" collapsed="false">
      <c r="A29" s="182" t="s">
        <v>283</v>
      </c>
      <c r="B29" s="170" t="n">
        <f aca="false">SUM(C29:N29)</f>
        <v>-300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-300</v>
      </c>
      <c r="O29" s="164"/>
    </row>
    <row r="30" customFormat="false" ht="12" hidden="false" customHeight="false" outlineLevel="0" collapsed="false">
      <c r="A30" s="182" t="s">
        <v>284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285</v>
      </c>
      <c r="B31" s="170" t="n">
        <f aca="false">SUM(C31:N31)</f>
        <v>0</v>
      </c>
      <c r="C31" s="171" t="n">
        <f aca="false">[5]Apr!$V$1+[4]Apr!$Y$1</f>
        <v>0</v>
      </c>
      <c r="D31" s="171" t="n">
        <f aca="false">[5]May!$V$1+[4]May!$Y$1</f>
        <v>0</v>
      </c>
      <c r="E31" s="172" t="n">
        <f aca="false">[5]Jun!$V$1+[4]Jun!$Y$1</f>
        <v>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0</v>
      </c>
      <c r="I31" s="171" t="n">
        <f aca="false">[5]Oct!$V$1+[4]Oct!$Y$1</f>
        <v>0</v>
      </c>
      <c r="J31" s="171" t="n">
        <f aca="false">[5]Nov!$V$1+[4]Nov!$Y$1</f>
        <v>0</v>
      </c>
      <c r="K31" s="172" t="n">
        <f aca="false">[5]Dec!$V$1+[4]Dec!$Y$1</f>
        <v>0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0</v>
      </c>
      <c r="O31" s="164"/>
    </row>
    <row r="32" customFormat="false" ht="12" hidden="false" customHeight="false" outlineLevel="0" collapsed="false">
      <c r="A32" s="182" t="s">
        <v>286</v>
      </c>
      <c r="B32" s="170" t="n">
        <f aca="false">SUM(C32:N32)</f>
        <v>500</v>
      </c>
      <c r="C32" s="171" t="n">
        <f aca="false">[3]Apr!$AA$1</f>
        <v>0</v>
      </c>
      <c r="D32" s="171" t="n">
        <f aca="false">[3]May!$AA$1</f>
        <v>0</v>
      </c>
      <c r="E32" s="172" t="n">
        <f aca="false">[3]Jun!$AA$1</f>
        <v>0</v>
      </c>
      <c r="F32" s="171" t="n">
        <f aca="false">[3]Jul!$AA$1</f>
        <v>0</v>
      </c>
      <c r="G32" s="171" t="n">
        <f aca="false">[3]Aug!$AA$1</f>
        <v>0</v>
      </c>
      <c r="H32" s="172" t="n">
        <f aca="false">[3]Sep!$AA$1</f>
        <v>0</v>
      </c>
      <c r="I32" s="171" t="n">
        <f aca="false">[3]Oct!$AA$1</f>
        <v>0</v>
      </c>
      <c r="J32" s="171" t="n">
        <f aca="false">[3]Nov!$AA$1</f>
        <v>0</v>
      </c>
      <c r="K32" s="172" t="n">
        <f aca="false">[3]Dec!$AA$1</f>
        <v>500</v>
      </c>
      <c r="L32" s="171" t="n">
        <f aca="false">[3]Jan!$AA$1</f>
        <v>0</v>
      </c>
      <c r="M32" s="171" t="n">
        <f aca="false">[3]Feb!$AA$1</f>
        <v>0</v>
      </c>
      <c r="N32" s="171" t="n">
        <f aca="false">[3]Mar!$AA$1</f>
        <v>0</v>
      </c>
      <c r="O32" s="164"/>
    </row>
    <row r="33" customFormat="false" ht="12" hidden="false" customHeight="false" outlineLevel="0" collapsed="false">
      <c r="A33" s="169" t="s">
        <v>287</v>
      </c>
      <c r="B33" s="170" t="n">
        <f aca="false">SUM(C33:N33)</f>
        <v>0</v>
      </c>
      <c r="C33" s="171" t="n">
        <f aca="false">-([1]Schedule!$V$1-[1]Schedule!$W$1+[1]Schedule!$X$1)/12</f>
        <v>-0</v>
      </c>
      <c r="D33" s="171" t="n">
        <f aca="false">-([1]Schedule!$V$1-[1]Schedule!$W$1+[1]Schedule!$X$1)/12</f>
        <v>-0</v>
      </c>
      <c r="E33" s="172" t="n">
        <f aca="false">-([1]Schedule!$V$1-[1]Schedule!$W$1+[1]Schedule!$X$1)/12</f>
        <v>-0</v>
      </c>
      <c r="F33" s="171" t="n">
        <f aca="false">-([1]Schedule!$V$1-[1]Schedule!$W$1+[1]Schedule!$X$1)/12</f>
        <v>-0</v>
      </c>
      <c r="G33" s="171" t="n">
        <f aca="false">-([1]Schedule!$V$1-[1]Schedule!$W$1+[1]Schedule!$X$1)/12</f>
        <v>-0</v>
      </c>
      <c r="H33" s="172" t="n">
        <f aca="false">-([1]Schedule!$V$1-[1]Schedule!$W$1+[1]Schedule!$X$1)/12</f>
        <v>-0</v>
      </c>
      <c r="I33" s="171" t="n">
        <f aca="false">-([1]Schedule!$V$1-[1]Schedule!$W$1+[1]Schedule!$X$1)/12</f>
        <v>-0</v>
      </c>
      <c r="J33" s="171" t="n">
        <f aca="false">-([1]Schedule!$V$1-[1]Schedule!$W$1+[1]Schedule!$X$1)/12</f>
        <v>-0</v>
      </c>
      <c r="K33" s="172" t="n">
        <f aca="false">-([1]Schedule!$V$1-[1]Schedule!$W$1+[1]Schedule!$X$1)/12</f>
        <v>-0</v>
      </c>
      <c r="L33" s="171" t="n">
        <f aca="false">-([1]Schedule!$V$1-[1]Schedule!$W$1+[1]Schedule!$X$1)/12</f>
        <v>-0</v>
      </c>
      <c r="M33" s="171" t="n">
        <f aca="false">-([1]Schedule!$V$1-[1]Schedule!$W$1+[1]Schedule!$X$1)/12</f>
        <v>-0</v>
      </c>
      <c r="N33" s="171" t="n">
        <f aca="false">-([1]Schedule!$V$1-[1]Schedule!$W$1+[1]Schedule!$X$1)/12</f>
        <v>-0</v>
      </c>
      <c r="O33" s="164"/>
    </row>
    <row r="34" customFormat="false" ht="12" hidden="false" customHeight="false" outlineLevel="0" collapsed="false">
      <c r="A34" s="169" t="s">
        <v>288</v>
      </c>
      <c r="B34" s="170" t="n">
        <f aca="false">SUM(C34:N34)</f>
        <v>0</v>
      </c>
      <c r="C34" s="171" t="n">
        <f aca="false">([1]Schedule!$I$1)/12</f>
        <v>0</v>
      </c>
      <c r="D34" s="171" t="n">
        <f aca="false">([1]Schedule!$I$1)/12</f>
        <v>0</v>
      </c>
      <c r="E34" s="172" t="n">
        <f aca="false">([1]Schedule!$I$1)/12</f>
        <v>0</v>
      </c>
      <c r="F34" s="171" t="n">
        <f aca="false">([1]Schedule!$I$1)/12</f>
        <v>0</v>
      </c>
      <c r="G34" s="171" t="n">
        <f aca="false">([1]Schedule!$I$1)/12</f>
        <v>0</v>
      </c>
      <c r="H34" s="172" t="n">
        <f aca="false">([1]Schedule!$I$1)/12</f>
        <v>0</v>
      </c>
      <c r="I34" s="171" t="n">
        <f aca="false">([1]Schedule!$I$1)/12</f>
        <v>0</v>
      </c>
      <c r="J34" s="171" t="n">
        <f aca="false">([1]Schedule!$I$1)/12</f>
        <v>0</v>
      </c>
      <c r="K34" s="172" t="n">
        <f aca="false">([1]Schedule!$I$1)/12</f>
        <v>0</v>
      </c>
      <c r="L34" s="171" t="n">
        <f aca="false">([1]Schedule!$I$1)/12</f>
        <v>0</v>
      </c>
      <c r="M34" s="171" t="n">
        <f aca="false">([1]Schedule!$I$1)/12</f>
        <v>0</v>
      </c>
      <c r="N34" s="171" t="n">
        <f aca="false">([1]Schedule!$I$1)/12</f>
        <v>0</v>
      </c>
      <c r="O34" s="164"/>
    </row>
    <row r="35" customFormat="false" ht="12" hidden="false" customHeight="false" outlineLevel="0" collapsed="false">
      <c r="A35" s="173" t="s">
        <v>274</v>
      </c>
      <c r="B35" s="170" t="n">
        <f aca="false">SUM(B21:B34)</f>
        <v>29870.25</v>
      </c>
      <c r="C35" s="170" t="n">
        <f aca="false">SUM(C21:C34)</f>
        <v>1249.25</v>
      </c>
      <c r="D35" s="170" t="n">
        <f aca="false">SUM(D21:D34)</f>
        <v>1871</v>
      </c>
      <c r="E35" s="170" t="n">
        <f aca="false">SUM(E21:E34)</f>
        <v>2067</v>
      </c>
      <c r="F35" s="174" t="n">
        <f aca="false">SUM(F21:F34)</f>
        <v>1795.25</v>
      </c>
      <c r="G35" s="170" t="n">
        <f aca="false">SUM(G21:G34)</f>
        <v>2217.25</v>
      </c>
      <c r="H35" s="170" t="n">
        <f aca="false">SUM(H21:H34)</f>
        <v>2715</v>
      </c>
      <c r="I35" s="174" t="n">
        <f aca="false">SUM(I21:I34)</f>
        <v>4349.75</v>
      </c>
      <c r="J35" s="170" t="n">
        <f aca="false">SUM(J21:J34)</f>
        <v>1274</v>
      </c>
      <c r="K35" s="170" t="n">
        <f aca="false">SUM(K21:K34)</f>
        <v>7347.5</v>
      </c>
      <c r="L35" s="174" t="n">
        <f aca="false">SUM(L21:L34)</f>
        <v>1807.25</v>
      </c>
      <c r="M35" s="170" t="n">
        <f aca="false">SUM(M21:M34)</f>
        <v>1758.5</v>
      </c>
      <c r="N35" s="170" t="n">
        <f aca="false">SUM(N21:N34)</f>
        <v>1418.5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289</v>
      </c>
      <c r="B37" s="170" t="n">
        <f aca="false">B19-B35</f>
        <v>123669.083333334</v>
      </c>
      <c r="C37" s="170" t="n">
        <f aca="false">C19-C35</f>
        <v>11532.4166666667</v>
      </c>
      <c r="D37" s="170" t="n">
        <f aca="false">D19-D35</f>
        <v>10426.6666666667</v>
      </c>
      <c r="E37" s="170" t="n">
        <f aca="false">E19-E35</f>
        <v>7454.6666666667</v>
      </c>
      <c r="F37" s="174" t="n">
        <f aca="false">F19-F35</f>
        <v>11202.4166666667</v>
      </c>
      <c r="G37" s="170" t="n">
        <f aca="false">G19-G35</f>
        <v>12807.75</v>
      </c>
      <c r="H37" s="170" t="n">
        <f aca="false">H19-H35</f>
        <v>10762.6666666667</v>
      </c>
      <c r="I37" s="174" t="n">
        <f aca="false">I19-I35</f>
        <v>10351.9166666667</v>
      </c>
      <c r="J37" s="170" t="n">
        <f aca="false">J19-J35</f>
        <v>9903.6666666667</v>
      </c>
      <c r="K37" s="170" t="n">
        <f aca="false">K19-K35</f>
        <v>5054.1666666667</v>
      </c>
      <c r="L37" s="174" t="n">
        <f aca="false">L19-L35</f>
        <v>12710.4166666667</v>
      </c>
      <c r="M37" s="170" t="n">
        <f aca="false">M19-M35</f>
        <v>11763.1666666667</v>
      </c>
      <c r="N37" s="170" t="n">
        <f aca="false">N19-N35</f>
        <v>9699.1666666667</v>
      </c>
      <c r="O37" s="164"/>
    </row>
    <row r="38" customFormat="false" ht="12" hidden="false" customHeight="false" outlineLevel="0" collapsed="false">
      <c r="A38" s="169" t="s">
        <v>290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291</v>
      </c>
      <c r="B39" s="170" t="n">
        <f aca="false">B37+B38</f>
        <v>123669.083333334</v>
      </c>
      <c r="C39" s="170" t="n">
        <f aca="false">C37+C38</f>
        <v>11532.4166666667</v>
      </c>
      <c r="D39" s="170" t="n">
        <f aca="false">D37+D38</f>
        <v>10426.6666666667</v>
      </c>
      <c r="E39" s="170" t="n">
        <f aca="false">E37+E38</f>
        <v>7454.6666666667</v>
      </c>
      <c r="F39" s="174" t="n">
        <f aca="false">F37+F38</f>
        <v>11202.4166666667</v>
      </c>
      <c r="G39" s="170" t="n">
        <f aca="false">G37+G38</f>
        <v>12807.75</v>
      </c>
      <c r="H39" s="170" t="n">
        <f aca="false">H37+H38</f>
        <v>10762.6666666667</v>
      </c>
      <c r="I39" s="174" t="n">
        <f aca="false">I37+I38</f>
        <v>10351.9166666667</v>
      </c>
      <c r="J39" s="170" t="n">
        <f aca="false">J37+J38</f>
        <v>9903.6666666667</v>
      </c>
      <c r="K39" s="170" t="n">
        <f aca="false">K37+K38</f>
        <v>5054.1666666667</v>
      </c>
      <c r="L39" s="174" t="n">
        <f aca="false">L37+L38</f>
        <v>12710.4166666667</v>
      </c>
      <c r="M39" s="170" t="n">
        <f aca="false">M37+M38</f>
        <v>11763.1666666667</v>
      </c>
      <c r="N39" s="170" t="n">
        <f aca="false">N37+N38</f>
        <v>9699.1666666667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292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293</v>
      </c>
      <c r="B42" s="177" t="n">
        <f aca="false">SUM(C42:N42)</f>
        <v>0</v>
      </c>
      <c r="C42" s="177" t="n">
        <f aca="false">[5]Apr!$X$1+[4]Apr!$AB$1</f>
        <v>0</v>
      </c>
      <c r="D42" s="177" t="n">
        <f aca="false">[5]May!$X$1+[4]May!$AB$1</f>
        <v>0</v>
      </c>
      <c r="E42" s="177" t="n">
        <f aca="false">[5]Jun!$X$1+[4]Jun!$AB$1</f>
        <v>0</v>
      </c>
      <c r="F42" s="177" t="n">
        <f aca="false">[5]Jul!$X$1+[4]Jul!$AB$1</f>
        <v>0</v>
      </c>
      <c r="G42" s="177" t="n">
        <f aca="false">[5]Aug!$X$1+[4]Aug!$AB$1</f>
        <v>0</v>
      </c>
      <c r="H42" s="177" t="n">
        <f aca="false">[5]Sep!$X$1+[4]Sep!$AB$1</f>
        <v>0</v>
      </c>
      <c r="I42" s="177" t="n">
        <f aca="false">[5]Oct!$X$1+[4]Oct!$AB$1</f>
        <v>0</v>
      </c>
      <c r="J42" s="177" t="n">
        <f aca="false">[5]Nov!$X$1+[4]Nov!$AB$1</f>
        <v>0</v>
      </c>
      <c r="K42" s="177" t="n">
        <f aca="false">[5]Dec!$X$1+[4]Dec!$AB$1</f>
        <v>0</v>
      </c>
      <c r="L42" s="177" t="n">
        <f aca="false">[5]Jan!$X$1+[4]Jan!$AB$1</f>
        <v>0</v>
      </c>
      <c r="M42" s="177" t="n">
        <f aca="false">[5]Feb!$X$1+[4]Feb!$AB$1</f>
        <v>0</v>
      </c>
      <c r="N42" s="177" t="n">
        <f aca="false">[5]Mar!$X$1+[4]Mar!$AB$1</f>
        <v>0</v>
      </c>
      <c r="O42" s="164"/>
    </row>
    <row r="43" customFormat="false" ht="12" hidden="false" customHeight="false" outlineLevel="0" collapsed="false">
      <c r="A43" s="182" t="s">
        <v>294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295</v>
      </c>
      <c r="B44" s="177" t="n">
        <f aca="false">SUM(C44:N44)</f>
        <v>40629.4550000002</v>
      </c>
      <c r="C44" s="177" t="n">
        <f aca="false">IF(C9&gt;0,'Profit Forecast'!C$46/12,0)</f>
        <v>3385.78791666668</v>
      </c>
      <c r="D44" s="177" t="n">
        <f aca="false">IF(D9&gt;0,'Profit Forecast'!C$46/12,0)</f>
        <v>3385.78791666668</v>
      </c>
      <c r="E44" s="177" t="n">
        <f aca="false">IF(E9&gt;0,'Profit Forecast'!C$46/12,0)</f>
        <v>3385.78791666668</v>
      </c>
      <c r="F44" s="177" t="n">
        <f aca="false">IF(F9&gt;0,'Profit Forecast'!C$46/12,0)</f>
        <v>3385.78791666668</v>
      </c>
      <c r="G44" s="177" t="n">
        <f aca="false">IF(G9&gt;0,'Profit Forecast'!C$46/12,0)</f>
        <v>3385.78791666668</v>
      </c>
      <c r="H44" s="177" t="n">
        <f aca="false">IF(H9&gt;0,'Profit Forecast'!C$46/12,0)</f>
        <v>3385.78791666668</v>
      </c>
      <c r="I44" s="177" t="n">
        <f aca="false">IF(I9&gt;0,'Profit Forecast'!C$46/12,0)</f>
        <v>3385.78791666668</v>
      </c>
      <c r="J44" s="177" t="n">
        <f aca="false">IF(J9&gt;0,'Profit Forecast'!C$46/12,0)</f>
        <v>3385.78791666668</v>
      </c>
      <c r="K44" s="177" t="n">
        <f aca="false">IF(K9&gt;0,'Profit Forecast'!C$46/12,0)</f>
        <v>3385.78791666668</v>
      </c>
      <c r="L44" s="177" t="n">
        <f aca="false">IF(L9&gt;0,'Profit Forecast'!C$46/12,0)</f>
        <v>3385.78791666668</v>
      </c>
      <c r="M44" s="177" t="n">
        <f aca="false">IF(M9&gt;0,'Profit Forecast'!C$46/12,0)</f>
        <v>3385.78791666668</v>
      </c>
      <c r="N44" s="177" t="n">
        <f aca="false">IF(N9&gt;0,'Profit Forecast'!C$46/12,0)</f>
        <v>3385.78791666668</v>
      </c>
      <c r="O44" s="164"/>
    </row>
    <row r="45" customFormat="false" ht="12" hidden="false" customHeight="false" outlineLevel="0" collapsed="false">
      <c r="A45" s="188" t="s">
        <v>296</v>
      </c>
      <c r="B45" s="189" t="n">
        <f aca="false">SUM(C45:N45)</f>
        <v>83039.6283333336</v>
      </c>
      <c r="C45" s="190" t="n">
        <f aca="false">C39-C42-C44</f>
        <v>8146.62875000002</v>
      </c>
      <c r="D45" s="191" t="n">
        <f aca="false">D39-D42-D44</f>
        <v>7040.87875000002</v>
      </c>
      <c r="E45" s="191" t="n">
        <f aca="false">E39-E42-E44</f>
        <v>4068.87875000002</v>
      </c>
      <c r="F45" s="191" t="n">
        <f aca="false">F39-F42-F44</f>
        <v>7816.62875000002</v>
      </c>
      <c r="G45" s="191" t="n">
        <f aca="false">G39-G42-G44</f>
        <v>9421.96208333335</v>
      </c>
      <c r="H45" s="191" t="n">
        <f aca="false">H39-H42-H44</f>
        <v>7376.87875000002</v>
      </c>
      <c r="I45" s="191" t="n">
        <f aca="false">I39-I42-I44</f>
        <v>6966.12875000002</v>
      </c>
      <c r="J45" s="191" t="n">
        <f aca="false">J39-J42-J44</f>
        <v>6517.87875000002</v>
      </c>
      <c r="K45" s="191" t="n">
        <f aca="false">K39-K42-K44</f>
        <v>1668.37875000002</v>
      </c>
      <c r="L45" s="191" t="n">
        <f aca="false">L39-L42-L44</f>
        <v>9324.62875000002</v>
      </c>
      <c r="M45" s="191" t="n">
        <f aca="false">M39-M42-M44</f>
        <v>8377.37875000002</v>
      </c>
      <c r="N45" s="191" t="n">
        <f aca="false">N39-N42-N44</f>
        <v>6313.37875000002</v>
      </c>
      <c r="O45" s="164"/>
    </row>
    <row r="46" customFormat="false" ht="12" hidden="false" customHeight="false" outlineLevel="0" collapsed="false">
      <c r="A46" s="182" t="s">
        <v>244</v>
      </c>
      <c r="B46" s="177" t="n">
        <f aca="false">SUM(C46:N46)</f>
        <v>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297</v>
      </c>
      <c r="C2" s="197" t="s">
        <v>298</v>
      </c>
      <c r="D2" s="197" t="s">
        <v>299</v>
      </c>
      <c r="E2" s="197" t="s">
        <v>300</v>
      </c>
      <c r="F2" s="197" t="s">
        <v>301</v>
      </c>
      <c r="G2" s="197" t="s">
        <v>302</v>
      </c>
      <c r="H2" s="197" t="s">
        <v>303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304</v>
      </c>
      <c r="C5" s="199" t="n">
        <f aca="false">SUM('Profit &amp; Loss Account'!C5:E7)</f>
        <v>41400.0000000001</v>
      </c>
      <c r="D5" s="199" t="n">
        <f aca="false">SUM('Profit &amp; Loss Account'!F5:H7)</f>
        <v>40500.0000000001</v>
      </c>
      <c r="E5" s="199" t="n">
        <f aca="false">SUM('Profit &amp; Loss Account'!I5:K7)</f>
        <v>43200.0000000001</v>
      </c>
      <c r="F5" s="199" t="n">
        <f aca="false">SUM('Profit &amp; Loss Account'!L5:N7)</f>
        <v>40400.0000000001</v>
      </c>
      <c r="G5" s="200" t="n">
        <f aca="false">SUM(C5:F5)</f>
        <v>165500</v>
      </c>
      <c r="H5" s="195"/>
      <c r="I5" s="195"/>
    </row>
    <row r="6" customFormat="false" ht="13.5" hidden="false" customHeight="true" outlineLevel="0" collapsed="false">
      <c r="A6" s="195"/>
      <c r="B6" s="195" t="s">
        <v>305</v>
      </c>
      <c r="C6" s="199" t="n">
        <f aca="false">SUM('Profit &amp; Loss Account'!C8:E8)+SUM('Profit &amp; Loss Account'!C11:E11)+SUM('Profit &amp; Loss Account'!C38:E38)</f>
        <v>700</v>
      </c>
      <c r="D6" s="199" t="n">
        <f aca="false">SUM('Profit &amp; Loss Account'!F8:H8)+SUM('Profit &amp; Loss Account'!F11:H11)+SUM('Profit &amp; Loss Account'!F38:H38)</f>
        <v>3283.33333333333</v>
      </c>
      <c r="E6" s="199" t="n">
        <f aca="false">SUM('Profit &amp; Loss Account'!I8:K8)+SUM('Profit &amp; Loss Account'!I11:K11)+SUM('Profit &amp; Loss Account'!I38:K38)</f>
        <v>700</v>
      </c>
      <c r="F6" s="199" t="n">
        <f aca="false">SUM('Profit &amp; Loss Account'!L8:N8)+SUM('Profit &amp; Loss Account'!L11:N11)+SUM('Profit &amp; Loss Account'!L38:N38)</f>
        <v>1100</v>
      </c>
      <c r="G6" s="200" t="n">
        <f aca="false">SUM(C6:F6)</f>
        <v>5783.33333333333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306</v>
      </c>
      <c r="C7" s="199" t="n">
        <f aca="false">SUM('Profit &amp; Loss Account'!C14:E14)+SUM('Profit &amp; Loss Account'!C16:E16)</f>
        <v>2499</v>
      </c>
      <c r="D7" s="199" t="n">
        <f aca="false">SUM('Profit &amp; Loss Account'!F14:H14)+SUM('Profit &amp; Loss Account'!F16:H16)</f>
        <v>2283</v>
      </c>
      <c r="E7" s="199" t="n">
        <f aca="false">SUM('Profit &amp; Loss Account'!I14:K14)+SUM('Profit &amp; Loss Account'!I16:K16)</f>
        <v>2619</v>
      </c>
      <c r="F7" s="199" t="n">
        <f aca="false">SUM('Profit &amp; Loss Account'!L14:N14)+SUM('Profit &amp; Loss Account'!L16:N16)</f>
        <v>2343</v>
      </c>
      <c r="G7" s="200" t="n">
        <f aca="false">SUM(C7:F7)</f>
        <v>9744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307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308</v>
      </c>
      <c r="C12" s="200" t="n">
        <f aca="false">SUM('Profit &amp; Loss Account'!C21:E21)</f>
        <v>0</v>
      </c>
      <c r="D12" s="200" t="n">
        <f aca="false">SUM('Profit &amp; Loss Account'!F21:H21)</f>
        <v>800</v>
      </c>
      <c r="E12" s="200" t="n">
        <f aca="false">SUM('Profit &amp; Loss Account'!I21:K21)</f>
        <v>5000</v>
      </c>
      <c r="F12" s="200" t="n">
        <f aca="false">SUM('Profit &amp; Loss Account'!L21:N21)</f>
        <v>0</v>
      </c>
      <c r="G12" s="200" t="n">
        <f aca="false">SUM(C12:F12)</f>
        <v>5800</v>
      </c>
      <c r="H12" s="195"/>
      <c r="I12" s="195"/>
    </row>
    <row r="13" customFormat="false" ht="12.75" hidden="false" customHeight="false" outlineLevel="0" collapsed="false">
      <c r="A13" s="195"/>
      <c r="B13" s="195" t="s">
        <v>309</v>
      </c>
      <c r="C13" s="200" t="n">
        <f aca="false">SUM('Profit &amp; Loss Account'!C22:E22)</f>
        <v>360</v>
      </c>
      <c r="D13" s="200" t="n">
        <f aca="false">SUM('Profit &amp; Loss Account'!F22:H22)</f>
        <v>300</v>
      </c>
      <c r="E13" s="200" t="n">
        <f aca="false">SUM('Profit &amp; Loss Account'!I22:K22)</f>
        <v>420</v>
      </c>
      <c r="F13" s="200" t="n">
        <f aca="false">SUM('Profit &amp; Loss Account'!L22:N22)</f>
        <v>360</v>
      </c>
      <c r="G13" s="200" t="n">
        <f aca="false">SUM(C13:F13)</f>
        <v>1440</v>
      </c>
      <c r="H13" s="195"/>
      <c r="I13" s="195"/>
    </row>
    <row r="14" customFormat="false" ht="12.75" hidden="false" customHeight="false" outlineLevel="0" collapsed="false">
      <c r="A14" s="195"/>
      <c r="B14" s="195" t="s">
        <v>310</v>
      </c>
      <c r="C14" s="200" t="n">
        <f aca="false">SUM('Profit &amp; Loss Account'!C23:E23)</f>
        <v>120</v>
      </c>
      <c r="D14" s="200" t="n">
        <f aca="false">SUM('Profit &amp; Loss Account'!F23:H23)</f>
        <v>420</v>
      </c>
      <c r="E14" s="200" t="n">
        <f aca="false">SUM('Profit &amp; Loss Account'!I23:K23)</f>
        <v>96</v>
      </c>
      <c r="F14" s="200" t="n">
        <f aca="false">SUM('Profit &amp; Loss Account'!L23:N23)</f>
        <v>504</v>
      </c>
      <c r="G14" s="200" t="n">
        <f aca="false">SUM(C14:F14)</f>
        <v>1140</v>
      </c>
      <c r="H14" s="195"/>
      <c r="I14" s="195"/>
    </row>
    <row r="15" customFormat="false" ht="12.75" hidden="false" customHeight="false" outlineLevel="0" collapsed="false">
      <c r="A15" s="195"/>
      <c r="B15" s="195" t="s">
        <v>311</v>
      </c>
      <c r="C15" s="200" t="n">
        <f aca="false">SUM('Profit &amp; Loss Account'!C24:E24)</f>
        <v>519</v>
      </c>
      <c r="D15" s="200" t="n">
        <f aca="false">SUM('Profit &amp; Loss Account'!F24:H24)</f>
        <v>441</v>
      </c>
      <c r="E15" s="200" t="n">
        <f aca="false">SUM('Profit &amp; Loss Account'!I24:K24)</f>
        <v>555</v>
      </c>
      <c r="F15" s="200" t="n">
        <f aca="false">SUM('Profit &amp; Loss Account'!L24:N24)</f>
        <v>447</v>
      </c>
      <c r="G15" s="200" t="n">
        <f aca="false">SUM(C15:F15)</f>
        <v>1962</v>
      </c>
      <c r="H15" s="195"/>
      <c r="I15" s="195"/>
    </row>
    <row r="16" customFormat="false" ht="12.75" hidden="false" customHeight="false" outlineLevel="0" collapsed="false">
      <c r="A16" s="195"/>
      <c r="B16" s="195" t="s">
        <v>312</v>
      </c>
      <c r="C16" s="200" t="n">
        <f aca="false">SUM('Profit &amp; Loss Account'!C31:E31)</f>
        <v>0</v>
      </c>
      <c r="D16" s="200" t="n">
        <f aca="false">SUM('Profit &amp; Loss Account'!F31:H31)</f>
        <v>0</v>
      </c>
      <c r="E16" s="200" t="n">
        <f aca="false">SUM('Profit &amp; Loss Account'!I31:K31)</f>
        <v>0</v>
      </c>
      <c r="F16" s="200" t="n">
        <f aca="false">SUM('Profit &amp; Loss Account'!L31:N31)</f>
        <v>0</v>
      </c>
      <c r="G16" s="200" t="n">
        <f aca="false">SUM(C16:F16)</f>
        <v>0</v>
      </c>
      <c r="H16" s="195"/>
      <c r="I16" s="195"/>
    </row>
    <row r="17" customFormat="false" ht="12.75" hidden="false" customHeight="false" outlineLevel="0" collapsed="false">
      <c r="A17" s="195"/>
      <c r="B17" s="195" t="s">
        <v>313</v>
      </c>
      <c r="C17" s="200" t="n">
        <f aca="false">SUM('Profit &amp; Loss Account'!C25:E26)</f>
        <v>2438.25</v>
      </c>
      <c r="D17" s="200" t="n">
        <f aca="false">SUM('Profit &amp; Loss Account'!F25:H26)</f>
        <v>2218.5</v>
      </c>
      <c r="E17" s="200" t="n">
        <f aca="false">SUM('Profit &amp; Loss Account'!I25:K26)</f>
        <v>2333.25</v>
      </c>
      <c r="F17" s="200" t="n">
        <f aca="false">SUM('Profit &amp; Loss Account'!L25:N26)</f>
        <v>2468.25</v>
      </c>
      <c r="G17" s="200" t="n">
        <f aca="false">SUM(C17:F17)</f>
        <v>9458.25</v>
      </c>
      <c r="H17" s="195"/>
      <c r="I17" s="195"/>
    </row>
    <row r="18" customFormat="false" ht="12.75" hidden="false" customHeight="false" outlineLevel="0" collapsed="false">
      <c r="A18" s="195"/>
      <c r="B18" s="195" t="s">
        <v>314</v>
      </c>
      <c r="C18" s="200" t="n">
        <f aca="false">SUM('Profit &amp; Loss Account'!C27:E27)</f>
        <v>600</v>
      </c>
      <c r="D18" s="200" t="n">
        <f aca="false">SUM('Profit &amp; Loss Account'!F27:H27)</f>
        <v>480</v>
      </c>
      <c r="E18" s="200" t="n">
        <f aca="false">SUM('Profit &amp; Loss Account'!I27:K27)</f>
        <v>3000</v>
      </c>
      <c r="F18" s="200" t="n">
        <f aca="false">SUM('Profit &amp; Loss Account'!L27:N27)</f>
        <v>480</v>
      </c>
      <c r="G18" s="200" t="n">
        <f aca="false">SUM(C18:F18)</f>
        <v>4560</v>
      </c>
      <c r="H18" s="195"/>
      <c r="I18" s="195"/>
    </row>
    <row r="19" customFormat="false" ht="12.75" hidden="false" customHeight="false" outlineLevel="0" collapsed="false">
      <c r="A19" s="195"/>
      <c r="B19" s="195" t="s">
        <v>315</v>
      </c>
      <c r="C19" s="200" t="n">
        <f aca="false">SUM('Profit &amp; Loss Account'!C28:E28)</f>
        <v>1150</v>
      </c>
      <c r="D19" s="200" t="n">
        <f aca="false">SUM('Profit &amp; Loss Account'!F28:H28)</f>
        <v>2068</v>
      </c>
      <c r="E19" s="200" t="n">
        <f aca="false">SUM('Profit &amp; Loss Account'!I28:K28)</f>
        <v>1067</v>
      </c>
      <c r="F19" s="200" t="n">
        <f aca="false">SUM('Profit &amp; Loss Account'!L28:N28)</f>
        <v>1025</v>
      </c>
      <c r="G19" s="200" t="n">
        <f aca="false">SUM(C19:F19)</f>
        <v>5310</v>
      </c>
      <c r="H19" s="195"/>
      <c r="I19" s="195"/>
    </row>
    <row r="20" customFormat="false" ht="12.75" hidden="false" customHeight="false" outlineLevel="0" collapsed="false">
      <c r="A20" s="195"/>
      <c r="B20" s="195" t="s">
        <v>316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-300</v>
      </c>
      <c r="G20" s="200" t="n">
        <f aca="false">SUM(C20:F20)</f>
        <v>-300</v>
      </c>
      <c r="H20" s="195"/>
      <c r="I20" s="195"/>
    </row>
    <row r="21" customFormat="false" ht="12.75" hidden="false" customHeight="false" outlineLevel="0" collapsed="false">
      <c r="A21" s="195"/>
      <c r="B21" s="195" t="s">
        <v>317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318</v>
      </c>
      <c r="C22" s="200" t="n">
        <f aca="false">SUM('Profit &amp; Loss Account'!C32:E32)</f>
        <v>0</v>
      </c>
      <c r="D22" s="200" t="n">
        <f aca="false">SUM('Profit &amp; Loss Account'!F32:H32)</f>
        <v>0</v>
      </c>
      <c r="E22" s="200" t="n">
        <f aca="false">SUM('Profit &amp; Loss Account'!I32:K32)</f>
        <v>500</v>
      </c>
      <c r="F22" s="200" t="n">
        <f aca="false">SUM('Profit &amp; Loss Account'!L32:N32)</f>
        <v>0</v>
      </c>
      <c r="G22" s="200" t="n">
        <f aca="false">SUM(C22:F22)</f>
        <v>500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319</v>
      </c>
      <c r="C24" s="200" t="n">
        <f aca="false">SUM('Profit &amp; Loss Account'!C15:E15)</f>
        <v>5000</v>
      </c>
      <c r="D24" s="200" t="n">
        <f aca="false">SUM('Profit &amp; Loss Account'!F15:H15)</f>
        <v>0</v>
      </c>
      <c r="E24" s="200" t="n">
        <f aca="false">SUM('Profit &amp; Loss Account'!I15:K15)</f>
        <v>3000</v>
      </c>
      <c r="F24" s="200" t="n">
        <f aca="false">SUM('Profit &amp; Loss Account'!L15:N15)</f>
        <v>0</v>
      </c>
      <c r="G24" s="200" t="n">
        <f aca="false">SUM(C24:F24)</f>
        <v>8000</v>
      </c>
      <c r="H24" s="195"/>
      <c r="I24" s="195"/>
    </row>
    <row r="25" customFormat="false" ht="12.75" hidden="false" customHeight="false" outlineLevel="0" collapsed="false">
      <c r="A25" s="195"/>
      <c r="B25" s="195" t="s">
        <v>320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321</v>
      </c>
      <c r="I25" s="195"/>
    </row>
    <row r="26" customFormat="false" ht="13.5" hidden="false" customHeight="true" outlineLevel="0" collapsed="false">
      <c r="A26" s="195"/>
      <c r="B26" s="195" t="s">
        <v>288</v>
      </c>
      <c r="C26" s="200" t="n">
        <f aca="false">SUM('Profit &amp; Loss Account'!C33:E34)</f>
        <v>0</v>
      </c>
      <c r="D26" s="200" t="n">
        <f aca="false">SUM('Profit &amp; Loss Account'!F33:H34)</f>
        <v>0</v>
      </c>
      <c r="E26" s="200" t="n">
        <f aca="false">SUM('Profit &amp; Loss Account'!I33:K34)</f>
        <v>0</v>
      </c>
      <c r="F26" s="200" t="n">
        <f aca="false">SUM('Profit &amp; Loss Account'!L33:N34)</f>
        <v>0</v>
      </c>
      <c r="G26" s="200" t="n">
        <f aca="false">SUM(C26:F26)</f>
        <v>0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322</v>
      </c>
      <c r="C29" s="203" t="n">
        <f aca="false">SUM(C7,C12,C13,C14,C15,C16,C17,C18,C19,C20,C21,C22,C24,C25,C26)</f>
        <v>12686.25</v>
      </c>
      <c r="D29" s="203" t="n">
        <f aca="false">SUM(D7,D12,D13,D14,D15,D16,D17,D18,D19,D20,D21,D22,D24,D25,D26)</f>
        <v>9010.5</v>
      </c>
      <c r="E29" s="203" t="n">
        <f aca="false">SUM(E7,E12,E13,E14,E15,E16,E17,E18,E19,E20,E21,E22,E24,E25,E26)</f>
        <v>18590.25</v>
      </c>
      <c r="F29" s="203" t="n">
        <f aca="false">SUM(F7,F12,F13,F14,F15,F16,F17,F18,F19,F20,F21,F22,F24,F25,F26)</f>
        <v>7327.25</v>
      </c>
      <c r="G29" s="203" t="n">
        <f aca="false">SUM(G7,G12,G13,G14,G15,G16,G17,G18,G19,G20,G21,G22,G24,G25,G26)</f>
        <v>47614.25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127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306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321</v>
      </c>
      <c r="I36" s="195"/>
    </row>
    <row r="37" customFormat="false" ht="13.5" hidden="false" customHeight="true" outlineLevel="0" collapsed="false">
      <c r="A37" s="195"/>
      <c r="B37" s="195" t="s">
        <v>319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321</v>
      </c>
      <c r="I37" s="195"/>
    </row>
    <row r="38" customFormat="false" ht="12.75" hidden="false" customHeight="false" outlineLevel="0" collapsed="false">
      <c r="A38" s="195"/>
      <c r="B38" s="195" t="s">
        <v>308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321</v>
      </c>
      <c r="I38" s="195"/>
    </row>
    <row r="39" customFormat="false" ht="13.5" hidden="false" customHeight="true" outlineLevel="0" collapsed="false">
      <c r="A39" s="195"/>
      <c r="B39" s="195" t="s">
        <v>323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321</v>
      </c>
      <c r="I39" s="195"/>
    </row>
    <row r="40" customFormat="false" ht="12.75" hidden="false" customHeight="false" outlineLevel="0" collapsed="false">
      <c r="A40" s="195"/>
      <c r="B40" s="195" t="s">
        <v>309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321</v>
      </c>
      <c r="I40" s="195"/>
    </row>
    <row r="41" customFormat="false" ht="12.75" hidden="false" customHeight="false" outlineLevel="0" collapsed="false">
      <c r="A41" s="195"/>
      <c r="B41" s="195" t="s">
        <v>310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321</v>
      </c>
      <c r="I41" s="195"/>
    </row>
    <row r="42" customFormat="false" ht="12.75" hidden="false" customHeight="false" outlineLevel="0" collapsed="false">
      <c r="A42" s="195"/>
      <c r="B42" s="195" t="s">
        <v>311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321</v>
      </c>
      <c r="I42" s="195"/>
    </row>
    <row r="43" customFormat="false" ht="12.75" hidden="false" customHeight="false" outlineLevel="0" collapsed="false">
      <c r="A43" s="195"/>
      <c r="B43" s="195" t="s">
        <v>314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321</v>
      </c>
      <c r="I43" s="195"/>
    </row>
    <row r="44" customFormat="false" ht="12.75" hidden="false" customHeight="false" outlineLevel="0" collapsed="false">
      <c r="A44" s="195"/>
      <c r="B44" s="195" t="s">
        <v>320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321</v>
      </c>
      <c r="I44" s="195"/>
    </row>
    <row r="45" customFormat="false" ht="12.75" hidden="false" customHeight="false" outlineLevel="0" collapsed="false">
      <c r="A45" s="195"/>
      <c r="B45" s="195" t="s">
        <v>317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321</v>
      </c>
      <c r="I45" s="195"/>
    </row>
    <row r="46" customFormat="false" ht="12.75" hidden="false" customHeight="false" outlineLevel="0" collapsed="false">
      <c r="A46" s="195"/>
      <c r="B46" s="195" t="s">
        <v>324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321</v>
      </c>
      <c r="I46" s="195"/>
    </row>
    <row r="47" customFormat="false" ht="12.75" hidden="false" customHeight="false" outlineLevel="0" collapsed="false">
      <c r="A47" s="195"/>
      <c r="B47" s="195" t="s">
        <v>325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321</v>
      </c>
      <c r="I47" s="195"/>
    </row>
    <row r="48" customFormat="false" ht="12.75" hidden="false" customHeight="false" outlineLevel="0" collapsed="false">
      <c r="A48" s="195"/>
      <c r="B48" s="195" t="s">
        <v>315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321</v>
      </c>
      <c r="I48" s="195"/>
    </row>
    <row r="49" customFormat="false" ht="12.75" hidden="false" customHeight="false" outlineLevel="0" collapsed="false">
      <c r="A49" s="195"/>
      <c r="B49" s="195" t="s">
        <v>288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321</v>
      </c>
      <c r="I49" s="195"/>
    </row>
    <row r="50" customFormat="false" ht="12.75" hidden="false" customHeight="false" outlineLevel="0" collapsed="false">
      <c r="A50" s="195"/>
      <c r="B50" s="195" t="s">
        <v>318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321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326</v>
      </c>
      <c r="C2" s="216" t="str">
        <f aca="false">Admin!L2</f>
        <v>2026-27</v>
      </c>
      <c r="D2" s="217" t="s">
        <v>327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328</v>
      </c>
      <c r="C5" s="222"/>
      <c r="D5" s="222"/>
      <c r="E5" s="223" t="n">
        <f aca="false">'SE Full'!O210</f>
        <v>123669.083333334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329</v>
      </c>
      <c r="C6" s="220" t="str">
        <f aca="false">C2</f>
        <v>2026-27</v>
      </c>
      <c r="D6" s="225"/>
      <c r="E6" s="218" t="n">
        <f aca="false">IF((E5&gt;0),Admin!N$4,0)</f>
        <v>12570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330</v>
      </c>
      <c r="C7" s="222"/>
      <c r="D7" s="222"/>
      <c r="E7" s="223" t="n">
        <f aca="false">IF((E5&gt;E6),(E5-E6),0)</f>
        <v>111099.083333334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331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7540.2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332</v>
      </c>
      <c r="C9" s="220" t="n">
        <f aca="false">Admin!N$12</f>
        <v>37701</v>
      </c>
      <c r="D9" s="226" t="n">
        <f aca="false">Admin!N$7</f>
        <v>0.4</v>
      </c>
      <c r="E9" s="213" t="n">
        <f aca="false">IF((E7&gt;C9),((E7-C9)*D9),0)</f>
        <v>29359.2333333335</v>
      </c>
      <c r="F9" s="214"/>
      <c r="G9" s="218"/>
      <c r="M9" s="224"/>
    </row>
    <row r="10" customFormat="false" ht="12.75" hidden="false" customHeight="false" outlineLevel="0" collapsed="false">
      <c r="A10" s="211"/>
      <c r="B10" s="228" t="s">
        <v>333</v>
      </c>
      <c r="C10" s="229"/>
      <c r="D10" s="230"/>
      <c r="E10" s="231" t="n">
        <f aca="false">SUM(E8:E9)</f>
        <v>36899.4333333335</v>
      </c>
      <c r="F10" s="214"/>
      <c r="G10" s="218"/>
      <c r="M10" s="224"/>
    </row>
    <row r="11" customFormat="false" ht="12.75" hidden="false" customHeight="false" outlineLevel="0" collapsed="false">
      <c r="A11" s="211"/>
      <c r="B11" s="220" t="s">
        <v>334</v>
      </c>
      <c r="C11" s="220"/>
      <c r="D11" s="232"/>
      <c r="E11" s="213" t="n">
        <f aca="false">-[2]Mar!$X$1</f>
        <v>-0</v>
      </c>
      <c r="F11" s="233"/>
      <c r="G11" s="234"/>
      <c r="M11" s="224"/>
    </row>
    <row r="12" customFormat="false" ht="12.75" hidden="false" customHeight="false" outlineLevel="0" collapsed="false">
      <c r="A12" s="211"/>
      <c r="B12" s="220"/>
      <c r="C12" s="220"/>
      <c r="D12" s="232"/>
      <c r="E12" s="213"/>
      <c r="F12" s="233"/>
      <c r="G12" s="234"/>
      <c r="M12" s="224"/>
    </row>
    <row r="13" customFormat="false" ht="12.75" hidden="false" customHeight="false" outlineLevel="0" collapsed="false">
      <c r="A13" s="211"/>
      <c r="B13" s="235" t="s">
        <v>335</v>
      </c>
      <c r="C13" s="236" t="n">
        <f aca="false">Admin!B21</f>
        <v>46783</v>
      </c>
      <c r="D13" s="236"/>
      <c r="E13" s="213"/>
      <c r="F13" s="233"/>
      <c r="G13" s="234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4"/>
      <c r="M14" s="224"/>
    </row>
    <row r="15" customFormat="false" ht="12.75" hidden="false" customHeight="false" outlineLevel="0" collapsed="false">
      <c r="A15" s="211"/>
      <c r="B15" s="239" t="s">
        <v>336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2262</v>
      </c>
      <c r="F15" s="214"/>
      <c r="G15" s="234"/>
      <c r="M15" s="224"/>
    </row>
    <row r="16" customFormat="false" ht="12.75" hidden="false" customHeight="false" outlineLevel="0" collapsed="false">
      <c r="A16" s="211"/>
      <c r="B16" s="239" t="s">
        <v>337</v>
      </c>
      <c r="C16" s="239"/>
      <c r="D16" s="226" t="n">
        <f aca="false">Admin!L23</f>
        <v>0.02</v>
      </c>
      <c r="E16" s="240" t="n">
        <f aca="false">IF((E5&gt;Admin!N$23),((E5-Admin!N$23)*D16),0)</f>
        <v>1467.98166666667</v>
      </c>
      <c r="F16" s="214"/>
      <c r="G16" s="234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4"/>
      <c r="M17" s="224"/>
    </row>
    <row r="18" customFormat="false" ht="12.75" hidden="false" customHeight="false" outlineLevel="0" collapsed="false">
      <c r="A18" s="211"/>
      <c r="B18" s="241" t="s">
        <v>338</v>
      </c>
      <c r="C18" s="241"/>
      <c r="D18" s="237"/>
      <c r="E18" s="231" t="n">
        <f aca="false">SUM(E10:E17)</f>
        <v>40629.4150000002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339</v>
      </c>
      <c r="C21" s="243"/>
      <c r="D21" s="244" t="s">
        <v>340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4"/>
    </row>
    <row r="23" s="249" customFormat="true" ht="12.75" hidden="false" customHeight="true" outlineLevel="0" collapsed="false">
      <c r="A23" s="245"/>
      <c r="B23" s="220"/>
      <c r="C23" s="220"/>
      <c r="D23" s="246" t="s">
        <v>341</v>
      </c>
      <c r="E23" s="247" t="s">
        <v>342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343</v>
      </c>
      <c r="C25" s="250" t="str">
        <f aca="false">Admin!B24</f>
        <v>2027-28</v>
      </c>
      <c r="D25" s="251" t="s">
        <v>344</v>
      </c>
      <c r="E25" s="240" t="n">
        <f aca="false">E18</f>
        <v>40629.4150000002</v>
      </c>
      <c r="F25" s="214"/>
      <c r="G25" s="218"/>
    </row>
    <row r="26" customFormat="false" ht="12.75" hidden="false" customHeight="false" outlineLevel="0" collapsed="false">
      <c r="A26" s="211"/>
      <c r="B26" s="220" t="s">
        <v>345</v>
      </c>
      <c r="C26" s="220"/>
      <c r="D26" s="252" t="n">
        <f aca="false">Admin!B21</f>
        <v>46783</v>
      </c>
      <c r="E26" s="223" t="n">
        <f aca="false">E25/2</f>
        <v>20314.7075000001</v>
      </c>
      <c r="F26" s="214"/>
      <c r="G26" s="218"/>
    </row>
    <row r="27" customFormat="false" ht="12.75" hidden="false" customHeight="false" outlineLevel="0" collapsed="false">
      <c r="A27" s="211"/>
      <c r="B27" s="220" t="s">
        <v>345</v>
      </c>
      <c r="C27" s="220"/>
      <c r="D27" s="252" t="n">
        <f aca="false">Admin!B22</f>
        <v>46965</v>
      </c>
      <c r="E27" s="223" t="n">
        <f aca="false">E25/2</f>
        <v>20314.7075000001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346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347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348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349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350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351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352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353</v>
      </c>
      <c r="C2" s="269" t="s">
        <v>354</v>
      </c>
      <c r="D2" s="269" t="s">
        <v>355</v>
      </c>
      <c r="E2" s="269" t="s">
        <v>356</v>
      </c>
      <c r="F2" s="269" t="s">
        <v>357</v>
      </c>
      <c r="G2" s="269" t="s">
        <v>358</v>
      </c>
      <c r="H2" s="269" t="s">
        <v>359</v>
      </c>
      <c r="I2" s="269" t="s">
        <v>360</v>
      </c>
      <c r="J2" s="270"/>
      <c r="K2" s="268" t="s">
        <v>361</v>
      </c>
      <c r="L2" s="271"/>
    </row>
    <row r="3" s="272" customFormat="true" ht="15" hidden="false" customHeight="true" outlineLevel="0" collapsed="false">
      <c r="A3" s="267"/>
      <c r="B3" s="273" t="s">
        <v>362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0</v>
      </c>
      <c r="D4" s="263" t="n">
        <f aca="false">[6]Apr!$N$1</f>
        <v>0</v>
      </c>
      <c r="E4" s="263" t="n">
        <f aca="false">[6]Apr!$O$1</f>
        <v>0</v>
      </c>
      <c r="F4" s="263" t="n">
        <f aca="false">[6]Apr!$P$1+[6]Apr!$Q$1</f>
        <v>0</v>
      </c>
      <c r="G4" s="263" t="n">
        <f aca="false">C4-SUM(D4:F4)</f>
        <v>0</v>
      </c>
      <c r="H4" s="263" t="n">
        <f aca="false">[6]Apr!$T$1</f>
        <v>0</v>
      </c>
      <c r="I4" s="263" t="n">
        <f aca="false">[6]Apr!$G$1</f>
        <v>0</v>
      </c>
      <c r="J4" s="158"/>
      <c r="K4" s="278" t="s">
        <v>363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0</v>
      </c>
      <c r="D5" s="263" t="n">
        <f aca="false">[6]May!$N$1</f>
        <v>0</v>
      </c>
      <c r="E5" s="263" t="n">
        <f aca="false">[6]May!$O$1</f>
        <v>0</v>
      </c>
      <c r="F5" s="263" t="n">
        <f aca="false">[6]May!$P$1+[6]May!$Q$1</f>
        <v>0</v>
      </c>
      <c r="G5" s="263" t="n">
        <f aca="false">C5-SUM(D5:F5)</f>
        <v>0</v>
      </c>
      <c r="H5" s="263" t="n">
        <f aca="false">[6]May!$T$1</f>
        <v>0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0</v>
      </c>
      <c r="D6" s="263" t="n">
        <f aca="false">[6]Jun!$N$1</f>
        <v>0</v>
      </c>
      <c r="E6" s="263" t="n">
        <f aca="false">[6]Jun!$O$1</f>
        <v>0</v>
      </c>
      <c r="F6" s="263" t="n">
        <f aca="false">[6]Jun!$P$1+[6]Jun!$Q$1</f>
        <v>0</v>
      </c>
      <c r="G6" s="263" t="n">
        <f aca="false">C6-SUM(D6:F6)</f>
        <v>0</v>
      </c>
      <c r="H6" s="263" t="n">
        <f aca="false">[6]Jun!$T$1</f>
        <v>0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0</v>
      </c>
      <c r="D7" s="263" t="n">
        <f aca="false">[6]Jul!$N$1</f>
        <v>0</v>
      </c>
      <c r="E7" s="263" t="n">
        <f aca="false">[6]Jul!$O$1</f>
        <v>0</v>
      </c>
      <c r="F7" s="263" t="n">
        <f aca="false">[6]Jul!$P$1+[6]Jul!$Q$1</f>
        <v>0</v>
      </c>
      <c r="G7" s="263" t="n">
        <f aca="false">C7-SUM(D7:F7)</f>
        <v>0</v>
      </c>
      <c r="H7" s="263" t="n">
        <f aca="false">[6]Jul!$T$1</f>
        <v>0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0</v>
      </c>
      <c r="D8" s="263" t="n">
        <f aca="false">[6]Aug!$N$1</f>
        <v>0</v>
      </c>
      <c r="E8" s="263" t="n">
        <f aca="false">[6]Aug!$O$1</f>
        <v>0</v>
      </c>
      <c r="F8" s="263" t="n">
        <f aca="false">[6]Aug!$P$1+[6]Aug!$Q$1</f>
        <v>0</v>
      </c>
      <c r="G8" s="263" t="n">
        <f aca="false">C8-SUM(D8:F8)</f>
        <v>0</v>
      </c>
      <c r="H8" s="263" t="n">
        <f aca="false">[6]Aug!$T$1</f>
        <v>0</v>
      </c>
      <c r="I8" s="263" t="n">
        <f aca="false">[6]Aug!$G$1</f>
        <v>0</v>
      </c>
      <c r="J8" s="158"/>
      <c r="K8" s="278" t="s">
        <v>364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0</v>
      </c>
      <c r="D9" s="263" t="n">
        <f aca="false">[6]Sep!$N$1</f>
        <v>0</v>
      </c>
      <c r="E9" s="263" t="n">
        <f aca="false">[6]Sep!$O$1</f>
        <v>0</v>
      </c>
      <c r="F9" s="263" t="n">
        <f aca="false">[6]Sep!$P$1+[6]Sep!$Q$1</f>
        <v>0</v>
      </c>
      <c r="G9" s="263" t="n">
        <f aca="false">C9-SUM(D9:F9)</f>
        <v>0</v>
      </c>
      <c r="H9" s="263" t="n">
        <f aca="false">[6]Sep!$T$1</f>
        <v>0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0</v>
      </c>
      <c r="D10" s="263" t="n">
        <f aca="false">[6]Oct!$N$1</f>
        <v>0</v>
      </c>
      <c r="E10" s="263" t="n">
        <f aca="false">[6]Oct!$O$1</f>
        <v>0</v>
      </c>
      <c r="F10" s="263" t="n">
        <f aca="false">[6]Oct!$P$1+[6]Oct!$Q$1</f>
        <v>0</v>
      </c>
      <c r="G10" s="263" t="n">
        <f aca="false">C10-SUM(D10:F10)</f>
        <v>0</v>
      </c>
      <c r="H10" s="263" t="n">
        <f aca="false">[6]Oct!$T$1</f>
        <v>0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0</v>
      </c>
      <c r="D11" s="263" t="n">
        <f aca="false">[6]Nov!$N$1</f>
        <v>0</v>
      </c>
      <c r="E11" s="263" t="n">
        <f aca="false">[6]Nov!$O$1</f>
        <v>0</v>
      </c>
      <c r="F11" s="263" t="n">
        <f aca="false">[6]Nov!$P$1+[6]Nov!$Q$1</f>
        <v>0</v>
      </c>
      <c r="G11" s="263" t="n">
        <f aca="false">C11-SUM(D11:F11)</f>
        <v>0</v>
      </c>
      <c r="H11" s="263" t="n">
        <f aca="false">[6]Nov!$T$1</f>
        <v>0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0</v>
      </c>
      <c r="D12" s="263" t="n">
        <f aca="false">[6]Dec!$N$1</f>
        <v>0</v>
      </c>
      <c r="E12" s="263" t="n">
        <f aca="false">[6]Dec!$O$1</f>
        <v>0</v>
      </c>
      <c r="F12" s="263" t="n">
        <f aca="false">[6]Dec!$P$1+[6]Dec!$Q$1</f>
        <v>0</v>
      </c>
      <c r="G12" s="263" t="n">
        <f aca="false">C12-SUM(D12:F12)</f>
        <v>0</v>
      </c>
      <c r="H12" s="263" t="n">
        <f aca="false">[6]Dec!$T$1</f>
        <v>0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0</v>
      </c>
      <c r="D13" s="263" t="n">
        <f aca="false">[6]Jan!$N$1</f>
        <v>0</v>
      </c>
      <c r="E13" s="263" t="n">
        <f aca="false">[6]Jan!$O$1</f>
        <v>0</v>
      </c>
      <c r="F13" s="263" t="n">
        <f aca="false">[6]Jan!$P$1+[6]Jan!$Q$1</f>
        <v>0</v>
      </c>
      <c r="G13" s="263" t="n">
        <f aca="false">C13-SUM(D13:F13)</f>
        <v>0</v>
      </c>
      <c r="H13" s="263" t="n">
        <f aca="false">[6]Jan!$T$1</f>
        <v>0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0</v>
      </c>
      <c r="D14" s="263" t="n">
        <f aca="false">[6]Feb!$N$1</f>
        <v>0</v>
      </c>
      <c r="E14" s="263" t="n">
        <f aca="false">[6]Feb!$O$1</f>
        <v>0</v>
      </c>
      <c r="F14" s="263" t="n">
        <f aca="false">[6]Feb!$P$1+[6]Feb!$Q$1</f>
        <v>0</v>
      </c>
      <c r="G14" s="263" t="n">
        <f aca="false">C14-SUM(D14:F14)</f>
        <v>0</v>
      </c>
      <c r="H14" s="263" t="n">
        <f aca="false">[6]Feb!$T$1</f>
        <v>0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0</v>
      </c>
      <c r="D15" s="263" t="n">
        <f aca="false">[6]Mar!$N$1</f>
        <v>0</v>
      </c>
      <c r="E15" s="263" t="n">
        <f aca="false">[6]Mar!$O$1</f>
        <v>0</v>
      </c>
      <c r="F15" s="263" t="n">
        <f aca="false">[6]Mar!$P$1+[6]Mar!$Q$1</f>
        <v>0</v>
      </c>
      <c r="G15" s="263" t="n">
        <f aca="false">C15-SUM(D15:F15)</f>
        <v>0</v>
      </c>
      <c r="H15" s="263" t="n">
        <f aca="false">[6]Mar!$T$1</f>
        <v>0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365</v>
      </c>
      <c r="I1" s="288"/>
      <c r="J1" s="288"/>
      <c r="K1" s="288"/>
      <c r="L1" s="288"/>
      <c r="M1" s="287"/>
      <c r="N1" s="288" t="s">
        <v>365</v>
      </c>
      <c r="O1" s="288"/>
      <c r="P1" s="288"/>
      <c r="Q1" s="288"/>
      <c r="R1" s="288"/>
      <c r="S1" s="287"/>
      <c r="T1" s="288" t="s">
        <v>365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366</v>
      </c>
      <c r="C2" s="294"/>
      <c r="D2" s="295" t="s">
        <v>367</v>
      </c>
      <c r="E2" s="296"/>
      <c r="F2" s="295" t="s">
        <v>368</v>
      </c>
      <c r="G2" s="296"/>
      <c r="H2" s="297" t="s">
        <v>369</v>
      </c>
      <c r="I2" s="296"/>
      <c r="J2" s="295" t="s">
        <v>370</v>
      </c>
      <c r="K2" s="296"/>
      <c r="L2" s="295" t="s">
        <v>371</v>
      </c>
      <c r="M2" s="296"/>
      <c r="N2" s="297" t="s">
        <v>372</v>
      </c>
      <c r="O2" s="296"/>
      <c r="P2" s="295" t="s">
        <v>373</v>
      </c>
      <c r="Q2" s="296"/>
      <c r="R2" s="295" t="s">
        <v>371</v>
      </c>
      <c r="S2" s="296"/>
      <c r="T2" s="297" t="s">
        <v>374</v>
      </c>
      <c r="U2" s="296"/>
      <c r="V2" s="295" t="s">
        <v>375</v>
      </c>
      <c r="W2" s="296"/>
      <c r="X2" s="298" t="s">
        <v>371</v>
      </c>
      <c r="Y2" s="299"/>
      <c r="Z2" s="295" t="s">
        <v>376</v>
      </c>
      <c r="AA2" s="296"/>
      <c r="AB2" s="295" t="s">
        <v>377</v>
      </c>
      <c r="AC2" s="300"/>
      <c r="AD2" s="301" t="s">
        <v>378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379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380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/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11166.6666666667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1800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11466.6666666667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800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1000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381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12366.6666666667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800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2000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11466.6666666667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1800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382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12966.6666666667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800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10866.6666666667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800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1800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383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12966.6666666667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1800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11466.6666666667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800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3000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384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12366.6666666667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800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11466.6666666667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1800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1000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12166.6666666667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800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1500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0</v>
      </c>
      <c r="AC28" s="164"/>
      <c r="AD28" s="309" t="s">
        <v>385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10866.6666666667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800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0</v>
      </c>
      <c r="AA30" s="177"/>
      <c r="AB30" s="170" t="n">
        <f aca="false">AB28+F30-L30-R30-X30</f>
        <v>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386</v>
      </c>
      <c r="C2" s="161" t="s">
        <v>261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32</v>
      </c>
      <c r="D4" s="166" t="s">
        <v>32</v>
      </c>
      <c r="E4" s="166" t="s">
        <v>32</v>
      </c>
      <c r="F4" s="166" t="s">
        <v>32</v>
      </c>
      <c r="G4" s="166" t="s">
        <v>32</v>
      </c>
      <c r="H4" s="166" t="s">
        <v>32</v>
      </c>
      <c r="I4" s="166" t="s">
        <v>32</v>
      </c>
      <c r="J4" s="166" t="s">
        <v>32</v>
      </c>
      <c r="K4" s="166" t="s">
        <v>32</v>
      </c>
      <c r="L4" s="166" t="s">
        <v>32</v>
      </c>
      <c r="M4" s="166" t="s">
        <v>32</v>
      </c>
      <c r="N4" s="168" t="s">
        <v>32</v>
      </c>
      <c r="O4" s="166" t="s">
        <v>32</v>
      </c>
      <c r="P4" s="158"/>
    </row>
    <row r="5" s="176" customFormat="true" ht="12" hidden="false" customHeight="false" outlineLevel="0" collapsed="false">
      <c r="A5" s="178"/>
      <c r="B5" s="332" t="s">
        <v>266</v>
      </c>
      <c r="C5" s="170" t="n">
        <f aca="false">SUM(D5:O5)</f>
        <v>169200</v>
      </c>
      <c r="D5" s="170" t="n">
        <f aca="false">'Profit &amp; Loss Account'!C9</f>
        <v>13666.6666666667</v>
      </c>
      <c r="E5" s="170" t="n">
        <f aca="false">'Profit &amp; Loss Account'!D9</f>
        <v>13266.6666666667</v>
      </c>
      <c r="F5" s="170" t="n">
        <f aca="false">'Profit &amp; Loss Account'!E9</f>
        <v>15166.6666666667</v>
      </c>
      <c r="G5" s="170" t="n">
        <f aca="false">'Profit &amp; Loss Account'!F9</f>
        <v>13966.6666666667</v>
      </c>
      <c r="H5" s="170" t="n">
        <f aca="false">'Profit &amp; Loss Account'!G9</f>
        <v>13766.6666666667</v>
      </c>
      <c r="I5" s="170" t="n">
        <f aca="false">'Profit &amp; Loss Account'!H9</f>
        <v>13966.6666666667</v>
      </c>
      <c r="J5" s="170" t="n">
        <f aca="false">'Profit &amp; Loss Account'!I9</f>
        <v>15466.6666666667</v>
      </c>
      <c r="K5" s="170" t="n">
        <f aca="false">'Profit &amp; Loss Account'!J9</f>
        <v>15266.6666666667</v>
      </c>
      <c r="L5" s="170" t="n">
        <f aca="false">'Profit &amp; Loss Account'!K9</f>
        <v>13166.6666666667</v>
      </c>
      <c r="M5" s="170" t="n">
        <f aca="false">'Profit &amp; Loss Account'!L9</f>
        <v>15366.6666666667</v>
      </c>
      <c r="N5" s="170" t="n">
        <f aca="false">'Profit &amp; Loss Account'!M9</f>
        <v>14466.6666666667</v>
      </c>
      <c r="O5" s="170" t="n">
        <f aca="false">'Profit &amp; Loss Account'!N9</f>
        <v>11666.6666666667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387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272</v>
      </c>
      <c r="C9" s="170" t="n">
        <f aca="false">SUM(D9:O9)</f>
        <v>17744</v>
      </c>
      <c r="D9" s="170" t="n">
        <f aca="false">'Profit &amp; Loss Account'!C17</f>
        <v>885</v>
      </c>
      <c r="E9" s="170" t="n">
        <f aca="false">'Profit &amp; Loss Account'!D17</f>
        <v>969</v>
      </c>
      <c r="F9" s="170" t="n">
        <f aca="false">'Profit &amp; Loss Account'!E17</f>
        <v>5645</v>
      </c>
      <c r="G9" s="170" t="n">
        <f aca="false">'Profit &amp; Loss Account'!F17</f>
        <v>969</v>
      </c>
      <c r="H9" s="170" t="n">
        <f aca="false">'Profit &amp; Loss Account'!G17</f>
        <v>825</v>
      </c>
      <c r="I9" s="170" t="n">
        <f aca="false">'Profit &amp; Loss Account'!H17</f>
        <v>489</v>
      </c>
      <c r="J9" s="170" t="n">
        <f aca="false">'Profit &amp; Loss Account'!I17</f>
        <v>765</v>
      </c>
      <c r="K9" s="170" t="n">
        <f aca="false">'Profit &amp; Loss Account'!J17</f>
        <v>4089</v>
      </c>
      <c r="L9" s="170" t="n">
        <f aca="false">'Profit &amp; Loss Account'!K17</f>
        <v>765</v>
      </c>
      <c r="M9" s="170" t="n">
        <f aca="false">'Profit &amp; Loss Account'!L17</f>
        <v>849</v>
      </c>
      <c r="N9" s="170" t="n">
        <f aca="false">'Profit &amp; Loss Account'!M17</f>
        <v>945</v>
      </c>
      <c r="O9" s="170" t="n">
        <f aca="false">'Profit &amp; Loss Account'!N17</f>
        <v>549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273</v>
      </c>
      <c r="C11" s="170" t="n">
        <f aca="false">SUM(D11:O11)</f>
        <v>153539.333333334</v>
      </c>
      <c r="D11" s="170" t="n">
        <f aca="false">D5+D7-D9</f>
        <v>12781.6666666667</v>
      </c>
      <c r="E11" s="170" t="n">
        <f aca="false">E5+E7-E9</f>
        <v>12297.6666666667</v>
      </c>
      <c r="F11" s="170" t="n">
        <f aca="false">F5+F7-F9</f>
        <v>9521.6666666667</v>
      </c>
      <c r="G11" s="170" t="n">
        <f aca="false">G5+G7-G9</f>
        <v>12997.6666666667</v>
      </c>
      <c r="H11" s="170" t="n">
        <f aca="false">H5+H7-H9</f>
        <v>15025</v>
      </c>
      <c r="I11" s="170" t="n">
        <f aca="false">I5+I7-I9</f>
        <v>13477.6666666667</v>
      </c>
      <c r="J11" s="170" t="n">
        <f aca="false">J5+J7-J9</f>
        <v>14701.6666666667</v>
      </c>
      <c r="K11" s="170" t="n">
        <f aca="false">K5+K7-K9</f>
        <v>11177.6666666667</v>
      </c>
      <c r="L11" s="170" t="n">
        <f aca="false">L5+L7-L9</f>
        <v>12401.6666666667</v>
      </c>
      <c r="M11" s="170" t="n">
        <f aca="false">M5+M7-M9</f>
        <v>14517.6666666667</v>
      </c>
      <c r="N11" s="170" t="n">
        <f aca="false">N5+N7-N9</f>
        <v>13521.6666666667</v>
      </c>
      <c r="O11" s="170" t="n">
        <f aca="false">O5+O7-O9</f>
        <v>11117.6666666667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388</v>
      </c>
      <c r="C13" s="170" t="n">
        <f aca="false">SUM(D13:O13)</f>
        <v>29870.25</v>
      </c>
      <c r="D13" s="170" t="n">
        <f aca="false">'Profit &amp; Loss Account'!C35</f>
        <v>1249.25</v>
      </c>
      <c r="E13" s="170" t="n">
        <f aca="false">'Profit &amp; Loss Account'!D35</f>
        <v>1871</v>
      </c>
      <c r="F13" s="170" t="n">
        <f aca="false">'Profit &amp; Loss Account'!E35</f>
        <v>2067</v>
      </c>
      <c r="G13" s="170" t="n">
        <f aca="false">'Profit &amp; Loss Account'!F35</f>
        <v>1795.25</v>
      </c>
      <c r="H13" s="170" t="n">
        <f aca="false">'Profit &amp; Loss Account'!G35</f>
        <v>2217.25</v>
      </c>
      <c r="I13" s="170" t="n">
        <f aca="false">'Profit &amp; Loss Account'!H35</f>
        <v>2715</v>
      </c>
      <c r="J13" s="170" t="n">
        <f aca="false">'Profit &amp; Loss Account'!I35</f>
        <v>4349.75</v>
      </c>
      <c r="K13" s="170" t="n">
        <f aca="false">'Profit &amp; Loss Account'!J35</f>
        <v>1274</v>
      </c>
      <c r="L13" s="170" t="n">
        <f aca="false">'Profit &amp; Loss Account'!K35</f>
        <v>7347.5</v>
      </c>
      <c r="M13" s="170" t="n">
        <f aca="false">'Profit &amp; Loss Account'!L35</f>
        <v>1807.25</v>
      </c>
      <c r="N13" s="170" t="n">
        <f aca="false">'Profit &amp; Loss Account'!M35</f>
        <v>1758.5</v>
      </c>
      <c r="O13" s="170" t="n">
        <f aca="false">'Profit &amp; Loss Account'!N35</f>
        <v>1418.5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289</v>
      </c>
      <c r="C15" s="170" t="n">
        <f aca="false">SUM(D15:O15)</f>
        <v>123669.083333334</v>
      </c>
      <c r="D15" s="170" t="n">
        <f aca="false">D11-D13</f>
        <v>11532.4166666667</v>
      </c>
      <c r="E15" s="170" t="n">
        <f aca="false">E11-E13</f>
        <v>10426.6666666667</v>
      </c>
      <c r="F15" s="170" t="n">
        <f aca="false">F11-F13</f>
        <v>7454.6666666667</v>
      </c>
      <c r="G15" s="170" t="n">
        <f aca="false">G11-G13</f>
        <v>11202.4166666667</v>
      </c>
      <c r="H15" s="170" t="n">
        <f aca="false">H11-H13</f>
        <v>12807.75</v>
      </c>
      <c r="I15" s="170" t="n">
        <f aca="false">I11-I13</f>
        <v>10762.6666666667</v>
      </c>
      <c r="J15" s="170" t="n">
        <f aca="false">J11-J13</f>
        <v>10351.9166666667</v>
      </c>
      <c r="K15" s="170" t="n">
        <f aca="false">K11-K13</f>
        <v>9903.6666666667</v>
      </c>
      <c r="L15" s="170" t="n">
        <f aca="false">L11-L13</f>
        <v>5054.1666666667</v>
      </c>
      <c r="M15" s="170" t="n">
        <f aca="false">M11-M13</f>
        <v>12710.4166666667</v>
      </c>
      <c r="N15" s="170" t="n">
        <f aca="false">N11-N13</f>
        <v>11763.1666666667</v>
      </c>
      <c r="O15" s="170" t="n">
        <f aca="false">O11-O13</f>
        <v>9699.1666666667</v>
      </c>
      <c r="P15" s="158"/>
    </row>
    <row r="16" customFormat="false" ht="12" hidden="false" customHeight="false" outlineLevel="0" collapsed="false">
      <c r="A16" s="158"/>
      <c r="B16" s="334" t="s">
        <v>290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291</v>
      </c>
      <c r="C17" s="170" t="n">
        <f aca="false">SUM(D17:O17)</f>
        <v>123669.083333334</v>
      </c>
      <c r="D17" s="170" t="n">
        <f aca="false">D15+D16</f>
        <v>11532.4166666667</v>
      </c>
      <c r="E17" s="170" t="n">
        <f aca="false">E15+E16</f>
        <v>10426.6666666667</v>
      </c>
      <c r="F17" s="170" t="n">
        <f aca="false">F15+F16</f>
        <v>7454.6666666667</v>
      </c>
      <c r="G17" s="170" t="n">
        <f aca="false">G15+G16</f>
        <v>11202.4166666667</v>
      </c>
      <c r="H17" s="170" t="n">
        <f aca="false">H15+H16</f>
        <v>12807.75</v>
      </c>
      <c r="I17" s="170" t="n">
        <f aca="false">I15+I16</f>
        <v>10762.6666666667</v>
      </c>
      <c r="J17" s="170" t="n">
        <f aca="false">J15+J16</f>
        <v>10351.9166666667</v>
      </c>
      <c r="K17" s="170" t="n">
        <f aca="false">K15+K16</f>
        <v>9903.6666666667</v>
      </c>
      <c r="L17" s="170" t="n">
        <f aca="false">L15+L16</f>
        <v>5054.1666666667</v>
      </c>
      <c r="M17" s="170" t="n">
        <f aca="false">M15+M16</f>
        <v>12710.4166666667</v>
      </c>
      <c r="N17" s="170" t="n">
        <f aca="false">N15+N16</f>
        <v>11763.1666666667</v>
      </c>
      <c r="O17" s="170" t="n">
        <f aca="false">O15+O16</f>
        <v>9699.1666666667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389</v>
      </c>
      <c r="C19" s="161" t="s">
        <v>261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266</v>
      </c>
      <c r="C22" s="170" t="n">
        <f aca="false">SUM(D22:O22)</f>
        <v>169200</v>
      </c>
      <c r="D22" s="170" t="n">
        <f aca="false">IF(C5&gt;0,IF(D5&gt;0,D5,C5/C21),0)</f>
        <v>13666.6666666667</v>
      </c>
      <c r="E22" s="170" t="n">
        <f aca="false">IF(C5&gt;0,IF(E5&gt;0,E5,C5/C21),0)</f>
        <v>13266.6666666667</v>
      </c>
      <c r="F22" s="170" t="n">
        <f aca="false">IF(C5&gt;0,IF(F5&gt;0,F5,C5/C21),0)</f>
        <v>15166.6666666667</v>
      </c>
      <c r="G22" s="170" t="n">
        <f aca="false">IF(C5&gt;0,IF(G5&gt;0,G5,C5/C21),0)</f>
        <v>13966.6666666667</v>
      </c>
      <c r="H22" s="170" t="n">
        <f aca="false">IF(C5&gt;0,IF(H5&gt;0,H5,C5/C21),0)</f>
        <v>13766.6666666667</v>
      </c>
      <c r="I22" s="170" t="n">
        <f aca="false">IF(C5&gt;0,IF(I5&gt;0,I5,C5/C21),0)</f>
        <v>13966.6666666667</v>
      </c>
      <c r="J22" s="170" t="n">
        <f aca="false">IF(C5&gt;0,IF(J5&gt;0,J5,C5/C21),0)</f>
        <v>15466.6666666667</v>
      </c>
      <c r="K22" s="170" t="n">
        <f aca="false">IF(C5&gt;0,IF(K5&gt;0,K5,C5/C21),0)</f>
        <v>15266.6666666667</v>
      </c>
      <c r="L22" s="170" t="n">
        <f aca="false">IF(C5&gt;0,IF(L5&gt;0,L5,C5/C21),0)</f>
        <v>13166.6666666667</v>
      </c>
      <c r="M22" s="170" t="n">
        <f aca="false">IF(C5&gt;0,IF(M5&gt;0,M5,C5/C21),0)</f>
        <v>15366.6666666667</v>
      </c>
      <c r="N22" s="170" t="n">
        <f aca="false">IF(C5&gt;0,IF(N5&gt;0,N5,C5/C21),0)</f>
        <v>14466.6666666667</v>
      </c>
      <c r="O22" s="170" t="n">
        <f aca="false">IF(C5&gt;0,IF(O5&gt;0,O5,C5/C21),0)</f>
        <v>11666.6666666667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387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272</v>
      </c>
      <c r="C26" s="170" t="n">
        <f aca="false">SUM(D26:O26)</f>
        <v>17744</v>
      </c>
      <c r="D26" s="170" t="n">
        <f aca="false">IF(C5&gt;0,IF(D5&gt;0,D9,C9/C21),0)</f>
        <v>885</v>
      </c>
      <c r="E26" s="170" t="n">
        <f aca="false">IF(C5&gt;0,IF(E5&gt;0,E9,C9/C21),0)</f>
        <v>969</v>
      </c>
      <c r="F26" s="170" t="n">
        <f aca="false">IF(C5&gt;0,IF(F5&gt;0,F9,C9/C21),0)</f>
        <v>5645</v>
      </c>
      <c r="G26" s="170" t="n">
        <f aca="false">IF(C5&gt;0,IF(G5&gt;0,G9,C9/C21),0)</f>
        <v>969</v>
      </c>
      <c r="H26" s="170" t="n">
        <f aca="false">IF(C5&gt;0,IF(H5&gt;0,H9,C9/C21),0)</f>
        <v>825</v>
      </c>
      <c r="I26" s="170" t="n">
        <f aca="false">IF(C5&gt;0,IF(I5&gt;0,I9,C9/C21),0)</f>
        <v>489</v>
      </c>
      <c r="J26" s="170" t="n">
        <f aca="false">IF(C5&gt;0,IF(J5&gt;0,J9,C9/C21),0)</f>
        <v>765</v>
      </c>
      <c r="K26" s="170" t="n">
        <f aca="false">IF(C5&gt;0,IF(K5&gt;0,K9,C9/C21),0)</f>
        <v>4089</v>
      </c>
      <c r="L26" s="170" t="n">
        <f aca="false">IF(C5&gt;0,IF(L5&gt;0,L9,C9/C21),0)</f>
        <v>765</v>
      </c>
      <c r="M26" s="170" t="n">
        <f aca="false">IF(C5&gt;0,IF(M5&gt;0,M9,C9/C21),0)</f>
        <v>849</v>
      </c>
      <c r="N26" s="170" t="n">
        <f aca="false">IF(C5&gt;0,IF(N5&gt;0,N9,C9/C21),0)</f>
        <v>945</v>
      </c>
      <c r="O26" s="170" t="n">
        <f aca="false">IF(C5&gt;0,IF(O5&gt;0,O9,C9/C21),0)</f>
        <v>549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273</v>
      </c>
      <c r="C28" s="170" t="n">
        <f aca="false">SUM(D28:O28)</f>
        <v>153539.333333334</v>
      </c>
      <c r="D28" s="170" t="n">
        <f aca="false">D22+D24-D26</f>
        <v>12781.6666666667</v>
      </c>
      <c r="E28" s="170" t="n">
        <f aca="false">E22+E24-E26</f>
        <v>12297.6666666667</v>
      </c>
      <c r="F28" s="170" t="n">
        <f aca="false">F22+F24-F26</f>
        <v>9521.6666666667</v>
      </c>
      <c r="G28" s="170" t="n">
        <f aca="false">G22+G24-G26</f>
        <v>12997.6666666667</v>
      </c>
      <c r="H28" s="170" t="n">
        <f aca="false">H22+H24-H26</f>
        <v>15025</v>
      </c>
      <c r="I28" s="170" t="n">
        <f aca="false">I22+I24-I26</f>
        <v>13477.6666666667</v>
      </c>
      <c r="J28" s="170" t="n">
        <f aca="false">J22+J24-J26</f>
        <v>14701.6666666667</v>
      </c>
      <c r="K28" s="170" t="n">
        <f aca="false">K22+K24-K26</f>
        <v>11177.6666666667</v>
      </c>
      <c r="L28" s="170" t="n">
        <f aca="false">L22+L24-L26</f>
        <v>12401.6666666667</v>
      </c>
      <c r="M28" s="170" t="n">
        <f aca="false">M22+M24-M26</f>
        <v>14517.6666666667</v>
      </c>
      <c r="N28" s="170" t="n">
        <f aca="false">N22+N24-N26</f>
        <v>13521.6666666667</v>
      </c>
      <c r="O28" s="170" t="n">
        <f aca="false">O22+O24-O26</f>
        <v>11117.6666666667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388</v>
      </c>
      <c r="C30" s="170" t="n">
        <f aca="false">SUM(D30:O30)</f>
        <v>29870.25</v>
      </c>
      <c r="D30" s="170" t="n">
        <f aca="false">IF(C5&gt;0,IF(D5&gt;0,D13,C13/C21),0)</f>
        <v>1249.25</v>
      </c>
      <c r="E30" s="170" t="n">
        <f aca="false">IF(C5&gt;0,IF(E5&gt;0,E13,C13/C21),0)</f>
        <v>1871</v>
      </c>
      <c r="F30" s="170" t="n">
        <f aca="false">IF(C5&gt;0,IF(F5&gt;0,F13,C13/C21),0)</f>
        <v>2067</v>
      </c>
      <c r="G30" s="170" t="n">
        <f aca="false">IF(C5&gt;0,IF(G5&gt;0,G13,C13/C21),0)</f>
        <v>1795.25</v>
      </c>
      <c r="H30" s="170" t="n">
        <f aca="false">IF(C5&gt;0,IF(H5&gt;0,H13,C13/C21),0)</f>
        <v>2217.25</v>
      </c>
      <c r="I30" s="170" t="n">
        <f aca="false">IF(C5&gt;0,IF(I5&gt;0,I13,C13/C21),0)</f>
        <v>2715</v>
      </c>
      <c r="J30" s="170" t="n">
        <f aca="false">IF(C5&gt;0,IF(J5&gt;0,J13,C13/C21),0)</f>
        <v>4349.75</v>
      </c>
      <c r="K30" s="170" t="n">
        <f aca="false">IF(C5&gt;0,IF(K5&gt;0,K13,C13/C21),0)</f>
        <v>1274</v>
      </c>
      <c r="L30" s="170" t="n">
        <f aca="false">IF(C5&gt;0,IF(L5&gt;0,L13,C13/C21),0)</f>
        <v>7347.5</v>
      </c>
      <c r="M30" s="170" t="n">
        <f aca="false">IF(C5&gt;0,IF(M5&gt;0,M13,C13/C21),0)</f>
        <v>1807.25</v>
      </c>
      <c r="N30" s="170" t="n">
        <f aca="false">IF(C5&gt;0,IF(N5&gt;0,N13,C13/C21),0)</f>
        <v>1758.5</v>
      </c>
      <c r="O30" s="170" t="n">
        <f aca="false">IF(C5&gt;0,IF(O5&gt;0,O13,C13/C21),0)</f>
        <v>1418.5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289</v>
      </c>
      <c r="C32" s="170" t="n">
        <f aca="false">SUM(D32:O32)</f>
        <v>123669.083333334</v>
      </c>
      <c r="D32" s="170" t="n">
        <f aca="false">D28-D30</f>
        <v>11532.4166666667</v>
      </c>
      <c r="E32" s="170" t="n">
        <f aca="false">E28-E30</f>
        <v>10426.6666666667</v>
      </c>
      <c r="F32" s="170" t="n">
        <f aca="false">F28-F30</f>
        <v>7454.6666666667</v>
      </c>
      <c r="G32" s="170" t="n">
        <f aca="false">G28-G30</f>
        <v>11202.4166666667</v>
      </c>
      <c r="H32" s="170" t="n">
        <f aca="false">H28-H30</f>
        <v>12807.75</v>
      </c>
      <c r="I32" s="170" t="n">
        <f aca="false">I28-I30</f>
        <v>10762.6666666667</v>
      </c>
      <c r="J32" s="170" t="n">
        <f aca="false">J28-J30</f>
        <v>10351.9166666667</v>
      </c>
      <c r="K32" s="170" t="n">
        <f aca="false">K28-K30</f>
        <v>9903.6666666667</v>
      </c>
      <c r="L32" s="170" t="n">
        <f aca="false">L28-L30</f>
        <v>5054.1666666667</v>
      </c>
      <c r="M32" s="170" t="n">
        <f aca="false">M28-M30</f>
        <v>12710.4166666667</v>
      </c>
      <c r="N32" s="170" t="n">
        <f aca="false">N28-N30</f>
        <v>11763.1666666667</v>
      </c>
      <c r="O32" s="170" t="n">
        <f aca="false">O28-O30</f>
        <v>9699.1666666667</v>
      </c>
      <c r="P32" s="158"/>
    </row>
    <row r="33" customFormat="false" ht="12" hidden="false" customHeight="false" outlineLevel="0" collapsed="false">
      <c r="A33" s="158"/>
      <c r="B33" s="334" t="s">
        <v>290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291</v>
      </c>
      <c r="C34" s="170" t="n">
        <f aca="false">SUM(D34:O34)</f>
        <v>123669.083333334</v>
      </c>
      <c r="D34" s="170" t="n">
        <f aca="false">D32+D33</f>
        <v>11532.4166666667</v>
      </c>
      <c r="E34" s="170" t="n">
        <f aca="false">E32+E33</f>
        <v>10426.6666666667</v>
      </c>
      <c r="F34" s="170" t="n">
        <f aca="false">F32+F33</f>
        <v>7454.6666666667</v>
      </c>
      <c r="G34" s="170" t="n">
        <f aca="false">G32+G33</f>
        <v>11202.4166666667</v>
      </c>
      <c r="H34" s="170" t="n">
        <f aca="false">H32+H33</f>
        <v>12807.75</v>
      </c>
      <c r="I34" s="170" t="n">
        <f aca="false">I32+I33</f>
        <v>10762.6666666667</v>
      </c>
      <c r="J34" s="170" t="n">
        <f aca="false">J32+J33</f>
        <v>10351.9166666667</v>
      </c>
      <c r="K34" s="170" t="n">
        <f aca="false">K32+K33</f>
        <v>9903.6666666667</v>
      </c>
      <c r="L34" s="170" t="n">
        <f aca="false">L32+L33</f>
        <v>5054.1666666667</v>
      </c>
      <c r="M34" s="170" t="n">
        <f aca="false">M32+M33</f>
        <v>12710.4166666667</v>
      </c>
      <c r="N34" s="170" t="n">
        <f aca="false">N32+N33</f>
        <v>11763.1666666667</v>
      </c>
      <c r="O34" s="170" t="n">
        <f aca="false">O32+O33</f>
        <v>9699.1666666667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390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391</v>
      </c>
      <c r="C37" s="339" t="n">
        <f aca="false">'Profit &amp; Loss Account'!B33+'Profit &amp; Loss Account'!B34</f>
        <v>0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392</v>
      </c>
      <c r="C38" s="339" t="n">
        <f aca="false">[1]Schedule!$Q$1+[1]Schedule!$R$1+[1]Schedule!$Y$1-[1]Schedule!$Z$1</f>
        <v>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393</v>
      </c>
      <c r="C39" s="339" t="n">
        <f aca="false">C34+C37-C38</f>
        <v>123669.083333334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394</v>
      </c>
      <c r="C40" s="339" t="n">
        <f aca="false">Admin!N$4</f>
        <v>12570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395</v>
      </c>
      <c r="C41" s="339" t="n">
        <f aca="false">IF((C39&gt;C40),(C39-C40),0)</f>
        <v>111099.083333334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396</v>
      </c>
      <c r="C42" s="339" t="n">
        <f aca="false">IF((C41&gt;0),(IF((C41&lt;Admin!N$12),C41*Admin!N$6,Admin!N$12*Admin!N$6)),0)</f>
        <v>7540.2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397</v>
      </c>
      <c r="C43" s="339" t="n">
        <f aca="false">IF((C41&gt;Admin!N$12),((C41-Admin!N$12)*Admin!N$7),0)</f>
        <v>29359.2333333335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398</v>
      </c>
      <c r="C44" s="339" t="n">
        <f aca="false">IF((C41&gt;0),IF(C41&gt;Admin!N12,Admin!N12*Admin!L20+(C41-Admin!N12)*Admin!L23,C41*Admin!L$20),0)</f>
        <v>3730.02166666667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6" hidden="false" customHeight="true" outlineLevel="0" collapsed="false">
      <c r="A45" s="158"/>
      <c r="B45" s="182"/>
      <c r="C45" s="33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399</v>
      </c>
      <c r="C46" s="341" t="n">
        <f aca="false">C42+C43+C44</f>
        <v>40629.4550000002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400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401</v>
      </c>
      <c r="E2" s="348"/>
      <c r="F2" s="348"/>
      <c r="G2" s="349" t="str">
        <f aca="false">B23</f>
        <v>2026-27</v>
      </c>
      <c r="H2" s="63"/>
      <c r="I2" s="63"/>
      <c r="J2" s="350" t="s">
        <v>402</v>
      </c>
      <c r="K2" s="350"/>
      <c r="L2" s="351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46118</v>
      </c>
      <c r="C4" s="63"/>
      <c r="D4" s="355" t="s">
        <v>81</v>
      </c>
      <c r="E4" s="355"/>
      <c r="F4" s="355"/>
      <c r="G4" s="356" t="n">
        <v>1</v>
      </c>
      <c r="H4" s="63"/>
      <c r="I4" s="355" t="s">
        <v>403</v>
      </c>
      <c r="J4" s="355"/>
      <c r="K4" s="355"/>
      <c r="L4" s="355"/>
      <c r="M4" s="355"/>
      <c r="N4" s="357" t="n">
        <v>12570</v>
      </c>
      <c r="O4" s="352" t="s">
        <v>32</v>
      </c>
    </row>
    <row r="5" customFormat="false" ht="12" hidden="false" customHeight="true" outlineLevel="0" collapsed="false">
      <c r="A5" s="63"/>
      <c r="B5" s="347" t="n">
        <v>46142</v>
      </c>
      <c r="C5" s="63"/>
      <c r="D5" s="355" t="s">
        <v>404</v>
      </c>
      <c r="E5" s="355"/>
      <c r="F5" s="355"/>
      <c r="G5" s="356" t="n">
        <v>0.14</v>
      </c>
      <c r="H5" s="63"/>
      <c r="I5" s="63"/>
      <c r="J5" s="63"/>
      <c r="K5" s="63"/>
      <c r="L5" s="63"/>
      <c r="M5" s="63"/>
      <c r="N5" s="352"/>
      <c r="O5" s="352"/>
    </row>
    <row r="6" customFormat="false" ht="12" hidden="false" customHeight="true" outlineLevel="0" collapsed="false">
      <c r="A6" s="63"/>
      <c r="B6" s="347" t="n">
        <v>46173</v>
      </c>
      <c r="C6" s="63"/>
      <c r="D6" s="63"/>
      <c r="E6" s="63"/>
      <c r="F6" s="63"/>
      <c r="G6" s="352"/>
      <c r="H6" s="63"/>
      <c r="I6" s="355" t="s">
        <v>405</v>
      </c>
      <c r="J6" s="355"/>
      <c r="K6" s="355"/>
      <c r="L6" s="355"/>
      <c r="M6" s="355"/>
      <c r="N6" s="356" t="n">
        <v>0.2</v>
      </c>
      <c r="O6" s="352" t="s">
        <v>406</v>
      </c>
    </row>
    <row r="7" customFormat="false" ht="12" hidden="false" customHeight="true" outlineLevel="0" collapsed="false">
      <c r="A7" s="63"/>
      <c r="B7" s="347" t="n">
        <v>46203</v>
      </c>
      <c r="C7" s="63"/>
      <c r="D7" s="355" t="s">
        <v>407</v>
      </c>
      <c r="E7" s="355"/>
      <c r="F7" s="355"/>
      <c r="G7" s="352"/>
      <c r="H7" s="63"/>
      <c r="I7" s="355" t="s">
        <v>408</v>
      </c>
      <c r="J7" s="355"/>
      <c r="K7" s="355"/>
      <c r="L7" s="355"/>
      <c r="M7" s="355"/>
      <c r="N7" s="356" t="n">
        <v>0.4</v>
      </c>
      <c r="O7" s="352" t="s">
        <v>406</v>
      </c>
    </row>
    <row r="8" customFormat="false" ht="12" hidden="false" customHeight="true" outlineLevel="0" collapsed="false">
      <c r="A8" s="63"/>
      <c r="B8" s="347" t="n">
        <v>46234</v>
      </c>
      <c r="C8" s="63"/>
      <c r="D8" s="63" t="s">
        <v>409</v>
      </c>
      <c r="E8" s="358" t="n">
        <v>12000</v>
      </c>
      <c r="F8" s="63" t="s">
        <v>410</v>
      </c>
      <c r="G8" s="358" t="n">
        <v>3000</v>
      </c>
      <c r="H8" s="63"/>
      <c r="I8" s="63"/>
      <c r="J8" s="63"/>
      <c r="K8" s="63"/>
      <c r="L8" s="63"/>
      <c r="M8" s="63"/>
      <c r="N8" s="352"/>
      <c r="O8" s="352"/>
    </row>
    <row r="9" customFormat="false" ht="12" hidden="false" customHeight="true" outlineLevel="0" collapsed="false">
      <c r="A9" s="63"/>
      <c r="B9" s="347" t="n">
        <v>46265</v>
      </c>
      <c r="C9" s="63"/>
      <c r="D9" s="63"/>
      <c r="E9" s="352"/>
      <c r="F9" s="63"/>
      <c r="G9" s="352"/>
      <c r="H9" s="63"/>
      <c r="I9" s="355" t="s">
        <v>411</v>
      </c>
      <c r="J9" s="355"/>
      <c r="K9" s="355"/>
      <c r="L9" s="359" t="s">
        <v>412</v>
      </c>
      <c r="M9" s="359" t="s">
        <v>413</v>
      </c>
      <c r="N9" s="360" t="s">
        <v>414</v>
      </c>
      <c r="O9" s="352"/>
    </row>
    <row r="10" customFormat="false" ht="12" hidden="false" customHeight="true" outlineLevel="0" collapsed="false">
      <c r="A10" s="63"/>
      <c r="B10" s="347" t="n">
        <v>46295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415</v>
      </c>
      <c r="E11" s="348"/>
      <c r="F11" s="348"/>
      <c r="G11" s="352" t="s">
        <v>406</v>
      </c>
      <c r="H11" s="63"/>
      <c r="I11" s="63" t="s">
        <v>416</v>
      </c>
      <c r="J11" s="63"/>
      <c r="K11" s="361" t="n">
        <v>0.2</v>
      </c>
      <c r="L11" s="352" t="n">
        <f aca="false">N11</f>
        <v>0</v>
      </c>
      <c r="M11" s="352" t="n">
        <v>37700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2"/>
      <c r="H12" s="63"/>
      <c r="I12" s="63" t="s">
        <v>417</v>
      </c>
      <c r="J12" s="63"/>
      <c r="K12" s="361" t="n">
        <v>0</v>
      </c>
      <c r="L12" s="352" t="n">
        <v>37701</v>
      </c>
      <c r="M12" s="63"/>
      <c r="N12" s="358" t="n">
        <v>37701</v>
      </c>
      <c r="O12" s="352"/>
    </row>
    <row r="13" customFormat="false" ht="12" hidden="false" customHeight="true" outlineLevel="0" collapsed="false">
      <c r="A13" s="63"/>
      <c r="B13" s="347" t="n">
        <v>46387</v>
      </c>
      <c r="C13" s="63"/>
      <c r="D13" s="355" t="s">
        <v>418</v>
      </c>
      <c r="E13" s="355"/>
      <c r="F13" s="355"/>
      <c r="G13" s="356" t="n">
        <v>0</v>
      </c>
      <c r="H13" s="63"/>
      <c r="I13" s="63"/>
      <c r="J13" s="63"/>
      <c r="K13" s="63"/>
      <c r="L13" s="63"/>
      <c r="M13" s="63"/>
      <c r="N13" s="63"/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5" t="s">
        <v>419</v>
      </c>
      <c r="E14" s="355"/>
      <c r="F14" s="355"/>
      <c r="G14" s="356" t="n">
        <v>0.1</v>
      </c>
      <c r="H14" s="63"/>
      <c r="I14" s="348" t="s">
        <v>420</v>
      </c>
      <c r="J14" s="348"/>
      <c r="K14" s="348"/>
      <c r="L14" s="351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5" t="s">
        <v>421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5" t="s">
        <v>422</v>
      </c>
      <c r="E16" s="355"/>
      <c r="F16" s="355"/>
      <c r="G16" s="356" t="n">
        <v>0.33</v>
      </c>
      <c r="H16" s="63"/>
      <c r="I16" s="355" t="s">
        <v>423</v>
      </c>
      <c r="J16" s="355"/>
      <c r="K16" s="355"/>
      <c r="L16" s="362" t="n">
        <v>0</v>
      </c>
      <c r="M16" s="63" t="s">
        <v>424</v>
      </c>
      <c r="N16" s="63"/>
      <c r="O16" s="63"/>
    </row>
    <row r="17" customFormat="false" ht="12" hidden="false" customHeight="true" outlineLevel="0" collapsed="false">
      <c r="A17" s="63"/>
      <c r="B17" s="354" t="n">
        <v>46482</v>
      </c>
      <c r="C17" s="63"/>
      <c r="D17" s="355" t="s">
        <v>425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426</v>
      </c>
      <c r="E19" s="348"/>
      <c r="F19" s="352" t="s">
        <v>427</v>
      </c>
      <c r="G19" s="352" t="s">
        <v>428</v>
      </c>
      <c r="H19" s="63"/>
      <c r="I19" s="364" t="s">
        <v>429</v>
      </c>
      <c r="J19" s="364"/>
      <c r="K19" s="364"/>
      <c r="L19" s="63"/>
      <c r="M19" s="365" t="s">
        <v>430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0.06</v>
      </c>
      <c r="M20" s="365"/>
      <c r="N20" s="358" t="n">
        <v>12570</v>
      </c>
      <c r="O20" s="352" t="s">
        <v>32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5" t="s">
        <v>431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432</v>
      </c>
      <c r="E22" s="63"/>
      <c r="F22" s="358" t="n">
        <v>10001</v>
      </c>
      <c r="G22" s="362" t="n">
        <v>0.25</v>
      </c>
      <c r="H22" s="63"/>
      <c r="I22" s="364" t="s">
        <v>433</v>
      </c>
      <c r="J22" s="364"/>
      <c r="K22" s="364"/>
      <c r="L22" s="63"/>
      <c r="M22" s="365" t="s">
        <v>434</v>
      </c>
      <c r="N22" s="63"/>
      <c r="O22" s="63"/>
    </row>
    <row r="23" customFormat="false" ht="12" hidden="false" customHeight="true" outlineLevel="0" collapsed="false">
      <c r="A23" s="63"/>
      <c r="B23" s="354" t="s">
        <v>435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</v>
      </c>
      <c r="M23" s="365"/>
      <c r="N23" s="358" t="n">
        <v>50270</v>
      </c>
      <c r="O23" s="352" t="s">
        <v>32</v>
      </c>
    </row>
    <row r="24" customFormat="false" ht="12" hidden="false" customHeight="true" outlineLevel="0" collapsed="false">
      <c r="A24" s="63"/>
      <c r="B24" s="354" t="s">
        <v>436</v>
      </c>
      <c r="C24" s="63"/>
      <c r="D24" s="348" t="s">
        <v>426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68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437</v>
      </c>
      <c r="E26" s="355"/>
      <c r="F26" s="358" t="n">
        <v>90000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438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6">
    <mergeCell ref="D1:F1"/>
    <mergeCell ref="D2:F2"/>
    <mergeCell ref="J2:K2"/>
    <mergeCell ref="D4:F4"/>
    <mergeCell ref="I4:M4"/>
    <mergeCell ref="D5:F5"/>
    <mergeCell ref="I6:M6"/>
    <mergeCell ref="D7:F7"/>
    <mergeCell ref="I7:M7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