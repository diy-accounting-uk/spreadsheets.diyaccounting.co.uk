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<sst xmlns="http://schemas.openxmlformats.org/spreadsheetml/2006/main" count="825" uniqueCount="443">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</sst>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38">
          <cell r="R38">
            <v>3360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155667.941666667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183532.058333333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119532.058333333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121615.391666666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169407.941666667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169792.058333333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8140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64000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3360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119532.058333333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119532.058333333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121615.391666666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13740</v>
      </c>
      <c r="C34" s="171" t="n">
        <f aca="false">([1]Schedule!$I$1)/12</f>
        <v>1145</v>
      </c>
      <c r="D34" s="171" t="n">
        <f aca="false">([1]Schedule!$I$1)/12</f>
        <v>1145</v>
      </c>
      <c r="E34" s="172" t="n">
        <f aca="false">([1]Schedule!$I$1)/12</f>
        <v>1145</v>
      </c>
      <c r="F34" s="171" t="n">
        <f aca="false">([1]Schedule!$I$1)/12</f>
        <v>1145</v>
      </c>
      <c r="G34" s="171" t="n">
        <f aca="false">([1]Schedule!$I$1)/12</f>
        <v>1145</v>
      </c>
      <c r="H34" s="172" t="n">
        <f aca="false">([1]Schedule!$I$1)/12</f>
        <v>1145</v>
      </c>
      <c r="I34" s="171" t="n">
        <f aca="false">([1]Schedule!$I$1)/12</f>
        <v>1145</v>
      </c>
      <c r="J34" s="171" t="n">
        <f aca="false">([1]Schedule!$I$1)/12</f>
        <v>1145</v>
      </c>
      <c r="K34" s="172" t="n">
        <f aca="false">([1]Schedule!$I$1)/12</f>
        <v>1145</v>
      </c>
      <c r="L34" s="171" t="n">
        <f aca="false">([1]Schedule!$I$1)/12</f>
        <v>1145</v>
      </c>
      <c r="M34" s="171" t="n">
        <f aca="false">([1]Schedule!$I$1)/12</f>
        <v>1145</v>
      </c>
      <c r="N34" s="171" t="n">
        <f aca="false">([1]Schedule!$I$1)/12</f>
        <v>1145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149271.275</v>
      </c>
      <c r="C35" s="170" t="n">
        <f aca="false">SUM(C21:C34)</f>
        <v>12006.4083333333</v>
      </c>
      <c r="D35" s="170" t="n">
        <f aca="false">SUM(D21:D34)</f>
        <v>11314.5333333333</v>
      </c>
      <c r="E35" s="170" t="n">
        <f aca="false">SUM(E21:E34)</f>
        <v>13577.8666666667</v>
      </c>
      <c r="F35" s="174" t="n">
        <f aca="false">SUM(F21:F34)</f>
        <v>13826.4083333333</v>
      </c>
      <c r="G35" s="170" t="n">
        <f aca="false">SUM(G21:G34)</f>
        <v>11468.075</v>
      </c>
      <c r="H35" s="170" t="n">
        <f aca="false">SUM(H21:H34)</f>
        <v>13230.8666666667</v>
      </c>
      <c r="I35" s="174" t="n">
        <f aca="false">SUM(I21:I34)</f>
        <v>13685.1583333333</v>
      </c>
      <c r="J35" s="170" t="n">
        <f aca="false">SUM(J21:J34)</f>
        <v>10867.0333333333</v>
      </c>
      <c r="K35" s="170" t="n">
        <f aca="false">SUM(K21:K34)</f>
        <v>15890.2833333333</v>
      </c>
      <c r="L35" s="174" t="n">
        <f aca="false">SUM(L21:L34)</f>
        <v>11386.4083333333</v>
      </c>
      <c r="M35" s="170" t="n">
        <f aca="false">SUM(M21:M34)</f>
        <v>11060.7833333333</v>
      </c>
      <c r="N35" s="170" t="n">
        <f aca="false">SUM(N21:N34)</f>
        <v>10957.45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171875.391666666</v>
      </c>
      <c r="C37" s="170" t="n">
        <f aca="false">C19-C35</f>
        <v>15089.425</v>
      </c>
      <c r="D37" s="170" t="n">
        <f aca="false">D19-D35</f>
        <v>15111.3</v>
      </c>
      <c r="E37" s="170" t="n">
        <f aca="false">E19-E35</f>
        <v>11051.3</v>
      </c>
      <c r="F37" s="174" t="n">
        <f aca="false">F19-F35</f>
        <v>13099.425</v>
      </c>
      <c r="G37" s="170" t="n">
        <f aca="false">G19-G35</f>
        <v>17861.0916666666</v>
      </c>
      <c r="H37" s="170" t="n">
        <f aca="false">H19-H35</f>
        <v>14194.9666666666</v>
      </c>
      <c r="I37" s="174" t="n">
        <f aca="false">I19-I35</f>
        <v>15310.675</v>
      </c>
      <c r="J37" s="170" t="n">
        <f aca="false">J19-J35</f>
        <v>15158.8</v>
      </c>
      <c r="K37" s="170" t="n">
        <f aca="false">K19-K35</f>
        <v>10805.55</v>
      </c>
      <c r="L37" s="174" t="n">
        <f aca="false">L19-L35</f>
        <v>17289.425</v>
      </c>
      <c r="M37" s="170" t="n">
        <f aca="false">M19-M35</f>
        <v>16485.05</v>
      </c>
      <c r="N37" s="170" t="n">
        <f aca="false">N19-N35</f>
        <v>10418.3833333333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171875.391666666</v>
      </c>
      <c r="C39" s="170" t="n">
        <f aca="false">C37+C38</f>
        <v>15089.425</v>
      </c>
      <c r="D39" s="170" t="n">
        <f aca="false">D37+D38</f>
        <v>15111.3</v>
      </c>
      <c r="E39" s="170" t="n">
        <f aca="false">E37+E38</f>
        <v>11051.3</v>
      </c>
      <c r="F39" s="174" t="n">
        <f aca="false">F37+F38</f>
        <v>13099.425</v>
      </c>
      <c r="G39" s="170" t="n">
        <f aca="false">G37+G38</f>
        <v>17861.0916666666</v>
      </c>
      <c r="H39" s="170" t="n">
        <f aca="false">H37+H38</f>
        <v>14194.9666666666</v>
      </c>
      <c r="I39" s="174" t="n">
        <f aca="false">I37+I38</f>
        <v>15310.675</v>
      </c>
      <c r="J39" s="170" t="n">
        <f aca="false">J37+J38</f>
        <v>15158.8</v>
      </c>
      <c r="K39" s="170" t="n">
        <f aca="false">K37+K38</f>
        <v>10805.55</v>
      </c>
      <c r="L39" s="174" t="n">
        <f aca="false">L37+L38</f>
        <v>17289.425</v>
      </c>
      <c r="M39" s="170" t="n">
        <f aca="false">M37+M38</f>
        <v>16485.05</v>
      </c>
      <c r="N39" s="170" t="n">
        <f aca="false">N37+N38</f>
        <v>10418.3833333333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44196.7828333331</v>
      </c>
      <c r="C44" s="177" t="n">
        <f aca="false">IF(C9&gt;0,'Profit Forecast'!C$46/12,0)</f>
        <v>3683.06523611109</v>
      </c>
      <c r="D44" s="177" t="n">
        <f aca="false">IF(D9&gt;0,'Profit Forecast'!C$46/12,0)</f>
        <v>3683.06523611109</v>
      </c>
      <c r="E44" s="177" t="n">
        <f aca="false">IF(E9&gt;0,'Profit Forecast'!C$46/12,0)</f>
        <v>3683.06523611109</v>
      </c>
      <c r="F44" s="177" t="n">
        <f aca="false">IF(F9&gt;0,'Profit Forecast'!C$46/12,0)</f>
        <v>3683.06523611109</v>
      </c>
      <c r="G44" s="177" t="n">
        <f aca="false">IF(G9&gt;0,'Profit Forecast'!C$46/12,0)</f>
        <v>3683.06523611109</v>
      </c>
      <c r="H44" s="177" t="n">
        <f aca="false">IF(H9&gt;0,'Profit Forecast'!C$46/12,0)</f>
        <v>3683.06523611109</v>
      </c>
      <c r="I44" s="177" t="n">
        <f aca="false">IF(I9&gt;0,'Profit Forecast'!C$46/12,0)</f>
        <v>3683.06523611109</v>
      </c>
      <c r="J44" s="177" t="n">
        <f aca="false">IF(J9&gt;0,'Profit Forecast'!C$46/12,0)</f>
        <v>3683.06523611109</v>
      </c>
      <c r="K44" s="177" t="n">
        <f aca="false">IF(K9&gt;0,'Profit Forecast'!C$46/12,0)</f>
        <v>3683.06523611109</v>
      </c>
      <c r="L44" s="177" t="n">
        <f aca="false">IF(L9&gt;0,'Profit Forecast'!C$46/12,0)</f>
        <v>3683.06523611109</v>
      </c>
      <c r="M44" s="177" t="n">
        <f aca="false">IF(M9&gt;0,'Profit Forecast'!C$46/12,0)</f>
        <v>3683.06523611109</v>
      </c>
      <c r="N44" s="177" t="n">
        <f aca="false">IF(N9&gt;0,'Profit Forecast'!C$46/12,0)</f>
        <v>3683.06523611109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100678.608833333</v>
      </c>
      <c r="C45" s="190" t="n">
        <f aca="false">C39-C42-C44</f>
        <v>10406.3597638889</v>
      </c>
      <c r="D45" s="191" t="n">
        <f aca="false">D39-D42-D44</f>
        <v>10428.2347638889</v>
      </c>
      <c r="E45" s="191" t="n">
        <f aca="false">E39-E42-E44</f>
        <v>6368.23476388887</v>
      </c>
      <c r="F45" s="191" t="n">
        <f aca="false">F39-F42-F44</f>
        <v>5416.35976388888</v>
      </c>
      <c r="G45" s="191" t="n">
        <f aca="false">G39-G42-G44</f>
        <v>13178.0264305555</v>
      </c>
      <c r="H45" s="191" t="n">
        <f aca="false">H39-H42-H44</f>
        <v>9511.90143055555</v>
      </c>
      <c r="I45" s="191" t="n">
        <f aca="false">I39-I42-I44</f>
        <v>7627.60976388888</v>
      </c>
      <c r="J45" s="191" t="n">
        <f aca="false">J39-J42-J44</f>
        <v>10475.7347638889</v>
      </c>
      <c r="K45" s="191" t="n">
        <f aca="false">K39-K42-K44</f>
        <v>6122.48476388887</v>
      </c>
      <c r="L45" s="191" t="n">
        <f aca="false">L39-L42-L44</f>
        <v>9606.35976388888</v>
      </c>
      <c r="M45" s="191" t="n">
        <f aca="false">M39-M42-M44</f>
        <v>11801.9847638889</v>
      </c>
      <c r="N45" s="191" t="n">
        <f aca="false">N39-N42-N44</f>
        <v>-264.681902777792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3478</v>
      </c>
      <c r="D26" s="200" t="n">
        <f aca="false">SUM('Profit &amp; Loss Account'!F33:H34)</f>
        <v>3478</v>
      </c>
      <c r="E26" s="200" t="n">
        <f aca="false">SUM('Profit &amp; Loss Account'!I33:K34)</f>
        <v>3478</v>
      </c>
      <c r="F26" s="200" t="n">
        <f aca="false">SUM('Profit &amp; Loss Account'!L33:N34)</f>
        <v>3478</v>
      </c>
      <c r="G26" s="200" t="n">
        <f aca="false">SUM(C26:F26)</f>
        <v>13912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43347.975</v>
      </c>
      <c r="D29" s="203" t="n">
        <f aca="false">SUM(D7,D12,D13,D14,D15,D16,D17,D18,D19,D20,D21,D22,D24,D25,D26)</f>
        <v>41127.85</v>
      </c>
      <c r="E29" s="203" t="n">
        <f aca="false">SUM(E7,E12,E13,E14,E15,E16,E17,E18,E19,E20,E21,E22,E24,E25,E26)</f>
        <v>45124.975</v>
      </c>
      <c r="F29" s="203" t="n">
        <f aca="false">SUM(F7,F12,F13,F14,F15,F16,F17,F18,F19,F20,F21,F22,F24,F25,F26)</f>
        <v>39807.1416666667</v>
      </c>
      <c r="G29" s="203" t="n">
        <f aca="false">SUM(G7,G12,G13,G14,G15,G16,G17,G18,G19,G20,G21,G22,G24,G25,G26)</f>
        <v>169407.941666667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121615.391666666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IF(E5&lt;=0,0,MAX(0,Admin!N$4-MAX(0,E5-Admin!N$5)/2))</f>
        <v>1762.30416666687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119853.087499999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32861.2349999998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334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335</v>
      </c>
      <c r="C11" s="229"/>
      <c r="D11" s="230"/>
      <c r="E11" s="231" t="n">
        <f aca="false">SUM(E8:E10)</f>
        <v>40401.2349999998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336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337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338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339</v>
      </c>
      <c r="C16" s="239"/>
      <c r="D16" s="226" t="n">
        <f aca="false">Admin!L23</f>
        <v>0.02</v>
      </c>
      <c r="E16" s="240" t="n">
        <f aca="false">IF((E5&gt;Admin!N$23),((E5-Admin!N$23)*D16),0)</f>
        <v>1426.90783333333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340</v>
      </c>
      <c r="C18" s="241"/>
      <c r="D18" s="237"/>
      <c r="E18" s="231" t="n">
        <f aca="false">SUM(E11:E17)</f>
        <v>44090.1428333331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341</v>
      </c>
      <c r="C21" s="243"/>
      <c r="D21" s="244" t="s">
        <v>342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s="249" customFormat="true" ht="12.75" hidden="false" customHeight="true" outlineLevel="0" collapsed="false">
      <c r="A23" s="245"/>
      <c r="B23" s="220"/>
      <c r="C23" s="220"/>
      <c r="D23" s="246" t="s">
        <v>343</v>
      </c>
      <c r="E23" s="247" t="s">
        <v>344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345</v>
      </c>
      <c r="C25" s="250" t="str">
        <f aca="false">Admin!B24</f>
        <v>2027-28</v>
      </c>
      <c r="D25" s="251" t="s">
        <v>346</v>
      </c>
      <c r="E25" s="240" t="n">
        <f aca="false">E18</f>
        <v>44090.1428333331</v>
      </c>
      <c r="F25" s="214"/>
      <c r="G25" s="218"/>
    </row>
    <row r="26" customFormat="false" ht="12.75" hidden="false" customHeight="false" outlineLevel="0" collapsed="false">
      <c r="A26" s="211"/>
      <c r="B26" s="220" t="s">
        <v>347</v>
      </c>
      <c r="C26" s="220"/>
      <c r="D26" s="252" t="n">
        <f aca="false">Admin!B21</f>
        <v>46783</v>
      </c>
      <c r="E26" s="223" t="n">
        <f aca="false">E25/2</f>
        <v>22045.0714166665</v>
      </c>
      <c r="F26" s="214"/>
      <c r="G26" s="218"/>
    </row>
    <row r="27" customFormat="false" ht="12.75" hidden="false" customHeight="false" outlineLevel="0" collapsed="false">
      <c r="A27" s="211"/>
      <c r="B27" s="220" t="s">
        <v>347</v>
      </c>
      <c r="C27" s="220"/>
      <c r="D27" s="252" t="n">
        <f aca="false">Admin!B22</f>
        <v>46965</v>
      </c>
      <c r="E27" s="223" t="n">
        <f aca="false">E25/2</f>
        <v>22045.0714166665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348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349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350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351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352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353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354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355</v>
      </c>
      <c r="C2" s="269" t="s">
        <v>356</v>
      </c>
      <c r="D2" s="269" t="s">
        <v>357</v>
      </c>
      <c r="E2" s="269" t="s">
        <v>358</v>
      </c>
      <c r="F2" s="269" t="s">
        <v>359</v>
      </c>
      <c r="G2" s="269" t="s">
        <v>360</v>
      </c>
      <c r="H2" s="269" t="s">
        <v>361</v>
      </c>
      <c r="I2" s="269" t="s">
        <v>362</v>
      </c>
      <c r="J2" s="270"/>
      <c r="K2" s="268" t="s">
        <v>363</v>
      </c>
      <c r="L2" s="271"/>
    </row>
    <row r="3" s="272" customFormat="true" ht="15" hidden="false" customHeight="true" outlineLevel="0" collapsed="false">
      <c r="A3" s="267"/>
      <c r="B3" s="273" t="s">
        <v>364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365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366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367</v>
      </c>
      <c r="I1" s="288"/>
      <c r="J1" s="288"/>
      <c r="K1" s="288"/>
      <c r="L1" s="288"/>
      <c r="M1" s="287"/>
      <c r="N1" s="288" t="s">
        <v>367</v>
      </c>
      <c r="O1" s="288"/>
      <c r="P1" s="288"/>
      <c r="Q1" s="288"/>
      <c r="R1" s="288"/>
      <c r="S1" s="287"/>
      <c r="T1" s="288" t="s">
        <v>367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368</v>
      </c>
      <c r="C2" s="294"/>
      <c r="D2" s="295" t="s">
        <v>369</v>
      </c>
      <c r="E2" s="296"/>
      <c r="F2" s="295" t="s">
        <v>370</v>
      </c>
      <c r="G2" s="296"/>
      <c r="H2" s="297" t="s">
        <v>371</v>
      </c>
      <c r="I2" s="296"/>
      <c r="J2" s="295" t="s">
        <v>372</v>
      </c>
      <c r="K2" s="296"/>
      <c r="L2" s="295" t="s">
        <v>373</v>
      </c>
      <c r="M2" s="296"/>
      <c r="N2" s="297" t="s">
        <v>374</v>
      </c>
      <c r="O2" s="296"/>
      <c r="P2" s="295" t="s">
        <v>375</v>
      </c>
      <c r="Q2" s="296"/>
      <c r="R2" s="295" t="s">
        <v>373</v>
      </c>
      <c r="S2" s="296"/>
      <c r="T2" s="297" t="s">
        <v>376</v>
      </c>
      <c r="U2" s="296"/>
      <c r="V2" s="295" t="s">
        <v>377</v>
      </c>
      <c r="W2" s="296"/>
      <c r="X2" s="298" t="s">
        <v>373</v>
      </c>
      <c r="Y2" s="299"/>
      <c r="Z2" s="295" t="s">
        <v>378</v>
      </c>
      <c r="AA2" s="296"/>
      <c r="AB2" s="295" t="s">
        <v>379</v>
      </c>
      <c r="AC2" s="300"/>
      <c r="AD2" s="301" t="s">
        <v>380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381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382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383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384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385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386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387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388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389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390</v>
      </c>
      <c r="C13" s="170" t="n">
        <f aca="false">SUM(D13:O13)</f>
        <v>149271.275</v>
      </c>
      <c r="D13" s="170" t="n">
        <f aca="false">'Profit &amp; Loss Account'!C35</f>
        <v>12006.4083333333</v>
      </c>
      <c r="E13" s="170" t="n">
        <f aca="false">'Profit &amp; Loss Account'!D35</f>
        <v>11314.5333333333</v>
      </c>
      <c r="F13" s="170" t="n">
        <f aca="false">'Profit &amp; Loss Account'!E35</f>
        <v>13577.8666666667</v>
      </c>
      <c r="G13" s="170" t="n">
        <f aca="false">'Profit &amp; Loss Account'!F35</f>
        <v>13826.4083333333</v>
      </c>
      <c r="H13" s="170" t="n">
        <f aca="false">'Profit &amp; Loss Account'!G35</f>
        <v>11468.075</v>
      </c>
      <c r="I13" s="170" t="n">
        <f aca="false">'Profit &amp; Loss Account'!H35</f>
        <v>13230.8666666667</v>
      </c>
      <c r="J13" s="170" t="n">
        <f aca="false">'Profit &amp; Loss Account'!I35</f>
        <v>13685.1583333333</v>
      </c>
      <c r="K13" s="170" t="n">
        <f aca="false">'Profit &amp; Loss Account'!J35</f>
        <v>10867.0333333333</v>
      </c>
      <c r="L13" s="170" t="n">
        <f aca="false">'Profit &amp; Loss Account'!K35</f>
        <v>15890.2833333333</v>
      </c>
      <c r="M13" s="170" t="n">
        <f aca="false">'Profit &amp; Loss Account'!L35</f>
        <v>11386.4083333333</v>
      </c>
      <c r="N13" s="170" t="n">
        <f aca="false">'Profit &amp; Loss Account'!M35</f>
        <v>11060.7833333333</v>
      </c>
      <c r="O13" s="170" t="n">
        <f aca="false">'Profit &amp; Loss Account'!N35</f>
        <v>10957.45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171875.391666666</v>
      </c>
      <c r="D15" s="170" t="n">
        <f aca="false">D11-D13</f>
        <v>15089.425</v>
      </c>
      <c r="E15" s="170" t="n">
        <f aca="false">E11-E13</f>
        <v>15111.3</v>
      </c>
      <c r="F15" s="170" t="n">
        <f aca="false">F11-F13</f>
        <v>11051.3</v>
      </c>
      <c r="G15" s="170" t="n">
        <f aca="false">G11-G13</f>
        <v>13099.425</v>
      </c>
      <c r="H15" s="170" t="n">
        <f aca="false">H11-H13</f>
        <v>17861.0916666666</v>
      </c>
      <c r="I15" s="170" t="n">
        <f aca="false">I11-I13</f>
        <v>14194.9666666666</v>
      </c>
      <c r="J15" s="170" t="n">
        <f aca="false">J11-J13</f>
        <v>15310.675</v>
      </c>
      <c r="K15" s="170" t="n">
        <f aca="false">K11-K13</f>
        <v>15158.8</v>
      </c>
      <c r="L15" s="170" t="n">
        <f aca="false">L11-L13</f>
        <v>10805.55</v>
      </c>
      <c r="M15" s="170" t="n">
        <f aca="false">M11-M13</f>
        <v>17289.425</v>
      </c>
      <c r="N15" s="170" t="n">
        <f aca="false">N11-N13</f>
        <v>16485.05</v>
      </c>
      <c r="O15" s="170" t="n">
        <f aca="false">O11-O13</f>
        <v>10418.3833333333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171875.391666666</v>
      </c>
      <c r="D17" s="170" t="n">
        <f aca="false">D15+D16</f>
        <v>15089.425</v>
      </c>
      <c r="E17" s="170" t="n">
        <f aca="false">E15+E16</f>
        <v>15111.3</v>
      </c>
      <c r="F17" s="170" t="n">
        <f aca="false">F15+F16</f>
        <v>11051.3</v>
      </c>
      <c r="G17" s="170" t="n">
        <f aca="false">G15+G16</f>
        <v>13099.425</v>
      </c>
      <c r="H17" s="170" t="n">
        <f aca="false">H15+H16</f>
        <v>17861.0916666666</v>
      </c>
      <c r="I17" s="170" t="n">
        <f aca="false">I15+I16</f>
        <v>14194.9666666666</v>
      </c>
      <c r="J17" s="170" t="n">
        <f aca="false">J15+J16</f>
        <v>15310.675</v>
      </c>
      <c r="K17" s="170" t="n">
        <f aca="false">K15+K16</f>
        <v>15158.8</v>
      </c>
      <c r="L17" s="170" t="n">
        <f aca="false">L15+L16</f>
        <v>10805.55</v>
      </c>
      <c r="M17" s="170" t="n">
        <f aca="false">M15+M16</f>
        <v>17289.425</v>
      </c>
      <c r="N17" s="170" t="n">
        <f aca="false">N15+N16</f>
        <v>16485.05</v>
      </c>
      <c r="O17" s="170" t="n">
        <f aca="false">O15+O16</f>
        <v>10418.3833333333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391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389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390</v>
      </c>
      <c r="C30" s="170" t="n">
        <f aca="false">SUM(D30:O30)</f>
        <v>149271.275</v>
      </c>
      <c r="D30" s="170" t="n">
        <f aca="false">IF(C5&gt;0,IF(D5&gt;0,D13,C13/C21),0)</f>
        <v>12006.4083333333</v>
      </c>
      <c r="E30" s="170" t="n">
        <f aca="false">IF(C5&gt;0,IF(E5&gt;0,E13,C13/C21),0)</f>
        <v>11314.5333333333</v>
      </c>
      <c r="F30" s="170" t="n">
        <f aca="false">IF(C5&gt;0,IF(F5&gt;0,F13,C13/C21),0)</f>
        <v>13577.8666666667</v>
      </c>
      <c r="G30" s="170" t="n">
        <f aca="false">IF(C5&gt;0,IF(G5&gt;0,G13,C13/C21),0)</f>
        <v>13826.4083333333</v>
      </c>
      <c r="H30" s="170" t="n">
        <f aca="false">IF(C5&gt;0,IF(H5&gt;0,H13,C13/C21),0)</f>
        <v>11468.075</v>
      </c>
      <c r="I30" s="170" t="n">
        <f aca="false">IF(C5&gt;0,IF(I5&gt;0,I13,C13/C21),0)</f>
        <v>13230.8666666667</v>
      </c>
      <c r="J30" s="170" t="n">
        <f aca="false">IF(C5&gt;0,IF(J5&gt;0,J13,C13/C21),0)</f>
        <v>13685.1583333333</v>
      </c>
      <c r="K30" s="170" t="n">
        <f aca="false">IF(C5&gt;0,IF(K5&gt;0,K13,C13/C21),0)</f>
        <v>10867.0333333333</v>
      </c>
      <c r="L30" s="170" t="n">
        <f aca="false">IF(C5&gt;0,IF(L5&gt;0,L13,C13/C21),0)</f>
        <v>15890.2833333333</v>
      </c>
      <c r="M30" s="170" t="n">
        <f aca="false">IF(C5&gt;0,IF(M5&gt;0,M13,C13/C21),0)</f>
        <v>11386.4083333333</v>
      </c>
      <c r="N30" s="170" t="n">
        <f aca="false">IF(C5&gt;0,IF(N5&gt;0,N13,C13/C21),0)</f>
        <v>11060.7833333333</v>
      </c>
      <c r="O30" s="170" t="n">
        <f aca="false">IF(C5&gt;0,IF(O5&gt;0,O13,C13/C21),0)</f>
        <v>10957.45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171875.391666666</v>
      </c>
      <c r="D32" s="170" t="n">
        <f aca="false">D28-D30</f>
        <v>15089.425</v>
      </c>
      <c r="E32" s="170" t="n">
        <f aca="false">E28-E30</f>
        <v>15111.3</v>
      </c>
      <c r="F32" s="170" t="n">
        <f aca="false">F28-F30</f>
        <v>11051.3</v>
      </c>
      <c r="G32" s="170" t="n">
        <f aca="false">G28-G30</f>
        <v>13099.425</v>
      </c>
      <c r="H32" s="170" t="n">
        <f aca="false">H28-H30</f>
        <v>17861.0916666666</v>
      </c>
      <c r="I32" s="170" t="n">
        <f aca="false">I28-I30</f>
        <v>14194.9666666666</v>
      </c>
      <c r="J32" s="170" t="n">
        <f aca="false">J28-J30</f>
        <v>15310.675</v>
      </c>
      <c r="K32" s="170" t="n">
        <f aca="false">K28-K30</f>
        <v>15158.8</v>
      </c>
      <c r="L32" s="170" t="n">
        <f aca="false">L28-L30</f>
        <v>10805.55</v>
      </c>
      <c r="M32" s="170" t="n">
        <f aca="false">M28-M30</f>
        <v>17289.425</v>
      </c>
      <c r="N32" s="170" t="n">
        <f aca="false">N28-N30</f>
        <v>16485.05</v>
      </c>
      <c r="O32" s="170" t="n">
        <f aca="false">O28-O30</f>
        <v>10418.3833333333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171875.391666666</v>
      </c>
      <c r="D34" s="170" t="n">
        <f aca="false">D32+D33</f>
        <v>15089.425</v>
      </c>
      <c r="E34" s="170" t="n">
        <f aca="false">E32+E33</f>
        <v>15111.3</v>
      </c>
      <c r="F34" s="170" t="n">
        <f aca="false">F32+F33</f>
        <v>11051.3</v>
      </c>
      <c r="G34" s="170" t="n">
        <f aca="false">G32+G33</f>
        <v>13099.425</v>
      </c>
      <c r="H34" s="170" t="n">
        <f aca="false">H32+H33</f>
        <v>17861.0916666666</v>
      </c>
      <c r="I34" s="170" t="n">
        <f aca="false">I32+I33</f>
        <v>14194.9666666666</v>
      </c>
      <c r="J34" s="170" t="n">
        <f aca="false">J32+J33</f>
        <v>15310.675</v>
      </c>
      <c r="K34" s="170" t="n">
        <f aca="false">K32+K33</f>
        <v>15158.8</v>
      </c>
      <c r="L34" s="170" t="n">
        <f aca="false">L32+L33</f>
        <v>10805.55</v>
      </c>
      <c r="M34" s="170" t="n">
        <f aca="false">M32+M33</f>
        <v>17289.425</v>
      </c>
      <c r="N34" s="170" t="n">
        <f aca="false">N32+N33</f>
        <v>16485.05</v>
      </c>
      <c r="O34" s="170" t="n">
        <f aca="false">O32+O33</f>
        <v>10418.3833333333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392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393</v>
      </c>
      <c r="C37" s="339" t="n">
        <f aca="false">'Profit &amp; Loss Account'!B33+'Profit &amp; Loss Account'!B34</f>
        <v>13912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394</v>
      </c>
      <c r="C38" s="339" t="n">
        <f aca="false">[1]Schedule!$Q$1+[1]Schedule!$R$1+[1]Schedule!$Y$1-[1]Schedule!$Z$1</f>
        <v>64000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395</v>
      </c>
      <c r="C39" s="339" t="n">
        <f aca="false">C34+C37-C38</f>
        <v>121787.391666666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396</v>
      </c>
      <c r="C40" s="339" t="n">
        <f aca="false">IF(C39&lt;=0,0,MAX(0,Admin!N$4-MAX(0,C39-Admin!N$5)/2))</f>
        <v>1676.30416666687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397</v>
      </c>
      <c r="C41" s="339" t="n">
        <f aca="false">IF((C39&gt;C40),(C39-C40),0)</f>
        <v>120111.087499999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398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399</v>
      </c>
      <c r="C43" s="339" t="n">
        <f aca="false">IF(C41&gt;Admin!M$11,(MIN(C41,Admin!N$13)-Admin!M$11)*Admin!N$7,0)</f>
        <v>32964.4349999998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400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401</v>
      </c>
      <c r="C45" s="339" t="n">
        <f aca="false">IF(C39&gt;Admin!N$20,IF(C39&lt;Admin!N$23,(C39-Admin!N$20)*Admin!L$20,(Admin!N$23-Admin!N$20)*Admin!L$20),0)+IF(C39&gt;Admin!N$23,(C39-Admin!N$23)*Admin!L$23,0)</f>
        <v>3692.34783333333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402</v>
      </c>
      <c r="C46" s="341" t="n">
        <f aca="false">C42+C43+C44+C45</f>
        <v>44196.7828333331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403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404</v>
      </c>
      <c r="E2" s="348"/>
      <c r="F2" s="348"/>
      <c r="G2" s="349" t="str">
        <f aca="false">B23</f>
        <v>2026-27</v>
      </c>
      <c r="H2" s="63"/>
      <c r="I2" s="63"/>
      <c r="J2" s="350" t="s">
        <v>405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406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407</v>
      </c>
      <c r="E5" s="355"/>
      <c r="F5" s="355"/>
      <c r="G5" s="356" t="n">
        <v>0.14</v>
      </c>
      <c r="H5" s="63"/>
      <c r="I5" s="355" t="s">
        <v>408</v>
      </c>
      <c r="J5" s="355"/>
      <c r="K5" s="355"/>
      <c r="L5" s="355"/>
      <c r="M5" s="355"/>
      <c r="N5" s="358" t="n">
        <v>100000</v>
      </c>
      <c r="O5" s="352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409</v>
      </c>
      <c r="J6" s="355"/>
      <c r="K6" s="355"/>
      <c r="L6" s="355"/>
      <c r="M6" s="355"/>
      <c r="N6" s="356" t="n">
        <v>0.2</v>
      </c>
      <c r="O6" s="352" t="s">
        <v>410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411</v>
      </c>
      <c r="E7" s="355"/>
      <c r="F7" s="355"/>
      <c r="G7" s="352"/>
      <c r="H7" s="63"/>
      <c r="I7" s="355" t="s">
        <v>412</v>
      </c>
      <c r="J7" s="355"/>
      <c r="K7" s="355"/>
      <c r="L7" s="355"/>
      <c r="M7" s="355"/>
      <c r="N7" s="356" t="n">
        <v>0.4</v>
      </c>
      <c r="O7" s="352" t="s">
        <v>410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8"/>
      <c r="F8" s="63"/>
      <c r="G8" s="358"/>
      <c r="H8" s="63"/>
      <c r="I8" s="355" t="s">
        <v>413</v>
      </c>
      <c r="J8" s="355"/>
      <c r="K8" s="355"/>
      <c r="L8" s="355"/>
      <c r="M8" s="355"/>
      <c r="N8" s="356" t="n">
        <v>0.45</v>
      </c>
      <c r="O8" s="352" t="s">
        <v>410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414</v>
      </c>
      <c r="J9" s="355"/>
      <c r="K9" s="355"/>
      <c r="L9" s="359" t="s">
        <v>415</v>
      </c>
      <c r="M9" s="359" t="s">
        <v>416</v>
      </c>
      <c r="N9" s="360" t="s">
        <v>417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418</v>
      </c>
      <c r="E11" s="348"/>
      <c r="F11" s="348"/>
      <c r="G11" s="352" t="s">
        <v>410</v>
      </c>
      <c r="H11" s="63"/>
      <c r="I11" s="63" t="s">
        <v>419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420</v>
      </c>
      <c r="J12" s="63"/>
      <c r="K12" s="361" t="n">
        <v>0.4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421</v>
      </c>
      <c r="E13" s="355"/>
      <c r="F13" s="355"/>
      <c r="G13" s="356" t="n">
        <v>0</v>
      </c>
      <c r="H13" s="63"/>
      <c r="I13" s="63" t="s">
        <v>422</v>
      </c>
      <c r="J13" s="63"/>
      <c r="K13" s="361" t="n">
        <v>0.45</v>
      </c>
      <c r="L13" s="352" t="n">
        <v>125141</v>
      </c>
      <c r="M13" s="63"/>
      <c r="N13" s="358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423</v>
      </c>
      <c r="E14" s="355"/>
      <c r="F14" s="355"/>
      <c r="G14" s="356" t="n">
        <v>0.1</v>
      </c>
      <c r="H14" s="63"/>
      <c r="I14" s="348" t="s">
        <v>424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425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426</v>
      </c>
      <c r="E16" s="355"/>
      <c r="F16" s="355"/>
      <c r="G16" s="356" t="n">
        <v>0.33</v>
      </c>
      <c r="H16" s="63"/>
      <c r="I16" s="355" t="s">
        <v>427</v>
      </c>
      <c r="J16" s="355"/>
      <c r="K16" s="355"/>
      <c r="L16" s="362" t="n">
        <v>0</v>
      </c>
      <c r="M16" s="63" t="s">
        <v>428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429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430</v>
      </c>
      <c r="E19" s="348"/>
      <c r="F19" s="352" t="s">
        <v>431</v>
      </c>
      <c r="G19" s="352" t="s">
        <v>432</v>
      </c>
      <c r="H19" s="63"/>
      <c r="I19" s="364" t="s">
        <v>433</v>
      </c>
      <c r="J19" s="364"/>
      <c r="K19" s="364"/>
      <c r="L19" s="63"/>
      <c r="M19" s="365" t="s">
        <v>434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435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436</v>
      </c>
      <c r="E22" s="63"/>
      <c r="F22" s="358" t="n">
        <v>10001</v>
      </c>
      <c r="G22" s="362" t="n">
        <v>0.25</v>
      </c>
      <c r="H22" s="63"/>
      <c r="I22" s="364" t="s">
        <v>437</v>
      </c>
      <c r="J22" s="364"/>
      <c r="K22" s="364"/>
      <c r="L22" s="63"/>
      <c r="M22" s="365" t="s">
        <v>438</v>
      </c>
      <c r="N22" s="63"/>
      <c r="O22" s="63"/>
    </row>
    <row r="23" customFormat="false" ht="12" hidden="false" customHeight="true" outlineLevel="0" collapsed="false">
      <c r="A23" s="63"/>
      <c r="B23" s="354" t="s">
        <v>439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440</v>
      </c>
      <c r="C24" s="63"/>
      <c r="D24" s="348" t="s">
        <v>430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441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442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