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Details" sheetId="1" state="visible" r:id="rId3"/>
    <sheet name="SE Short" sheetId="2" state="visible" r:id="rId4"/>
    <sheet name="SE Full" sheetId="3" state="visible" r:id="rId5"/>
    <sheet name="Profit &amp; Loss Account" sheetId="4" state="visible" r:id="rId6"/>
    <sheet name="VitalTax" sheetId="5" state="visible" r:id="rId7"/>
    <sheet name="Income Tax" sheetId="6" state="visible" r:id="rId8"/>
    <sheet name="Wagesinterface" sheetId="7" state="visible" r:id="rId9"/>
    <sheet name="StockControl" sheetId="8" state="visible" r:id="rId10"/>
    <sheet name="Profit Forecast" sheetId="9" state="visible" r:id="rId11"/>
    <sheet name="Admin" sheetId="10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function="false" hidden="false" localSheetId="3" name="_xlnm.Print_Titles" vbProcedure="false">'Profit &amp; Loss Account'!$2:$4</definedName>
    <definedName function="false" hidden="false" localSheetId="4" name="_xlnm.Print_Titles" vbProcedure="false">VitalTax!$2:$4</definedName>
    <definedName function="false" hidden="false" name="Annual_ConsolidatedExpenses" vbProcedure="false">VitalTax!$G$29</definedName>
    <definedName function="false" hidden="false" name="Annual_ExpenseAdminCosts" vbProcedure="false">VitalTax!$G$15</definedName>
    <definedName function="false" hidden="false" name="Annual_ExpenseAdminCostsDisallowable" vbProcedure="false">VitalTax!$G$42</definedName>
    <definedName function="false" hidden="false" name="Annual_ExpenseAdvertisingCosts" vbProcedure="false">VitalTax!$G$18</definedName>
    <definedName function="false" hidden="false" name="Annual_ExpenseAdvertisingCostsDisallowable" vbProcedure="false">VitalTax!$G$43</definedName>
    <definedName function="false" hidden="false" name="Annual_ExpenseBadDebt" vbProcedure="false">VitalTax!$G$20</definedName>
    <definedName function="false" hidden="false" name="Annual_ExpenseBadDebtDisallowable" vbProcedure="false">VitalTax!$G$47</definedName>
    <definedName function="false" hidden="false" name="Annual_ExpenseBusinessEntertainmentCosts" vbProcedure="false">VitalTax!$G$25</definedName>
    <definedName function="false" hidden="false" name="Annual_ExpenseBusinessEntertainmentCostsDisallowable" vbProcedure="false">VitalTax!$G$44</definedName>
    <definedName function="false" hidden="false" name="Annual_ExpenseCisPaymentsToSubcontractors" vbProcedure="false">VitalTax!$G$24</definedName>
    <definedName function="false" hidden="false" name="Annual_ExpenseCisPaymentsToSubcontractorsDisallowable" vbProcedure="false">VitalTax!$G$37</definedName>
    <definedName function="false" hidden="false" name="Annual_ExpenseCostOfGoodsBought" vbProcedure="false">VitalTax!$G$7</definedName>
    <definedName function="false" hidden="false" name="Annual_ExpenseCostOfGoodsBoughtDisallowable" vbProcedure="false">VitalTax!$G$36</definedName>
    <definedName function="false" hidden="false" name="Annual_ExpenseDepreciation" vbProcedure="false">VitalTax!$G$26</definedName>
    <definedName function="false" hidden="false" name="Annual_ExpenseDepreciationDisallowable" vbProcedure="false">VitalTax!$G$49</definedName>
    <definedName function="false" hidden="false" name="Annual_ExpenseFinancialCharges" vbProcedure="false">VitalTax!$G$16</definedName>
    <definedName function="false" hidden="false" name="Annual_ExpenseFinancialChargesDisallowable" vbProcedure="false">VitalTax!$G$46</definedName>
    <definedName function="false" hidden="false" name="Annual_ExpenseInterest" vbProcedure="false">VitalTax!$G$21</definedName>
    <definedName function="false" hidden="false" name="Annual_ExpenseInterestDisallowable" vbProcedure="false">VitalTax!$G$45</definedName>
    <definedName function="false" hidden="false" name="Annual_ExpenseMaintenanceCosts" vbProcedure="false">VitalTax!$G$14</definedName>
    <definedName function="false" hidden="false" name="Annual_ExpenseMaintenanceCostsDisallowable" vbProcedure="false">VitalTax!$G$41</definedName>
    <definedName function="false" hidden="false" name="Annual_ExpenseOther" vbProcedure="false">VitalTax!$G$22</definedName>
    <definedName function="false" hidden="false" name="Annual_ExpenseOtherDisallowable" vbProcedure="false">VitalTax!$G$50</definedName>
    <definedName function="false" hidden="false" name="Annual_ExpensePremisesRunningCosts" vbProcedure="false">VitalTax!$G$13</definedName>
    <definedName function="false" hidden="false" name="Annual_ExpensePremisesRunningCostsDisallowable" vbProcedure="false">VitalTax!$G$40</definedName>
    <definedName function="false" hidden="false" name="Annual_ExpenseProfessionalFees" vbProcedure="false">VitalTax!$G$19</definedName>
    <definedName function="false" hidden="false" name="Annual_ExpenseProfessionalFeesDisallowable" vbProcedure="false">VitalTax!$G$48</definedName>
    <definedName function="false" hidden="false" name="Annual_ExpenseStaffCosts" vbProcedure="false">VitalTax!$G$12</definedName>
    <definedName function="false" hidden="false" name="Annual_ExpenseStaffCostsDisallowable" vbProcedure="false">VitalTax!$G$38</definedName>
    <definedName function="false" hidden="false" name="Annual_ExpenseTravelCosts" vbProcedure="false">VitalTax!$G$17</definedName>
    <definedName function="false" hidden="false" name="Annual_ExpenseTravelCostsDisallowable" vbProcedure="false">VitalTax!$G$39</definedName>
    <definedName function="false" hidden="false" name="Annual_IncomeOther" vbProcedure="false">VitalTax!$G$6</definedName>
    <definedName function="false" hidden="false" name="Annual_IncomeTurnover" vbProcedure="false">VitalTax!$G$5</definedName>
    <definedName function="false" hidden="false" name="Q1_ConsolidatedExpenses" vbProcedure="false">VitalTax!$C$29</definedName>
    <definedName function="false" hidden="false" name="Q1_ExpenseAdminCosts" vbProcedure="false">VitalTax!$C$15</definedName>
    <definedName function="false" hidden="false" name="Q1_ExpenseAdminCostsDisallowable" vbProcedure="false">VitalTax!$C$42</definedName>
    <definedName function="false" hidden="false" name="Q1_ExpenseAdvertisingCosts" vbProcedure="false">VitalTax!$C$18</definedName>
    <definedName function="false" hidden="false" name="Q1_ExpenseAdvertisingCostsDisallowable" vbProcedure="false">VitalTax!$C$43</definedName>
    <definedName function="false" hidden="false" name="Q1_ExpenseBadDebt" vbProcedure="false">VitalTax!$C$20</definedName>
    <definedName function="false" hidden="false" name="Q1_ExpenseBadDebtDisallowable" vbProcedure="false">VitalTax!$C$47</definedName>
    <definedName function="false" hidden="false" name="Q1_ExpenseBusinessEntertainmentCosts" vbProcedure="false">VitalTax!$C$25</definedName>
    <definedName function="false" hidden="false" name="Q1_ExpenseBusinessEntertainmentCostsDisallowable" vbProcedure="false">VitalTax!$C$44</definedName>
    <definedName function="false" hidden="false" name="Q1_ExpenseCisPaymentsToSubcontractors" vbProcedure="false">VitalTax!$C$24</definedName>
    <definedName function="false" hidden="false" name="Q1_ExpenseCisPaymentsToSubcontractorsDisallowable" vbProcedure="false">VitalTax!$C$37</definedName>
    <definedName function="false" hidden="false" name="Q1_ExpenseCostOfGoodsBought" vbProcedure="false">VitalTax!$C$7</definedName>
    <definedName function="false" hidden="false" name="Q1_ExpenseCostOfGoodsBoughtDisallowable" vbProcedure="false">VitalTax!$C$36</definedName>
    <definedName function="false" hidden="false" name="Q1_ExpenseDepreciation" vbProcedure="false">VitalTax!$C$26</definedName>
    <definedName function="false" hidden="false" name="Q1_ExpenseDepreciationDisallowable" vbProcedure="false">VitalTax!$C$49</definedName>
    <definedName function="false" hidden="false" name="Q1_ExpenseFinancialCharges" vbProcedure="false">VitalTax!$C$16</definedName>
    <definedName function="false" hidden="false" name="Q1_ExpenseFinancialChargesDisallowable" vbProcedure="false">VitalTax!$C$46</definedName>
    <definedName function="false" hidden="false" name="Q1_ExpenseInterest" vbProcedure="false">VitalTax!$C$21</definedName>
    <definedName function="false" hidden="false" name="Q1_ExpenseInterestDisallowable" vbProcedure="false">VitalTax!$C$45</definedName>
    <definedName function="false" hidden="false" name="Q1_ExpenseMaintenanceCosts" vbProcedure="false">VitalTax!$C$14</definedName>
    <definedName function="false" hidden="false" name="Q1_ExpenseMaintenanceCostsDisallowable" vbProcedure="false">VitalTax!$C$41</definedName>
    <definedName function="false" hidden="false" name="Q1_ExpenseOther" vbProcedure="false">VitalTax!$C$22</definedName>
    <definedName function="false" hidden="false" name="Q1_ExpenseOtherDisallowable" vbProcedure="false">VitalTax!$C$50</definedName>
    <definedName function="false" hidden="false" name="Q1_ExpensePremisesRunningCosts" vbProcedure="false">VitalTax!$C$13</definedName>
    <definedName function="false" hidden="false" name="Q1_ExpensePremisesRunningCostsDisallowable" vbProcedure="false">VitalTax!$C$40</definedName>
    <definedName function="false" hidden="false" name="Q1_ExpenseProfessionalFees" vbProcedure="false">VitalTax!$C$19</definedName>
    <definedName function="false" hidden="false" name="Q1_ExpenseProfessionalFeesDisallowable" vbProcedure="false">VitalTax!$C$48</definedName>
    <definedName function="false" hidden="false" name="Q1_ExpenseStaffCosts" vbProcedure="false">VitalTax!$C$12</definedName>
    <definedName function="false" hidden="false" name="Q1_ExpenseStaffCostsDisallowable" vbProcedure="false">VitalTax!$C$38</definedName>
    <definedName function="false" hidden="false" name="Q1_ExpenseTravelCosts" vbProcedure="false">VitalTax!$C$17</definedName>
    <definedName function="false" hidden="false" name="Q1_ExpenseTravelCostsDisallowable" vbProcedure="false">VitalTax!$C$39</definedName>
    <definedName function="false" hidden="false" name="Q1_IncomeOther" vbProcedure="false">VitalTax!$C$6</definedName>
    <definedName function="false" hidden="false" name="Q1_IncomeTurnover" vbProcedure="false">VitalTax!$C$5</definedName>
    <definedName function="false" hidden="false" name="Q2_ConsolidatedExpenses" vbProcedure="false">VitalTax!$D$29</definedName>
    <definedName function="false" hidden="false" name="Q2_ExpenseAdminCosts" vbProcedure="false">VitalTax!$D$15</definedName>
    <definedName function="false" hidden="false" name="Q2_ExpenseAdminCostsDisallowable" vbProcedure="false">VitalTax!$D$42</definedName>
    <definedName function="false" hidden="false" name="Q2_ExpenseAdvertisingCosts" vbProcedure="false">VitalTax!$D$18</definedName>
    <definedName function="false" hidden="false" name="Q2_ExpenseAdvertisingCostsDisallowable" vbProcedure="false">VitalTax!$D$43</definedName>
    <definedName function="false" hidden="false" name="Q2_ExpenseBadDebt" vbProcedure="false">VitalTax!$D$20</definedName>
    <definedName function="false" hidden="false" name="Q2_ExpenseBadDebtDisallowable" vbProcedure="false">VitalTax!$D$47</definedName>
    <definedName function="false" hidden="false" name="Q2_ExpenseBusinessEntertainmentCosts" vbProcedure="false">VitalTax!$D$25</definedName>
    <definedName function="false" hidden="false" name="Q2_ExpenseBusinessEntertainmentCostsDisallowable" vbProcedure="false">VitalTax!$D$44</definedName>
    <definedName function="false" hidden="false" name="Q2_ExpenseCisPaymentsToSubcontractors" vbProcedure="false">VitalTax!$D$24</definedName>
    <definedName function="false" hidden="false" name="Q2_ExpenseCisPaymentsToSubcontractorsDisallowable" vbProcedure="false">VitalTax!$D$37</definedName>
    <definedName function="false" hidden="false" name="Q2_ExpenseCostOfGoodsBought" vbProcedure="false">VitalTax!$D$7</definedName>
    <definedName function="false" hidden="false" name="Q2_ExpenseCostOfGoodsBoughtDisallowable" vbProcedure="false">VitalTax!$D$36</definedName>
    <definedName function="false" hidden="false" name="Q2_ExpenseDepreciation" vbProcedure="false">VitalTax!$D$26</definedName>
    <definedName function="false" hidden="false" name="Q2_ExpenseDepreciationDisallowable" vbProcedure="false">VitalTax!$D$49</definedName>
    <definedName function="false" hidden="false" name="Q2_ExpenseFinancialCharges" vbProcedure="false">VitalTax!$D$16</definedName>
    <definedName function="false" hidden="false" name="Q2_ExpenseFinancialChargesDisallowable" vbProcedure="false">VitalTax!$D$46</definedName>
    <definedName function="false" hidden="false" name="Q2_ExpenseInterest" vbProcedure="false">VitalTax!$D$21</definedName>
    <definedName function="false" hidden="false" name="Q2_ExpenseInterestDisallowable" vbProcedure="false">VitalTax!$D$45</definedName>
    <definedName function="false" hidden="false" name="Q2_ExpenseMaintenanceCosts" vbProcedure="false">VitalTax!$D$14</definedName>
    <definedName function="false" hidden="false" name="Q2_ExpenseMaintenanceCostsDisallowable" vbProcedure="false">VitalTax!$D$41</definedName>
    <definedName function="false" hidden="false" name="Q2_ExpenseOther" vbProcedure="false">VitalTax!$D$22</definedName>
    <definedName function="false" hidden="false" name="Q2_ExpenseOtherDisallowable" vbProcedure="false">VitalTax!$D$50</definedName>
    <definedName function="false" hidden="false" name="Q2_ExpensePremisesRunningCosts" vbProcedure="false">VitalTax!$D$13</definedName>
    <definedName function="false" hidden="false" name="Q2_ExpensePremisesRunningCostsDisallowable" vbProcedure="false">VitalTax!$D$40</definedName>
    <definedName function="false" hidden="false" name="Q2_ExpenseProfessionalFees" vbProcedure="false">VitalTax!$D$19</definedName>
    <definedName function="false" hidden="false" name="Q2_ExpenseProfessionalFeesDisallowable" vbProcedure="false">VitalTax!$D$48</definedName>
    <definedName function="false" hidden="false" name="Q2_ExpenseStaffCosts" vbProcedure="false">VitalTax!$D$12</definedName>
    <definedName function="false" hidden="false" name="Q2_ExpenseStaffCostsDisallowable" vbProcedure="false">VitalTax!$D$38</definedName>
    <definedName function="false" hidden="false" name="Q2_ExpenseTravelCosts" vbProcedure="false">VitalTax!$D$17</definedName>
    <definedName function="false" hidden="false" name="Q2_ExpenseTravelCostsDisallowable" vbProcedure="false">VitalTax!$D$39</definedName>
    <definedName function="false" hidden="false" name="Q2_IncomeOther" vbProcedure="false">VitalTax!$D$6</definedName>
    <definedName function="false" hidden="false" name="Q2_IncomeTurnover" vbProcedure="false">VitalTax!$D$5</definedName>
    <definedName function="false" hidden="false" name="Q3_ConsolidatedExpenses" vbProcedure="false">VitalTax!$E$29</definedName>
    <definedName function="false" hidden="false" name="Q3_ExpenseAdminCosts" vbProcedure="false">VitalTax!$E$15</definedName>
    <definedName function="false" hidden="false" name="Q3_ExpenseAdminCostsDisallowable" vbProcedure="false">VitalTax!$E$42</definedName>
    <definedName function="false" hidden="false" name="Q3_ExpenseAdvertisingCosts" vbProcedure="false">VitalTax!$E$18</definedName>
    <definedName function="false" hidden="false" name="Q3_ExpenseAdvertisingCostsDisallowable" vbProcedure="false">VitalTax!$E$43</definedName>
    <definedName function="false" hidden="false" name="Q3_ExpenseBadDebt" vbProcedure="false">VitalTax!$E$20</definedName>
    <definedName function="false" hidden="false" name="Q3_ExpenseBadDebtDisallowable" vbProcedure="false">VitalTax!$E$47</definedName>
    <definedName function="false" hidden="false" name="Q3_ExpenseBusinessEntertainmentCosts" vbProcedure="false">VitalTax!$E$25</definedName>
    <definedName function="false" hidden="false" name="Q3_ExpenseBusinessEntertainmentCostsDisallowable" vbProcedure="false">VitalTax!$E$44</definedName>
    <definedName function="false" hidden="false" name="Q3_ExpenseCisPaymentsToSubcontractors" vbProcedure="false">VitalTax!$E$24</definedName>
    <definedName function="false" hidden="false" name="Q3_ExpenseCisPaymentsToSubcontractorsDisallowable" vbProcedure="false">VitalTax!$E$37</definedName>
    <definedName function="false" hidden="false" name="Q3_ExpenseCostOfGoodsBought" vbProcedure="false">VitalTax!$E$7</definedName>
    <definedName function="false" hidden="false" name="Q3_ExpenseCostOfGoodsBoughtDisallowable" vbProcedure="false">VitalTax!$E$36</definedName>
    <definedName function="false" hidden="false" name="Q3_ExpenseDepreciation" vbProcedure="false">VitalTax!$E$26</definedName>
    <definedName function="false" hidden="false" name="Q3_ExpenseDepreciationDisallowable" vbProcedure="false">VitalTax!$E$49</definedName>
    <definedName function="false" hidden="false" name="Q3_ExpenseFinancialCharges" vbProcedure="false">VitalTax!$E$16</definedName>
    <definedName function="false" hidden="false" name="Q3_ExpenseFinancialChargesDisallowable" vbProcedure="false">VitalTax!$E$46</definedName>
    <definedName function="false" hidden="false" name="Q3_ExpenseInterest" vbProcedure="false">VitalTax!$E$21</definedName>
    <definedName function="false" hidden="false" name="Q3_ExpenseInterestDisallowable" vbProcedure="false">VitalTax!$E$45</definedName>
    <definedName function="false" hidden="false" name="Q3_ExpenseMaintenanceCosts" vbProcedure="false">VitalTax!$E$14</definedName>
    <definedName function="false" hidden="false" name="Q3_ExpenseMaintenanceCostsDisallowable" vbProcedure="false">VitalTax!$E$41</definedName>
    <definedName function="false" hidden="false" name="Q3_ExpenseOther" vbProcedure="false">VitalTax!$E$22</definedName>
    <definedName function="false" hidden="false" name="Q3_ExpenseOtherDisallowable" vbProcedure="false">VitalTax!$E$50</definedName>
    <definedName function="false" hidden="false" name="Q3_ExpensePremisesRunningCosts" vbProcedure="false">VitalTax!$E$13</definedName>
    <definedName function="false" hidden="false" name="Q3_ExpensePremisesRunningCostsDisallowable" vbProcedure="false">VitalTax!$E$40</definedName>
    <definedName function="false" hidden="false" name="Q3_ExpenseProfessionalFees" vbProcedure="false">VitalTax!$E$19</definedName>
    <definedName function="false" hidden="false" name="Q3_ExpenseProfessionalFeesDisallowable" vbProcedure="false">VitalTax!$E$48</definedName>
    <definedName function="false" hidden="false" name="Q3_ExpenseStaffCosts" vbProcedure="false">VitalTax!$E$12</definedName>
    <definedName function="false" hidden="false" name="Q3_ExpenseStaffCostsDisallowable" vbProcedure="false">VitalTax!$E$38</definedName>
    <definedName function="false" hidden="false" name="Q3_ExpenseTravelCosts" vbProcedure="false">VitalTax!$E$17</definedName>
    <definedName function="false" hidden="false" name="Q3_ExpenseTravelCostsDisallowable" vbProcedure="false">VitalTax!$E$39</definedName>
    <definedName function="false" hidden="false" name="Q3_IncomeOther" vbProcedure="false">VitalTax!$E$6</definedName>
    <definedName function="false" hidden="false" name="Q3_IncomeTurnover" vbProcedure="false">VitalTax!$E$5</definedName>
    <definedName function="false" hidden="false" name="Q4_ConsolidatedExpenses" vbProcedure="false">VitalTax!$F$29</definedName>
    <definedName function="false" hidden="false" name="Q4_ExpenseAdminCosts" vbProcedure="false">VitalTax!$F$15</definedName>
    <definedName function="false" hidden="false" name="Q4_ExpenseAdminCostsDisallowable" vbProcedure="false">VitalTax!$F$42</definedName>
    <definedName function="false" hidden="false" name="Q4_ExpenseAdvertisingCosts" vbProcedure="false">VitalTax!$F$18</definedName>
    <definedName function="false" hidden="false" name="Q4_ExpenseAdvertisingCostsDisallowable" vbProcedure="false">VitalTax!$F$43</definedName>
    <definedName function="false" hidden="false" name="Q4_ExpenseBadDebt" vbProcedure="false">VitalTax!$F$20</definedName>
    <definedName function="false" hidden="false" name="Q4_ExpenseBadDebtDisallowable" vbProcedure="false">VitalTax!$F$47</definedName>
    <definedName function="false" hidden="false" name="Q4_ExpenseBusinessEntertainmentCosts" vbProcedure="false">VitalTax!$F$25</definedName>
    <definedName function="false" hidden="false" name="Q4_ExpenseBusinessEntertainmentCostsDisallowable" vbProcedure="false">VitalTax!$F$44</definedName>
    <definedName function="false" hidden="false" name="Q4_ExpenseCisPaymentsToSubcontractors" vbProcedure="false">VitalTax!$F$24</definedName>
    <definedName function="false" hidden="false" name="Q4_ExpenseCisPaymentsToSubcontractorsDisallowable" vbProcedure="false">VitalTax!$F$37</definedName>
    <definedName function="false" hidden="false" name="Q4_ExpenseCostOfGoodsBought" vbProcedure="false">VitalTax!$F$7</definedName>
    <definedName function="false" hidden="false" name="Q4_ExpenseCostOfGoodsBoughtDisallowable" vbProcedure="false">VitalTax!$F$36</definedName>
    <definedName function="false" hidden="false" name="Q4_ExpenseDepreciation" vbProcedure="false">VitalTax!$F$26</definedName>
    <definedName function="false" hidden="false" name="Q4_ExpenseDepreciationDisallowable" vbProcedure="false">VitalTax!$F$49</definedName>
    <definedName function="false" hidden="false" name="Q4_ExpenseFinancialCharges" vbProcedure="false">VitalTax!$F$16</definedName>
    <definedName function="false" hidden="false" name="Q4_ExpenseFinancialChargesDisallowable" vbProcedure="false">VitalTax!$F$46</definedName>
    <definedName function="false" hidden="false" name="Q4_ExpenseInterest" vbProcedure="false">VitalTax!$F$21</definedName>
    <definedName function="false" hidden="false" name="Q4_ExpenseInterestDisallowable" vbProcedure="false">VitalTax!$F$45</definedName>
    <definedName function="false" hidden="false" name="Q4_ExpenseMaintenanceCosts" vbProcedure="false">VitalTax!$F$14</definedName>
    <definedName function="false" hidden="false" name="Q4_ExpenseMaintenanceCostsDisallowable" vbProcedure="false">VitalTax!$F$41</definedName>
    <definedName function="false" hidden="false" name="Q4_ExpenseOther" vbProcedure="false">VitalTax!$F$22</definedName>
    <definedName function="false" hidden="false" name="Q4_ExpenseOtherDisallowable" vbProcedure="false">VitalTax!$F$50</definedName>
    <definedName function="false" hidden="false" name="Q4_ExpensePremisesRunningCosts" vbProcedure="false">VitalTax!$F$13</definedName>
    <definedName function="false" hidden="false" name="Q4_ExpensePremisesRunningCostsDisallowable" vbProcedure="false">VitalTax!$F$40</definedName>
    <definedName function="false" hidden="false" name="Q4_ExpenseProfessionalFees" vbProcedure="false">VitalTax!$F$19</definedName>
    <definedName function="false" hidden="false" name="Q4_ExpenseProfessionalFeesDisallowable" vbProcedure="false">VitalTax!$F$48</definedName>
    <definedName function="false" hidden="false" name="Q4_ExpenseStaffCosts" vbProcedure="false">VitalTax!$F$12</definedName>
    <definedName function="false" hidden="false" name="Q4_ExpenseStaffCostsDisallowable" vbProcedure="false">VitalTax!$F$38</definedName>
    <definedName function="false" hidden="false" name="Q4_ExpenseTravelCosts" vbProcedure="false">VitalTax!$F$17</definedName>
    <definedName function="false" hidden="false" name="Q4_ExpenseTravelCostsDisallowable" vbProcedure="false">VitalTax!$F$39</definedName>
    <definedName function="false" hidden="false" name="Q4_IncomeOther" vbProcedure="false">VitalTax!$F$6</definedName>
    <definedName function="false" hidden="false" name="Q4_IncomeTurnover" vbProcedure="false">VitalTax!$F$5</definedName>
    <definedName function="false" hidden="false" localSheetId="3" name="_xlnm_Print_Titles" vbProcedure="false">'Profit &amp; Loss Account'!$2:$4</definedName>
    <definedName function="false" hidden="false" localSheetId="4" name="_xlnm_Print_Titles" vbProcedure="false">VitalTax!$2:$4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<sst xmlns="http://schemas.openxmlformats.org/spreadsheetml/2006/main" count="841" uniqueCount="458">
  <si>
    <r>
      <rPr>
        <b val="true"/>
        <sz val="9"/>
        <rFont val="Arial"/>
        <family val="2"/>
        <charset val="1"/>
      </rPr>
      <t xml:space="preserve">ENTER YOUR BUSINESS DETAILS </t>
    </r>
    <r>
      <rPr>
        <i val="true"/>
        <sz val="9"/>
        <rFont val="Arial"/>
        <family val="2"/>
        <charset val="1"/>
      </rPr>
      <t xml:space="preserve">- which are then transferred to the Self-employment Tax Return</t>
    </r>
  </si>
  <si>
    <t xml:space="preserve">Your name</t>
  </si>
  <si>
    <t xml:space="preserve">Your unique taxpayer reference (UTR)</t>
  </si>
  <si>
    <t xml:space="preserve">Precision Code Trading</t>
  </si>
  <si>
    <t xml:space="preserve">Business details</t>
  </si>
  <si>
    <r>
      <rPr>
        <sz val="8"/>
        <rFont val="Arial"/>
        <family val="2"/>
        <charset val="1"/>
      </rPr>
      <t xml:space="preserve">Business name - </t>
    </r>
    <r>
      <rPr>
        <i val="true"/>
        <sz val="8"/>
        <rFont val="Arial"/>
        <family val="2"/>
        <charset val="1"/>
      </rPr>
      <t xml:space="preserve">unless it is in your own name</t>
    </r>
  </si>
  <si>
    <t xml:space="preserve">If the details in boxes 1,2,3 or 4 have changed in the</t>
  </si>
  <si>
    <t xml:space="preserve">12 months put 'X' in the box and give details in the</t>
  </si>
  <si>
    <t xml:space="preserve"> 'Any other information' box</t>
  </si>
  <si>
    <t xml:space="preserve">Description of business</t>
  </si>
  <si>
    <t xml:space="preserve">If your business started after</t>
  </si>
  <si>
    <t xml:space="preserve">IT consultancy and software development</t>
  </si>
  <si>
    <r>
      <rPr>
        <sz val="8"/>
        <rFont val="Arial"/>
        <family val="2"/>
        <charset val="1"/>
      </rPr>
      <t xml:space="preserve"> 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</si>
  <si>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 </t>
  </si>
  <si>
    <t xml:space="preserve">enter the final date of trading</t>
  </si>
  <si>
    <r>
      <rPr>
        <sz val="8"/>
        <rFont val="Arial"/>
        <family val="2"/>
        <charset val="1"/>
      </rPr>
      <t xml:space="preserve">First line of your business address - </t>
    </r>
    <r>
      <rPr>
        <i val="true"/>
        <sz val="8"/>
        <rFont val="Arial"/>
        <family val="2"/>
        <charset val="1"/>
      </rPr>
      <t xml:space="preserve">unless you work</t>
    </r>
  </si>
  <si>
    <t xml:space="preserve">from home</t>
  </si>
  <si>
    <r>
      <rPr>
        <sz val="8"/>
        <rFont val="Arial"/>
        <family val="2"/>
        <charset val="1"/>
      </rPr>
      <t xml:space="preserve">Date your books or accounts start - </t>
    </r>
    <r>
      <rPr>
        <i val="true"/>
        <sz val="8"/>
        <rFont val="Arial"/>
        <family val="2"/>
        <charset val="1"/>
      </rPr>
      <t xml:space="preserve">the beginning of</t>
    </r>
  </si>
  <si>
    <t xml:space="preserve">your accounting period</t>
  </si>
  <si>
    <t xml:space="preserve">Postcode of your business</t>
  </si>
  <si>
    <t xml:space="preserve">Date your books or accounts are made up to or the end</t>
  </si>
  <si>
    <r>
      <rPr>
        <sz val="8"/>
        <rFont val="Arial"/>
        <family val="2"/>
        <charset val="1"/>
      </rPr>
      <t xml:space="preserve">of your accounting period - </t>
    </r>
    <r>
      <rPr>
        <i val="true"/>
        <sz val="8"/>
        <rFont val="Arial"/>
        <family val="2"/>
        <charset val="1"/>
      </rPr>
      <t xml:space="preserve">read page SEFN 3 of the</t>
    </r>
  </si>
  <si>
    <t xml:space="preserve">notes if you have filled in box 6 or 7</t>
  </si>
  <si>
    <t xml:space="preserve">Other information</t>
  </si>
  <si>
    <t xml:space="preserve">If you used traditional accounting rather than cash basis to</t>
  </si>
  <si>
    <t xml:space="preserve">If special arrangements apply, put 'X' in the box - read the</t>
  </si>
  <si>
    <t xml:space="preserve">calculate your income and expenses, put 'X' in the box</t>
  </si>
  <si>
    <t xml:space="preserve">notes</t>
  </si>
  <si>
    <t xml:space="preserve">Boxes 11 and 12 are not in use</t>
  </si>
  <si>
    <t xml:space="preserve">profit on last year's Tax Return put 'X' in the box</t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</si>
  <si>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Total losses brought forward from earlier years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</si>
  <si>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Value of goods and services for your own use</t>
    </r>
  </si>
  <si>
    <t xml:space="preserve"> - read page SESN 7 of the notes</t>
  </si>
  <si>
    <t xml:space="preserve">£</t>
  </si>
  <si>
    <t xml:space="preserve">.</t>
  </si>
  <si>
    <t xml:space="preserve">Loss used this year</t>
  </si>
  <si>
    <t xml:space="preserve">Total loss carried forward to future years</t>
  </si>
  <si>
    <t xml:space="preserve">Calculated no entry required</t>
  </si>
  <si>
    <t xml:space="preserve">ENTER: Overlap profit brought forward from earlier years</t>
  </si>
  <si>
    <t xml:space="preserve">ENTER: Transition profit not yet treated as arising at the start of this tax year</t>
  </si>
  <si>
    <t xml:space="preserve"> - box 69; the 2023-24 return uses all of it</t>
  </si>
  <si>
    <t xml:space="preserve"> - your 2023-24 transition profit less every amount already charged</t>
  </si>
  <si>
    <t xml:space="preserve">Overlap relief used this year</t>
  </si>
  <si>
    <t xml:space="preserve">Transition profit treated as arising this year, before any election</t>
  </si>
  <si>
    <t xml:space="preserve">Overlap profit carried forward</t>
  </si>
  <si>
    <t xml:space="preserve">ENTER: Additional transition profit you elect to treat as arising this year</t>
  </si>
  <si>
    <t xml:space="preserve"> - the election itself goes in box 103</t>
  </si>
  <si>
    <t xml:space="preserve">ENTER: Profit of your next accounting period, a loss with a minus sign, provisional until its accounts are final</t>
  </si>
  <si>
    <t xml:space="preserve">Transition profit carried forward to next year</t>
  </si>
  <si>
    <t xml:space="preserve"> - only if box 9 is not 31 March to 5 April; box 68 apportions both periods to the tax year by days</t>
  </si>
  <si>
    <t xml:space="preserve">Copyright (C) 2006-2026 DIY Accounting Limited</t>
  </si>
  <si>
    <t xml:space="preserve">Licensed under the PolyForm Internal Use License 1.0.0 with an additional grant for accountants. Free to use, source available: https://spreadsheets.diyaccounting.co.uk</t>
  </si>
  <si>
    <t xml:space="preserve">HM Revenue                  &amp; Customs</t>
  </si>
  <si>
    <t xml:space="preserve">COPY DETAILS TO HMRC FORM          Submit HMRC RETURN ONLINE                   by 31st January 2027</t>
  </si>
  <si>
    <t xml:space="preserve">Self-employment (short)</t>
  </si>
  <si>
    <t xml:space="preserve">Tax year </t>
  </si>
  <si>
    <t xml:space="preserve">to</t>
  </si>
  <si>
    <t xml:space="preserve">If you are a foster carer or adult placement carer, put 'X'</t>
  </si>
  <si>
    <r>
      <rPr>
        <sz val="8"/>
        <rFont val="Arial"/>
        <family val="2"/>
        <charset val="1"/>
      </rPr>
      <t xml:space="preserve">in the box - </t>
    </r>
    <r>
      <rPr>
        <i val="true"/>
        <sz val="8"/>
        <rFont val="Arial"/>
        <family val="2"/>
        <charset val="1"/>
      </rPr>
      <t xml:space="preserve">read page SESN 2 of the notes</t>
    </r>
  </si>
  <si>
    <t xml:space="preserve">If your business started after </t>
  </si>
  <si>
    <r>
      <rPr>
        <sz val="8"/>
        <rFont val="Arial"/>
        <family val="2"/>
        <charset val="1"/>
      </rPr>
      <t xml:space="preserve">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</si>
  <si>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</t>
  </si>
  <si>
    <t xml:space="preserve">If your business name, description, address or postcode</t>
  </si>
  <si>
    <t xml:space="preserve">have changed in the last 12 months, put 'X' in the box</t>
  </si>
  <si>
    <t xml:space="preserve">and give details in the 'Any other information' box of</t>
  </si>
  <si>
    <t xml:space="preserve">of your Tax Return</t>
  </si>
  <si>
    <r>
      <rPr>
        <sz val="8"/>
        <rFont val="Arial"/>
        <family val="2"/>
        <charset val="1"/>
      </rPr>
      <t xml:space="preserve">Date your books or accounts are made up to -</t>
    </r>
    <r>
      <rPr>
        <i val="true"/>
        <sz val="8"/>
        <rFont val="Arial"/>
        <family val="2"/>
        <charset val="1"/>
      </rPr>
      <t xml:space="preserve"> read</t>
    </r>
  </si>
  <si>
    <t xml:space="preserve">page SESN 2 of the notes</t>
  </si>
  <si>
    <r>
      <rPr>
        <sz val="8"/>
        <rFont val="Arial"/>
        <family val="2"/>
        <charset val="1"/>
      </rPr>
      <t xml:space="preserve">Your turnover -</t>
    </r>
    <r>
      <rPr>
        <i val="true"/>
        <sz val="8"/>
        <rFont val="Arial"/>
        <family val="2"/>
        <charset val="1"/>
      </rPr>
      <t xml:space="preserve"> the takings, fees, sales or money earned</t>
    </r>
  </si>
  <si>
    <t xml:space="preserve">Any other business income not included in box 9</t>
  </si>
  <si>
    <t xml:space="preserve">by your business</t>
  </si>
  <si>
    <t xml:space="preserve"> - excluding Business Start-up Allowance</t>
  </si>
  <si>
    <t xml:space="preserve">Allowable business expenses</t>
  </si>
  <si>
    <r>
      <rPr>
        <sz val="8"/>
        <rFont val="Arial"/>
        <family val="2"/>
        <charset val="1"/>
      </rPr>
      <t xml:space="preserve">Read pages SESN 3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which expenses are allowed for tax purposes. If your annual turnover was below the VAT threshold shown above</t>
    </r>
  </si>
  <si>
    <t xml:space="preserve">you may just put your total expenses in box 20, rather than filling in the whole section.</t>
  </si>
  <si>
    <t xml:space="preserve">Cost of goods bought for re-sale or goods used</t>
  </si>
  <si>
    <t xml:space="preserve">Accountancy, legal and other professional fees</t>
  </si>
  <si>
    <r>
      <rPr>
        <sz val="8"/>
        <rFont val="Arial"/>
        <family val="2"/>
        <charset val="1"/>
      </rPr>
      <t xml:space="preserve">Car, van and other travel expenses - </t>
    </r>
    <r>
      <rPr>
        <i val="true"/>
        <sz val="8"/>
        <rFont val="Arial"/>
        <family val="2"/>
        <charset val="1"/>
      </rPr>
      <t xml:space="preserve">after private</t>
    </r>
  </si>
  <si>
    <t xml:space="preserve">Interest and bank and credit card etc. financial charges</t>
  </si>
  <si>
    <t xml:space="preserve">use proportion</t>
  </si>
  <si>
    <t xml:space="preserve">Wages, salaries and other staff costs</t>
  </si>
  <si>
    <t xml:space="preserve">Telephone, fax, stationery and other office costs</t>
  </si>
  <si>
    <t xml:space="preserve">Rent, rates, power and insurance costs</t>
  </si>
  <si>
    <r>
      <rPr>
        <sz val="8"/>
        <rFont val="Arial"/>
        <family val="2"/>
        <charset val="1"/>
      </rPr>
      <t xml:space="preserve">Other allowable business expenses - </t>
    </r>
    <r>
      <rPr>
        <i val="true"/>
        <sz val="8"/>
        <rFont val="Arial"/>
        <family val="2"/>
        <charset val="1"/>
      </rPr>
      <t xml:space="preserve">client entertaining</t>
    </r>
  </si>
  <si>
    <t xml:space="preserve">costs are not an allowable expense</t>
  </si>
  <si>
    <t xml:space="preserve">Repairs and renewals of property and equipment</t>
  </si>
  <si>
    <r>
      <rPr>
        <sz val="8"/>
        <rFont val="Arial"/>
        <family val="2"/>
        <charset val="1"/>
      </rPr>
      <t xml:space="preserve">Total allowable expenses - </t>
    </r>
    <r>
      <rPr>
        <i val="true"/>
        <sz val="8"/>
        <rFont val="Arial"/>
        <family val="2"/>
        <charset val="1"/>
      </rPr>
      <t xml:space="preserve">total of boxes 11 to 19</t>
    </r>
  </si>
  <si>
    <t xml:space="preserve">Net profit or loss</t>
  </si>
  <si>
    <r>
      <rPr>
        <sz val="8"/>
        <rFont val="Arial"/>
        <family val="2"/>
        <charset val="1"/>
      </rPr>
      <t xml:space="preserve">Net profit -</t>
    </r>
    <r>
      <rPr>
        <i val="true"/>
        <sz val="8"/>
        <rFont val="Arial"/>
        <family val="2"/>
        <charset val="1"/>
      </rPr>
      <t xml:space="preserve"> if your business income is more then your</t>
    </r>
  </si>
  <si>
    <r>
      <rPr>
        <sz val="8"/>
        <rFont val="Arial"/>
        <family val="2"/>
        <charset val="1"/>
      </rPr>
      <t xml:space="preserve">Or, net loss -</t>
    </r>
    <r>
      <rPr>
        <i val="true"/>
        <sz val="8"/>
        <rFont val="Arial"/>
        <family val="2"/>
        <charset val="1"/>
      </rPr>
      <t xml:space="preserve"> if your expenses exceed your business</t>
    </r>
  </si>
  <si>
    <t xml:space="preserve">expenses (box 9 + box 10 minus box 20)</t>
  </si>
  <si>
    <t xml:space="preserve">income (box 9 + box 10 minus box 20 is negative)</t>
  </si>
  <si>
    <t xml:space="preserve">Tax allowances for vehicles and equipment (capital allowances)</t>
  </si>
  <si>
    <t xml:space="preserve">There are 'capital' tax allowances for vehicles and equipment used in your business (you should not have included the cost of</t>
  </si>
  <si>
    <r>
      <rPr>
        <sz val="8"/>
        <rFont val="Arial"/>
        <family val="2"/>
        <charset val="1"/>
      </rPr>
      <t xml:space="preserve">these in your business expenses)  Read pages SESN 3 to SEFN 6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use the example and Working Sheets to work out</t>
    </r>
  </si>
  <si>
    <t xml:space="preserve">your capital allowances.</t>
  </si>
  <si>
    <t xml:space="preserve">Annual Investment Allowance</t>
  </si>
  <si>
    <t xml:space="preserve">Other Capital Allowances</t>
  </si>
  <si>
    <t xml:space="preserve">Allowance of small balance of unrelieved</t>
  </si>
  <si>
    <t xml:space="preserve">Total balancing charges - where you have disposed of</t>
  </si>
  <si>
    <t xml:space="preserve">expenditure</t>
  </si>
  <si>
    <t xml:space="preserve">items for more than their value</t>
  </si>
  <si>
    <t xml:space="preserve">Calculating your taxable profits</t>
  </si>
  <si>
    <r>
      <rPr>
        <sz val="8"/>
        <rFont val="Arial"/>
        <family val="2"/>
        <charset val="1"/>
      </rPr>
      <t xml:space="preserve">Your taxable profit may not be the same as your net profit.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if you need to make any</t>
    </r>
  </si>
  <si>
    <t xml:space="preserve">adjustments and fill in the boxes which apply to arrive at your taxable profit for the year.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</si>
  <si>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</t>
    </r>
  </si>
  <si>
    <t xml:space="preserve">Loss brought forward from earlier years set-off against</t>
  </si>
  <si>
    <t xml:space="preserve">SESN 9 of the notes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</si>
  <si>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28</t>
    </r>
  </si>
  <si>
    <t xml:space="preserve">Net business profit for tax purposes (if box 21 + box 26 +</t>
  </si>
  <si>
    <t xml:space="preserve">Any other business income not included in boxes 9 or 10</t>
  </si>
  <si>
    <t xml:space="preserve">box 27 minus boxes 22 to 25) is positive)</t>
  </si>
  <si>
    <t xml:space="preserve"> - for example, Business Start-up Allowance</t>
  </si>
  <si>
    <t xml:space="preserve">Total taxable profits or net business loss</t>
  </si>
  <si>
    <t xml:space="preserve">Total taxable profits from this business</t>
  </si>
  <si>
    <t xml:space="preserve">Net business loss for tax purposes (if boxes 22 to 25</t>
  </si>
  <si>
    <t xml:space="preserve">if box 28 + box 30 minus box 29 is positive</t>
  </si>
  <si>
    <t xml:space="preserve">minus (box 21 + box 26 + box 27) is positive)</t>
  </si>
  <si>
    <t xml:space="preserve">Losses, Class 4 NICs and deductions</t>
  </si>
  <si>
    <r>
      <rPr>
        <sz val="8"/>
        <rFont val="Arial"/>
        <family val="2"/>
        <charset val="1"/>
      </rPr>
      <t xml:space="preserve">If you have made a loss for tax purposes (box 32),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fill in boxes 33 to 35 as appropriate.</t>
    </r>
  </si>
  <si>
    <t xml:space="preserve">Loss from this tax year set-off against other income</t>
  </si>
  <si>
    <t xml:space="preserve">for </t>
  </si>
  <si>
    <t xml:space="preserve">choose to pay Class 2 NICs voluntarily, put 'X' in the box</t>
  </si>
  <si>
    <t xml:space="preserve">Loss to be carried back to previous year(s) and set-off</t>
  </si>
  <si>
    <t xml:space="preserve">If you are exempt from paying Class 4 NICs, put 'X' in the</t>
  </si>
  <si>
    <t xml:space="preserve">against income (or capital gains)</t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</si>
  <si>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SESN 10 of the notes</t>
    </r>
  </si>
  <si>
    <t xml:space="preserve">Total loss to carry forward after all other set-offs</t>
  </si>
  <si>
    <t xml:space="preserve">Deductions on payment and deduction statements from</t>
  </si>
  <si>
    <t xml:space="preserve"> - including unused losses brought forward</t>
  </si>
  <si>
    <r>
      <rPr>
        <sz val="8"/>
        <rFont val="Arial"/>
        <family val="2"/>
        <charset val="1"/>
      </rPr>
      <t xml:space="preserve">contractors -</t>
    </r>
    <r>
      <rPr>
        <i val="true"/>
        <sz val="8"/>
        <rFont val="Arial"/>
        <family val="2"/>
        <charset val="1"/>
      </rPr>
      <t xml:space="preserve"> construction industry subcontractors only</t>
    </r>
  </si>
  <si>
    <t xml:space="preserve">HM Revenue             &amp; Customs</t>
  </si>
  <si>
    <t xml:space="preserve">Self-employment (full)</t>
  </si>
  <si>
    <t xml:space="preserve">If the details in boxes 1, 2, 3 or 4 have changed in the last 12</t>
  </si>
  <si>
    <t xml:space="preserve">months, put 'X' in the box and give details in the 'Any other</t>
  </si>
  <si>
    <t xml:space="preserve">information' box</t>
  </si>
  <si>
    <t xml:space="preserve">Postcode of your business address</t>
  </si>
  <si>
    <t xml:space="preserve">of your accounting period - read the notes if you have</t>
  </si>
  <si>
    <t xml:space="preserve">filled in box 6 or 7</t>
  </si>
  <si>
    <t xml:space="preserve">profit on last year's tax return, put 'X' in the box</t>
  </si>
  <si>
    <t xml:space="preserve">Business income</t>
  </si>
  <si>
    <t xml:space="preserve">Any other business income not included in box 15</t>
  </si>
  <si>
    <t xml:space="preserve">Business expenses</t>
  </si>
  <si>
    <t xml:space="preserve">Please read the 'Self-employment (full) notes' before filling in this section.</t>
  </si>
  <si>
    <t xml:space="preserve">Total expenses</t>
  </si>
  <si>
    <t xml:space="preserve">Disallowable expenses</t>
  </si>
  <si>
    <t xml:space="preserve">If your annual turnover was below £90,000, you may</t>
  </si>
  <si>
    <t xml:space="preserve">Use this column if the figures in boxes 17 to 30</t>
  </si>
  <si>
    <t xml:space="preserve">just put your total expenses in box 31</t>
  </si>
  <si>
    <t xml:space="preserve">include disallowable amounts</t>
  </si>
  <si>
    <t xml:space="preserve">Cost of goods bought for resale or goods used</t>
  </si>
  <si>
    <r>
      <rPr>
        <sz val="8"/>
        <rFont val="Arial"/>
        <family val="2"/>
        <charset val="1"/>
      </rPr>
      <t xml:space="preserve">Construction industry - </t>
    </r>
    <r>
      <rPr>
        <i val="true"/>
        <sz val="8"/>
        <rFont val="Arial"/>
        <family val="2"/>
        <charset val="1"/>
      </rPr>
      <t xml:space="preserve">payments to subcontractors</t>
    </r>
  </si>
  <si>
    <t xml:space="preserve">Car, van and travel expenses</t>
  </si>
  <si>
    <t xml:space="preserve">Repairs and maintenance of property and equipment</t>
  </si>
  <si>
    <t xml:space="preserve">Phone, fax, stationery and other office costs</t>
  </si>
  <si>
    <t xml:space="preserve">Advertising and business entertainment costs</t>
  </si>
  <si>
    <t xml:space="preserve">Interest on bank and other loans</t>
  </si>
  <si>
    <t xml:space="preserve">Bank, credit card and other financial charges</t>
  </si>
  <si>
    <t xml:space="preserve">Irrecoverable debts written off</t>
  </si>
  <si>
    <t xml:space="preserve">Depreciation and loss or profit on sale of assets</t>
  </si>
  <si>
    <t xml:space="preserve">Other business expenses</t>
  </si>
  <si>
    <t xml:space="preserve">Total expenses (total of boxes 17 to 30)</t>
  </si>
  <si>
    <t xml:space="preserve">Total disallowable expenses (total of boxes 32 to 45)</t>
  </si>
  <si>
    <t xml:space="preserve">Net profit - if your business income is more than your</t>
  </si>
  <si>
    <t xml:space="preserve">Or, net loss - if your expenses are more than your</t>
  </si>
  <si>
    <t xml:space="preserve">expenses (if box 15 + box 16 minus box 31 is positive)</t>
  </si>
  <si>
    <t xml:space="preserve">business income (if box 31 minus (box 15 + box 16) is positive)</t>
  </si>
  <si>
    <t xml:space="preserve">There are 'capital' tax allowances for vehicles, equipment and certain buildings used in your business (do not include the cost</t>
  </si>
  <si>
    <t xml:space="preserve">of these in your business expenses). Please read the 'Self-employment (full) notes' and use the examples to work out your</t>
  </si>
  <si>
    <t xml:space="preserve">capital allowances.</t>
  </si>
  <si>
    <t xml:space="preserve">Electric charge-point allowance</t>
  </si>
  <si>
    <t xml:space="preserve">Capital allowances at </t>
  </si>
  <si>
    <t xml:space="preserve">on equipment, including cars with lower CO2</t>
  </si>
  <si>
    <t xml:space="preserve">100% and other enhanced capital allowances</t>
  </si>
  <si>
    <t xml:space="preserve">emissions</t>
  </si>
  <si>
    <t xml:space="preserve">Capital allowances at 6% on equipment, including cars with higher CO2 emissions</t>
  </si>
  <si>
    <t xml:space="preserve">Allowances on sale or cessation of business use (where you</t>
  </si>
  <si>
    <t xml:space="preserve">have disposed of assets for less than their tax value)</t>
  </si>
  <si>
    <t xml:space="preserve">Zero-emission goods vehicle allowance</t>
  </si>
  <si>
    <t xml:space="preserve">Zero-emission car allowance</t>
  </si>
  <si>
    <t xml:space="preserve">Total capital allowances (total of boxes 49 to 56)</t>
  </si>
  <si>
    <t xml:space="preserve">The Structures and Buildings Allowance</t>
  </si>
  <si>
    <t xml:space="preserve">Balancing charge on sales of assets or on the cessation of</t>
  </si>
  <si>
    <t xml:space="preserve">Freeport and Investment Zones Structures and Buildings Allowance</t>
  </si>
  <si>
    <t xml:space="preserve">business use (including where Business Premises Renovation</t>
  </si>
  <si>
    <t xml:space="preserve">Allowance has been claimed)</t>
  </si>
  <si>
    <t xml:space="preserve">Calculating your taxable profit or loss</t>
  </si>
  <si>
    <t xml:space="preserve">You may have to adjust your net profit or loss for disallowable expenses or capital allowances to arrive at your taxable profit</t>
  </si>
  <si>
    <t xml:space="preserve">or your loss for tax purposes. Please read the 'Self-employment (full) notes' and fill in the boxes below that apply.</t>
  </si>
  <si>
    <t xml:space="preserve">Goods and services for your own use</t>
  </si>
  <si>
    <t xml:space="preserve">Total deductions from net profit or additions to</t>
  </si>
  <si>
    <t xml:space="preserve">net loss (box 57 + box 62)</t>
  </si>
  <si>
    <t xml:space="preserve">Total additions to net profit or deductions from net loss</t>
  </si>
  <si>
    <t xml:space="preserve">Net business profit for tax purposes (if box 47 + box 61</t>
  </si>
  <si>
    <t xml:space="preserve">(box 46 + box 59 + box 60)</t>
  </si>
  <si>
    <t xml:space="preserve">minus (box 48 + box 63) is positive)</t>
  </si>
  <si>
    <t xml:space="preserve">Income, receipts and other profits included in business</t>
  </si>
  <si>
    <t xml:space="preserve">Net business loss for tax purposes (if box 48 + box 63</t>
  </si>
  <si>
    <t xml:space="preserve">income or expense but not taxable as business profits</t>
  </si>
  <si>
    <t xml:space="preserve">minus (box 47 + box 61) is positive)</t>
  </si>
  <si>
    <t xml:space="preserve">Calculating your taxable profit or loss (continued)</t>
  </si>
  <si>
    <t xml:space="preserve">Please read the 'Self-employment (full) notes' and fill in the boxes below that apply. If your accounting date is not between</t>
  </si>
  <si>
    <t xml:space="preserve">31 March and 5 April you will need to apportion profits from each accounting period to the tax year - use box 68 to adjust</t>
  </si>
  <si>
    <t xml:space="preserve">your tax profit (box 64) or loss (box 65) accordingly.</t>
  </si>
  <si>
    <t xml:space="preserve">Boxes 66 and 67 are not in use</t>
  </si>
  <si>
    <t xml:space="preserve">Averaging adjustment (only for farmers, market gardeners</t>
  </si>
  <si>
    <r>
      <rPr>
        <sz val="8"/>
        <rFont val="Arial"/>
        <family val="2"/>
        <charset val="1"/>
      </rPr>
      <t xml:space="preserve">and creators of literary or artistic works) -</t>
    </r>
    <r>
      <rPr>
        <i val="true"/>
        <sz val="8"/>
        <rFont val="Arial"/>
        <family val="2"/>
        <charset val="1"/>
      </rPr>
      <t xml:space="preserve"> if the </t>
    </r>
  </si>
  <si>
    <t xml:space="preserve">adjustment needs to be taken off the profit figure, put a</t>
  </si>
  <si>
    <t xml:space="preserve">minus sign (-) in the box</t>
  </si>
  <si>
    <t xml:space="preserve"> —</t>
  </si>
  <si>
    <t xml:space="preserve">Adjustment where your accounting period was not 12 months</t>
  </si>
  <si>
    <t xml:space="preserve">Adjusted profit for </t>
  </si>
  <si>
    <t xml:space="preserve">long or ended before 31 March - if the adjustment needs to be</t>
  </si>
  <si>
    <t xml:space="preserve">- see the working sheet in the notes</t>
  </si>
  <si>
    <t xml:space="preserve">taken off the profit figure, put a minus sign (-) in the box</t>
  </si>
  <si>
    <t xml:space="preserve">Loss brought forward from earlier years set off against</t>
  </si>
  <si>
    <t xml:space="preserve">this year's adjusted profit</t>
  </si>
  <si>
    <t xml:space="preserve">Spread of the transition profit treated as arising in this</t>
  </si>
  <si>
    <t xml:space="preserve">tax year - see the working sheet in the notes</t>
  </si>
  <si>
    <t xml:space="preserve">Any other business income not included in</t>
  </si>
  <si>
    <t xml:space="preserve">boxes 15, 16 or 60</t>
  </si>
  <si>
    <t xml:space="preserve">Boxes 69 and 70 are not in use</t>
  </si>
  <si>
    <t xml:space="preserve">Adjustment for change of accounting practice</t>
  </si>
  <si>
    <t xml:space="preserve">Losses</t>
  </si>
  <si>
    <t xml:space="preserve">If you have made a net loss for tax purposes (in box 65), or because of box 68, or if you have losses from previous years,</t>
  </si>
  <si>
    <t xml:space="preserve">read the 'Self-employment (full) notes' and fill in boxes 77 to 80 as appropriate.</t>
  </si>
  <si>
    <t xml:space="preserve">Adjusted loss for </t>
  </si>
  <si>
    <t xml:space="preserve">Loss to be carried back to previous year(s) and set off</t>
  </si>
  <si>
    <t xml:space="preserve">Loss from this tax year set off against other income</t>
  </si>
  <si>
    <t xml:space="preserve">CIS deductions and tax taken off</t>
  </si>
  <si>
    <t xml:space="preserve">Total Construction Industry Scheme (CIS) deductions taken from</t>
  </si>
  <si>
    <t xml:space="preserve">Other tax taken off trading income</t>
  </si>
  <si>
    <t xml:space="preserve">your payments by contractors - CIS subcontractors only</t>
  </si>
  <si>
    <t xml:space="preserve">Balance Sheet Optional</t>
  </si>
  <si>
    <t xml:space="preserve">If your business accounts include a balance sheet showing the assets, liabilities and capital of the business, fill in the relevant</t>
  </si>
  <si>
    <t xml:space="preserve">boxes below. If you do not have a balance sheet, go to box 100.</t>
  </si>
  <si>
    <t xml:space="preserve">Assets</t>
  </si>
  <si>
    <t xml:space="preserve">Liabilities</t>
  </si>
  <si>
    <t xml:space="preserve">Equipment, machinery and vehicles</t>
  </si>
  <si>
    <t xml:space="preserve">Trade creditors</t>
  </si>
  <si>
    <t xml:space="preserve">Other fixed assets</t>
  </si>
  <si>
    <t xml:space="preserve">Loans and overdrawn bank account balances</t>
  </si>
  <si>
    <t xml:space="preserve">Stock and work in progress</t>
  </si>
  <si>
    <t xml:space="preserve">Other liabilities and accruals</t>
  </si>
  <si>
    <t xml:space="preserve">Trade debtors</t>
  </si>
  <si>
    <t xml:space="preserve">Net business assets</t>
  </si>
  <si>
    <t xml:space="preserve">Net business assets (box 90 minus (boxes 91 to 93))</t>
  </si>
  <si>
    <t xml:space="preserve">Bank or building society balances</t>
  </si>
  <si>
    <t xml:space="preserve">Capital account</t>
  </si>
  <si>
    <t xml:space="preserve">Cash in hand</t>
  </si>
  <si>
    <t xml:space="preserve">Balance at start of period</t>
  </si>
  <si>
    <t xml:space="preserve">Other current assets and prepayments</t>
  </si>
  <si>
    <t xml:space="preserve">Net profit or loss (box 47 or box 48)</t>
  </si>
  <si>
    <t xml:space="preserve">Total assets (total of boxes 83 to 89)</t>
  </si>
  <si>
    <t xml:space="preserve">Capital introduced</t>
  </si>
  <si>
    <t xml:space="preserve">Drawings</t>
  </si>
  <si>
    <t xml:space="preserve">Balance at end of period</t>
  </si>
  <si>
    <t xml:space="preserve">Class 2 and Class 4 National Insurance contributions (NICs)</t>
  </si>
  <si>
    <t xml:space="preserve">If your self employed profits are more than £</t>
  </si>
  <si>
    <t xml:space="preserve">you must pay Class 4 NICs (unless you are exempt) - read the notes.</t>
  </si>
  <si>
    <t xml:space="preserve">If your total profits are below the Class 2 small profits threshold you do not have to pay Class 2 NICs, but you may pay them voluntarily.</t>
  </si>
  <si>
    <t xml:space="preserve">If your total profits are below the Class 2 small profits threshold</t>
  </si>
  <si>
    <r>
      <rPr>
        <sz val="8"/>
        <rFont val="Arial"/>
        <family val="2"/>
        <charset val="1"/>
      </rPr>
      <t xml:space="preserve">Adjustment to profits chargeable to Class 4 NICs -</t>
    </r>
    <r>
      <rPr>
        <i val="true"/>
        <sz val="8"/>
        <rFont val="Arial"/>
        <family val="2"/>
        <charset val="1"/>
      </rPr>
      <t xml:space="preserve"> this</t>
    </r>
  </si>
  <si>
    <t xml:space="preserve">and you choose to pay Class 2 NICs voluntarily, put 'X' in the box</t>
  </si>
  <si>
    <t xml:space="preserve">will not apply to most people</t>
  </si>
  <si>
    <t xml:space="preserve">If you are exempt from paying Class 4 NICs, put 'X' in the box</t>
  </si>
  <si>
    <t xml:space="preserve">- read the notes</t>
  </si>
  <si>
    <t xml:space="preserve">Any other information</t>
  </si>
  <si>
    <t xml:space="preserve">Please give any other information in this space</t>
  </si>
  <si>
    <t xml:space="preserve">Monthly Management Accounts Profit and Loss Account</t>
  </si>
  <si>
    <t xml:space="preserve">Total Year</t>
  </si>
  <si>
    <t xml:space="preserve">Sales Product A</t>
  </si>
  <si>
    <t xml:space="preserve">Sales Product B</t>
  </si>
  <si>
    <t xml:space="preserve">Sales Product C</t>
  </si>
  <si>
    <t xml:space="preserve">Other Income</t>
  </si>
  <si>
    <t xml:space="preserve">Sales Turnover</t>
  </si>
  <si>
    <t xml:space="preserve">Investment Grants received</t>
  </si>
  <si>
    <t xml:space="preserve">Direct Costs</t>
  </si>
  <si>
    <t xml:space="preserve">Purchases after stock adjustment</t>
  </si>
  <si>
    <t xml:space="preserve">Sub contractors</t>
  </si>
  <si>
    <t xml:space="preserve">Other Direct Cost of Sales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</si>
  <si>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</si>
  <si>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</si>
  <si>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</si>
  <si>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</si>
  <si>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Premises Rent Rates Power</t>
  </si>
  <si>
    <t xml:space="preserve">Repairs &amp; Maintenance</t>
  </si>
  <si>
    <t xml:space="preserve">General Administrative Expenses</t>
  </si>
  <si>
    <t xml:space="preserve">Motor Expenses</t>
  </si>
  <si>
    <t xml:space="preserve">Travel Hotel &amp; Subsistence</t>
  </si>
  <si>
    <t xml:space="preserve">Advertising Promotion &amp; Entertainment</t>
  </si>
  <si>
    <t xml:space="preserve">Legal &amp; Professional Fees</t>
  </si>
  <si>
    <t xml:space="preserve">Bad Debts written off</t>
  </si>
  <si>
    <t xml:space="preserve">Bank Interest Paid</t>
  </si>
  <si>
    <t xml:space="preserve">HP Interest Lease Bank Charges</t>
  </si>
  <si>
    <t xml:space="preserve">Other Expenses</t>
  </si>
  <si>
    <t xml:space="preserve">Loss (profit) disposal of assets</t>
  </si>
  <si>
    <t xml:space="preserve">Depreciation</t>
  </si>
  <si>
    <t xml:space="preserve">Operating Profit</t>
  </si>
  <si>
    <t xml:space="preserve">Interest received</t>
  </si>
  <si>
    <t xml:space="preserve">Profit (Loss) before Tax</t>
  </si>
  <si>
    <t xml:space="preserve">Financial Business Health Check</t>
  </si>
  <si>
    <t xml:space="preserve">Self Employed Drawings</t>
  </si>
  <si>
    <t xml:space="preserve">CIS Tax deducted</t>
  </si>
  <si>
    <t xml:space="preserve">Income Tax &amp; NI Liability</t>
  </si>
  <si>
    <t xml:space="preserve">Financial Health Check</t>
  </si>
  <si>
    <t xml:space="preserve">Business Entertainment (memo)</t>
  </si>
  <si>
    <t xml:space="preserve">VitalTax summary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</si>
  <si>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</si>
  <si>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</si>
  <si>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</si>
  <si>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</si>
  <si>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</si>
  <si>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Notes</t>
  </si>
  <si>
    <t xml:space="preserve">Turnover</t>
  </si>
  <si>
    <t xml:space="preserve">Other income</t>
  </si>
  <si>
    <t xml:space="preserve">Cost of goods bought</t>
  </si>
  <si>
    <t xml:space="preserve">Allowable expenses</t>
  </si>
  <si>
    <t xml:space="preserve">Staff costs</t>
  </si>
  <si>
    <t xml:space="preserve">Premises running costs</t>
  </si>
  <si>
    <t xml:space="preserve">Maintenance</t>
  </si>
  <si>
    <t xml:space="preserve">Admin</t>
  </si>
  <si>
    <t xml:space="preserve">Financial charges</t>
  </si>
  <si>
    <t xml:space="preserve">Travel</t>
  </si>
  <si>
    <t xml:space="preserve">Advertising</t>
  </si>
  <si>
    <t xml:space="preserve">Professional</t>
  </si>
  <si>
    <t xml:space="preserve">Bad debt</t>
  </si>
  <si>
    <t xml:space="preserve">Interest</t>
  </si>
  <si>
    <t xml:space="preserve">Other</t>
  </si>
  <si>
    <t xml:space="preserve">CIS payment to subcontractors</t>
  </si>
  <si>
    <t xml:space="preserve">Business entertainment</t>
  </si>
  <si>
    <t xml:space="preserve">Total allowable expenses </t>
  </si>
  <si>
    <t xml:space="preserve">Enter the % of this category that is private use or otherwise disallowable</t>
  </si>
  <si>
    <t xml:space="preserve">Travel </t>
  </si>
  <si>
    <t xml:space="preserve">Wholly disallowable</t>
  </si>
  <si>
    <t xml:space="preserve">Financial charges </t>
  </si>
  <si>
    <t xml:space="preserve">Bad debt </t>
  </si>
  <si>
    <t xml:space="preserve">Reads the depreciation charge automatically</t>
  </si>
  <si>
    <t xml:space="preserve">TAXATION CALCULATION </t>
  </si>
  <si>
    <t xml:space="preserve">This section an indication and for your information only</t>
  </si>
  <si>
    <t xml:space="preserve">Profit from Self employment</t>
  </si>
  <si>
    <t xml:space="preserve">Minus Personal Allowance</t>
  </si>
  <si>
    <t xml:space="preserve">Total income on which tax is due</t>
  </si>
  <si>
    <t xml:space="preserve">Income Tax first band</t>
  </si>
  <si>
    <t xml:space="preserve">Income Tax second band</t>
  </si>
  <si>
    <t xml:space="preserve">Income Tax third band</t>
  </si>
  <si>
    <t xml:space="preserve">Income Tax payable</t>
  </si>
  <si>
    <t xml:space="preserve">Deductions by contractors</t>
  </si>
  <si>
    <t xml:space="preserve">Amounts Payable by</t>
  </si>
  <si>
    <t xml:space="preserve">Income Tax on transition profit (box 73.3), charged as the top slice</t>
  </si>
  <si>
    <t xml:space="preserve">Class 4 NI Contribution Lower - Upper profits</t>
  </si>
  <si>
    <t xml:space="preserve">Class 4 NI Contribution Upper profits</t>
  </si>
  <si>
    <t xml:space="preserve">TOTAL Income Tax &amp; NI Liability</t>
  </si>
  <si>
    <t xml:space="preserve">FUTURE TAX LIABILITY (if over £500)</t>
  </si>
  <si>
    <t xml:space="preserve">This section for your information only</t>
  </si>
  <si>
    <t xml:space="preserve">Due Date</t>
  </si>
  <si>
    <t xml:space="preserve">Amount Payable</t>
  </si>
  <si>
    <t xml:space="preserve">Tax &amp; NI Assessment</t>
  </si>
  <si>
    <t xml:space="preserve">Previous Year</t>
  </si>
  <si>
    <t xml:space="preserve">50% Payable</t>
  </si>
  <si>
    <t xml:space="preserve">NOTES:</t>
  </si>
  <si>
    <t xml:space="preserve">Working Tax Credit</t>
  </si>
  <si>
    <t xml:space="preserve">Not taxable and not added to self employment income for tax purposes</t>
  </si>
  <si>
    <t xml:space="preserve">Pension Entitlement</t>
  </si>
  <si>
    <t xml:space="preserve">To receive Full Pension entitlement NI has to be paid 44 years out of 49 years (16 - 65)</t>
  </si>
  <si>
    <t xml:space="preserve">UK residents aged 60 - 65 get 5 years bonus.</t>
  </si>
  <si>
    <t xml:space="preserve">To confirm current NI / Pension entitlement years the helpline number is 0845 3000 168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</si>
  <si>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</si>
  <si>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</si>
  <si>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</si>
  <si>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</si>
  <si>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</si>
  <si>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</si>
  <si>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Employers National Insurance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</si>
  <si>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</si>
  <si>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</si>
  <si>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</si>
  <si>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</si>
  <si>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Non DIY Accounting Payroll employers should overwrite the formulae with the actual monthly payroll totals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</si>
  <si>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</si>
  <si>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</si>
  <si>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</si>
  <si>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</si>
  <si>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</si>
  <si>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</si>
  <si>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</si>
  <si>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</si>
  <si>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</si>
  <si>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</si>
  <si>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</si>
  <si>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</si>
  <si>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</si>
  <si>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</si>
  <si>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</si>
  <si>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</si>
  <si>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</si>
  <si>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</si>
  <si>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</si>
  <si>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</si>
  <si>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</si>
  <si>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ACTUAL                        Profit and Loss Account</t>
  </si>
  <si>
    <t xml:space="preserve">Investment Grants</t>
  </si>
  <si>
    <t xml:space="preserve">General Expenses</t>
  </si>
  <si>
    <t xml:space="preserve">FORECAST                   Profit and Loss Account</t>
  </si>
  <si>
    <t xml:space="preserve">FORECAST TAX CALCULATION</t>
  </si>
  <si>
    <t xml:space="preserve">Add Depreciation</t>
  </si>
  <si>
    <t xml:space="preserve">Less Capital Allowances</t>
  </si>
  <si>
    <t xml:space="preserve">Profit before Tax</t>
  </si>
  <si>
    <t xml:space="preserve">Personal Allowance</t>
  </si>
  <si>
    <t xml:space="preserve">Profit after Allowance</t>
  </si>
  <si>
    <t xml:space="preserve">Tax at standard rate</t>
  </si>
  <si>
    <t xml:space="preserve">Tax at higher rate</t>
  </si>
  <si>
    <t xml:space="preserve">Tax at additional rate</t>
  </si>
  <si>
    <t xml:space="preserve">National Insurance</t>
  </si>
  <si>
    <t xml:space="preserve">TAX &amp; NI LIABILITY</t>
  </si>
  <si>
    <t xml:space="preserve">Dates</t>
  </si>
  <si>
    <t xml:space="preserve">Capital Tax Allowances </t>
  </si>
  <si>
    <t xml:space="preserve">Income Tax Rates</t>
  </si>
  <si>
    <t xml:space="preserve">Personal allowance</t>
  </si>
  <si>
    <t xml:space="preserve">Writing down allowance</t>
  </si>
  <si>
    <t xml:space="preserve">Personal allowance taper threshold</t>
  </si>
  <si>
    <t xml:space="preserve">Special rate writing down allowance</t>
  </si>
  <si>
    <t xml:space="preserve">Basic rate applicable on taxable income up to higher rate</t>
  </si>
  <si>
    <t xml:space="preserve">%</t>
  </si>
  <si>
    <t xml:space="preserve">Allowances restricted on Motor vehicles</t>
  </si>
  <si>
    <t xml:space="preserve">Higher rate applicable on taxable income over higher rate</t>
  </si>
  <si>
    <t xml:space="preserve">Additional rate applicable above the higher rate limit</t>
  </si>
  <si>
    <t xml:space="preserve">Structures and buildings allowance</t>
  </si>
  <si>
    <t xml:space="preserve">Taxable Bands Allowances</t>
  </si>
  <si>
    <t xml:space="preserve">Start Level</t>
  </si>
  <si>
    <t xml:space="preserve"> End Level</t>
  </si>
  <si>
    <t xml:space="preserve"> Tax Band </t>
  </si>
  <si>
    <t xml:space="preserve">Freeport and Investment Zone SBA</t>
  </si>
  <si>
    <t xml:space="preserve">Depreciation Rates Applied</t>
  </si>
  <si>
    <t xml:space="preserve">Basic rate</t>
  </si>
  <si>
    <t xml:space="preserve">Higher rate</t>
  </si>
  <si>
    <t xml:space="preserve">Land &amp; Property</t>
  </si>
  <si>
    <t xml:space="preserve">Additional rate</t>
  </si>
  <si>
    <t xml:space="preserve">Plant &amp; Machinery</t>
  </si>
  <si>
    <t xml:space="preserve">National Insurance rates</t>
  </si>
  <si>
    <t xml:space="preserve">Fixtures &amp; Fittings</t>
  </si>
  <si>
    <t xml:space="preserve">Computer Equipment</t>
  </si>
  <si>
    <t xml:space="preserve">NI Class 2 rate</t>
  </si>
  <si>
    <t xml:space="preserve">Above Lower Profits Threshold (LPT)</t>
  </si>
  <si>
    <t xml:space="preserve">Motor Vehicles</t>
  </si>
  <si>
    <t xml:space="preserve">Mileage Allowances</t>
  </si>
  <si>
    <t xml:space="preserve">Miles</t>
  </si>
  <si>
    <t xml:space="preserve">p per mile</t>
  </si>
  <si>
    <t xml:space="preserve">NI Class 4 rate between lower profits and upper profits limit</t>
  </si>
  <si>
    <t xml:space="preserve">NIC class 4 lower limit</t>
  </si>
  <si>
    <t xml:space="preserve">Higher rate allowance up to</t>
  </si>
  <si>
    <t xml:space="preserve">Lower rate allowance over</t>
  </si>
  <si>
    <t xml:space="preserve">NI Class 4 rate above upper profits limit</t>
  </si>
  <si>
    <t xml:space="preserve">NIC class 4 upper limit</t>
  </si>
  <si>
    <t xml:space="preserve">2026-27</t>
  </si>
  <si>
    <t xml:space="preserve">2027-28</t>
  </si>
  <si>
    <t xml:space="preserve">VAT Threshold</t>
  </si>
  <si>
    <t xml:space="preserve">VAT Rate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</si>
</sst>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[$-F800]dddd&quot;, &quot;mmmm\ dd&quot;, &quot;yyyy"/>
    <numFmt numFmtId="166" formatCode="dd/mm/yyyy;@"/>
    <numFmt numFmtId="167" formatCode="#,##0"/>
    <numFmt numFmtId="168" formatCode="0"/>
    <numFmt numFmtId="169" formatCode="dd\-mmm\-yy"/>
    <numFmt numFmtId="170" formatCode="0%"/>
    <numFmt numFmtId="171" formatCode="mmm\-yy"/>
    <numFmt numFmtId="172" formatCode="#,##0_ ;[RED]\-#,##0\ "/>
    <numFmt numFmtId="173" formatCode="#,##0.00"/>
    <numFmt numFmtId="174" formatCode="0.00"/>
    <numFmt numFmtId="175" formatCode="#,##0.00_ ;[RED]\-#,##0.00\ "/>
    <numFmt numFmtId="176" formatCode="0.00_ ;[RED]\-0.00\ "/>
    <numFmt numFmtId="177" formatCode="0_ ;[RED]\-0\ "/>
    <numFmt numFmtId="178" formatCode="0.00%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8"/>
      <color rgb="FF0000FF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8"/>
      <color rgb="FFFF6600"/>
      <name val="Arial"/>
      <family val="2"/>
      <charset val="1"/>
    </font>
    <font>
      <b val="true"/>
      <sz val="16"/>
      <color rgb="FF33339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1"/>
      <color rgb="FF3366FF"/>
      <name val="Arial"/>
      <family val="2"/>
      <charset val="1"/>
    </font>
    <font>
      <b val="true"/>
      <sz val="11"/>
      <color rgb="FF333399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3"/>
      <name val="Arial"/>
      <family val="2"/>
      <charset val="1"/>
    </font>
    <font>
      <sz val="9"/>
      <color rgb="FF3366FF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  <font>
      <sz val="9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 diagonalUp="false" diagonalDown="false">
      <left style="thin">
        <color rgb="FF00CCFF"/>
      </left>
      <right/>
      <top style="thin">
        <color rgb="FF00CCFF"/>
      </top>
      <bottom/>
      <diagonal/>
    </border>
    <border diagonalUp="false" diagonalDown="false">
      <left/>
      <right/>
      <top style="thin">
        <color rgb="FF00CCFF"/>
      </top>
      <bottom/>
      <diagonal/>
    </border>
    <border diagonalUp="false" diagonalDown="false">
      <left/>
      <right style="thin">
        <color rgb="FF00CCFF"/>
      </right>
      <top style="thin">
        <color rgb="FF00CCFF"/>
      </top>
      <bottom/>
      <diagonal/>
    </border>
    <border diagonalUp="false" diagonalDown="false">
      <left style="thin">
        <color rgb="FF00CCFF"/>
      </left>
      <right/>
      <top/>
      <bottom/>
      <diagonal/>
    </border>
    <border diagonalUp="false" diagonalDown="false">
      <left/>
      <right style="thin">
        <color rgb="FF00CCFF"/>
      </right>
      <top/>
      <bottom/>
      <diagonal/>
    </border>
    <border diagonalUp="false" diagonalDown="false"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thin">
        <color rgb="FF99CCFF"/>
      </left>
      <right/>
      <top/>
      <bottom/>
      <diagonal/>
    </border>
    <border diagonalUp="false" diagonalDown="false">
      <left/>
      <right style="thin">
        <color rgb="FF99CCFF"/>
      </right>
      <top/>
      <bottom/>
      <diagonal/>
    </border>
    <border diagonalUp="false" diagonalDown="false">
      <left style="thin">
        <color rgb="FF00CCFF"/>
      </left>
      <right/>
      <top/>
      <bottom style="thin">
        <color rgb="FF00CCFF"/>
      </bottom>
      <diagonal/>
    </border>
    <border diagonalUp="false" diagonalDown="false">
      <left/>
      <right/>
      <top/>
      <bottom style="thin">
        <color rgb="FF00CCFF"/>
      </bottom>
      <diagonal/>
    </border>
    <border diagonalUp="false" diagonalDown="false">
      <left/>
      <right style="thin">
        <color rgb="FF00CCFF"/>
      </right>
      <top/>
      <bottom style="thin">
        <color rgb="FF00CCFF"/>
      </bottom>
      <diagonal/>
    </border>
    <border diagonalUp="false" diagonalDown="false">
      <left style="thin">
        <color rgb="FF99CCFF"/>
      </left>
      <right/>
      <top style="thin">
        <color rgb="FF99CCFF"/>
      </top>
      <bottom/>
      <diagonal/>
    </border>
    <border diagonalUp="false" diagonalDown="false">
      <left/>
      <right/>
      <top style="thin">
        <color rgb="FF99CCFF"/>
      </top>
      <bottom/>
      <diagonal/>
    </border>
    <border diagonalUp="false" diagonalDown="false">
      <left/>
      <right style="thin">
        <color rgb="FF99CCFF"/>
      </right>
      <top style="thin">
        <color rgb="FF99CCFF"/>
      </top>
      <bottom/>
      <diagonal/>
    </border>
    <border diagonalUp="false" diagonalDown="false">
      <left style="thin">
        <color rgb="FF99CCFF"/>
      </left>
      <right/>
      <top/>
      <bottom style="thin">
        <color rgb="FF99CCFF"/>
      </bottom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/>
      <right style="thin">
        <color rgb="FF99CCFF"/>
      </right>
      <top/>
      <bottom style="thin">
        <color rgb="FF99CCFF"/>
      </bottom>
      <diagonal/>
    </border>
    <border diagonalUp="false" diagonalDown="false">
      <left style="thin">
        <color rgb="FF99CCFF"/>
      </left>
      <right/>
      <top style="thin">
        <color rgb="FF99CCFF"/>
      </top>
      <bottom style="thin">
        <color rgb="FF99CCFF"/>
      </bottom>
      <diagonal/>
    </border>
    <border diagonalUp="false" diagonalDown="false">
      <left/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22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9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4" shrinkToFit="false"/>
      <protection locked="true" hidden="true"/>
    </xf>
    <xf numFmtId="164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2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0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3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0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3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2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2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3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3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5" fillId="2" borderId="37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35" fillId="2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32" fillId="2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2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2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5" fontId="32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7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32" fillId="2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3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5" fontId="3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3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2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3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9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2" fontId="32" fillId="2" borderId="3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4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4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2" borderId="27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4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9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2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30" fillId="2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30" fillId="2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2" borderId="4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30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0" fontId="3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0" fillId="2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0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2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8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9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70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7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69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Purchas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Bank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Cash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20865</v>
          </cell>
        </row>
        <row r="1">
          <cell r="Q1">
            <v>52500</v>
          </cell>
          <cell r="R1">
            <v>4144</v>
          </cell>
        </row>
        <row r="1">
          <cell r="V1">
            <v>12500</v>
          </cell>
          <cell r="W1">
            <v>30000</v>
          </cell>
          <cell r="X1">
            <v>17328</v>
          </cell>
          <cell r="Y1">
            <v>8140</v>
          </cell>
          <cell r="Z1">
            <v>0</v>
          </cell>
        </row>
        <row r="1">
          <cell r="AC1">
            <v>540</v>
          </cell>
        </row>
        <row r="1">
          <cell r="AE1">
            <v>784</v>
          </cell>
          <cell r="AF1">
            <v>0</v>
          </cell>
        </row>
        <row r="1">
          <cell r="AH1">
            <v>20640</v>
          </cell>
          <cell r="AI1">
            <v>8460</v>
          </cell>
        </row>
        <row r="120">
          <cell r="K120">
            <v>1800</v>
          </cell>
        </row>
        <row r="121">
          <cell r="K121">
            <v>1024.65753424658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25333.3333333333</v>
          </cell>
          <cell r="Q1">
            <v>1800</v>
          </cell>
          <cell r="R1">
            <v>0</v>
          </cell>
          <cell r="S1">
            <v>700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2">
        <row r="1">
          <cell r="P1">
            <v>25633.3333333333</v>
          </cell>
          <cell r="Q1">
            <v>800</v>
          </cell>
          <cell r="R1">
            <v>1000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3">
        <row r="1">
          <cell r="P1">
            <v>26533.3333333333</v>
          </cell>
          <cell r="Q1">
            <v>800</v>
          </cell>
          <cell r="R1">
            <v>2000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4">
        <row r="1">
          <cell r="P1">
            <v>25633.3333333333</v>
          </cell>
          <cell r="Q1">
            <v>1800</v>
          </cell>
          <cell r="R1">
            <v>0</v>
          </cell>
          <cell r="S1">
            <v>700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5">
        <row r="1">
          <cell r="P1">
            <v>27133.3333333333</v>
          </cell>
          <cell r="Q1">
            <v>800</v>
          </cell>
          <cell r="R1">
            <v>0</v>
          </cell>
          <cell r="S1">
            <v>0</v>
          </cell>
          <cell r="T1">
            <v>2083.33333333333</v>
          </cell>
          <cell r="U1">
            <v>0</v>
          </cell>
        </row>
        <row r="1">
          <cell r="W1">
            <v>0</v>
          </cell>
        </row>
      </sheetData>
      <sheetData sheetId="6">
        <row r="1">
          <cell r="P1">
            <v>25033.3333333333</v>
          </cell>
          <cell r="Q1">
            <v>800</v>
          </cell>
          <cell r="R1">
            <v>1800</v>
          </cell>
          <cell r="S1">
            <v>500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7">
        <row r="1">
          <cell r="P1">
            <v>27133.3333333333</v>
          </cell>
          <cell r="Q1">
            <v>1800</v>
          </cell>
          <cell r="R1">
            <v>0</v>
          </cell>
          <cell r="S1">
            <v>700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8">
        <row r="1">
          <cell r="P1">
            <v>25633.3333333333</v>
          </cell>
          <cell r="Q1">
            <v>800</v>
          </cell>
          <cell r="R1">
            <v>3000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9">
        <row r="1">
          <cell r="P1">
            <v>26533.3333333333</v>
          </cell>
          <cell r="Q1">
            <v>800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0">
        <row r="1">
          <cell r="P1">
            <v>25633.3333333333</v>
          </cell>
          <cell r="Q1">
            <v>1800</v>
          </cell>
          <cell r="R1">
            <v>1000</v>
          </cell>
          <cell r="S1">
            <v>1100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1">
        <row r="1">
          <cell r="P1">
            <v>26333.3333333333</v>
          </cell>
          <cell r="Q1">
            <v>800</v>
          </cell>
          <cell r="R1">
            <v>1500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2">
        <row r="1">
          <cell r="P1">
            <v>25033.3333333333</v>
          </cell>
          <cell r="Q1">
            <v>800</v>
          </cell>
          <cell r="R1">
            <v>0</v>
          </cell>
          <cell r="S1">
            <v>0</v>
          </cell>
          <cell r="T1">
            <v>0</v>
          </cell>
          <cell r="U1">
            <v>-300</v>
          </cell>
        </row>
        <row r="1"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500</v>
          </cell>
          <cell r="Q1">
            <v>0</v>
          </cell>
          <cell r="R1">
            <v>237.5</v>
          </cell>
          <cell r="S1">
            <v>0</v>
          </cell>
          <cell r="T1">
            <v>1000</v>
          </cell>
          <cell r="U1">
            <v>100</v>
          </cell>
          <cell r="V1">
            <v>262.5</v>
          </cell>
          <cell r="W1">
            <v>516.75</v>
          </cell>
          <cell r="X1">
            <v>76.6666666666667</v>
          </cell>
          <cell r="Y1">
            <v>0</v>
          </cell>
          <cell r="Z1">
            <v>250</v>
          </cell>
          <cell r="AA1">
            <v>1330.83333333333</v>
          </cell>
        </row>
        <row r="1">
          <cell r="AC1">
            <v>0</v>
          </cell>
        </row>
      </sheetData>
      <sheetData sheetId="2">
        <row r="1">
          <cell r="P1">
            <v>600</v>
          </cell>
          <cell r="Q1">
            <v>0</v>
          </cell>
          <cell r="R1">
            <v>407.5</v>
          </cell>
          <cell r="S1">
            <v>0</v>
          </cell>
          <cell r="T1">
            <v>1000</v>
          </cell>
          <cell r="U1">
            <v>0</v>
          </cell>
          <cell r="V1">
            <v>277.5</v>
          </cell>
          <cell r="W1">
            <v>576</v>
          </cell>
          <cell r="X1">
            <v>126.666666666667</v>
          </cell>
          <cell r="Y1">
            <v>500</v>
          </cell>
          <cell r="Z1">
            <v>250</v>
          </cell>
          <cell r="AA1">
            <v>95.8333333333333</v>
          </cell>
        </row>
        <row r="1">
          <cell r="AC1">
            <v>0</v>
          </cell>
        </row>
      </sheetData>
      <sheetData sheetId="3">
        <row r="1">
          <cell r="P1">
            <v>300</v>
          </cell>
          <cell r="Q1">
            <v>4166.66666666667</v>
          </cell>
          <cell r="R1">
            <v>237.5</v>
          </cell>
          <cell r="S1">
            <v>0</v>
          </cell>
          <cell r="T1">
            <v>1300</v>
          </cell>
          <cell r="U1">
            <v>0</v>
          </cell>
          <cell r="V1">
            <v>192.5</v>
          </cell>
          <cell r="W1">
            <v>580</v>
          </cell>
          <cell r="X1">
            <v>226.666666666667</v>
          </cell>
          <cell r="Y1">
            <v>0</v>
          </cell>
          <cell r="Z1">
            <v>458.333333333333</v>
          </cell>
          <cell r="AA1">
            <v>120.833333333333</v>
          </cell>
        </row>
        <row r="1">
          <cell r="AC1">
            <v>0</v>
          </cell>
        </row>
      </sheetData>
      <sheetData sheetId="4">
        <row r="1">
          <cell r="P1">
            <v>600</v>
          </cell>
          <cell r="Q1">
            <v>0</v>
          </cell>
          <cell r="R1">
            <v>607.5</v>
          </cell>
          <cell r="S1">
            <v>0</v>
          </cell>
          <cell r="T1">
            <v>1000</v>
          </cell>
          <cell r="U1">
            <v>150</v>
          </cell>
          <cell r="V1">
            <v>382.5</v>
          </cell>
          <cell r="W1">
            <v>494.75</v>
          </cell>
          <cell r="X1">
            <v>76.6666666666667</v>
          </cell>
          <cell r="Y1">
            <v>400</v>
          </cell>
          <cell r="Z1">
            <v>2750</v>
          </cell>
          <cell r="AA1">
            <v>95.8333333333333</v>
          </cell>
        </row>
        <row r="1">
          <cell r="AC1">
            <v>0</v>
          </cell>
        </row>
      </sheetData>
      <sheetData sheetId="5">
        <row r="1">
          <cell r="P1">
            <v>450</v>
          </cell>
          <cell r="Q1">
            <v>0</v>
          </cell>
          <cell r="R1">
            <v>237.5</v>
          </cell>
          <cell r="S1">
            <v>666.666666666667</v>
          </cell>
          <cell r="T1">
            <v>1000</v>
          </cell>
          <cell r="U1">
            <v>200</v>
          </cell>
          <cell r="V1">
            <v>112.5</v>
          </cell>
          <cell r="W1">
            <v>516.75</v>
          </cell>
          <cell r="X1">
            <v>116.666666666667</v>
          </cell>
          <cell r="Y1">
            <v>0</v>
          </cell>
          <cell r="Z1">
            <v>250</v>
          </cell>
          <cell r="AA1">
            <v>135.833333333333</v>
          </cell>
        </row>
        <row r="1">
          <cell r="AC1">
            <v>291.666666666667</v>
          </cell>
        </row>
      </sheetData>
      <sheetData sheetId="6">
        <row r="1">
          <cell r="P1">
            <v>200</v>
          </cell>
          <cell r="Q1">
            <v>0</v>
          </cell>
          <cell r="R1">
            <v>507.5</v>
          </cell>
          <cell r="S1">
            <v>0</v>
          </cell>
          <cell r="T1">
            <v>1250</v>
          </cell>
          <cell r="U1">
            <v>0</v>
          </cell>
          <cell r="V1">
            <v>202.5</v>
          </cell>
          <cell r="W1">
            <v>618</v>
          </cell>
          <cell r="X1">
            <v>76.6666666666667</v>
          </cell>
          <cell r="Y1">
            <v>0</v>
          </cell>
          <cell r="Z1">
            <v>1223.33333333333</v>
          </cell>
          <cell r="AA1">
            <v>95.8333333333333</v>
          </cell>
        </row>
        <row r="1">
          <cell r="AC1">
            <v>0</v>
          </cell>
        </row>
      </sheetData>
      <sheetData sheetId="7">
        <row r="1">
          <cell r="P1">
            <v>400</v>
          </cell>
          <cell r="Q1">
            <v>0</v>
          </cell>
          <cell r="R1">
            <v>237.5</v>
          </cell>
          <cell r="S1">
            <v>0</v>
          </cell>
          <cell r="T1">
            <v>1000</v>
          </cell>
          <cell r="U1">
            <v>80</v>
          </cell>
          <cell r="V1">
            <v>262.5</v>
          </cell>
          <cell r="W1">
            <v>522.25</v>
          </cell>
          <cell r="X1">
            <v>176.666666666667</v>
          </cell>
          <cell r="Y1">
            <v>2500</v>
          </cell>
          <cell r="Z1">
            <v>250</v>
          </cell>
          <cell r="AA1">
            <v>425.833333333333</v>
          </cell>
        </row>
        <row r="1">
          <cell r="AC1">
            <v>0</v>
          </cell>
        </row>
      </sheetData>
      <sheetData sheetId="8">
        <row r="1">
          <cell r="P1">
            <v>700</v>
          </cell>
          <cell r="Q1">
            <v>2500</v>
          </cell>
          <cell r="R1">
            <v>207.5</v>
          </cell>
          <cell r="S1">
            <v>0</v>
          </cell>
          <cell r="T1">
            <v>1000</v>
          </cell>
          <cell r="U1">
            <v>0</v>
          </cell>
          <cell r="V1">
            <v>337.5</v>
          </cell>
          <cell r="W1">
            <v>569</v>
          </cell>
          <cell r="X1">
            <v>136.666666666667</v>
          </cell>
          <cell r="Y1">
            <v>0</v>
          </cell>
          <cell r="Z1">
            <v>250</v>
          </cell>
          <cell r="AA1">
            <v>95.8333333333333</v>
          </cell>
        </row>
        <row r="1">
          <cell r="AC1">
            <v>0</v>
          </cell>
        </row>
      </sheetData>
      <sheetData sheetId="9">
        <row r="1">
          <cell r="P1">
            <v>400</v>
          </cell>
          <cell r="Q1">
            <v>0</v>
          </cell>
          <cell r="R1">
            <v>237.5</v>
          </cell>
          <cell r="S1">
            <v>4166.66666666667</v>
          </cell>
          <cell r="T1">
            <v>1350</v>
          </cell>
          <cell r="U1">
            <v>0</v>
          </cell>
          <cell r="V1">
            <v>212.5</v>
          </cell>
          <cell r="W1">
            <v>530.5</v>
          </cell>
          <cell r="X1">
            <v>76.6666666666667</v>
          </cell>
          <cell r="Y1">
            <v>0</v>
          </cell>
          <cell r="Z1">
            <v>389.166666666667</v>
          </cell>
          <cell r="AA1">
            <v>532.5</v>
          </cell>
        </row>
        <row r="1">
          <cell r="AC1">
            <v>0</v>
          </cell>
        </row>
      </sheetData>
      <sheetData sheetId="10">
        <row r="1">
          <cell r="P1">
            <v>500</v>
          </cell>
          <cell r="Q1">
            <v>0</v>
          </cell>
          <cell r="R1">
            <v>357.5</v>
          </cell>
          <cell r="S1">
            <v>0</v>
          </cell>
          <cell r="T1">
            <v>1000</v>
          </cell>
          <cell r="U1">
            <v>120</v>
          </cell>
          <cell r="V1">
            <v>427.5</v>
          </cell>
          <cell r="W1">
            <v>546.75</v>
          </cell>
          <cell r="X1">
            <v>76.6666666666667</v>
          </cell>
          <cell r="Y1">
            <v>400</v>
          </cell>
          <cell r="Z1">
            <v>250</v>
          </cell>
          <cell r="AA1">
            <v>95.8333333333333</v>
          </cell>
        </row>
        <row r="1">
          <cell r="AC1">
            <v>0</v>
          </cell>
        </row>
      </sheetData>
      <sheetData sheetId="11">
        <row r="1">
          <cell r="P1">
            <v>550</v>
          </cell>
          <cell r="Q1">
            <v>0</v>
          </cell>
          <cell r="R1">
            <v>537.5</v>
          </cell>
          <cell r="S1">
            <v>0</v>
          </cell>
          <cell r="T1">
            <v>1000</v>
          </cell>
          <cell r="U1">
            <v>300</v>
          </cell>
          <cell r="V1">
            <v>112.5</v>
          </cell>
          <cell r="W1">
            <v>508.5</v>
          </cell>
          <cell r="X1">
            <v>306.666666666667</v>
          </cell>
          <cell r="Y1">
            <v>0</v>
          </cell>
          <cell r="Z1">
            <v>250</v>
          </cell>
          <cell r="AA1">
            <v>110.833333333333</v>
          </cell>
        </row>
        <row r="1">
          <cell r="AC1">
            <v>0</v>
          </cell>
        </row>
      </sheetData>
      <sheetData sheetId="12">
        <row r="1">
          <cell r="P1">
            <v>250</v>
          </cell>
          <cell r="Q1">
            <v>0</v>
          </cell>
          <cell r="R1">
            <v>207.5</v>
          </cell>
          <cell r="S1">
            <v>0</v>
          </cell>
          <cell r="T1">
            <v>1300</v>
          </cell>
          <cell r="U1">
            <v>0</v>
          </cell>
          <cell r="V1">
            <v>252.5</v>
          </cell>
          <cell r="W1">
            <v>591.5</v>
          </cell>
          <cell r="X1">
            <v>76.6666666666667</v>
          </cell>
          <cell r="Y1">
            <v>0</v>
          </cell>
          <cell r="Z1">
            <v>354.166666666667</v>
          </cell>
          <cell r="AA1">
            <v>95.8333333333333</v>
          </cell>
        </row>
        <row r="1">
          <cell r="AC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1000</v>
          </cell>
        </row>
      </sheetData>
      <sheetData sheetId="1">
        <row r="1">
          <cell r="J1">
            <v>0</v>
          </cell>
        </row>
        <row r="1">
          <cell r="L1">
            <v>0</v>
          </cell>
        </row>
        <row r="1">
          <cell r="Y1">
            <v>25</v>
          </cell>
          <cell r="Z1">
            <v>0</v>
          </cell>
        </row>
        <row r="1">
          <cell r="AB1">
            <v>1000</v>
          </cell>
        </row>
      </sheetData>
      <sheetData sheetId="2">
        <row r="1">
          <cell r="J1">
            <v>0</v>
          </cell>
        </row>
        <row r="1">
          <cell r="L1">
            <v>0</v>
          </cell>
        </row>
        <row r="1">
          <cell r="Y1">
            <v>2250</v>
          </cell>
          <cell r="Z1">
            <v>0</v>
          </cell>
        </row>
        <row r="1">
          <cell r="AB1">
            <v>1000</v>
          </cell>
        </row>
      </sheetData>
      <sheetData sheetId="3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4000</v>
          </cell>
        </row>
      </sheetData>
      <sheetData sheetId="4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1000</v>
          </cell>
        </row>
      </sheetData>
      <sheetData sheetId="5">
        <row r="1">
          <cell r="J1">
            <v>0</v>
          </cell>
        </row>
        <row r="1">
          <cell r="L1">
            <v>0</v>
          </cell>
        </row>
        <row r="1">
          <cell r="Y1">
            <v>1308</v>
          </cell>
          <cell r="Z1">
            <v>0</v>
          </cell>
        </row>
        <row r="1">
          <cell r="AB1">
            <v>1000</v>
          </cell>
        </row>
      </sheetData>
      <sheetData sheetId="6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4000</v>
          </cell>
        </row>
      </sheetData>
      <sheetData sheetId="7">
        <row r="1">
          <cell r="J1">
            <v>0</v>
          </cell>
        </row>
        <row r="1">
          <cell r="L1">
            <v>0</v>
          </cell>
        </row>
        <row r="1">
          <cell r="Y1">
            <v>25</v>
          </cell>
          <cell r="Z1">
            <v>0</v>
          </cell>
        </row>
        <row r="1">
          <cell r="AB1">
            <v>1000</v>
          </cell>
        </row>
      </sheetData>
      <sheetData sheetId="8">
        <row r="1">
          <cell r="J1">
            <v>0</v>
          </cell>
        </row>
        <row r="1">
          <cell r="L1">
            <v>0</v>
          </cell>
        </row>
        <row r="1">
          <cell r="Y1">
            <v>167</v>
          </cell>
          <cell r="Z1">
            <v>0</v>
          </cell>
        </row>
        <row r="1">
          <cell r="AB1">
            <v>1000</v>
          </cell>
        </row>
      </sheetData>
      <sheetData sheetId="9">
        <row r="1">
          <cell r="J1">
            <v>0</v>
          </cell>
        </row>
        <row r="1">
          <cell r="L1">
            <v>5000</v>
          </cell>
        </row>
        <row r="1">
          <cell r="Y1">
            <v>0</v>
          </cell>
          <cell r="Z1">
            <v>0</v>
          </cell>
        </row>
        <row r="1">
          <cell r="AB1">
            <v>4000</v>
          </cell>
        </row>
      </sheetData>
      <sheetData sheetId="1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1000</v>
          </cell>
        </row>
      </sheetData>
      <sheetData sheetId="11">
        <row r="1">
          <cell r="J1">
            <v>0</v>
          </cell>
        </row>
        <row r="1">
          <cell r="L1">
            <v>0</v>
          </cell>
        </row>
        <row r="1">
          <cell r="Y1">
            <v>125</v>
          </cell>
          <cell r="Z1">
            <v>0</v>
          </cell>
        </row>
        <row r="1">
          <cell r="AB1">
            <v>7000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2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3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4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5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6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7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8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9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2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3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4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5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6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7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8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9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10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11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12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0.82"/>
    <col collapsed="false" customWidth="true" hidden="false" outlineLevel="0" max="3" min="3" style="1" width="3.66"/>
    <col collapsed="false" customWidth="true" hidden="false" outlineLevel="0" max="4" min="4" style="1" width="4.66"/>
    <col collapsed="false" customWidth="true" hidden="false" outlineLevel="0" max="5" min="5" style="1" width="1.66"/>
    <col collapsed="false" customWidth="true" hidden="false" outlineLevel="0" max="6" min="6" style="1" width="10.66"/>
    <col collapsed="false" customWidth="true" hidden="false" outlineLevel="0" max="7" min="7" style="1" width="1.66"/>
    <col collapsed="false" customWidth="true" hidden="false" outlineLevel="0" max="9" min="8" style="1" width="2.5"/>
    <col collapsed="false" customWidth="true" hidden="false" outlineLevel="0" max="11" min="10" style="1" width="6.66"/>
    <col collapsed="false" customWidth="true" hidden="false" outlineLevel="0" max="12" min="12" style="1" width="3.66"/>
    <col collapsed="false" customWidth="true" hidden="false" outlineLevel="0" max="13" min="13" style="1" width="0.82"/>
    <col collapsed="false" customWidth="true" hidden="false" outlineLevel="0" max="15" min="14" style="1" width="3.66"/>
    <col collapsed="false" customWidth="true" hidden="false" outlineLevel="0" max="17" min="16" style="1" width="6.66"/>
    <col collapsed="false" customWidth="true" hidden="false" outlineLevel="0" max="18" min="18" style="1" width="1.66"/>
    <col collapsed="false" customWidth="true" hidden="false" outlineLevel="0" max="20" min="19" style="1" width="2.5"/>
    <col collapsed="false" customWidth="true" hidden="false" outlineLevel="0" max="21" min="21" style="1" width="2.66"/>
    <col collapsed="false" customWidth="true" hidden="false" outlineLevel="0" max="22" min="22" style="1" width="7.66"/>
    <col collapsed="false" customWidth="true" hidden="false" outlineLevel="0" max="23" min="23" style="1" width="4.66"/>
    <col collapsed="false" customWidth="false" hidden="false" outlineLevel="0" max="257" min="24" style="1" width="9.1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customFormat="false" ht="12" hidden="false" customHeight="false" outlineLevel="0" collapsed="false">
      <c r="A3" s="6"/>
      <c r="B3" s="7"/>
      <c r="C3" s="8" t="s">
        <v>1</v>
      </c>
      <c r="D3" s="8"/>
      <c r="E3" s="8"/>
      <c r="F3" s="7"/>
      <c r="G3" s="7"/>
      <c r="H3" s="7"/>
      <c r="I3" s="7"/>
      <c r="J3" s="7"/>
      <c r="K3" s="7"/>
      <c r="L3" s="7"/>
      <c r="M3" s="7"/>
      <c r="N3" s="8" t="s">
        <v>2</v>
      </c>
      <c r="O3" s="8"/>
      <c r="P3" s="8"/>
      <c r="Q3" s="8"/>
      <c r="R3" s="8"/>
      <c r="S3" s="8"/>
      <c r="T3" s="8"/>
      <c r="U3" s="8"/>
      <c r="V3" s="8"/>
      <c r="W3" s="9"/>
    </row>
    <row r="4" customFormat="false" ht="7.5" hidden="false" customHeight="true" outlineLevel="0" collapsed="false">
      <c r="A4" s="6"/>
      <c r="B4" s="7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9"/>
    </row>
    <row r="5" customFormat="false" ht="12" hidden="false" customHeight="true" outlineLevel="0" collapsed="false">
      <c r="A5" s="6"/>
      <c r="B5" s="7"/>
      <c r="C5" s="10" t="s">
        <v>3</v>
      </c>
      <c r="D5" s="10"/>
      <c r="E5" s="10"/>
      <c r="F5" s="10"/>
      <c r="G5" s="10"/>
      <c r="H5" s="10"/>
      <c r="I5" s="10"/>
      <c r="J5" s="10"/>
      <c r="K5" s="7"/>
      <c r="L5" s="7"/>
      <c r="M5" s="7"/>
      <c r="N5" s="7"/>
      <c r="O5" s="10"/>
      <c r="P5" s="10"/>
      <c r="Q5" s="7"/>
      <c r="R5" s="10"/>
      <c r="S5" s="10"/>
      <c r="T5" s="10"/>
      <c r="U5" s="10"/>
      <c r="V5" s="7"/>
      <c r="W5" s="11"/>
    </row>
    <row r="6" customFormat="false" ht="9.75" hidden="false" customHeight="true" outlineLevel="0" collapsed="false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13"/>
    </row>
    <row r="7" customFormat="false" ht="12" hidden="false" customHeight="true" outlineLevel="0" collapsed="false">
      <c r="A7" s="12"/>
      <c r="B7" s="7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13"/>
    </row>
    <row r="8" customFormat="false" ht="6" hidden="false" customHeight="true" outlineLevel="0" collapsed="false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customFormat="false" ht="24.75" hidden="false" customHeight="true" outlineLevel="0" collapsed="false">
      <c r="A9" s="17" t="s">
        <v>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customFormat="false" ht="7.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</row>
    <row r="11" customFormat="false" ht="12" hidden="false" customHeight="false" outlineLevel="0" collapsed="false">
      <c r="A11" s="21" t="n">
        <v>1</v>
      </c>
      <c r="B11" s="7"/>
      <c r="C11" s="8" t="s">
        <v>5</v>
      </c>
      <c r="D11" s="8"/>
      <c r="E11" s="8"/>
      <c r="F11" s="7"/>
      <c r="G11" s="7"/>
      <c r="H11" s="7"/>
      <c r="I11" s="7"/>
      <c r="J11" s="7"/>
      <c r="K11" s="7"/>
      <c r="L11" s="21" t="n">
        <v>5</v>
      </c>
      <c r="M11" s="7"/>
      <c r="N11" s="8" t="s">
        <v>6</v>
      </c>
      <c r="O11" s="8"/>
      <c r="P11" s="8"/>
      <c r="Q11" s="8"/>
      <c r="R11" s="8"/>
      <c r="S11" s="8"/>
      <c r="T11" s="8"/>
      <c r="U11" s="8"/>
      <c r="V11" s="8"/>
      <c r="W11" s="13"/>
    </row>
    <row r="12" customFormat="false" ht="12" hidden="false" customHeight="true" outlineLevel="0" collapsed="false">
      <c r="A12" s="12"/>
      <c r="B12" s="7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22" t="s">
        <v>7</v>
      </c>
      <c r="O12" s="8"/>
      <c r="P12" s="8"/>
      <c r="Q12" s="8"/>
      <c r="R12" s="8"/>
      <c r="S12" s="8"/>
      <c r="T12" s="8"/>
      <c r="U12" s="8"/>
      <c r="V12" s="8"/>
      <c r="W12" s="13"/>
    </row>
    <row r="13" customFormat="false" ht="9.75" hidden="false" customHeight="true" outlineLevel="0" collapsed="false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8</v>
      </c>
      <c r="O13" s="8"/>
      <c r="P13" s="8"/>
      <c r="Q13" s="8"/>
      <c r="R13" s="8"/>
      <c r="S13" s="8"/>
      <c r="T13" s="8"/>
      <c r="U13" s="8"/>
      <c r="V13" s="8"/>
      <c r="W13" s="13"/>
    </row>
    <row r="14" customFormat="false" ht="12" hidden="false" customHeight="true" outlineLevel="0" collapsed="false">
      <c r="A14" s="12"/>
      <c r="B14" s="7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23"/>
      <c r="O14" s="7"/>
      <c r="P14" s="7"/>
      <c r="Q14" s="7"/>
      <c r="R14" s="7"/>
      <c r="S14" s="7"/>
      <c r="T14" s="7"/>
      <c r="U14" s="7"/>
      <c r="V14" s="7"/>
      <c r="W14" s="24"/>
    </row>
    <row r="15" customFormat="false" ht="7.5" hidden="false" customHeight="true" outlineLevel="0" collapsed="false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4"/>
    </row>
    <row r="16" customFormat="false" ht="12" hidden="false" customHeight="false" outlineLevel="0" collapsed="false">
      <c r="A16" s="21" t="n">
        <v>2</v>
      </c>
      <c r="B16" s="7"/>
      <c r="C16" s="8" t="s">
        <v>9</v>
      </c>
      <c r="D16" s="8"/>
      <c r="E16" s="8"/>
      <c r="F16" s="7"/>
      <c r="G16" s="7"/>
      <c r="H16" s="7"/>
      <c r="I16" s="7"/>
      <c r="J16" s="7"/>
      <c r="K16" s="7"/>
      <c r="L16" s="21" t="n">
        <v>6</v>
      </c>
      <c r="M16" s="7"/>
      <c r="N16" s="8" t="s">
        <v>10</v>
      </c>
      <c r="O16" s="8"/>
      <c r="P16" s="8"/>
      <c r="Q16" s="8"/>
      <c r="R16" s="7"/>
      <c r="S16" s="25" t="n">
        <f aca="false">Admin!B4</f>
        <v>46118</v>
      </c>
      <c r="T16" s="25"/>
      <c r="U16" s="25"/>
      <c r="V16" s="25"/>
      <c r="W16" s="13"/>
    </row>
    <row r="17" customFormat="false" ht="15" hidden="false" customHeight="true" outlineLevel="0" collapsed="false">
      <c r="A17" s="12"/>
      <c r="B17" s="7"/>
      <c r="C17" s="10" t="s">
        <v>11</v>
      </c>
      <c r="D17" s="10"/>
      <c r="E17" s="10"/>
      <c r="F17" s="10"/>
      <c r="G17" s="10"/>
      <c r="H17" s="10"/>
      <c r="I17" s="10"/>
      <c r="J17" s="10"/>
      <c r="K17" s="7"/>
      <c r="L17" s="7"/>
      <c r="M17" s="7"/>
      <c r="N17" s="8" t="s">
        <v>12</v>
      </c>
      <c r="O17" s="8"/>
      <c r="P17" s="8"/>
      <c r="Q17" s="8"/>
      <c r="R17" s="8"/>
      <c r="S17" s="8"/>
      <c r="T17" s="8"/>
      <c r="U17" s="8"/>
      <c r="V17" s="8"/>
      <c r="W17" s="13"/>
    </row>
    <row r="18" customFormat="false" ht="7.5" hidden="false" customHeight="true" outlineLevel="0" collapsed="false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6"/>
      <c r="O18" s="26"/>
      <c r="P18" s="26"/>
      <c r="Q18" s="26"/>
      <c r="R18" s="7"/>
      <c r="S18" s="7"/>
      <c r="T18" s="7"/>
      <c r="U18" s="7"/>
      <c r="V18" s="7"/>
      <c r="W18" s="24"/>
    </row>
    <row r="19" customFormat="false" ht="13.5" hidden="false" customHeight="false" outlineLevel="0" collapsed="false">
      <c r="A19" s="12"/>
      <c r="B19" s="7"/>
      <c r="C19" s="10"/>
      <c r="D19" s="10"/>
      <c r="E19" s="10"/>
      <c r="F19" s="10"/>
      <c r="G19" s="10"/>
      <c r="H19" s="10"/>
      <c r="I19" s="10"/>
      <c r="J19" s="10"/>
      <c r="K19" s="7"/>
      <c r="L19" s="7"/>
      <c r="M19" s="7"/>
      <c r="N19" s="27"/>
      <c r="O19" s="27"/>
      <c r="P19" s="27"/>
      <c r="Q19" s="27"/>
      <c r="R19" s="7"/>
      <c r="S19" s="7"/>
      <c r="T19" s="7"/>
      <c r="U19" s="7"/>
      <c r="V19" s="7"/>
      <c r="W19" s="24"/>
    </row>
    <row r="20" customFormat="false" ht="7.5" hidden="false" customHeight="true" outlineLevel="0" collapsed="false">
      <c r="A20" s="1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</row>
    <row r="21" customFormat="false" ht="13.5" hidden="false" customHeight="false" outlineLevel="0" collapsed="false">
      <c r="A21" s="12"/>
      <c r="B21" s="7"/>
      <c r="C21" s="10"/>
      <c r="D21" s="10"/>
      <c r="E21" s="10"/>
      <c r="F21" s="10"/>
      <c r="G21" s="10"/>
      <c r="H21" s="10"/>
      <c r="I21" s="10"/>
      <c r="J21" s="10"/>
      <c r="K21" s="7"/>
      <c r="L21" s="21" t="n">
        <v>7</v>
      </c>
      <c r="M21" s="7"/>
      <c r="N21" s="8" t="s">
        <v>13</v>
      </c>
      <c r="O21" s="8"/>
      <c r="P21" s="8"/>
      <c r="Q21" s="8"/>
      <c r="R21" s="7"/>
      <c r="S21" s="25" t="n">
        <f aca="false">Admin!B17</f>
        <v>46482</v>
      </c>
      <c r="T21" s="25"/>
      <c r="U21" s="25"/>
      <c r="V21" s="25"/>
      <c r="W21" s="13"/>
    </row>
    <row r="22" customFormat="false" ht="7.5" hidden="false" customHeight="true" outlineLevel="0" collapsed="false">
      <c r="A22" s="1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8" t="s">
        <v>14</v>
      </c>
      <c r="O22" s="28"/>
      <c r="P22" s="28"/>
      <c r="Q22" s="28"/>
      <c r="R22" s="28"/>
      <c r="S22" s="28"/>
      <c r="T22" s="28"/>
      <c r="U22" s="28"/>
      <c r="V22" s="28"/>
      <c r="W22" s="29"/>
    </row>
    <row r="23" customFormat="false" ht="12" hidden="false" customHeight="false" outlineLevel="0" collapsed="false">
      <c r="A23" s="21" t="n">
        <v>3</v>
      </c>
      <c r="B23" s="7"/>
      <c r="C23" s="8" t="s">
        <v>15</v>
      </c>
      <c r="D23" s="8"/>
      <c r="E23" s="8"/>
      <c r="F23" s="7"/>
      <c r="G23" s="7"/>
      <c r="H23" s="7"/>
      <c r="I23" s="7"/>
      <c r="J23" s="7"/>
      <c r="K23" s="7"/>
      <c r="L23" s="7"/>
      <c r="M23" s="7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customFormat="false" ht="13.5" hidden="false" customHeight="false" outlineLevel="0" collapsed="false">
      <c r="A24" s="12"/>
      <c r="B24" s="7"/>
      <c r="C24" s="30" t="s">
        <v>16</v>
      </c>
      <c r="D24" s="31"/>
      <c r="E24" s="31"/>
      <c r="F24" s="7"/>
      <c r="G24" s="7"/>
      <c r="H24" s="7"/>
      <c r="I24" s="7"/>
      <c r="J24" s="7"/>
      <c r="K24" s="7"/>
      <c r="L24" s="7"/>
      <c r="M24" s="7"/>
      <c r="N24" s="27"/>
      <c r="O24" s="27"/>
      <c r="P24" s="27"/>
      <c r="Q24" s="27"/>
      <c r="R24" s="7"/>
      <c r="S24" s="7"/>
      <c r="T24" s="7"/>
      <c r="U24" s="7"/>
      <c r="V24" s="7"/>
      <c r="W24" s="24"/>
    </row>
    <row r="25" customFormat="false" ht="13.5" hidden="false" customHeight="false" outlineLevel="0" collapsed="false">
      <c r="A25" s="12"/>
      <c r="B25" s="7"/>
      <c r="C25" s="10"/>
      <c r="D25" s="10"/>
      <c r="E25" s="10"/>
      <c r="F25" s="10"/>
      <c r="G25" s="10"/>
      <c r="H25" s="10"/>
      <c r="I25" s="10"/>
      <c r="J25" s="10"/>
      <c r="K25" s="7"/>
      <c r="L25" s="21" t="n">
        <v>8</v>
      </c>
      <c r="M25" s="7"/>
      <c r="N25" s="8" t="s">
        <v>17</v>
      </c>
      <c r="O25" s="8"/>
      <c r="P25" s="8"/>
      <c r="Q25" s="8"/>
      <c r="R25" s="8"/>
      <c r="S25" s="8"/>
      <c r="T25" s="8"/>
      <c r="U25" s="8"/>
      <c r="V25" s="8"/>
      <c r="W25" s="13"/>
    </row>
    <row r="26" customFormat="false" ht="12" hidden="false" customHeight="true" outlineLevel="0" collapsed="false">
      <c r="A26" s="32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30" t="s">
        <v>18</v>
      </c>
      <c r="O26" s="22"/>
      <c r="P26" s="22"/>
      <c r="Q26" s="22"/>
      <c r="R26" s="22"/>
      <c r="S26" s="22"/>
      <c r="T26" s="22"/>
      <c r="U26" s="22"/>
      <c r="V26" s="22"/>
      <c r="W26" s="29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</row>
    <row r="27" customFormat="false" ht="13.5" hidden="false" customHeight="false" outlineLevel="0" collapsed="false">
      <c r="A27" s="12"/>
      <c r="B27" s="7"/>
      <c r="C27" s="10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27"/>
      <c r="O27" s="27"/>
      <c r="P27" s="27"/>
      <c r="Q27" s="27"/>
      <c r="R27" s="7"/>
      <c r="S27" s="7"/>
      <c r="T27" s="7"/>
      <c r="U27" s="7"/>
      <c r="V27" s="7"/>
      <c r="W27" s="24"/>
    </row>
    <row r="28" customFormat="false" ht="7.5" hidden="false" customHeight="true" outlineLevel="0" collapsed="false">
      <c r="A28" s="1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</row>
    <row r="29" customFormat="false" ht="12" hidden="false" customHeight="false" outlineLevel="0" collapsed="false">
      <c r="A29" s="21" t="n">
        <v>4</v>
      </c>
      <c r="B29" s="7"/>
      <c r="C29" s="22" t="s">
        <v>19</v>
      </c>
      <c r="D29" s="8"/>
      <c r="E29" s="8"/>
      <c r="F29" s="7"/>
      <c r="G29" s="7"/>
      <c r="H29" s="7"/>
      <c r="I29" s="7"/>
      <c r="J29" s="7"/>
      <c r="K29" s="7"/>
      <c r="L29" s="21" t="n">
        <v>9</v>
      </c>
      <c r="M29" s="7"/>
      <c r="N29" s="8" t="s">
        <v>20</v>
      </c>
      <c r="O29" s="8"/>
      <c r="P29" s="8"/>
      <c r="Q29" s="8"/>
      <c r="R29" s="8"/>
      <c r="S29" s="8"/>
      <c r="T29" s="8"/>
      <c r="U29" s="8"/>
      <c r="V29" s="8"/>
      <c r="W29" s="13"/>
    </row>
    <row r="30" customFormat="false" ht="13.5" hidden="false" customHeight="false" outlineLevel="0" collapsed="false">
      <c r="A30" s="12"/>
      <c r="B30" s="7"/>
      <c r="C30" s="34"/>
      <c r="D30" s="34"/>
      <c r="E30" s="7"/>
      <c r="F30" s="34"/>
      <c r="G30" s="7"/>
      <c r="H30" s="7"/>
      <c r="I30" s="7"/>
      <c r="J30" s="7"/>
      <c r="K30" s="7"/>
      <c r="L30" s="7"/>
      <c r="M30" s="7"/>
      <c r="N30" s="8" t="s">
        <v>21</v>
      </c>
      <c r="O30" s="8"/>
      <c r="P30" s="8"/>
      <c r="Q30" s="8"/>
      <c r="R30" s="8"/>
      <c r="S30" s="8"/>
      <c r="T30" s="8"/>
      <c r="U30" s="8"/>
      <c r="V30" s="8"/>
      <c r="W30" s="13"/>
    </row>
    <row r="31" customFormat="false" ht="12" hidden="false" customHeight="false" outlineLevel="0" collapsed="false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1" t="s">
        <v>22</v>
      </c>
      <c r="O31" s="31"/>
      <c r="P31" s="8"/>
      <c r="Q31" s="8"/>
      <c r="R31" s="8"/>
      <c r="S31" s="8"/>
      <c r="T31" s="8"/>
      <c r="U31" s="8"/>
      <c r="V31" s="8"/>
      <c r="W31" s="13"/>
    </row>
    <row r="32" customFormat="false" ht="15" hidden="false" customHeight="true" outlineLevel="0" collapsed="false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7"/>
      <c r="O32" s="27"/>
      <c r="P32" s="27"/>
      <c r="Q32" s="27"/>
      <c r="R32" s="7"/>
      <c r="S32" s="7"/>
      <c r="T32" s="7"/>
      <c r="U32" s="7"/>
      <c r="V32" s="7"/>
      <c r="W32" s="24"/>
    </row>
    <row r="33" customFormat="false" ht="7.5" hidden="false" customHeight="true" outlineLevel="0" collapsed="false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</row>
    <row r="34" customFormat="false" ht="24.75" hidden="false" customHeight="true" outlineLevel="0" collapsed="false">
      <c r="A34" s="38" t="s">
        <v>23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5" customFormat="false" ht="6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  <row r="36" customFormat="false" ht="12" hidden="false" customHeight="false" outlineLevel="0" collapsed="false">
      <c r="A36" s="21" t="n">
        <v>10</v>
      </c>
      <c r="B36" s="7"/>
      <c r="C36" s="8" t="s">
        <v>24</v>
      </c>
      <c r="D36" s="8"/>
      <c r="E36" s="8"/>
      <c r="F36" s="8"/>
      <c r="G36" s="8"/>
      <c r="H36" s="8"/>
      <c r="I36" s="8"/>
      <c r="J36" s="8"/>
      <c r="K36" s="8"/>
      <c r="L36" s="21" t="n">
        <v>13</v>
      </c>
      <c r="M36" s="7"/>
      <c r="N36" s="8" t="s">
        <v>25</v>
      </c>
      <c r="O36" s="8"/>
      <c r="P36" s="8"/>
      <c r="Q36" s="8"/>
      <c r="R36" s="8"/>
      <c r="S36" s="8"/>
      <c r="T36" s="8"/>
      <c r="U36" s="8"/>
      <c r="V36" s="8"/>
      <c r="W36" s="13"/>
    </row>
    <row r="37" customFormat="false" ht="12" hidden="false" customHeight="false" outlineLevel="0" collapsed="false">
      <c r="A37" s="12"/>
      <c r="B37" s="7"/>
      <c r="C37" s="8" t="s">
        <v>26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8" t="s">
        <v>27</v>
      </c>
      <c r="O37" s="8"/>
      <c r="P37" s="8"/>
      <c r="Q37" s="8"/>
      <c r="R37" s="8"/>
      <c r="S37" s="8"/>
      <c r="T37" s="8"/>
      <c r="U37" s="8"/>
      <c r="V37" s="8"/>
      <c r="W37" s="13"/>
    </row>
    <row r="38" customFormat="false" ht="7.5" hidden="false" customHeight="true" outlineLevel="0" collapsed="false">
      <c r="A38" s="1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</row>
    <row r="39" customFormat="false" ht="17.35" hidden="false" customHeight="false" outlineLevel="0" collapsed="false">
      <c r="A39" s="12"/>
      <c r="B39" s="7"/>
      <c r="C39" s="23"/>
      <c r="D39" s="7"/>
      <c r="E39" s="7"/>
      <c r="F39" s="7"/>
      <c r="G39" s="7"/>
      <c r="H39" s="7"/>
      <c r="I39" s="7"/>
      <c r="J39" s="7"/>
      <c r="K39" s="7"/>
      <c r="L39" s="7"/>
      <c r="M39" s="7"/>
      <c r="N39" s="23"/>
      <c r="O39" s="7"/>
      <c r="P39" s="7"/>
      <c r="Q39" s="7"/>
      <c r="R39" s="7"/>
      <c r="S39" s="7"/>
      <c r="T39" s="7"/>
      <c r="U39" s="7"/>
      <c r="V39" s="7"/>
      <c r="W39" s="24"/>
    </row>
    <row r="40" customFormat="false" ht="7.5" hidden="false" customHeight="true" outlineLevel="0" collapsed="false">
      <c r="A40" s="1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</row>
    <row r="41" customFormat="false" ht="12" hidden="false" customHeight="false" outlineLevel="0" collapsed="false">
      <c r="A41" s="21"/>
      <c r="B41" s="7"/>
      <c r="C41" s="8" t="s">
        <v>28</v>
      </c>
      <c r="D41" s="8"/>
      <c r="E41" s="8"/>
      <c r="F41" s="8"/>
      <c r="G41" s="8"/>
      <c r="H41" s="8"/>
      <c r="I41" s="8"/>
      <c r="J41" s="8"/>
      <c r="K41" s="8"/>
      <c r="L41" s="21" t="n">
        <v>14</v>
      </c>
      <c r="M41" s="7"/>
      <c r="N41" s="8" t="str">
        <f aca="false">"If you have provided the information about your "&amp;Admin!G2</f>
        <v>If you have provided the information about your 2026-27</v>
      </c>
      <c r="O41" s="8"/>
      <c r="P41" s="8"/>
      <c r="Q41" s="8"/>
      <c r="R41" s="8"/>
      <c r="S41" s="8"/>
      <c r="T41" s="8"/>
      <c r="U41" s="8"/>
      <c r="V41" s="8"/>
      <c r="W41" s="13"/>
    </row>
    <row r="42" customFormat="false" ht="12" hidden="false" customHeight="false" outlineLevel="0" collapsed="false">
      <c r="A42" s="12"/>
      <c r="B42" s="7"/>
      <c r="C42" s="8"/>
      <c r="D42" s="8"/>
      <c r="E42" s="8"/>
      <c r="F42" s="8"/>
      <c r="G42" s="8"/>
      <c r="H42" s="8"/>
      <c r="I42" s="8"/>
      <c r="J42" s="8"/>
      <c r="K42" s="8"/>
      <c r="L42" s="7"/>
      <c r="M42" s="7"/>
      <c r="N42" s="8" t="s">
        <v>29</v>
      </c>
      <c r="O42" s="8"/>
      <c r="P42" s="8"/>
      <c r="Q42" s="8"/>
      <c r="R42" s="8"/>
      <c r="S42" s="8"/>
      <c r="T42" s="8"/>
      <c r="U42" s="8"/>
      <c r="V42" s="8"/>
      <c r="W42" s="13"/>
    </row>
    <row r="43" customFormat="false" ht="12" hidden="false" customHeight="false" outlineLevel="0" collapsed="false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/>
      <c r="O43" s="8"/>
      <c r="P43" s="8"/>
      <c r="Q43" s="8"/>
      <c r="R43" s="8"/>
      <c r="S43" s="8"/>
      <c r="T43" s="8"/>
      <c r="U43" s="8"/>
      <c r="V43" s="8"/>
      <c r="W43" s="13"/>
    </row>
    <row r="44" customFormat="false" ht="7.5" hidden="false" customHeight="true" outlineLevel="0" collapsed="false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</row>
    <row r="45" customFormat="false" ht="17.35" hidden="false" customHeight="false" outlineLevel="0" collapsed="false">
      <c r="A45" s="1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23"/>
      <c r="O45" s="7"/>
      <c r="P45" s="7"/>
      <c r="Q45" s="7"/>
      <c r="R45" s="7"/>
      <c r="S45" s="7"/>
      <c r="T45" s="7"/>
      <c r="U45" s="7"/>
      <c r="V45" s="7"/>
      <c r="W45" s="24"/>
    </row>
    <row r="46" customFormat="false" ht="7.5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7"/>
    </row>
    <row r="47" customFormat="false" ht="12" hidden="false" customHeight="true" outlineLevel="0" collapsed="false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0"/>
      <c r="O47" s="26"/>
      <c r="P47" s="26"/>
      <c r="Q47" s="26"/>
      <c r="R47" s="7"/>
      <c r="S47" s="7"/>
      <c r="T47" s="7"/>
      <c r="U47" s="7"/>
      <c r="V47" s="7"/>
      <c r="W47" s="24"/>
    </row>
    <row r="48" customFormat="false" ht="12" hidden="false" customHeight="false" outlineLevel="0" collapsed="false">
      <c r="A48" s="21" t="n">
        <v>26</v>
      </c>
      <c r="B48" s="7"/>
      <c r="C48" s="39" t="s">
        <v>30</v>
      </c>
      <c r="D48" s="7"/>
      <c r="E48" s="7"/>
      <c r="F48" s="7"/>
      <c r="G48" s="7"/>
      <c r="H48" s="7"/>
      <c r="I48" s="7"/>
      <c r="J48" s="7"/>
      <c r="K48" s="7"/>
      <c r="L48" s="21" t="n">
        <v>24</v>
      </c>
      <c r="M48" s="7"/>
      <c r="N48" s="39" t="s">
        <v>31</v>
      </c>
      <c r="O48" s="8"/>
      <c r="P48" s="8"/>
      <c r="Q48" s="8"/>
      <c r="R48" s="8"/>
      <c r="S48" s="8"/>
      <c r="T48" s="8"/>
      <c r="U48" s="8"/>
      <c r="V48" s="8"/>
      <c r="W48" s="24"/>
    </row>
    <row r="49" customFormat="false" ht="12" hidden="false" customHeight="true" outlineLevel="0" collapsed="false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31" t="s">
        <v>32</v>
      </c>
      <c r="O49" s="8"/>
      <c r="P49" s="8"/>
      <c r="Q49" s="8"/>
      <c r="R49" s="8"/>
      <c r="S49" s="8"/>
      <c r="T49" s="8"/>
      <c r="U49" s="8"/>
      <c r="V49" s="8"/>
      <c r="W49" s="24"/>
    </row>
    <row r="50" customFormat="false" ht="15" hidden="false" customHeight="true" outlineLevel="0" collapsed="false">
      <c r="A50" s="7"/>
      <c r="B50" s="7"/>
      <c r="C50" s="40" t="s">
        <v>33</v>
      </c>
      <c r="D50" s="41" t="n">
        <v>0</v>
      </c>
      <c r="E50" s="41"/>
      <c r="F50" s="41"/>
      <c r="G50" s="42" t="s">
        <v>34</v>
      </c>
      <c r="H50" s="43" t="n">
        <v>0</v>
      </c>
      <c r="I50" s="43" t="n">
        <v>0</v>
      </c>
      <c r="J50" s="7"/>
      <c r="K50" s="7"/>
      <c r="L50" s="8"/>
      <c r="M50" s="7"/>
      <c r="N50" s="40" t="s">
        <v>33</v>
      </c>
      <c r="O50" s="41" t="n">
        <v>640</v>
      </c>
      <c r="P50" s="41"/>
      <c r="Q50" s="41"/>
      <c r="R50" s="42" t="s">
        <v>34</v>
      </c>
      <c r="S50" s="43" t="n">
        <v>0</v>
      </c>
      <c r="T50" s="43" t="n">
        <v>0</v>
      </c>
      <c r="U50" s="8"/>
      <c r="V50" s="8"/>
      <c r="W50" s="24"/>
    </row>
    <row r="51" customFormat="false" ht="7.5" hidden="false" customHeight="true" outlineLevel="0" collapsed="false">
      <c r="A51" s="7"/>
      <c r="B51" s="7"/>
      <c r="C51" s="44"/>
      <c r="D51" s="45"/>
      <c r="E51" s="45"/>
      <c r="F51" s="45"/>
      <c r="G51" s="42"/>
      <c r="H51" s="46"/>
      <c r="I51" s="4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4"/>
    </row>
    <row r="52" customFormat="false" ht="12" hidden="false" customHeight="true" outlineLevel="0" collapsed="false">
      <c r="A52" s="26"/>
      <c r="B52" s="26"/>
      <c r="C52" s="22" t="s">
        <v>35</v>
      </c>
      <c r="D52" s="45"/>
      <c r="E52" s="45"/>
      <c r="F52" s="45"/>
      <c r="G52" s="42"/>
      <c r="H52" s="46"/>
      <c r="I52" s="46"/>
      <c r="J52" s="26"/>
      <c r="K52" s="26"/>
      <c r="L52" s="26"/>
      <c r="M52" s="26"/>
      <c r="N52" s="22" t="s">
        <v>36</v>
      </c>
      <c r="O52" s="26"/>
      <c r="P52" s="26"/>
      <c r="Q52" s="26"/>
      <c r="R52" s="26"/>
      <c r="S52" s="26"/>
      <c r="T52" s="26"/>
      <c r="U52" s="26"/>
      <c r="V52" s="26"/>
      <c r="W52" s="47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  <c r="HI52" s="33"/>
      <c r="HJ52" s="33"/>
      <c r="HK52" s="33"/>
      <c r="HL52" s="33"/>
      <c r="HM52" s="33"/>
      <c r="HN52" s="33"/>
      <c r="HO52" s="33"/>
      <c r="HP52" s="33"/>
      <c r="HQ52" s="33"/>
      <c r="HR52" s="33"/>
      <c r="HS52" s="33"/>
      <c r="HT52" s="33"/>
      <c r="HU52" s="33"/>
      <c r="HV52" s="33"/>
      <c r="HW52" s="33"/>
      <c r="HX52" s="33"/>
      <c r="HY52" s="33"/>
      <c r="HZ52" s="33"/>
      <c r="IA52" s="33"/>
      <c r="IB52" s="33"/>
      <c r="IC52" s="33"/>
      <c r="ID52" s="33"/>
      <c r="IE52" s="33"/>
      <c r="IF52" s="33"/>
      <c r="IG52" s="33"/>
      <c r="IH52" s="33"/>
      <c r="II52" s="33"/>
      <c r="IJ52" s="33"/>
      <c r="IK52" s="33"/>
      <c r="IL52" s="33"/>
      <c r="IM52" s="33"/>
      <c r="IN52" s="33"/>
      <c r="IO52" s="33"/>
      <c r="IP52" s="33"/>
      <c r="IQ52" s="33"/>
      <c r="IR52" s="33"/>
      <c r="IS52" s="33"/>
      <c r="IT52" s="33"/>
      <c r="IU52" s="33"/>
      <c r="IV52" s="33"/>
      <c r="IW52" s="33"/>
    </row>
    <row r="53" customFormat="false" ht="12" hidden="false" customHeight="true" outlineLevel="0" collapsed="false">
      <c r="A53" s="26"/>
      <c r="B53" s="26"/>
      <c r="C53" s="48" t="s">
        <v>37</v>
      </c>
      <c r="D53" s="45"/>
      <c r="E53" s="45"/>
      <c r="F53" s="45"/>
      <c r="G53" s="42"/>
      <c r="H53" s="46"/>
      <c r="I53" s="46"/>
      <c r="J53" s="26"/>
      <c r="K53" s="26"/>
      <c r="L53" s="26"/>
      <c r="M53" s="26"/>
      <c r="N53" s="48" t="s">
        <v>37</v>
      </c>
      <c r="O53" s="45"/>
      <c r="P53" s="45"/>
      <c r="Q53" s="45"/>
      <c r="R53" s="42"/>
      <c r="S53" s="46"/>
      <c r="T53" s="46"/>
      <c r="U53" s="26"/>
      <c r="V53" s="26"/>
      <c r="W53" s="47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  <c r="HI53" s="33"/>
      <c r="HJ53" s="33"/>
      <c r="HK53" s="33"/>
      <c r="HL53" s="33"/>
      <c r="HM53" s="33"/>
      <c r="HN53" s="33"/>
      <c r="HO53" s="33"/>
      <c r="HP53" s="33"/>
      <c r="HQ53" s="33"/>
      <c r="HR53" s="33"/>
      <c r="HS53" s="33"/>
      <c r="HT53" s="33"/>
      <c r="HU53" s="33"/>
      <c r="HV53" s="33"/>
      <c r="HW53" s="33"/>
      <c r="HX53" s="33"/>
      <c r="HY53" s="33"/>
      <c r="HZ53" s="33"/>
      <c r="IA53" s="33"/>
      <c r="IB53" s="33"/>
      <c r="IC53" s="33"/>
      <c r="ID53" s="33"/>
      <c r="IE53" s="33"/>
      <c r="IF53" s="33"/>
      <c r="IG53" s="33"/>
      <c r="IH53" s="33"/>
      <c r="II53" s="33"/>
      <c r="IJ53" s="33"/>
      <c r="IK53" s="33"/>
      <c r="IL53" s="33"/>
      <c r="IM53" s="33"/>
      <c r="IN53" s="33"/>
      <c r="IO53" s="33"/>
      <c r="IP53" s="33"/>
      <c r="IQ53" s="33"/>
      <c r="IR53" s="33"/>
      <c r="IS53" s="33"/>
      <c r="IT53" s="33"/>
      <c r="IU53" s="33"/>
      <c r="IV53" s="33"/>
      <c r="IW53" s="33"/>
    </row>
    <row r="54" customFormat="false" ht="3.75" hidden="false" customHeight="true" outlineLevel="0" collapsed="false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6"/>
      <c r="O54" s="26"/>
      <c r="P54" s="26"/>
      <c r="Q54" s="26"/>
      <c r="R54" s="7"/>
      <c r="S54" s="7"/>
      <c r="T54" s="7"/>
      <c r="U54" s="7"/>
      <c r="V54" s="7"/>
      <c r="W54" s="24"/>
    </row>
    <row r="55" customFormat="false" ht="15" hidden="false" customHeight="true" outlineLevel="0" collapsed="false">
      <c r="A55" s="7"/>
      <c r="B55" s="7"/>
      <c r="C55" s="40" t="s">
        <v>33</v>
      </c>
      <c r="D55" s="49" t="n">
        <f aca="false">'SE Short'!O94</f>
        <v>0</v>
      </c>
      <c r="E55" s="49"/>
      <c r="F55" s="49"/>
      <c r="G55" s="42" t="s">
        <v>34</v>
      </c>
      <c r="H55" s="43" t="n">
        <v>0</v>
      </c>
      <c r="I55" s="43" t="n">
        <v>0</v>
      </c>
      <c r="J55" s="7"/>
      <c r="K55" s="7"/>
      <c r="L55" s="7"/>
      <c r="M55" s="7"/>
      <c r="N55" s="40" t="s">
        <v>33</v>
      </c>
      <c r="O55" s="49" t="n">
        <f aca="false">D50-D55+'SE Short'!O106</f>
        <v>0</v>
      </c>
      <c r="P55" s="49"/>
      <c r="Q55" s="49"/>
      <c r="R55" s="42" t="s">
        <v>34</v>
      </c>
      <c r="S55" s="43" t="n">
        <v>0</v>
      </c>
      <c r="T55" s="43" t="n">
        <v>0</v>
      </c>
      <c r="U55" s="7"/>
      <c r="V55" s="7"/>
      <c r="W55" s="24"/>
    </row>
    <row r="56" customFormat="false" ht="7.5" hidden="false" customHeight="true" outlineLevel="0" collapsed="false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7"/>
    </row>
    <row r="57" customFormat="false" ht="12" hidden="false" customHeight="false" outlineLevel="0" collapsed="false">
      <c r="A57" s="7"/>
      <c r="B57" s="7"/>
      <c r="C57" s="39" t="s">
        <v>38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39" t="s">
        <v>39</v>
      </c>
      <c r="O57" s="8"/>
      <c r="P57" s="8"/>
      <c r="Q57" s="8"/>
      <c r="R57" s="8"/>
      <c r="S57" s="8"/>
      <c r="T57" s="8"/>
      <c r="U57" s="8"/>
      <c r="V57" s="8"/>
      <c r="W57" s="24"/>
    </row>
    <row r="58" customFormat="false" ht="12" hidden="false" customHeight="true" outlineLevel="0" collapsed="false">
      <c r="A58" s="8"/>
      <c r="B58" s="7"/>
      <c r="C58" s="31" t="s">
        <v>40</v>
      </c>
      <c r="D58" s="7"/>
      <c r="E58" s="7"/>
      <c r="F58" s="7"/>
      <c r="G58" s="7"/>
      <c r="H58" s="7"/>
      <c r="I58" s="7"/>
      <c r="J58" s="7"/>
      <c r="K58" s="7"/>
      <c r="L58" s="8"/>
      <c r="M58" s="7"/>
      <c r="N58" s="31" t="s">
        <v>41</v>
      </c>
      <c r="O58" s="8"/>
      <c r="P58" s="8"/>
      <c r="Q58" s="8"/>
      <c r="R58" s="8"/>
      <c r="S58" s="8"/>
      <c r="T58" s="8"/>
      <c r="U58" s="8"/>
      <c r="V58" s="8"/>
      <c r="W58" s="24"/>
    </row>
    <row r="59" customFormat="false" ht="15" hidden="false" customHeight="true" outlineLevel="0" collapsed="false">
      <c r="A59" s="7"/>
      <c r="B59" s="7"/>
      <c r="C59" s="40" t="s">
        <v>33</v>
      </c>
      <c r="D59" s="41" t="n">
        <v>2400</v>
      </c>
      <c r="E59" s="41"/>
      <c r="F59" s="41"/>
      <c r="G59" s="42" t="s">
        <v>34</v>
      </c>
      <c r="H59" s="43" t="n">
        <v>0</v>
      </c>
      <c r="I59" s="43" t="n">
        <v>0</v>
      </c>
      <c r="J59" s="7"/>
      <c r="K59" s="7"/>
      <c r="L59" s="7"/>
      <c r="M59" s="7"/>
      <c r="N59" s="40" t="s">
        <v>33</v>
      </c>
      <c r="O59" s="41" t="n">
        <v>6000</v>
      </c>
      <c r="P59" s="41"/>
      <c r="Q59" s="41"/>
      <c r="R59" s="42" t="s">
        <v>34</v>
      </c>
      <c r="S59" s="43" t="n">
        <v>0</v>
      </c>
      <c r="T59" s="43" t="n">
        <v>0</v>
      </c>
      <c r="U59" s="7"/>
      <c r="V59" s="7"/>
      <c r="W59" s="24"/>
    </row>
    <row r="60" customFormat="false" ht="7.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26"/>
      <c r="O60" s="26"/>
      <c r="P60" s="26"/>
      <c r="Q60" s="26"/>
      <c r="R60" s="7"/>
      <c r="S60" s="7"/>
      <c r="T60" s="7"/>
      <c r="U60" s="7"/>
      <c r="V60" s="7"/>
      <c r="W60" s="24"/>
    </row>
    <row r="61" customFormat="false" ht="12" hidden="false" customHeight="true" outlineLevel="0" collapsed="false">
      <c r="A61" s="8"/>
      <c r="B61" s="7"/>
      <c r="C61" s="22" t="s">
        <v>42</v>
      </c>
      <c r="D61" s="7"/>
      <c r="E61" s="7"/>
      <c r="F61" s="7"/>
      <c r="G61" s="7"/>
      <c r="H61" s="7"/>
      <c r="I61" s="7"/>
      <c r="J61" s="7"/>
      <c r="K61" s="7"/>
      <c r="L61" s="8"/>
      <c r="M61" s="7"/>
      <c r="N61" s="22" t="s">
        <v>43</v>
      </c>
      <c r="O61" s="8"/>
      <c r="P61" s="8"/>
      <c r="Q61" s="8"/>
      <c r="R61" s="8"/>
      <c r="S61" s="8"/>
      <c r="T61" s="8"/>
      <c r="U61" s="8"/>
      <c r="V61" s="8"/>
      <c r="W61" s="24"/>
    </row>
    <row r="62" customFormat="false" ht="12" hidden="false" customHeight="true" outlineLevel="0" collapsed="false">
      <c r="A62" s="8"/>
      <c r="B62" s="7"/>
      <c r="C62" s="48" t="s">
        <v>37</v>
      </c>
      <c r="D62" s="7"/>
      <c r="E62" s="7"/>
      <c r="F62" s="7"/>
      <c r="G62" s="7"/>
      <c r="H62" s="7"/>
      <c r="I62" s="7"/>
      <c r="J62" s="7"/>
      <c r="K62" s="7"/>
      <c r="L62" s="8"/>
      <c r="M62" s="7"/>
      <c r="N62" s="48" t="s">
        <v>37</v>
      </c>
      <c r="O62" s="8"/>
      <c r="P62" s="8"/>
      <c r="Q62" s="8"/>
      <c r="R62" s="8"/>
      <c r="S62" s="8"/>
      <c r="T62" s="8"/>
      <c r="U62" s="8"/>
      <c r="V62" s="8"/>
      <c r="W62" s="24"/>
    </row>
    <row r="63" customFormat="false" ht="3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26"/>
      <c r="O63" s="26"/>
      <c r="P63" s="26"/>
      <c r="Q63" s="26"/>
      <c r="R63" s="7"/>
      <c r="S63" s="7"/>
      <c r="T63" s="7"/>
      <c r="U63" s="7"/>
      <c r="V63" s="7"/>
      <c r="W63" s="24"/>
    </row>
    <row r="64" customFormat="false" ht="15" hidden="false" customHeight="true" outlineLevel="0" collapsed="false">
      <c r="A64" s="7"/>
      <c r="B64" s="7"/>
      <c r="C64" s="40" t="s">
        <v>33</v>
      </c>
      <c r="D64" s="49" t="n">
        <f aca="false">IF(YEAR(Admin!$B$17)=2024,D59,0)</f>
        <v>0</v>
      </c>
      <c r="E64" s="49"/>
      <c r="F64" s="49"/>
      <c r="G64" s="42" t="s">
        <v>34</v>
      </c>
      <c r="H64" s="43" t="n">
        <v>0</v>
      </c>
      <c r="I64" s="43" t="n">
        <v>0</v>
      </c>
      <c r="J64" s="7"/>
      <c r="K64" s="7"/>
      <c r="L64" s="7"/>
      <c r="M64" s="7"/>
      <c r="N64" s="40" t="s">
        <v>33</v>
      </c>
      <c r="O64" s="49" t="n">
        <f aca="false">IF(YEAR(Admin!$B$17)&lt;2024,0,O59/MAX(1,2029-YEAR(Admin!$B$17)))</f>
        <v>3000</v>
      </c>
      <c r="P64" s="49"/>
      <c r="Q64" s="49"/>
      <c r="R64" s="42" t="s">
        <v>34</v>
      </c>
      <c r="S64" s="43" t="n">
        <v>0</v>
      </c>
      <c r="T64" s="43" t="n">
        <v>0</v>
      </c>
      <c r="U64" s="7"/>
      <c r="V64" s="7"/>
      <c r="W64" s="24"/>
    </row>
    <row r="65" customFormat="false" ht="7.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26"/>
      <c r="O65" s="26"/>
      <c r="P65" s="26"/>
      <c r="Q65" s="26"/>
      <c r="R65" s="7"/>
      <c r="S65" s="7"/>
      <c r="T65" s="7"/>
      <c r="U65" s="7"/>
      <c r="V65" s="7"/>
      <c r="W65" s="24"/>
    </row>
    <row r="66" customFormat="false" ht="12" hidden="false" customHeight="true" outlineLevel="0" collapsed="false">
      <c r="A66" s="8"/>
      <c r="B66" s="7"/>
      <c r="C66" s="22" t="s">
        <v>44</v>
      </c>
      <c r="D66" s="7"/>
      <c r="E66" s="7"/>
      <c r="F66" s="7"/>
      <c r="G66" s="7"/>
      <c r="H66" s="7"/>
      <c r="I66" s="7"/>
      <c r="J66" s="7"/>
      <c r="K66" s="7"/>
      <c r="L66" s="8"/>
      <c r="M66" s="7"/>
      <c r="N66" s="22" t="s">
        <v>45</v>
      </c>
      <c r="O66" s="8"/>
      <c r="P66" s="8"/>
      <c r="Q66" s="8"/>
      <c r="R66" s="8"/>
      <c r="S66" s="8"/>
      <c r="T66" s="8"/>
      <c r="U66" s="8"/>
      <c r="V66" s="8"/>
      <c r="W66" s="24"/>
    </row>
    <row r="67" customFormat="false" ht="12" hidden="false" customHeight="true" outlineLevel="0" collapsed="false">
      <c r="A67" s="8"/>
      <c r="B67" s="7"/>
      <c r="C67" s="48" t="s">
        <v>37</v>
      </c>
      <c r="D67" s="7"/>
      <c r="E67" s="7"/>
      <c r="F67" s="7"/>
      <c r="G67" s="7"/>
      <c r="H67" s="7"/>
      <c r="I67" s="7"/>
      <c r="J67" s="7"/>
      <c r="K67" s="7"/>
      <c r="L67" s="8"/>
      <c r="M67" s="7"/>
      <c r="N67" s="31" t="s">
        <v>46</v>
      </c>
      <c r="O67" s="8"/>
      <c r="P67" s="8"/>
      <c r="Q67" s="8"/>
      <c r="R67" s="8"/>
      <c r="S67" s="8"/>
      <c r="T67" s="8"/>
      <c r="U67" s="8"/>
      <c r="V67" s="8"/>
      <c r="W67" s="24"/>
    </row>
    <row r="68" customFormat="false" ht="3.7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26"/>
      <c r="O68" s="26"/>
      <c r="P68" s="26"/>
      <c r="Q68" s="26"/>
      <c r="R68" s="7"/>
      <c r="S68" s="7"/>
      <c r="T68" s="7"/>
      <c r="U68" s="7"/>
      <c r="V68" s="7"/>
      <c r="W68" s="24"/>
    </row>
    <row r="69" customFormat="false" ht="15" hidden="false" customHeight="true" outlineLevel="0" collapsed="false">
      <c r="A69" s="7"/>
      <c r="B69" s="7"/>
      <c r="C69" s="40" t="s">
        <v>33</v>
      </c>
      <c r="D69" s="49" t="n">
        <f aca="false">D59-D64</f>
        <v>2400</v>
      </c>
      <c r="E69" s="49"/>
      <c r="F69" s="49"/>
      <c r="G69" s="42" t="s">
        <v>34</v>
      </c>
      <c r="H69" s="43" t="n">
        <v>0</v>
      </c>
      <c r="I69" s="43" t="n">
        <v>0</v>
      </c>
      <c r="J69" s="7"/>
      <c r="K69" s="7"/>
      <c r="L69" s="7"/>
      <c r="M69" s="7"/>
      <c r="N69" s="40" t="s">
        <v>33</v>
      </c>
      <c r="O69" s="41" t="n">
        <v>1000</v>
      </c>
      <c r="P69" s="41"/>
      <c r="Q69" s="41"/>
      <c r="R69" s="42" t="s">
        <v>34</v>
      </c>
      <c r="S69" s="43" t="n">
        <v>0</v>
      </c>
      <c r="T69" s="43" t="n">
        <v>0</v>
      </c>
      <c r="U69" s="7"/>
      <c r="V69" s="7"/>
      <c r="W69" s="24"/>
    </row>
    <row r="70" customFormat="false" ht="7.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26"/>
      <c r="O70" s="26"/>
      <c r="P70" s="26"/>
      <c r="Q70" s="26"/>
      <c r="R70" s="7"/>
      <c r="S70" s="7"/>
      <c r="T70" s="7"/>
      <c r="U70" s="7"/>
      <c r="V70" s="7"/>
      <c r="W70" s="24"/>
    </row>
    <row r="71" customFormat="false" ht="12" hidden="false" customHeight="true" outlineLevel="0" collapsed="false">
      <c r="A71" s="8"/>
      <c r="B71" s="7"/>
      <c r="C71" s="22" t="s">
        <v>47</v>
      </c>
      <c r="D71" s="7"/>
      <c r="E71" s="7"/>
      <c r="F71" s="7"/>
      <c r="G71" s="7"/>
      <c r="H71" s="7"/>
      <c r="I71" s="7"/>
      <c r="J71" s="7"/>
      <c r="K71" s="7"/>
      <c r="L71" s="8"/>
      <c r="M71" s="7"/>
      <c r="N71" s="22" t="s">
        <v>48</v>
      </c>
      <c r="O71" s="8"/>
      <c r="P71" s="8"/>
      <c r="Q71" s="8"/>
      <c r="R71" s="8"/>
      <c r="S71" s="8"/>
      <c r="T71" s="8"/>
      <c r="U71" s="8"/>
      <c r="V71" s="8"/>
      <c r="W71" s="24"/>
    </row>
    <row r="72" customFormat="false" ht="12" hidden="false" customHeight="true" outlineLevel="0" collapsed="false">
      <c r="A72" s="8"/>
      <c r="B72" s="7"/>
      <c r="C72" s="31" t="s">
        <v>49</v>
      </c>
      <c r="D72" s="7"/>
      <c r="E72" s="7"/>
      <c r="F72" s="7"/>
      <c r="G72" s="7"/>
      <c r="H72" s="7"/>
      <c r="I72" s="7"/>
      <c r="J72" s="7"/>
      <c r="K72" s="7"/>
      <c r="L72" s="8"/>
      <c r="M72" s="7"/>
      <c r="N72" s="48" t="s">
        <v>37</v>
      </c>
      <c r="O72" s="8"/>
      <c r="P72" s="8"/>
      <c r="Q72" s="8"/>
      <c r="R72" s="8"/>
      <c r="S72" s="8"/>
      <c r="T72" s="8"/>
      <c r="U72" s="8"/>
      <c r="V72" s="8"/>
      <c r="W72" s="24"/>
    </row>
    <row r="73" customFormat="false" ht="3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26"/>
      <c r="O73" s="26"/>
      <c r="P73" s="26"/>
      <c r="Q73" s="26"/>
      <c r="R73" s="7"/>
      <c r="S73" s="7"/>
      <c r="T73" s="7"/>
      <c r="U73" s="7"/>
      <c r="V73" s="7"/>
      <c r="W73" s="24"/>
    </row>
    <row r="74" customFormat="false" ht="15" hidden="false" customHeight="true" outlineLevel="0" collapsed="false">
      <c r="A74" s="7"/>
      <c r="B74" s="7"/>
      <c r="C74" s="40" t="s">
        <v>33</v>
      </c>
      <c r="D74" s="41"/>
      <c r="E74" s="41"/>
      <c r="F74" s="41"/>
      <c r="G74" s="42" t="s">
        <v>34</v>
      </c>
      <c r="H74" s="43" t="n">
        <v>0</v>
      </c>
      <c r="I74" s="43" t="n">
        <v>0</v>
      </c>
      <c r="J74" s="7"/>
      <c r="K74" s="7"/>
      <c r="L74" s="7"/>
      <c r="M74" s="7"/>
      <c r="N74" s="40" t="s">
        <v>33</v>
      </c>
      <c r="O74" s="49" t="n">
        <f aca="false">O59-O64-O69</f>
        <v>2000</v>
      </c>
      <c r="P74" s="49"/>
      <c r="Q74" s="49"/>
      <c r="R74" s="42" t="s">
        <v>34</v>
      </c>
      <c r="S74" s="43" t="n">
        <v>0</v>
      </c>
      <c r="T74" s="43" t="n">
        <v>0</v>
      </c>
      <c r="U74" s="7"/>
      <c r="V74" s="7"/>
      <c r="W74" s="24"/>
    </row>
    <row r="75" customFormat="false" ht="7.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26"/>
      <c r="O75" s="26"/>
      <c r="P75" s="26"/>
      <c r="Q75" s="26"/>
      <c r="R75" s="7"/>
      <c r="S75" s="7"/>
      <c r="T75" s="7"/>
      <c r="U75" s="7"/>
      <c r="V75" s="7"/>
      <c r="W75" s="24"/>
    </row>
    <row r="76" customFormat="false" ht="12" hidden="false" customHeight="false" outlineLevel="0" collapsed="false">
      <c r="A76" s="1" t="s">
        <v>50</v>
      </c>
    </row>
    <row r="77" customFormat="false" ht="12" hidden="false" customHeight="false" outlineLevel="0" collapsed="false">
      <c r="A77" s="1" t="s">
        <v>51</v>
      </c>
    </row>
  </sheetData>
  <mergeCells count="34">
    <mergeCell ref="A1:W1"/>
    <mergeCell ref="C5:J5"/>
    <mergeCell ref="O5:P5"/>
    <mergeCell ref="R5:U5"/>
    <mergeCell ref="C7:J7"/>
    <mergeCell ref="A9:W9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27:J27"/>
    <mergeCell ref="N27:Q27"/>
    <mergeCell ref="C30:D30"/>
    <mergeCell ref="N32:Q32"/>
    <mergeCell ref="A34:W34"/>
    <mergeCell ref="D50:F50"/>
    <mergeCell ref="O50:Q50"/>
    <mergeCell ref="D55:F55"/>
    <mergeCell ref="O55:Q55"/>
    <mergeCell ref="D59:F59"/>
    <mergeCell ref="O59:Q59"/>
    <mergeCell ref="D64:F64"/>
    <mergeCell ref="O64:Q64"/>
    <mergeCell ref="D69:F69"/>
    <mergeCell ref="O69:Q69"/>
    <mergeCell ref="D74:F74"/>
    <mergeCell ref="O74:Q7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66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1" min="10" style="50" width="6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5" min="14" style="50" width="3.66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2.15"/>
    <col collapsed="false" customWidth="true" hidden="false" outlineLevel="0" max="21" min="21" style="50" width="2.66"/>
    <col collapsed="false" customWidth="true" hidden="false" outlineLevel="0" max="22" min="22" style="50" width="7.66"/>
    <col collapsed="false" customWidth="true" hidden="false" outlineLevel="0" max="23" min="23" style="50" width="12.3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52</v>
      </c>
      <c r="B1" s="51"/>
      <c r="C1" s="51"/>
      <c r="D1" s="51"/>
      <c r="E1" s="51"/>
      <c r="F1" s="51"/>
      <c r="G1" s="52" t="s">
        <v>53</v>
      </c>
      <c r="H1" s="52"/>
      <c r="I1" s="52"/>
      <c r="J1" s="52"/>
      <c r="K1" s="52"/>
      <c r="L1" s="52"/>
      <c r="M1" s="52"/>
      <c r="N1" s="52"/>
      <c r="O1" s="53" t="s">
        <v>54</v>
      </c>
      <c r="P1" s="53"/>
      <c r="Q1" s="53"/>
      <c r="R1" s="53"/>
      <c r="S1" s="53"/>
      <c r="T1" s="53"/>
      <c r="U1" s="53"/>
      <c r="V1" s="53"/>
      <c r="W1" s="53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2"/>
      <c r="O2" s="54" t="s">
        <v>55</v>
      </c>
      <c r="P2" s="54"/>
      <c r="Q2" s="55" t="n">
        <f aca="false">Admin!B4</f>
        <v>46118</v>
      </c>
      <c r="R2" s="55"/>
      <c r="S2" s="55"/>
      <c r="T2" s="55"/>
      <c r="U2" s="56" t="s">
        <v>56</v>
      </c>
      <c r="V2" s="55" t="n">
        <f aca="false">Admin!B17</f>
        <v>46482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7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66" t="str">
        <f aca="false">IF('Business Details'!C5&gt;0,'Business Details'!C5:J5," ")</f>
        <v>Precision Code Trading</v>
      </c>
      <c r="D8" s="66"/>
      <c r="E8" s="66"/>
      <c r="F8" s="66"/>
      <c r="G8" s="66"/>
      <c r="H8" s="66"/>
      <c r="I8" s="66"/>
      <c r="J8" s="66"/>
      <c r="K8" s="63"/>
      <c r="L8" s="63"/>
      <c r="M8" s="63"/>
      <c r="N8" s="63"/>
      <c r="O8" s="10" t="str">
        <f aca="false">IF('Business Details'!O5&gt;0,'Business Details'!O5," ")</f>
        <v> </v>
      </c>
      <c r="P8" s="10"/>
      <c r="Q8" s="7"/>
      <c r="R8" s="10" t="str">
        <f aca="false">IF('Business Details'!R5&gt;0,'Business Details'!R5," ")</f>
        <v> </v>
      </c>
      <c r="S8" s="10"/>
      <c r="T8" s="10"/>
      <c r="U8" s="10"/>
      <c r="V8" s="63"/>
      <c r="W8" s="67"/>
    </row>
    <row r="9" customFormat="false" ht="6" hidden="false" customHeight="true" outlineLevel="0" collapsed="false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0"/>
    </row>
    <row r="10" customFormat="false" ht="24.75" hidden="false" customHeight="true" outlineLevel="0" collapsed="false">
      <c r="A10" s="71" t="s">
        <v>4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customFormat="false" ht="7.5" hidden="false" customHeight="true" outlineLevel="0" collapsed="false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</row>
    <row r="12" customFormat="false" ht="12.65" hidden="false" customHeight="false" outlineLevel="0" collapsed="false">
      <c r="A12" s="75" t="n">
        <v>1</v>
      </c>
      <c r="B12" s="63"/>
      <c r="C12" s="64" t="s">
        <v>9</v>
      </c>
      <c r="D12" s="64"/>
      <c r="E12" s="64"/>
      <c r="F12" s="63"/>
      <c r="G12" s="63"/>
      <c r="H12" s="63"/>
      <c r="I12" s="63"/>
      <c r="J12" s="63"/>
      <c r="K12" s="63"/>
      <c r="L12" s="75" t="n">
        <v>4</v>
      </c>
      <c r="M12" s="63"/>
      <c r="N12" s="64" t="s">
        <v>57</v>
      </c>
      <c r="O12" s="64"/>
      <c r="P12" s="64"/>
      <c r="Q12" s="64"/>
      <c r="R12" s="76"/>
      <c r="S12" s="77"/>
      <c r="T12" s="77"/>
      <c r="U12" s="77"/>
      <c r="V12" s="64"/>
      <c r="W12" s="78"/>
    </row>
    <row r="13" customFormat="false" ht="15" hidden="false" customHeight="true" outlineLevel="0" collapsed="false">
      <c r="A13" s="79"/>
      <c r="B13" s="63"/>
      <c r="C13" s="66" t="str">
        <f aca="false">IF('Business Details'!C17&gt;0,'Business Details'!C17," ")</f>
        <v>IT consultancy and software development</v>
      </c>
      <c r="D13" s="66"/>
      <c r="E13" s="66"/>
      <c r="F13" s="66"/>
      <c r="G13" s="66"/>
      <c r="H13" s="66"/>
      <c r="I13" s="66"/>
      <c r="J13" s="66"/>
      <c r="K13" s="63"/>
      <c r="L13" s="63"/>
      <c r="M13" s="63"/>
      <c r="N13" s="80" t="s">
        <v>58</v>
      </c>
      <c r="O13" s="64"/>
      <c r="P13" s="64"/>
      <c r="Q13" s="64"/>
      <c r="R13" s="64"/>
      <c r="S13" s="64"/>
      <c r="T13" s="64"/>
      <c r="U13" s="64"/>
      <c r="V13" s="64"/>
      <c r="W13" s="78"/>
    </row>
    <row r="14" customFormat="false" ht="7.5" hidden="false" customHeight="true" outlineLevel="0" collapsed="false">
      <c r="A14" s="7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81"/>
      <c r="O14" s="81"/>
      <c r="P14" s="81"/>
      <c r="Q14" s="81"/>
      <c r="R14" s="63"/>
      <c r="S14" s="63"/>
      <c r="T14" s="63"/>
      <c r="U14" s="63"/>
      <c r="V14" s="63"/>
      <c r="W14" s="82"/>
    </row>
    <row r="15" customFormat="false" ht="15" hidden="false" customHeight="true" outlineLevel="0" collapsed="false">
      <c r="A15" s="79"/>
      <c r="B15" s="63"/>
      <c r="C15" s="66" t="str">
        <f aca="false">IF('Business Details'!C19&gt;0,'Business Details'!C19," ")</f>
        <v> </v>
      </c>
      <c r="D15" s="66"/>
      <c r="E15" s="66"/>
      <c r="F15" s="66"/>
      <c r="G15" s="66"/>
      <c r="H15" s="66"/>
      <c r="I15" s="66"/>
      <c r="J15" s="66"/>
      <c r="K15" s="63"/>
      <c r="L15" s="63"/>
      <c r="M15" s="63"/>
      <c r="N15" s="83" t="str">
        <f aca="false">IF('Business Details'!N14="X","X"," ")</f>
        <v> </v>
      </c>
      <c r="O15" s="81"/>
      <c r="P15" s="81"/>
      <c r="Q15" s="81"/>
      <c r="R15" s="63"/>
      <c r="S15" s="63"/>
      <c r="T15" s="63"/>
      <c r="U15" s="63"/>
      <c r="V15" s="63"/>
      <c r="W15" s="82"/>
    </row>
    <row r="16" customFormat="false" ht="7.5" hidden="false" customHeight="true" outlineLevel="0" collapsed="false">
      <c r="A16" s="7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82"/>
    </row>
    <row r="17" customFormat="false" ht="15" hidden="false" customHeight="true" outlineLevel="0" collapsed="false">
      <c r="A17" s="79"/>
      <c r="B17" s="63"/>
      <c r="C17" s="66" t="str">
        <f aca="false">IF('Business Details'!C21&gt;0,'Business Details'!C21," ")</f>
        <v> </v>
      </c>
      <c r="D17" s="66"/>
      <c r="E17" s="66"/>
      <c r="F17" s="66"/>
      <c r="G17" s="66"/>
      <c r="H17" s="66"/>
      <c r="I17" s="66"/>
      <c r="J17" s="66"/>
      <c r="K17" s="63"/>
      <c r="L17" s="75" t="n">
        <v>5</v>
      </c>
      <c r="M17" s="63"/>
      <c r="N17" s="64" t="s">
        <v>59</v>
      </c>
      <c r="O17" s="64"/>
      <c r="P17" s="64"/>
      <c r="Q17" s="64"/>
      <c r="R17" s="76"/>
      <c r="S17" s="84" t="n">
        <f aca="false">Q2</f>
        <v>46118</v>
      </c>
      <c r="T17" s="84"/>
      <c r="U17" s="84"/>
      <c r="V17" s="84"/>
      <c r="W17" s="78"/>
    </row>
    <row r="18" customFormat="false" ht="12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85" t="s">
        <v>60</v>
      </c>
      <c r="O18" s="85"/>
      <c r="P18" s="85"/>
      <c r="Q18" s="85"/>
      <c r="R18" s="85"/>
      <c r="S18" s="85"/>
      <c r="T18" s="85"/>
      <c r="U18" s="85"/>
      <c r="V18" s="85"/>
      <c r="W18" s="86"/>
    </row>
    <row r="19" customFormat="false" ht="7.5" hidden="false" customHeight="true" outlineLevel="0" collapsed="false">
      <c r="A19" s="7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82"/>
    </row>
    <row r="20" customFormat="false" ht="13.5" hidden="false" customHeight="false" outlineLevel="0" collapsed="false">
      <c r="A20" s="75" t="n">
        <v>2</v>
      </c>
      <c r="B20" s="63"/>
      <c r="C20" s="64" t="s">
        <v>19</v>
      </c>
      <c r="D20" s="64"/>
      <c r="E20" s="64"/>
      <c r="F20" s="63"/>
      <c r="G20" s="63"/>
      <c r="H20" s="63"/>
      <c r="I20" s="63"/>
      <c r="J20" s="63"/>
      <c r="K20" s="63"/>
      <c r="L20" s="63"/>
      <c r="M20" s="63"/>
      <c r="N20" s="87" t="str">
        <f aca="false">IF('Business Details'!N19&gt;0,'Business Details'!N19," ")</f>
        <v> </v>
      </c>
      <c r="O20" s="87"/>
      <c r="P20" s="87"/>
      <c r="Q20" s="87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2"/>
    </row>
    <row r="22" customFormat="false" ht="15" hidden="false" customHeight="true" outlineLevel="0" collapsed="false">
      <c r="A22" s="79"/>
      <c r="B22" s="63"/>
      <c r="C22" s="88" t="str">
        <f aca="false">IF('Business Details'!C30&gt;0,'Business Details'!C30," ")</f>
        <v> </v>
      </c>
      <c r="D22" s="88"/>
      <c r="E22" s="63"/>
      <c r="F22" s="89" t="str">
        <f aca="false">IF('Business Details'!F30&gt;0,'Business Details'!F30," ")</f>
        <v> </v>
      </c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78"/>
    </row>
    <row r="23" customFormat="false" ht="12" hidden="false" customHeight="false" outlineLevel="0" collapsed="false">
      <c r="A23" s="7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75" t="n">
        <v>6</v>
      </c>
      <c r="M23" s="64"/>
      <c r="N23" s="64" t="s">
        <v>61</v>
      </c>
      <c r="O23" s="90"/>
      <c r="P23" s="64"/>
      <c r="Q23" s="64"/>
      <c r="R23" s="64"/>
      <c r="S23" s="84" t="n">
        <f aca="false">V2</f>
        <v>46482</v>
      </c>
      <c r="T23" s="84"/>
      <c r="U23" s="84"/>
      <c r="V23" s="84"/>
      <c r="W23" s="78"/>
    </row>
    <row r="24" customFormat="false" ht="12" hidden="false" customHeight="false" outlineLevel="0" collapsed="false">
      <c r="A24" s="75" t="n">
        <v>3</v>
      </c>
      <c r="B24" s="63"/>
      <c r="C24" s="64" t="s">
        <v>62</v>
      </c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80" t="s">
        <v>14</v>
      </c>
      <c r="O24" s="81"/>
      <c r="P24" s="81"/>
      <c r="Q24" s="81"/>
      <c r="R24" s="63"/>
      <c r="S24" s="63"/>
      <c r="T24" s="63"/>
      <c r="U24" s="63"/>
      <c r="V24" s="63"/>
      <c r="W24" s="82"/>
    </row>
    <row r="25" customFormat="false" ht="12" hidden="false" customHeight="false" outlineLevel="0" collapsed="false">
      <c r="A25" s="79"/>
      <c r="B25" s="63"/>
      <c r="C25" s="64" t="s">
        <v>63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1"/>
      <c r="O25" s="81"/>
      <c r="P25" s="81"/>
      <c r="Q25" s="81"/>
      <c r="R25" s="63"/>
      <c r="S25" s="63"/>
      <c r="T25" s="63"/>
      <c r="U25" s="63"/>
      <c r="V25" s="63"/>
      <c r="W25" s="82"/>
    </row>
    <row r="26" customFormat="false" ht="13.5" hidden="false" customHeight="false" outlineLevel="0" collapsed="false">
      <c r="A26" s="79"/>
      <c r="B26" s="63"/>
      <c r="C26" s="80" t="s">
        <v>64</v>
      </c>
      <c r="D26" s="81"/>
      <c r="E26" s="81"/>
      <c r="F26" s="81"/>
      <c r="G26" s="81"/>
      <c r="H26" s="81"/>
      <c r="I26" s="81"/>
      <c r="J26" s="81"/>
      <c r="K26" s="81"/>
      <c r="L26" s="63"/>
      <c r="M26" s="63"/>
      <c r="N26" s="87" t="str">
        <f aca="false">IF('Business Details'!N24&gt;0,'Business Details'!N24," ")</f>
        <v> </v>
      </c>
      <c r="O26" s="87"/>
      <c r="P26" s="87"/>
      <c r="Q26" s="87"/>
      <c r="R26" s="63"/>
      <c r="S26" s="63"/>
      <c r="T26" s="63"/>
      <c r="U26" s="63"/>
      <c r="V26" s="63"/>
      <c r="W26" s="82"/>
    </row>
    <row r="27" customFormat="false" ht="12" hidden="false" customHeight="false" outlineLevel="0" collapsed="false">
      <c r="A27" s="79"/>
      <c r="B27" s="63"/>
      <c r="C27" s="80" t="s">
        <v>65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81"/>
      <c r="O27" s="81"/>
      <c r="P27" s="81"/>
      <c r="Q27" s="81"/>
      <c r="R27" s="63"/>
      <c r="S27" s="63"/>
      <c r="T27" s="63"/>
      <c r="U27" s="63"/>
      <c r="V27" s="63"/>
      <c r="W27" s="82"/>
    </row>
    <row r="28" customFormat="false" ht="12" hidden="false" customHeight="false" outlineLevel="0" collapsed="false">
      <c r="A28" s="79"/>
      <c r="B28" s="63"/>
      <c r="C28" s="81"/>
      <c r="D28" s="63"/>
      <c r="E28" s="63"/>
      <c r="F28" s="63"/>
      <c r="G28" s="63"/>
      <c r="H28" s="63"/>
      <c r="I28" s="63"/>
      <c r="J28" s="63"/>
      <c r="K28" s="63"/>
      <c r="L28" s="75" t="n">
        <v>7</v>
      </c>
      <c r="M28" s="63"/>
      <c r="N28" s="80" t="s">
        <v>66</v>
      </c>
      <c r="O28" s="81"/>
      <c r="P28" s="81"/>
      <c r="Q28" s="81"/>
      <c r="R28" s="63"/>
      <c r="S28" s="63"/>
      <c r="T28" s="63"/>
      <c r="U28" s="63"/>
      <c r="V28" s="63"/>
      <c r="W28" s="82"/>
    </row>
    <row r="29" customFormat="false" ht="15" hidden="false" customHeight="true" outlineLevel="0" collapsed="false">
      <c r="A29" s="79"/>
      <c r="B29" s="63"/>
      <c r="C29" s="91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92" t="s">
        <v>67</v>
      </c>
      <c r="O29" s="81"/>
      <c r="P29" s="81"/>
      <c r="Q29" s="81"/>
      <c r="R29" s="63"/>
      <c r="S29" s="63"/>
      <c r="T29" s="63"/>
      <c r="U29" s="63"/>
      <c r="V29" s="63"/>
      <c r="W29" s="82"/>
    </row>
    <row r="30" customFormat="false" ht="7.5" hidden="false" customHeight="true" outlineLevel="0" collapsed="false">
      <c r="A30" s="7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92"/>
      <c r="O30" s="81"/>
      <c r="P30" s="81"/>
      <c r="Q30" s="81"/>
      <c r="R30" s="63"/>
      <c r="S30" s="63"/>
      <c r="T30" s="63"/>
      <c r="U30" s="63"/>
      <c r="V30" s="63"/>
      <c r="W30" s="82"/>
    </row>
    <row r="31" customFormat="false" ht="13.5" hidden="false" customHeight="fals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87" t="n">
        <f aca="false">Admin!B17</f>
        <v>46482</v>
      </c>
      <c r="O31" s="87"/>
      <c r="P31" s="87"/>
      <c r="Q31" s="87"/>
      <c r="R31" s="63"/>
      <c r="S31" s="63"/>
      <c r="T31" s="63"/>
      <c r="U31" s="63"/>
      <c r="V31" s="63"/>
      <c r="W31" s="82"/>
    </row>
    <row r="32" customFormat="false" ht="7.5" hidden="false" customHeight="true" outlineLevel="0" collapsed="false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5"/>
    </row>
    <row r="33" customFormat="false" ht="24.75" hidden="false" customHeight="true" outlineLevel="0" collapsed="false">
      <c r="A33" s="96" t="str">
        <f aca="false">IF(D38&gt;Admin!F26,"SELF-EMPLOYMENT FULL RETURN REQUIRED AS TURNOVER EXCEEDS £"&amp;Admin!F26&amp;" VAT threshold","Business income - if your annual turnover was below £"&amp;Admin!F26&amp;" VAT threshold")</f>
        <v>SELF-EMPLOYMENT FULL RETURN REQUIRED AS TURNOVER EXCEEDS £90000 VAT threshold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customFormat="false" ht="7.5" hidden="false" customHeight="true" outlineLevel="0" collapsed="false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customFormat="false" ht="12" hidden="false" customHeight="false" outlineLevel="0" collapsed="false">
      <c r="A35" s="75" t="n">
        <v>9</v>
      </c>
      <c r="B35" s="63"/>
      <c r="C35" s="64" t="s">
        <v>68</v>
      </c>
      <c r="D35" s="64"/>
      <c r="E35" s="64"/>
      <c r="F35" s="64"/>
      <c r="G35" s="64"/>
      <c r="H35" s="64"/>
      <c r="I35" s="64"/>
      <c r="J35" s="64"/>
      <c r="K35" s="64"/>
      <c r="L35" s="75" t="n">
        <v>10</v>
      </c>
      <c r="M35" s="63"/>
      <c r="N35" s="64" t="s">
        <v>69</v>
      </c>
      <c r="O35" s="64"/>
      <c r="P35" s="64"/>
      <c r="Q35" s="64"/>
      <c r="R35" s="64"/>
      <c r="S35" s="64"/>
      <c r="T35" s="64"/>
      <c r="U35" s="64"/>
      <c r="V35" s="64"/>
      <c r="W35" s="78"/>
    </row>
    <row r="36" customFormat="false" ht="12" hidden="false" customHeight="false" outlineLevel="0" collapsed="false">
      <c r="A36" s="79"/>
      <c r="B36" s="63"/>
      <c r="C36" s="90" t="s">
        <v>70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90" t="s">
        <v>71</v>
      </c>
      <c r="O36" s="63"/>
      <c r="P36" s="63"/>
      <c r="Q36" s="63"/>
      <c r="R36" s="63"/>
      <c r="S36" s="63"/>
      <c r="T36" s="63"/>
      <c r="U36" s="63"/>
      <c r="V36" s="63"/>
      <c r="W36" s="82"/>
    </row>
    <row r="37" customFormat="false" ht="6" hidden="false" customHeight="true" outlineLevel="0" collapsed="false">
      <c r="A37" s="7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82"/>
    </row>
    <row r="38" customFormat="false" ht="15" hidden="false" customHeight="false" outlineLevel="0" collapsed="false">
      <c r="A38" s="79"/>
      <c r="B38" s="63"/>
      <c r="C38" s="97" t="s">
        <v>33</v>
      </c>
      <c r="D38" s="98" t="n">
        <f aca="false">'Profit &amp; Loss Account'!B9</f>
        <v>339200</v>
      </c>
      <c r="E38" s="98"/>
      <c r="F38" s="98"/>
      <c r="G38" s="99" t="s">
        <v>34</v>
      </c>
      <c r="H38" s="100" t="n">
        <v>0</v>
      </c>
      <c r="I38" s="100" t="n">
        <v>0</v>
      </c>
      <c r="J38" s="63"/>
      <c r="K38" s="63"/>
      <c r="L38" s="63"/>
      <c r="M38" s="63"/>
      <c r="N38" s="97" t="s">
        <v>33</v>
      </c>
      <c r="O38" s="98" t="n">
        <f aca="false">'Profit &amp; Loss Account'!B38</f>
        <v>0</v>
      </c>
      <c r="P38" s="98"/>
      <c r="Q38" s="98"/>
      <c r="R38" s="99" t="s">
        <v>34</v>
      </c>
      <c r="S38" s="100" t="n">
        <v>0</v>
      </c>
      <c r="T38" s="100" t="n">
        <v>0</v>
      </c>
      <c r="U38" s="101"/>
      <c r="V38" s="102"/>
      <c r="W38" s="82"/>
    </row>
    <row r="39" customFormat="false" ht="7.5" hidden="false" customHeight="true" outlineLevel="0" collapsed="false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</row>
    <row r="40" customFormat="false" ht="24.75" hidden="false" customHeight="true" outlineLevel="0" collapsed="false">
      <c r="A40" s="103" t="s">
        <v>72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</row>
    <row r="41" customFormat="false" ht="13.5" hidden="false" customHeight="true" outlineLevel="0" collapsed="false">
      <c r="A41" s="104" t="s">
        <v>73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5"/>
      <c r="GG41" s="105"/>
      <c r="GH41" s="105"/>
      <c r="GI41" s="105"/>
      <c r="GJ41" s="105"/>
      <c r="GK41" s="105"/>
      <c r="GL41" s="105"/>
      <c r="GM41" s="105"/>
      <c r="GN41" s="105"/>
      <c r="GO41" s="105"/>
      <c r="GP41" s="105"/>
      <c r="GQ41" s="105"/>
      <c r="GR41" s="105"/>
      <c r="GS41" s="105"/>
      <c r="GT41" s="105"/>
      <c r="GU41" s="105"/>
      <c r="GV41" s="105"/>
      <c r="GW41" s="105"/>
      <c r="GX41" s="105"/>
      <c r="GY41" s="105"/>
      <c r="GZ41" s="105"/>
      <c r="HA41" s="105"/>
      <c r="HB41" s="105"/>
      <c r="HC41" s="105"/>
      <c r="HD41" s="105"/>
      <c r="HE41" s="105"/>
      <c r="HF41" s="105"/>
      <c r="HG41" s="105"/>
      <c r="HH41" s="105"/>
      <c r="HI41" s="105"/>
      <c r="HJ41" s="105"/>
      <c r="HK41" s="105"/>
      <c r="HL41" s="105"/>
      <c r="HM41" s="105"/>
      <c r="HN41" s="105"/>
      <c r="HO41" s="105"/>
      <c r="HP41" s="105"/>
      <c r="HQ41" s="105"/>
      <c r="HR41" s="105"/>
      <c r="HS41" s="105"/>
      <c r="HT41" s="105"/>
      <c r="HU41" s="105"/>
      <c r="HV41" s="105"/>
      <c r="HW41" s="105"/>
      <c r="HX41" s="105"/>
      <c r="HY41" s="105"/>
      <c r="HZ41" s="105"/>
      <c r="IA41" s="105"/>
      <c r="IB41" s="105"/>
      <c r="IC41" s="105"/>
      <c r="ID41" s="105"/>
      <c r="IE41" s="105"/>
      <c r="IF41" s="105"/>
      <c r="IG41" s="105"/>
      <c r="IH41" s="105"/>
      <c r="II41" s="105"/>
      <c r="IJ41" s="105"/>
      <c r="IK41" s="105"/>
      <c r="IL41" s="105"/>
      <c r="IM41" s="105"/>
      <c r="IN41" s="105"/>
      <c r="IO41" s="105"/>
      <c r="IP41" s="105"/>
      <c r="IQ41" s="105"/>
      <c r="IR41" s="105"/>
      <c r="IS41" s="105"/>
      <c r="IT41" s="105"/>
      <c r="IU41" s="105"/>
      <c r="IV41" s="105"/>
      <c r="IW41" s="105"/>
    </row>
    <row r="42" customFormat="false" ht="13.5" hidden="false" customHeight="true" outlineLevel="0" collapsed="false">
      <c r="A42" s="104" t="s">
        <v>74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5"/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F42" s="105"/>
      <c r="GG42" s="105"/>
      <c r="GH42" s="105"/>
      <c r="GI42" s="105"/>
      <c r="GJ42" s="105"/>
      <c r="GK42" s="105"/>
      <c r="GL42" s="105"/>
      <c r="GM42" s="105"/>
      <c r="GN42" s="105"/>
      <c r="GO42" s="105"/>
      <c r="GP42" s="105"/>
      <c r="GQ42" s="105"/>
      <c r="GR42" s="105"/>
      <c r="GS42" s="105"/>
      <c r="GT42" s="105"/>
      <c r="GU42" s="105"/>
      <c r="GV42" s="105"/>
      <c r="GW42" s="105"/>
      <c r="GX42" s="105"/>
      <c r="GY42" s="105"/>
      <c r="GZ42" s="105"/>
      <c r="HA42" s="105"/>
      <c r="HB42" s="105"/>
      <c r="HC42" s="105"/>
      <c r="HD42" s="105"/>
      <c r="HE42" s="105"/>
      <c r="HF42" s="105"/>
      <c r="HG42" s="105"/>
      <c r="HH42" s="105"/>
      <c r="HI42" s="105"/>
      <c r="HJ42" s="105"/>
      <c r="HK42" s="105"/>
      <c r="HL42" s="105"/>
      <c r="HM42" s="105"/>
      <c r="HN42" s="105"/>
      <c r="HO42" s="105"/>
      <c r="HP42" s="105"/>
      <c r="HQ42" s="105"/>
      <c r="HR42" s="105"/>
      <c r="HS42" s="105"/>
      <c r="HT42" s="105"/>
      <c r="HU42" s="105"/>
      <c r="HV42" s="105"/>
      <c r="HW42" s="105"/>
      <c r="HX42" s="105"/>
      <c r="HY42" s="105"/>
      <c r="HZ42" s="105"/>
      <c r="IA42" s="105"/>
      <c r="IB42" s="105"/>
      <c r="IC42" s="105"/>
      <c r="ID42" s="105"/>
      <c r="IE42" s="105"/>
      <c r="IF42" s="105"/>
      <c r="IG42" s="105"/>
      <c r="IH42" s="105"/>
      <c r="II42" s="105"/>
      <c r="IJ42" s="105"/>
      <c r="IK42" s="105"/>
      <c r="IL42" s="105"/>
      <c r="IM42" s="105"/>
      <c r="IN42" s="105"/>
      <c r="IO42" s="105"/>
      <c r="IP42" s="105"/>
      <c r="IQ42" s="105"/>
      <c r="IR42" s="105"/>
      <c r="IS42" s="105"/>
      <c r="IT42" s="105"/>
      <c r="IU42" s="105"/>
      <c r="IV42" s="105"/>
      <c r="IW42" s="105"/>
    </row>
    <row r="43" customFormat="false" ht="7.5" hidden="false" customHeight="tru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customFormat="false" ht="12" hidden="false" customHeight="false" outlineLevel="0" collapsed="false">
      <c r="A44" s="75" t="n">
        <v>11</v>
      </c>
      <c r="B44" s="63"/>
      <c r="C44" s="64" t="s">
        <v>75</v>
      </c>
      <c r="D44" s="64"/>
      <c r="E44" s="64"/>
      <c r="F44" s="64"/>
      <c r="G44" s="64"/>
      <c r="H44" s="64"/>
      <c r="I44" s="64"/>
      <c r="J44" s="64"/>
      <c r="K44" s="64"/>
      <c r="L44" s="75" t="n">
        <v>16</v>
      </c>
      <c r="M44" s="63"/>
      <c r="N44" s="64" t="s">
        <v>76</v>
      </c>
      <c r="O44" s="63"/>
      <c r="P44" s="63"/>
      <c r="Q44" s="63"/>
      <c r="R44" s="63"/>
      <c r="S44" s="63"/>
      <c r="T44" s="63"/>
      <c r="U44" s="63"/>
      <c r="V44" s="63"/>
      <c r="W44" s="82"/>
    </row>
    <row r="45" customFormat="false" ht="6" hidden="false" customHeight="true" outlineLevel="0" collapsed="false">
      <c r="A45" s="106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82"/>
    </row>
    <row r="46" customFormat="false" ht="15" hidden="false" customHeight="false" outlineLevel="0" collapsed="false">
      <c r="A46" s="79"/>
      <c r="B46" s="63"/>
      <c r="C46" s="97" t="s">
        <v>33</v>
      </c>
      <c r="D46" s="98" t="n">
        <f aca="false">IF('Profit &amp; Loss Account'!B9&gt;Admin!F26,'Profit &amp; Loss Account'!B17-'SE Full'!O66-'SE Full'!O70," ")</f>
        <v>19667.2666666667</v>
      </c>
      <c r="E46" s="98"/>
      <c r="F46" s="98"/>
      <c r="G46" s="99" t="s">
        <v>34</v>
      </c>
      <c r="H46" s="100" t="n">
        <v>0</v>
      </c>
      <c r="I46" s="100" t="n">
        <v>0</v>
      </c>
      <c r="J46" s="63"/>
      <c r="K46" s="63"/>
      <c r="L46" s="63"/>
      <c r="M46" s="63"/>
      <c r="N46" s="97" t="s">
        <v>33</v>
      </c>
      <c r="O46" s="98" t="n">
        <f aca="false">IF('Profit &amp; Loss Account'!B9&gt;Admin!F26,'Profit &amp; Loss Account'!B28-'SE Full'!O110," ")</f>
        <v>6094</v>
      </c>
      <c r="P46" s="98"/>
      <c r="Q46" s="98"/>
      <c r="R46" s="99" t="s">
        <v>34</v>
      </c>
      <c r="S46" s="100" t="n">
        <v>0</v>
      </c>
      <c r="T46" s="100" t="n">
        <v>0</v>
      </c>
      <c r="U46" s="63"/>
      <c r="V46" s="63"/>
      <c r="W46" s="82"/>
    </row>
    <row r="47" customFormat="false" ht="12" hidden="false" customHeight="fals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2" hidden="false" customHeight="false" outlineLevel="0" collapsed="false">
      <c r="A48" s="75" t="n">
        <v>12</v>
      </c>
      <c r="B48" s="63"/>
      <c r="C48" s="64" t="s">
        <v>77</v>
      </c>
      <c r="D48" s="64"/>
      <c r="E48" s="64"/>
      <c r="F48" s="64"/>
      <c r="G48" s="64"/>
      <c r="H48" s="64"/>
      <c r="I48" s="64"/>
      <c r="J48" s="64"/>
      <c r="K48" s="64"/>
      <c r="L48" s="75" t="n">
        <v>17</v>
      </c>
      <c r="M48" s="63"/>
      <c r="N48" s="64" t="s">
        <v>78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12.75" hidden="false" customHeight="true" outlineLevel="0" collapsed="false">
      <c r="A49" s="79"/>
      <c r="B49" s="63"/>
      <c r="C49" s="90" t="s">
        <v>79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82"/>
    </row>
    <row r="50" customFormat="false" ht="6" hidden="false" customHeight="true" outlineLevel="0" collapsed="false">
      <c r="A50" s="106"/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82"/>
    </row>
    <row r="51" customFormat="false" ht="15" hidden="false" customHeight="false" outlineLevel="0" collapsed="false">
      <c r="A51" s="79"/>
      <c r="B51" s="63"/>
      <c r="C51" s="97" t="s">
        <v>33</v>
      </c>
      <c r="D51" s="98" t="n">
        <f aca="false">IF('Profit &amp; Loss Account'!B9&gt;Admin!F26,'Profit &amp; Loss Account'!B25+'Profit &amp; Loss Account'!B26-'SE Full'!O78," ")</f>
        <v>6090.5625</v>
      </c>
      <c r="E51" s="98"/>
      <c r="F51" s="98"/>
      <c r="G51" s="99" t="s">
        <v>34</v>
      </c>
      <c r="H51" s="100" t="n">
        <v>0</v>
      </c>
      <c r="I51" s="100" t="n">
        <v>0</v>
      </c>
      <c r="J51" s="63"/>
      <c r="K51" s="63"/>
      <c r="L51" s="63"/>
      <c r="M51" s="63"/>
      <c r="N51" s="97" t="s">
        <v>33</v>
      </c>
      <c r="O51" s="98" t="n">
        <f aca="false">IF('Profit &amp; Loss Account'!B9&gt;Admin!F26,'Profit &amp; Loss Account'!B30+'Profit &amp; Loss Account'!B31-'SE Full'!O98-'SE Full'!O102," ")</f>
        <v>3510</v>
      </c>
      <c r="P51" s="98"/>
      <c r="Q51" s="98"/>
      <c r="R51" s="99" t="s">
        <v>34</v>
      </c>
      <c r="S51" s="100" t="n">
        <v>0</v>
      </c>
      <c r="T51" s="100" t="n">
        <v>0</v>
      </c>
      <c r="U51" s="63"/>
      <c r="V51" s="63"/>
      <c r="W51" s="82"/>
    </row>
    <row r="52" customFormat="false" ht="12.75" hidden="false" customHeight="true" outlineLevel="0" collapsed="false">
      <c r="A52" s="7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82"/>
    </row>
    <row r="53" customFormat="false" ht="12" hidden="false" customHeight="false" outlineLevel="0" collapsed="false">
      <c r="A53" s="75" t="n">
        <v>13</v>
      </c>
      <c r="B53" s="63"/>
      <c r="C53" s="64" t="s">
        <v>80</v>
      </c>
      <c r="D53" s="64"/>
      <c r="E53" s="64"/>
      <c r="F53" s="64"/>
      <c r="G53" s="64"/>
      <c r="H53" s="64"/>
      <c r="I53" s="64"/>
      <c r="J53" s="64"/>
      <c r="K53" s="64"/>
      <c r="L53" s="75" t="n">
        <v>18</v>
      </c>
      <c r="M53" s="63"/>
      <c r="N53" s="64" t="s">
        <v>81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106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33</v>
      </c>
      <c r="D55" s="98" t="n">
        <f aca="false">IF('Profit &amp; Loss Account'!B9&gt;Admin!F26,'Profit &amp; Loss Account'!B21-'SE Full'!O74," ")</f>
        <v>89026.304</v>
      </c>
      <c r="E55" s="98"/>
      <c r="F55" s="98"/>
      <c r="G55" s="99" t="s">
        <v>34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33</v>
      </c>
      <c r="O55" s="98" t="n">
        <f aca="false">IF('Profit &amp; Loss Account'!B9&gt;Admin!F26,'Profit &amp; Loss Account'!B24-'SE Full'!O90," ")</f>
        <v>2822.55</v>
      </c>
      <c r="P55" s="98"/>
      <c r="Q55" s="98"/>
      <c r="R55" s="99" t="s">
        <v>34</v>
      </c>
      <c r="S55" s="100" t="n">
        <v>0</v>
      </c>
      <c r="T55" s="100" t="n">
        <v>0</v>
      </c>
      <c r="U55" s="63"/>
      <c r="V55" s="63"/>
      <c r="W55" s="82"/>
    </row>
    <row r="56" customFormat="false" ht="12" hidden="false" customHeight="false" outlineLevel="0" collapsed="false">
      <c r="A56" s="7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82"/>
    </row>
    <row r="57" customFormat="false" ht="12" hidden="false" customHeight="false" outlineLevel="0" collapsed="false">
      <c r="A57" s="75" t="n">
        <v>14</v>
      </c>
      <c r="B57" s="63"/>
      <c r="C57" s="64" t="s">
        <v>82</v>
      </c>
      <c r="D57" s="64"/>
      <c r="E57" s="64"/>
      <c r="F57" s="64"/>
      <c r="G57" s="64"/>
      <c r="H57" s="64"/>
      <c r="I57" s="64"/>
      <c r="J57" s="64"/>
      <c r="K57" s="64"/>
      <c r="L57" s="75" t="n">
        <v>19</v>
      </c>
      <c r="M57" s="63"/>
      <c r="N57" s="64" t="s">
        <v>83</v>
      </c>
      <c r="O57" s="63"/>
      <c r="P57" s="63"/>
      <c r="Q57" s="63"/>
      <c r="R57" s="63"/>
      <c r="S57" s="63"/>
      <c r="T57" s="63"/>
      <c r="U57" s="63"/>
      <c r="V57" s="63"/>
      <c r="W57" s="82"/>
    </row>
    <row r="58" customFormat="false" ht="12" hidden="false" customHeight="false" outlineLevel="0" collapsed="false">
      <c r="A58" s="7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90" t="s">
        <v>84</v>
      </c>
      <c r="O58" s="63"/>
      <c r="P58" s="63"/>
      <c r="Q58" s="63"/>
      <c r="R58" s="63"/>
      <c r="S58" s="63"/>
      <c r="T58" s="63"/>
      <c r="U58" s="63"/>
      <c r="V58" s="63"/>
      <c r="W58" s="82"/>
    </row>
    <row r="59" customFormat="false" ht="6" hidden="false" customHeight="true" outlineLevel="0" collapsed="false">
      <c r="A59" s="106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82"/>
    </row>
    <row r="60" customFormat="false" ht="15" hidden="false" customHeight="false" outlineLevel="0" collapsed="false">
      <c r="A60" s="79"/>
      <c r="B60" s="63"/>
      <c r="C60" s="97" t="s">
        <v>33</v>
      </c>
      <c r="D60" s="98" t="n">
        <f aca="false">IF('Profit &amp; Loss Account'!B9&gt;Admin!F26,'Profit &amp; Loss Account'!B22-'SE Full'!O82," ")</f>
        <v>12540</v>
      </c>
      <c r="E60" s="98"/>
      <c r="F60" s="98"/>
      <c r="G60" s="99" t="s">
        <v>34</v>
      </c>
      <c r="H60" s="100" t="n">
        <v>0</v>
      </c>
      <c r="I60" s="100" t="n">
        <v>0</v>
      </c>
      <c r="J60" s="63"/>
      <c r="K60" s="63"/>
      <c r="L60" s="63"/>
      <c r="M60" s="63"/>
      <c r="N60" s="97" t="s">
        <v>33</v>
      </c>
      <c r="O60" s="98" t="n">
        <f aca="false">IF('Profit &amp; Loss Account'!B9&gt;Admin!F26,'Profit &amp; Loss Account'!B27+'Profit &amp; Loss Account'!B29+'Profit &amp; Loss Account'!B32+'Profit &amp; Loss Account'!B33-'SE Full'!O94-'SE Full'!O106-'SE Full'!O118," ")</f>
        <v>6723.21666666666</v>
      </c>
      <c r="P60" s="98"/>
      <c r="Q60" s="98"/>
      <c r="R60" s="99" t="s">
        <v>34</v>
      </c>
      <c r="S60" s="100" t="n">
        <v>0</v>
      </c>
      <c r="T60" s="100" t="n">
        <v>0</v>
      </c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82"/>
    </row>
    <row r="62" customFormat="false" ht="12" hidden="false" customHeight="false" outlineLevel="0" collapsed="false">
      <c r="A62" s="75" t="n">
        <v>15</v>
      </c>
      <c r="B62" s="63"/>
      <c r="C62" s="64" t="s">
        <v>85</v>
      </c>
      <c r="D62" s="64"/>
      <c r="E62" s="64"/>
      <c r="F62" s="64"/>
      <c r="G62" s="64"/>
      <c r="H62" s="64"/>
      <c r="I62" s="64"/>
      <c r="J62" s="64"/>
      <c r="K62" s="64"/>
      <c r="L62" s="75" t="n">
        <v>20</v>
      </c>
      <c r="M62" s="63"/>
      <c r="N62" s="64" t="s">
        <v>86</v>
      </c>
      <c r="O62" s="63"/>
      <c r="P62" s="63"/>
      <c r="Q62" s="63"/>
      <c r="R62" s="63"/>
      <c r="S62" s="63"/>
      <c r="T62" s="63"/>
      <c r="U62" s="63"/>
      <c r="V62" s="63"/>
      <c r="W62" s="82"/>
    </row>
    <row r="63" customFormat="false" ht="6" hidden="false" customHeight="true" outlineLevel="0" collapsed="false">
      <c r="A63" s="106"/>
      <c r="B63" s="63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5" hidden="false" customHeight="false" outlineLevel="0" collapsed="false">
      <c r="A64" s="79"/>
      <c r="B64" s="63"/>
      <c r="C64" s="97" t="s">
        <v>33</v>
      </c>
      <c r="D64" s="98" t="n">
        <f aca="false">IF('Profit &amp; Loss Account'!B9&gt;Admin!F26,'Profit &amp; Loss Account'!B23-'SE Full'!O86," ")</f>
        <v>893</v>
      </c>
      <c r="E64" s="98"/>
      <c r="F64" s="98"/>
      <c r="G64" s="99" t="s">
        <v>34</v>
      </c>
      <c r="H64" s="100" t="n">
        <v>0</v>
      </c>
      <c r="I64" s="100" t="n">
        <v>0</v>
      </c>
      <c r="J64" s="63"/>
      <c r="K64" s="63"/>
      <c r="L64" s="63"/>
      <c r="M64" s="63"/>
      <c r="N64" s="97" t="s">
        <v>33</v>
      </c>
      <c r="O64" s="98" t="n">
        <f aca="false">'Profit &amp; Loss Account'!B17+'Profit &amp; Loss Account'!B35-'SE Full'!O122</f>
        <v>147366.899833333</v>
      </c>
      <c r="P64" s="98"/>
      <c r="Q64" s="98"/>
      <c r="R64" s="99" t="s">
        <v>34</v>
      </c>
      <c r="S64" s="100" t="n">
        <v>0</v>
      </c>
      <c r="T64" s="100" t="n">
        <v>0</v>
      </c>
      <c r="U64" s="63"/>
      <c r="V64" s="63"/>
      <c r="W64" s="82"/>
    </row>
    <row r="65" customFormat="false" ht="7.5" hidden="false" customHeight="true" outlineLevel="0" collapsed="false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5"/>
    </row>
    <row r="66" customFormat="false" ht="24.75" hidden="false" customHeight="true" outlineLevel="0" collapsed="false">
      <c r="A66" s="107" t="s">
        <v>87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customFormat="false" ht="7.5" hidden="false" customHeight="true" outlineLevel="0" collapsed="false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</row>
    <row r="68" customFormat="false" ht="12" hidden="false" customHeight="false" outlineLevel="0" collapsed="false">
      <c r="A68" s="75" t="n">
        <v>21</v>
      </c>
      <c r="B68" s="63"/>
      <c r="C68" s="64" t="s">
        <v>88</v>
      </c>
      <c r="D68" s="64"/>
      <c r="E68" s="64"/>
      <c r="F68" s="64"/>
      <c r="G68" s="64"/>
      <c r="H68" s="64"/>
      <c r="I68" s="64"/>
      <c r="J68" s="64"/>
      <c r="K68" s="64"/>
      <c r="L68" s="75" t="n">
        <v>22</v>
      </c>
      <c r="M68" s="63"/>
      <c r="N68" s="64" t="s">
        <v>89</v>
      </c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12" hidden="false" customHeight="false" outlineLevel="0" collapsed="false">
      <c r="A69" s="79"/>
      <c r="B69" s="63"/>
      <c r="C69" s="90" t="s">
        <v>90</v>
      </c>
      <c r="D69" s="64"/>
      <c r="E69" s="64"/>
      <c r="F69" s="64"/>
      <c r="G69" s="64"/>
      <c r="H69" s="64"/>
      <c r="I69" s="64"/>
      <c r="J69" s="64"/>
      <c r="K69" s="64"/>
      <c r="L69" s="63"/>
      <c r="M69" s="63"/>
      <c r="N69" s="90" t="s">
        <v>91</v>
      </c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6" hidden="false" customHeight="true" outlineLevel="0" collapsed="false">
      <c r="A70" s="106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82"/>
    </row>
    <row r="71" customFormat="false" ht="15" hidden="false" customHeight="false" outlineLevel="0" collapsed="false">
      <c r="A71" s="79"/>
      <c r="B71" s="63"/>
      <c r="C71" s="97" t="s">
        <v>33</v>
      </c>
      <c r="D71" s="98" t="n">
        <f aca="false">IF((D38+O38-O64)&gt;=0,D38+O38-O64,0)</f>
        <v>191833.100166666</v>
      </c>
      <c r="E71" s="98"/>
      <c r="F71" s="98"/>
      <c r="G71" s="99" t="s">
        <v>34</v>
      </c>
      <c r="H71" s="100" t="n">
        <v>0</v>
      </c>
      <c r="I71" s="100" t="n">
        <v>0</v>
      </c>
      <c r="J71" s="63"/>
      <c r="K71" s="63"/>
      <c r="L71" s="63"/>
      <c r="M71" s="63"/>
      <c r="N71" s="97" t="s">
        <v>33</v>
      </c>
      <c r="O71" s="98" t="n">
        <f aca="false">IF((D38+O38-O64)&lt;0,O64-D38-O38,0)</f>
        <v>0</v>
      </c>
      <c r="P71" s="98"/>
      <c r="Q71" s="98"/>
      <c r="R71" s="99" t="s">
        <v>34</v>
      </c>
      <c r="S71" s="100" t="n">
        <v>0</v>
      </c>
      <c r="T71" s="100" t="n">
        <v>0</v>
      </c>
      <c r="U71" s="63"/>
      <c r="V71" s="63"/>
      <c r="W71" s="108"/>
      <c r="Y71" s="109"/>
      <c r="Z71" s="109"/>
    </row>
    <row r="72" customFormat="false" ht="7.5" hidden="false" customHeight="true" outlineLevel="0" collapsed="false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5"/>
    </row>
    <row r="73" customFormat="false" ht="24.75" hidden="false" customHeight="true" outlineLevel="0" collapsed="false">
      <c r="A73" s="103" t="s">
        <v>92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Y73" s="109"/>
      <c r="Z73" s="109"/>
    </row>
    <row r="74" customFormat="false" ht="13.5" hidden="false" customHeight="true" outlineLevel="0" collapsed="false">
      <c r="A74" s="104" t="s">
        <v>93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</row>
    <row r="75" customFormat="false" ht="13.5" hidden="false" customHeight="true" outlineLevel="0" collapsed="false">
      <c r="A75" s="104" t="s">
        <v>94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Y75" s="109"/>
      <c r="Z75" s="109"/>
    </row>
    <row r="76" customFormat="false" ht="13.5" hidden="false" customHeight="true" outlineLevel="0" collapsed="false">
      <c r="A76" s="104" t="s">
        <v>95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</row>
    <row r="77" customFormat="false" ht="7.5" hidden="false" customHeight="true" outlineLevel="0" collapsed="false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</row>
    <row r="78" customFormat="false" ht="12" hidden="false" customHeight="false" outlineLevel="0" collapsed="false">
      <c r="A78" s="75" t="n">
        <v>23</v>
      </c>
      <c r="B78" s="63"/>
      <c r="C78" s="64" t="s">
        <v>96</v>
      </c>
      <c r="D78" s="64"/>
      <c r="E78" s="64"/>
      <c r="F78" s="64"/>
      <c r="G78" s="64"/>
      <c r="H78" s="64"/>
      <c r="I78" s="64"/>
      <c r="J78" s="64"/>
      <c r="K78" s="64"/>
      <c r="L78" s="75" t="n">
        <v>25</v>
      </c>
      <c r="M78" s="63"/>
      <c r="N78" s="64" t="s">
        <v>97</v>
      </c>
      <c r="O78" s="63"/>
      <c r="P78" s="63"/>
      <c r="Q78" s="63"/>
      <c r="R78" s="63"/>
      <c r="S78" s="63"/>
      <c r="T78" s="63"/>
      <c r="U78" s="63"/>
      <c r="V78" s="63"/>
      <c r="W78" s="82"/>
    </row>
    <row r="79" customFormat="false" ht="12" hidden="false" customHeight="false" outlineLevel="0" collapsed="false">
      <c r="A79" s="106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3"/>
      <c r="M79" s="63"/>
      <c r="N79" s="63"/>
      <c r="O79" s="63"/>
      <c r="P79" s="63"/>
      <c r="Q79" s="63"/>
      <c r="R79" s="63"/>
      <c r="S79" s="110"/>
      <c r="T79" s="110"/>
      <c r="U79" s="110"/>
      <c r="V79" s="110"/>
      <c r="W79" s="82"/>
    </row>
    <row r="80" customFormat="false" ht="15" hidden="false" customHeight="true" outlineLevel="0" collapsed="false">
      <c r="A80" s="106"/>
      <c r="B80" s="63"/>
      <c r="C80" s="97" t="s">
        <v>33</v>
      </c>
      <c r="D80" s="98" t="n">
        <f aca="false">IF(([1]Schedule!$Q$1)&gt;0,[1]Schedule!$Q$1,0)</f>
        <v>52500</v>
      </c>
      <c r="E80" s="98"/>
      <c r="F80" s="98"/>
      <c r="G80" s="99" t="s">
        <v>34</v>
      </c>
      <c r="H80" s="100" t="n">
        <v>0</v>
      </c>
      <c r="I80" s="100" t="n">
        <v>0</v>
      </c>
      <c r="J80" s="64"/>
      <c r="K80" s="64"/>
      <c r="L80" s="64"/>
      <c r="M80" s="63"/>
      <c r="N80" s="97" t="s">
        <v>33</v>
      </c>
      <c r="O80" s="98" t="n">
        <f aca="false">IF(([1]Schedule!$R$1+[1]Schedule!$Y$1+[1]Schedule!$AC$1)&gt;0,[1]Schedule!$R$1+[1]Schedule!$Y$1+[1]Schedule!$AC$1,0)</f>
        <v>12824</v>
      </c>
      <c r="P80" s="98"/>
      <c r="Q80" s="98"/>
      <c r="R80" s="99" t="s">
        <v>34</v>
      </c>
      <c r="S80" s="100" t="n">
        <v>0</v>
      </c>
      <c r="T80" s="100" t="n">
        <v>0</v>
      </c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2" hidden="false" customHeight="false" outlineLevel="0" collapsed="false">
      <c r="A82" s="75" t="n">
        <v>24</v>
      </c>
      <c r="B82" s="63"/>
      <c r="C82" s="64" t="s">
        <v>98</v>
      </c>
      <c r="D82" s="63"/>
      <c r="E82" s="63"/>
      <c r="F82" s="63"/>
      <c r="G82" s="63"/>
      <c r="H82" s="63"/>
      <c r="I82" s="63"/>
      <c r="J82" s="63"/>
      <c r="K82" s="63"/>
      <c r="L82" s="75" t="n">
        <v>26</v>
      </c>
      <c r="M82" s="63"/>
      <c r="N82" s="64" t="s">
        <v>99</v>
      </c>
      <c r="O82" s="63"/>
      <c r="P82" s="63"/>
      <c r="Q82" s="63"/>
      <c r="R82" s="63"/>
      <c r="S82" s="63"/>
      <c r="T82" s="63"/>
      <c r="U82" s="63"/>
      <c r="V82" s="63"/>
      <c r="W82" s="82"/>
    </row>
    <row r="83" customFormat="false" ht="11.25" hidden="false" customHeight="true" outlineLevel="0" collapsed="false">
      <c r="A83" s="79"/>
      <c r="B83" s="63"/>
      <c r="C83" s="64" t="s">
        <v>100</v>
      </c>
      <c r="D83" s="63"/>
      <c r="E83" s="63"/>
      <c r="F83" s="63"/>
      <c r="G83" s="63"/>
      <c r="H83" s="63"/>
      <c r="I83" s="63"/>
      <c r="J83" s="63"/>
      <c r="K83" s="63"/>
      <c r="L83" s="64"/>
      <c r="M83" s="63"/>
      <c r="N83" s="64" t="s">
        <v>101</v>
      </c>
      <c r="O83" s="110"/>
      <c r="P83" s="110"/>
      <c r="Q83" s="110"/>
      <c r="R83" s="110"/>
      <c r="S83" s="94"/>
      <c r="T83" s="94"/>
      <c r="U83" s="94"/>
      <c r="V83" s="94"/>
      <c r="W83" s="95"/>
    </row>
    <row r="84" customFormat="false" ht="6" hidden="false" customHeight="true" outlineLevel="0" collapsed="false">
      <c r="A84" s="106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15" hidden="false" customHeight="false" outlineLevel="0" collapsed="false">
      <c r="A85" s="106"/>
      <c r="B85" s="63"/>
      <c r="C85" s="97" t="s">
        <v>33</v>
      </c>
      <c r="D85" s="98" t="n">
        <f aca="false">IF(([1]Schedule!$R$1-[1]Schedule!$AE$1+[1]Schedule!$AH$1)&lt;1000,[1]Schedule!$AH$1,0)+IF(([1]Schedule!$AC$1-[1]Schedule!$AF$1+[1]Schedule!$AI$1)&lt;1000,[1]Schedule!$AI$1,0)</f>
        <v>0</v>
      </c>
      <c r="E85" s="98"/>
      <c r="F85" s="98"/>
      <c r="G85" s="99" t="s">
        <v>34</v>
      </c>
      <c r="H85" s="100" t="n">
        <v>0</v>
      </c>
      <c r="I85" s="100" t="n">
        <v>0</v>
      </c>
      <c r="J85" s="64"/>
      <c r="K85" s="64"/>
      <c r="L85" s="63"/>
      <c r="M85" s="63"/>
      <c r="N85" s="97" t="s">
        <v>33</v>
      </c>
      <c r="O85" s="98" t="n">
        <f aca="false">IF([1]Schedule!$Z$1&gt;0,[1]Schedule!$Z$1,0)</f>
        <v>0</v>
      </c>
      <c r="P85" s="98"/>
      <c r="Q85" s="98"/>
      <c r="R85" s="99" t="s">
        <v>34</v>
      </c>
      <c r="S85" s="100" t="n">
        <v>0</v>
      </c>
      <c r="T85" s="100" t="n">
        <v>0</v>
      </c>
      <c r="U85" s="63"/>
      <c r="V85" s="63"/>
      <c r="W85" s="82"/>
    </row>
    <row r="86" customFormat="false" ht="7.5" hidden="false" customHeight="true" outlineLevel="0" collapsed="false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</row>
    <row r="87" customFormat="false" ht="24.75" hidden="false" customHeight="true" outlineLevel="0" collapsed="false">
      <c r="A87" s="111" t="s">
        <v>102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</row>
    <row r="88" customFormat="false" ht="15.75" hidden="false" customHeight="true" outlineLevel="0" collapsed="false">
      <c r="A88" s="104" t="s">
        <v>103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</row>
    <row r="89" customFormat="false" ht="15.75" hidden="false" customHeight="true" outlineLevel="0" collapsed="false">
      <c r="A89" s="104" t="s">
        <v>104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</row>
    <row r="90" customFormat="false" ht="7.5" hidden="false" customHeight="true" outlineLevel="0" collapsed="false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</row>
    <row r="91" customFormat="false" ht="12" hidden="false" customHeight="false" outlineLevel="0" collapsed="false">
      <c r="A91" s="75" t="n">
        <v>27</v>
      </c>
      <c r="B91" s="63"/>
      <c r="C91" s="64" t="s">
        <v>105</v>
      </c>
      <c r="D91" s="64"/>
      <c r="E91" s="64"/>
      <c r="F91" s="64"/>
      <c r="G91" s="64"/>
      <c r="H91" s="64"/>
      <c r="I91" s="64"/>
      <c r="J91" s="64"/>
      <c r="K91" s="64"/>
      <c r="L91" s="75" t="n">
        <v>29</v>
      </c>
      <c r="M91" s="63"/>
      <c r="N91" s="64" t="s">
        <v>106</v>
      </c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64"/>
      <c r="B92" s="63"/>
      <c r="C92" s="90" t="s">
        <v>107</v>
      </c>
      <c r="D92" s="64"/>
      <c r="E92" s="64"/>
      <c r="F92" s="64"/>
      <c r="G92" s="64"/>
      <c r="H92" s="64"/>
      <c r="I92" s="64"/>
      <c r="J92" s="64"/>
      <c r="K92" s="64"/>
      <c r="L92" s="64"/>
      <c r="M92" s="63"/>
      <c r="N92" s="64" t="s">
        <v>108</v>
      </c>
      <c r="O92" s="110"/>
      <c r="P92" s="110"/>
      <c r="Q92" s="110"/>
      <c r="R92" s="110"/>
      <c r="S92" s="110"/>
      <c r="T92" s="110"/>
      <c r="U92" s="110"/>
      <c r="V92" s="110"/>
      <c r="W92" s="82"/>
    </row>
    <row r="93" customFormat="false" ht="6" hidden="false" customHeight="true" outlineLevel="0" collapsed="false">
      <c r="A93" s="64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63"/>
      <c r="B94" s="63"/>
      <c r="C94" s="97" t="s">
        <v>33</v>
      </c>
      <c r="D94" s="98" t="n">
        <f aca="false">'Business Details'!O50</f>
        <v>640</v>
      </c>
      <c r="E94" s="98"/>
      <c r="F94" s="98"/>
      <c r="G94" s="99" t="s">
        <v>34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33</v>
      </c>
      <c r="O94" s="98" t="n">
        <f aca="false">IF(O106&gt;0,0,IF('Business Details'!D50=0,0,IF(D99&gt;'Business Details'!D50,'Business Details'!D50,D99)))</f>
        <v>0</v>
      </c>
      <c r="P94" s="98"/>
      <c r="Q94" s="98"/>
      <c r="R94" s="99" t="s">
        <v>34</v>
      </c>
      <c r="S94" s="100" t="n">
        <v>0</v>
      </c>
      <c r="T94" s="100" t="n">
        <v>0</v>
      </c>
      <c r="U94" s="63"/>
      <c r="V94" s="63"/>
      <c r="W94" s="82"/>
    </row>
    <row r="95" customFormat="false" ht="12" hidden="false" customHeight="fals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28</v>
      </c>
      <c r="B96" s="63"/>
      <c r="C96" s="64" t="s">
        <v>109</v>
      </c>
      <c r="D96" s="64"/>
      <c r="E96" s="64"/>
      <c r="F96" s="64"/>
      <c r="G96" s="64"/>
      <c r="H96" s="64"/>
      <c r="I96" s="64"/>
      <c r="J96" s="64"/>
      <c r="K96" s="64"/>
      <c r="L96" s="75" t="n">
        <v>30</v>
      </c>
      <c r="M96" s="63"/>
      <c r="N96" s="64" t="s">
        <v>110</v>
      </c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12" hidden="false" customHeight="true" outlineLevel="0" collapsed="false">
      <c r="A97" s="106"/>
      <c r="B97" s="63"/>
      <c r="C97" s="64" t="s">
        <v>111</v>
      </c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90" t="s">
        <v>112</v>
      </c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6" hidden="false" customHeight="true" outlineLevel="0" collapsed="false">
      <c r="A98" s="106"/>
      <c r="B98" s="6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82"/>
    </row>
    <row r="99" customFormat="false" ht="15" hidden="false" customHeight="false" outlineLevel="0" collapsed="false">
      <c r="A99" s="79"/>
      <c r="B99" s="63"/>
      <c r="C99" s="97" t="s">
        <v>33</v>
      </c>
      <c r="D99" s="98" t="n">
        <f aca="false">IF((D71+O85+D94-O71-D80-D85-O80)&gt;0,D71+O85+D94-O71-D80-D85-O80,0)</f>
        <v>127149.100166666</v>
      </c>
      <c r="E99" s="98"/>
      <c r="F99" s="98"/>
      <c r="G99" s="99" t="s">
        <v>34</v>
      </c>
      <c r="H99" s="100" t="n">
        <v>0</v>
      </c>
      <c r="I99" s="100" t="n">
        <v>0</v>
      </c>
      <c r="J99" s="63"/>
      <c r="K99" s="63"/>
      <c r="L99" s="64"/>
      <c r="M99" s="63"/>
      <c r="N99" s="97" t="s">
        <v>33</v>
      </c>
      <c r="O99" s="98" t="n">
        <f aca="false">'Profit &amp; Loss Account'!B11</f>
        <v>2083.33333333333</v>
      </c>
      <c r="P99" s="98"/>
      <c r="Q99" s="98"/>
      <c r="R99" s="99" t="s">
        <v>34</v>
      </c>
      <c r="S99" s="100" t="n">
        <v>0</v>
      </c>
      <c r="T99" s="100" t="n">
        <v>0</v>
      </c>
      <c r="U99" s="63"/>
      <c r="V99" s="63"/>
      <c r="W99" s="82"/>
      <c r="Y99" s="109"/>
      <c r="Z99" s="109"/>
    </row>
    <row r="100" customFormat="false" ht="12" hidden="false" customHeight="true" outlineLevel="0" collapsed="false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5"/>
    </row>
    <row r="101" customFormat="false" ht="24.75" hidden="false" customHeight="true" outlineLevel="0" collapsed="false">
      <c r="A101" s="103" t="s">
        <v>113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</row>
    <row r="102" customFormat="false" ht="7.5" hidden="false" customHeight="true" outlineLevel="0" collapsed="false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</row>
    <row r="103" customFormat="false" ht="12" hidden="false" customHeight="false" outlineLevel="0" collapsed="false">
      <c r="A103" s="75" t="n">
        <v>31</v>
      </c>
      <c r="B103" s="63"/>
      <c r="C103" s="64" t="s">
        <v>114</v>
      </c>
      <c r="D103" s="64"/>
      <c r="E103" s="64"/>
      <c r="F103" s="64"/>
      <c r="G103" s="64"/>
      <c r="H103" s="64"/>
      <c r="I103" s="64"/>
      <c r="J103" s="64"/>
      <c r="K103" s="64"/>
      <c r="L103" s="75" t="n">
        <v>32</v>
      </c>
      <c r="M103" s="63"/>
      <c r="N103" s="64" t="s">
        <v>115</v>
      </c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true" outlineLevel="0" collapsed="false">
      <c r="A104" s="79"/>
      <c r="B104" s="63"/>
      <c r="C104" s="80" t="s">
        <v>116</v>
      </c>
      <c r="D104" s="112"/>
      <c r="E104" s="112"/>
      <c r="F104" s="112"/>
      <c r="G104" s="99"/>
      <c r="H104" s="102"/>
      <c r="I104" s="102"/>
      <c r="J104" s="63"/>
      <c r="K104" s="63"/>
      <c r="L104" s="64"/>
      <c r="M104" s="63"/>
      <c r="N104" s="64" t="s">
        <v>117</v>
      </c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106"/>
      <c r="B106" s="63"/>
      <c r="C106" s="97" t="s">
        <v>33</v>
      </c>
      <c r="D106" s="98" t="n">
        <f aca="false">IF((D99+O99-O94)&gt;0,D99+O99-O94,0)</f>
        <v>129232.4335</v>
      </c>
      <c r="E106" s="98"/>
      <c r="F106" s="98"/>
      <c r="G106" s="99" t="s">
        <v>34</v>
      </c>
      <c r="H106" s="100" t="n">
        <v>0</v>
      </c>
      <c r="I106" s="100" t="n">
        <v>0</v>
      </c>
      <c r="J106" s="64"/>
      <c r="K106" s="64"/>
      <c r="L106" s="64"/>
      <c r="M106" s="63"/>
      <c r="N106" s="97" t="s">
        <v>33</v>
      </c>
      <c r="O106" s="98" t="n">
        <f aca="false">IF((O71+D80+D85+O80-D71-O85-D94)&gt;=0,O71+D80+D85+O80-D71-O85-D94,0)</f>
        <v>0</v>
      </c>
      <c r="P106" s="98"/>
      <c r="Q106" s="98"/>
      <c r="R106" s="99" t="s">
        <v>34</v>
      </c>
      <c r="S106" s="100" t="n">
        <v>0</v>
      </c>
      <c r="T106" s="100" t="n">
        <v>0</v>
      </c>
      <c r="U106" s="63"/>
      <c r="V106" s="63"/>
      <c r="W106" s="82"/>
    </row>
    <row r="107" customFormat="false" ht="6" hidden="false" customHeight="true" outlineLevel="0" collapsed="false">
      <c r="A107" s="93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113"/>
      <c r="O107" s="94"/>
      <c r="P107" s="94"/>
      <c r="Q107" s="94"/>
      <c r="R107" s="94"/>
      <c r="S107" s="94"/>
      <c r="T107" s="94"/>
      <c r="U107" s="94"/>
      <c r="V107" s="94"/>
      <c r="W107" s="95"/>
    </row>
    <row r="108" customFormat="false" ht="24.75" hidden="false" customHeight="true" outlineLevel="0" collapsed="false">
      <c r="A108" s="111" t="s">
        <v>118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customFormat="false" ht="15.75" hidden="false" customHeight="true" outlineLevel="0" collapsed="false">
      <c r="A109" s="104" t="s">
        <v>119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</row>
    <row r="110" customFormat="false" ht="7.5" hidden="false" customHeight="true" outlineLevel="0" collapsed="false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</row>
    <row r="111" customFormat="false" ht="12" hidden="false" customHeight="false" outlineLevel="0" collapsed="false">
      <c r="A111" s="75" t="n">
        <v>33</v>
      </c>
      <c r="B111" s="63"/>
      <c r="C111" s="64" t="s">
        <v>120</v>
      </c>
      <c r="D111" s="64"/>
      <c r="E111" s="64"/>
      <c r="F111" s="64"/>
      <c r="G111" s="64"/>
      <c r="H111" s="64"/>
      <c r="I111" s="64"/>
      <c r="J111" s="64"/>
      <c r="K111" s="64"/>
      <c r="L111" s="75" t="n">
        <v>36</v>
      </c>
      <c r="M111" s="63"/>
      <c r="N111" s="64" t="str">
        <f aca="false">"If your total profits for "&amp;Admin!G2&amp;" are less than £"&amp;TEXT(Admin!N16,"#,##0")&amp;" and you"</f>
        <v>If your total profits for 2026-27 are less than £7,105 and you</v>
      </c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106"/>
      <c r="B112" s="63"/>
      <c r="C112" s="64" t="s">
        <v>121</v>
      </c>
      <c r="D112" s="114" t="str">
        <f aca="false">Admin!G2</f>
        <v>2026-27</v>
      </c>
      <c r="E112" s="114"/>
      <c r="F112" s="114"/>
      <c r="G112" s="64"/>
      <c r="H112" s="64"/>
      <c r="I112" s="64"/>
      <c r="J112" s="64"/>
      <c r="K112" s="64"/>
      <c r="L112" s="64"/>
      <c r="M112" s="63"/>
      <c r="N112" s="64" t="s">
        <v>122</v>
      </c>
      <c r="O112" s="110"/>
      <c r="P112" s="110"/>
      <c r="Q112" s="110"/>
      <c r="R112" s="110"/>
      <c r="S112" s="110"/>
      <c r="T112" s="110"/>
      <c r="U112" s="110"/>
      <c r="V112" s="110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33</v>
      </c>
      <c r="D114" s="98"/>
      <c r="E114" s="98"/>
      <c r="F114" s="98"/>
      <c r="G114" s="99" t="s">
        <v>34</v>
      </c>
      <c r="H114" s="100" t="n">
        <v>0</v>
      </c>
      <c r="I114" s="100" t="n">
        <v>0</v>
      </c>
      <c r="J114" s="63"/>
      <c r="K114" s="63"/>
      <c r="L114" s="63"/>
      <c r="M114" s="63"/>
      <c r="N114" s="75"/>
      <c r="O114" s="112"/>
      <c r="P114" s="112"/>
      <c r="Q114" s="112"/>
      <c r="R114" s="99"/>
      <c r="S114" s="102"/>
      <c r="T114" s="102"/>
      <c r="U114" s="63"/>
      <c r="V114" s="63"/>
      <c r="W114" s="82"/>
    </row>
    <row r="115" customFormat="false" ht="12" hidden="false" customHeight="fals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34</v>
      </c>
      <c r="B116" s="63"/>
      <c r="C116" s="64" t="s">
        <v>123</v>
      </c>
      <c r="D116" s="64"/>
      <c r="E116" s="64"/>
      <c r="F116" s="64"/>
      <c r="G116" s="64"/>
      <c r="H116" s="64"/>
      <c r="I116" s="64"/>
      <c r="J116" s="64"/>
      <c r="K116" s="64"/>
      <c r="L116" s="75" t="n">
        <v>37</v>
      </c>
      <c r="M116" s="63"/>
      <c r="N116" s="64" t="s">
        <v>124</v>
      </c>
      <c r="O116" s="63"/>
      <c r="P116" s="63"/>
      <c r="Q116" s="63"/>
      <c r="R116" s="115"/>
      <c r="S116" s="115"/>
      <c r="T116" s="115"/>
      <c r="U116" s="64"/>
      <c r="V116" s="63"/>
      <c r="W116" s="82"/>
    </row>
    <row r="117" customFormat="false" ht="12" hidden="false" customHeight="true" outlineLevel="0" collapsed="false">
      <c r="A117" s="106"/>
      <c r="B117" s="63"/>
      <c r="C117" s="64" t="s">
        <v>125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4" t="s">
        <v>126</v>
      </c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2" hidden="false" customHeight="true" outlineLevel="0" collapsed="false">
      <c r="A118" s="106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3"/>
      <c r="N118" s="92"/>
      <c r="O118" s="63"/>
      <c r="P118" s="63"/>
      <c r="Q118" s="63"/>
      <c r="R118" s="63"/>
      <c r="S118" s="63"/>
      <c r="T118" s="63"/>
      <c r="U118" s="63"/>
      <c r="V118" s="63"/>
      <c r="W118" s="82"/>
    </row>
    <row r="119" customFormat="false" ht="15" hidden="false" customHeight="false" outlineLevel="0" collapsed="false">
      <c r="A119" s="79"/>
      <c r="B119" s="63"/>
      <c r="C119" s="97" t="s">
        <v>33</v>
      </c>
      <c r="D119" s="98"/>
      <c r="E119" s="98"/>
      <c r="F119" s="98"/>
      <c r="G119" s="99" t="s">
        <v>34</v>
      </c>
      <c r="H119" s="100" t="n">
        <v>0</v>
      </c>
      <c r="I119" s="100" t="n">
        <v>0</v>
      </c>
      <c r="J119" s="63"/>
      <c r="K119" s="63"/>
      <c r="L119" s="64"/>
      <c r="M119" s="63"/>
      <c r="N119" s="75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true" outlineLevel="0" collapsed="false">
      <c r="A120" s="79"/>
      <c r="B120" s="63"/>
      <c r="C120" s="64"/>
      <c r="D120" s="63"/>
      <c r="E120" s="63"/>
      <c r="F120" s="63"/>
      <c r="G120" s="63"/>
      <c r="H120" s="63"/>
      <c r="I120" s="63"/>
      <c r="J120" s="63"/>
      <c r="K120" s="63"/>
      <c r="L120" s="64"/>
      <c r="M120" s="63"/>
      <c r="N120" s="116"/>
      <c r="O120" s="112"/>
      <c r="P120" s="112"/>
      <c r="Q120" s="112"/>
      <c r="R120" s="99"/>
      <c r="S120" s="102"/>
      <c r="T120" s="102"/>
      <c r="U120" s="63"/>
      <c r="V120" s="63"/>
      <c r="W120" s="82"/>
    </row>
    <row r="121" customFormat="false" ht="12" hidden="false" customHeight="false" outlineLevel="0" collapsed="false">
      <c r="A121" s="75" t="n">
        <v>35</v>
      </c>
      <c r="B121" s="63"/>
      <c r="C121" s="64" t="s">
        <v>127</v>
      </c>
      <c r="D121" s="64"/>
      <c r="E121" s="64"/>
      <c r="F121" s="64"/>
      <c r="G121" s="64"/>
      <c r="H121" s="64"/>
      <c r="I121" s="64"/>
      <c r="J121" s="64"/>
      <c r="K121" s="64"/>
      <c r="L121" s="75" t="n">
        <v>38</v>
      </c>
      <c r="M121" s="63"/>
      <c r="N121" s="64" t="s">
        <v>128</v>
      </c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2" hidden="false" customHeight="true" outlineLevel="0" collapsed="false">
      <c r="A122" s="106"/>
      <c r="B122" s="63"/>
      <c r="C122" s="90" t="s">
        <v>129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3"/>
      <c r="N122" s="64" t="s">
        <v>130</v>
      </c>
      <c r="O122" s="63"/>
      <c r="P122" s="63"/>
      <c r="Q122" s="63"/>
      <c r="R122" s="63"/>
      <c r="S122" s="63"/>
      <c r="T122" s="63"/>
      <c r="U122" s="63"/>
      <c r="V122" s="63"/>
      <c r="W122" s="82"/>
    </row>
    <row r="123" customFormat="false" ht="6" hidden="false" customHeight="true" outlineLevel="0" collapsed="false">
      <c r="A123" s="106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82"/>
    </row>
    <row r="124" customFormat="false" ht="15" hidden="false" customHeight="false" outlineLevel="0" collapsed="false">
      <c r="A124" s="79"/>
      <c r="B124" s="63"/>
      <c r="C124" s="97" t="s">
        <v>33</v>
      </c>
      <c r="D124" s="98" t="n">
        <f aca="false">'Business Details'!O55</f>
        <v>0</v>
      </c>
      <c r="E124" s="98"/>
      <c r="F124" s="98"/>
      <c r="G124" s="99" t="s">
        <v>34</v>
      </c>
      <c r="H124" s="100" t="n">
        <v>0</v>
      </c>
      <c r="I124" s="100" t="n">
        <v>0</v>
      </c>
      <c r="J124" s="63"/>
      <c r="K124" s="63"/>
      <c r="L124" s="64"/>
      <c r="M124" s="63"/>
      <c r="N124" s="97" t="s">
        <v>33</v>
      </c>
      <c r="O124" s="98" t="n">
        <f aca="false">[2]Mar!$X$1</f>
        <v>0</v>
      </c>
      <c r="P124" s="98"/>
      <c r="Q124" s="98"/>
      <c r="R124" s="99" t="s">
        <v>34</v>
      </c>
      <c r="S124" s="100" t="n">
        <v>0</v>
      </c>
      <c r="T124" s="100" t="n">
        <v>0</v>
      </c>
      <c r="U124" s="63"/>
      <c r="V124" s="63"/>
      <c r="W124" s="82"/>
    </row>
    <row r="125" customFormat="false" ht="12" hidden="false" customHeight="true" outlineLevel="0" collapsed="false">
      <c r="A125" s="93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13"/>
      <c r="M125" s="94"/>
      <c r="N125" s="117"/>
      <c r="O125" s="118"/>
      <c r="P125" s="118"/>
      <c r="Q125" s="118"/>
      <c r="R125" s="119"/>
      <c r="S125" s="120"/>
      <c r="T125" s="120"/>
      <c r="U125" s="94"/>
      <c r="V125" s="94"/>
      <c r="W125" s="95"/>
    </row>
  </sheetData>
  <mergeCells count="67">
    <mergeCell ref="A1:F2"/>
    <mergeCell ref="G1:N2"/>
    <mergeCell ref="O1:W1"/>
    <mergeCell ref="O2:P2"/>
    <mergeCell ref="Q2:T2"/>
    <mergeCell ref="V2:W2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N20:Q20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1:F51"/>
    <mergeCell ref="O51:Q51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A74:W74"/>
    <mergeCell ref="A75:W75"/>
    <mergeCell ref="A76:W76"/>
    <mergeCell ref="D80:F80"/>
    <mergeCell ref="O80:Q80"/>
    <mergeCell ref="D85:F85"/>
    <mergeCell ref="O85:Q85"/>
    <mergeCell ref="A87:W87"/>
    <mergeCell ref="A88:W88"/>
    <mergeCell ref="A89:W89"/>
    <mergeCell ref="D94:F94"/>
    <mergeCell ref="O94:Q94"/>
    <mergeCell ref="D99:F99"/>
    <mergeCell ref="O99:Q99"/>
    <mergeCell ref="A101:W101"/>
    <mergeCell ref="D106:F106"/>
    <mergeCell ref="O106:Q106"/>
    <mergeCell ref="A108:W108"/>
    <mergeCell ref="A109:W109"/>
    <mergeCell ref="D112:F112"/>
    <mergeCell ref="D114:F114"/>
    <mergeCell ref="R116:T116"/>
    <mergeCell ref="D119:F119"/>
    <mergeCell ref="D124:F124"/>
    <mergeCell ref="O124:Q124"/>
  </mergeCells>
  <printOptions headings="false" gridLines="false" gridLinesSet="true" horizontalCentered="true" verticalCentered="true"/>
  <pageMargins left="0.433333333333333" right="0.354166666666667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15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0" min="10" style="50" width="6.66"/>
    <col collapsed="false" customWidth="true" hidden="false" outlineLevel="0" max="11" min="11" style="50" width="9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4" min="14" style="50" width="3.66"/>
    <col collapsed="false" customWidth="true" hidden="false" outlineLevel="0" max="15" min="15" style="50" width="3.49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1.32"/>
    <col collapsed="false" customWidth="true" hidden="false" outlineLevel="0" max="21" min="21" style="50" width="2.66"/>
    <col collapsed="false" customWidth="true" hidden="false" outlineLevel="0" max="22" min="22" style="50" width="5.5"/>
    <col collapsed="false" customWidth="true" hidden="false" outlineLevel="0" max="23" min="23" style="50" width="13.8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131</v>
      </c>
      <c r="B1" s="51"/>
      <c r="C1" s="51"/>
      <c r="D1" s="51"/>
      <c r="E1" s="51"/>
      <c r="F1" s="51"/>
      <c r="G1" s="52" t="str">
        <f aca="false">"COPY DETAILS TO HMRC FORM          Submit HMRC RETURN ONLINE                   by 31st January "&amp;TEXT(Admin!B21,"yyyy")</f>
        <v>COPY DETAILS TO HMRC FORM          Submit HMRC RETURN ONLINE                   by 31st January 2028</v>
      </c>
      <c r="H1" s="52"/>
      <c r="I1" s="52"/>
      <c r="J1" s="52"/>
      <c r="K1" s="52"/>
      <c r="L1" s="52"/>
      <c r="M1" s="52"/>
      <c r="N1" s="121" t="s">
        <v>132</v>
      </c>
      <c r="O1" s="121"/>
      <c r="P1" s="121"/>
      <c r="Q1" s="121"/>
      <c r="R1" s="121"/>
      <c r="S1" s="121"/>
      <c r="T1" s="121"/>
      <c r="U1" s="121"/>
      <c r="V1" s="121"/>
      <c r="W1" s="121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4" t="s">
        <v>55</v>
      </c>
      <c r="O2" s="54"/>
      <c r="P2" s="54"/>
      <c r="Q2" s="55" t="n">
        <f aca="false">Admin!B4</f>
        <v>46118</v>
      </c>
      <c r="R2" s="55"/>
      <c r="S2" s="55"/>
      <c r="T2" s="55"/>
      <c r="U2" s="56" t="s">
        <v>56</v>
      </c>
      <c r="V2" s="55" t="n">
        <f aca="false">Admin!B17</f>
        <v>46482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4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122" t="str">
        <f aca="false">IF('Business Details'!C5&gt;0,'Business Details'!C5," ")</f>
        <v>Precision Code Trading</v>
      </c>
      <c r="D8" s="122"/>
      <c r="E8" s="122"/>
      <c r="F8" s="122"/>
      <c r="G8" s="122"/>
      <c r="H8" s="122"/>
      <c r="I8" s="122"/>
      <c r="J8" s="122"/>
      <c r="K8" s="63"/>
      <c r="L8" s="63"/>
      <c r="M8" s="63"/>
      <c r="N8" s="63"/>
      <c r="O8" s="122" t="str">
        <f aca="false">IF('Business Details'!O5&gt;0,'Business Details'!O5," ")</f>
        <v> </v>
      </c>
      <c r="P8" s="122"/>
      <c r="Q8" s="63"/>
      <c r="R8" s="122" t="str">
        <f aca="false">IF('Business Details'!R5&gt;0,'Business Details'!R5," ")</f>
        <v> </v>
      </c>
      <c r="S8" s="122"/>
      <c r="T8" s="122"/>
      <c r="U8" s="122"/>
      <c r="V8" s="63"/>
      <c r="W8" s="67"/>
    </row>
    <row r="9" customFormat="false" ht="9.75" hidden="false" customHeight="true" outlineLevel="0" collapsed="false">
      <c r="A9" s="79"/>
      <c r="B9" s="63"/>
      <c r="C9" s="123"/>
      <c r="D9" s="123"/>
      <c r="E9" s="123"/>
      <c r="F9" s="123"/>
      <c r="G9" s="123"/>
      <c r="H9" s="123"/>
      <c r="I9" s="123"/>
      <c r="J9" s="123"/>
      <c r="K9" s="63"/>
      <c r="L9" s="63"/>
      <c r="M9" s="63"/>
      <c r="N9" s="64"/>
      <c r="O9" s="64"/>
      <c r="P9" s="64"/>
      <c r="Q9" s="64"/>
      <c r="R9" s="64"/>
      <c r="S9" s="64"/>
      <c r="T9" s="64"/>
      <c r="U9" s="64"/>
      <c r="V9" s="64"/>
      <c r="W9" s="78"/>
    </row>
    <row r="10" customFormat="false" ht="15" hidden="false" customHeight="true" outlineLevel="0" collapsed="false">
      <c r="A10" s="79"/>
      <c r="B10" s="63"/>
      <c r="C10" s="122" t="str">
        <f aca="false">IF('Business Details'!C7&gt;0,'Business Details'!C7," ")</f>
        <v> </v>
      </c>
      <c r="D10" s="122"/>
      <c r="E10" s="122"/>
      <c r="F10" s="122"/>
      <c r="G10" s="122"/>
      <c r="H10" s="122"/>
      <c r="I10" s="122"/>
      <c r="J10" s="122"/>
      <c r="K10" s="63"/>
      <c r="L10" s="63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78"/>
    </row>
    <row r="11" customFormat="false" ht="6" hidden="false" customHeight="true" outlineLevel="0" collapsed="false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</row>
    <row r="12" customFormat="false" ht="24.75" hidden="false" customHeight="true" outlineLevel="0" collapsed="false">
      <c r="A12" s="124" t="s">
        <v>4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customFormat="false" ht="7.5" hidden="false" customHeight="true" outlineLevel="0" collapsed="false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</row>
    <row r="14" customFormat="false" ht="12" hidden="false" customHeight="false" outlineLevel="0" collapsed="false">
      <c r="A14" s="75" t="n">
        <v>1</v>
      </c>
      <c r="B14" s="63"/>
      <c r="C14" s="64" t="s">
        <v>5</v>
      </c>
      <c r="D14" s="64"/>
      <c r="E14" s="64"/>
      <c r="F14" s="63"/>
      <c r="G14" s="63"/>
      <c r="H14" s="63"/>
      <c r="I14" s="63"/>
      <c r="J14" s="63"/>
      <c r="K14" s="63"/>
      <c r="L14" s="75" t="n">
        <v>5</v>
      </c>
      <c r="M14" s="63"/>
      <c r="N14" s="64" t="s">
        <v>133</v>
      </c>
      <c r="O14" s="64"/>
      <c r="P14" s="64"/>
      <c r="Q14" s="64"/>
      <c r="R14" s="64"/>
      <c r="S14" s="64"/>
      <c r="T14" s="64"/>
      <c r="U14" s="64"/>
      <c r="V14" s="64"/>
      <c r="W14" s="78"/>
    </row>
    <row r="15" customFormat="false" ht="15" hidden="false" customHeight="true" outlineLevel="0" collapsed="false">
      <c r="A15" s="79"/>
      <c r="B15" s="63"/>
      <c r="C15" s="122" t="str">
        <f aca="false">IF('Business Details'!C12&gt;0,'Business Details'!C12," ")</f>
        <v> </v>
      </c>
      <c r="D15" s="122"/>
      <c r="E15" s="122"/>
      <c r="F15" s="122"/>
      <c r="G15" s="122"/>
      <c r="H15" s="122"/>
      <c r="I15" s="122"/>
      <c r="J15" s="122"/>
      <c r="K15" s="63"/>
      <c r="L15" s="63"/>
      <c r="M15" s="63"/>
      <c r="N15" s="80" t="s">
        <v>134</v>
      </c>
      <c r="O15" s="64"/>
      <c r="P15" s="64"/>
      <c r="Q15" s="64"/>
      <c r="R15" s="64"/>
      <c r="S15" s="64"/>
      <c r="T15" s="64"/>
      <c r="U15" s="64"/>
      <c r="V15" s="64"/>
      <c r="W15" s="78"/>
    </row>
    <row r="16" customFormat="false" ht="9.75" hidden="false" customHeight="true" outlineLevel="0" collapsed="false">
      <c r="A16" s="79"/>
      <c r="B16" s="63"/>
      <c r="C16" s="123"/>
      <c r="D16" s="123"/>
      <c r="E16" s="123"/>
      <c r="F16" s="123"/>
      <c r="G16" s="123"/>
      <c r="H16" s="123"/>
      <c r="I16" s="123"/>
      <c r="J16" s="123"/>
      <c r="K16" s="63"/>
      <c r="L16" s="63"/>
      <c r="M16" s="63"/>
      <c r="N16" s="64" t="s">
        <v>135</v>
      </c>
      <c r="O16" s="64"/>
      <c r="P16" s="64"/>
      <c r="Q16" s="64"/>
      <c r="R16" s="64"/>
      <c r="S16" s="64"/>
      <c r="T16" s="64"/>
      <c r="U16" s="64"/>
      <c r="V16" s="64"/>
      <c r="W16" s="78"/>
    </row>
    <row r="17" customFormat="false" ht="15" hidden="false" customHeight="true" outlineLevel="0" collapsed="false">
      <c r="A17" s="79"/>
      <c r="B17" s="63"/>
      <c r="C17" s="122" t="str">
        <f aca="false">IF('Business Details'!C14&gt;0,'Business Details'!C14," ")</f>
        <v> </v>
      </c>
      <c r="D17" s="122"/>
      <c r="E17" s="122"/>
      <c r="F17" s="122"/>
      <c r="G17" s="122"/>
      <c r="H17" s="122"/>
      <c r="I17" s="122"/>
      <c r="J17" s="122"/>
      <c r="K17" s="63"/>
      <c r="L17" s="63"/>
      <c r="M17" s="63"/>
      <c r="N17" s="125" t="str">
        <f aca="false">IF('Business Details'!N14="X","X"," ")</f>
        <v> </v>
      </c>
      <c r="O17" s="63"/>
      <c r="P17" s="63"/>
      <c r="Q17" s="63"/>
      <c r="R17" s="63"/>
      <c r="S17" s="63"/>
      <c r="T17" s="63"/>
      <c r="U17" s="63"/>
      <c r="V17" s="63"/>
      <c r="W17" s="82"/>
    </row>
    <row r="18" customFormat="false" ht="7.5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82"/>
    </row>
    <row r="19" customFormat="false" ht="12" hidden="false" customHeight="false" outlineLevel="0" collapsed="false">
      <c r="A19" s="75" t="n">
        <v>2</v>
      </c>
      <c r="B19" s="63"/>
      <c r="C19" s="64" t="s">
        <v>9</v>
      </c>
      <c r="D19" s="64"/>
      <c r="E19" s="64"/>
      <c r="F19" s="63"/>
      <c r="G19" s="63"/>
      <c r="H19" s="63"/>
      <c r="I19" s="63"/>
      <c r="J19" s="63"/>
      <c r="K19" s="63"/>
      <c r="L19" s="75" t="n">
        <v>6</v>
      </c>
      <c r="M19" s="63"/>
      <c r="N19" s="64" t="s">
        <v>10</v>
      </c>
      <c r="O19" s="64"/>
      <c r="P19" s="64"/>
      <c r="Q19" s="64"/>
      <c r="R19" s="63"/>
      <c r="S19" s="84" t="n">
        <f aca="false">Admin!B4</f>
        <v>46118</v>
      </c>
      <c r="T19" s="84"/>
      <c r="U19" s="84"/>
      <c r="V19" s="84"/>
      <c r="W19" s="78"/>
    </row>
    <row r="20" customFormat="false" ht="15" hidden="false" customHeight="true" outlineLevel="0" collapsed="false">
      <c r="A20" s="79"/>
      <c r="B20" s="63"/>
      <c r="C20" s="122" t="str">
        <f aca="false">IF('Business Details'!C17&gt;0,'Business Details'!C17," ")</f>
        <v>IT consultancy and software development</v>
      </c>
      <c r="D20" s="122"/>
      <c r="E20" s="122"/>
      <c r="F20" s="122"/>
      <c r="G20" s="122"/>
      <c r="H20" s="122"/>
      <c r="I20" s="122"/>
      <c r="J20" s="122"/>
      <c r="K20" s="63"/>
      <c r="L20" s="63"/>
      <c r="M20" s="63"/>
      <c r="N20" s="64" t="s">
        <v>12</v>
      </c>
      <c r="O20" s="64"/>
      <c r="P20" s="64"/>
      <c r="Q20" s="64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123"/>
      <c r="D21" s="123"/>
      <c r="E21" s="123"/>
      <c r="F21" s="123"/>
      <c r="G21" s="123"/>
      <c r="H21" s="123"/>
      <c r="I21" s="123"/>
      <c r="J21" s="123"/>
      <c r="K21" s="63"/>
      <c r="L21" s="63"/>
      <c r="M21" s="63"/>
      <c r="N21" s="81"/>
      <c r="O21" s="81"/>
      <c r="P21" s="81"/>
      <c r="Q21" s="81"/>
      <c r="R21" s="63"/>
      <c r="S21" s="63"/>
      <c r="T21" s="63"/>
      <c r="U21" s="63"/>
      <c r="V21" s="63"/>
      <c r="W21" s="82"/>
    </row>
    <row r="22" customFormat="false" ht="13.5" hidden="false" customHeight="false" outlineLevel="0" collapsed="false">
      <c r="A22" s="79"/>
      <c r="B22" s="63"/>
      <c r="C22" s="122" t="str">
        <f aca="false">IF('Business Details'!C19&gt;0,'Business Details'!C19," ")</f>
        <v> </v>
      </c>
      <c r="D22" s="122"/>
      <c r="E22" s="122"/>
      <c r="F22" s="122"/>
      <c r="G22" s="122"/>
      <c r="H22" s="122"/>
      <c r="I22" s="122"/>
      <c r="J22" s="122"/>
      <c r="K22" s="63"/>
      <c r="L22" s="63"/>
      <c r="M22" s="63"/>
      <c r="N22" s="87" t="str">
        <f aca="false">IF('Business Details'!N10&gt;0,'Business Details'!N19," ")</f>
        <v> </v>
      </c>
      <c r="O22" s="87"/>
      <c r="P22" s="87"/>
      <c r="Q22" s="87"/>
      <c r="R22" s="63"/>
      <c r="S22" s="63"/>
      <c r="T22" s="63"/>
      <c r="U22" s="63"/>
      <c r="V22" s="63"/>
      <c r="W22" s="82"/>
    </row>
    <row r="23" customFormat="false" ht="7.5" hidden="false" customHeight="true" outlineLevel="0" collapsed="false">
      <c r="A23" s="79"/>
      <c r="B23" s="63"/>
      <c r="C23" s="123"/>
      <c r="D23" s="123"/>
      <c r="E23" s="123"/>
      <c r="F23" s="123"/>
      <c r="G23" s="123"/>
      <c r="H23" s="123"/>
      <c r="I23" s="123"/>
      <c r="J23" s="12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82"/>
    </row>
    <row r="24" customFormat="false" ht="13.5" hidden="false" customHeight="false" outlineLevel="0" collapsed="false">
      <c r="A24" s="79"/>
      <c r="B24" s="63"/>
      <c r="C24" s="122" t="str">
        <f aca="false">IF('Business Details'!C21&gt;0,'Business Details'!C21," ")</f>
        <v> </v>
      </c>
      <c r="D24" s="122"/>
      <c r="E24" s="122"/>
      <c r="F24" s="122"/>
      <c r="G24" s="122"/>
      <c r="H24" s="122"/>
      <c r="I24" s="122"/>
      <c r="J24" s="122"/>
      <c r="K24" s="63"/>
      <c r="L24" s="75" t="n">
        <v>7</v>
      </c>
      <c r="M24" s="63"/>
      <c r="N24" s="64" t="s">
        <v>13</v>
      </c>
      <c r="O24" s="64"/>
      <c r="P24" s="64"/>
      <c r="Q24" s="64"/>
      <c r="R24" s="63"/>
      <c r="S24" s="84" t="n">
        <f aca="false">Admin!B17</f>
        <v>46482</v>
      </c>
      <c r="T24" s="84"/>
      <c r="U24" s="84"/>
      <c r="V24" s="84"/>
      <c r="W24" s="78"/>
    </row>
    <row r="25" customFormat="false" ht="7.5" hidden="false" customHeight="true" outlineLevel="0" collapsed="false">
      <c r="A25" s="7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5" t="s">
        <v>14</v>
      </c>
      <c r="O25" s="85"/>
      <c r="P25" s="85"/>
      <c r="Q25" s="85"/>
      <c r="R25" s="85"/>
      <c r="S25" s="85"/>
      <c r="T25" s="85"/>
      <c r="U25" s="85"/>
      <c r="V25" s="85"/>
      <c r="W25" s="86"/>
    </row>
    <row r="26" customFormat="false" ht="12" hidden="false" customHeight="false" outlineLevel="0" collapsed="false">
      <c r="A26" s="75" t="n">
        <v>3</v>
      </c>
      <c r="B26" s="63"/>
      <c r="C26" s="64" t="s">
        <v>15</v>
      </c>
      <c r="D26" s="64"/>
      <c r="E26" s="64"/>
      <c r="F26" s="63"/>
      <c r="G26" s="63"/>
      <c r="H26" s="63"/>
      <c r="I26" s="63"/>
      <c r="J26" s="63"/>
      <c r="K26" s="63"/>
      <c r="L26" s="63"/>
      <c r="M26" s="63"/>
      <c r="N26" s="85"/>
      <c r="O26" s="85"/>
      <c r="P26" s="85"/>
      <c r="Q26" s="85"/>
      <c r="R26" s="85"/>
      <c r="S26" s="85"/>
      <c r="T26" s="85"/>
      <c r="U26" s="85"/>
      <c r="V26" s="85"/>
      <c r="W26" s="86"/>
    </row>
    <row r="27" customFormat="false" ht="15" hidden="false" customHeight="true" outlineLevel="0" collapsed="false">
      <c r="A27" s="79"/>
      <c r="B27" s="63"/>
      <c r="C27" s="92" t="s">
        <v>16</v>
      </c>
      <c r="D27" s="90"/>
      <c r="E27" s="90"/>
      <c r="F27" s="63"/>
      <c r="G27" s="63"/>
      <c r="H27" s="63"/>
      <c r="I27" s="63"/>
      <c r="J27" s="63"/>
      <c r="K27" s="63"/>
      <c r="L27" s="63"/>
      <c r="M27" s="63"/>
      <c r="N27" s="87" t="str">
        <f aca="false">IF('Business Details'!N24&gt;0,'Business Details'!N24," ")</f>
        <v> </v>
      </c>
      <c r="O27" s="87"/>
      <c r="P27" s="87"/>
      <c r="Q27" s="87"/>
      <c r="R27" s="63"/>
      <c r="S27" s="63"/>
      <c r="T27" s="63"/>
      <c r="U27" s="63"/>
      <c r="V27" s="63"/>
      <c r="W27" s="82"/>
    </row>
    <row r="28" customFormat="false" ht="13.5" hidden="false" customHeight="false" outlineLevel="0" collapsed="false">
      <c r="A28" s="79"/>
      <c r="B28" s="63"/>
      <c r="C28" s="122" t="str">
        <f aca="false">IF('Business Details'!C25&gt;0,'Business Details'!C25," ")</f>
        <v> </v>
      </c>
      <c r="D28" s="122"/>
      <c r="E28" s="122"/>
      <c r="F28" s="122"/>
      <c r="G28" s="122"/>
      <c r="H28" s="122"/>
      <c r="I28" s="122"/>
      <c r="J28" s="122"/>
      <c r="K28" s="63"/>
      <c r="L28" s="75" t="n">
        <v>8</v>
      </c>
      <c r="M28" s="63"/>
      <c r="N28" s="64" t="s">
        <v>17</v>
      </c>
      <c r="O28" s="64"/>
      <c r="P28" s="64"/>
      <c r="Q28" s="64"/>
      <c r="R28" s="64"/>
      <c r="S28" s="64"/>
      <c r="T28" s="64"/>
      <c r="U28" s="64"/>
      <c r="V28" s="64"/>
      <c r="W28" s="78"/>
    </row>
    <row r="29" customFormat="false" ht="12" hidden="false" customHeight="true" outlineLevel="0" collapsed="false">
      <c r="A29" s="126"/>
      <c r="B29" s="81"/>
      <c r="C29" s="112"/>
      <c r="D29" s="112"/>
      <c r="E29" s="112"/>
      <c r="F29" s="112"/>
      <c r="G29" s="112"/>
      <c r="H29" s="112"/>
      <c r="I29" s="112"/>
      <c r="J29" s="112"/>
      <c r="K29" s="81"/>
      <c r="L29" s="81"/>
      <c r="M29" s="81"/>
      <c r="N29" s="92" t="s">
        <v>18</v>
      </c>
      <c r="O29" s="80"/>
      <c r="P29" s="80"/>
      <c r="Q29" s="80"/>
      <c r="R29" s="80"/>
      <c r="S29" s="80"/>
      <c r="T29" s="80"/>
      <c r="U29" s="80"/>
      <c r="V29" s="80"/>
      <c r="W29" s="86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  <c r="CF29" s="127"/>
      <c r="CG29" s="127"/>
      <c r="CH29" s="127"/>
      <c r="CI29" s="127"/>
      <c r="CJ29" s="127"/>
      <c r="CK29" s="127"/>
      <c r="CL29" s="127"/>
      <c r="CM29" s="127"/>
      <c r="CN29" s="127"/>
      <c r="CO29" s="127"/>
      <c r="CP29" s="127"/>
      <c r="CQ29" s="127"/>
      <c r="CR29" s="127"/>
      <c r="CS29" s="127"/>
      <c r="CT29" s="127"/>
      <c r="CU29" s="127"/>
      <c r="CV29" s="127"/>
      <c r="CW29" s="127"/>
      <c r="CX29" s="127"/>
      <c r="CY29" s="127"/>
      <c r="CZ29" s="127"/>
      <c r="DA29" s="127"/>
      <c r="DB29" s="127"/>
      <c r="DC29" s="127"/>
      <c r="DD29" s="127"/>
      <c r="DE29" s="127"/>
      <c r="DF29" s="127"/>
      <c r="DG29" s="127"/>
      <c r="DH29" s="127"/>
      <c r="DI29" s="127"/>
      <c r="DJ29" s="127"/>
      <c r="DK29" s="127"/>
      <c r="DL29" s="127"/>
      <c r="DM29" s="127"/>
      <c r="DN29" s="127"/>
      <c r="DO29" s="127"/>
      <c r="DP29" s="127"/>
      <c r="DQ29" s="127"/>
      <c r="DR29" s="127"/>
      <c r="DS29" s="127"/>
      <c r="DT29" s="127"/>
      <c r="DU29" s="127"/>
      <c r="DV29" s="127"/>
      <c r="DW29" s="127"/>
      <c r="DX29" s="127"/>
      <c r="DY29" s="127"/>
      <c r="DZ29" s="127"/>
      <c r="EA29" s="127"/>
      <c r="EB29" s="127"/>
      <c r="EC29" s="127"/>
      <c r="ED29" s="127"/>
      <c r="EE29" s="127"/>
      <c r="EF29" s="127"/>
      <c r="EG29" s="127"/>
      <c r="EH29" s="127"/>
      <c r="EI29" s="127"/>
      <c r="EJ29" s="127"/>
      <c r="EK29" s="127"/>
      <c r="EL29" s="127"/>
      <c r="EM29" s="127"/>
      <c r="EN29" s="127"/>
      <c r="EO29" s="127"/>
      <c r="EP29" s="127"/>
      <c r="EQ29" s="127"/>
      <c r="ER29" s="127"/>
      <c r="ES29" s="127"/>
      <c r="ET29" s="127"/>
      <c r="EU29" s="127"/>
      <c r="EV29" s="127"/>
      <c r="EW29" s="127"/>
      <c r="EX29" s="127"/>
      <c r="EY29" s="127"/>
      <c r="EZ29" s="127"/>
      <c r="FA29" s="127"/>
      <c r="FB29" s="127"/>
      <c r="FC29" s="127"/>
      <c r="FD29" s="127"/>
      <c r="FE29" s="127"/>
      <c r="FF29" s="127"/>
      <c r="FG29" s="127"/>
      <c r="FH29" s="127"/>
      <c r="FI29" s="127"/>
      <c r="FJ29" s="127"/>
      <c r="FK29" s="127"/>
      <c r="FL29" s="127"/>
      <c r="FM29" s="127"/>
      <c r="FN29" s="127"/>
      <c r="FO29" s="127"/>
      <c r="FP29" s="127"/>
      <c r="FQ29" s="127"/>
      <c r="FR29" s="127"/>
      <c r="FS29" s="127"/>
      <c r="FT29" s="127"/>
      <c r="FU29" s="127"/>
      <c r="FV29" s="127"/>
      <c r="FW29" s="127"/>
      <c r="FX29" s="127"/>
      <c r="FY29" s="127"/>
      <c r="FZ29" s="127"/>
      <c r="GA29" s="127"/>
      <c r="GB29" s="127"/>
      <c r="GC29" s="127"/>
      <c r="GD29" s="127"/>
      <c r="GE29" s="127"/>
      <c r="GF29" s="127"/>
      <c r="GG29" s="127"/>
      <c r="GH29" s="127"/>
      <c r="GI29" s="127"/>
      <c r="GJ29" s="127"/>
      <c r="GK29" s="127"/>
      <c r="GL29" s="127"/>
      <c r="GM29" s="127"/>
      <c r="GN29" s="127"/>
      <c r="GO29" s="127"/>
      <c r="GP29" s="127"/>
      <c r="GQ29" s="127"/>
      <c r="GR29" s="127"/>
      <c r="GS29" s="127"/>
      <c r="GT29" s="127"/>
      <c r="GU29" s="127"/>
      <c r="GV29" s="127"/>
      <c r="GW29" s="127"/>
      <c r="GX29" s="127"/>
      <c r="GY29" s="127"/>
      <c r="GZ29" s="127"/>
      <c r="HA29" s="127"/>
      <c r="HB29" s="127"/>
      <c r="HC29" s="127"/>
      <c r="HD29" s="127"/>
      <c r="HE29" s="127"/>
      <c r="HF29" s="127"/>
      <c r="HG29" s="127"/>
      <c r="HH29" s="127"/>
      <c r="HI29" s="127"/>
      <c r="HJ29" s="127"/>
      <c r="HK29" s="127"/>
      <c r="HL29" s="127"/>
      <c r="HM29" s="127"/>
      <c r="HN29" s="127"/>
      <c r="HO29" s="127"/>
      <c r="HP29" s="127"/>
      <c r="HQ29" s="127"/>
      <c r="HR29" s="127"/>
      <c r="HS29" s="127"/>
      <c r="HT29" s="127"/>
      <c r="HU29" s="127"/>
      <c r="HV29" s="127"/>
      <c r="HW29" s="127"/>
      <c r="HX29" s="127"/>
      <c r="HY29" s="127"/>
      <c r="HZ29" s="127"/>
      <c r="IA29" s="127"/>
      <c r="IB29" s="127"/>
      <c r="IC29" s="127"/>
      <c r="ID29" s="127"/>
      <c r="IE29" s="127"/>
      <c r="IF29" s="127"/>
      <c r="IG29" s="127"/>
      <c r="IH29" s="127"/>
      <c r="II29" s="127"/>
      <c r="IJ29" s="127"/>
      <c r="IK29" s="127"/>
      <c r="IL29" s="127"/>
      <c r="IM29" s="127"/>
      <c r="IN29" s="127"/>
      <c r="IO29" s="127"/>
      <c r="IP29" s="127"/>
      <c r="IQ29" s="127"/>
      <c r="IR29" s="127"/>
      <c r="IS29" s="127"/>
      <c r="IT29" s="127"/>
      <c r="IU29" s="127"/>
      <c r="IV29" s="127"/>
      <c r="IW29" s="127"/>
    </row>
    <row r="30" customFormat="false" ht="13.5" hidden="false" customHeight="false" outlineLevel="0" collapsed="false">
      <c r="A30" s="79"/>
      <c r="B30" s="63"/>
      <c r="C30" s="122" t="str">
        <f aca="false">IF('Business Details'!C27&gt;0,'Business Details'!C27," ")</f>
        <v> </v>
      </c>
      <c r="D30" s="122"/>
      <c r="E30" s="122"/>
      <c r="F30" s="122"/>
      <c r="G30" s="122"/>
      <c r="H30" s="122"/>
      <c r="I30" s="122"/>
      <c r="J30" s="122"/>
      <c r="K30" s="63"/>
      <c r="L30" s="63"/>
      <c r="M30" s="63"/>
      <c r="N30" s="87" t="str">
        <f aca="false">IF('Business Details'!N27&gt;0,'Business Details'!N27," ")</f>
        <v> </v>
      </c>
      <c r="O30" s="87"/>
      <c r="P30" s="87"/>
      <c r="Q30" s="87"/>
      <c r="R30" s="63"/>
      <c r="S30" s="63"/>
      <c r="T30" s="63"/>
      <c r="U30" s="63"/>
      <c r="V30" s="63"/>
      <c r="W30" s="82"/>
    </row>
    <row r="31" customFormat="false" ht="7.5" hidden="false" customHeight="tru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82"/>
    </row>
    <row r="32" customFormat="false" ht="12" hidden="false" customHeight="false" outlineLevel="0" collapsed="false">
      <c r="A32" s="75" t="n">
        <v>4</v>
      </c>
      <c r="B32" s="63"/>
      <c r="C32" s="80" t="s">
        <v>136</v>
      </c>
      <c r="D32" s="64"/>
      <c r="E32" s="64"/>
      <c r="F32" s="63"/>
      <c r="G32" s="63"/>
      <c r="H32" s="63"/>
      <c r="I32" s="63"/>
      <c r="J32" s="63"/>
      <c r="K32" s="63"/>
      <c r="L32" s="75" t="n">
        <v>9</v>
      </c>
      <c r="M32" s="63"/>
      <c r="N32" s="64" t="s">
        <v>20</v>
      </c>
      <c r="O32" s="64"/>
      <c r="P32" s="64"/>
      <c r="Q32" s="64"/>
      <c r="R32" s="64"/>
      <c r="S32" s="64"/>
      <c r="T32" s="64"/>
      <c r="U32" s="64"/>
      <c r="V32" s="64"/>
      <c r="W32" s="78"/>
    </row>
    <row r="33" customFormat="false" ht="13.5" hidden="false" customHeight="false" outlineLevel="0" collapsed="false">
      <c r="A33" s="79"/>
      <c r="B33" s="63"/>
      <c r="C33" s="125" t="str">
        <f aca="false">IF('Business Details'!C30&gt;0,'Business Details'!C30," ")</f>
        <v> </v>
      </c>
      <c r="D33" s="125"/>
      <c r="E33" s="123"/>
      <c r="F33" s="125" t="str">
        <f aca="false">IF('Business Details'!F30&gt;0,'Business Details'!F30," ")</f>
        <v> </v>
      </c>
      <c r="G33" s="63"/>
      <c r="H33" s="63"/>
      <c r="I33" s="63"/>
      <c r="J33" s="63"/>
      <c r="K33" s="63"/>
      <c r="L33" s="63"/>
      <c r="M33" s="63"/>
      <c r="N33" s="64" t="s">
        <v>137</v>
      </c>
      <c r="O33" s="64"/>
      <c r="P33" s="64"/>
      <c r="Q33" s="64"/>
      <c r="R33" s="64"/>
      <c r="S33" s="64"/>
      <c r="T33" s="64"/>
      <c r="U33" s="64"/>
      <c r="V33" s="64"/>
      <c r="W33" s="78"/>
    </row>
    <row r="34" customFormat="false" ht="12" hidden="false" customHeight="false" outlineLevel="0" collapsed="false">
      <c r="A34" s="79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90" t="s">
        <v>138</v>
      </c>
      <c r="O34" s="90"/>
      <c r="P34" s="64"/>
      <c r="Q34" s="64"/>
      <c r="R34" s="64"/>
      <c r="S34" s="64"/>
      <c r="T34" s="64"/>
      <c r="U34" s="64"/>
      <c r="V34" s="64"/>
      <c r="W34" s="78"/>
    </row>
    <row r="35" customFormat="false" ht="15" hidden="false" customHeight="true" outlineLevel="0" collapsed="false">
      <c r="A35" s="7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87" t="n">
        <f aca="false">Admin!B17</f>
        <v>46482</v>
      </c>
      <c r="O35" s="87"/>
      <c r="P35" s="87"/>
      <c r="Q35" s="87"/>
      <c r="R35" s="63"/>
      <c r="S35" s="63"/>
      <c r="T35" s="63"/>
      <c r="U35" s="63"/>
      <c r="V35" s="63"/>
      <c r="W35" s="82"/>
    </row>
    <row r="36" customFormat="false" ht="7.5" hidden="false" customHeight="true" outlineLevel="0" collapsed="false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</row>
    <row r="37" customFormat="false" ht="24.75" hidden="false" customHeight="true" outlineLevel="0" collapsed="false">
      <c r="A37" s="111" t="s">
        <v>23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customFormat="false" ht="6" hidden="false" customHeight="true" outlineLevel="0" collapsed="false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  <row r="39" customFormat="false" ht="12" hidden="false" customHeight="false" outlineLevel="0" collapsed="false">
      <c r="A39" s="75" t="n">
        <v>10</v>
      </c>
      <c r="B39" s="63"/>
      <c r="C39" s="64" t="s">
        <v>24</v>
      </c>
      <c r="D39" s="64"/>
      <c r="E39" s="64"/>
      <c r="F39" s="64"/>
      <c r="G39" s="64"/>
      <c r="H39" s="64"/>
      <c r="I39" s="64"/>
      <c r="J39" s="64"/>
      <c r="K39" s="64"/>
      <c r="L39" s="75" t="n">
        <v>13</v>
      </c>
      <c r="M39" s="63"/>
      <c r="N39" s="64" t="s">
        <v>25</v>
      </c>
      <c r="O39" s="64"/>
      <c r="P39" s="64"/>
      <c r="Q39" s="64"/>
      <c r="R39" s="64"/>
      <c r="S39" s="64"/>
      <c r="T39" s="64"/>
      <c r="U39" s="64"/>
      <c r="V39" s="64"/>
      <c r="W39" s="78"/>
    </row>
    <row r="40" customFormat="false" ht="12" hidden="false" customHeight="false" outlineLevel="0" collapsed="false">
      <c r="A40" s="79"/>
      <c r="B40" s="63"/>
      <c r="C40" s="64" t="s">
        <v>26</v>
      </c>
      <c r="D40" s="64"/>
      <c r="E40" s="64"/>
      <c r="F40" s="64"/>
      <c r="G40" s="64"/>
      <c r="H40" s="64"/>
      <c r="I40" s="64"/>
      <c r="J40" s="64"/>
      <c r="K40" s="64"/>
      <c r="L40" s="63"/>
      <c r="M40" s="63"/>
      <c r="N40" s="64" t="s">
        <v>27</v>
      </c>
      <c r="O40" s="64"/>
      <c r="P40" s="64"/>
      <c r="Q40" s="64"/>
      <c r="R40" s="64"/>
      <c r="S40" s="64"/>
      <c r="T40" s="64"/>
      <c r="U40" s="64"/>
      <c r="V40" s="64"/>
      <c r="W40" s="78"/>
    </row>
    <row r="41" customFormat="false" ht="7.5" hidden="false" customHeight="true" outlineLevel="0" collapsed="false">
      <c r="A41" s="7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82"/>
    </row>
    <row r="42" customFormat="false" ht="13.5" hidden="false" customHeight="false" outlineLevel="0" collapsed="false">
      <c r="A42" s="79"/>
      <c r="B42" s="63"/>
      <c r="C42" s="128" t="str">
        <f aca="false">IF('Business Details'!C39="x","x"," ")</f>
        <v> 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28" t="str">
        <f aca="false">IF('Business Details'!N39="x","x"," ")</f>
        <v> </v>
      </c>
      <c r="O42" s="63"/>
      <c r="P42" s="63"/>
      <c r="Q42" s="63"/>
      <c r="R42" s="63"/>
      <c r="S42" s="63"/>
      <c r="T42" s="63"/>
      <c r="U42" s="63"/>
      <c r="V42" s="63"/>
      <c r="W42" s="82"/>
    </row>
    <row r="43" customFormat="false" ht="7.5" hidden="false" customHeight="true" outlineLevel="0" collapsed="false">
      <c r="A43" s="7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82"/>
    </row>
    <row r="44" customFormat="false" ht="12" hidden="false" customHeight="false" outlineLevel="0" collapsed="false">
      <c r="A44" s="75"/>
      <c r="B44" s="63"/>
      <c r="C44" s="64" t="s">
        <v>28</v>
      </c>
      <c r="D44" s="64"/>
      <c r="E44" s="64"/>
      <c r="F44" s="64"/>
      <c r="G44" s="64"/>
      <c r="H44" s="64"/>
      <c r="I44" s="64"/>
      <c r="J44" s="64"/>
      <c r="K44" s="64"/>
      <c r="L44" s="75" t="n">
        <v>14</v>
      </c>
      <c r="M44" s="63"/>
      <c r="N44" s="64" t="str">
        <f aca="false">"If you provided the information about your "&amp;Admin!G2</f>
        <v>If you provided the information about your 2026-27</v>
      </c>
      <c r="O44" s="64"/>
      <c r="P44" s="64"/>
      <c r="Q44" s="64"/>
      <c r="R44" s="64"/>
      <c r="S44" s="64"/>
      <c r="T44" s="64"/>
      <c r="U44" s="64"/>
      <c r="V44" s="64"/>
      <c r="W44" s="78"/>
    </row>
    <row r="45" customFormat="false" ht="12" hidden="false" customHeight="false" outlineLevel="0" collapsed="false">
      <c r="A45" s="79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3"/>
      <c r="M45" s="63"/>
      <c r="N45" s="64" t="s">
        <v>139</v>
      </c>
      <c r="O45" s="64"/>
      <c r="P45" s="64"/>
      <c r="Q45" s="64"/>
      <c r="R45" s="64"/>
      <c r="S45" s="64"/>
      <c r="T45" s="64"/>
      <c r="U45" s="64"/>
      <c r="V45" s="64"/>
      <c r="W45" s="78"/>
    </row>
    <row r="46" customFormat="false" ht="12" hidden="false" customHeight="false" outlineLevel="0" collapsed="false">
      <c r="A46" s="7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/>
      <c r="O46" s="64"/>
      <c r="P46" s="64"/>
      <c r="Q46" s="64"/>
      <c r="R46" s="64"/>
      <c r="S46" s="64"/>
      <c r="T46" s="64"/>
      <c r="U46" s="64"/>
      <c r="V46" s="64"/>
      <c r="W46" s="78"/>
    </row>
    <row r="47" customFormat="false" ht="7.5" hidden="false" customHeight="tru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3.5" hidden="false" customHeight="false" outlineLevel="0" collapsed="false">
      <c r="A48" s="79"/>
      <c r="B48" s="63"/>
      <c r="C48" s="64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28" t="str">
        <f aca="false">IF('Business Details'!N45="x","x"," ")</f>
        <v> 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7.5" hidden="false" customHeight="true" outlineLevel="0" collapsed="false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5"/>
    </row>
    <row r="50" customFormat="false" ht="24.75" hidden="false" customHeight="true" outlineLevel="0" collapsed="false">
      <c r="A50" s="103" t="s">
        <v>140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</row>
    <row r="51" customFormat="false" ht="7.5" hidden="false" customHeight="true" outlineLevel="0" collapsed="false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</row>
    <row r="52" customFormat="false" ht="12" hidden="false" customHeight="false" outlineLevel="0" collapsed="false">
      <c r="A52" s="75" t="n">
        <v>15</v>
      </c>
      <c r="B52" s="63"/>
      <c r="C52" s="64" t="s">
        <v>68</v>
      </c>
      <c r="D52" s="64"/>
      <c r="E52" s="64"/>
      <c r="F52" s="64"/>
      <c r="G52" s="64"/>
      <c r="H52" s="64"/>
      <c r="I52" s="64"/>
      <c r="J52" s="64"/>
      <c r="K52" s="64"/>
      <c r="L52" s="75" t="n">
        <v>16</v>
      </c>
      <c r="M52" s="63"/>
      <c r="N52" s="64" t="s">
        <v>141</v>
      </c>
      <c r="O52" s="64"/>
      <c r="P52" s="64"/>
      <c r="Q52" s="64"/>
      <c r="R52" s="64"/>
      <c r="S52" s="64"/>
      <c r="T52" s="64"/>
      <c r="U52" s="64"/>
      <c r="V52" s="64"/>
      <c r="W52" s="78"/>
    </row>
    <row r="53" customFormat="false" ht="12" hidden="false" customHeight="false" outlineLevel="0" collapsed="false">
      <c r="A53" s="79"/>
      <c r="B53" s="63"/>
      <c r="C53" s="64" t="s">
        <v>70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90"/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7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33</v>
      </c>
      <c r="D55" s="98" t="n">
        <f aca="false">'Profit &amp; Loss Account'!B9</f>
        <v>339200</v>
      </c>
      <c r="E55" s="98"/>
      <c r="F55" s="98"/>
      <c r="G55" s="99" t="s">
        <v>34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33</v>
      </c>
      <c r="O55" s="98" t="n">
        <f aca="false">'Profit &amp; Loss Account'!B38</f>
        <v>0</v>
      </c>
      <c r="P55" s="98"/>
      <c r="Q55" s="98"/>
      <c r="R55" s="99" t="s">
        <v>34</v>
      </c>
      <c r="S55" s="100" t="n">
        <v>0</v>
      </c>
      <c r="T55" s="100" t="n">
        <v>0</v>
      </c>
      <c r="U55" s="101"/>
      <c r="V55" s="102"/>
      <c r="W55" s="82"/>
    </row>
    <row r="56" customFormat="false" ht="7.5" hidden="false" customHeight="true" outlineLevel="0" collapsed="false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5"/>
    </row>
    <row r="57" customFormat="false" ht="24.75" hidden="false" customHeight="true" outlineLevel="0" collapsed="false">
      <c r="A57" s="103" t="s">
        <v>142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</row>
    <row r="58" customFormat="false" ht="15.75" hidden="false" customHeight="true" outlineLevel="0" collapsed="false">
      <c r="A58" s="104" t="s">
        <v>143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  <c r="CK58" s="105"/>
      <c r="CL58" s="105"/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  <c r="CZ58" s="105"/>
      <c r="DA58" s="105"/>
      <c r="DB58" s="105"/>
      <c r="DC58" s="105"/>
      <c r="DD58" s="105"/>
      <c r="DE58" s="105"/>
      <c r="DF58" s="105"/>
      <c r="DG58" s="105"/>
      <c r="DH58" s="105"/>
      <c r="DI58" s="105"/>
      <c r="DJ58" s="105"/>
      <c r="DK58" s="105"/>
      <c r="DL58" s="105"/>
      <c r="DM58" s="105"/>
      <c r="DN58" s="105"/>
      <c r="DO58" s="105"/>
      <c r="DP58" s="105"/>
      <c r="DQ58" s="105"/>
      <c r="DR58" s="105"/>
      <c r="DS58" s="105"/>
      <c r="DT58" s="105"/>
      <c r="DU58" s="105"/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5"/>
      <c r="ET58" s="105"/>
      <c r="EU58" s="105"/>
      <c r="EV58" s="105"/>
      <c r="EW58" s="105"/>
      <c r="EX58" s="105"/>
      <c r="EY58" s="105"/>
      <c r="EZ58" s="105"/>
      <c r="FA58" s="105"/>
      <c r="FB58" s="105"/>
      <c r="FC58" s="105"/>
      <c r="FD58" s="105"/>
      <c r="FE58" s="105"/>
      <c r="FF58" s="105"/>
      <c r="FG58" s="105"/>
      <c r="FH58" s="105"/>
      <c r="FI58" s="105"/>
      <c r="FJ58" s="105"/>
      <c r="FK58" s="105"/>
      <c r="FL58" s="105"/>
      <c r="FM58" s="105"/>
      <c r="FN58" s="105"/>
      <c r="FO58" s="105"/>
      <c r="FP58" s="105"/>
      <c r="FQ58" s="105"/>
      <c r="FR58" s="105"/>
      <c r="FS58" s="105"/>
      <c r="FT58" s="105"/>
      <c r="FU58" s="105"/>
      <c r="FV58" s="105"/>
      <c r="FW58" s="105"/>
      <c r="FX58" s="105"/>
      <c r="FY58" s="105"/>
      <c r="FZ58" s="105"/>
      <c r="GA58" s="105"/>
      <c r="GB58" s="105"/>
      <c r="GC58" s="105"/>
      <c r="GD58" s="105"/>
      <c r="GE58" s="105"/>
      <c r="GF58" s="105"/>
      <c r="GG58" s="105"/>
      <c r="GH58" s="105"/>
      <c r="GI58" s="105"/>
      <c r="GJ58" s="105"/>
      <c r="GK58" s="105"/>
      <c r="GL58" s="105"/>
      <c r="GM58" s="105"/>
      <c r="GN58" s="105"/>
      <c r="GO58" s="105"/>
      <c r="GP58" s="105"/>
      <c r="GQ58" s="105"/>
      <c r="GR58" s="105"/>
      <c r="GS58" s="105"/>
      <c r="GT58" s="105"/>
      <c r="GU58" s="105"/>
      <c r="GV58" s="105"/>
      <c r="GW58" s="105"/>
      <c r="GX58" s="105"/>
      <c r="GY58" s="105"/>
      <c r="GZ58" s="105"/>
      <c r="HA58" s="105"/>
      <c r="HB58" s="105"/>
      <c r="HC58" s="105"/>
      <c r="HD58" s="105"/>
      <c r="HE58" s="105"/>
      <c r="HF58" s="105"/>
      <c r="HG58" s="105"/>
      <c r="HH58" s="105"/>
      <c r="HI58" s="105"/>
      <c r="HJ58" s="105"/>
      <c r="HK58" s="105"/>
      <c r="HL58" s="105"/>
      <c r="HM58" s="105"/>
      <c r="HN58" s="105"/>
      <c r="HO58" s="105"/>
      <c r="HP58" s="105"/>
      <c r="HQ58" s="105"/>
      <c r="HR58" s="105"/>
      <c r="HS58" s="105"/>
      <c r="HT58" s="105"/>
      <c r="HU58" s="105"/>
      <c r="HV58" s="105"/>
      <c r="HW58" s="105"/>
      <c r="HX58" s="105"/>
      <c r="HY58" s="105"/>
      <c r="HZ58" s="105"/>
      <c r="IA58" s="105"/>
      <c r="IB58" s="105"/>
      <c r="IC58" s="105"/>
      <c r="ID58" s="105"/>
      <c r="IE58" s="105"/>
      <c r="IF58" s="105"/>
      <c r="IG58" s="105"/>
      <c r="IH58" s="105"/>
      <c r="II58" s="105"/>
      <c r="IJ58" s="105"/>
      <c r="IK58" s="105"/>
      <c r="IL58" s="105"/>
      <c r="IM58" s="105"/>
      <c r="IN58" s="105"/>
      <c r="IO58" s="105"/>
      <c r="IP58" s="105"/>
      <c r="IQ58" s="105"/>
      <c r="IR58" s="105"/>
      <c r="IS58" s="105"/>
      <c r="IT58" s="105"/>
      <c r="IU58" s="105"/>
      <c r="IV58" s="105"/>
      <c r="IW58" s="105"/>
    </row>
    <row r="59" customFormat="false" ht="6" hidden="false" customHeight="true" outlineLevel="0" collapsed="false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</row>
    <row r="60" customFormat="false" ht="13.5" hidden="false" customHeight="false" outlineLevel="0" collapsed="false">
      <c r="A60" s="79"/>
      <c r="B60" s="63"/>
      <c r="C60" s="129" t="s">
        <v>144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29" t="s">
        <v>145</v>
      </c>
      <c r="O60" s="63"/>
      <c r="P60" s="63"/>
      <c r="Q60" s="63"/>
      <c r="R60" s="63"/>
      <c r="S60" s="63"/>
      <c r="T60" s="63"/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4" t="s">
        <v>146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 t="s">
        <v>147</v>
      </c>
      <c r="O61" s="64"/>
      <c r="P61" s="64"/>
      <c r="Q61" s="64"/>
      <c r="R61" s="64"/>
      <c r="S61" s="64"/>
      <c r="T61" s="64"/>
      <c r="U61" s="64"/>
      <c r="V61" s="64"/>
      <c r="W61" s="82"/>
    </row>
    <row r="62" customFormat="false" ht="12" hidden="false" customHeight="false" outlineLevel="0" collapsed="false">
      <c r="A62" s="79"/>
      <c r="B62" s="63"/>
      <c r="C62" s="64" t="s">
        <v>148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 t="s">
        <v>149</v>
      </c>
      <c r="O62" s="64"/>
      <c r="P62" s="64"/>
      <c r="Q62" s="64"/>
      <c r="R62" s="64"/>
      <c r="S62" s="64"/>
      <c r="T62" s="64"/>
      <c r="U62" s="64"/>
      <c r="V62" s="64"/>
      <c r="W62" s="82"/>
    </row>
    <row r="63" customFormat="false" ht="12" hidden="false" customHeight="false" outlineLevel="0" collapsed="false">
      <c r="A63" s="7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2" hidden="false" customHeight="false" outlineLevel="0" collapsed="false">
      <c r="A64" s="75" t="n">
        <v>17</v>
      </c>
      <c r="B64" s="63"/>
      <c r="C64" s="64" t="s">
        <v>150</v>
      </c>
      <c r="D64" s="64"/>
      <c r="E64" s="64"/>
      <c r="F64" s="64"/>
      <c r="G64" s="64"/>
      <c r="H64" s="64"/>
      <c r="I64" s="64"/>
      <c r="J64" s="64"/>
      <c r="K64" s="64"/>
      <c r="L64" s="75" t="n">
        <v>32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82"/>
    </row>
    <row r="65" customFormat="false" ht="6" hidden="false" customHeight="true" outlineLevel="0" collapsed="false">
      <c r="A65" s="106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82"/>
    </row>
    <row r="66" customFormat="false" ht="15" hidden="false" customHeight="false" outlineLevel="0" collapsed="false">
      <c r="A66" s="79"/>
      <c r="B66" s="63"/>
      <c r="C66" s="97" t="s">
        <v>33</v>
      </c>
      <c r="D66" s="98" t="n">
        <f aca="false">'Profit &amp; Loss Account'!B14+'Profit &amp; Loss Account'!B16</f>
        <v>13470</v>
      </c>
      <c r="E66" s="98"/>
      <c r="F66" s="98"/>
      <c r="G66" s="99" t="s">
        <v>34</v>
      </c>
      <c r="H66" s="100" t="n">
        <v>0</v>
      </c>
      <c r="I66" s="100" t="n">
        <v>0</v>
      </c>
      <c r="J66" s="63"/>
      <c r="K66" s="63"/>
      <c r="L66" s="63"/>
      <c r="M66" s="63"/>
      <c r="N66" s="97" t="s">
        <v>33</v>
      </c>
      <c r="O66" s="98" t="n">
        <f aca="false">VitalTax!G36</f>
        <v>269.4</v>
      </c>
      <c r="P66" s="98"/>
      <c r="Q66" s="98"/>
      <c r="R66" s="99" t="s">
        <v>34</v>
      </c>
      <c r="S66" s="100" t="n">
        <v>0</v>
      </c>
      <c r="T66" s="100" t="n">
        <v>0</v>
      </c>
      <c r="U66" s="63"/>
      <c r="V66" s="63"/>
      <c r="W66" s="82"/>
    </row>
    <row r="67" customFormat="false" ht="9.75" hidden="false" customHeight="true" outlineLevel="0" collapsed="false">
      <c r="A67" s="7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82"/>
    </row>
    <row r="68" customFormat="false" ht="12" hidden="false" customHeight="false" outlineLevel="0" collapsed="false">
      <c r="A68" s="75" t="n">
        <v>18</v>
      </c>
      <c r="B68" s="63"/>
      <c r="C68" s="64" t="s">
        <v>151</v>
      </c>
      <c r="D68" s="64"/>
      <c r="E68" s="64"/>
      <c r="F68" s="64"/>
      <c r="G68" s="64"/>
      <c r="H68" s="64"/>
      <c r="I68" s="64"/>
      <c r="J68" s="64"/>
      <c r="K68" s="64"/>
      <c r="L68" s="75" t="n">
        <v>33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6" hidden="false" customHeight="true" outlineLevel="0" collapsed="false">
      <c r="A69" s="106"/>
      <c r="B69" s="63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15" hidden="false" customHeight="false" outlineLevel="0" collapsed="false">
      <c r="A70" s="79"/>
      <c r="B70" s="63"/>
      <c r="C70" s="97" t="s">
        <v>33</v>
      </c>
      <c r="D70" s="98" t="n">
        <f aca="false">'Profit &amp; Loss Account'!B15</f>
        <v>6666.66666666667</v>
      </c>
      <c r="E70" s="98"/>
      <c r="F70" s="98"/>
      <c r="G70" s="99" t="s">
        <v>34</v>
      </c>
      <c r="H70" s="100" t="n">
        <v>0</v>
      </c>
      <c r="I70" s="100" t="n">
        <v>0</v>
      </c>
      <c r="J70" s="63"/>
      <c r="K70" s="63"/>
      <c r="L70" s="63"/>
      <c r="M70" s="63"/>
      <c r="N70" s="97" t="s">
        <v>33</v>
      </c>
      <c r="O70" s="98" t="n">
        <f aca="false">VitalTax!G37</f>
        <v>200</v>
      </c>
      <c r="P70" s="98"/>
      <c r="Q70" s="98"/>
      <c r="R70" s="99" t="s">
        <v>34</v>
      </c>
      <c r="S70" s="100" t="n">
        <v>0</v>
      </c>
      <c r="T70" s="100" t="n">
        <v>0</v>
      </c>
      <c r="U70" s="63"/>
      <c r="V70" s="63"/>
      <c r="W70" s="82"/>
    </row>
    <row r="71" customFormat="false" ht="9.75" hidden="false" customHeight="true" outlineLevel="0" collapsed="false">
      <c r="A71" s="7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82"/>
    </row>
    <row r="72" customFormat="false" ht="12" hidden="false" customHeight="false" outlineLevel="0" collapsed="false">
      <c r="A72" s="75" t="n">
        <v>19</v>
      </c>
      <c r="B72" s="63"/>
      <c r="C72" s="64" t="s">
        <v>80</v>
      </c>
      <c r="D72" s="64"/>
      <c r="E72" s="64"/>
      <c r="F72" s="64"/>
      <c r="G72" s="64"/>
      <c r="H72" s="64"/>
      <c r="I72" s="64"/>
      <c r="J72" s="64"/>
      <c r="K72" s="64"/>
      <c r="L72" s="75" t="n">
        <v>34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82"/>
    </row>
    <row r="73" customFormat="false" ht="6" hidden="false" customHeight="true" outlineLevel="0" collapsed="false">
      <c r="A73" s="106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82"/>
    </row>
    <row r="74" customFormat="false" ht="15" hidden="false" customHeight="false" outlineLevel="0" collapsed="false">
      <c r="A74" s="79"/>
      <c r="B74" s="63"/>
      <c r="C74" s="97" t="s">
        <v>33</v>
      </c>
      <c r="D74" s="98" t="n">
        <f aca="false">'Profit &amp; Loss Account'!B21</f>
        <v>92735.7333333333</v>
      </c>
      <c r="E74" s="98"/>
      <c r="F74" s="98"/>
      <c r="G74" s="99" t="s">
        <v>34</v>
      </c>
      <c r="H74" s="100" t="n">
        <v>0</v>
      </c>
      <c r="I74" s="100" t="n">
        <v>0</v>
      </c>
      <c r="J74" s="63"/>
      <c r="K74" s="63"/>
      <c r="L74" s="63"/>
      <c r="M74" s="63"/>
      <c r="N74" s="97" t="s">
        <v>33</v>
      </c>
      <c r="O74" s="98" t="n">
        <f aca="false">VitalTax!G38</f>
        <v>3709.42933333333</v>
      </c>
      <c r="P74" s="98"/>
      <c r="Q74" s="98"/>
      <c r="R74" s="99" t="s">
        <v>34</v>
      </c>
      <c r="S74" s="100" t="n">
        <v>0</v>
      </c>
      <c r="T74" s="100" t="n">
        <v>0</v>
      </c>
      <c r="U74" s="63"/>
      <c r="V74" s="63"/>
      <c r="W74" s="82"/>
    </row>
    <row r="75" customFormat="false" ht="9.75" hidden="false" customHeight="true" outlineLevel="0" collapsed="false">
      <c r="A75" s="7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82"/>
    </row>
    <row r="76" customFormat="false" ht="12" hidden="false" customHeight="false" outlineLevel="0" collapsed="false">
      <c r="A76" s="75" t="n">
        <v>20</v>
      </c>
      <c r="B76" s="63"/>
      <c r="C76" s="64" t="s">
        <v>152</v>
      </c>
      <c r="D76" s="64"/>
      <c r="E76" s="64"/>
      <c r="F76" s="64"/>
      <c r="G76" s="64"/>
      <c r="H76" s="64"/>
      <c r="I76" s="64"/>
      <c r="J76" s="64"/>
      <c r="K76" s="64"/>
      <c r="L76" s="75" t="n">
        <v>35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82"/>
    </row>
    <row r="77" customFormat="false" ht="6" hidden="false" customHeight="true" outlineLevel="0" collapsed="false">
      <c r="A77" s="106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82"/>
    </row>
    <row r="78" customFormat="false" ht="15" hidden="false" customHeight="false" outlineLevel="0" collapsed="false">
      <c r="A78" s="79"/>
      <c r="B78" s="63"/>
      <c r="C78" s="97" t="s">
        <v>33</v>
      </c>
      <c r="D78" s="98" t="n">
        <f aca="false">'Profit &amp; Loss Account'!B25+'Profit &amp; Loss Account'!B26</f>
        <v>8120.75</v>
      </c>
      <c r="E78" s="98"/>
      <c r="F78" s="98"/>
      <c r="G78" s="99" t="s">
        <v>34</v>
      </c>
      <c r="H78" s="100" t="n">
        <v>0</v>
      </c>
      <c r="I78" s="100" t="n">
        <v>0</v>
      </c>
      <c r="J78" s="63"/>
      <c r="K78" s="63"/>
      <c r="L78" s="63"/>
      <c r="M78" s="63"/>
      <c r="N78" s="97" t="s">
        <v>33</v>
      </c>
      <c r="O78" s="98" t="n">
        <f aca="false">VitalTax!G39</f>
        <v>2030.1875</v>
      </c>
      <c r="P78" s="98"/>
      <c r="Q78" s="98"/>
      <c r="R78" s="99" t="s">
        <v>34</v>
      </c>
      <c r="S78" s="100" t="n">
        <v>0</v>
      </c>
      <c r="T78" s="100" t="n">
        <v>0</v>
      </c>
      <c r="U78" s="63"/>
      <c r="V78" s="63"/>
      <c r="W78" s="82"/>
    </row>
    <row r="79" customFormat="false" ht="9.75" hidden="false" customHeight="true" outlineLevel="0" collapsed="false">
      <c r="A79" s="7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82"/>
    </row>
    <row r="80" customFormat="false" ht="12" hidden="false" customHeight="false" outlineLevel="0" collapsed="false">
      <c r="A80" s="75" t="n">
        <v>21</v>
      </c>
      <c r="B80" s="63"/>
      <c r="C80" s="64" t="s">
        <v>82</v>
      </c>
      <c r="D80" s="64"/>
      <c r="E80" s="64"/>
      <c r="F80" s="64"/>
      <c r="G80" s="64"/>
      <c r="H80" s="64"/>
      <c r="I80" s="64"/>
      <c r="J80" s="64"/>
      <c r="K80" s="64"/>
      <c r="L80" s="75" t="n">
        <v>36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5" hidden="false" customHeight="false" outlineLevel="0" collapsed="false">
      <c r="A82" s="79"/>
      <c r="B82" s="63"/>
      <c r="C82" s="97" t="s">
        <v>33</v>
      </c>
      <c r="D82" s="98" t="n">
        <f aca="false">'Profit &amp; Loss Account'!B22</f>
        <v>13200</v>
      </c>
      <c r="E82" s="98"/>
      <c r="F82" s="98"/>
      <c r="G82" s="99" t="s">
        <v>34</v>
      </c>
      <c r="H82" s="100" t="n">
        <v>0</v>
      </c>
      <c r="I82" s="100" t="n">
        <v>0</v>
      </c>
      <c r="J82" s="63"/>
      <c r="K82" s="63"/>
      <c r="L82" s="63"/>
      <c r="M82" s="63"/>
      <c r="N82" s="97" t="s">
        <v>33</v>
      </c>
      <c r="O82" s="98" t="n">
        <f aca="false">VitalTax!G40</f>
        <v>660</v>
      </c>
      <c r="P82" s="98"/>
      <c r="Q82" s="98"/>
      <c r="R82" s="99" t="s">
        <v>34</v>
      </c>
      <c r="S82" s="100" t="n">
        <v>0</v>
      </c>
      <c r="T82" s="100" t="n">
        <v>0</v>
      </c>
      <c r="U82" s="63"/>
      <c r="V82" s="63"/>
      <c r="W82" s="82"/>
    </row>
    <row r="83" customFormat="false" ht="9.75" hidden="false" customHeight="true" outlineLevel="0" collapsed="false">
      <c r="A83" s="7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82"/>
    </row>
    <row r="84" customFormat="false" ht="12" hidden="false" customHeight="false" outlineLevel="0" collapsed="false">
      <c r="A84" s="75" t="n">
        <v>22</v>
      </c>
      <c r="B84" s="63"/>
      <c r="C84" s="64" t="s">
        <v>153</v>
      </c>
      <c r="D84" s="64"/>
      <c r="E84" s="64"/>
      <c r="F84" s="64"/>
      <c r="G84" s="64"/>
      <c r="H84" s="64"/>
      <c r="I84" s="64"/>
      <c r="J84" s="64"/>
      <c r="K84" s="64"/>
      <c r="L84" s="75" t="n">
        <v>37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6" hidden="false" customHeight="true" outlineLevel="0" collapsed="false">
      <c r="A85" s="106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82"/>
    </row>
    <row r="86" customFormat="false" ht="15" hidden="false" customHeight="false" outlineLevel="0" collapsed="false">
      <c r="A86" s="79"/>
      <c r="B86" s="63"/>
      <c r="C86" s="97" t="s">
        <v>33</v>
      </c>
      <c r="D86" s="98" t="n">
        <f aca="false">'Profit &amp; Loss Account'!B23</f>
        <v>950</v>
      </c>
      <c r="E86" s="98"/>
      <c r="F86" s="98"/>
      <c r="G86" s="99" t="s">
        <v>34</v>
      </c>
      <c r="H86" s="100" t="n">
        <v>0</v>
      </c>
      <c r="I86" s="100" t="n">
        <v>0</v>
      </c>
      <c r="J86" s="63"/>
      <c r="K86" s="63"/>
      <c r="L86" s="63"/>
      <c r="M86" s="63"/>
      <c r="N86" s="97" t="s">
        <v>33</v>
      </c>
      <c r="O86" s="98" t="n">
        <f aca="false">VitalTax!G41</f>
        <v>57</v>
      </c>
      <c r="P86" s="98"/>
      <c r="Q86" s="98"/>
      <c r="R86" s="99" t="s">
        <v>34</v>
      </c>
      <c r="S86" s="100" t="n">
        <v>0</v>
      </c>
      <c r="T86" s="100" t="n">
        <v>0</v>
      </c>
      <c r="U86" s="63"/>
      <c r="V86" s="63"/>
      <c r="W86" s="82"/>
    </row>
    <row r="87" customFormat="false" ht="9.75" hidden="false" customHeight="true" outlineLevel="0" collapsed="false">
      <c r="A87" s="7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82"/>
    </row>
    <row r="88" customFormat="false" ht="12" hidden="false" customHeight="false" outlineLevel="0" collapsed="false">
      <c r="A88" s="75" t="n">
        <v>23</v>
      </c>
      <c r="B88" s="63"/>
      <c r="C88" s="64" t="s">
        <v>154</v>
      </c>
      <c r="D88" s="64"/>
      <c r="E88" s="64"/>
      <c r="F88" s="64"/>
      <c r="G88" s="64"/>
      <c r="H88" s="64"/>
      <c r="I88" s="64"/>
      <c r="J88" s="64"/>
      <c r="K88" s="64"/>
      <c r="L88" s="75" t="n">
        <v>38</v>
      </c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82"/>
    </row>
    <row r="89" customFormat="false" ht="6" hidden="false" customHeight="true" outlineLevel="0" collapsed="false">
      <c r="A89" s="106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82"/>
    </row>
    <row r="90" customFormat="false" ht="15" hidden="false" customHeight="false" outlineLevel="0" collapsed="false">
      <c r="A90" s="79"/>
      <c r="B90" s="63"/>
      <c r="C90" s="97" t="s">
        <v>33</v>
      </c>
      <c r="D90" s="98" t="n">
        <f aca="false">'Profit &amp; Loss Account'!B24</f>
        <v>3035</v>
      </c>
      <c r="E90" s="98"/>
      <c r="F90" s="98"/>
      <c r="G90" s="99" t="s">
        <v>34</v>
      </c>
      <c r="H90" s="100" t="n">
        <v>0</v>
      </c>
      <c r="I90" s="100" t="n">
        <v>0</v>
      </c>
      <c r="J90" s="63"/>
      <c r="K90" s="63"/>
      <c r="L90" s="63"/>
      <c r="M90" s="63"/>
      <c r="N90" s="97" t="s">
        <v>33</v>
      </c>
      <c r="O90" s="98" t="n">
        <f aca="false">VitalTax!G42</f>
        <v>212.45</v>
      </c>
      <c r="P90" s="98"/>
      <c r="Q90" s="98"/>
      <c r="R90" s="99" t="s">
        <v>34</v>
      </c>
      <c r="S90" s="100" t="n">
        <v>0</v>
      </c>
      <c r="T90" s="100" t="n">
        <v>0</v>
      </c>
      <c r="U90" s="63"/>
      <c r="V90" s="63"/>
      <c r="W90" s="82"/>
    </row>
    <row r="91" customFormat="false" ht="9.75" hidden="false" customHeight="true" outlineLevel="0" collapsed="false">
      <c r="A91" s="7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75" t="n">
        <v>24</v>
      </c>
      <c r="B92" s="63"/>
      <c r="C92" s="64" t="s">
        <v>155</v>
      </c>
      <c r="D92" s="64"/>
      <c r="E92" s="64"/>
      <c r="F92" s="64"/>
      <c r="G92" s="64"/>
      <c r="H92" s="64"/>
      <c r="I92" s="64"/>
      <c r="J92" s="64"/>
      <c r="K92" s="64"/>
      <c r="L92" s="75" t="n">
        <v>39</v>
      </c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82"/>
    </row>
    <row r="93" customFormat="false" ht="6" hidden="false" customHeight="true" outlineLevel="0" collapsed="false">
      <c r="A93" s="106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79"/>
      <c r="B94" s="63"/>
      <c r="C94" s="97" t="s">
        <v>33</v>
      </c>
      <c r="D94" s="98" t="n">
        <f aca="false">'Profit &amp; Loss Account'!B27</f>
        <v>4091.66666666667</v>
      </c>
      <c r="E94" s="98"/>
      <c r="F94" s="98"/>
      <c r="G94" s="99" t="s">
        <v>34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33</v>
      </c>
      <c r="O94" s="98" t="n">
        <f aca="false">VitalTax!G43+VitalTax!G44</f>
        <v>619.000000000001</v>
      </c>
      <c r="P94" s="98"/>
      <c r="Q94" s="98"/>
      <c r="R94" s="99" t="s">
        <v>34</v>
      </c>
      <c r="S94" s="100" t="n">
        <v>0</v>
      </c>
      <c r="T94" s="100" t="n">
        <v>0</v>
      </c>
      <c r="U94" s="63"/>
      <c r="V94" s="63"/>
      <c r="W94" s="82"/>
    </row>
    <row r="95" customFormat="false" ht="9.75" hidden="false" customHeight="true" outlineLevel="0" collapsed="false">
      <c r="A95" s="7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25</v>
      </c>
      <c r="B96" s="63"/>
      <c r="C96" s="64" t="s">
        <v>156</v>
      </c>
      <c r="D96" s="64"/>
      <c r="E96" s="64"/>
      <c r="F96" s="64"/>
      <c r="G96" s="64"/>
      <c r="H96" s="64"/>
      <c r="I96" s="64"/>
      <c r="J96" s="64"/>
      <c r="K96" s="64"/>
      <c r="L96" s="75" t="n">
        <v>40</v>
      </c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6" hidden="false" customHeight="true" outlineLevel="0" collapsed="false">
      <c r="A97" s="106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15" hidden="false" customHeight="false" outlineLevel="0" collapsed="false">
      <c r="A98" s="79"/>
      <c r="B98" s="63"/>
      <c r="C98" s="97" t="s">
        <v>33</v>
      </c>
      <c r="D98" s="98" t="n">
        <f aca="false">'Profit &amp; Loss Account'!B30</f>
        <v>0</v>
      </c>
      <c r="E98" s="98"/>
      <c r="F98" s="98"/>
      <c r="G98" s="99" t="s">
        <v>34</v>
      </c>
      <c r="H98" s="100" t="n">
        <v>0</v>
      </c>
      <c r="I98" s="100" t="n">
        <v>0</v>
      </c>
      <c r="J98" s="63"/>
      <c r="K98" s="63"/>
      <c r="L98" s="63"/>
      <c r="M98" s="63"/>
      <c r="N98" s="97" t="s">
        <v>33</v>
      </c>
      <c r="O98" s="98" t="n">
        <f aca="false">VitalTax!G45</f>
        <v>0</v>
      </c>
      <c r="P98" s="98"/>
      <c r="Q98" s="98"/>
      <c r="R98" s="99" t="s">
        <v>34</v>
      </c>
      <c r="S98" s="100" t="n">
        <v>0</v>
      </c>
      <c r="T98" s="100" t="n">
        <v>0</v>
      </c>
      <c r="U98" s="63"/>
      <c r="V98" s="63"/>
      <c r="W98" s="82"/>
    </row>
    <row r="99" customFormat="false" ht="9.75" hidden="false" customHeight="true" outlineLevel="0" collapsed="false">
      <c r="A99" s="7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82"/>
    </row>
    <row r="100" customFormat="false" ht="12" hidden="false" customHeight="false" outlineLevel="0" collapsed="false">
      <c r="A100" s="75" t="n">
        <v>26</v>
      </c>
      <c r="B100" s="63"/>
      <c r="C100" s="64" t="s">
        <v>157</v>
      </c>
      <c r="D100" s="64"/>
      <c r="E100" s="64"/>
      <c r="F100" s="64"/>
      <c r="G100" s="64"/>
      <c r="H100" s="64"/>
      <c r="I100" s="64"/>
      <c r="J100" s="64"/>
      <c r="K100" s="64"/>
      <c r="L100" s="75" t="n">
        <v>41</v>
      </c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82"/>
    </row>
    <row r="101" customFormat="false" ht="6" hidden="false" customHeight="true" outlineLevel="0" collapsed="false">
      <c r="A101" s="106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82"/>
    </row>
    <row r="102" customFormat="false" ht="15" hidden="false" customHeight="false" outlineLevel="0" collapsed="false">
      <c r="A102" s="79"/>
      <c r="B102" s="63"/>
      <c r="C102" s="97" t="s">
        <v>33</v>
      </c>
      <c r="D102" s="98" t="n">
        <f aca="false">'Profit &amp; Loss Account'!B31</f>
        <v>3900</v>
      </c>
      <c r="E102" s="98"/>
      <c r="F102" s="98"/>
      <c r="G102" s="99" t="s">
        <v>34</v>
      </c>
      <c r="H102" s="100" t="n">
        <v>0</v>
      </c>
      <c r="I102" s="100" t="n">
        <v>0</v>
      </c>
      <c r="J102" s="63"/>
      <c r="K102" s="63"/>
      <c r="L102" s="63"/>
      <c r="M102" s="63"/>
      <c r="N102" s="97" t="s">
        <v>33</v>
      </c>
      <c r="O102" s="98" t="n">
        <f aca="false">VitalTax!G46</f>
        <v>390</v>
      </c>
      <c r="P102" s="98"/>
      <c r="Q102" s="98"/>
      <c r="R102" s="99" t="s">
        <v>34</v>
      </c>
      <c r="S102" s="100" t="n">
        <v>0</v>
      </c>
      <c r="T102" s="100" t="n">
        <v>0</v>
      </c>
      <c r="U102" s="63"/>
      <c r="V102" s="63"/>
      <c r="W102" s="82"/>
    </row>
    <row r="103" customFormat="false" ht="9.75" hidden="false" customHeight="true" outlineLevel="0" collapsed="false">
      <c r="A103" s="7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false" outlineLevel="0" collapsed="false">
      <c r="A104" s="75" t="n">
        <v>27</v>
      </c>
      <c r="B104" s="63"/>
      <c r="C104" s="64" t="s">
        <v>158</v>
      </c>
      <c r="D104" s="64"/>
      <c r="E104" s="64"/>
      <c r="F104" s="64"/>
      <c r="G104" s="64"/>
      <c r="H104" s="64"/>
      <c r="I104" s="64"/>
      <c r="J104" s="64"/>
      <c r="K104" s="64"/>
      <c r="L104" s="75" t="n">
        <v>42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79"/>
      <c r="B106" s="63"/>
      <c r="C106" s="97" t="s">
        <v>33</v>
      </c>
      <c r="D106" s="98" t="n">
        <f aca="false">'Profit &amp; Loss Account'!B29</f>
        <v>300</v>
      </c>
      <c r="E106" s="98"/>
      <c r="F106" s="98"/>
      <c r="G106" s="99" t="s">
        <v>34</v>
      </c>
      <c r="H106" s="100" t="n">
        <v>0</v>
      </c>
      <c r="I106" s="100" t="n">
        <v>0</v>
      </c>
      <c r="J106" s="63"/>
      <c r="K106" s="63"/>
      <c r="L106" s="63"/>
      <c r="M106" s="63"/>
      <c r="N106" s="97" t="s">
        <v>33</v>
      </c>
      <c r="O106" s="98" t="n">
        <f aca="false">VitalTax!G47</f>
        <v>33</v>
      </c>
      <c r="P106" s="98"/>
      <c r="Q106" s="98"/>
      <c r="R106" s="99" t="s">
        <v>34</v>
      </c>
      <c r="S106" s="100" t="n">
        <v>0</v>
      </c>
      <c r="T106" s="100" t="n">
        <v>0</v>
      </c>
      <c r="U106" s="63"/>
      <c r="V106" s="63"/>
      <c r="W106" s="82"/>
    </row>
    <row r="107" customFormat="false" ht="9.75" hidden="false" customHeight="true" outlineLevel="0" collapsed="false">
      <c r="A107" s="7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82"/>
    </row>
    <row r="108" customFormat="false" ht="12" hidden="false" customHeight="false" outlineLevel="0" collapsed="false">
      <c r="A108" s="75" t="n">
        <v>28</v>
      </c>
      <c r="B108" s="63"/>
      <c r="C108" s="64" t="s">
        <v>76</v>
      </c>
      <c r="D108" s="64"/>
      <c r="E108" s="64"/>
      <c r="F108" s="64"/>
      <c r="G108" s="64"/>
      <c r="H108" s="64"/>
      <c r="I108" s="64"/>
      <c r="J108" s="64"/>
      <c r="K108" s="64"/>
      <c r="L108" s="75" t="n">
        <v>43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82"/>
    </row>
    <row r="109" customFormat="false" ht="6" hidden="false" customHeight="true" outlineLevel="0" collapsed="false">
      <c r="A109" s="106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82"/>
    </row>
    <row r="110" customFormat="false" ht="15" hidden="false" customHeight="false" outlineLevel="0" collapsed="false">
      <c r="A110" s="79"/>
      <c r="B110" s="63"/>
      <c r="C110" s="97" t="s">
        <v>33</v>
      </c>
      <c r="D110" s="98" t="n">
        <f aca="false">'Profit &amp; Loss Account'!B28</f>
        <v>6925</v>
      </c>
      <c r="E110" s="98"/>
      <c r="F110" s="98"/>
      <c r="G110" s="99" t="s">
        <v>34</v>
      </c>
      <c r="H110" s="100" t="n">
        <v>0</v>
      </c>
      <c r="I110" s="100" t="n">
        <v>0</v>
      </c>
      <c r="J110" s="63"/>
      <c r="K110" s="63"/>
      <c r="L110" s="63"/>
      <c r="M110" s="63"/>
      <c r="N110" s="97" t="s">
        <v>33</v>
      </c>
      <c r="O110" s="98" t="n">
        <f aca="false">VitalTax!G48</f>
        <v>831</v>
      </c>
      <c r="P110" s="98"/>
      <c r="Q110" s="98"/>
      <c r="R110" s="99" t="s">
        <v>34</v>
      </c>
      <c r="S110" s="100" t="n">
        <v>0</v>
      </c>
      <c r="T110" s="100" t="n">
        <v>0</v>
      </c>
      <c r="U110" s="63"/>
      <c r="V110" s="63"/>
      <c r="W110" s="82"/>
    </row>
    <row r="111" customFormat="false" ht="9.75" hidden="false" customHeight="true" outlineLevel="0" collapsed="false">
      <c r="A111" s="7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75" t="n">
        <v>29</v>
      </c>
      <c r="B112" s="63"/>
      <c r="C112" s="64" t="s">
        <v>159</v>
      </c>
      <c r="D112" s="64"/>
      <c r="E112" s="64"/>
      <c r="F112" s="64"/>
      <c r="G112" s="64"/>
      <c r="H112" s="64"/>
      <c r="I112" s="64"/>
      <c r="J112" s="64"/>
      <c r="K112" s="64"/>
      <c r="L112" s="75" t="n">
        <v>44</v>
      </c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33</v>
      </c>
      <c r="D114" s="98" t="n">
        <f aca="false">'Profit &amp; Loss Account'!B33+'Profit &amp; Loss Account'!B34</f>
        <v>21037</v>
      </c>
      <c r="E114" s="98"/>
      <c r="F114" s="98"/>
      <c r="G114" s="99" t="s">
        <v>34</v>
      </c>
      <c r="H114" s="100" t="n">
        <v>0</v>
      </c>
      <c r="I114" s="100" t="n">
        <v>0</v>
      </c>
      <c r="J114" s="63"/>
      <c r="K114" s="63"/>
      <c r="L114" s="63"/>
      <c r="M114" s="63"/>
      <c r="N114" s="97" t="s">
        <v>33</v>
      </c>
      <c r="O114" s="98" t="n">
        <f aca="false">'Profit &amp; Loss Account'!B34</f>
        <v>20865</v>
      </c>
      <c r="P114" s="98"/>
      <c r="Q114" s="98"/>
      <c r="R114" s="99" t="s">
        <v>34</v>
      </c>
      <c r="S114" s="100" t="n">
        <v>0</v>
      </c>
      <c r="T114" s="100" t="n">
        <v>0</v>
      </c>
      <c r="U114" s="63"/>
      <c r="V114" s="63"/>
      <c r="W114" s="82"/>
    </row>
    <row r="115" customFormat="false" ht="9.75" hidden="false" customHeight="tru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30</v>
      </c>
      <c r="B116" s="63"/>
      <c r="C116" s="64" t="s">
        <v>160</v>
      </c>
      <c r="D116" s="64"/>
      <c r="E116" s="64"/>
      <c r="F116" s="64"/>
      <c r="G116" s="64"/>
      <c r="H116" s="64"/>
      <c r="I116" s="64"/>
      <c r="J116" s="64"/>
      <c r="K116" s="64"/>
      <c r="L116" s="75" t="n">
        <v>45</v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82"/>
    </row>
    <row r="117" customFormat="false" ht="6" hidden="false" customHeight="true" outlineLevel="0" collapsed="false">
      <c r="A117" s="106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5" hidden="false" customHeight="false" outlineLevel="0" collapsed="false">
      <c r="A118" s="79"/>
      <c r="B118" s="63"/>
      <c r="C118" s="97" t="s">
        <v>33</v>
      </c>
      <c r="D118" s="98" t="n">
        <f aca="false">'Profit &amp; Loss Account'!B32</f>
        <v>3231.66666666666</v>
      </c>
      <c r="E118" s="98"/>
      <c r="F118" s="98"/>
      <c r="G118" s="99" t="s">
        <v>34</v>
      </c>
      <c r="H118" s="100" t="n">
        <v>0</v>
      </c>
      <c r="I118" s="100" t="n">
        <v>0</v>
      </c>
      <c r="J118" s="63"/>
      <c r="K118" s="63"/>
      <c r="L118" s="63"/>
      <c r="M118" s="63"/>
      <c r="N118" s="97" t="s">
        <v>33</v>
      </c>
      <c r="O118" s="98" t="n">
        <f aca="false">VitalTax!G50</f>
        <v>420.116666666666</v>
      </c>
      <c r="P118" s="98"/>
      <c r="Q118" s="98"/>
      <c r="R118" s="99" t="s">
        <v>34</v>
      </c>
      <c r="S118" s="100" t="n">
        <v>0</v>
      </c>
      <c r="T118" s="100" t="n">
        <v>0</v>
      </c>
      <c r="U118" s="63"/>
      <c r="V118" s="63"/>
      <c r="W118" s="82"/>
    </row>
    <row r="119" customFormat="false" ht="9.75" hidden="false" customHeight="true" outlineLevel="0" collapsed="false">
      <c r="A119" s="7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false" outlineLevel="0" collapsed="false">
      <c r="A120" s="75" t="n">
        <v>31</v>
      </c>
      <c r="B120" s="63"/>
      <c r="C120" s="64" t="s">
        <v>161</v>
      </c>
      <c r="D120" s="64"/>
      <c r="E120" s="64"/>
      <c r="F120" s="64"/>
      <c r="G120" s="64"/>
      <c r="H120" s="64"/>
      <c r="I120" s="64"/>
      <c r="J120" s="64"/>
      <c r="K120" s="64"/>
      <c r="L120" s="75" t="n">
        <v>46</v>
      </c>
      <c r="M120" s="63"/>
      <c r="N120" s="64" t="s">
        <v>162</v>
      </c>
      <c r="O120" s="63"/>
      <c r="P120" s="63"/>
      <c r="Q120" s="63"/>
      <c r="R120" s="63"/>
      <c r="S120" s="63"/>
      <c r="T120" s="63"/>
      <c r="U120" s="63"/>
      <c r="V120" s="63"/>
      <c r="W120" s="82"/>
    </row>
    <row r="121" customFormat="false" ht="6" hidden="false" customHeight="true" outlineLevel="0" collapsed="false">
      <c r="A121" s="106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5" hidden="false" customHeight="false" outlineLevel="0" collapsed="false">
      <c r="A122" s="79"/>
      <c r="B122" s="63"/>
      <c r="C122" s="97" t="s">
        <v>33</v>
      </c>
      <c r="D122" s="98" t="n">
        <f aca="false">'Profit &amp; Loss Account'!B17+'Profit &amp; Loss Account'!B35</f>
        <v>177663.483333333</v>
      </c>
      <c r="E122" s="98"/>
      <c r="F122" s="98"/>
      <c r="G122" s="99" t="s">
        <v>34</v>
      </c>
      <c r="H122" s="100" t="n">
        <v>0</v>
      </c>
      <c r="I122" s="100" t="n">
        <v>0</v>
      </c>
      <c r="J122" s="63"/>
      <c r="K122" s="63"/>
      <c r="L122" s="63"/>
      <c r="M122" s="63"/>
      <c r="N122" s="97" t="s">
        <v>33</v>
      </c>
      <c r="O122" s="98" t="n">
        <f aca="false">O66+O70+O74+O78+O82+O86+O90+O94+O98+O102+O106+O110+O114+O118</f>
        <v>30296.5835</v>
      </c>
      <c r="P122" s="98"/>
      <c r="Q122" s="98"/>
      <c r="R122" s="99" t="s">
        <v>34</v>
      </c>
      <c r="S122" s="100" t="n">
        <v>0</v>
      </c>
      <c r="T122" s="100" t="n">
        <v>0</v>
      </c>
      <c r="U122" s="63"/>
      <c r="V122" s="63"/>
      <c r="W122" s="82"/>
    </row>
    <row r="123" customFormat="false" ht="7.5" hidden="false" customHeight="true" outlineLevel="0" collapsed="false">
      <c r="A123" s="93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5"/>
    </row>
    <row r="124" customFormat="false" ht="24.75" hidden="false" customHeight="true" outlineLevel="0" collapsed="false">
      <c r="A124" s="107" t="s">
        <v>87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customFormat="false" ht="7.5" hidden="false" customHeight="true" outlineLevel="0" collapsed="false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</row>
    <row r="126" customFormat="false" ht="12" hidden="false" customHeight="false" outlineLevel="0" collapsed="false">
      <c r="A126" s="75" t="n">
        <v>47</v>
      </c>
      <c r="B126" s="63"/>
      <c r="C126" s="64" t="s">
        <v>163</v>
      </c>
      <c r="D126" s="64"/>
      <c r="E126" s="64"/>
      <c r="F126" s="64"/>
      <c r="G126" s="64"/>
      <c r="H126" s="64"/>
      <c r="I126" s="64"/>
      <c r="J126" s="64"/>
      <c r="K126" s="64"/>
      <c r="L126" s="75" t="n">
        <v>48</v>
      </c>
      <c r="M126" s="63"/>
      <c r="N126" s="64" t="s">
        <v>164</v>
      </c>
      <c r="O126" s="63"/>
      <c r="P126" s="63"/>
      <c r="Q126" s="63"/>
      <c r="R126" s="63"/>
      <c r="S126" s="63"/>
      <c r="T126" s="63"/>
      <c r="U126" s="63"/>
      <c r="V126" s="63"/>
      <c r="W126" s="82"/>
    </row>
    <row r="127" customFormat="false" ht="12" hidden="false" customHeight="false" outlineLevel="0" collapsed="false">
      <c r="A127" s="79"/>
      <c r="B127" s="63"/>
      <c r="C127" s="90" t="s">
        <v>165</v>
      </c>
      <c r="D127" s="64"/>
      <c r="E127" s="64"/>
      <c r="F127" s="64"/>
      <c r="G127" s="64"/>
      <c r="H127" s="64"/>
      <c r="I127" s="64"/>
      <c r="J127" s="64"/>
      <c r="K127" s="64"/>
      <c r="L127" s="63"/>
      <c r="M127" s="63"/>
      <c r="N127" s="64" t="s">
        <v>166</v>
      </c>
      <c r="O127" s="63"/>
      <c r="P127" s="63"/>
      <c r="Q127" s="63"/>
      <c r="R127" s="63"/>
      <c r="S127" s="63"/>
      <c r="T127" s="63"/>
      <c r="U127" s="63"/>
      <c r="V127" s="63"/>
      <c r="W127" s="82"/>
    </row>
    <row r="128" customFormat="false" ht="6" hidden="false" customHeight="true" outlineLevel="0" collapsed="false">
      <c r="A128" s="106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82"/>
    </row>
    <row r="129" customFormat="false" ht="15" hidden="false" customHeight="false" outlineLevel="0" collapsed="false">
      <c r="A129" s="79"/>
      <c r="B129" s="63"/>
      <c r="C129" s="97" t="s">
        <v>33</v>
      </c>
      <c r="D129" s="98" t="n">
        <f aca="false">IF((D55+O55-D122)&gt;=0,D55+O55-D122,0)</f>
        <v>161536.516666666</v>
      </c>
      <c r="E129" s="98"/>
      <c r="F129" s="98"/>
      <c r="G129" s="99" t="s">
        <v>34</v>
      </c>
      <c r="H129" s="100" t="n">
        <v>0</v>
      </c>
      <c r="I129" s="100" t="n">
        <v>0</v>
      </c>
      <c r="J129" s="63"/>
      <c r="K129" s="63"/>
      <c r="L129" s="63"/>
      <c r="M129" s="63"/>
      <c r="N129" s="97" t="s">
        <v>33</v>
      </c>
      <c r="O129" s="98" t="n">
        <f aca="false">IF((D55+O55-D122)&lt;0,D122-D55-O55,0)</f>
        <v>0</v>
      </c>
      <c r="P129" s="98"/>
      <c r="Q129" s="98"/>
      <c r="R129" s="99" t="s">
        <v>34</v>
      </c>
      <c r="S129" s="100" t="n">
        <v>0</v>
      </c>
      <c r="T129" s="100" t="n">
        <v>0</v>
      </c>
      <c r="U129" s="63"/>
      <c r="V129" s="63"/>
      <c r="W129" s="82"/>
    </row>
    <row r="130" customFormat="false" ht="7.5" hidden="false" customHeight="true" outlineLevel="0" collapsed="false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5"/>
    </row>
    <row r="131" customFormat="false" ht="24.75" hidden="false" customHeight="true" outlineLevel="0" collapsed="false">
      <c r="A131" s="103" t="s">
        <v>92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</row>
    <row r="132" customFormat="false" ht="15.75" hidden="false" customHeight="true" outlineLevel="0" collapsed="false">
      <c r="A132" s="104" t="s">
        <v>167</v>
      </c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</row>
    <row r="133" customFormat="false" ht="15.75" hidden="false" customHeight="true" outlineLevel="0" collapsed="false">
      <c r="A133" s="104" t="s">
        <v>168</v>
      </c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</row>
    <row r="134" customFormat="false" ht="15.75" hidden="false" customHeight="true" outlineLevel="0" collapsed="false">
      <c r="A134" s="104" t="s">
        <v>169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</row>
    <row r="135" customFormat="false" ht="7.5" hidden="false" customHeight="true" outlineLevel="0" collapsed="false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</row>
    <row r="136" customFormat="false" ht="12" hidden="false" customHeight="false" outlineLevel="0" collapsed="false">
      <c r="A136" s="75" t="n">
        <v>49</v>
      </c>
      <c r="B136" s="63"/>
      <c r="C136" s="130" t="s">
        <v>96</v>
      </c>
      <c r="D136" s="64"/>
      <c r="E136" s="64"/>
      <c r="F136" s="64"/>
      <c r="G136" s="64"/>
      <c r="H136" s="131"/>
      <c r="I136" s="131"/>
      <c r="J136" s="64"/>
      <c r="K136" s="64"/>
      <c r="L136" s="75" t="n">
        <v>54</v>
      </c>
      <c r="M136" s="63"/>
      <c r="N136" s="64" t="s">
        <v>170</v>
      </c>
      <c r="O136" s="63"/>
      <c r="P136" s="63"/>
      <c r="Q136" s="63"/>
      <c r="R136" s="63"/>
      <c r="S136" s="63"/>
      <c r="T136" s="63"/>
      <c r="U136" s="63"/>
      <c r="V136" s="63"/>
      <c r="W136" s="82"/>
    </row>
    <row r="137" customFormat="false" ht="12" hidden="false" customHeight="false" outlineLevel="0" collapsed="false">
      <c r="A137" s="106"/>
      <c r="B137" s="63"/>
      <c r="C137" s="132"/>
      <c r="D137" s="64"/>
      <c r="E137" s="64"/>
      <c r="F137" s="64"/>
      <c r="G137" s="64"/>
      <c r="H137" s="64"/>
      <c r="I137" s="64"/>
      <c r="J137" s="64"/>
      <c r="K137" s="64"/>
      <c r="L137" s="64"/>
      <c r="M137" s="63"/>
      <c r="N137" s="90"/>
      <c r="O137" s="110"/>
      <c r="P137" s="110"/>
      <c r="Q137" s="110"/>
      <c r="R137" s="110"/>
      <c r="S137" s="110"/>
      <c r="T137" s="110"/>
      <c r="U137" s="110"/>
      <c r="V137" s="110"/>
      <c r="W137" s="82"/>
    </row>
    <row r="138" customFormat="false" ht="6" hidden="false" customHeight="true" outlineLevel="0" collapsed="false">
      <c r="A138" s="106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82"/>
    </row>
    <row r="139" customFormat="false" ht="15" hidden="false" customHeight="false" outlineLevel="0" collapsed="false">
      <c r="A139" s="79"/>
      <c r="B139" s="63"/>
      <c r="C139" s="97" t="s">
        <v>33</v>
      </c>
      <c r="D139" s="98" t="n">
        <f aca="false">IF([1]Schedule!$Q$1&gt;0,[1]Schedule!$Q$1,0)</f>
        <v>52500</v>
      </c>
      <c r="E139" s="98"/>
      <c r="F139" s="98"/>
      <c r="G139" s="99" t="s">
        <v>34</v>
      </c>
      <c r="H139" s="100" t="n">
        <v>0</v>
      </c>
      <c r="I139" s="100" t="n">
        <v>0</v>
      </c>
      <c r="J139" s="63"/>
      <c r="K139" s="63"/>
      <c r="L139" s="63"/>
      <c r="M139" s="63"/>
      <c r="N139" s="97" t="s">
        <v>33</v>
      </c>
      <c r="O139" s="98"/>
      <c r="P139" s="98"/>
      <c r="Q139" s="98"/>
      <c r="R139" s="99" t="s">
        <v>34</v>
      </c>
      <c r="S139" s="100" t="n">
        <v>0</v>
      </c>
      <c r="T139" s="100" t="n">
        <v>0</v>
      </c>
      <c r="U139" s="63"/>
      <c r="V139" s="63"/>
      <c r="W139" s="82"/>
    </row>
    <row r="140" customFormat="false" ht="12" hidden="false" customHeight="false" outlineLevel="0" collapsed="false">
      <c r="A140" s="7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82"/>
    </row>
    <row r="141" customFormat="false" ht="12" hidden="false" customHeight="false" outlineLevel="0" collapsed="false">
      <c r="A141" s="75" t="n">
        <v>50</v>
      </c>
      <c r="B141" s="63"/>
      <c r="C141" s="64" t="s">
        <v>171</v>
      </c>
      <c r="D141" s="64"/>
      <c r="E141" s="64"/>
      <c r="F141" s="64"/>
      <c r="G141" s="131" t="n">
        <f aca="false">Admin!G5</f>
        <v>0.14</v>
      </c>
      <c r="H141" s="131"/>
      <c r="I141" s="64" t="s">
        <v>172</v>
      </c>
      <c r="J141" s="64"/>
      <c r="K141" s="64"/>
      <c r="L141" s="75" t="n">
        <v>55</v>
      </c>
      <c r="M141" s="63"/>
      <c r="N141" s="64" t="s">
        <v>173</v>
      </c>
      <c r="O141" s="63"/>
      <c r="P141" s="63"/>
      <c r="Q141" s="63"/>
      <c r="R141" s="63"/>
      <c r="S141" s="63"/>
      <c r="T141" s="63"/>
      <c r="U141" s="63"/>
      <c r="V141" s="63"/>
      <c r="W141" s="82"/>
    </row>
    <row r="142" customFormat="false" ht="12" hidden="false" customHeight="true" outlineLevel="0" collapsed="false">
      <c r="A142" s="106"/>
      <c r="B142" s="63"/>
      <c r="C142" s="64" t="s">
        <v>174</v>
      </c>
      <c r="D142" s="64"/>
      <c r="E142" s="64"/>
      <c r="F142" s="64"/>
      <c r="G142" s="64"/>
      <c r="H142" s="64"/>
      <c r="I142" s="64"/>
      <c r="J142" s="64"/>
      <c r="K142" s="64"/>
      <c r="L142" s="64"/>
      <c r="M142" s="63"/>
      <c r="N142" s="64"/>
      <c r="O142" s="63"/>
      <c r="P142" s="63"/>
      <c r="Q142" s="63"/>
      <c r="R142" s="63"/>
      <c r="S142" s="63"/>
      <c r="T142" s="63"/>
      <c r="U142" s="63"/>
      <c r="V142" s="63"/>
      <c r="W142" s="82"/>
    </row>
    <row r="143" customFormat="false" ht="6" hidden="false" customHeight="true" outlineLevel="0" collapsed="false">
      <c r="A143" s="106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82"/>
    </row>
    <row r="144" customFormat="false" ht="15" hidden="false" customHeight="false" outlineLevel="0" collapsed="false">
      <c r="A144" s="79"/>
      <c r="B144" s="63"/>
      <c r="C144" s="97" t="s">
        <v>33</v>
      </c>
      <c r="D144" s="98" t="n">
        <f aca="false">[1]Schedule!$R$1</f>
        <v>4144</v>
      </c>
      <c r="E144" s="98"/>
      <c r="F144" s="98"/>
      <c r="G144" s="99" t="s">
        <v>34</v>
      </c>
      <c r="H144" s="100" t="n">
        <v>0</v>
      </c>
      <c r="I144" s="100" t="n">
        <v>0</v>
      </c>
      <c r="J144" s="63"/>
      <c r="K144" s="63"/>
      <c r="L144" s="64"/>
      <c r="M144" s="63"/>
      <c r="N144" s="97" t="s">
        <v>33</v>
      </c>
      <c r="O144" s="98" t="n">
        <f aca="false">IF(([1]Schedule!$R$1-[1]Schedule!$AE$1+[1]Schedule!$AH$1)&lt;1000,[1]Schedule!$AH$1,0)+IF(([1]Schedule!$AC$1-[1]Schedule!$AF$1+[1]Schedule!$AI$1)&lt;1000,[1]Schedule!$AI$1,0)</f>
        <v>0</v>
      </c>
      <c r="P144" s="98"/>
      <c r="Q144" s="98"/>
      <c r="R144" s="99" t="s">
        <v>34</v>
      </c>
      <c r="S144" s="100" t="n">
        <v>0</v>
      </c>
      <c r="T144" s="100" t="n">
        <v>0</v>
      </c>
      <c r="U144" s="63"/>
      <c r="V144" s="63"/>
      <c r="W144" s="82"/>
    </row>
    <row r="145" customFormat="false" ht="5.25" hidden="false" customHeight="true" outlineLevel="0" collapsed="false">
      <c r="A145" s="7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82"/>
    </row>
    <row r="146" customFormat="false" ht="12" hidden="false" customHeight="false" outlineLevel="0" collapsed="false">
      <c r="A146" s="75" t="n">
        <v>51</v>
      </c>
      <c r="B146" s="63"/>
      <c r="C146" s="130" t="s">
        <v>175</v>
      </c>
      <c r="D146" s="64"/>
      <c r="E146" s="64"/>
      <c r="F146" s="64"/>
      <c r="G146" s="64"/>
      <c r="H146" s="131"/>
      <c r="I146" s="131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 customFormat="false" ht="15" hidden="false" customHeight="false" outlineLevel="0" collapsed="false">
      <c r="A147" s="79"/>
      <c r="B147" s="63"/>
      <c r="C147" s="97" t="s">
        <v>33</v>
      </c>
      <c r="D147" s="98" t="n">
        <f aca="false">[1]Schedule!$AC$1</f>
        <v>540</v>
      </c>
      <c r="E147" s="98"/>
      <c r="F147" s="98"/>
      <c r="G147" s="99" t="s">
        <v>34</v>
      </c>
      <c r="H147" s="100" t="n">
        <v>0</v>
      </c>
      <c r="I147" s="100" t="n">
        <v>0</v>
      </c>
      <c r="J147" s="63"/>
      <c r="K147" s="63"/>
      <c r="L147" s="75" t="n">
        <v>56</v>
      </c>
      <c r="M147" s="63"/>
      <c r="N147" s="64" t="s">
        <v>176</v>
      </c>
      <c r="O147" s="63"/>
      <c r="P147" s="63"/>
      <c r="Q147" s="63"/>
      <c r="R147" s="63"/>
      <c r="S147" s="63"/>
      <c r="T147" s="63"/>
      <c r="U147" s="63"/>
      <c r="V147" s="63"/>
      <c r="W147" s="82"/>
    </row>
    <row r="148" customFormat="false" ht="6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4"/>
      <c r="M148" s="63"/>
      <c r="N148" s="64" t="s">
        <v>177</v>
      </c>
      <c r="O148" s="63"/>
      <c r="P148" s="63"/>
      <c r="Q148" s="63"/>
      <c r="R148" s="63"/>
      <c r="S148" s="63"/>
      <c r="T148" s="63"/>
      <c r="U148" s="63"/>
      <c r="V148" s="63"/>
      <c r="W148" s="82"/>
    </row>
    <row r="149" customFormat="false" ht="15" hidden="false" customHeight="false" outlineLevel="0" collapsed="false">
      <c r="A149" s="75" t="n">
        <v>52</v>
      </c>
      <c r="B149" s="63"/>
      <c r="C149" s="64" t="s">
        <v>178</v>
      </c>
      <c r="D149" s="64"/>
      <c r="E149" s="64"/>
      <c r="F149" s="64"/>
      <c r="G149" s="64"/>
      <c r="H149" s="64"/>
      <c r="I149" s="64"/>
      <c r="J149" s="64"/>
      <c r="K149" s="64"/>
      <c r="L149" s="63"/>
      <c r="M149" s="63"/>
      <c r="N149" s="97" t="s">
        <v>33</v>
      </c>
      <c r="O149" s="98" t="n">
        <f aca="false">[1]Schedule!$Y$1</f>
        <v>8140</v>
      </c>
      <c r="P149" s="98"/>
      <c r="Q149" s="98"/>
      <c r="R149" s="99" t="s">
        <v>34</v>
      </c>
      <c r="S149" s="100" t="n">
        <v>0</v>
      </c>
      <c r="T149" s="100" t="n">
        <v>0</v>
      </c>
      <c r="U149" s="63"/>
      <c r="V149" s="63"/>
      <c r="W149" s="82"/>
    </row>
    <row r="150" customFormat="false" ht="15.75" hidden="false" customHeight="true" outlineLevel="0" collapsed="false">
      <c r="A150" s="79"/>
      <c r="B150" s="63"/>
      <c r="C150" s="97" t="s">
        <v>33</v>
      </c>
      <c r="D150" s="98"/>
      <c r="E150" s="98"/>
      <c r="F150" s="98"/>
      <c r="G150" s="99" t="s">
        <v>34</v>
      </c>
      <c r="H150" s="100" t="n">
        <v>0</v>
      </c>
      <c r="I150" s="100" t="n">
        <v>0</v>
      </c>
      <c r="J150" s="63"/>
      <c r="K150" s="63"/>
      <c r="L150" s="63"/>
      <c r="M150" s="63"/>
      <c r="N150" s="116"/>
      <c r="O150" s="112"/>
      <c r="P150" s="112"/>
      <c r="Q150" s="112"/>
      <c r="R150" s="99"/>
      <c r="S150" s="102"/>
      <c r="T150" s="102"/>
      <c r="U150" s="63"/>
      <c r="V150" s="63"/>
      <c r="W150" s="82"/>
    </row>
    <row r="151" customFormat="false" ht="12" hidden="false" customHeight="false" outlineLevel="0" collapsed="false">
      <c r="A151" s="75" t="n">
        <v>52.1</v>
      </c>
      <c r="B151" s="63"/>
      <c r="C151" s="64" t="s">
        <v>179</v>
      </c>
      <c r="D151" s="64"/>
      <c r="E151" s="64"/>
      <c r="F151" s="64"/>
      <c r="G151" s="64"/>
      <c r="H151" s="64"/>
      <c r="I151" s="64"/>
      <c r="J151" s="64"/>
      <c r="K151" s="64"/>
      <c r="L151" s="75" t="n">
        <v>57</v>
      </c>
      <c r="M151" s="63"/>
      <c r="N151" s="64" t="s">
        <v>180</v>
      </c>
      <c r="O151" s="63"/>
      <c r="P151" s="63"/>
      <c r="Q151" s="63"/>
      <c r="R151" s="63"/>
      <c r="S151" s="63"/>
      <c r="T151" s="63"/>
      <c r="U151" s="63"/>
      <c r="V151" s="63"/>
      <c r="W151" s="82"/>
    </row>
    <row r="152" customFormat="false" ht="15" hidden="false" customHeight="false" outlineLevel="0" collapsed="false">
      <c r="A152" s="79"/>
      <c r="B152" s="63"/>
      <c r="C152" s="97" t="s">
        <v>33</v>
      </c>
      <c r="D152" s="98" t="n">
        <v>2500</v>
      </c>
      <c r="E152" s="98"/>
      <c r="F152" s="98"/>
      <c r="G152" s="99" t="s">
        <v>34</v>
      </c>
      <c r="H152" s="100" t="n">
        <v>0</v>
      </c>
      <c r="I152" s="100" t="n">
        <v>0</v>
      </c>
      <c r="J152" s="63"/>
      <c r="K152" s="63"/>
      <c r="L152" s="63"/>
      <c r="M152" s="63"/>
      <c r="N152" s="64"/>
      <c r="O152" s="63"/>
      <c r="P152" s="63"/>
      <c r="Q152" s="63"/>
      <c r="R152" s="63"/>
      <c r="S152" s="63"/>
      <c r="T152" s="63"/>
      <c r="U152" s="63"/>
      <c r="V152" s="63"/>
      <c r="W152" s="82"/>
    </row>
    <row r="153" customFormat="false" ht="6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82"/>
    </row>
    <row r="154" customFormat="false" ht="15" hidden="false" customHeight="false" outlineLevel="0" collapsed="false">
      <c r="A154" s="75" t="n">
        <v>53</v>
      </c>
      <c r="B154" s="63"/>
      <c r="C154" s="64" t="s">
        <v>181</v>
      </c>
      <c r="D154" s="64"/>
      <c r="E154" s="64"/>
      <c r="F154" s="64"/>
      <c r="G154" s="64"/>
      <c r="H154" s="64"/>
      <c r="I154" s="64"/>
      <c r="J154" s="64"/>
      <c r="K154" s="64"/>
      <c r="L154" s="63"/>
      <c r="M154" s="63"/>
      <c r="N154" s="97" t="s">
        <v>33</v>
      </c>
      <c r="O154" s="98" t="n">
        <f aca="false">D139+D144+D147+D150+D152+D156+D160+O139+O144+O149</f>
        <v>70648.6575342466</v>
      </c>
      <c r="P154" s="98"/>
      <c r="Q154" s="98"/>
      <c r="R154" s="99" t="s">
        <v>34</v>
      </c>
      <c r="S154" s="100" t="n">
        <v>0</v>
      </c>
      <c r="T154" s="100" t="n">
        <v>0</v>
      </c>
      <c r="U154" s="63"/>
      <c r="V154" s="63"/>
      <c r="W154" s="82"/>
    </row>
    <row r="155" customFormat="false" ht="6" hidden="false" customHeight="true" outlineLevel="0" collapsed="false">
      <c r="A155" s="106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82"/>
    </row>
    <row r="156" customFormat="false" ht="15" hidden="false" customHeight="false" outlineLevel="0" collapsed="false">
      <c r="A156" s="79"/>
      <c r="B156" s="63"/>
      <c r="C156" s="97" t="s">
        <v>33</v>
      </c>
      <c r="D156" s="98" t="n">
        <f aca="false">[1]Schedule!$K$120</f>
        <v>1800</v>
      </c>
      <c r="E156" s="98"/>
      <c r="F156" s="98"/>
      <c r="G156" s="99" t="s">
        <v>34</v>
      </c>
      <c r="H156" s="100" t="n">
        <v>0</v>
      </c>
      <c r="I156" s="100" t="n">
        <v>0</v>
      </c>
      <c r="J156" s="63"/>
      <c r="K156" s="63"/>
      <c r="L156" s="75" t="n">
        <v>59</v>
      </c>
      <c r="M156" s="63"/>
      <c r="N156" s="64" t="s">
        <v>182</v>
      </c>
      <c r="O156" s="63"/>
      <c r="P156" s="63"/>
      <c r="Q156" s="63"/>
      <c r="R156" s="63"/>
      <c r="S156" s="63"/>
      <c r="T156" s="63"/>
      <c r="U156" s="63"/>
      <c r="V156" s="63"/>
      <c r="W156" s="82"/>
    </row>
    <row r="157" customFormat="false" ht="12" hidden="false" customHeight="false" outlineLevel="0" collapsed="false">
      <c r="A157" s="75" t="n">
        <v>53.1</v>
      </c>
      <c r="B157" s="63"/>
      <c r="C157" s="64" t="s">
        <v>183</v>
      </c>
      <c r="D157" s="64"/>
      <c r="E157" s="64"/>
      <c r="F157" s="64"/>
      <c r="G157" s="64"/>
      <c r="H157" s="64"/>
      <c r="I157" s="64"/>
      <c r="J157" s="64"/>
      <c r="K157" s="64"/>
      <c r="L157" s="63"/>
      <c r="M157" s="63"/>
      <c r="N157" s="64" t="s">
        <v>184</v>
      </c>
      <c r="O157" s="63"/>
      <c r="P157" s="63"/>
      <c r="Q157" s="63"/>
      <c r="R157" s="63"/>
      <c r="S157" s="63"/>
      <c r="T157" s="63"/>
      <c r="U157" s="63"/>
      <c r="V157" s="63"/>
      <c r="W157" s="82"/>
    </row>
    <row r="158" customFormat="false" ht="12" hidden="false" customHeight="false" outlineLevel="0" collapsed="false">
      <c r="A158" s="79"/>
      <c r="B158" s="63"/>
      <c r="C158" s="64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4" t="s">
        <v>185</v>
      </c>
      <c r="O158" s="63"/>
      <c r="P158" s="63"/>
      <c r="Q158" s="63"/>
      <c r="R158" s="63"/>
      <c r="S158" s="63"/>
      <c r="T158" s="63"/>
      <c r="U158" s="63"/>
      <c r="V158" s="63"/>
      <c r="W158" s="82"/>
    </row>
    <row r="159" customFormat="false" ht="6" hidden="false" customHeight="true" outlineLevel="0" collapsed="false">
      <c r="A159" s="106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82"/>
    </row>
    <row r="160" customFormat="false" ht="15" hidden="false" customHeight="false" outlineLevel="0" collapsed="false">
      <c r="A160" s="79"/>
      <c r="B160" s="63"/>
      <c r="C160" s="97" t="s">
        <v>33</v>
      </c>
      <c r="D160" s="98" t="n">
        <f aca="false">[1]Schedule!$K$121</f>
        <v>1024.65753424658</v>
      </c>
      <c r="E160" s="98"/>
      <c r="F160" s="98"/>
      <c r="G160" s="99" t="s">
        <v>34</v>
      </c>
      <c r="H160" s="100" t="n">
        <v>0</v>
      </c>
      <c r="I160" s="100" t="n">
        <v>0</v>
      </c>
      <c r="J160" s="63"/>
      <c r="K160" s="63"/>
      <c r="L160" s="63"/>
      <c r="M160" s="63"/>
      <c r="N160" s="97" t="s">
        <v>33</v>
      </c>
      <c r="O160" s="98" t="n">
        <f aca="false">[1]Schedule!$Z$1</f>
        <v>0</v>
      </c>
      <c r="P160" s="98"/>
      <c r="Q160" s="98"/>
      <c r="R160" s="99" t="s">
        <v>34</v>
      </c>
      <c r="S160" s="100" t="n">
        <v>0</v>
      </c>
      <c r="T160" s="100" t="n">
        <v>0</v>
      </c>
      <c r="U160" s="63"/>
      <c r="V160" s="63"/>
      <c r="W160" s="82"/>
    </row>
    <row r="161" customFormat="false" ht="7.5" hidden="false" customHeight="true" outlineLevel="0" collapsed="false">
      <c r="A161" s="93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5"/>
    </row>
    <row r="162" customFormat="false" ht="24.75" hidden="false" customHeight="true" outlineLevel="0" collapsed="false">
      <c r="A162" s="103" t="s">
        <v>186</v>
      </c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</row>
    <row r="163" customFormat="false" ht="15.75" hidden="false" customHeight="true" outlineLevel="0" collapsed="false">
      <c r="A163" s="104" t="s">
        <v>187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</row>
    <row r="164" customFormat="false" ht="15.75" hidden="false" customHeight="true" outlineLevel="0" collapsed="false">
      <c r="A164" s="104" t="s">
        <v>188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</row>
    <row r="165" customFormat="false" ht="7.5" hidden="false" customHeight="true" outlineLevel="0" collapsed="false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</row>
    <row r="166" customFormat="false" ht="12" hidden="false" customHeight="false" outlineLevel="0" collapsed="false">
      <c r="A166" s="75" t="n">
        <v>60</v>
      </c>
      <c r="B166" s="63"/>
      <c r="C166" s="64" t="s">
        <v>189</v>
      </c>
      <c r="D166" s="64"/>
      <c r="E166" s="64"/>
      <c r="F166" s="64"/>
      <c r="G166" s="64"/>
      <c r="H166" s="64"/>
      <c r="I166" s="64"/>
      <c r="J166" s="64"/>
      <c r="K166" s="64"/>
      <c r="L166" s="75" t="n">
        <v>63</v>
      </c>
      <c r="M166" s="63"/>
      <c r="N166" s="64" t="s">
        <v>190</v>
      </c>
      <c r="O166" s="63"/>
      <c r="P166" s="63"/>
      <c r="Q166" s="63"/>
      <c r="R166" s="63"/>
      <c r="S166" s="63"/>
      <c r="T166" s="63"/>
      <c r="U166" s="63"/>
      <c r="V166" s="63"/>
      <c r="W166" s="82"/>
    </row>
    <row r="167" customFormat="false" ht="12" hidden="false" customHeight="false" outlineLevel="0" collapsed="false">
      <c r="A167" s="106"/>
      <c r="B167" s="63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3"/>
      <c r="N167" s="64" t="s">
        <v>191</v>
      </c>
      <c r="O167" s="110"/>
      <c r="P167" s="110"/>
      <c r="Q167" s="110"/>
      <c r="R167" s="110"/>
      <c r="S167" s="110"/>
      <c r="T167" s="110"/>
      <c r="U167" s="110"/>
      <c r="V167" s="110"/>
      <c r="W167" s="82"/>
    </row>
    <row r="168" customFormat="false" ht="6" hidden="false" customHeight="true" outlineLevel="0" collapsed="false">
      <c r="A168" s="106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82"/>
    </row>
    <row r="169" customFormat="false" ht="15" hidden="false" customHeight="false" outlineLevel="0" collapsed="false">
      <c r="A169" s="79"/>
      <c r="B169" s="63"/>
      <c r="C169" s="97" t="s">
        <v>33</v>
      </c>
      <c r="D169" s="98" t="n">
        <f aca="false">'Business Details'!O50</f>
        <v>640</v>
      </c>
      <c r="E169" s="98"/>
      <c r="F169" s="98"/>
      <c r="G169" s="99" t="s">
        <v>34</v>
      </c>
      <c r="H169" s="100" t="n">
        <v>0</v>
      </c>
      <c r="I169" s="100" t="n">
        <v>0</v>
      </c>
      <c r="J169" s="63"/>
      <c r="K169" s="63"/>
      <c r="L169" s="63"/>
      <c r="M169" s="63"/>
      <c r="N169" s="97" t="s">
        <v>33</v>
      </c>
      <c r="O169" s="98" t="n">
        <f aca="false">O154+D179</f>
        <v>70998.6575342466</v>
      </c>
      <c r="P169" s="98"/>
      <c r="Q169" s="98"/>
      <c r="R169" s="99" t="s">
        <v>34</v>
      </c>
      <c r="S169" s="100" t="n">
        <v>0</v>
      </c>
      <c r="T169" s="100" t="n">
        <v>0</v>
      </c>
      <c r="U169" s="63"/>
      <c r="V169" s="63"/>
      <c r="W169" s="82"/>
    </row>
    <row r="170" customFormat="false" ht="12" hidden="false" customHeight="false" outlineLevel="0" collapsed="false">
      <c r="A170" s="7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82"/>
    </row>
    <row r="171" customFormat="false" ht="12" hidden="false" customHeight="false" outlineLevel="0" collapsed="false">
      <c r="A171" s="75" t="n">
        <v>61</v>
      </c>
      <c r="B171" s="63"/>
      <c r="C171" s="64" t="s">
        <v>192</v>
      </c>
      <c r="D171" s="64"/>
      <c r="E171" s="64"/>
      <c r="F171" s="64"/>
      <c r="G171" s="64"/>
      <c r="H171" s="64"/>
      <c r="I171" s="64"/>
      <c r="J171" s="64"/>
      <c r="K171" s="64"/>
      <c r="L171" s="75" t="n">
        <v>64</v>
      </c>
      <c r="M171" s="63"/>
      <c r="N171" s="64" t="s">
        <v>193</v>
      </c>
      <c r="O171" s="63"/>
      <c r="P171" s="63"/>
      <c r="Q171" s="63"/>
      <c r="R171" s="63"/>
      <c r="S171" s="63"/>
      <c r="T171" s="63"/>
      <c r="U171" s="63"/>
      <c r="V171" s="63"/>
      <c r="W171" s="82"/>
    </row>
    <row r="172" customFormat="false" ht="12" hidden="false" customHeight="true" outlineLevel="0" collapsed="false">
      <c r="A172" s="106"/>
      <c r="B172" s="63"/>
      <c r="C172" s="64" t="s">
        <v>194</v>
      </c>
      <c r="D172" s="64"/>
      <c r="E172" s="64"/>
      <c r="F172" s="64"/>
      <c r="G172" s="64"/>
      <c r="H172" s="64"/>
      <c r="I172" s="64"/>
      <c r="J172" s="64"/>
      <c r="K172" s="64"/>
      <c r="L172" s="64"/>
      <c r="M172" s="63"/>
      <c r="N172" s="64" t="s">
        <v>195</v>
      </c>
      <c r="O172" s="63"/>
      <c r="P172" s="63"/>
      <c r="Q172" s="63"/>
      <c r="R172" s="63"/>
      <c r="S172" s="63"/>
      <c r="T172" s="63"/>
      <c r="U172" s="63"/>
      <c r="V172" s="63"/>
      <c r="W172" s="82"/>
    </row>
    <row r="173" customFormat="false" ht="6" hidden="false" customHeight="true" outlineLevel="0" collapsed="false">
      <c r="A173" s="106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82"/>
    </row>
    <row r="174" customFormat="false" ht="15" hidden="false" customHeight="false" outlineLevel="0" collapsed="false">
      <c r="A174" s="79"/>
      <c r="B174" s="63"/>
      <c r="C174" s="97" t="s">
        <v>33</v>
      </c>
      <c r="D174" s="98" t="n">
        <f aca="false">O122+O160+D169</f>
        <v>30936.5835</v>
      </c>
      <c r="E174" s="98"/>
      <c r="F174" s="98"/>
      <c r="G174" s="99" t="s">
        <v>34</v>
      </c>
      <c r="H174" s="100" t="n">
        <v>0</v>
      </c>
      <c r="I174" s="100" t="n">
        <v>0</v>
      </c>
      <c r="J174" s="63"/>
      <c r="K174" s="63"/>
      <c r="L174" s="64"/>
      <c r="M174" s="63"/>
      <c r="N174" s="97" t="s">
        <v>33</v>
      </c>
      <c r="O174" s="98" t="n">
        <f aca="false">IF((D129+D174-O169)&gt;0,(D129+D174-O169),IF((-O129+D174-O169)&gt;0,(-O129+D174-O169),0))</f>
        <v>121474.44263242</v>
      </c>
      <c r="P174" s="98"/>
      <c r="Q174" s="98"/>
      <c r="R174" s="99" t="s">
        <v>34</v>
      </c>
      <c r="S174" s="100" t="n">
        <v>0</v>
      </c>
      <c r="T174" s="100" t="n">
        <v>0</v>
      </c>
      <c r="U174" s="63"/>
      <c r="V174" s="63"/>
      <c r="W174" s="82"/>
    </row>
    <row r="175" customFormat="false" ht="12" hidden="false" customHeight="true" outlineLevel="0" collapsed="false">
      <c r="A175" s="7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82"/>
    </row>
    <row r="176" customFormat="false" ht="12" hidden="false" customHeight="false" outlineLevel="0" collapsed="false">
      <c r="A176" s="75" t="n">
        <v>62</v>
      </c>
      <c r="B176" s="63"/>
      <c r="C176" s="64" t="s">
        <v>196</v>
      </c>
      <c r="D176" s="64"/>
      <c r="E176" s="64"/>
      <c r="F176" s="64"/>
      <c r="G176" s="64"/>
      <c r="H176" s="64"/>
      <c r="I176" s="64"/>
      <c r="J176" s="64"/>
      <c r="K176" s="64"/>
      <c r="L176" s="75" t="n">
        <v>65</v>
      </c>
      <c r="M176" s="63"/>
      <c r="N176" s="64" t="s">
        <v>197</v>
      </c>
      <c r="O176" s="63"/>
      <c r="P176" s="63"/>
      <c r="Q176" s="63"/>
      <c r="R176" s="63"/>
      <c r="S176" s="63"/>
      <c r="T176" s="63"/>
      <c r="U176" s="63"/>
      <c r="V176" s="63"/>
      <c r="W176" s="82"/>
    </row>
    <row r="177" customFormat="false" ht="12" hidden="false" customHeight="false" outlineLevel="0" collapsed="false">
      <c r="A177" s="79"/>
      <c r="B177" s="63"/>
      <c r="C177" s="64" t="s">
        <v>198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4" t="s">
        <v>199</v>
      </c>
      <c r="O177" s="63"/>
      <c r="P177" s="63"/>
      <c r="Q177" s="63"/>
      <c r="R177" s="63"/>
      <c r="S177" s="63"/>
      <c r="T177" s="63"/>
      <c r="U177" s="63"/>
      <c r="V177" s="63"/>
      <c r="W177" s="82"/>
    </row>
    <row r="178" customFormat="false" ht="6" hidden="false" customHeight="true" outlineLevel="0" collapsed="false">
      <c r="A178" s="106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82"/>
    </row>
    <row r="179" customFormat="false" ht="15" hidden="false" customHeight="false" outlineLevel="0" collapsed="false">
      <c r="A179" s="79"/>
      <c r="B179" s="63"/>
      <c r="C179" s="97" t="s">
        <v>33</v>
      </c>
      <c r="D179" s="98" t="n">
        <v>350</v>
      </c>
      <c r="E179" s="98"/>
      <c r="F179" s="98"/>
      <c r="G179" s="99" t="s">
        <v>34</v>
      </c>
      <c r="H179" s="100" t="n">
        <v>0</v>
      </c>
      <c r="I179" s="100" t="n">
        <v>0</v>
      </c>
      <c r="J179" s="63"/>
      <c r="K179" s="63"/>
      <c r="L179" s="63"/>
      <c r="M179" s="63"/>
      <c r="N179" s="97" t="s">
        <v>33</v>
      </c>
      <c r="O179" s="98" t="n">
        <f aca="false">IF(O174&gt;0,0,IF((D129+D174-O169)&lt;0,-(D129+D174-O169),IF((-O129+D174-O169)&lt;0,-(-O129+D174-O169),0)))</f>
        <v>0</v>
      </c>
      <c r="P179" s="98"/>
      <c r="Q179" s="98"/>
      <c r="R179" s="99" t="s">
        <v>34</v>
      </c>
      <c r="S179" s="100" t="n">
        <v>0</v>
      </c>
      <c r="T179" s="100" t="n">
        <v>0</v>
      </c>
      <c r="U179" s="63"/>
      <c r="V179" s="63"/>
      <c r="W179" s="82"/>
    </row>
    <row r="180" customFormat="false" ht="7.5" hidden="false" customHeight="true" outlineLevel="0" collapsed="false">
      <c r="A180" s="93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5"/>
    </row>
    <row r="181" customFormat="false" ht="24.75" hidden="false" customHeight="true" outlineLevel="0" collapsed="false">
      <c r="A181" s="103" t="s">
        <v>200</v>
      </c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</row>
    <row r="182" customFormat="false" ht="15.75" hidden="false" customHeight="true" outlineLevel="0" collapsed="false">
      <c r="A182" s="104" t="s">
        <v>201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</row>
    <row r="183" customFormat="false" ht="15.75" hidden="false" customHeight="true" outlineLevel="0" collapsed="false">
      <c r="A183" s="104" t="s">
        <v>202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</row>
    <row r="184" customFormat="false" ht="15.75" hidden="false" customHeight="true" outlineLevel="0" collapsed="false">
      <c r="A184" s="133" t="s">
        <v>203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 customFormat="false" ht="7.5" hidden="false" customHeight="true" outlineLevel="0" collapsed="false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</row>
    <row r="186" customFormat="false" ht="12" hidden="false" customHeight="false" outlineLevel="0" collapsed="false">
      <c r="A186" s="75"/>
      <c r="B186" s="63"/>
      <c r="C186" s="64" t="s">
        <v>204</v>
      </c>
      <c r="D186" s="64"/>
      <c r="E186" s="64"/>
      <c r="F186" s="64"/>
      <c r="G186" s="64"/>
      <c r="H186" s="64"/>
      <c r="I186" s="64"/>
      <c r="J186" s="64"/>
      <c r="K186" s="64"/>
      <c r="L186" s="75" t="n">
        <v>72</v>
      </c>
      <c r="M186" s="63"/>
      <c r="N186" s="64" t="s">
        <v>205</v>
      </c>
      <c r="O186" s="63"/>
      <c r="P186" s="63"/>
      <c r="Q186" s="63"/>
      <c r="R186" s="63"/>
      <c r="S186" s="63"/>
      <c r="T186" s="63"/>
      <c r="U186" s="63"/>
      <c r="V186" s="63"/>
      <c r="W186" s="82"/>
    </row>
    <row r="187" customFormat="false" ht="12" hidden="false" customHeight="false" outlineLevel="0" collapsed="false">
      <c r="A187" s="106"/>
      <c r="B187" s="63"/>
      <c r="C187" s="134"/>
      <c r="D187" s="134"/>
      <c r="E187" s="134"/>
      <c r="F187" s="134"/>
      <c r="G187" s="64"/>
      <c r="H187" s="64"/>
      <c r="I187" s="64"/>
      <c r="J187" s="64"/>
      <c r="K187" s="64"/>
      <c r="L187" s="64"/>
      <c r="M187" s="63"/>
      <c r="N187" s="80" t="s">
        <v>206</v>
      </c>
      <c r="O187" s="63"/>
      <c r="P187" s="63"/>
      <c r="Q187" s="63"/>
      <c r="R187" s="63"/>
      <c r="S187" s="63"/>
      <c r="T187" s="63"/>
      <c r="U187" s="63"/>
      <c r="V187" s="63"/>
      <c r="W187" s="82"/>
    </row>
    <row r="188" customFormat="false" ht="12" hidden="false" customHeight="true" outlineLevel="0" collapsed="false">
      <c r="A188" s="79"/>
      <c r="B188" s="63"/>
      <c r="C188" s="64"/>
      <c r="D188" s="135"/>
      <c r="E188" s="135"/>
      <c r="F188" s="135"/>
      <c r="G188" s="99"/>
      <c r="H188" s="64"/>
      <c r="I188" s="64"/>
      <c r="J188" s="63"/>
      <c r="K188" s="63"/>
      <c r="L188" s="64"/>
      <c r="M188" s="63"/>
      <c r="N188" s="92" t="s">
        <v>207</v>
      </c>
      <c r="O188" s="63"/>
      <c r="P188" s="63"/>
      <c r="Q188" s="63"/>
      <c r="R188" s="63"/>
      <c r="S188" s="63"/>
      <c r="T188" s="63"/>
      <c r="U188" s="63"/>
      <c r="V188" s="63"/>
      <c r="W188" s="82"/>
    </row>
    <row r="189" customFormat="false" ht="12" hidden="false" customHeight="true" outlineLevel="0" collapsed="false">
      <c r="A189" s="75"/>
      <c r="B189" s="63"/>
      <c r="C189" s="64"/>
      <c r="D189" s="63"/>
      <c r="E189" s="63"/>
      <c r="F189" s="63"/>
      <c r="G189" s="63"/>
      <c r="H189" s="63"/>
      <c r="I189" s="63"/>
      <c r="J189" s="63"/>
      <c r="K189" s="63"/>
      <c r="L189" s="64"/>
      <c r="M189" s="63"/>
      <c r="N189" s="92" t="s">
        <v>208</v>
      </c>
      <c r="O189" s="110"/>
      <c r="P189" s="110"/>
      <c r="Q189" s="110"/>
      <c r="R189" s="110"/>
      <c r="S189" s="110"/>
      <c r="T189" s="110"/>
      <c r="U189" s="110"/>
      <c r="V189" s="110"/>
      <c r="W189" s="82"/>
    </row>
    <row r="190" customFormat="false" ht="15" hidden="false" customHeight="false" outlineLevel="0" collapsed="false">
      <c r="A190" s="106"/>
      <c r="B190" s="63"/>
      <c r="C190" s="134"/>
      <c r="D190" s="134"/>
      <c r="E190" s="134"/>
      <c r="F190" s="134"/>
      <c r="G190" s="64"/>
      <c r="H190" s="64"/>
      <c r="I190" s="64"/>
      <c r="J190" s="64"/>
      <c r="K190" s="64"/>
      <c r="L190" s="64"/>
      <c r="M190" s="63"/>
      <c r="N190" s="97" t="s">
        <v>33</v>
      </c>
      <c r="O190" s="136" t="s">
        <v>209</v>
      </c>
      <c r="P190" s="137"/>
      <c r="Q190" s="137"/>
      <c r="R190" s="99" t="s">
        <v>34</v>
      </c>
      <c r="S190" s="100" t="n">
        <v>0</v>
      </c>
      <c r="T190" s="100" t="n">
        <v>0</v>
      </c>
      <c r="U190" s="63"/>
      <c r="V190" s="63"/>
      <c r="W190" s="82"/>
    </row>
    <row r="191" customFormat="false" ht="12" hidden="false" customHeight="false" outlineLevel="0" collapsed="false">
      <c r="A191" s="106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82"/>
    </row>
    <row r="192" customFormat="false" ht="15" hidden="false" customHeight="true" outlineLevel="0" collapsed="false">
      <c r="A192" s="75" t="n">
        <v>68</v>
      </c>
      <c r="B192" s="63"/>
      <c r="C192" s="64" t="s">
        <v>210</v>
      </c>
      <c r="D192" s="112"/>
      <c r="E192" s="112"/>
      <c r="F192" s="112"/>
      <c r="G192" s="99"/>
      <c r="H192" s="102"/>
      <c r="I192" s="102"/>
      <c r="J192" s="63"/>
      <c r="K192" s="63"/>
      <c r="L192" s="75" t="n">
        <v>73</v>
      </c>
      <c r="M192" s="63"/>
      <c r="N192" s="64" t="s">
        <v>211</v>
      </c>
      <c r="O192" s="63"/>
      <c r="P192" s="63"/>
      <c r="Q192" s="138" t="str">
        <f aca="false">Admin!G2</f>
        <v>2026-27</v>
      </c>
      <c r="R192" s="64"/>
      <c r="S192" s="63"/>
      <c r="T192" s="63"/>
      <c r="U192" s="63"/>
      <c r="V192" s="63"/>
      <c r="W192" s="82"/>
    </row>
    <row r="193" customFormat="false" ht="12" hidden="false" customHeight="true" outlineLevel="0" collapsed="false">
      <c r="A193" s="79"/>
      <c r="B193" s="63"/>
      <c r="C193" s="64" t="s">
        <v>212</v>
      </c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80" t="s">
        <v>213</v>
      </c>
      <c r="O193" s="112"/>
      <c r="P193" s="112"/>
      <c r="Q193" s="112"/>
      <c r="R193" s="139"/>
      <c r="S193" s="140"/>
      <c r="T193" s="140"/>
      <c r="U193" s="63"/>
      <c r="V193" s="63"/>
      <c r="W193" s="82"/>
    </row>
    <row r="194" customFormat="false" ht="15" hidden="false" customHeight="false" outlineLevel="0" collapsed="false">
      <c r="A194" s="79"/>
      <c r="B194" s="63"/>
      <c r="C194" s="80" t="s">
        <v>214</v>
      </c>
      <c r="D194" s="64"/>
      <c r="E194" s="64"/>
      <c r="F194" s="64"/>
      <c r="G194" s="64"/>
      <c r="H194" s="64"/>
      <c r="I194" s="64"/>
      <c r="J194" s="64"/>
      <c r="K194" s="64"/>
      <c r="L194" s="64"/>
      <c r="M194" s="63"/>
      <c r="N194" s="97" t="s">
        <v>33</v>
      </c>
      <c r="O194" s="98" t="n">
        <f aca="false">MAX(0,O174-O179+N(D197)+D210+N(O190))</f>
        <v>121564.44263242</v>
      </c>
      <c r="P194" s="98"/>
      <c r="Q194" s="98"/>
      <c r="R194" s="99" t="s">
        <v>34</v>
      </c>
      <c r="S194" s="100" t="n">
        <v>0</v>
      </c>
      <c r="T194" s="100" t="n">
        <v>0</v>
      </c>
      <c r="U194" s="63"/>
      <c r="V194" s="63"/>
      <c r="W194" s="82"/>
    </row>
    <row r="195" customFormat="false" ht="12" hidden="false" customHeight="true" outlineLevel="0" collapsed="false">
      <c r="A195" s="79"/>
      <c r="B195" s="63"/>
      <c r="C195" s="64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82"/>
    </row>
    <row r="196" customFormat="false" ht="12" hidden="false" customHeight="false" outlineLevel="0" collapsed="false">
      <c r="A196" s="106"/>
      <c r="B196" s="63"/>
      <c r="C196" s="64"/>
      <c r="D196" s="64"/>
      <c r="E196" s="64"/>
      <c r="F196" s="64"/>
      <c r="G196" s="64"/>
      <c r="H196" s="64"/>
      <c r="I196" s="64"/>
      <c r="J196" s="64"/>
      <c r="K196" s="64"/>
      <c r="L196" s="75" t="n">
        <v>74</v>
      </c>
      <c r="M196" s="63"/>
      <c r="N196" s="64" t="s">
        <v>215</v>
      </c>
      <c r="O196" s="63"/>
      <c r="P196" s="63"/>
      <c r="Q196" s="63"/>
      <c r="R196" s="63"/>
      <c r="S196" s="63"/>
      <c r="T196" s="63"/>
      <c r="U196" s="63"/>
      <c r="V196" s="63"/>
      <c r="W196" s="82"/>
    </row>
    <row r="197" customFormat="false" ht="15" hidden="false" customHeight="false" outlineLevel="0" collapsed="false">
      <c r="A197" s="79"/>
      <c r="B197" s="63"/>
      <c r="C197" s="97" t="s">
        <v>33</v>
      </c>
      <c r="D197" s="98" t="n">
        <f aca="false">IF(OR('Business Details'!N32="",'Business Details'!N32&gt;=DATE(YEAR(Admin!$B$17),3,31)),0,('Business Details'!N32-MAX('Business Details'!N27,Admin!$B$4)+1)/('Business Details'!N32-'Business Details'!N27+1)*(O174-O179)+(Admin!$B$17-'Business Details'!N32)/(EDATE('Business Details'!N32,12)-'Business Details'!N32)*'Business Details'!D74-(O174-O179))</f>
        <v>0</v>
      </c>
      <c r="E197" s="98"/>
      <c r="F197" s="98"/>
      <c r="G197" s="99" t="s">
        <v>34</v>
      </c>
      <c r="H197" s="100" t="n">
        <v>0</v>
      </c>
      <c r="I197" s="100" t="n">
        <v>0</v>
      </c>
      <c r="J197" s="63"/>
      <c r="K197" s="63"/>
      <c r="L197" s="63"/>
      <c r="M197" s="63"/>
      <c r="N197" s="80" t="s">
        <v>216</v>
      </c>
      <c r="O197" s="63"/>
      <c r="P197" s="63"/>
      <c r="Q197" s="63"/>
      <c r="R197" s="63"/>
      <c r="S197" s="63"/>
      <c r="T197" s="63"/>
      <c r="U197" s="63"/>
      <c r="V197" s="63"/>
      <c r="W197" s="82"/>
    </row>
    <row r="198" customFormat="false" ht="9.75" hidden="false" customHeight="true" outlineLevel="0" collapsed="false">
      <c r="A198" s="79"/>
      <c r="B198" s="63"/>
      <c r="C198" s="116"/>
      <c r="D198" s="112"/>
      <c r="E198" s="112"/>
      <c r="F198" s="112"/>
      <c r="G198" s="99"/>
      <c r="H198" s="102"/>
      <c r="I198" s="102"/>
      <c r="J198" s="63"/>
      <c r="K198" s="63"/>
      <c r="L198" s="63"/>
      <c r="M198" s="63"/>
      <c r="N198" s="90"/>
      <c r="O198" s="63"/>
      <c r="P198" s="63"/>
      <c r="Q198" s="63"/>
      <c r="R198" s="63"/>
      <c r="S198" s="63"/>
      <c r="T198" s="63"/>
      <c r="U198" s="63"/>
      <c r="V198" s="63"/>
      <c r="W198" s="82"/>
    </row>
    <row r="199" customFormat="false" ht="15" hidden="false" customHeight="true" outlineLevel="0" collapsed="false">
      <c r="A199" s="75" t="n">
        <v>73.3</v>
      </c>
      <c r="B199" s="63"/>
      <c r="C199" s="64" t="s">
        <v>217</v>
      </c>
      <c r="D199" s="63"/>
      <c r="E199" s="63"/>
      <c r="F199" s="63"/>
      <c r="G199" s="63"/>
      <c r="H199" s="63"/>
      <c r="I199" s="63"/>
      <c r="J199" s="63"/>
      <c r="K199" s="63"/>
      <c r="L199" s="64"/>
      <c r="M199" s="63"/>
      <c r="N199" s="97" t="s">
        <v>33</v>
      </c>
      <c r="O199" s="98" t="n">
        <f aca="false">IF(D179&gt;0,0,IF((O194+O204)&gt;'Business Details'!D50,'Business Details'!D50,(O194+O204)))</f>
        <v>0</v>
      </c>
      <c r="P199" s="98"/>
      <c r="Q199" s="98"/>
      <c r="R199" s="99" t="s">
        <v>34</v>
      </c>
      <c r="S199" s="100" t="n">
        <v>0</v>
      </c>
      <c r="T199" s="100" t="n">
        <v>0</v>
      </c>
      <c r="U199" s="63"/>
      <c r="V199" s="63"/>
      <c r="W199" s="82"/>
    </row>
    <row r="200" customFormat="false" ht="12" hidden="false" customHeight="true" outlineLevel="0" collapsed="false">
      <c r="A200" s="106"/>
      <c r="B200" s="63"/>
      <c r="C200" s="64" t="s">
        <v>218</v>
      </c>
      <c r="D200" s="64"/>
      <c r="E200" s="64"/>
      <c r="F200" s="64"/>
      <c r="G200" s="64"/>
      <c r="H200" s="64"/>
      <c r="I200" s="64"/>
      <c r="J200" s="64"/>
      <c r="K200" s="64"/>
      <c r="L200" s="63"/>
      <c r="M200" s="63"/>
      <c r="N200" s="116"/>
      <c r="O200" s="112"/>
      <c r="P200" s="112"/>
      <c r="Q200" s="112"/>
      <c r="R200" s="99"/>
      <c r="S200" s="102"/>
      <c r="T200" s="102"/>
      <c r="U200" s="63"/>
      <c r="V200" s="63"/>
      <c r="W200" s="82"/>
    </row>
    <row r="201" customFormat="false" ht="15" hidden="false" customHeight="false" outlineLevel="0" collapsed="false">
      <c r="A201" s="79"/>
      <c r="B201" s="63"/>
      <c r="C201" s="97" t="s">
        <v>33</v>
      </c>
      <c r="D201" s="98" t="n">
        <f aca="false">'Business Details'!O64+'Business Details'!O69</f>
        <v>4000</v>
      </c>
      <c r="E201" s="98"/>
      <c r="F201" s="98"/>
      <c r="G201" s="99" t="s">
        <v>34</v>
      </c>
      <c r="H201" s="100" t="n">
        <v>0</v>
      </c>
      <c r="I201" s="100" t="n">
        <v>0</v>
      </c>
      <c r="J201" s="63"/>
      <c r="K201" s="63"/>
      <c r="L201" s="75" t="n">
        <v>75</v>
      </c>
      <c r="M201" s="63"/>
      <c r="N201" s="64" t="s">
        <v>219</v>
      </c>
      <c r="O201" s="63"/>
      <c r="P201" s="63"/>
      <c r="Q201" s="63"/>
      <c r="R201" s="63"/>
      <c r="S201" s="63"/>
      <c r="T201" s="63"/>
      <c r="U201" s="63"/>
      <c r="V201" s="63"/>
      <c r="W201" s="82"/>
    </row>
    <row r="202" customFormat="false" ht="12" hidden="false" customHeight="true" outlineLevel="0" collapsed="false">
      <c r="A202" s="7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4" t="s">
        <v>220</v>
      </c>
      <c r="O202" s="63"/>
      <c r="P202" s="63"/>
      <c r="Q202" s="63"/>
      <c r="R202" s="63"/>
      <c r="S202" s="63"/>
      <c r="T202" s="63"/>
      <c r="U202" s="63"/>
      <c r="V202" s="63"/>
      <c r="W202" s="82"/>
    </row>
    <row r="203" customFormat="false" ht="12" hidden="false" customHeight="false" outlineLevel="0" collapsed="false">
      <c r="A203" s="75"/>
      <c r="B203" s="63"/>
      <c r="C203" s="64"/>
      <c r="D203" s="64"/>
      <c r="E203" s="64"/>
      <c r="F203" s="64"/>
      <c r="G203" s="64"/>
      <c r="H203" s="64"/>
      <c r="I203" s="64"/>
      <c r="J203" s="64"/>
      <c r="K203" s="64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82"/>
    </row>
    <row r="204" customFormat="false" ht="15" hidden="false" customHeight="true" outlineLevel="0" collapsed="false">
      <c r="A204" s="79"/>
      <c r="B204" s="63"/>
      <c r="C204" s="64" t="s">
        <v>221</v>
      </c>
      <c r="D204" s="63"/>
      <c r="E204" s="63"/>
      <c r="F204" s="63"/>
      <c r="G204" s="63"/>
      <c r="H204" s="63"/>
      <c r="I204" s="63"/>
      <c r="J204" s="63"/>
      <c r="K204" s="63"/>
      <c r="L204" s="64"/>
      <c r="M204" s="63"/>
      <c r="N204" s="97" t="s">
        <v>33</v>
      </c>
      <c r="O204" s="98" t="n">
        <f aca="false">'Profit &amp; Loss Account'!B11</f>
        <v>2083.33333333333</v>
      </c>
      <c r="P204" s="98"/>
      <c r="Q204" s="98"/>
      <c r="R204" s="99" t="s">
        <v>34</v>
      </c>
      <c r="S204" s="100" t="n">
        <v>0</v>
      </c>
      <c r="T204" s="100" t="n">
        <v>0</v>
      </c>
      <c r="U204" s="63"/>
      <c r="V204" s="63"/>
      <c r="W204" s="82"/>
    </row>
    <row r="205" customFormat="false" ht="9.75" hidden="false" customHeight="true" outlineLevel="0" collapsed="false">
      <c r="A205" s="106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3"/>
      <c r="M205" s="63"/>
      <c r="N205" s="64"/>
      <c r="O205" s="63"/>
      <c r="P205" s="63"/>
      <c r="Q205" s="63"/>
      <c r="R205" s="63"/>
      <c r="S205" s="63"/>
      <c r="T205" s="63"/>
      <c r="U205" s="63"/>
      <c r="V205" s="63"/>
      <c r="W205" s="82"/>
    </row>
    <row r="206" customFormat="false" ht="15" hidden="false" customHeight="false" outlineLevel="0" collapsed="false">
      <c r="A206" s="79"/>
      <c r="B206" s="63"/>
      <c r="C206" s="64"/>
      <c r="D206" s="134"/>
      <c r="E206" s="134"/>
      <c r="F206" s="134"/>
      <c r="G206" s="99"/>
      <c r="H206" s="64"/>
      <c r="I206" s="64"/>
      <c r="J206" s="63"/>
      <c r="K206" s="63"/>
      <c r="L206" s="75" t="n">
        <v>76</v>
      </c>
      <c r="M206" s="63"/>
      <c r="N206" s="64" t="s">
        <v>114</v>
      </c>
      <c r="O206" s="63"/>
      <c r="P206" s="63"/>
      <c r="Q206" s="63"/>
      <c r="R206" s="63"/>
      <c r="S206" s="63"/>
      <c r="T206" s="63"/>
      <c r="U206" s="63"/>
      <c r="V206" s="63"/>
      <c r="W206" s="82"/>
    </row>
    <row r="207" customFormat="false" ht="12" hidden="false" customHeight="true" outlineLevel="0" collapsed="false">
      <c r="A207" s="7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4" t="s">
        <v>213</v>
      </c>
      <c r="O207" s="63"/>
      <c r="P207" s="63"/>
      <c r="Q207" s="63"/>
      <c r="R207" s="63"/>
      <c r="S207" s="63"/>
      <c r="T207" s="63"/>
      <c r="U207" s="63"/>
      <c r="V207" s="63"/>
      <c r="W207" s="82"/>
    </row>
    <row r="208" customFormat="false" ht="12" hidden="false" customHeight="false" outlineLevel="0" collapsed="false">
      <c r="A208" s="75" t="n">
        <v>71</v>
      </c>
      <c r="B208" s="63"/>
      <c r="C208" s="64" t="s">
        <v>222</v>
      </c>
      <c r="D208" s="64"/>
      <c r="E208" s="64"/>
      <c r="F208" s="64"/>
      <c r="G208" s="64"/>
      <c r="H208" s="64"/>
      <c r="I208" s="64"/>
      <c r="J208" s="64"/>
      <c r="K208" s="64"/>
      <c r="L208" s="63"/>
      <c r="M208" s="63"/>
      <c r="N208" s="90"/>
      <c r="O208" s="63"/>
      <c r="P208" s="63"/>
      <c r="Q208" s="63"/>
      <c r="R208" s="63"/>
      <c r="S208" s="63"/>
      <c r="T208" s="63"/>
      <c r="U208" s="63"/>
      <c r="V208" s="63"/>
      <c r="W208" s="82"/>
    </row>
    <row r="209" customFormat="false" ht="12" hidden="false" customHeight="false" outlineLevel="0" collapsed="false">
      <c r="A209" s="79"/>
      <c r="B209" s="63"/>
      <c r="C209" s="92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82"/>
    </row>
    <row r="210" customFormat="false" ht="15" hidden="false" customHeight="false" outlineLevel="0" collapsed="false">
      <c r="A210" s="79"/>
      <c r="B210" s="63"/>
      <c r="C210" s="97" t="s">
        <v>33</v>
      </c>
      <c r="D210" s="98" t="n">
        <v>90</v>
      </c>
      <c r="E210" s="98"/>
      <c r="F210" s="98"/>
      <c r="G210" s="99" t="s">
        <v>34</v>
      </c>
      <c r="H210" s="100" t="n">
        <v>0</v>
      </c>
      <c r="I210" s="100" t="n">
        <v>0</v>
      </c>
      <c r="J210" s="63"/>
      <c r="K210" s="63"/>
      <c r="L210" s="64"/>
      <c r="M210" s="63"/>
      <c r="N210" s="97" t="s">
        <v>33</v>
      </c>
      <c r="O210" s="98" t="n">
        <f aca="false">O194-O199+O204</f>
        <v>123647.775965753</v>
      </c>
      <c r="P210" s="98"/>
      <c r="Q210" s="98"/>
      <c r="R210" s="99" t="s">
        <v>34</v>
      </c>
      <c r="S210" s="100" t="n">
        <v>0</v>
      </c>
      <c r="T210" s="100" t="n">
        <v>0</v>
      </c>
      <c r="U210" s="63"/>
      <c r="V210" s="63"/>
      <c r="W210" s="82"/>
    </row>
    <row r="211" customFormat="false" ht="6" hidden="false" customHeight="true" outlineLevel="0" collapsed="false">
      <c r="A211" s="93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113"/>
      <c r="O211" s="94"/>
      <c r="P211" s="94"/>
      <c r="Q211" s="94"/>
      <c r="R211" s="94"/>
      <c r="S211" s="94"/>
      <c r="T211" s="94"/>
      <c r="U211" s="94"/>
      <c r="V211" s="94"/>
      <c r="W211" s="95"/>
    </row>
    <row r="212" customFormat="false" ht="24.75" hidden="false" customHeight="true" outlineLevel="0" collapsed="false">
      <c r="A212" s="111" t="s">
        <v>223</v>
      </c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</row>
    <row r="213" customFormat="false" ht="15.75" hidden="false" customHeight="true" outlineLevel="0" collapsed="false">
      <c r="A213" s="104" t="s">
        <v>224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</row>
    <row r="214" customFormat="false" ht="15.75" hidden="false" customHeight="true" outlineLevel="0" collapsed="false">
      <c r="A214" s="104" t="s">
        <v>225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</row>
    <row r="215" customFormat="false" ht="7.5" hidden="false" customHeight="true" outlineLevel="0" collapsed="false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141"/>
      <c r="M215" s="73"/>
      <c r="N215" s="142"/>
      <c r="O215" s="143"/>
      <c r="P215" s="143"/>
      <c r="Q215" s="143"/>
      <c r="R215" s="144"/>
      <c r="S215" s="145"/>
      <c r="T215" s="145"/>
      <c r="U215" s="73"/>
      <c r="V215" s="73"/>
      <c r="W215" s="74"/>
    </row>
    <row r="216" customFormat="false" ht="12" hidden="false" customHeight="false" outlineLevel="0" collapsed="false">
      <c r="A216" s="75" t="n">
        <v>77</v>
      </c>
      <c r="B216" s="63"/>
      <c r="C216" s="64" t="s">
        <v>226</v>
      </c>
      <c r="D216" s="64"/>
      <c r="E216" s="64"/>
      <c r="F216" s="146" t="str">
        <f aca="false">Admin!G2</f>
        <v>2026-27</v>
      </c>
      <c r="G216" s="64" t="s">
        <v>213</v>
      </c>
      <c r="H216" s="64"/>
      <c r="I216" s="64"/>
      <c r="J216" s="63"/>
      <c r="K216" s="64"/>
      <c r="L216" s="75" t="n">
        <v>79</v>
      </c>
      <c r="M216" s="63"/>
      <c r="N216" s="64" t="s">
        <v>227</v>
      </c>
      <c r="O216" s="63"/>
      <c r="P216" s="63"/>
      <c r="Q216" s="63"/>
      <c r="R216" s="63"/>
      <c r="S216" s="63"/>
      <c r="T216" s="63"/>
      <c r="U216" s="63"/>
      <c r="V216" s="63"/>
      <c r="W216" s="82"/>
    </row>
    <row r="217" customFormat="false" ht="12" hidden="false" customHeight="true" outlineLevel="0" collapsed="false">
      <c r="A217" s="106"/>
      <c r="B217" s="63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3"/>
      <c r="N217" s="64" t="s">
        <v>125</v>
      </c>
      <c r="O217" s="63"/>
      <c r="P217" s="63"/>
      <c r="Q217" s="63"/>
      <c r="R217" s="63"/>
      <c r="S217" s="63"/>
      <c r="T217" s="63"/>
      <c r="U217" s="63"/>
      <c r="V217" s="63"/>
      <c r="W217" s="82"/>
    </row>
    <row r="218" customFormat="false" ht="6" hidden="false" customHeight="true" outlineLevel="0" collapsed="false">
      <c r="A218" s="106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82"/>
    </row>
    <row r="219" customFormat="false" ht="15" hidden="false" customHeight="false" outlineLevel="0" collapsed="false">
      <c r="A219" s="79"/>
      <c r="B219" s="63"/>
      <c r="C219" s="97" t="s">
        <v>33</v>
      </c>
      <c r="D219" s="98" t="n">
        <f aca="false">MAX(0,O179-O174-N(D197)-D210-N(O190))</f>
        <v>0</v>
      </c>
      <c r="E219" s="98"/>
      <c r="F219" s="98"/>
      <c r="G219" s="99" t="s">
        <v>34</v>
      </c>
      <c r="H219" s="100" t="n">
        <v>0</v>
      </c>
      <c r="I219" s="100" t="n">
        <v>0</v>
      </c>
      <c r="J219" s="63"/>
      <c r="K219" s="63"/>
      <c r="L219" s="64"/>
      <c r="M219" s="63"/>
      <c r="N219" s="97" t="s">
        <v>33</v>
      </c>
      <c r="O219" s="98"/>
      <c r="P219" s="98"/>
      <c r="Q219" s="98"/>
      <c r="R219" s="99" t="s">
        <v>34</v>
      </c>
      <c r="S219" s="100" t="n">
        <v>0</v>
      </c>
      <c r="T219" s="100" t="n">
        <v>0</v>
      </c>
      <c r="U219" s="63"/>
      <c r="V219" s="63"/>
      <c r="W219" s="82"/>
    </row>
    <row r="220" customFormat="false" ht="12" hidden="false" customHeight="true" outlineLevel="0" collapsed="false">
      <c r="A220" s="7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82"/>
    </row>
    <row r="221" customFormat="false" ht="12" hidden="false" customHeight="false" outlineLevel="0" collapsed="false">
      <c r="A221" s="75" t="n">
        <v>78</v>
      </c>
      <c r="B221" s="63"/>
      <c r="C221" s="64" t="s">
        <v>228</v>
      </c>
      <c r="D221" s="64"/>
      <c r="E221" s="64"/>
      <c r="F221" s="64"/>
      <c r="G221" s="64"/>
      <c r="H221" s="64"/>
      <c r="I221" s="64"/>
      <c r="J221" s="64"/>
      <c r="K221" s="64"/>
      <c r="L221" s="75" t="n">
        <v>80</v>
      </c>
      <c r="M221" s="63"/>
      <c r="N221" s="64" t="s">
        <v>127</v>
      </c>
      <c r="O221" s="63"/>
      <c r="P221" s="63"/>
      <c r="Q221" s="63"/>
      <c r="R221" s="63"/>
      <c r="S221" s="63"/>
      <c r="T221" s="63"/>
      <c r="U221" s="63"/>
      <c r="V221" s="63"/>
      <c r="W221" s="82"/>
    </row>
    <row r="222" customFormat="false" ht="12" hidden="false" customHeight="false" outlineLevel="0" collapsed="false">
      <c r="A222" s="79"/>
      <c r="B222" s="63"/>
      <c r="C222" s="64" t="s">
        <v>121</v>
      </c>
      <c r="D222" s="114" t="str">
        <f aca="false">Admin!G2</f>
        <v>2026-27</v>
      </c>
      <c r="E222" s="114"/>
      <c r="F222" s="114"/>
      <c r="G222" s="63"/>
      <c r="H222" s="63"/>
      <c r="I222" s="63"/>
      <c r="J222" s="63"/>
      <c r="K222" s="63"/>
      <c r="L222" s="63"/>
      <c r="M222" s="63"/>
      <c r="N222" s="90" t="s">
        <v>129</v>
      </c>
      <c r="O222" s="63"/>
      <c r="P222" s="63"/>
      <c r="Q222" s="63"/>
      <c r="R222" s="63"/>
      <c r="S222" s="63"/>
      <c r="T222" s="63"/>
      <c r="U222" s="63"/>
      <c r="V222" s="63"/>
      <c r="W222" s="82"/>
    </row>
    <row r="223" customFormat="false" ht="6" hidden="false" customHeight="true" outlineLevel="0" collapsed="false">
      <c r="A223" s="106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82"/>
    </row>
    <row r="224" customFormat="false" ht="15" hidden="false" customHeight="false" outlineLevel="0" collapsed="false">
      <c r="A224" s="79"/>
      <c r="B224" s="63"/>
      <c r="C224" s="97" t="s">
        <v>33</v>
      </c>
      <c r="D224" s="98"/>
      <c r="E224" s="98"/>
      <c r="F224" s="98"/>
      <c r="G224" s="99" t="s">
        <v>34</v>
      </c>
      <c r="H224" s="100" t="n">
        <v>0</v>
      </c>
      <c r="I224" s="100" t="n">
        <v>0</v>
      </c>
      <c r="J224" s="63"/>
      <c r="K224" s="63"/>
      <c r="L224" s="63"/>
      <c r="M224" s="63"/>
      <c r="N224" s="97" t="s">
        <v>33</v>
      </c>
      <c r="O224" s="98" t="n">
        <f aca="false">D219</f>
        <v>0</v>
      </c>
      <c r="P224" s="98"/>
      <c r="Q224" s="98"/>
      <c r="R224" s="99" t="s">
        <v>34</v>
      </c>
      <c r="S224" s="100" t="n">
        <v>0</v>
      </c>
      <c r="T224" s="100" t="n">
        <v>0</v>
      </c>
      <c r="U224" s="63"/>
      <c r="V224" s="63"/>
      <c r="W224" s="82"/>
    </row>
    <row r="225" customFormat="false" ht="7.5" hidden="false" customHeight="true" outlineLevel="0" collapsed="false">
      <c r="A225" s="93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5"/>
    </row>
    <row r="226" customFormat="false" ht="24.75" hidden="false" customHeight="true" outlineLevel="0" collapsed="false">
      <c r="A226" s="147" t="s">
        <v>229</v>
      </c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</row>
    <row r="227" customFormat="false" ht="7.5" hidden="false" customHeight="true" outlineLevel="0" collapsed="false">
      <c r="A227" s="72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141"/>
      <c r="M227" s="73"/>
      <c r="N227" s="142"/>
      <c r="O227" s="143"/>
      <c r="P227" s="143"/>
      <c r="Q227" s="143"/>
      <c r="R227" s="144"/>
      <c r="S227" s="145"/>
      <c r="T227" s="145"/>
      <c r="U227" s="73"/>
      <c r="V227" s="73"/>
      <c r="W227" s="74"/>
    </row>
    <row r="228" customFormat="false" ht="12" hidden="false" customHeight="false" outlineLevel="0" collapsed="false">
      <c r="A228" s="75" t="n">
        <v>81</v>
      </c>
      <c r="B228" s="63"/>
      <c r="C228" s="64" t="s">
        <v>230</v>
      </c>
      <c r="D228" s="64"/>
      <c r="E228" s="64"/>
      <c r="F228" s="64"/>
      <c r="G228" s="64"/>
      <c r="H228" s="64"/>
      <c r="I228" s="64"/>
      <c r="J228" s="64"/>
      <c r="K228" s="64"/>
      <c r="L228" s="75" t="n">
        <v>82</v>
      </c>
      <c r="M228" s="63"/>
      <c r="N228" s="64" t="s">
        <v>231</v>
      </c>
      <c r="O228" s="63"/>
      <c r="P228" s="63"/>
      <c r="Q228" s="63"/>
      <c r="R228" s="63"/>
      <c r="S228" s="63"/>
      <c r="T228" s="63"/>
      <c r="U228" s="63"/>
      <c r="V228" s="63"/>
      <c r="W228" s="82"/>
    </row>
    <row r="229" customFormat="false" ht="12" hidden="false" customHeight="true" outlineLevel="0" collapsed="false">
      <c r="A229" s="106"/>
      <c r="B229" s="63"/>
      <c r="C229" s="64" t="s">
        <v>232</v>
      </c>
      <c r="D229" s="64"/>
      <c r="E229" s="64"/>
      <c r="F229" s="64"/>
      <c r="G229" s="64"/>
      <c r="H229" s="64"/>
      <c r="I229" s="64"/>
      <c r="J229" s="64"/>
      <c r="K229" s="64"/>
      <c r="L229" s="64"/>
      <c r="M229" s="63"/>
      <c r="N229" s="64"/>
      <c r="O229" s="63"/>
      <c r="P229" s="63"/>
      <c r="Q229" s="63"/>
      <c r="R229" s="63"/>
      <c r="S229" s="63"/>
      <c r="T229" s="63"/>
      <c r="U229" s="63"/>
      <c r="V229" s="63"/>
      <c r="W229" s="82"/>
    </row>
    <row r="230" customFormat="false" ht="6" hidden="false" customHeight="true" outlineLevel="0" collapsed="false">
      <c r="A230" s="106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82"/>
    </row>
    <row r="231" customFormat="false" ht="15" hidden="false" customHeight="false" outlineLevel="0" collapsed="false">
      <c r="A231" s="79"/>
      <c r="B231" s="63"/>
      <c r="C231" s="97" t="s">
        <v>33</v>
      </c>
      <c r="D231" s="98" t="n">
        <f aca="false">[2]Mar!$X$1</f>
        <v>0</v>
      </c>
      <c r="E231" s="98"/>
      <c r="F231" s="98"/>
      <c r="G231" s="99" t="s">
        <v>34</v>
      </c>
      <c r="H231" s="100" t="n">
        <v>0</v>
      </c>
      <c r="I231" s="100" t="n">
        <v>0</v>
      </c>
      <c r="J231" s="63"/>
      <c r="K231" s="63"/>
      <c r="L231" s="64"/>
      <c r="M231" s="63"/>
      <c r="N231" s="97" t="s">
        <v>33</v>
      </c>
      <c r="O231" s="98"/>
      <c r="P231" s="98"/>
      <c r="Q231" s="98"/>
      <c r="R231" s="99" t="s">
        <v>34</v>
      </c>
      <c r="S231" s="100" t="n">
        <v>0</v>
      </c>
      <c r="T231" s="100" t="n">
        <v>0</v>
      </c>
      <c r="U231" s="63"/>
      <c r="V231" s="63"/>
      <c r="W231" s="82"/>
    </row>
    <row r="232" customFormat="false" ht="7.5" hidden="false" customHeight="true" outlineLevel="0" collapsed="false">
      <c r="A232" s="93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5"/>
    </row>
    <row r="233" customFormat="false" ht="24.75" hidden="false" customHeight="true" outlineLevel="0" collapsed="false">
      <c r="A233" s="103" t="s">
        <v>233</v>
      </c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</row>
    <row r="234" customFormat="false" ht="15.75" hidden="false" customHeight="true" outlineLevel="0" collapsed="false">
      <c r="A234" s="104" t="s">
        <v>234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</row>
    <row r="235" customFormat="false" ht="15.75" hidden="false" customHeight="true" outlineLevel="0" collapsed="false">
      <c r="A235" s="104" t="s">
        <v>235</v>
      </c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</row>
    <row r="236" customFormat="false" ht="12" hidden="false" customHeight="false" outlineLevel="0" collapsed="false">
      <c r="A236" s="72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4"/>
    </row>
    <row r="237" customFormat="false" ht="13.5" hidden="false" customHeight="false" outlineLevel="0" collapsed="false">
      <c r="A237" s="79"/>
      <c r="B237" s="63"/>
      <c r="C237" s="129" t="s">
        <v>236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129" t="s">
        <v>237</v>
      </c>
      <c r="O237" s="63"/>
      <c r="P237" s="63"/>
      <c r="Q237" s="63"/>
      <c r="R237" s="63"/>
      <c r="S237" s="63"/>
      <c r="T237" s="63"/>
      <c r="U237" s="63"/>
      <c r="V237" s="63"/>
      <c r="W237" s="82"/>
    </row>
    <row r="238" customFormat="false" ht="9.75" hidden="false" customHeight="true" outlineLevel="0" collapsed="false">
      <c r="A238" s="79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82"/>
    </row>
    <row r="239" customFormat="false" ht="12" hidden="false" customHeight="false" outlineLevel="0" collapsed="false">
      <c r="A239" s="75" t="n">
        <v>83</v>
      </c>
      <c r="B239" s="63"/>
      <c r="C239" s="64" t="s">
        <v>238</v>
      </c>
      <c r="D239" s="64"/>
      <c r="E239" s="64"/>
      <c r="F239" s="64"/>
      <c r="G239" s="64"/>
      <c r="H239" s="64"/>
      <c r="I239" s="64"/>
      <c r="J239" s="64"/>
      <c r="K239" s="64"/>
      <c r="L239" s="75" t="n">
        <v>91</v>
      </c>
      <c r="M239" s="63"/>
      <c r="N239" s="64" t="s">
        <v>239</v>
      </c>
      <c r="O239" s="63"/>
      <c r="P239" s="63"/>
      <c r="Q239" s="63"/>
      <c r="R239" s="63"/>
      <c r="S239" s="63"/>
      <c r="T239" s="63"/>
      <c r="U239" s="63"/>
      <c r="V239" s="63"/>
      <c r="W239" s="82"/>
    </row>
    <row r="240" customFormat="false" ht="6" hidden="false" customHeight="true" outlineLevel="0" collapsed="false">
      <c r="A240" s="106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82"/>
    </row>
    <row r="241" customFormat="false" ht="15" hidden="false" customHeight="false" outlineLevel="0" collapsed="false">
      <c r="A241" s="79"/>
      <c r="B241" s="63"/>
      <c r="C241" s="97" t="s">
        <v>33</v>
      </c>
      <c r="D241" s="98"/>
      <c r="E241" s="98"/>
      <c r="F241" s="98"/>
      <c r="G241" s="99" t="s">
        <v>34</v>
      </c>
      <c r="H241" s="100" t="n">
        <v>0</v>
      </c>
      <c r="I241" s="100" t="n">
        <v>0</v>
      </c>
      <c r="J241" s="63"/>
      <c r="K241" s="63"/>
      <c r="L241" s="63"/>
      <c r="M241" s="63"/>
      <c r="N241" s="97" t="s">
        <v>33</v>
      </c>
      <c r="O241" s="98"/>
      <c r="P241" s="98"/>
      <c r="Q241" s="98"/>
      <c r="R241" s="99" t="s">
        <v>34</v>
      </c>
      <c r="S241" s="100" t="n">
        <v>0</v>
      </c>
      <c r="T241" s="100" t="n">
        <v>0</v>
      </c>
      <c r="U241" s="63"/>
      <c r="V241" s="63"/>
      <c r="W241" s="82"/>
    </row>
    <row r="242" customFormat="false" ht="12" hidden="false" customHeight="false" outlineLevel="0" collapsed="false">
      <c r="A242" s="79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82"/>
    </row>
    <row r="243" customFormat="false" ht="12" hidden="false" customHeight="false" outlineLevel="0" collapsed="false">
      <c r="A243" s="75" t="n">
        <v>84</v>
      </c>
      <c r="B243" s="63"/>
      <c r="C243" s="64" t="s">
        <v>240</v>
      </c>
      <c r="D243" s="64"/>
      <c r="E243" s="64"/>
      <c r="F243" s="64"/>
      <c r="G243" s="64"/>
      <c r="H243" s="64"/>
      <c r="I243" s="64"/>
      <c r="J243" s="64"/>
      <c r="K243" s="64"/>
      <c r="L243" s="75" t="n">
        <v>92</v>
      </c>
      <c r="M243" s="63"/>
      <c r="N243" s="64" t="s">
        <v>241</v>
      </c>
      <c r="O243" s="63"/>
      <c r="P243" s="63"/>
      <c r="Q243" s="63"/>
      <c r="R243" s="63"/>
      <c r="S243" s="63"/>
      <c r="T243" s="63"/>
      <c r="U243" s="63"/>
      <c r="V243" s="63"/>
      <c r="W243" s="82"/>
    </row>
    <row r="244" customFormat="false" ht="6" hidden="false" customHeight="true" outlineLevel="0" collapsed="false">
      <c r="A244" s="106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82"/>
    </row>
    <row r="245" customFormat="false" ht="15" hidden="false" customHeight="false" outlineLevel="0" collapsed="false">
      <c r="A245" s="79"/>
      <c r="B245" s="63"/>
      <c r="C245" s="97" t="s">
        <v>33</v>
      </c>
      <c r="D245" s="98"/>
      <c r="E245" s="98"/>
      <c r="F245" s="98"/>
      <c r="G245" s="99" t="s">
        <v>34</v>
      </c>
      <c r="H245" s="100" t="n">
        <v>0</v>
      </c>
      <c r="I245" s="100" t="n">
        <v>0</v>
      </c>
      <c r="J245" s="63"/>
      <c r="K245" s="63"/>
      <c r="L245" s="63"/>
      <c r="M245" s="63"/>
      <c r="N245" s="97" t="s">
        <v>33</v>
      </c>
      <c r="O245" s="98"/>
      <c r="P245" s="98"/>
      <c r="Q245" s="98"/>
      <c r="R245" s="99" t="s">
        <v>34</v>
      </c>
      <c r="S245" s="100" t="n">
        <v>0</v>
      </c>
      <c r="T245" s="100" t="n">
        <v>0</v>
      </c>
      <c r="U245" s="63"/>
      <c r="V245" s="63"/>
      <c r="W245" s="82"/>
    </row>
    <row r="246" customFormat="false" ht="12" hidden="false" customHeight="false" outlineLevel="0" collapsed="false">
      <c r="A246" s="79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82"/>
    </row>
    <row r="247" customFormat="false" ht="12" hidden="false" customHeight="false" outlineLevel="0" collapsed="false">
      <c r="A247" s="75" t="n">
        <v>85</v>
      </c>
      <c r="B247" s="63"/>
      <c r="C247" s="64" t="s">
        <v>242</v>
      </c>
      <c r="D247" s="64"/>
      <c r="E247" s="64"/>
      <c r="F247" s="64"/>
      <c r="G247" s="64"/>
      <c r="H247" s="64"/>
      <c r="I247" s="64"/>
      <c r="J247" s="64"/>
      <c r="K247" s="64"/>
      <c r="L247" s="75" t="n">
        <v>93</v>
      </c>
      <c r="M247" s="63"/>
      <c r="N247" s="64" t="s">
        <v>243</v>
      </c>
      <c r="O247" s="63"/>
      <c r="P247" s="63"/>
      <c r="Q247" s="63"/>
      <c r="R247" s="63"/>
      <c r="S247" s="63"/>
      <c r="T247" s="63"/>
      <c r="U247" s="63"/>
      <c r="V247" s="63"/>
      <c r="W247" s="82"/>
    </row>
    <row r="248" customFormat="false" ht="6" hidden="false" customHeight="true" outlineLevel="0" collapsed="false">
      <c r="A248" s="106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82"/>
    </row>
    <row r="249" customFormat="false" ht="15" hidden="false" customHeight="false" outlineLevel="0" collapsed="false">
      <c r="A249" s="79"/>
      <c r="B249" s="63"/>
      <c r="C249" s="97" t="s">
        <v>33</v>
      </c>
      <c r="D249" s="98"/>
      <c r="E249" s="98"/>
      <c r="F249" s="98"/>
      <c r="G249" s="99" t="s">
        <v>34</v>
      </c>
      <c r="H249" s="100" t="n">
        <v>0</v>
      </c>
      <c r="I249" s="100" t="n">
        <v>0</v>
      </c>
      <c r="J249" s="63"/>
      <c r="K249" s="63"/>
      <c r="L249" s="63"/>
      <c r="M249" s="63"/>
      <c r="N249" s="97" t="s">
        <v>33</v>
      </c>
      <c r="O249" s="98"/>
      <c r="P249" s="98"/>
      <c r="Q249" s="98"/>
      <c r="R249" s="99" t="s">
        <v>34</v>
      </c>
      <c r="S249" s="100" t="n">
        <v>0</v>
      </c>
      <c r="T249" s="100" t="n">
        <v>0</v>
      </c>
      <c r="U249" s="63"/>
      <c r="V249" s="63"/>
      <c r="W249" s="82"/>
    </row>
    <row r="250" customFormat="false" ht="12" hidden="false" customHeight="true" outlineLevel="0" collapsed="false">
      <c r="A250" s="79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116"/>
      <c r="O250" s="112"/>
      <c r="P250" s="112"/>
      <c r="Q250" s="112"/>
      <c r="R250" s="99"/>
      <c r="S250" s="102"/>
      <c r="T250" s="102"/>
      <c r="U250" s="63"/>
      <c r="V250" s="63"/>
      <c r="W250" s="82"/>
    </row>
    <row r="251" customFormat="false" ht="15" hidden="false" customHeight="false" outlineLevel="0" collapsed="false">
      <c r="A251" s="75" t="n">
        <v>86</v>
      </c>
      <c r="B251" s="63"/>
      <c r="C251" s="64" t="s">
        <v>244</v>
      </c>
      <c r="D251" s="64"/>
      <c r="E251" s="64"/>
      <c r="F251" s="64"/>
      <c r="G251" s="64"/>
      <c r="H251" s="64"/>
      <c r="I251" s="64"/>
      <c r="J251" s="64"/>
      <c r="K251" s="64"/>
      <c r="L251" s="63"/>
      <c r="M251" s="63"/>
      <c r="N251" s="129" t="s">
        <v>245</v>
      </c>
      <c r="O251" s="112"/>
      <c r="P251" s="112"/>
      <c r="Q251" s="112"/>
      <c r="R251" s="99"/>
      <c r="S251" s="102"/>
      <c r="T251" s="102"/>
      <c r="U251" s="63"/>
      <c r="V251" s="63"/>
      <c r="W251" s="82"/>
    </row>
    <row r="252" customFormat="false" ht="6" hidden="false" customHeight="true" outlineLevel="0" collapsed="false">
      <c r="A252" s="106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82"/>
    </row>
    <row r="253" customFormat="false" ht="15" hidden="false" customHeight="false" outlineLevel="0" collapsed="false">
      <c r="A253" s="79"/>
      <c r="B253" s="63"/>
      <c r="C253" s="97" t="s">
        <v>33</v>
      </c>
      <c r="D253" s="98"/>
      <c r="E253" s="98"/>
      <c r="F253" s="98"/>
      <c r="G253" s="99" t="s">
        <v>34</v>
      </c>
      <c r="H253" s="100" t="n">
        <v>0</v>
      </c>
      <c r="I253" s="100" t="n">
        <v>0</v>
      </c>
      <c r="J253" s="63"/>
      <c r="K253" s="63"/>
      <c r="L253" s="75" t="n">
        <v>94</v>
      </c>
      <c r="M253" s="63"/>
      <c r="N253" s="64" t="s">
        <v>246</v>
      </c>
      <c r="O253" s="63"/>
      <c r="P253" s="63"/>
      <c r="Q253" s="63"/>
      <c r="R253" s="63"/>
      <c r="S253" s="63"/>
      <c r="T253" s="63"/>
      <c r="U253" s="63"/>
      <c r="V253" s="63"/>
      <c r="W253" s="82"/>
    </row>
    <row r="254" customFormat="false" ht="12" hidden="false" customHeight="false" outlineLevel="0" collapsed="false">
      <c r="A254" s="79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4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82"/>
    </row>
    <row r="255" customFormat="false" ht="15" hidden="false" customHeight="false" outlineLevel="0" collapsed="false">
      <c r="A255" s="75" t="n">
        <v>87</v>
      </c>
      <c r="B255" s="63"/>
      <c r="C255" s="64" t="s">
        <v>247</v>
      </c>
      <c r="D255" s="64"/>
      <c r="E255" s="64"/>
      <c r="F255" s="64"/>
      <c r="G255" s="64"/>
      <c r="H255" s="64"/>
      <c r="I255" s="64"/>
      <c r="J255" s="64"/>
      <c r="K255" s="64"/>
      <c r="L255" s="63"/>
      <c r="M255" s="63"/>
      <c r="N255" s="148" t="s">
        <v>33</v>
      </c>
      <c r="O255" s="149" t="s">
        <v>209</v>
      </c>
      <c r="P255" s="98"/>
      <c r="Q255" s="98"/>
      <c r="R255" s="98"/>
      <c r="S255" s="99" t="s">
        <v>34</v>
      </c>
      <c r="T255" s="100" t="n">
        <v>0</v>
      </c>
      <c r="U255" s="100" t="n">
        <v>0</v>
      </c>
      <c r="V255" s="63"/>
      <c r="W255" s="82"/>
    </row>
    <row r="256" customFormat="false" ht="6" hidden="false" customHeight="true" outlineLevel="0" collapsed="false">
      <c r="A256" s="106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82"/>
    </row>
    <row r="257" customFormat="false" ht="15" hidden="false" customHeight="false" outlineLevel="0" collapsed="false">
      <c r="A257" s="79"/>
      <c r="B257" s="63"/>
      <c r="C257" s="97" t="s">
        <v>33</v>
      </c>
      <c r="D257" s="98"/>
      <c r="E257" s="98"/>
      <c r="F257" s="98"/>
      <c r="G257" s="99" t="s">
        <v>34</v>
      </c>
      <c r="H257" s="100" t="n">
        <v>0</v>
      </c>
      <c r="I257" s="100" t="n">
        <v>0</v>
      </c>
      <c r="J257" s="63"/>
      <c r="K257" s="63"/>
      <c r="L257" s="63"/>
      <c r="M257" s="63"/>
      <c r="N257" s="129" t="s">
        <v>248</v>
      </c>
      <c r="O257" s="63"/>
      <c r="P257" s="63"/>
      <c r="Q257" s="63"/>
      <c r="R257" s="63"/>
      <c r="S257" s="63"/>
      <c r="T257" s="63"/>
      <c r="U257" s="63"/>
      <c r="V257" s="63"/>
      <c r="W257" s="82"/>
    </row>
    <row r="258" customFormat="false" ht="12" hidden="false" customHeight="false" outlineLevel="0" collapsed="false">
      <c r="A258" s="79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82"/>
    </row>
    <row r="259" customFormat="false" ht="12" hidden="false" customHeight="false" outlineLevel="0" collapsed="false">
      <c r="A259" s="75" t="n">
        <v>88</v>
      </c>
      <c r="B259" s="63"/>
      <c r="C259" s="64" t="s">
        <v>249</v>
      </c>
      <c r="D259" s="64"/>
      <c r="E259" s="64"/>
      <c r="F259" s="64"/>
      <c r="G259" s="64"/>
      <c r="H259" s="64"/>
      <c r="I259" s="64"/>
      <c r="J259" s="64"/>
      <c r="K259" s="64"/>
      <c r="L259" s="75" t="n">
        <v>95</v>
      </c>
      <c r="M259" s="63"/>
      <c r="N259" s="64" t="s">
        <v>250</v>
      </c>
      <c r="O259" s="63"/>
      <c r="P259" s="63"/>
      <c r="Q259" s="63"/>
      <c r="R259" s="63"/>
      <c r="S259" s="63"/>
      <c r="T259" s="63"/>
      <c r="U259" s="63"/>
      <c r="V259" s="63"/>
      <c r="W259" s="82"/>
    </row>
    <row r="260" customFormat="false" ht="6" hidden="false" customHeight="true" outlineLevel="0" collapsed="false">
      <c r="A260" s="106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82"/>
    </row>
    <row r="261" customFormat="false" ht="15" hidden="false" customHeight="false" outlineLevel="0" collapsed="false">
      <c r="A261" s="79"/>
      <c r="B261" s="63"/>
      <c r="C261" s="97" t="s">
        <v>33</v>
      </c>
      <c r="D261" s="98"/>
      <c r="E261" s="98"/>
      <c r="F261" s="98"/>
      <c r="G261" s="99" t="s">
        <v>34</v>
      </c>
      <c r="H261" s="100" t="n">
        <v>0</v>
      </c>
      <c r="I261" s="100" t="n">
        <v>0</v>
      </c>
      <c r="J261" s="63"/>
      <c r="K261" s="63"/>
      <c r="L261" s="63"/>
      <c r="M261" s="63"/>
      <c r="N261" s="148" t="s">
        <v>33</v>
      </c>
      <c r="O261" s="136" t="s">
        <v>209</v>
      </c>
      <c r="P261" s="98"/>
      <c r="Q261" s="98"/>
      <c r="R261" s="98"/>
      <c r="S261" s="99" t="s">
        <v>34</v>
      </c>
      <c r="T261" s="100" t="n">
        <v>0</v>
      </c>
      <c r="U261" s="100" t="n">
        <v>0</v>
      </c>
      <c r="V261" s="63"/>
      <c r="W261" s="82"/>
    </row>
    <row r="262" customFormat="false" ht="12" hidden="false" customHeight="false" outlineLevel="0" collapsed="false">
      <c r="A262" s="79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82"/>
    </row>
    <row r="263" customFormat="false" ht="12" hidden="false" customHeight="false" outlineLevel="0" collapsed="false">
      <c r="A263" s="75" t="n">
        <v>89</v>
      </c>
      <c r="B263" s="63"/>
      <c r="C263" s="64" t="s">
        <v>251</v>
      </c>
      <c r="D263" s="64"/>
      <c r="E263" s="64"/>
      <c r="F263" s="64"/>
      <c r="G263" s="64"/>
      <c r="H263" s="64"/>
      <c r="I263" s="64"/>
      <c r="J263" s="64"/>
      <c r="K263" s="64"/>
      <c r="L263" s="75" t="n">
        <v>96</v>
      </c>
      <c r="M263" s="63"/>
      <c r="N263" s="64" t="s">
        <v>252</v>
      </c>
      <c r="O263" s="63"/>
      <c r="P263" s="63"/>
      <c r="Q263" s="63"/>
      <c r="R263" s="63"/>
      <c r="S263" s="63"/>
      <c r="T263" s="63"/>
      <c r="U263" s="63"/>
      <c r="V263" s="63"/>
      <c r="W263" s="82"/>
    </row>
    <row r="264" customFormat="false" ht="6" hidden="false" customHeight="true" outlineLevel="0" collapsed="false">
      <c r="A264" s="106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82"/>
    </row>
    <row r="265" customFormat="false" ht="15" hidden="false" customHeight="false" outlineLevel="0" collapsed="false">
      <c r="A265" s="79"/>
      <c r="B265" s="63"/>
      <c r="C265" s="97" t="s">
        <v>33</v>
      </c>
      <c r="D265" s="98"/>
      <c r="E265" s="98"/>
      <c r="F265" s="98"/>
      <c r="G265" s="99" t="s">
        <v>34</v>
      </c>
      <c r="H265" s="100" t="n">
        <v>0</v>
      </c>
      <c r="I265" s="100" t="n">
        <v>0</v>
      </c>
      <c r="J265" s="63"/>
      <c r="K265" s="63"/>
      <c r="L265" s="63"/>
      <c r="M265" s="63"/>
      <c r="N265" s="148" t="s">
        <v>33</v>
      </c>
      <c r="O265" s="136" t="s">
        <v>209</v>
      </c>
      <c r="P265" s="98"/>
      <c r="Q265" s="98"/>
      <c r="R265" s="98"/>
      <c r="S265" s="99" t="s">
        <v>34</v>
      </c>
      <c r="T265" s="100" t="n">
        <v>0</v>
      </c>
      <c r="U265" s="100" t="n">
        <v>0</v>
      </c>
      <c r="V265" s="63"/>
      <c r="W265" s="82"/>
    </row>
    <row r="266" customFormat="false" ht="12" hidden="false" customHeight="false" outlineLevel="0" collapsed="false">
      <c r="A266" s="79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82"/>
    </row>
    <row r="267" customFormat="false" ht="12" hidden="false" customHeight="false" outlineLevel="0" collapsed="false">
      <c r="A267" s="75" t="n">
        <v>90</v>
      </c>
      <c r="B267" s="63"/>
      <c r="C267" s="64" t="s">
        <v>253</v>
      </c>
      <c r="D267" s="64"/>
      <c r="E267" s="64"/>
      <c r="F267" s="64"/>
      <c r="G267" s="64"/>
      <c r="H267" s="64"/>
      <c r="I267" s="64"/>
      <c r="J267" s="64"/>
      <c r="K267" s="64"/>
      <c r="L267" s="75" t="n">
        <v>97</v>
      </c>
      <c r="M267" s="63"/>
      <c r="N267" s="64" t="s">
        <v>254</v>
      </c>
      <c r="O267" s="63"/>
      <c r="P267" s="63"/>
      <c r="Q267" s="63"/>
      <c r="R267" s="63"/>
      <c r="S267" s="63"/>
      <c r="T267" s="63"/>
      <c r="U267" s="63"/>
      <c r="V267" s="63"/>
      <c r="W267" s="82"/>
    </row>
    <row r="268" customFormat="false" ht="6" hidden="false" customHeight="true" outlineLevel="0" collapsed="false">
      <c r="A268" s="106"/>
      <c r="B268" s="63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82"/>
    </row>
    <row r="269" customFormat="false" ht="15" hidden="false" customHeight="false" outlineLevel="0" collapsed="false">
      <c r="A269" s="79"/>
      <c r="B269" s="63"/>
      <c r="C269" s="97" t="s">
        <v>33</v>
      </c>
      <c r="D269" s="98"/>
      <c r="E269" s="98"/>
      <c r="F269" s="98"/>
      <c r="G269" s="99" t="s">
        <v>34</v>
      </c>
      <c r="H269" s="100" t="n">
        <v>0</v>
      </c>
      <c r="I269" s="100" t="n">
        <v>0</v>
      </c>
      <c r="J269" s="63"/>
      <c r="K269" s="63"/>
      <c r="L269" s="63"/>
      <c r="M269" s="63"/>
      <c r="N269" s="97" t="s">
        <v>33</v>
      </c>
      <c r="O269" s="98"/>
      <c r="P269" s="98"/>
      <c r="Q269" s="98"/>
      <c r="R269" s="99" t="s">
        <v>34</v>
      </c>
      <c r="S269" s="100" t="n">
        <v>0</v>
      </c>
      <c r="T269" s="100" t="n">
        <v>0</v>
      </c>
      <c r="U269" s="63"/>
      <c r="V269" s="63"/>
      <c r="W269" s="82"/>
    </row>
    <row r="270" customFormat="false" ht="12" hidden="false" customHeight="false" outlineLevel="0" collapsed="false">
      <c r="A270" s="79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82"/>
    </row>
    <row r="271" customFormat="false" ht="12" hidden="false" customHeight="false" outlineLevel="0" collapsed="false">
      <c r="A271" s="106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75" t="n">
        <v>98</v>
      </c>
      <c r="M271" s="63"/>
      <c r="N271" s="64" t="s">
        <v>255</v>
      </c>
      <c r="O271" s="63"/>
      <c r="P271" s="63"/>
      <c r="Q271" s="63"/>
      <c r="R271" s="63"/>
      <c r="S271" s="63"/>
      <c r="T271" s="63"/>
      <c r="U271" s="63"/>
      <c r="V271" s="63"/>
      <c r="W271" s="82"/>
    </row>
    <row r="272" customFormat="false" ht="6" hidden="false" customHeight="true" outlineLevel="0" collapsed="false">
      <c r="A272" s="106"/>
      <c r="B272" s="63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82"/>
    </row>
    <row r="273" customFormat="false" ht="15" hidden="false" customHeight="false" outlineLevel="0" collapsed="false">
      <c r="A273" s="106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3"/>
      <c r="M273" s="63"/>
      <c r="N273" s="97" t="s">
        <v>33</v>
      </c>
      <c r="O273" s="98"/>
      <c r="P273" s="98"/>
      <c r="Q273" s="98"/>
      <c r="R273" s="99" t="s">
        <v>34</v>
      </c>
      <c r="S273" s="100" t="n">
        <v>0</v>
      </c>
      <c r="T273" s="100" t="n">
        <v>0</v>
      </c>
      <c r="U273" s="63"/>
      <c r="V273" s="63"/>
      <c r="W273" s="82"/>
    </row>
    <row r="274" customFormat="false" ht="7.5" hidden="false" customHeight="true" outlineLevel="0" collapsed="false">
      <c r="A274" s="106"/>
      <c r="B274" s="63"/>
      <c r="C274" s="64"/>
      <c r="D274" s="64"/>
      <c r="E274" s="64"/>
      <c r="F274" s="64"/>
      <c r="G274" s="64"/>
      <c r="H274" s="64"/>
      <c r="I274" s="64"/>
      <c r="J274" s="64"/>
      <c r="K274" s="64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82"/>
    </row>
    <row r="275" customFormat="false" ht="12" hidden="false" customHeight="true" outlineLevel="0" collapsed="false">
      <c r="A275" s="106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75" t="n">
        <v>99</v>
      </c>
      <c r="M275" s="63"/>
      <c r="N275" s="64" t="s">
        <v>256</v>
      </c>
      <c r="O275" s="63"/>
      <c r="P275" s="63"/>
      <c r="Q275" s="63"/>
      <c r="R275" s="63"/>
      <c r="S275" s="63"/>
      <c r="T275" s="63"/>
      <c r="U275" s="63"/>
      <c r="V275" s="63"/>
      <c r="W275" s="82"/>
    </row>
    <row r="276" customFormat="false" ht="12" hidden="false" customHeight="false" outlineLevel="0" collapsed="false">
      <c r="A276" s="106"/>
      <c r="B276" s="63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82"/>
    </row>
    <row r="277" customFormat="false" ht="15" hidden="false" customHeight="false" outlineLevel="0" collapsed="false">
      <c r="A277" s="79"/>
      <c r="B277" s="63"/>
      <c r="C277" s="116"/>
      <c r="D277" s="112"/>
      <c r="E277" s="112"/>
      <c r="F277" s="112"/>
      <c r="G277" s="99"/>
      <c r="H277" s="102"/>
      <c r="I277" s="102"/>
      <c r="J277" s="63"/>
      <c r="K277" s="63"/>
      <c r="L277" s="63"/>
      <c r="M277" s="63"/>
      <c r="N277" s="97" t="s">
        <v>33</v>
      </c>
      <c r="O277" s="136" t="s">
        <v>209</v>
      </c>
      <c r="P277" s="98"/>
      <c r="Q277" s="98"/>
      <c r="R277" s="98"/>
      <c r="S277" s="99" t="s">
        <v>34</v>
      </c>
      <c r="T277" s="100" t="n">
        <v>0</v>
      </c>
      <c r="U277" s="100" t="n">
        <v>0</v>
      </c>
      <c r="V277" s="63"/>
      <c r="W277" s="82"/>
    </row>
    <row r="278" customFormat="false" ht="12" hidden="false" customHeight="false" outlineLevel="0" collapsed="false">
      <c r="A278" s="93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5"/>
    </row>
    <row r="279" customFormat="false" ht="24.75" hidden="false" customHeight="true" outlineLevel="0" collapsed="false">
      <c r="A279" s="111" t="s">
        <v>257</v>
      </c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</row>
    <row r="280" customFormat="false" ht="15.75" hidden="false" customHeight="true" outlineLevel="0" collapsed="false">
      <c r="A280" s="104" t="s">
        <v>258</v>
      </c>
      <c r="B280" s="104"/>
      <c r="C280" s="104"/>
      <c r="D280" s="104"/>
      <c r="E280" s="104"/>
      <c r="F280" s="104"/>
      <c r="G280" s="104"/>
      <c r="H280" s="104"/>
      <c r="I280" s="104"/>
      <c r="J280" s="150" t="n">
        <f aca="false">Admin!N20</f>
        <v>12570</v>
      </c>
      <c r="K280" s="104" t="s">
        <v>259</v>
      </c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</row>
    <row r="281" customFormat="false" ht="15.75" hidden="false" customHeight="true" outlineLevel="0" collapsed="false">
      <c r="A281" s="151" t="s">
        <v>260</v>
      </c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 customFormat="false" ht="7.5" hidden="false" customHeight="true" outlineLevel="0" collapsed="false">
      <c r="A282" s="72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4"/>
    </row>
    <row r="283" customFormat="false" ht="12" hidden="false" customHeight="false" outlineLevel="0" collapsed="false">
      <c r="A283" s="75" t="n">
        <v>100</v>
      </c>
      <c r="B283" s="63"/>
      <c r="C283" s="64" t="s">
        <v>261</v>
      </c>
      <c r="D283" s="63"/>
      <c r="E283" s="63"/>
      <c r="F283" s="63"/>
      <c r="G283" s="63"/>
      <c r="H283" s="63"/>
      <c r="I283" s="63"/>
      <c r="J283" s="63"/>
      <c r="K283" s="63"/>
      <c r="L283" s="75" t="n">
        <v>102</v>
      </c>
      <c r="M283" s="63"/>
      <c r="N283" s="64" t="s">
        <v>262</v>
      </c>
      <c r="O283" s="63"/>
      <c r="P283" s="63"/>
      <c r="Q283" s="63"/>
      <c r="R283" s="63"/>
      <c r="S283" s="63"/>
      <c r="T283" s="63"/>
      <c r="U283" s="63"/>
      <c r="V283" s="63"/>
      <c r="W283" s="82"/>
    </row>
    <row r="284" customFormat="false" ht="12" hidden="false" customHeight="false" outlineLevel="0" collapsed="false">
      <c r="A284" s="79"/>
      <c r="B284" s="63"/>
      <c r="C284" s="64" t="s">
        <v>263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90" t="s">
        <v>264</v>
      </c>
      <c r="O284" s="63"/>
      <c r="P284" s="63"/>
      <c r="Q284" s="63"/>
      <c r="R284" s="63"/>
      <c r="S284" s="63"/>
      <c r="T284" s="63"/>
      <c r="U284" s="63"/>
      <c r="V284" s="63"/>
      <c r="W284" s="82"/>
    </row>
    <row r="285" customFormat="false" ht="7.5" hidden="false" customHeight="true" outlineLevel="0" collapsed="false">
      <c r="A285" s="79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82"/>
    </row>
    <row r="286" customFormat="false" ht="15.75" hidden="false" customHeight="true" outlineLevel="0" collapsed="false">
      <c r="A286" s="79"/>
      <c r="B286" s="63"/>
      <c r="C286" s="152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97" t="s">
        <v>33</v>
      </c>
      <c r="O286" s="98"/>
      <c r="P286" s="98"/>
      <c r="Q286" s="98"/>
      <c r="R286" s="99" t="s">
        <v>34</v>
      </c>
      <c r="S286" s="100" t="n">
        <v>0</v>
      </c>
      <c r="T286" s="100" t="n">
        <v>0</v>
      </c>
      <c r="U286" s="63"/>
      <c r="V286" s="63"/>
      <c r="W286" s="82"/>
    </row>
    <row r="287" customFormat="false" ht="12" hidden="false" customHeight="false" outlineLevel="0" collapsed="false">
      <c r="A287" s="79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82"/>
    </row>
    <row r="288" customFormat="false" ht="12" hidden="false" customHeight="false" outlineLevel="0" collapsed="false">
      <c r="A288" s="75" t="n">
        <v>101</v>
      </c>
      <c r="B288" s="63"/>
      <c r="C288" s="64" t="s">
        <v>265</v>
      </c>
      <c r="D288" s="63"/>
      <c r="E288" s="63"/>
      <c r="F288" s="63"/>
      <c r="G288" s="115"/>
      <c r="H288" s="115"/>
      <c r="I288" s="115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82"/>
    </row>
    <row r="289" customFormat="false" ht="12" hidden="false" customHeight="false" outlineLevel="0" collapsed="false">
      <c r="A289" s="79"/>
      <c r="B289" s="63"/>
      <c r="C289" s="64" t="s">
        <v>266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82"/>
    </row>
    <row r="290" customFormat="false" ht="12" hidden="false" customHeight="false" outlineLevel="0" collapsed="false">
      <c r="A290" s="79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82"/>
    </row>
    <row r="291" customFormat="false" ht="7.5" hidden="false" customHeight="true" outlineLevel="0" collapsed="false">
      <c r="A291" s="79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82"/>
    </row>
    <row r="292" customFormat="false" ht="15.75" hidden="false" customHeight="true" outlineLevel="0" collapsed="false">
      <c r="A292" s="79"/>
      <c r="B292" s="63"/>
      <c r="C292" s="152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82"/>
    </row>
    <row r="293" customFormat="false" ht="7.5" hidden="false" customHeight="true" outlineLevel="0" collapsed="false">
      <c r="A293" s="93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5"/>
    </row>
    <row r="294" customFormat="false" ht="24.75" hidden="false" customHeight="true" outlineLevel="0" collapsed="false">
      <c r="A294" s="103" t="s">
        <v>267</v>
      </c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</row>
    <row r="295" customFormat="false" ht="7.5" hidden="false" customHeight="true" outlineLevel="0" collapsed="false">
      <c r="A295" s="72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4"/>
    </row>
    <row r="296" customFormat="false" ht="12" hidden="false" customHeight="false" outlineLevel="0" collapsed="false">
      <c r="A296" s="75" t="n">
        <v>103</v>
      </c>
      <c r="B296" s="63"/>
      <c r="C296" s="64" t="s">
        <v>268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82"/>
    </row>
    <row r="297" customFormat="false" ht="7.5" hidden="false" customHeight="true" outlineLevel="0" collapsed="false">
      <c r="A297" s="79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82"/>
    </row>
    <row r="298" customFormat="false" ht="12" hidden="false" customHeight="false" outlineLevel="0" collapsed="false">
      <c r="A298" s="79"/>
      <c r="B298" s="63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82"/>
    </row>
    <row r="299" customFormat="false" ht="12" hidden="false" customHeight="false" outlineLevel="0" collapsed="false">
      <c r="A299" s="79"/>
      <c r="B299" s="63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82"/>
    </row>
    <row r="300" customFormat="false" ht="12" hidden="false" customHeight="false" outlineLevel="0" collapsed="false">
      <c r="A300" s="79"/>
      <c r="B300" s="63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82"/>
    </row>
    <row r="301" customFormat="false" ht="12" hidden="false" customHeight="false" outlineLevel="0" collapsed="false">
      <c r="A301" s="79"/>
      <c r="B301" s="63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82"/>
    </row>
    <row r="302" customFormat="false" ht="12" hidden="false" customHeight="false" outlineLevel="0" collapsed="false">
      <c r="A302" s="79"/>
      <c r="B302" s="63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82"/>
    </row>
    <row r="303" customFormat="false" ht="12" hidden="false" customHeight="false" outlineLevel="0" collapsed="false">
      <c r="A303" s="79"/>
      <c r="B303" s="63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82"/>
    </row>
    <row r="304" customFormat="false" ht="12" hidden="false" customHeight="false" outlineLevel="0" collapsed="false">
      <c r="A304" s="79"/>
      <c r="B304" s="63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82"/>
    </row>
    <row r="305" customFormat="false" ht="12" hidden="false" customHeight="false" outlineLevel="0" collapsed="false">
      <c r="A305" s="79"/>
      <c r="B305" s="63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82"/>
    </row>
    <row r="306" customFormat="false" ht="12" hidden="false" customHeight="false" outlineLevel="0" collapsed="false">
      <c r="A306" s="79"/>
      <c r="B306" s="63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82"/>
    </row>
    <row r="307" customFormat="false" ht="12" hidden="false" customHeight="false" outlineLevel="0" collapsed="false">
      <c r="A307" s="79"/>
      <c r="B307" s="63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82"/>
    </row>
    <row r="308" customFormat="false" ht="12" hidden="false" customHeight="false" outlineLevel="0" collapsed="false">
      <c r="A308" s="79"/>
      <c r="B308" s="63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82"/>
    </row>
    <row r="309" customFormat="false" ht="12" hidden="false" customHeight="false" outlineLevel="0" collapsed="false">
      <c r="A309" s="79"/>
      <c r="B309" s="63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82"/>
    </row>
    <row r="310" customFormat="false" ht="12" hidden="false" customHeight="false" outlineLevel="0" collapsed="false">
      <c r="A310" s="79"/>
      <c r="B310" s="63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82"/>
    </row>
    <row r="311" customFormat="false" ht="12" hidden="false" customHeight="false" outlineLevel="0" collapsed="false">
      <c r="A311" s="79"/>
      <c r="B311" s="63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82"/>
    </row>
    <row r="312" customFormat="false" ht="12" hidden="false" customHeight="false" outlineLevel="0" collapsed="false">
      <c r="A312" s="79"/>
      <c r="B312" s="63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82"/>
    </row>
    <row r="313" customFormat="false" ht="12" hidden="false" customHeight="false" outlineLevel="0" collapsed="false">
      <c r="A313" s="79"/>
      <c r="B313" s="63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82"/>
    </row>
    <row r="314" customFormat="false" ht="12" hidden="false" customHeight="false" outlineLevel="0" collapsed="false">
      <c r="A314" s="79"/>
      <c r="B314" s="63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82"/>
    </row>
    <row r="315" customFormat="false" ht="12" hidden="false" customHeight="false" outlineLevel="0" collapsed="false">
      <c r="A315" s="79"/>
      <c r="B315" s="63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82"/>
    </row>
    <row r="316" customFormat="false" ht="12" hidden="false" customHeight="false" outlineLevel="0" collapsed="false">
      <c r="A316" s="79"/>
      <c r="B316" s="63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82"/>
    </row>
    <row r="317" customFormat="false" ht="12" hidden="false" customHeight="false" outlineLevel="0" collapsed="false">
      <c r="A317" s="79"/>
      <c r="B317" s="63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82"/>
    </row>
    <row r="318" customFormat="false" ht="12" hidden="false" customHeight="false" outlineLevel="0" collapsed="false">
      <c r="A318" s="79"/>
      <c r="B318" s="63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82"/>
    </row>
    <row r="319" customFormat="false" ht="12" hidden="false" customHeight="false" outlineLevel="0" collapsed="false">
      <c r="A319" s="79"/>
      <c r="B319" s="63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82"/>
    </row>
    <row r="320" customFormat="false" ht="12" hidden="false" customHeight="false" outlineLevel="0" collapsed="false">
      <c r="A320" s="79"/>
      <c r="B320" s="63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82"/>
    </row>
    <row r="321" customFormat="false" ht="12" hidden="false" customHeight="false" outlineLevel="0" collapsed="false">
      <c r="A321" s="79"/>
      <c r="B321" s="63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82"/>
    </row>
    <row r="322" customFormat="false" ht="12" hidden="false" customHeight="false" outlineLevel="0" collapsed="false">
      <c r="A322" s="79"/>
      <c r="B322" s="63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82"/>
    </row>
    <row r="323" customFormat="false" ht="12" hidden="false" customHeight="false" outlineLevel="0" collapsed="false">
      <c r="A323" s="79"/>
      <c r="B323" s="63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82"/>
    </row>
    <row r="324" customFormat="false" ht="7.5" hidden="false" customHeight="true" outlineLevel="0" collapsed="false">
      <c r="A324" s="93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5"/>
    </row>
  </sheetData>
  <mergeCells count="150">
    <mergeCell ref="A1:F2"/>
    <mergeCell ref="G1:M2"/>
    <mergeCell ref="N1:W1"/>
    <mergeCell ref="N2:P2"/>
    <mergeCell ref="Q2:T2"/>
    <mergeCell ref="V2:W2"/>
    <mergeCell ref="A3:W3"/>
    <mergeCell ref="A4:W4"/>
    <mergeCell ref="C8:J8"/>
    <mergeCell ref="O8:P8"/>
    <mergeCell ref="R8:U8"/>
    <mergeCell ref="C10:J10"/>
    <mergeCell ref="A12:W12"/>
    <mergeCell ref="C15:J15"/>
    <mergeCell ref="C17:J17"/>
    <mergeCell ref="S19:V19"/>
    <mergeCell ref="C20:J20"/>
    <mergeCell ref="C22:J22"/>
    <mergeCell ref="N22:Q22"/>
    <mergeCell ref="C24:J24"/>
    <mergeCell ref="S24:V24"/>
    <mergeCell ref="N25:V26"/>
    <mergeCell ref="N27:Q27"/>
    <mergeCell ref="C28:J28"/>
    <mergeCell ref="C30:J30"/>
    <mergeCell ref="N30:Q30"/>
    <mergeCell ref="C33:D33"/>
    <mergeCell ref="N35:Q35"/>
    <mergeCell ref="A37:W37"/>
    <mergeCell ref="A50:W50"/>
    <mergeCell ref="D55:F55"/>
    <mergeCell ref="O55:Q55"/>
    <mergeCell ref="A57:W57"/>
    <mergeCell ref="A58:W58"/>
    <mergeCell ref="D66:F66"/>
    <mergeCell ref="O66:Q66"/>
    <mergeCell ref="D70:F70"/>
    <mergeCell ref="O70:Q70"/>
    <mergeCell ref="D74:F74"/>
    <mergeCell ref="O74:Q74"/>
    <mergeCell ref="D78:F78"/>
    <mergeCell ref="O78:Q78"/>
    <mergeCell ref="D82:F82"/>
    <mergeCell ref="O82:Q82"/>
    <mergeCell ref="D86:F86"/>
    <mergeCell ref="O86:Q86"/>
    <mergeCell ref="D90:F90"/>
    <mergeCell ref="O90:Q90"/>
    <mergeCell ref="D94:F94"/>
    <mergeCell ref="O94:Q94"/>
    <mergeCell ref="D98:F98"/>
    <mergeCell ref="O98:Q98"/>
    <mergeCell ref="D102:F102"/>
    <mergeCell ref="O102:Q102"/>
    <mergeCell ref="D106:F106"/>
    <mergeCell ref="O106:Q106"/>
    <mergeCell ref="D110:F110"/>
    <mergeCell ref="O110:Q110"/>
    <mergeCell ref="D114:F114"/>
    <mergeCell ref="O114:Q114"/>
    <mergeCell ref="D118:F118"/>
    <mergeCell ref="O118:Q118"/>
    <mergeCell ref="D122:F122"/>
    <mergeCell ref="O122:Q122"/>
    <mergeCell ref="A124:W124"/>
    <mergeCell ref="D129:F129"/>
    <mergeCell ref="O129:Q129"/>
    <mergeCell ref="A131:W131"/>
    <mergeCell ref="A132:W132"/>
    <mergeCell ref="A133:W133"/>
    <mergeCell ref="A134:W134"/>
    <mergeCell ref="H136:I136"/>
    <mergeCell ref="D139:F139"/>
    <mergeCell ref="O139:Q139"/>
    <mergeCell ref="G141:H141"/>
    <mergeCell ref="D144:F144"/>
    <mergeCell ref="O144:Q144"/>
    <mergeCell ref="H146:I146"/>
    <mergeCell ref="D147:F147"/>
    <mergeCell ref="O149:Q149"/>
    <mergeCell ref="D150:F150"/>
    <mergeCell ref="D152:F152"/>
    <mergeCell ref="O154:Q154"/>
    <mergeCell ref="D156:F156"/>
    <mergeCell ref="D160:F160"/>
    <mergeCell ref="O160:Q160"/>
    <mergeCell ref="A162:W162"/>
    <mergeCell ref="A163:W163"/>
    <mergeCell ref="A164:W164"/>
    <mergeCell ref="D169:F169"/>
    <mergeCell ref="O169:Q169"/>
    <mergeCell ref="D174:F174"/>
    <mergeCell ref="O174:Q174"/>
    <mergeCell ref="D179:F179"/>
    <mergeCell ref="O179:Q179"/>
    <mergeCell ref="A181:W181"/>
    <mergeCell ref="A182:W182"/>
    <mergeCell ref="A183:W183"/>
    <mergeCell ref="A184:W184"/>
    <mergeCell ref="C187:F187"/>
    <mergeCell ref="D188:F188"/>
    <mergeCell ref="C190:F190"/>
    <mergeCell ref="P190:Q190"/>
    <mergeCell ref="O194:Q194"/>
    <mergeCell ref="D197:F197"/>
    <mergeCell ref="O199:Q199"/>
    <mergeCell ref="D201:F201"/>
    <mergeCell ref="O204:Q204"/>
    <mergeCell ref="D206:F206"/>
    <mergeCell ref="D210:F210"/>
    <mergeCell ref="O210:Q210"/>
    <mergeCell ref="A212:W212"/>
    <mergeCell ref="A213:W213"/>
    <mergeCell ref="A214:W214"/>
    <mergeCell ref="D219:F219"/>
    <mergeCell ref="O219:Q219"/>
    <mergeCell ref="D222:F222"/>
    <mergeCell ref="D224:F224"/>
    <mergeCell ref="O224:Q224"/>
    <mergeCell ref="A226:W226"/>
    <mergeCell ref="D231:F231"/>
    <mergeCell ref="O231:Q231"/>
    <mergeCell ref="A233:W233"/>
    <mergeCell ref="A234:W234"/>
    <mergeCell ref="A235:W235"/>
    <mergeCell ref="D241:F241"/>
    <mergeCell ref="O241:Q241"/>
    <mergeCell ref="D245:F245"/>
    <mergeCell ref="O245:Q245"/>
    <mergeCell ref="D249:F249"/>
    <mergeCell ref="O249:Q249"/>
    <mergeCell ref="D253:F253"/>
    <mergeCell ref="P255:R255"/>
    <mergeCell ref="D257:F257"/>
    <mergeCell ref="D261:F261"/>
    <mergeCell ref="P261:R261"/>
    <mergeCell ref="D265:F265"/>
    <mergeCell ref="P265:R265"/>
    <mergeCell ref="D269:F269"/>
    <mergeCell ref="O269:Q269"/>
    <mergeCell ref="O273:Q273"/>
    <mergeCell ref="P277:R277"/>
    <mergeCell ref="A279:W279"/>
    <mergeCell ref="A280:I280"/>
    <mergeCell ref="K280:W280"/>
    <mergeCell ref="A281:W281"/>
    <mergeCell ref="O286:Q286"/>
    <mergeCell ref="G288:I288"/>
    <mergeCell ref="A294:W294"/>
    <mergeCell ref="C298:V323"/>
  </mergeCells>
  <printOptions headings="false" gridLines="false" gridLinesSet="true" horizontalCentered="true" verticalCentered="false"/>
  <pageMargins left="0.433333333333333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56" man="true" max="16383" min="0"/>
    <brk id="123" man="true" max="16383" min="0"/>
    <brk id="180" man="true" max="16383" min="0"/>
    <brk id="232" man="true" max="16383" min="0"/>
    <brk id="29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53" width="25.82"/>
    <col collapsed="false" customWidth="true" hidden="false" outlineLevel="0" max="2" min="2" style="153" width="9.66"/>
    <col collapsed="false" customWidth="true" hidden="false" outlineLevel="0" max="14" min="3" style="154" width="8.49"/>
    <col collapsed="false" customWidth="true" hidden="false" outlineLevel="0" max="15" min="15" style="154" width="0.82"/>
    <col collapsed="false" customWidth="false" hidden="false" outlineLevel="0" max="257" min="16" style="154" width="9.15"/>
  </cols>
  <sheetData>
    <row r="1" customFormat="false" ht="6" hidden="false" customHeight="true" outlineLevel="0" collapsed="false">
      <c r="A1" s="155"/>
      <c r="B1" s="156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9"/>
    </row>
    <row r="2" customFormat="false" ht="12" hidden="false" customHeight="true" outlineLevel="0" collapsed="false">
      <c r="A2" s="160" t="s">
        <v>269</v>
      </c>
      <c r="B2" s="161" t="s">
        <v>270</v>
      </c>
      <c r="C2" s="162" t="n">
        <f aca="false">Admin!B5</f>
        <v>46142</v>
      </c>
      <c r="D2" s="163" t="n">
        <f aca="false">Admin!B6</f>
        <v>46173</v>
      </c>
      <c r="E2" s="163" t="n">
        <f aca="false">Admin!B7</f>
        <v>46203</v>
      </c>
      <c r="F2" s="162" t="n">
        <f aca="false">Admin!B8</f>
        <v>46234</v>
      </c>
      <c r="G2" s="163" t="n">
        <f aca="false">Admin!B9</f>
        <v>46265</v>
      </c>
      <c r="H2" s="163" t="n">
        <f aca="false">Admin!B10</f>
        <v>46295</v>
      </c>
      <c r="I2" s="162" t="n">
        <f aca="false">Admin!B11</f>
        <v>46326</v>
      </c>
      <c r="J2" s="163" t="n">
        <f aca="false">Admin!B12</f>
        <v>46356</v>
      </c>
      <c r="K2" s="163" t="n">
        <f aca="false">Admin!B13</f>
        <v>46387</v>
      </c>
      <c r="L2" s="162" t="n">
        <f aca="false">Admin!B14</f>
        <v>46418</v>
      </c>
      <c r="M2" s="163" t="n">
        <f aca="false">Admin!B15</f>
        <v>46446</v>
      </c>
      <c r="N2" s="163" t="n">
        <f aca="false">Admin!B16</f>
        <v>46477</v>
      </c>
      <c r="O2" s="164"/>
    </row>
    <row r="3" customFormat="false" ht="12" hidden="false" customHeight="true" outlineLevel="0" collapsed="false">
      <c r="A3" s="160"/>
      <c r="B3" s="165" t="n">
        <f aca="false">Admin!B$17</f>
        <v>46482</v>
      </c>
      <c r="C3" s="162"/>
      <c r="D3" s="163"/>
      <c r="E3" s="163"/>
      <c r="F3" s="162"/>
      <c r="G3" s="163"/>
      <c r="H3" s="163"/>
      <c r="I3" s="162"/>
      <c r="J3" s="163"/>
      <c r="K3" s="163"/>
      <c r="L3" s="162"/>
      <c r="M3" s="163"/>
      <c r="N3" s="163"/>
      <c r="O3" s="164"/>
    </row>
    <row r="4" customFormat="false" ht="12" hidden="false" customHeight="false" outlineLevel="0" collapsed="false">
      <c r="A4" s="160"/>
      <c r="B4" s="166" t="s">
        <v>33</v>
      </c>
      <c r="C4" s="166" t="s">
        <v>33</v>
      </c>
      <c r="D4" s="166" t="s">
        <v>33</v>
      </c>
      <c r="E4" s="166" t="s">
        <v>33</v>
      </c>
      <c r="F4" s="167" t="s">
        <v>33</v>
      </c>
      <c r="G4" s="166" t="s">
        <v>33</v>
      </c>
      <c r="H4" s="166" t="s">
        <v>33</v>
      </c>
      <c r="I4" s="167" t="s">
        <v>33</v>
      </c>
      <c r="J4" s="166" t="s">
        <v>33</v>
      </c>
      <c r="K4" s="166" t="s">
        <v>33</v>
      </c>
      <c r="L4" s="167" t="s">
        <v>33</v>
      </c>
      <c r="M4" s="168" t="s">
        <v>33</v>
      </c>
      <c r="N4" s="166" t="s">
        <v>33</v>
      </c>
      <c r="O4" s="164"/>
    </row>
    <row r="5" customFormat="false" ht="12" hidden="false" customHeight="false" outlineLevel="0" collapsed="false">
      <c r="A5" s="169" t="s">
        <v>271</v>
      </c>
      <c r="B5" s="170" t="n">
        <f aca="false">SUM(C5:N5)</f>
        <v>311600</v>
      </c>
      <c r="C5" s="171" t="n">
        <f aca="false">[2]Apr!$P$1</f>
        <v>25333.3333333333</v>
      </c>
      <c r="D5" s="171" t="n">
        <f aca="false">[2]May!$P$1</f>
        <v>25633.3333333333</v>
      </c>
      <c r="E5" s="172" t="n">
        <f aca="false">[2]Jun!$P$1</f>
        <v>26533.3333333333</v>
      </c>
      <c r="F5" s="171" t="n">
        <f aca="false">[2]Jul!$P$1</f>
        <v>25633.3333333333</v>
      </c>
      <c r="G5" s="171" t="n">
        <f aca="false">[2]Aug!$P$1</f>
        <v>27133.3333333333</v>
      </c>
      <c r="H5" s="172" t="n">
        <f aca="false">[2]Sep!$P$1</f>
        <v>25033.3333333333</v>
      </c>
      <c r="I5" s="171" t="n">
        <f aca="false">[2]Oct!$P$1</f>
        <v>27133.3333333333</v>
      </c>
      <c r="J5" s="171" t="n">
        <f aca="false">[2]Nov!$P$1</f>
        <v>25633.3333333333</v>
      </c>
      <c r="K5" s="172" t="n">
        <f aca="false">[2]Dec!$P$1</f>
        <v>26533.3333333333</v>
      </c>
      <c r="L5" s="171" t="n">
        <f aca="false">[2]Jan!$P$1</f>
        <v>25633.3333333333</v>
      </c>
      <c r="M5" s="171" t="n">
        <f aca="false">[2]Feb!$P$1</f>
        <v>26333.3333333333</v>
      </c>
      <c r="N5" s="171" t="n">
        <f aca="false">[2]Mar!$P$1</f>
        <v>25033.3333333333</v>
      </c>
      <c r="O5" s="164"/>
    </row>
    <row r="6" customFormat="false" ht="12" hidden="false" customHeight="false" outlineLevel="0" collapsed="false">
      <c r="A6" s="169" t="s">
        <v>272</v>
      </c>
      <c r="B6" s="170" t="n">
        <f aca="false">SUM(C6:N6)</f>
        <v>13600</v>
      </c>
      <c r="C6" s="171" t="n">
        <f aca="false">[2]Apr!$Q$1</f>
        <v>1800</v>
      </c>
      <c r="D6" s="171" t="n">
        <f aca="false">[2]May!$Q$1</f>
        <v>800</v>
      </c>
      <c r="E6" s="172" t="n">
        <f aca="false">[2]Jun!$Q$1</f>
        <v>800</v>
      </c>
      <c r="F6" s="171" t="n">
        <f aca="false">[2]Jul!$Q$1</f>
        <v>1800</v>
      </c>
      <c r="G6" s="171" t="n">
        <f aca="false">[2]Aug!$Q$1</f>
        <v>800</v>
      </c>
      <c r="H6" s="172" t="n">
        <f aca="false">[2]Sep!$Q$1</f>
        <v>800</v>
      </c>
      <c r="I6" s="171" t="n">
        <f aca="false">[2]Oct!$Q$1</f>
        <v>1800</v>
      </c>
      <c r="J6" s="171" t="n">
        <f aca="false">[2]Nov!$Q$1</f>
        <v>800</v>
      </c>
      <c r="K6" s="172" t="n">
        <f aca="false">[2]Dec!$Q$1</f>
        <v>800</v>
      </c>
      <c r="L6" s="171" t="n">
        <f aca="false">[2]Jan!$Q$1</f>
        <v>1800</v>
      </c>
      <c r="M6" s="171" t="n">
        <f aca="false">[2]Feb!$Q$1</f>
        <v>800</v>
      </c>
      <c r="N6" s="171" t="n">
        <f aca="false">[2]Mar!$Q$1</f>
        <v>800</v>
      </c>
      <c r="O6" s="164"/>
    </row>
    <row r="7" customFormat="false" ht="12" hidden="false" customHeight="false" outlineLevel="0" collapsed="false">
      <c r="A7" s="169" t="s">
        <v>273</v>
      </c>
      <c r="B7" s="170" t="n">
        <f aca="false">SUM(C7:N7)</f>
        <v>10300</v>
      </c>
      <c r="C7" s="171" t="n">
        <f aca="false">[2]Apr!$R$1</f>
        <v>0</v>
      </c>
      <c r="D7" s="171" t="n">
        <f aca="false">[2]May!$R$1</f>
        <v>1000</v>
      </c>
      <c r="E7" s="172" t="n">
        <f aca="false">[2]Jun!$R$1</f>
        <v>2000</v>
      </c>
      <c r="F7" s="171" t="n">
        <f aca="false">[2]Jul!$R$1</f>
        <v>0</v>
      </c>
      <c r="G7" s="171" t="n">
        <f aca="false">[2]Aug!$R$1</f>
        <v>0</v>
      </c>
      <c r="H7" s="172" t="n">
        <f aca="false">[2]Sep!$R$1</f>
        <v>1800</v>
      </c>
      <c r="I7" s="171" t="n">
        <f aca="false">[2]Oct!$R$1</f>
        <v>0</v>
      </c>
      <c r="J7" s="171" t="n">
        <f aca="false">[2]Nov!$R$1</f>
        <v>3000</v>
      </c>
      <c r="K7" s="172" t="n">
        <f aca="false">[2]Dec!$R$1</f>
        <v>0</v>
      </c>
      <c r="L7" s="171" t="n">
        <f aca="false">[2]Jan!$R$1</f>
        <v>1000</v>
      </c>
      <c r="M7" s="171" t="n">
        <f aca="false">[2]Feb!$R$1</f>
        <v>1500</v>
      </c>
      <c r="N7" s="171" t="n">
        <f aca="false">[2]Mar!$R$1</f>
        <v>0</v>
      </c>
      <c r="O7" s="164"/>
    </row>
    <row r="8" customFormat="false" ht="12" hidden="false" customHeight="false" outlineLevel="0" collapsed="false">
      <c r="A8" s="169" t="s">
        <v>274</v>
      </c>
      <c r="B8" s="170" t="n">
        <f aca="false">SUM(C8:N8)</f>
        <v>3700</v>
      </c>
      <c r="C8" s="171" t="n">
        <f aca="false">[2]Apr!$S$1</f>
        <v>700</v>
      </c>
      <c r="D8" s="171" t="n">
        <f aca="false">[2]May!$S$1</f>
        <v>0</v>
      </c>
      <c r="E8" s="172" t="n">
        <f aca="false">[2]Jun!$S$1</f>
        <v>0</v>
      </c>
      <c r="F8" s="171" t="n">
        <f aca="false">[2]Jul!$S$1</f>
        <v>700</v>
      </c>
      <c r="G8" s="171" t="n">
        <f aca="false">[2]Aug!$S$1</f>
        <v>0</v>
      </c>
      <c r="H8" s="172" t="n">
        <f aca="false">[2]Sep!$S$1</f>
        <v>500</v>
      </c>
      <c r="I8" s="171" t="n">
        <f aca="false">[2]Oct!$S$1</f>
        <v>700</v>
      </c>
      <c r="J8" s="171" t="n">
        <f aca="false">[2]Nov!$S$1</f>
        <v>0</v>
      </c>
      <c r="K8" s="172" t="n">
        <f aca="false">[2]Dec!$S$1</f>
        <v>0</v>
      </c>
      <c r="L8" s="171" t="n">
        <f aca="false">[2]Jan!$S$1</f>
        <v>1100</v>
      </c>
      <c r="M8" s="171" t="n">
        <f aca="false">[2]Feb!$S$1</f>
        <v>0</v>
      </c>
      <c r="N8" s="171" t="n">
        <f aca="false">[2]Mar!$S$1</f>
        <v>0</v>
      </c>
      <c r="O8" s="164"/>
    </row>
    <row r="9" customFormat="false" ht="12" hidden="false" customHeight="false" outlineLevel="0" collapsed="false">
      <c r="A9" s="173" t="s">
        <v>275</v>
      </c>
      <c r="B9" s="170" t="n">
        <f aca="false">SUM(B5:B8)</f>
        <v>339200</v>
      </c>
      <c r="C9" s="170" t="n">
        <f aca="false">SUM(C5:C8)</f>
        <v>27833.3333333333</v>
      </c>
      <c r="D9" s="170" t="n">
        <f aca="false">SUM(D5:D8)</f>
        <v>27433.3333333333</v>
      </c>
      <c r="E9" s="170" t="n">
        <f aca="false">SUM(E5:E8)</f>
        <v>29333.3333333333</v>
      </c>
      <c r="F9" s="174" t="n">
        <f aca="false">SUM(F5:F8)</f>
        <v>28133.3333333333</v>
      </c>
      <c r="G9" s="170" t="n">
        <f aca="false">SUM(G5:G8)</f>
        <v>27933.3333333333</v>
      </c>
      <c r="H9" s="170" t="n">
        <f aca="false">SUM(H5:H8)</f>
        <v>28133.3333333333</v>
      </c>
      <c r="I9" s="174" t="n">
        <f aca="false">SUM(I5:I8)</f>
        <v>29633.3333333333</v>
      </c>
      <c r="J9" s="170" t="n">
        <f aca="false">SUM(J5:J8)</f>
        <v>29433.3333333333</v>
      </c>
      <c r="K9" s="170" t="n">
        <f aca="false">SUM(K5:K8)</f>
        <v>27333.3333333333</v>
      </c>
      <c r="L9" s="174" t="n">
        <f aca="false">SUM(L5:L8)</f>
        <v>29533.3333333333</v>
      </c>
      <c r="M9" s="170" t="n">
        <f aca="false">SUM(M5:M8)</f>
        <v>28633.3333333333</v>
      </c>
      <c r="N9" s="170" t="n">
        <f aca="false">SUM(N5:N8)</f>
        <v>25833.3333333333</v>
      </c>
      <c r="O9" s="175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6"/>
      <c r="BN9" s="176"/>
      <c r="BO9" s="176"/>
      <c r="BP9" s="176"/>
      <c r="BQ9" s="176"/>
      <c r="BR9" s="176"/>
      <c r="BS9" s="176"/>
      <c r="BT9" s="176"/>
      <c r="BU9" s="176"/>
      <c r="BV9" s="176"/>
      <c r="BW9" s="176"/>
      <c r="BX9" s="176"/>
      <c r="BY9" s="176"/>
      <c r="BZ9" s="176"/>
      <c r="CA9" s="176"/>
      <c r="CB9" s="176"/>
      <c r="CC9" s="176"/>
      <c r="CD9" s="176"/>
      <c r="CE9" s="176"/>
      <c r="CF9" s="176"/>
      <c r="CG9" s="176"/>
      <c r="CH9" s="176"/>
      <c r="CI9" s="176"/>
      <c r="CJ9" s="176"/>
      <c r="CK9" s="176"/>
      <c r="CL9" s="176"/>
      <c r="CM9" s="176"/>
      <c r="CN9" s="176"/>
      <c r="CO9" s="176"/>
      <c r="CP9" s="176"/>
      <c r="CQ9" s="176"/>
      <c r="CR9" s="176"/>
      <c r="CS9" s="176"/>
      <c r="CT9" s="176"/>
      <c r="CU9" s="176"/>
      <c r="CV9" s="176"/>
      <c r="CW9" s="176"/>
      <c r="CX9" s="176"/>
      <c r="CY9" s="176"/>
      <c r="CZ9" s="176"/>
      <c r="DA9" s="176"/>
      <c r="DB9" s="176"/>
      <c r="DC9" s="176"/>
      <c r="DD9" s="176"/>
      <c r="DE9" s="176"/>
      <c r="DF9" s="176"/>
      <c r="DG9" s="176"/>
      <c r="DH9" s="176"/>
      <c r="DI9" s="176"/>
      <c r="DJ9" s="176"/>
      <c r="DK9" s="176"/>
      <c r="DL9" s="176"/>
      <c r="DM9" s="176"/>
      <c r="DN9" s="176"/>
      <c r="DO9" s="176"/>
      <c r="DP9" s="176"/>
      <c r="DQ9" s="176"/>
      <c r="DR9" s="176"/>
      <c r="DS9" s="176"/>
      <c r="DT9" s="176"/>
      <c r="DU9" s="176"/>
      <c r="DV9" s="176"/>
      <c r="DW9" s="176"/>
      <c r="DX9" s="176"/>
      <c r="DY9" s="176"/>
      <c r="DZ9" s="176"/>
      <c r="EA9" s="176"/>
      <c r="EB9" s="176"/>
      <c r="EC9" s="176"/>
      <c r="ED9" s="176"/>
      <c r="EE9" s="176"/>
      <c r="EF9" s="176"/>
      <c r="EG9" s="176"/>
      <c r="EH9" s="176"/>
      <c r="EI9" s="176"/>
      <c r="EJ9" s="176"/>
      <c r="EK9" s="176"/>
      <c r="EL9" s="176"/>
      <c r="EM9" s="176"/>
      <c r="EN9" s="176"/>
      <c r="EO9" s="176"/>
      <c r="EP9" s="176"/>
      <c r="EQ9" s="176"/>
      <c r="ER9" s="176"/>
      <c r="ES9" s="176"/>
      <c r="ET9" s="176"/>
      <c r="EU9" s="176"/>
      <c r="EV9" s="176"/>
      <c r="EW9" s="176"/>
      <c r="EX9" s="176"/>
      <c r="EY9" s="176"/>
      <c r="EZ9" s="176"/>
      <c r="FA9" s="176"/>
      <c r="FB9" s="176"/>
      <c r="FC9" s="176"/>
      <c r="FD9" s="176"/>
      <c r="FE9" s="176"/>
      <c r="FF9" s="176"/>
      <c r="FG9" s="176"/>
      <c r="FH9" s="176"/>
      <c r="FI9" s="176"/>
      <c r="FJ9" s="176"/>
      <c r="FK9" s="176"/>
      <c r="FL9" s="176"/>
      <c r="FM9" s="176"/>
      <c r="FN9" s="176"/>
      <c r="FO9" s="176"/>
      <c r="FP9" s="176"/>
      <c r="FQ9" s="176"/>
      <c r="FR9" s="176"/>
      <c r="FS9" s="176"/>
      <c r="FT9" s="176"/>
      <c r="FU9" s="176"/>
      <c r="FV9" s="176"/>
      <c r="FW9" s="176"/>
      <c r="FX9" s="176"/>
      <c r="FY9" s="176"/>
      <c r="FZ9" s="176"/>
      <c r="GA9" s="176"/>
      <c r="GB9" s="176"/>
      <c r="GC9" s="176"/>
      <c r="GD9" s="176"/>
      <c r="GE9" s="176"/>
      <c r="GF9" s="176"/>
      <c r="GG9" s="176"/>
      <c r="GH9" s="176"/>
      <c r="GI9" s="176"/>
      <c r="GJ9" s="176"/>
      <c r="GK9" s="176"/>
      <c r="GL9" s="176"/>
      <c r="GM9" s="176"/>
      <c r="GN9" s="176"/>
      <c r="GO9" s="176"/>
      <c r="GP9" s="176"/>
      <c r="GQ9" s="176"/>
      <c r="GR9" s="176"/>
      <c r="GS9" s="176"/>
      <c r="GT9" s="176"/>
      <c r="GU9" s="176"/>
      <c r="GV9" s="176"/>
      <c r="GW9" s="176"/>
      <c r="GX9" s="176"/>
      <c r="GY9" s="176"/>
      <c r="GZ9" s="176"/>
      <c r="HA9" s="176"/>
      <c r="HB9" s="176"/>
      <c r="HC9" s="176"/>
      <c r="HD9" s="176"/>
      <c r="HE9" s="176"/>
      <c r="HF9" s="176"/>
      <c r="HG9" s="176"/>
      <c r="HH9" s="176"/>
      <c r="HI9" s="176"/>
      <c r="HJ9" s="176"/>
      <c r="HK9" s="176"/>
      <c r="HL9" s="176"/>
      <c r="HM9" s="176"/>
      <c r="HN9" s="176"/>
      <c r="HO9" s="176"/>
      <c r="HP9" s="176"/>
      <c r="HQ9" s="176"/>
      <c r="HR9" s="176"/>
      <c r="HS9" s="176"/>
      <c r="HT9" s="176"/>
      <c r="HU9" s="176"/>
      <c r="HV9" s="176"/>
      <c r="HW9" s="176"/>
      <c r="HX9" s="176"/>
      <c r="HY9" s="176"/>
      <c r="HZ9" s="176"/>
      <c r="IA9" s="176"/>
      <c r="IB9" s="176"/>
      <c r="IC9" s="176"/>
      <c r="ID9" s="176"/>
      <c r="IE9" s="176"/>
      <c r="IF9" s="176"/>
      <c r="IG9" s="176"/>
      <c r="IH9" s="176"/>
      <c r="II9" s="176"/>
      <c r="IJ9" s="176"/>
      <c r="IK9" s="176"/>
      <c r="IL9" s="176"/>
      <c r="IM9" s="176"/>
      <c r="IN9" s="176"/>
      <c r="IO9" s="176"/>
      <c r="IP9" s="176"/>
      <c r="IQ9" s="176"/>
      <c r="IR9" s="176"/>
      <c r="IS9" s="176"/>
      <c r="IT9" s="176"/>
      <c r="IU9" s="176"/>
      <c r="IV9" s="176"/>
      <c r="IW9" s="176"/>
    </row>
    <row r="10" customFormat="false" ht="6" hidden="false" customHeight="true" outlineLevel="0" collapsed="false">
      <c r="A10" s="173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5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  <c r="GK10" s="178"/>
      <c r="GL10" s="178"/>
      <c r="GM10" s="178"/>
      <c r="GN10" s="178"/>
      <c r="GO10" s="178"/>
      <c r="GP10" s="178"/>
      <c r="GQ10" s="178"/>
      <c r="GR10" s="178"/>
      <c r="GS10" s="178"/>
      <c r="GT10" s="178"/>
      <c r="GU10" s="178"/>
      <c r="GV10" s="178"/>
      <c r="GW10" s="178"/>
      <c r="GX10" s="178"/>
      <c r="GY10" s="178"/>
      <c r="GZ10" s="178"/>
      <c r="HA10" s="178"/>
      <c r="HB10" s="178"/>
      <c r="HC10" s="178"/>
      <c r="HD10" s="178"/>
      <c r="HE10" s="178"/>
      <c r="HF10" s="178"/>
      <c r="HG10" s="178"/>
      <c r="HH10" s="178"/>
      <c r="HI10" s="178"/>
      <c r="HJ10" s="178"/>
      <c r="HK10" s="178"/>
      <c r="HL10" s="178"/>
      <c r="HM10" s="178"/>
      <c r="HN10" s="178"/>
      <c r="HO10" s="178"/>
      <c r="HP10" s="178"/>
      <c r="HQ10" s="178"/>
      <c r="HR10" s="178"/>
      <c r="HS10" s="178"/>
      <c r="HT10" s="178"/>
      <c r="HU10" s="178"/>
      <c r="HV10" s="178"/>
      <c r="HW10" s="178"/>
      <c r="HX10" s="178"/>
      <c r="HY10" s="178"/>
      <c r="HZ10" s="178"/>
      <c r="IA10" s="178"/>
      <c r="IB10" s="178"/>
      <c r="IC10" s="178"/>
      <c r="ID10" s="178"/>
      <c r="IE10" s="178"/>
      <c r="IF10" s="178"/>
      <c r="IG10" s="178"/>
      <c r="IH10" s="178"/>
      <c r="II10" s="178"/>
      <c r="IJ10" s="178"/>
      <c r="IK10" s="178"/>
      <c r="IL10" s="178"/>
      <c r="IM10" s="178"/>
      <c r="IN10" s="178"/>
      <c r="IO10" s="178"/>
      <c r="IP10" s="178"/>
      <c r="IQ10" s="178"/>
      <c r="IR10" s="178"/>
      <c r="IS10" s="178"/>
      <c r="IT10" s="178"/>
      <c r="IU10" s="178"/>
      <c r="IV10" s="178"/>
      <c r="IW10" s="178"/>
    </row>
    <row r="11" customFormat="false" ht="12" hidden="false" customHeight="false" outlineLevel="0" collapsed="false">
      <c r="A11" s="169" t="s">
        <v>276</v>
      </c>
      <c r="B11" s="170" t="n">
        <f aca="false">SUM(C11:N11)</f>
        <v>2083.33333333333</v>
      </c>
      <c r="C11" s="171" t="n">
        <f aca="false">[2]Apr!$T$1</f>
        <v>0</v>
      </c>
      <c r="D11" s="171" t="n">
        <f aca="false">[2]May!$T$1</f>
        <v>0</v>
      </c>
      <c r="E11" s="172" t="n">
        <f aca="false">[2]Jun!$T$1</f>
        <v>0</v>
      </c>
      <c r="F11" s="171" t="n">
        <f aca="false">[2]Jul!$T$1</f>
        <v>0</v>
      </c>
      <c r="G11" s="171" t="n">
        <f aca="false">[2]Aug!$T$1</f>
        <v>2083.33333333333</v>
      </c>
      <c r="H11" s="172" t="n">
        <f aca="false">[2]Sep!$T$1</f>
        <v>0</v>
      </c>
      <c r="I11" s="171" t="n">
        <f aca="false">[2]Oct!$T$1</f>
        <v>0</v>
      </c>
      <c r="J11" s="171" t="n">
        <f aca="false">[2]Nov!$T$1</f>
        <v>0</v>
      </c>
      <c r="K11" s="172" t="n">
        <f aca="false">[2]Dec!$T$1</f>
        <v>0</v>
      </c>
      <c r="L11" s="171" t="n">
        <f aca="false">[2]Jan!$T$1</f>
        <v>0</v>
      </c>
      <c r="M11" s="171" t="n">
        <f aca="false">[2]Feb!$T$1</f>
        <v>0</v>
      </c>
      <c r="N11" s="171" t="n">
        <f aca="false">[2]Mar!$T$1</f>
        <v>0</v>
      </c>
      <c r="O11" s="164"/>
    </row>
    <row r="12" customFormat="false" ht="6" hidden="false" customHeight="true" outlineLevel="0" collapsed="false">
      <c r="A12" s="169"/>
      <c r="B12" s="177"/>
      <c r="C12" s="177"/>
      <c r="D12" s="177"/>
      <c r="E12" s="179"/>
      <c r="F12" s="177"/>
      <c r="G12" s="177"/>
      <c r="H12" s="177"/>
      <c r="I12" s="177"/>
      <c r="J12" s="177"/>
      <c r="K12" s="177"/>
      <c r="L12" s="177"/>
      <c r="M12" s="177"/>
      <c r="N12" s="177"/>
      <c r="O12" s="164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8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58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8"/>
      <c r="EC12" s="158"/>
      <c r="ED12" s="158"/>
      <c r="EE12" s="158"/>
      <c r="EF12" s="158"/>
      <c r="EG12" s="158"/>
      <c r="EH12" s="158"/>
      <c r="EI12" s="158"/>
      <c r="EJ12" s="158"/>
      <c r="EK12" s="158"/>
      <c r="EL12" s="158"/>
      <c r="EM12" s="158"/>
      <c r="EN12" s="158"/>
      <c r="EO12" s="158"/>
      <c r="EP12" s="158"/>
      <c r="EQ12" s="158"/>
      <c r="ER12" s="158"/>
      <c r="ES12" s="158"/>
      <c r="ET12" s="158"/>
      <c r="EU12" s="158"/>
      <c r="EV12" s="158"/>
      <c r="EW12" s="158"/>
      <c r="EX12" s="158"/>
      <c r="EY12" s="158"/>
      <c r="EZ12" s="158"/>
      <c r="FA12" s="158"/>
      <c r="FB12" s="158"/>
      <c r="FC12" s="158"/>
      <c r="FD12" s="158"/>
      <c r="FE12" s="158"/>
      <c r="FF12" s="158"/>
      <c r="FG12" s="158"/>
      <c r="FH12" s="158"/>
      <c r="FI12" s="158"/>
      <c r="FJ12" s="158"/>
      <c r="FK12" s="158"/>
      <c r="FL12" s="158"/>
      <c r="FM12" s="158"/>
      <c r="FN12" s="158"/>
      <c r="FO12" s="158"/>
      <c r="FP12" s="158"/>
      <c r="FQ12" s="158"/>
      <c r="FR12" s="158"/>
      <c r="FS12" s="158"/>
      <c r="FT12" s="158"/>
      <c r="FU12" s="158"/>
      <c r="FV12" s="158"/>
      <c r="FW12" s="158"/>
      <c r="FX12" s="158"/>
      <c r="FY12" s="158"/>
      <c r="FZ12" s="158"/>
      <c r="GA12" s="158"/>
      <c r="GB12" s="158"/>
      <c r="GC12" s="158"/>
      <c r="GD12" s="158"/>
      <c r="GE12" s="158"/>
      <c r="GF12" s="158"/>
      <c r="GG12" s="158"/>
      <c r="GH12" s="158"/>
      <c r="GI12" s="158"/>
      <c r="GJ12" s="158"/>
      <c r="GK12" s="158"/>
      <c r="GL12" s="158"/>
      <c r="GM12" s="158"/>
      <c r="GN12" s="158"/>
      <c r="GO12" s="158"/>
      <c r="GP12" s="158"/>
      <c r="GQ12" s="158"/>
      <c r="GR12" s="158"/>
      <c r="GS12" s="158"/>
      <c r="GT12" s="158"/>
      <c r="GU12" s="158"/>
      <c r="GV12" s="158"/>
      <c r="GW12" s="158"/>
      <c r="GX12" s="158"/>
      <c r="GY12" s="158"/>
      <c r="GZ12" s="158"/>
      <c r="HA12" s="158"/>
      <c r="HB12" s="158"/>
      <c r="HC12" s="158"/>
      <c r="HD12" s="158"/>
      <c r="HE12" s="158"/>
      <c r="HF12" s="158"/>
      <c r="HG12" s="158"/>
      <c r="HH12" s="158"/>
      <c r="HI12" s="158"/>
      <c r="HJ12" s="158"/>
      <c r="HK12" s="158"/>
      <c r="HL12" s="158"/>
      <c r="HM12" s="158"/>
      <c r="HN12" s="158"/>
      <c r="HO12" s="158"/>
      <c r="HP12" s="158"/>
      <c r="HQ12" s="158"/>
      <c r="HR12" s="158"/>
      <c r="HS12" s="158"/>
      <c r="HT12" s="158"/>
      <c r="HU12" s="158"/>
      <c r="HV12" s="158"/>
      <c r="HW12" s="158"/>
      <c r="HX12" s="158"/>
      <c r="HY12" s="158"/>
      <c r="HZ12" s="158"/>
      <c r="IA12" s="158"/>
      <c r="IB12" s="158"/>
      <c r="IC12" s="158"/>
      <c r="ID12" s="158"/>
      <c r="IE12" s="158"/>
      <c r="IF12" s="158"/>
      <c r="IG12" s="158"/>
      <c r="IH12" s="158"/>
      <c r="II12" s="158"/>
      <c r="IJ12" s="158"/>
      <c r="IK12" s="158"/>
      <c r="IL12" s="158"/>
      <c r="IM12" s="158"/>
      <c r="IN12" s="158"/>
      <c r="IO12" s="158"/>
      <c r="IP12" s="158"/>
      <c r="IQ12" s="158"/>
      <c r="IR12" s="158"/>
      <c r="IS12" s="158"/>
      <c r="IT12" s="158"/>
      <c r="IU12" s="158"/>
      <c r="IV12" s="158"/>
      <c r="IW12" s="158"/>
    </row>
    <row r="13" customFormat="false" ht="10.5" hidden="false" customHeight="true" outlineLevel="0" collapsed="false">
      <c r="A13" s="180" t="s">
        <v>277</v>
      </c>
      <c r="B13" s="177"/>
      <c r="C13" s="177"/>
      <c r="D13" s="177"/>
      <c r="E13" s="179"/>
      <c r="F13" s="177"/>
      <c r="G13" s="177"/>
      <c r="H13" s="177"/>
      <c r="I13" s="177"/>
      <c r="J13" s="177"/>
      <c r="K13" s="177"/>
      <c r="L13" s="177"/>
      <c r="M13" s="177"/>
      <c r="N13" s="177"/>
      <c r="O13" s="175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6"/>
      <c r="BN13" s="176"/>
      <c r="BO13" s="176"/>
      <c r="BP13" s="176"/>
      <c r="BQ13" s="176"/>
      <c r="BR13" s="176"/>
      <c r="BS13" s="176"/>
      <c r="BT13" s="176"/>
      <c r="BU13" s="176"/>
      <c r="BV13" s="176"/>
      <c r="BW13" s="176"/>
      <c r="BX13" s="176"/>
      <c r="BY13" s="176"/>
      <c r="BZ13" s="176"/>
      <c r="CA13" s="176"/>
      <c r="CB13" s="176"/>
      <c r="CC13" s="176"/>
      <c r="CD13" s="176"/>
      <c r="CE13" s="176"/>
      <c r="CF13" s="176"/>
      <c r="CG13" s="176"/>
      <c r="CH13" s="176"/>
      <c r="CI13" s="176"/>
      <c r="CJ13" s="176"/>
      <c r="CK13" s="176"/>
      <c r="CL13" s="176"/>
      <c r="CM13" s="176"/>
      <c r="CN13" s="176"/>
      <c r="CO13" s="176"/>
      <c r="CP13" s="176"/>
      <c r="CQ13" s="176"/>
      <c r="CR13" s="176"/>
      <c r="CS13" s="176"/>
      <c r="CT13" s="176"/>
      <c r="CU13" s="176"/>
      <c r="CV13" s="176"/>
      <c r="CW13" s="176"/>
      <c r="CX13" s="176"/>
      <c r="CY13" s="176"/>
      <c r="CZ13" s="176"/>
      <c r="DA13" s="176"/>
      <c r="DB13" s="176"/>
      <c r="DC13" s="176"/>
      <c r="DD13" s="176"/>
      <c r="DE13" s="176"/>
      <c r="DF13" s="176"/>
      <c r="DG13" s="176"/>
      <c r="DH13" s="176"/>
      <c r="DI13" s="176"/>
      <c r="DJ13" s="176"/>
      <c r="DK13" s="176"/>
      <c r="DL13" s="176"/>
      <c r="DM13" s="176"/>
      <c r="DN13" s="176"/>
      <c r="DO13" s="176"/>
      <c r="DP13" s="176"/>
      <c r="DQ13" s="176"/>
      <c r="DR13" s="176"/>
      <c r="DS13" s="176"/>
      <c r="DT13" s="176"/>
      <c r="DU13" s="176"/>
      <c r="DV13" s="176"/>
      <c r="DW13" s="176"/>
      <c r="DX13" s="176"/>
      <c r="DY13" s="176"/>
      <c r="DZ13" s="176"/>
      <c r="EA13" s="176"/>
      <c r="EB13" s="176"/>
      <c r="EC13" s="176"/>
      <c r="ED13" s="176"/>
      <c r="EE13" s="176"/>
      <c r="EF13" s="176"/>
      <c r="EG13" s="176"/>
      <c r="EH13" s="176"/>
      <c r="EI13" s="176"/>
      <c r="EJ13" s="176"/>
      <c r="EK13" s="176"/>
      <c r="EL13" s="176"/>
      <c r="EM13" s="176"/>
      <c r="EN13" s="176"/>
      <c r="EO13" s="176"/>
      <c r="EP13" s="176"/>
      <c r="EQ13" s="176"/>
      <c r="ER13" s="176"/>
      <c r="ES13" s="176"/>
      <c r="ET13" s="176"/>
      <c r="EU13" s="176"/>
      <c r="EV13" s="176"/>
      <c r="EW13" s="176"/>
      <c r="EX13" s="176"/>
      <c r="EY13" s="176"/>
      <c r="EZ13" s="176"/>
      <c r="FA13" s="176"/>
      <c r="FB13" s="176"/>
      <c r="FC13" s="176"/>
      <c r="FD13" s="176"/>
      <c r="FE13" s="176"/>
      <c r="FF13" s="176"/>
      <c r="FG13" s="176"/>
      <c r="FH13" s="176"/>
      <c r="FI13" s="176"/>
      <c r="FJ13" s="176"/>
      <c r="FK13" s="176"/>
      <c r="FL13" s="176"/>
      <c r="FM13" s="176"/>
      <c r="FN13" s="176"/>
      <c r="FO13" s="176"/>
      <c r="FP13" s="176"/>
      <c r="FQ13" s="176"/>
      <c r="FR13" s="176"/>
      <c r="FS13" s="176"/>
      <c r="FT13" s="176"/>
      <c r="FU13" s="176"/>
      <c r="FV13" s="176"/>
      <c r="FW13" s="176"/>
      <c r="FX13" s="176"/>
      <c r="FY13" s="176"/>
      <c r="FZ13" s="176"/>
      <c r="GA13" s="176"/>
      <c r="GB13" s="176"/>
      <c r="GC13" s="176"/>
      <c r="GD13" s="176"/>
      <c r="GE13" s="176"/>
      <c r="GF13" s="176"/>
      <c r="GG13" s="176"/>
      <c r="GH13" s="176"/>
      <c r="GI13" s="176"/>
      <c r="GJ13" s="176"/>
      <c r="GK13" s="176"/>
      <c r="GL13" s="176"/>
      <c r="GM13" s="176"/>
      <c r="GN13" s="176"/>
      <c r="GO13" s="176"/>
      <c r="GP13" s="176"/>
      <c r="GQ13" s="176"/>
      <c r="GR13" s="176"/>
      <c r="GS13" s="176"/>
      <c r="GT13" s="176"/>
      <c r="GU13" s="176"/>
      <c r="GV13" s="176"/>
      <c r="GW13" s="176"/>
      <c r="GX13" s="176"/>
      <c r="GY13" s="176"/>
      <c r="GZ13" s="176"/>
      <c r="HA13" s="176"/>
      <c r="HB13" s="176"/>
      <c r="HC13" s="176"/>
      <c r="HD13" s="176"/>
      <c r="HE13" s="176"/>
      <c r="HF13" s="176"/>
      <c r="HG13" s="176"/>
      <c r="HH13" s="176"/>
      <c r="HI13" s="176"/>
      <c r="HJ13" s="176"/>
      <c r="HK13" s="176"/>
      <c r="HL13" s="176"/>
      <c r="HM13" s="176"/>
      <c r="HN13" s="176"/>
      <c r="HO13" s="176"/>
      <c r="HP13" s="176"/>
      <c r="HQ13" s="176"/>
      <c r="HR13" s="176"/>
      <c r="HS13" s="176"/>
      <c r="HT13" s="176"/>
      <c r="HU13" s="176"/>
      <c r="HV13" s="176"/>
      <c r="HW13" s="176"/>
      <c r="HX13" s="176"/>
      <c r="HY13" s="176"/>
      <c r="HZ13" s="176"/>
      <c r="IA13" s="176"/>
      <c r="IB13" s="176"/>
      <c r="IC13" s="176"/>
      <c r="ID13" s="176"/>
      <c r="IE13" s="176"/>
      <c r="IF13" s="176"/>
      <c r="IG13" s="176"/>
      <c r="IH13" s="176"/>
      <c r="II13" s="176"/>
      <c r="IJ13" s="176"/>
      <c r="IK13" s="176"/>
      <c r="IL13" s="176"/>
      <c r="IM13" s="176"/>
      <c r="IN13" s="176"/>
      <c r="IO13" s="176"/>
      <c r="IP13" s="176"/>
      <c r="IQ13" s="176"/>
      <c r="IR13" s="176"/>
      <c r="IS13" s="176"/>
      <c r="IT13" s="176"/>
      <c r="IU13" s="176"/>
      <c r="IV13" s="176"/>
      <c r="IW13" s="176"/>
    </row>
    <row r="14" customFormat="false" ht="12" hidden="false" customHeight="false" outlineLevel="0" collapsed="false">
      <c r="A14" s="169" t="s">
        <v>278</v>
      </c>
      <c r="B14" s="170" t="n">
        <f aca="false">SUM(C14:N14)</f>
        <v>9450</v>
      </c>
      <c r="C14" s="171" t="n">
        <f aca="false">[3]Apr!$P$1+StockControl!AB6-StockControl!AB8</f>
        <v>500</v>
      </c>
      <c r="D14" s="171" t="n">
        <f aca="false">[3]May!$P$1+StockControl!AB8-StockControl!AB10</f>
        <v>600</v>
      </c>
      <c r="E14" s="172" t="n">
        <f aca="false">[3]Jun!$P$1+StockControl!AB10-StockControl!AB12</f>
        <v>300</v>
      </c>
      <c r="F14" s="171" t="n">
        <f aca="false">[3]Jul!$P$1+StockControl!AB12-StockControl!AB14</f>
        <v>600</v>
      </c>
      <c r="G14" s="171" t="n">
        <f aca="false">[3]Aug!$P$1+StockControl!AB14-StockControl!AB16</f>
        <v>450</v>
      </c>
      <c r="H14" s="172" t="n">
        <f aca="false">[3]Sep!$P$1+StockControl!AB16-StockControl!AB18</f>
        <v>200</v>
      </c>
      <c r="I14" s="171" t="n">
        <f aca="false">[3]Oct!$P$1+StockControl!AB18-StockControl!AB20</f>
        <v>400</v>
      </c>
      <c r="J14" s="171" t="n">
        <f aca="false">[3]Nov!$P$1+StockControl!AB20-StockControl!AB22</f>
        <v>700</v>
      </c>
      <c r="K14" s="172" t="n">
        <f aca="false">[3]Dec!$P$1+StockControl!AB22-StockControl!AB24</f>
        <v>400</v>
      </c>
      <c r="L14" s="171" t="n">
        <f aca="false">[3]Jan!$P$1+StockControl!AB24-StockControl!AB26</f>
        <v>500</v>
      </c>
      <c r="M14" s="171" t="n">
        <f aca="false">[3]Feb!$P$1+StockControl!AB26-StockControl!AB28</f>
        <v>550</v>
      </c>
      <c r="N14" s="171" t="n">
        <f aca="false">[3]Mar!$P$1+StockControl!AB28-StockControl!AB30</f>
        <v>4250</v>
      </c>
      <c r="O14" s="164"/>
    </row>
    <row r="15" customFormat="false" ht="12" hidden="false" customHeight="false" outlineLevel="0" collapsed="false">
      <c r="A15" s="169" t="s">
        <v>279</v>
      </c>
      <c r="B15" s="170" t="n">
        <f aca="false">SUM(C15:N15)</f>
        <v>6666.66666666667</v>
      </c>
      <c r="C15" s="171" t="n">
        <f aca="false">[3]Apr!$Q$1</f>
        <v>0</v>
      </c>
      <c r="D15" s="171" t="n">
        <f aca="false">[3]May!$Q$1</f>
        <v>0</v>
      </c>
      <c r="E15" s="172" t="n">
        <f aca="false">[3]Jun!$Q$1</f>
        <v>4166.66666666667</v>
      </c>
      <c r="F15" s="171" t="n">
        <f aca="false">[3]Jul!$Q$1</f>
        <v>0</v>
      </c>
      <c r="G15" s="171" t="n">
        <f aca="false">[3]Aug!$Q$1</f>
        <v>0</v>
      </c>
      <c r="H15" s="172" t="n">
        <f aca="false">[3]Sep!$Q$1</f>
        <v>0</v>
      </c>
      <c r="I15" s="171" t="n">
        <f aca="false">[3]Oct!$Q$1</f>
        <v>0</v>
      </c>
      <c r="J15" s="171" t="n">
        <f aca="false">[3]Nov!$Q$1</f>
        <v>2500</v>
      </c>
      <c r="K15" s="172" t="n">
        <f aca="false">[3]Dec!$Q$1</f>
        <v>0</v>
      </c>
      <c r="L15" s="171" t="n">
        <f aca="false">[3]Jan!$Q$1</f>
        <v>0</v>
      </c>
      <c r="M15" s="171" t="n">
        <f aca="false">[3]Feb!$Q$1</f>
        <v>0</v>
      </c>
      <c r="N15" s="171" t="n">
        <f aca="false">[3]Mar!$Q$1</f>
        <v>0</v>
      </c>
      <c r="O15" s="164"/>
    </row>
    <row r="16" customFormat="false" ht="12" hidden="false" customHeight="false" outlineLevel="0" collapsed="false">
      <c r="A16" s="169" t="s">
        <v>280</v>
      </c>
      <c r="B16" s="170" t="n">
        <f aca="false">SUM(C16:N16)</f>
        <v>4020</v>
      </c>
      <c r="C16" s="171" t="n">
        <f aca="false">[3]Apr!$R$1</f>
        <v>237.5</v>
      </c>
      <c r="D16" s="171" t="n">
        <f aca="false">[3]May!$R$1</f>
        <v>407.5</v>
      </c>
      <c r="E16" s="172" t="n">
        <f aca="false">[3]Jun!$R$1</f>
        <v>237.5</v>
      </c>
      <c r="F16" s="171" t="n">
        <f aca="false">[3]Jul!$R$1</f>
        <v>607.5</v>
      </c>
      <c r="G16" s="171" t="n">
        <f aca="false">[3]Aug!$R$1</f>
        <v>237.5</v>
      </c>
      <c r="H16" s="172" t="n">
        <f aca="false">[3]Sep!$R$1</f>
        <v>507.5</v>
      </c>
      <c r="I16" s="171" t="n">
        <f aca="false">[3]Oct!$R$1</f>
        <v>237.5</v>
      </c>
      <c r="J16" s="171" t="n">
        <f aca="false">[3]Nov!$R$1</f>
        <v>207.5</v>
      </c>
      <c r="K16" s="172" t="n">
        <f aca="false">[3]Dec!$R$1</f>
        <v>237.5</v>
      </c>
      <c r="L16" s="171" t="n">
        <f aca="false">[3]Jan!$R$1</f>
        <v>357.5</v>
      </c>
      <c r="M16" s="171" t="n">
        <f aca="false">[3]Feb!$R$1</f>
        <v>537.5</v>
      </c>
      <c r="N16" s="171" t="n">
        <f aca="false">[3]Mar!$R$1</f>
        <v>207.5</v>
      </c>
      <c r="O16" s="164"/>
    </row>
    <row r="17" customFormat="false" ht="12" hidden="false" customHeight="false" outlineLevel="0" collapsed="false">
      <c r="A17" s="173" t="s">
        <v>281</v>
      </c>
      <c r="B17" s="170" t="n">
        <f aca="false">SUM(B14:B16)</f>
        <v>20136.6666666667</v>
      </c>
      <c r="C17" s="170" t="n">
        <f aca="false">SUM(C14:C16)</f>
        <v>737.5</v>
      </c>
      <c r="D17" s="170" t="n">
        <f aca="false">SUM(D14:D16)</f>
        <v>1007.5</v>
      </c>
      <c r="E17" s="170" t="n">
        <f aca="false">SUM(E14:E16)</f>
        <v>4704.16666666667</v>
      </c>
      <c r="F17" s="174" t="n">
        <f aca="false">SUM(F14:F16)</f>
        <v>1207.5</v>
      </c>
      <c r="G17" s="170" t="n">
        <f aca="false">SUM(G14:G16)</f>
        <v>687.5</v>
      </c>
      <c r="H17" s="170" t="n">
        <f aca="false">SUM(H14:H16)</f>
        <v>707.5</v>
      </c>
      <c r="I17" s="174" t="n">
        <f aca="false">SUM(I14:I16)</f>
        <v>637.5</v>
      </c>
      <c r="J17" s="170" t="n">
        <f aca="false">SUM(J14:J16)</f>
        <v>3407.5</v>
      </c>
      <c r="K17" s="170" t="n">
        <f aca="false">SUM(K14:K16)</f>
        <v>637.5</v>
      </c>
      <c r="L17" s="174" t="n">
        <f aca="false">SUM(L14:L16)</f>
        <v>857.5</v>
      </c>
      <c r="M17" s="170" t="n">
        <f aca="false">SUM(M14:M16)</f>
        <v>1087.5</v>
      </c>
      <c r="N17" s="170" t="n">
        <f aca="false">SUM(N14:N16)</f>
        <v>4457.5</v>
      </c>
      <c r="O17" s="175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  <c r="BN17" s="176"/>
      <c r="BO17" s="176"/>
      <c r="BP17" s="176"/>
      <c r="BQ17" s="176"/>
      <c r="BR17" s="176"/>
      <c r="BS17" s="176"/>
      <c r="BT17" s="176"/>
      <c r="BU17" s="176"/>
      <c r="BV17" s="176"/>
      <c r="BW17" s="176"/>
      <c r="BX17" s="176"/>
      <c r="BY17" s="176"/>
      <c r="BZ17" s="176"/>
      <c r="CA17" s="176"/>
      <c r="CB17" s="176"/>
      <c r="CC17" s="176"/>
      <c r="CD17" s="176"/>
      <c r="CE17" s="176"/>
      <c r="CF17" s="176"/>
      <c r="CG17" s="176"/>
      <c r="CH17" s="176"/>
      <c r="CI17" s="176"/>
      <c r="CJ17" s="176"/>
      <c r="CK17" s="176"/>
      <c r="CL17" s="176"/>
      <c r="CM17" s="176"/>
      <c r="CN17" s="176"/>
      <c r="CO17" s="176"/>
      <c r="CP17" s="176"/>
      <c r="CQ17" s="176"/>
      <c r="CR17" s="176"/>
      <c r="CS17" s="176"/>
      <c r="CT17" s="176"/>
      <c r="CU17" s="176"/>
      <c r="CV17" s="176"/>
      <c r="CW17" s="176"/>
      <c r="CX17" s="176"/>
      <c r="CY17" s="176"/>
      <c r="CZ17" s="176"/>
      <c r="DA17" s="176"/>
      <c r="DB17" s="176"/>
      <c r="DC17" s="176"/>
      <c r="DD17" s="176"/>
      <c r="DE17" s="176"/>
      <c r="DF17" s="176"/>
      <c r="DG17" s="176"/>
      <c r="DH17" s="176"/>
      <c r="DI17" s="176"/>
      <c r="DJ17" s="176"/>
      <c r="DK17" s="176"/>
      <c r="DL17" s="176"/>
      <c r="DM17" s="176"/>
      <c r="DN17" s="176"/>
      <c r="DO17" s="176"/>
      <c r="DP17" s="176"/>
      <c r="DQ17" s="176"/>
      <c r="DR17" s="176"/>
      <c r="DS17" s="176"/>
      <c r="DT17" s="176"/>
      <c r="DU17" s="176"/>
      <c r="DV17" s="176"/>
      <c r="DW17" s="176"/>
      <c r="DX17" s="176"/>
      <c r="DY17" s="176"/>
      <c r="DZ17" s="176"/>
      <c r="EA17" s="176"/>
      <c r="EB17" s="176"/>
      <c r="EC17" s="176"/>
      <c r="ED17" s="176"/>
      <c r="EE17" s="176"/>
      <c r="EF17" s="176"/>
      <c r="EG17" s="176"/>
      <c r="EH17" s="176"/>
      <c r="EI17" s="176"/>
      <c r="EJ17" s="176"/>
      <c r="EK17" s="176"/>
      <c r="EL17" s="176"/>
      <c r="EM17" s="176"/>
      <c r="EN17" s="176"/>
      <c r="EO17" s="176"/>
      <c r="EP17" s="176"/>
      <c r="EQ17" s="176"/>
      <c r="ER17" s="176"/>
      <c r="ES17" s="176"/>
      <c r="ET17" s="176"/>
      <c r="EU17" s="176"/>
      <c r="EV17" s="176"/>
      <c r="EW17" s="176"/>
      <c r="EX17" s="176"/>
      <c r="EY17" s="176"/>
      <c r="EZ17" s="176"/>
      <c r="FA17" s="176"/>
      <c r="FB17" s="176"/>
      <c r="FC17" s="176"/>
      <c r="FD17" s="176"/>
      <c r="FE17" s="176"/>
      <c r="FF17" s="176"/>
      <c r="FG17" s="176"/>
      <c r="FH17" s="176"/>
      <c r="FI17" s="176"/>
      <c r="FJ17" s="176"/>
      <c r="FK17" s="176"/>
      <c r="FL17" s="176"/>
      <c r="FM17" s="176"/>
      <c r="FN17" s="176"/>
      <c r="FO17" s="176"/>
      <c r="FP17" s="176"/>
      <c r="FQ17" s="176"/>
      <c r="FR17" s="176"/>
      <c r="FS17" s="176"/>
      <c r="FT17" s="176"/>
      <c r="FU17" s="176"/>
      <c r="FV17" s="176"/>
      <c r="FW17" s="176"/>
      <c r="FX17" s="176"/>
      <c r="FY17" s="176"/>
      <c r="FZ17" s="176"/>
      <c r="GA17" s="176"/>
      <c r="GB17" s="176"/>
      <c r="GC17" s="176"/>
      <c r="GD17" s="176"/>
      <c r="GE17" s="176"/>
      <c r="GF17" s="176"/>
      <c r="GG17" s="176"/>
      <c r="GH17" s="176"/>
      <c r="GI17" s="176"/>
      <c r="GJ17" s="176"/>
      <c r="GK17" s="176"/>
      <c r="GL17" s="176"/>
      <c r="GM17" s="176"/>
      <c r="GN17" s="176"/>
      <c r="GO17" s="176"/>
      <c r="GP17" s="176"/>
      <c r="GQ17" s="176"/>
      <c r="GR17" s="176"/>
      <c r="GS17" s="176"/>
      <c r="GT17" s="176"/>
      <c r="GU17" s="176"/>
      <c r="GV17" s="176"/>
      <c r="GW17" s="176"/>
      <c r="GX17" s="176"/>
      <c r="GY17" s="176"/>
      <c r="GZ17" s="176"/>
      <c r="HA17" s="176"/>
      <c r="HB17" s="176"/>
      <c r="HC17" s="176"/>
      <c r="HD17" s="176"/>
      <c r="HE17" s="176"/>
      <c r="HF17" s="176"/>
      <c r="HG17" s="176"/>
      <c r="HH17" s="176"/>
      <c r="HI17" s="176"/>
      <c r="HJ17" s="176"/>
      <c r="HK17" s="176"/>
      <c r="HL17" s="176"/>
      <c r="HM17" s="176"/>
      <c r="HN17" s="176"/>
      <c r="HO17" s="176"/>
      <c r="HP17" s="176"/>
      <c r="HQ17" s="176"/>
      <c r="HR17" s="176"/>
      <c r="HS17" s="176"/>
      <c r="HT17" s="176"/>
      <c r="HU17" s="176"/>
      <c r="HV17" s="176"/>
      <c r="HW17" s="176"/>
      <c r="HX17" s="176"/>
      <c r="HY17" s="176"/>
      <c r="HZ17" s="176"/>
      <c r="IA17" s="176"/>
      <c r="IB17" s="176"/>
      <c r="IC17" s="176"/>
      <c r="ID17" s="176"/>
      <c r="IE17" s="176"/>
      <c r="IF17" s="176"/>
      <c r="IG17" s="176"/>
      <c r="IH17" s="176"/>
      <c r="II17" s="176"/>
      <c r="IJ17" s="176"/>
      <c r="IK17" s="176"/>
      <c r="IL17" s="176"/>
      <c r="IM17" s="176"/>
      <c r="IN17" s="176"/>
      <c r="IO17" s="176"/>
      <c r="IP17" s="176"/>
      <c r="IQ17" s="176"/>
      <c r="IR17" s="176"/>
      <c r="IS17" s="176"/>
      <c r="IT17" s="176"/>
      <c r="IU17" s="176"/>
      <c r="IV17" s="176"/>
      <c r="IW17" s="176"/>
    </row>
    <row r="18" customFormat="false" ht="7.5" hidden="false" customHeight="true" outlineLevel="0" collapsed="false">
      <c r="A18" s="173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5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6"/>
      <c r="BM18" s="176"/>
      <c r="BN18" s="176"/>
      <c r="BO18" s="176"/>
      <c r="BP18" s="176"/>
      <c r="BQ18" s="176"/>
      <c r="BR18" s="176"/>
      <c r="BS18" s="176"/>
      <c r="BT18" s="176"/>
      <c r="BU18" s="176"/>
      <c r="BV18" s="176"/>
      <c r="BW18" s="176"/>
      <c r="BX18" s="176"/>
      <c r="BY18" s="176"/>
      <c r="BZ18" s="176"/>
      <c r="CA18" s="176"/>
      <c r="CB18" s="176"/>
      <c r="CC18" s="176"/>
      <c r="CD18" s="176"/>
      <c r="CE18" s="176"/>
      <c r="CF18" s="176"/>
      <c r="CG18" s="176"/>
      <c r="CH18" s="176"/>
      <c r="CI18" s="176"/>
      <c r="CJ18" s="176"/>
      <c r="CK18" s="176"/>
      <c r="CL18" s="176"/>
      <c r="CM18" s="176"/>
      <c r="CN18" s="176"/>
      <c r="CO18" s="176"/>
      <c r="CP18" s="176"/>
      <c r="CQ18" s="176"/>
      <c r="CR18" s="176"/>
      <c r="CS18" s="176"/>
      <c r="CT18" s="176"/>
      <c r="CU18" s="176"/>
      <c r="CV18" s="176"/>
      <c r="CW18" s="176"/>
      <c r="CX18" s="176"/>
      <c r="CY18" s="176"/>
      <c r="CZ18" s="176"/>
      <c r="DA18" s="176"/>
      <c r="DB18" s="176"/>
      <c r="DC18" s="176"/>
      <c r="DD18" s="176"/>
      <c r="DE18" s="176"/>
      <c r="DF18" s="176"/>
      <c r="DG18" s="176"/>
      <c r="DH18" s="176"/>
      <c r="DI18" s="176"/>
      <c r="DJ18" s="176"/>
      <c r="DK18" s="176"/>
      <c r="DL18" s="176"/>
      <c r="DM18" s="176"/>
      <c r="DN18" s="176"/>
      <c r="DO18" s="176"/>
      <c r="DP18" s="176"/>
      <c r="DQ18" s="176"/>
      <c r="DR18" s="176"/>
      <c r="DS18" s="176"/>
      <c r="DT18" s="176"/>
      <c r="DU18" s="176"/>
      <c r="DV18" s="176"/>
      <c r="DW18" s="176"/>
      <c r="DX18" s="176"/>
      <c r="DY18" s="176"/>
      <c r="DZ18" s="176"/>
      <c r="EA18" s="176"/>
      <c r="EB18" s="176"/>
      <c r="EC18" s="176"/>
      <c r="ED18" s="176"/>
      <c r="EE18" s="176"/>
      <c r="EF18" s="176"/>
      <c r="EG18" s="176"/>
      <c r="EH18" s="176"/>
      <c r="EI18" s="176"/>
      <c r="EJ18" s="176"/>
      <c r="EK18" s="176"/>
      <c r="EL18" s="176"/>
      <c r="EM18" s="176"/>
      <c r="EN18" s="176"/>
      <c r="EO18" s="176"/>
      <c r="EP18" s="176"/>
      <c r="EQ18" s="176"/>
      <c r="ER18" s="176"/>
      <c r="ES18" s="176"/>
      <c r="ET18" s="176"/>
      <c r="EU18" s="176"/>
      <c r="EV18" s="176"/>
      <c r="EW18" s="176"/>
      <c r="EX18" s="176"/>
      <c r="EY18" s="176"/>
      <c r="EZ18" s="176"/>
      <c r="FA18" s="176"/>
      <c r="FB18" s="176"/>
      <c r="FC18" s="176"/>
      <c r="FD18" s="176"/>
      <c r="FE18" s="176"/>
      <c r="FF18" s="176"/>
      <c r="FG18" s="176"/>
      <c r="FH18" s="176"/>
      <c r="FI18" s="176"/>
      <c r="FJ18" s="176"/>
      <c r="FK18" s="176"/>
      <c r="FL18" s="176"/>
      <c r="FM18" s="176"/>
      <c r="FN18" s="176"/>
      <c r="FO18" s="176"/>
      <c r="FP18" s="176"/>
      <c r="FQ18" s="176"/>
      <c r="FR18" s="176"/>
      <c r="FS18" s="176"/>
      <c r="FT18" s="176"/>
      <c r="FU18" s="176"/>
      <c r="FV18" s="176"/>
      <c r="FW18" s="176"/>
      <c r="FX18" s="176"/>
      <c r="FY18" s="176"/>
      <c r="FZ18" s="176"/>
      <c r="GA18" s="176"/>
      <c r="GB18" s="176"/>
      <c r="GC18" s="176"/>
      <c r="GD18" s="176"/>
      <c r="GE18" s="176"/>
      <c r="GF18" s="176"/>
      <c r="GG18" s="176"/>
      <c r="GH18" s="176"/>
      <c r="GI18" s="176"/>
      <c r="GJ18" s="176"/>
      <c r="GK18" s="176"/>
      <c r="GL18" s="176"/>
      <c r="GM18" s="176"/>
      <c r="GN18" s="176"/>
      <c r="GO18" s="176"/>
      <c r="GP18" s="176"/>
      <c r="GQ18" s="176"/>
      <c r="GR18" s="176"/>
      <c r="GS18" s="176"/>
      <c r="GT18" s="176"/>
      <c r="GU18" s="176"/>
      <c r="GV18" s="176"/>
      <c r="GW18" s="176"/>
      <c r="GX18" s="176"/>
      <c r="GY18" s="176"/>
      <c r="GZ18" s="176"/>
      <c r="HA18" s="176"/>
      <c r="HB18" s="176"/>
      <c r="HC18" s="176"/>
      <c r="HD18" s="176"/>
      <c r="HE18" s="176"/>
      <c r="HF18" s="176"/>
      <c r="HG18" s="176"/>
      <c r="HH18" s="176"/>
      <c r="HI18" s="176"/>
      <c r="HJ18" s="176"/>
      <c r="HK18" s="176"/>
      <c r="HL18" s="176"/>
      <c r="HM18" s="176"/>
      <c r="HN18" s="176"/>
      <c r="HO18" s="176"/>
      <c r="HP18" s="176"/>
      <c r="HQ18" s="176"/>
      <c r="HR18" s="176"/>
      <c r="HS18" s="176"/>
      <c r="HT18" s="176"/>
      <c r="HU18" s="176"/>
      <c r="HV18" s="176"/>
      <c r="HW18" s="176"/>
      <c r="HX18" s="176"/>
      <c r="HY18" s="176"/>
      <c r="HZ18" s="176"/>
      <c r="IA18" s="176"/>
      <c r="IB18" s="176"/>
      <c r="IC18" s="176"/>
      <c r="ID18" s="176"/>
      <c r="IE18" s="176"/>
      <c r="IF18" s="176"/>
      <c r="IG18" s="176"/>
      <c r="IH18" s="176"/>
      <c r="II18" s="176"/>
      <c r="IJ18" s="176"/>
      <c r="IK18" s="176"/>
      <c r="IL18" s="176"/>
      <c r="IM18" s="176"/>
      <c r="IN18" s="176"/>
      <c r="IO18" s="176"/>
      <c r="IP18" s="176"/>
      <c r="IQ18" s="176"/>
      <c r="IR18" s="176"/>
      <c r="IS18" s="176"/>
      <c r="IT18" s="176"/>
      <c r="IU18" s="176"/>
      <c r="IV18" s="176"/>
      <c r="IW18" s="176"/>
    </row>
    <row r="19" customFormat="false" ht="12" hidden="false" customHeight="false" outlineLevel="0" collapsed="false">
      <c r="A19" s="173" t="s">
        <v>282</v>
      </c>
      <c r="B19" s="170" t="n">
        <f aca="false">B9+B11-B17</f>
        <v>321146.666666666</v>
      </c>
      <c r="C19" s="170" t="n">
        <f aca="false">C9+C11-C17</f>
        <v>27095.8333333333</v>
      </c>
      <c r="D19" s="170" t="n">
        <f aca="false">D9+D11-D17</f>
        <v>26425.8333333333</v>
      </c>
      <c r="E19" s="170" t="n">
        <f aca="false">E9+E11-E17</f>
        <v>24629.1666666666</v>
      </c>
      <c r="F19" s="174" t="n">
        <f aca="false">F9+F11-F17</f>
        <v>26925.8333333333</v>
      </c>
      <c r="G19" s="170" t="n">
        <f aca="false">G9+G11-G17</f>
        <v>29329.1666666666</v>
      </c>
      <c r="H19" s="170" t="n">
        <f aca="false">H9+H11-H17</f>
        <v>27425.8333333333</v>
      </c>
      <c r="I19" s="174" t="n">
        <f aca="false">I9+I11-I17</f>
        <v>28995.8333333333</v>
      </c>
      <c r="J19" s="170" t="n">
        <f aca="false">J9+J11-J17</f>
        <v>26025.8333333333</v>
      </c>
      <c r="K19" s="170" t="n">
        <f aca="false">K9+K11-K17</f>
        <v>26695.8333333333</v>
      </c>
      <c r="L19" s="174" t="n">
        <f aca="false">L9+L11-L17</f>
        <v>28675.8333333333</v>
      </c>
      <c r="M19" s="170" t="n">
        <f aca="false">M9+M11-M17</f>
        <v>27545.8333333333</v>
      </c>
      <c r="N19" s="170" t="n">
        <f aca="false">N9+N11-N17</f>
        <v>21375.8333333333</v>
      </c>
      <c r="O19" s="175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76"/>
      <c r="BG19" s="176"/>
      <c r="BH19" s="176"/>
      <c r="BI19" s="176"/>
      <c r="BJ19" s="176"/>
      <c r="BK19" s="176"/>
      <c r="BL19" s="176"/>
      <c r="BM19" s="176"/>
      <c r="BN19" s="176"/>
      <c r="BO19" s="176"/>
      <c r="BP19" s="176"/>
      <c r="BQ19" s="176"/>
      <c r="BR19" s="176"/>
      <c r="BS19" s="176"/>
      <c r="BT19" s="176"/>
      <c r="BU19" s="176"/>
      <c r="BV19" s="176"/>
      <c r="BW19" s="176"/>
      <c r="BX19" s="176"/>
      <c r="BY19" s="176"/>
      <c r="BZ19" s="176"/>
      <c r="CA19" s="176"/>
      <c r="CB19" s="176"/>
      <c r="CC19" s="176"/>
      <c r="CD19" s="176"/>
      <c r="CE19" s="176"/>
      <c r="CF19" s="176"/>
      <c r="CG19" s="176"/>
      <c r="CH19" s="176"/>
      <c r="CI19" s="176"/>
      <c r="CJ19" s="176"/>
      <c r="CK19" s="176"/>
      <c r="CL19" s="176"/>
      <c r="CM19" s="176"/>
      <c r="CN19" s="176"/>
      <c r="CO19" s="176"/>
      <c r="CP19" s="176"/>
      <c r="CQ19" s="176"/>
      <c r="CR19" s="176"/>
      <c r="CS19" s="176"/>
      <c r="CT19" s="176"/>
      <c r="CU19" s="176"/>
      <c r="CV19" s="176"/>
      <c r="CW19" s="176"/>
      <c r="CX19" s="176"/>
      <c r="CY19" s="176"/>
      <c r="CZ19" s="176"/>
      <c r="DA19" s="176"/>
      <c r="DB19" s="176"/>
      <c r="DC19" s="176"/>
      <c r="DD19" s="176"/>
      <c r="DE19" s="176"/>
      <c r="DF19" s="176"/>
      <c r="DG19" s="176"/>
      <c r="DH19" s="176"/>
      <c r="DI19" s="176"/>
      <c r="DJ19" s="176"/>
      <c r="DK19" s="176"/>
      <c r="DL19" s="176"/>
      <c r="DM19" s="176"/>
      <c r="DN19" s="176"/>
      <c r="DO19" s="176"/>
      <c r="DP19" s="176"/>
      <c r="DQ19" s="176"/>
      <c r="DR19" s="176"/>
      <c r="DS19" s="176"/>
      <c r="DT19" s="176"/>
      <c r="DU19" s="176"/>
      <c r="DV19" s="176"/>
      <c r="DW19" s="176"/>
      <c r="DX19" s="176"/>
      <c r="DY19" s="176"/>
      <c r="DZ19" s="176"/>
      <c r="EA19" s="176"/>
      <c r="EB19" s="176"/>
      <c r="EC19" s="176"/>
      <c r="ED19" s="176"/>
      <c r="EE19" s="176"/>
      <c r="EF19" s="176"/>
      <c r="EG19" s="176"/>
      <c r="EH19" s="176"/>
      <c r="EI19" s="176"/>
      <c r="EJ19" s="176"/>
      <c r="EK19" s="176"/>
      <c r="EL19" s="176"/>
      <c r="EM19" s="176"/>
      <c r="EN19" s="176"/>
      <c r="EO19" s="176"/>
      <c r="EP19" s="176"/>
      <c r="EQ19" s="176"/>
      <c r="ER19" s="176"/>
      <c r="ES19" s="176"/>
      <c r="ET19" s="176"/>
      <c r="EU19" s="176"/>
      <c r="EV19" s="176"/>
      <c r="EW19" s="176"/>
      <c r="EX19" s="176"/>
      <c r="EY19" s="176"/>
      <c r="EZ19" s="176"/>
      <c r="FA19" s="176"/>
      <c r="FB19" s="176"/>
      <c r="FC19" s="176"/>
      <c r="FD19" s="176"/>
      <c r="FE19" s="176"/>
      <c r="FF19" s="176"/>
      <c r="FG19" s="176"/>
      <c r="FH19" s="176"/>
      <c r="FI19" s="176"/>
      <c r="FJ19" s="176"/>
      <c r="FK19" s="176"/>
      <c r="FL19" s="176"/>
      <c r="FM19" s="176"/>
      <c r="FN19" s="176"/>
      <c r="FO19" s="176"/>
      <c r="FP19" s="176"/>
      <c r="FQ19" s="176"/>
      <c r="FR19" s="176"/>
      <c r="FS19" s="176"/>
      <c r="FT19" s="176"/>
      <c r="FU19" s="176"/>
      <c r="FV19" s="176"/>
      <c r="FW19" s="176"/>
      <c r="FX19" s="176"/>
      <c r="FY19" s="176"/>
      <c r="FZ19" s="176"/>
      <c r="GA19" s="176"/>
      <c r="GB19" s="176"/>
      <c r="GC19" s="176"/>
      <c r="GD19" s="176"/>
      <c r="GE19" s="176"/>
      <c r="GF19" s="176"/>
      <c r="GG19" s="176"/>
      <c r="GH19" s="176"/>
      <c r="GI19" s="176"/>
      <c r="GJ19" s="176"/>
      <c r="GK19" s="176"/>
      <c r="GL19" s="176"/>
      <c r="GM19" s="176"/>
      <c r="GN19" s="176"/>
      <c r="GO19" s="176"/>
      <c r="GP19" s="176"/>
      <c r="GQ19" s="176"/>
      <c r="GR19" s="176"/>
      <c r="GS19" s="176"/>
      <c r="GT19" s="176"/>
      <c r="GU19" s="176"/>
      <c r="GV19" s="176"/>
      <c r="GW19" s="176"/>
      <c r="GX19" s="176"/>
      <c r="GY19" s="176"/>
      <c r="GZ19" s="176"/>
      <c r="HA19" s="176"/>
      <c r="HB19" s="176"/>
      <c r="HC19" s="176"/>
      <c r="HD19" s="176"/>
      <c r="HE19" s="176"/>
      <c r="HF19" s="176"/>
      <c r="HG19" s="176"/>
      <c r="HH19" s="176"/>
      <c r="HI19" s="176"/>
      <c r="HJ19" s="176"/>
      <c r="HK19" s="176"/>
      <c r="HL19" s="176"/>
      <c r="HM19" s="176"/>
      <c r="HN19" s="176"/>
      <c r="HO19" s="176"/>
      <c r="HP19" s="176"/>
      <c r="HQ19" s="176"/>
      <c r="HR19" s="176"/>
      <c r="HS19" s="176"/>
      <c r="HT19" s="176"/>
      <c r="HU19" s="176"/>
      <c r="HV19" s="176"/>
      <c r="HW19" s="176"/>
      <c r="HX19" s="176"/>
      <c r="HY19" s="176"/>
      <c r="HZ19" s="176"/>
      <c r="IA19" s="176"/>
      <c r="IB19" s="176"/>
      <c r="IC19" s="176"/>
      <c r="ID19" s="176"/>
      <c r="IE19" s="176"/>
      <c r="IF19" s="176"/>
      <c r="IG19" s="176"/>
      <c r="IH19" s="176"/>
      <c r="II19" s="176"/>
      <c r="IJ19" s="176"/>
      <c r="IK19" s="176"/>
      <c r="IL19" s="176"/>
      <c r="IM19" s="176"/>
      <c r="IN19" s="176"/>
      <c r="IO19" s="176"/>
      <c r="IP19" s="176"/>
      <c r="IQ19" s="176"/>
      <c r="IR19" s="176"/>
      <c r="IS19" s="176"/>
      <c r="IT19" s="176"/>
      <c r="IU19" s="176"/>
      <c r="IV19" s="176"/>
      <c r="IW19" s="176"/>
    </row>
    <row r="20" customFormat="false" ht="10.5" hidden="false" customHeight="true" outlineLevel="0" collapsed="false">
      <c r="A20" s="180" t="s">
        <v>283</v>
      </c>
      <c r="B20" s="177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75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6"/>
      <c r="BK20" s="176"/>
      <c r="BL20" s="176"/>
      <c r="BM20" s="176"/>
      <c r="BN20" s="176"/>
      <c r="BO20" s="176"/>
      <c r="BP20" s="176"/>
      <c r="BQ20" s="176"/>
      <c r="BR20" s="176"/>
      <c r="BS20" s="176"/>
      <c r="BT20" s="176"/>
      <c r="BU20" s="176"/>
      <c r="BV20" s="176"/>
      <c r="BW20" s="176"/>
      <c r="BX20" s="176"/>
      <c r="BY20" s="176"/>
      <c r="BZ20" s="176"/>
      <c r="CA20" s="176"/>
      <c r="CB20" s="176"/>
      <c r="CC20" s="176"/>
      <c r="CD20" s="176"/>
      <c r="CE20" s="176"/>
      <c r="CF20" s="176"/>
      <c r="CG20" s="176"/>
      <c r="CH20" s="176"/>
      <c r="CI20" s="176"/>
      <c r="CJ20" s="176"/>
      <c r="CK20" s="176"/>
      <c r="CL20" s="176"/>
      <c r="CM20" s="176"/>
      <c r="CN20" s="176"/>
      <c r="CO20" s="176"/>
      <c r="CP20" s="176"/>
      <c r="CQ20" s="176"/>
      <c r="CR20" s="176"/>
      <c r="CS20" s="176"/>
      <c r="CT20" s="176"/>
      <c r="CU20" s="176"/>
      <c r="CV20" s="176"/>
      <c r="CW20" s="176"/>
      <c r="CX20" s="176"/>
      <c r="CY20" s="176"/>
      <c r="CZ20" s="176"/>
      <c r="DA20" s="176"/>
      <c r="DB20" s="176"/>
      <c r="DC20" s="176"/>
      <c r="DD20" s="176"/>
      <c r="DE20" s="176"/>
      <c r="DF20" s="176"/>
      <c r="DG20" s="176"/>
      <c r="DH20" s="176"/>
      <c r="DI20" s="176"/>
      <c r="DJ20" s="176"/>
      <c r="DK20" s="176"/>
      <c r="DL20" s="176"/>
      <c r="DM20" s="176"/>
      <c r="DN20" s="176"/>
      <c r="DO20" s="176"/>
      <c r="DP20" s="176"/>
      <c r="DQ20" s="176"/>
      <c r="DR20" s="176"/>
      <c r="DS20" s="176"/>
      <c r="DT20" s="176"/>
      <c r="DU20" s="176"/>
      <c r="DV20" s="176"/>
      <c r="DW20" s="176"/>
      <c r="DX20" s="176"/>
      <c r="DY20" s="176"/>
      <c r="DZ20" s="176"/>
      <c r="EA20" s="176"/>
      <c r="EB20" s="176"/>
      <c r="EC20" s="176"/>
      <c r="ED20" s="176"/>
      <c r="EE20" s="176"/>
      <c r="EF20" s="176"/>
      <c r="EG20" s="176"/>
      <c r="EH20" s="176"/>
      <c r="EI20" s="176"/>
      <c r="EJ20" s="176"/>
      <c r="EK20" s="176"/>
      <c r="EL20" s="176"/>
      <c r="EM20" s="176"/>
      <c r="EN20" s="176"/>
      <c r="EO20" s="176"/>
      <c r="EP20" s="176"/>
      <c r="EQ20" s="176"/>
      <c r="ER20" s="176"/>
      <c r="ES20" s="176"/>
      <c r="ET20" s="176"/>
      <c r="EU20" s="176"/>
      <c r="EV20" s="176"/>
      <c r="EW20" s="176"/>
      <c r="EX20" s="176"/>
      <c r="EY20" s="176"/>
      <c r="EZ20" s="176"/>
      <c r="FA20" s="176"/>
      <c r="FB20" s="176"/>
      <c r="FC20" s="176"/>
      <c r="FD20" s="176"/>
      <c r="FE20" s="176"/>
      <c r="FF20" s="176"/>
      <c r="FG20" s="176"/>
      <c r="FH20" s="176"/>
      <c r="FI20" s="176"/>
      <c r="FJ20" s="176"/>
      <c r="FK20" s="176"/>
      <c r="FL20" s="176"/>
      <c r="FM20" s="176"/>
      <c r="FN20" s="176"/>
      <c r="FO20" s="176"/>
      <c r="FP20" s="176"/>
      <c r="FQ20" s="176"/>
      <c r="FR20" s="176"/>
      <c r="FS20" s="176"/>
      <c r="FT20" s="176"/>
      <c r="FU20" s="176"/>
      <c r="FV20" s="176"/>
      <c r="FW20" s="176"/>
      <c r="FX20" s="176"/>
      <c r="FY20" s="176"/>
      <c r="FZ20" s="176"/>
      <c r="GA20" s="176"/>
      <c r="GB20" s="176"/>
      <c r="GC20" s="176"/>
      <c r="GD20" s="176"/>
      <c r="GE20" s="176"/>
      <c r="GF20" s="176"/>
      <c r="GG20" s="176"/>
      <c r="GH20" s="176"/>
      <c r="GI20" s="176"/>
      <c r="GJ20" s="176"/>
      <c r="GK20" s="176"/>
      <c r="GL20" s="176"/>
      <c r="GM20" s="176"/>
      <c r="GN20" s="176"/>
      <c r="GO20" s="176"/>
      <c r="GP20" s="176"/>
      <c r="GQ20" s="176"/>
      <c r="GR20" s="176"/>
      <c r="GS20" s="176"/>
      <c r="GT20" s="176"/>
      <c r="GU20" s="176"/>
      <c r="GV20" s="176"/>
      <c r="GW20" s="176"/>
      <c r="GX20" s="176"/>
      <c r="GY20" s="176"/>
      <c r="GZ20" s="176"/>
      <c r="HA20" s="176"/>
      <c r="HB20" s="176"/>
      <c r="HC20" s="176"/>
      <c r="HD20" s="176"/>
      <c r="HE20" s="176"/>
      <c r="HF20" s="176"/>
      <c r="HG20" s="176"/>
      <c r="HH20" s="176"/>
      <c r="HI20" s="176"/>
      <c r="HJ20" s="176"/>
      <c r="HK20" s="176"/>
      <c r="HL20" s="176"/>
      <c r="HM20" s="176"/>
      <c r="HN20" s="176"/>
      <c r="HO20" s="176"/>
      <c r="HP20" s="176"/>
      <c r="HQ20" s="176"/>
      <c r="HR20" s="176"/>
      <c r="HS20" s="176"/>
      <c r="HT20" s="176"/>
      <c r="HU20" s="176"/>
      <c r="HV20" s="176"/>
      <c r="HW20" s="176"/>
      <c r="HX20" s="176"/>
      <c r="HY20" s="176"/>
      <c r="HZ20" s="176"/>
      <c r="IA20" s="176"/>
      <c r="IB20" s="176"/>
      <c r="IC20" s="176"/>
      <c r="ID20" s="176"/>
      <c r="IE20" s="176"/>
      <c r="IF20" s="176"/>
      <c r="IG20" s="176"/>
      <c r="IH20" s="176"/>
      <c r="II20" s="176"/>
      <c r="IJ20" s="176"/>
      <c r="IK20" s="176"/>
      <c r="IL20" s="176"/>
      <c r="IM20" s="176"/>
      <c r="IN20" s="176"/>
      <c r="IO20" s="176"/>
      <c r="IP20" s="176"/>
      <c r="IQ20" s="176"/>
      <c r="IR20" s="176"/>
      <c r="IS20" s="176"/>
      <c r="IT20" s="176"/>
      <c r="IU20" s="176"/>
      <c r="IV20" s="176"/>
      <c r="IW20" s="176"/>
    </row>
    <row r="21" customFormat="false" ht="12" hidden="false" customHeight="false" outlineLevel="0" collapsed="false">
      <c r="A21" s="169" t="s">
        <v>284</v>
      </c>
      <c r="B21" s="170" t="n">
        <f aca="false">SUM(C21:N21)</f>
        <v>92735.7333333333</v>
      </c>
      <c r="C21" s="171" t="n">
        <f aca="false">[3]Apr!$S$1+Wagesinterface!C4+Wagesinterface!H4-Wagesinterface!I4</f>
        <v>7325.2</v>
      </c>
      <c r="D21" s="171" t="n">
        <f aca="false">[3]May!$S$1+Wagesinterface!C5+Wagesinterface!H5-Wagesinterface!I5</f>
        <v>7325.2</v>
      </c>
      <c r="E21" s="172" t="n">
        <f aca="false">[3]Jun!$S$1+Wagesinterface!C6+Wagesinterface!H6-Wagesinterface!I6</f>
        <v>7325.2</v>
      </c>
      <c r="F21" s="171" t="n">
        <f aca="false">[3]Jul!$S$1+Wagesinterface!C7+Wagesinterface!H7-Wagesinterface!I7</f>
        <v>7325.2</v>
      </c>
      <c r="G21" s="171" t="n">
        <f aca="false">[3]Aug!$S$1+Wagesinterface!C8+Wagesinterface!H8-Wagesinterface!I8</f>
        <v>7991.86666666667</v>
      </c>
      <c r="H21" s="172" t="n">
        <f aca="false">[3]Sep!$S$1+Wagesinterface!C9+Wagesinterface!H9-Wagesinterface!I9</f>
        <v>7325.2</v>
      </c>
      <c r="I21" s="171" t="n">
        <f aca="false">[3]Oct!$S$1+Wagesinterface!C10+Wagesinterface!H10-Wagesinterface!I10</f>
        <v>7325.2</v>
      </c>
      <c r="J21" s="171" t="n">
        <f aca="false">[3]Nov!$S$1+Wagesinterface!C11+Wagesinterface!H11-Wagesinterface!I11</f>
        <v>7325.2</v>
      </c>
      <c r="K21" s="172" t="n">
        <f aca="false">[3]Dec!$S$1+Wagesinterface!C12+Wagesinterface!H12-Wagesinterface!I12</f>
        <v>11491.8666666667</v>
      </c>
      <c r="L21" s="171" t="n">
        <f aca="false">[3]Jan!$S$1+Wagesinterface!C13+Wagesinterface!H13-Wagesinterface!I13</f>
        <v>7325.2</v>
      </c>
      <c r="M21" s="171" t="n">
        <f aca="false">[3]Feb!$S$1+Wagesinterface!C14+Wagesinterface!H14-Wagesinterface!I14</f>
        <v>7325.2</v>
      </c>
      <c r="N21" s="171" t="n">
        <f aca="false">[3]Mar!$S$1+Wagesinterface!C15+Wagesinterface!H15-Wagesinterface!I15</f>
        <v>7325.2</v>
      </c>
      <c r="O21" s="164"/>
    </row>
    <row r="22" customFormat="false" ht="12" hidden="false" customHeight="false" outlineLevel="0" collapsed="false">
      <c r="A22" s="182" t="s">
        <v>285</v>
      </c>
      <c r="B22" s="170" t="n">
        <f aca="false">SUM(C22:N22)</f>
        <v>13200</v>
      </c>
      <c r="C22" s="171" t="n">
        <f aca="false">[3]Apr!$T$1</f>
        <v>1000</v>
      </c>
      <c r="D22" s="171" t="n">
        <f aca="false">[3]May!$T$1</f>
        <v>1000</v>
      </c>
      <c r="E22" s="172" t="n">
        <f aca="false">[3]Jun!$T$1</f>
        <v>1300</v>
      </c>
      <c r="F22" s="171" t="n">
        <f aca="false">[3]Jul!$T$1</f>
        <v>1000</v>
      </c>
      <c r="G22" s="171" t="n">
        <f aca="false">[3]Aug!$T$1</f>
        <v>1000</v>
      </c>
      <c r="H22" s="172" t="n">
        <f aca="false">[3]Sep!$T$1</f>
        <v>1250</v>
      </c>
      <c r="I22" s="171" t="n">
        <f aca="false">[3]Oct!$T$1</f>
        <v>1000</v>
      </c>
      <c r="J22" s="171" t="n">
        <f aca="false">[3]Nov!$T$1</f>
        <v>1000</v>
      </c>
      <c r="K22" s="172" t="n">
        <f aca="false">[3]Dec!$T$1</f>
        <v>1350</v>
      </c>
      <c r="L22" s="171" t="n">
        <f aca="false">[3]Jan!$T$1</f>
        <v>1000</v>
      </c>
      <c r="M22" s="171" t="n">
        <f aca="false">[3]Feb!$T$1</f>
        <v>1000</v>
      </c>
      <c r="N22" s="171" t="n">
        <f aca="false">[3]Mar!$T$1</f>
        <v>1300</v>
      </c>
      <c r="O22" s="164"/>
    </row>
    <row r="23" customFormat="false" ht="12" hidden="false" customHeight="false" outlineLevel="0" collapsed="false">
      <c r="A23" s="182" t="s">
        <v>286</v>
      </c>
      <c r="B23" s="170" t="n">
        <f aca="false">SUM(C23:N23)</f>
        <v>950</v>
      </c>
      <c r="C23" s="171" t="n">
        <f aca="false">[3]Apr!$U$1</f>
        <v>100</v>
      </c>
      <c r="D23" s="171" t="n">
        <f aca="false">[3]May!$U$1</f>
        <v>0</v>
      </c>
      <c r="E23" s="172" t="n">
        <f aca="false">[3]Jun!$U$1</f>
        <v>0</v>
      </c>
      <c r="F23" s="171" t="n">
        <f aca="false">[3]Jul!$U$1</f>
        <v>150</v>
      </c>
      <c r="G23" s="171" t="n">
        <f aca="false">[3]Aug!$U$1</f>
        <v>200</v>
      </c>
      <c r="H23" s="172" t="n">
        <f aca="false">[3]Sep!$U$1</f>
        <v>0</v>
      </c>
      <c r="I23" s="171" t="n">
        <f aca="false">[3]Oct!$U$1</f>
        <v>80</v>
      </c>
      <c r="J23" s="171" t="n">
        <f aca="false">[3]Nov!$U$1</f>
        <v>0</v>
      </c>
      <c r="K23" s="172" t="n">
        <f aca="false">[3]Dec!$U$1</f>
        <v>0</v>
      </c>
      <c r="L23" s="171" t="n">
        <f aca="false">[3]Jan!$U$1</f>
        <v>120</v>
      </c>
      <c r="M23" s="171" t="n">
        <f aca="false">[3]Feb!$U$1</f>
        <v>300</v>
      </c>
      <c r="N23" s="171" t="n">
        <f aca="false">[3]Mar!$U$1</f>
        <v>0</v>
      </c>
      <c r="O23" s="164"/>
    </row>
    <row r="24" customFormat="false" ht="12" hidden="false" customHeight="false" outlineLevel="0" collapsed="false">
      <c r="A24" s="182" t="s">
        <v>287</v>
      </c>
      <c r="B24" s="170" t="n">
        <f aca="false">SUM(C24:N24)</f>
        <v>3035</v>
      </c>
      <c r="C24" s="171" t="n">
        <f aca="false">[3]Apr!$V$1</f>
        <v>262.5</v>
      </c>
      <c r="D24" s="171" t="n">
        <f aca="false">[3]May!$V$1</f>
        <v>277.5</v>
      </c>
      <c r="E24" s="172" t="n">
        <f aca="false">[3]Jun!$V$1</f>
        <v>192.5</v>
      </c>
      <c r="F24" s="171" t="n">
        <f aca="false">[3]Jul!$V$1</f>
        <v>382.5</v>
      </c>
      <c r="G24" s="171" t="n">
        <f aca="false">[3]Aug!$V$1</f>
        <v>112.5</v>
      </c>
      <c r="H24" s="172" t="n">
        <f aca="false">[3]Sep!$V$1</f>
        <v>202.5</v>
      </c>
      <c r="I24" s="171" t="n">
        <f aca="false">[3]Oct!$V$1</f>
        <v>262.5</v>
      </c>
      <c r="J24" s="171" t="n">
        <f aca="false">[3]Nov!$V$1</f>
        <v>337.5</v>
      </c>
      <c r="K24" s="172" t="n">
        <f aca="false">[3]Dec!$V$1</f>
        <v>212.5</v>
      </c>
      <c r="L24" s="171" t="n">
        <f aca="false">[3]Jan!$V$1</f>
        <v>427.5</v>
      </c>
      <c r="M24" s="171" t="n">
        <f aca="false">[3]Feb!$V$1</f>
        <v>112.5</v>
      </c>
      <c r="N24" s="171" t="n">
        <f aca="false">[3]Mar!$V$1</f>
        <v>252.5</v>
      </c>
      <c r="O24" s="164"/>
    </row>
    <row r="25" customFormat="false" ht="12" hidden="false" customHeight="false" outlineLevel="0" collapsed="false">
      <c r="A25" s="182" t="s">
        <v>288</v>
      </c>
      <c r="B25" s="170" t="n">
        <f aca="false">SUM(C25:N25)</f>
        <v>6570.75</v>
      </c>
      <c r="C25" s="171" t="n">
        <f aca="false">[3]Apr!$W$1</f>
        <v>516.75</v>
      </c>
      <c r="D25" s="171" t="n">
        <f aca="false">[3]May!$W$1</f>
        <v>576</v>
      </c>
      <c r="E25" s="172" t="n">
        <f aca="false">[3]Jun!$W$1</f>
        <v>580</v>
      </c>
      <c r="F25" s="171" t="n">
        <f aca="false">[3]Jul!$W$1</f>
        <v>494.75</v>
      </c>
      <c r="G25" s="171" t="n">
        <f aca="false">[3]Aug!$W$1</f>
        <v>516.75</v>
      </c>
      <c r="H25" s="172" t="n">
        <f aca="false">[3]Sep!$W$1</f>
        <v>618</v>
      </c>
      <c r="I25" s="171" t="n">
        <f aca="false">[3]Oct!$W$1</f>
        <v>522.25</v>
      </c>
      <c r="J25" s="171" t="n">
        <f aca="false">[3]Nov!$W$1</f>
        <v>569</v>
      </c>
      <c r="K25" s="172" t="n">
        <f aca="false">[3]Dec!$W$1</f>
        <v>530.5</v>
      </c>
      <c r="L25" s="171" t="n">
        <f aca="false">[3]Jan!$W$1</f>
        <v>546.75</v>
      </c>
      <c r="M25" s="171" t="n">
        <f aca="false">[3]Feb!$W$1</f>
        <v>508.5</v>
      </c>
      <c r="N25" s="171" t="n">
        <f aca="false">[3]Mar!$W$1</f>
        <v>591.5</v>
      </c>
      <c r="O25" s="164"/>
    </row>
    <row r="26" customFormat="false" ht="12" hidden="false" customHeight="false" outlineLevel="0" collapsed="false">
      <c r="A26" s="182" t="s">
        <v>289</v>
      </c>
      <c r="B26" s="170" t="n">
        <f aca="false">SUM(C26:N26)</f>
        <v>1550</v>
      </c>
      <c r="C26" s="171" t="n">
        <f aca="false">[3]Apr!$X$1</f>
        <v>76.6666666666667</v>
      </c>
      <c r="D26" s="171" t="n">
        <f aca="false">[3]May!$X$1</f>
        <v>126.666666666667</v>
      </c>
      <c r="E26" s="172" t="n">
        <f aca="false">[3]Jun!$X$1</f>
        <v>226.666666666667</v>
      </c>
      <c r="F26" s="171" t="n">
        <f aca="false">[3]Jul!$X$1</f>
        <v>76.6666666666667</v>
      </c>
      <c r="G26" s="171" t="n">
        <f aca="false">[3]Aug!$X$1</f>
        <v>116.666666666667</v>
      </c>
      <c r="H26" s="172" t="n">
        <f aca="false">[3]Sep!$X$1</f>
        <v>76.6666666666667</v>
      </c>
      <c r="I26" s="171" t="n">
        <f aca="false">[3]Oct!$X$1</f>
        <v>176.666666666667</v>
      </c>
      <c r="J26" s="171" t="n">
        <f aca="false">[3]Nov!$X$1</f>
        <v>136.666666666667</v>
      </c>
      <c r="K26" s="172" t="n">
        <f aca="false">[3]Dec!$X$1</f>
        <v>76.6666666666667</v>
      </c>
      <c r="L26" s="171" t="n">
        <f aca="false">[3]Jan!$X$1</f>
        <v>76.6666666666667</v>
      </c>
      <c r="M26" s="171" t="n">
        <f aca="false">[3]Feb!$X$1</f>
        <v>306.666666666667</v>
      </c>
      <c r="N26" s="171" t="n">
        <f aca="false">[3]Mar!$X$1</f>
        <v>76.6666666666667</v>
      </c>
      <c r="O26" s="164"/>
    </row>
    <row r="27" customFormat="false" ht="12" hidden="false" customHeight="false" outlineLevel="0" collapsed="false">
      <c r="A27" s="182" t="s">
        <v>290</v>
      </c>
      <c r="B27" s="170" t="n">
        <f aca="false">SUM(C27:N27)</f>
        <v>4091.66666666667</v>
      </c>
      <c r="C27" s="171" t="n">
        <f aca="false">[3]Apr!$Y$1+[3]Apr!$AC$1</f>
        <v>0</v>
      </c>
      <c r="D27" s="171" t="n">
        <f aca="false">[3]May!$Y$1+[3]May!$AC$1</f>
        <v>500</v>
      </c>
      <c r="E27" s="172" t="n">
        <f aca="false">[3]Jun!$Y$1+[3]Jun!$AC$1</f>
        <v>0</v>
      </c>
      <c r="F27" s="171" t="n">
        <f aca="false">[3]Jul!$Y$1+[3]Jul!$AC$1</f>
        <v>400</v>
      </c>
      <c r="G27" s="171" t="n">
        <f aca="false">[3]Aug!$Y$1+[3]Aug!$AC$1</f>
        <v>291.666666666667</v>
      </c>
      <c r="H27" s="172" t="n">
        <f aca="false">[3]Sep!$Y$1+[3]Sep!$AC$1</f>
        <v>0</v>
      </c>
      <c r="I27" s="171" t="n">
        <f aca="false">[3]Oct!$Y$1+[3]Oct!$AC$1</f>
        <v>2500</v>
      </c>
      <c r="J27" s="171" t="n">
        <f aca="false">[3]Nov!$Y$1+[3]Nov!$AC$1</f>
        <v>0</v>
      </c>
      <c r="K27" s="172" t="n">
        <f aca="false">[3]Dec!$Y$1+[3]Dec!$AC$1</f>
        <v>0</v>
      </c>
      <c r="L27" s="171" t="n">
        <f aca="false">[3]Jan!$Y$1+[3]Jan!$AC$1</f>
        <v>400</v>
      </c>
      <c r="M27" s="171" t="n">
        <f aca="false">[3]Feb!$Y$1+[3]Feb!$AC$1</f>
        <v>0</v>
      </c>
      <c r="N27" s="171" t="n">
        <f aca="false">[3]Mar!$Y$1+[3]Mar!$AC$1</f>
        <v>0</v>
      </c>
      <c r="O27" s="164"/>
    </row>
    <row r="28" customFormat="false" ht="12" hidden="false" customHeight="false" outlineLevel="0" collapsed="false">
      <c r="A28" s="182" t="s">
        <v>291</v>
      </c>
      <c r="B28" s="170" t="n">
        <f aca="false">SUM(C28:N28)</f>
        <v>6925</v>
      </c>
      <c r="C28" s="171" t="n">
        <f aca="false">[3]Apr!$Z$1</f>
        <v>250</v>
      </c>
      <c r="D28" s="171" t="n">
        <f aca="false">[3]May!$Z$1</f>
        <v>250</v>
      </c>
      <c r="E28" s="172" t="n">
        <f aca="false">[3]Jun!$Z$1</f>
        <v>458.333333333333</v>
      </c>
      <c r="F28" s="171" t="n">
        <f aca="false">[3]Jul!$Z$1</f>
        <v>2750</v>
      </c>
      <c r="G28" s="171" t="n">
        <f aca="false">[3]Aug!$Z$1</f>
        <v>250</v>
      </c>
      <c r="H28" s="172" t="n">
        <f aca="false">[3]Sep!$Z$1</f>
        <v>1223.33333333333</v>
      </c>
      <c r="I28" s="171" t="n">
        <f aca="false">[3]Oct!$Z$1</f>
        <v>250</v>
      </c>
      <c r="J28" s="171" t="n">
        <f aca="false">[3]Nov!$Z$1</f>
        <v>250</v>
      </c>
      <c r="K28" s="172" t="n">
        <f aca="false">[3]Dec!$Z$1</f>
        <v>389.166666666667</v>
      </c>
      <c r="L28" s="171" t="n">
        <f aca="false">[3]Jan!$Z$1</f>
        <v>250</v>
      </c>
      <c r="M28" s="171" t="n">
        <f aca="false">[3]Feb!$Z$1</f>
        <v>250</v>
      </c>
      <c r="N28" s="171" t="n">
        <f aca="false">[3]Mar!$Z$1</f>
        <v>354.166666666667</v>
      </c>
      <c r="O28" s="164"/>
    </row>
    <row r="29" customFormat="false" ht="12" hidden="false" customHeight="false" outlineLevel="0" collapsed="false">
      <c r="A29" s="182" t="s">
        <v>292</v>
      </c>
      <c r="B29" s="170" t="n">
        <f aca="false">SUM(C29:N29)</f>
        <v>300</v>
      </c>
      <c r="C29" s="171" t="n">
        <f aca="false">-[2]Apr!$U$1</f>
        <v>-0</v>
      </c>
      <c r="D29" s="171" t="n">
        <f aca="false">-[2]May!$U$1</f>
        <v>-0</v>
      </c>
      <c r="E29" s="172" t="n">
        <f aca="false">-[2]Jun!$U$1</f>
        <v>-0</v>
      </c>
      <c r="F29" s="171" t="n">
        <f aca="false">-[2]Jul!$U$1</f>
        <v>-0</v>
      </c>
      <c r="G29" s="171" t="n">
        <f aca="false">-[2]Aug!$U$1</f>
        <v>-0</v>
      </c>
      <c r="H29" s="172" t="n">
        <f aca="false">-[2]Sep!$U$1</f>
        <v>-0</v>
      </c>
      <c r="I29" s="171" t="n">
        <f aca="false">-[2]Oct!$U$1</f>
        <v>-0</v>
      </c>
      <c r="J29" s="171" t="n">
        <f aca="false">-[2]Nov!$U$1</f>
        <v>-0</v>
      </c>
      <c r="K29" s="172" t="n">
        <f aca="false">-[2]Dec!$U$1</f>
        <v>-0</v>
      </c>
      <c r="L29" s="171" t="n">
        <f aca="false">-[2]Jan!$U$1</f>
        <v>-0</v>
      </c>
      <c r="M29" s="171" t="n">
        <f aca="false">-[2]Feb!$U$1</f>
        <v>-0</v>
      </c>
      <c r="N29" s="171" t="n">
        <f aca="false">-[2]Mar!$U$1</f>
        <v>300</v>
      </c>
      <c r="O29" s="164"/>
    </row>
    <row r="30" customFormat="false" ht="12" hidden="false" customHeight="false" outlineLevel="0" collapsed="false">
      <c r="A30" s="182" t="s">
        <v>293</v>
      </c>
      <c r="B30" s="170" t="n">
        <f aca="false">SUM(C30:N30)</f>
        <v>0</v>
      </c>
      <c r="C30" s="171" t="n">
        <f aca="false">[4]Apr!$Z$1</f>
        <v>0</v>
      </c>
      <c r="D30" s="171" t="n">
        <f aca="false">[4]May!$Z$1</f>
        <v>0</v>
      </c>
      <c r="E30" s="172" t="n">
        <f aca="false">[4]Jun!$Z$1</f>
        <v>0</v>
      </c>
      <c r="F30" s="171" t="n">
        <f aca="false">[4]Jul!$Z$1</f>
        <v>0</v>
      </c>
      <c r="G30" s="171" t="n">
        <f aca="false">[4]Aug!$Z$1</f>
        <v>0</v>
      </c>
      <c r="H30" s="172" t="n">
        <f aca="false">[4]Sep!$Z$1</f>
        <v>0</v>
      </c>
      <c r="I30" s="171" t="n">
        <f aca="false">[4]Oct!$Z$1</f>
        <v>0</v>
      </c>
      <c r="J30" s="171" t="n">
        <f aca="false">[4]Nov!$Z$1</f>
        <v>0</v>
      </c>
      <c r="K30" s="172" t="n">
        <f aca="false">[4]Dec!$Z$1</f>
        <v>0</v>
      </c>
      <c r="L30" s="171" t="n">
        <f aca="false">[4]Jan!$Z$1</f>
        <v>0</v>
      </c>
      <c r="M30" s="171" t="n">
        <f aca="false">[4]Feb!$Z$1</f>
        <v>0</v>
      </c>
      <c r="N30" s="171" t="n">
        <f aca="false">[4]Mar!$Z$1</f>
        <v>0</v>
      </c>
      <c r="O30" s="164"/>
    </row>
    <row r="31" customFormat="false" ht="12" hidden="false" customHeight="false" outlineLevel="0" collapsed="false">
      <c r="A31" s="182" t="s">
        <v>294</v>
      </c>
      <c r="B31" s="170" t="n">
        <f aca="false">SUM(C31:N31)</f>
        <v>3900</v>
      </c>
      <c r="C31" s="171" t="n">
        <f aca="false">[5]Apr!$V$1+[4]Apr!$Y$1</f>
        <v>0</v>
      </c>
      <c r="D31" s="171" t="n">
        <f aca="false">[5]May!$V$1+[4]May!$Y$1</f>
        <v>25</v>
      </c>
      <c r="E31" s="172" t="n">
        <f aca="false">[5]Jun!$V$1+[4]Jun!$Y$1</f>
        <v>2250</v>
      </c>
      <c r="F31" s="171" t="n">
        <f aca="false">[5]Jul!$V$1+[4]Jul!$Y$1</f>
        <v>0</v>
      </c>
      <c r="G31" s="171" t="n">
        <f aca="false">[5]Aug!$V$1+[4]Aug!$Y$1</f>
        <v>0</v>
      </c>
      <c r="H31" s="172" t="n">
        <f aca="false">[5]Sep!$V$1+[4]Sep!$Y$1</f>
        <v>1308</v>
      </c>
      <c r="I31" s="171" t="n">
        <f aca="false">[5]Oct!$V$1+[4]Oct!$Y$1</f>
        <v>0</v>
      </c>
      <c r="J31" s="171" t="n">
        <f aca="false">[5]Nov!$V$1+[4]Nov!$Y$1</f>
        <v>25</v>
      </c>
      <c r="K31" s="172" t="n">
        <f aca="false">[5]Dec!$V$1+[4]Dec!$Y$1</f>
        <v>167</v>
      </c>
      <c r="L31" s="171" t="n">
        <f aca="false">[5]Jan!$V$1+[4]Jan!$Y$1</f>
        <v>0</v>
      </c>
      <c r="M31" s="171" t="n">
        <f aca="false">[5]Feb!$V$1+[4]Feb!$Y$1</f>
        <v>0</v>
      </c>
      <c r="N31" s="171" t="n">
        <f aca="false">[5]Mar!$V$1+[4]Mar!$Y$1</f>
        <v>125</v>
      </c>
      <c r="O31" s="164"/>
    </row>
    <row r="32" customFormat="false" ht="12" hidden="false" customHeight="false" outlineLevel="0" collapsed="false">
      <c r="A32" s="182" t="s">
        <v>295</v>
      </c>
      <c r="B32" s="170" t="n">
        <f aca="false">SUM(C32:N32)</f>
        <v>3231.66666666666</v>
      </c>
      <c r="C32" s="171" t="n">
        <f aca="false">[3]Apr!$AA$1</f>
        <v>1330.83333333333</v>
      </c>
      <c r="D32" s="171" t="n">
        <f aca="false">[3]May!$AA$1</f>
        <v>95.8333333333333</v>
      </c>
      <c r="E32" s="172" t="n">
        <f aca="false">[3]Jun!$AA$1</f>
        <v>120.833333333333</v>
      </c>
      <c r="F32" s="171" t="n">
        <f aca="false">[3]Jul!$AA$1</f>
        <v>95.8333333333333</v>
      </c>
      <c r="G32" s="171" t="n">
        <f aca="false">[3]Aug!$AA$1</f>
        <v>135.833333333333</v>
      </c>
      <c r="H32" s="172" t="n">
        <f aca="false">[3]Sep!$AA$1</f>
        <v>95.8333333333333</v>
      </c>
      <c r="I32" s="171" t="n">
        <f aca="false">[3]Oct!$AA$1</f>
        <v>425.833333333333</v>
      </c>
      <c r="J32" s="171" t="n">
        <f aca="false">[3]Nov!$AA$1</f>
        <v>95.8333333333333</v>
      </c>
      <c r="K32" s="172" t="n">
        <f aca="false">[3]Dec!$AA$1</f>
        <v>532.5</v>
      </c>
      <c r="L32" s="171" t="n">
        <f aca="false">[3]Jan!$AA$1</f>
        <v>95.8333333333333</v>
      </c>
      <c r="M32" s="171" t="n">
        <f aca="false">[3]Feb!$AA$1</f>
        <v>110.833333333333</v>
      </c>
      <c r="N32" s="171" t="n">
        <f aca="false">[3]Mar!$AA$1</f>
        <v>95.8333333333333</v>
      </c>
      <c r="O32" s="164"/>
    </row>
    <row r="33" customFormat="false" ht="12" hidden="false" customHeight="false" outlineLevel="0" collapsed="false">
      <c r="A33" s="169" t="s">
        <v>296</v>
      </c>
      <c r="B33" s="170" t="n">
        <f aca="false">SUM(C33:N33)</f>
        <v>172</v>
      </c>
      <c r="C33" s="171" t="n">
        <f aca="false">-([1]Schedule!$V$1-[1]Schedule!$W$1+[1]Schedule!$X$1)/12</f>
        <v>14.3333333333333</v>
      </c>
      <c r="D33" s="171" t="n">
        <f aca="false">-([1]Schedule!$V$1-[1]Schedule!$W$1+[1]Schedule!$X$1)/12</f>
        <v>14.3333333333333</v>
      </c>
      <c r="E33" s="172" t="n">
        <f aca="false">-([1]Schedule!$V$1-[1]Schedule!$W$1+[1]Schedule!$X$1)/12</f>
        <v>14.3333333333333</v>
      </c>
      <c r="F33" s="171" t="n">
        <f aca="false">-([1]Schedule!$V$1-[1]Schedule!$W$1+[1]Schedule!$X$1)/12</f>
        <v>14.3333333333333</v>
      </c>
      <c r="G33" s="171" t="n">
        <f aca="false">-([1]Schedule!$V$1-[1]Schedule!$W$1+[1]Schedule!$X$1)/12</f>
        <v>14.3333333333333</v>
      </c>
      <c r="H33" s="172" t="n">
        <f aca="false">-([1]Schedule!$V$1-[1]Schedule!$W$1+[1]Schedule!$X$1)/12</f>
        <v>14.3333333333333</v>
      </c>
      <c r="I33" s="171" t="n">
        <f aca="false">-([1]Schedule!$V$1-[1]Schedule!$W$1+[1]Schedule!$X$1)/12</f>
        <v>14.3333333333333</v>
      </c>
      <c r="J33" s="171" t="n">
        <f aca="false">-([1]Schedule!$V$1-[1]Schedule!$W$1+[1]Schedule!$X$1)/12</f>
        <v>14.3333333333333</v>
      </c>
      <c r="K33" s="172" t="n">
        <f aca="false">-([1]Schedule!$V$1-[1]Schedule!$W$1+[1]Schedule!$X$1)/12</f>
        <v>14.3333333333333</v>
      </c>
      <c r="L33" s="171" t="n">
        <f aca="false">-([1]Schedule!$V$1-[1]Schedule!$W$1+[1]Schedule!$X$1)/12</f>
        <v>14.3333333333333</v>
      </c>
      <c r="M33" s="171" t="n">
        <f aca="false">-([1]Schedule!$V$1-[1]Schedule!$W$1+[1]Schedule!$X$1)/12</f>
        <v>14.3333333333333</v>
      </c>
      <c r="N33" s="171" t="n">
        <f aca="false">-([1]Schedule!$V$1-[1]Schedule!$W$1+[1]Schedule!$X$1)/12</f>
        <v>14.3333333333333</v>
      </c>
      <c r="O33" s="164"/>
    </row>
    <row r="34" customFormat="false" ht="12" hidden="false" customHeight="false" outlineLevel="0" collapsed="false">
      <c r="A34" s="169" t="s">
        <v>297</v>
      </c>
      <c r="B34" s="170" t="n">
        <f aca="false">SUM(C34:N34)</f>
        <v>20865</v>
      </c>
      <c r="C34" s="171" t="n">
        <f aca="false">([1]Schedule!$I$1)/12</f>
        <v>1738.75</v>
      </c>
      <c r="D34" s="171" t="n">
        <f aca="false">([1]Schedule!$I$1)/12</f>
        <v>1738.75</v>
      </c>
      <c r="E34" s="172" t="n">
        <f aca="false">([1]Schedule!$I$1)/12</f>
        <v>1738.75</v>
      </c>
      <c r="F34" s="171" t="n">
        <f aca="false">([1]Schedule!$I$1)/12</f>
        <v>1738.75</v>
      </c>
      <c r="G34" s="171" t="n">
        <f aca="false">([1]Schedule!$I$1)/12</f>
        <v>1738.75</v>
      </c>
      <c r="H34" s="172" t="n">
        <f aca="false">([1]Schedule!$I$1)/12</f>
        <v>1738.75</v>
      </c>
      <c r="I34" s="171" t="n">
        <f aca="false">([1]Schedule!$I$1)/12</f>
        <v>1738.75</v>
      </c>
      <c r="J34" s="171" t="n">
        <f aca="false">([1]Schedule!$I$1)/12</f>
        <v>1738.75</v>
      </c>
      <c r="K34" s="172" t="n">
        <f aca="false">([1]Schedule!$I$1)/12</f>
        <v>1738.75</v>
      </c>
      <c r="L34" s="171" t="n">
        <f aca="false">([1]Schedule!$I$1)/12</f>
        <v>1738.75</v>
      </c>
      <c r="M34" s="171" t="n">
        <f aca="false">([1]Schedule!$I$1)/12</f>
        <v>1738.75</v>
      </c>
      <c r="N34" s="171" t="n">
        <f aca="false">([1]Schedule!$I$1)/12</f>
        <v>1738.75</v>
      </c>
      <c r="O34" s="164"/>
    </row>
    <row r="35" customFormat="false" ht="12" hidden="false" customHeight="false" outlineLevel="0" collapsed="false">
      <c r="A35" s="173" t="s">
        <v>283</v>
      </c>
      <c r="B35" s="170" t="n">
        <f aca="false">SUM(B21:B34)</f>
        <v>157526.816666667</v>
      </c>
      <c r="C35" s="170" t="n">
        <f aca="false">SUM(C21:C34)</f>
        <v>12615.0333333333</v>
      </c>
      <c r="D35" s="170" t="n">
        <f aca="false">SUM(D21:D34)</f>
        <v>11929.2833333333</v>
      </c>
      <c r="E35" s="170" t="n">
        <f aca="false">SUM(E21:E34)</f>
        <v>14206.6166666667</v>
      </c>
      <c r="F35" s="174" t="n">
        <f aca="false">SUM(F21:F34)</f>
        <v>14428.0333333333</v>
      </c>
      <c r="G35" s="170" t="n">
        <f aca="false">SUM(G21:G34)</f>
        <v>12368.3666666667</v>
      </c>
      <c r="H35" s="170" t="n">
        <f aca="false">SUM(H21:H34)</f>
        <v>13852.6166666667</v>
      </c>
      <c r="I35" s="174" t="n">
        <f aca="false">SUM(I21:I34)</f>
        <v>14295.5333333333</v>
      </c>
      <c r="J35" s="170" t="n">
        <f aca="false">SUM(J21:J34)</f>
        <v>11492.2833333333</v>
      </c>
      <c r="K35" s="170" t="n">
        <f aca="false">SUM(K21:K34)</f>
        <v>16503.2833333333</v>
      </c>
      <c r="L35" s="174" t="n">
        <f aca="false">SUM(L21:L34)</f>
        <v>11995.0333333333</v>
      </c>
      <c r="M35" s="170" t="n">
        <f aca="false">SUM(M21:M34)</f>
        <v>11666.7833333333</v>
      </c>
      <c r="N35" s="170" t="n">
        <f aca="false">SUM(N21:N34)</f>
        <v>12173.95</v>
      </c>
      <c r="O35" s="164"/>
    </row>
    <row r="36" customFormat="false" ht="7.5" hidden="false" customHeight="true" outlineLevel="0" collapsed="false">
      <c r="A36" s="183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64"/>
    </row>
    <row r="37" customFormat="false" ht="12" hidden="false" customHeight="false" outlineLevel="0" collapsed="false">
      <c r="A37" s="173" t="s">
        <v>298</v>
      </c>
      <c r="B37" s="170" t="n">
        <f aca="false">B19-B35</f>
        <v>163619.85</v>
      </c>
      <c r="C37" s="170" t="n">
        <f aca="false">C19-C35</f>
        <v>14480.8</v>
      </c>
      <c r="D37" s="170" t="n">
        <f aca="false">D19-D35</f>
        <v>14496.55</v>
      </c>
      <c r="E37" s="170" t="n">
        <f aca="false">E19-E35</f>
        <v>10422.55</v>
      </c>
      <c r="F37" s="174" t="n">
        <f aca="false">F19-F35</f>
        <v>12497.8</v>
      </c>
      <c r="G37" s="170" t="n">
        <f aca="false">G19-G35</f>
        <v>16960.8</v>
      </c>
      <c r="H37" s="170" t="n">
        <f aca="false">H19-H35</f>
        <v>13573.2166666666</v>
      </c>
      <c r="I37" s="174" t="n">
        <f aca="false">I19-I35</f>
        <v>14700.3</v>
      </c>
      <c r="J37" s="170" t="n">
        <f aca="false">J19-J35</f>
        <v>14533.55</v>
      </c>
      <c r="K37" s="170" t="n">
        <f aca="false">K19-K35</f>
        <v>10192.55</v>
      </c>
      <c r="L37" s="174" t="n">
        <f aca="false">L19-L35</f>
        <v>16680.8</v>
      </c>
      <c r="M37" s="170" t="n">
        <f aca="false">M19-M35</f>
        <v>15879.05</v>
      </c>
      <c r="N37" s="170" t="n">
        <f aca="false">N19-N35</f>
        <v>9201.8833333333</v>
      </c>
      <c r="O37" s="164"/>
    </row>
    <row r="38" customFormat="false" ht="12" hidden="false" customHeight="false" outlineLevel="0" collapsed="false">
      <c r="A38" s="169" t="s">
        <v>299</v>
      </c>
      <c r="B38" s="170" t="n">
        <f aca="false">SUM(C38:N38)</f>
        <v>0</v>
      </c>
      <c r="C38" s="171" t="n">
        <f aca="false">[4]Apr!$J$1</f>
        <v>0</v>
      </c>
      <c r="D38" s="171" t="n">
        <f aca="false">[4]May!$J$1</f>
        <v>0</v>
      </c>
      <c r="E38" s="172" t="n">
        <f aca="false">[4]Jun!$J$1</f>
        <v>0</v>
      </c>
      <c r="F38" s="171" t="n">
        <f aca="false">[4]Jul!$J$1</f>
        <v>0</v>
      </c>
      <c r="G38" s="171" t="n">
        <f aca="false">[4]Aug!$J$1</f>
        <v>0</v>
      </c>
      <c r="H38" s="172" t="n">
        <f aca="false">[4]Sep!$J$1</f>
        <v>0</v>
      </c>
      <c r="I38" s="171" t="n">
        <f aca="false">[4]Oct!$J$1</f>
        <v>0</v>
      </c>
      <c r="J38" s="171" t="n">
        <f aca="false">[4]Nov!$J$1</f>
        <v>0</v>
      </c>
      <c r="K38" s="172" t="n">
        <f aca="false">[4]Dec!$J$1</f>
        <v>0</v>
      </c>
      <c r="L38" s="171" t="n">
        <f aca="false">[4]Jan!$J$1</f>
        <v>0</v>
      </c>
      <c r="M38" s="171" t="n">
        <f aca="false">[4]Feb!$J$1</f>
        <v>0</v>
      </c>
      <c r="N38" s="171" t="n">
        <f aca="false">[4]Mar!$J$1</f>
        <v>0</v>
      </c>
      <c r="O38" s="164"/>
    </row>
    <row r="39" customFormat="false" ht="12" hidden="false" customHeight="false" outlineLevel="0" collapsed="false">
      <c r="A39" s="173" t="s">
        <v>300</v>
      </c>
      <c r="B39" s="170" t="n">
        <f aca="false">B37+B38</f>
        <v>163619.85</v>
      </c>
      <c r="C39" s="170" t="n">
        <f aca="false">C37+C38</f>
        <v>14480.8</v>
      </c>
      <c r="D39" s="170" t="n">
        <f aca="false">D37+D38</f>
        <v>14496.55</v>
      </c>
      <c r="E39" s="170" t="n">
        <f aca="false">E37+E38</f>
        <v>10422.55</v>
      </c>
      <c r="F39" s="174" t="n">
        <f aca="false">F37+F38</f>
        <v>12497.8</v>
      </c>
      <c r="G39" s="170" t="n">
        <f aca="false">G37+G38</f>
        <v>16960.8</v>
      </c>
      <c r="H39" s="170" t="n">
        <f aca="false">H37+H38</f>
        <v>13573.2166666666</v>
      </c>
      <c r="I39" s="174" t="n">
        <f aca="false">I37+I38</f>
        <v>14700.3</v>
      </c>
      <c r="J39" s="170" t="n">
        <f aca="false">J37+J38</f>
        <v>14533.55</v>
      </c>
      <c r="K39" s="170" t="n">
        <f aca="false">K37+K38</f>
        <v>10192.55</v>
      </c>
      <c r="L39" s="174" t="n">
        <f aca="false">L37+L38</f>
        <v>16680.8</v>
      </c>
      <c r="M39" s="170" t="n">
        <f aca="false">M37+M38</f>
        <v>15879.05</v>
      </c>
      <c r="N39" s="170" t="n">
        <f aca="false">N37+N38</f>
        <v>9201.8833333333</v>
      </c>
      <c r="O39" s="164"/>
    </row>
    <row r="40" customFormat="false" ht="7.5" hidden="false" customHeight="true" outlineLevel="0" collapsed="false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6"/>
    </row>
    <row r="41" customFormat="false" ht="12" hidden="false" customHeight="false" outlineLevel="0" collapsed="false">
      <c r="A41" s="187" t="s">
        <v>301</v>
      </c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9"/>
    </row>
    <row r="42" customFormat="false" ht="12" hidden="false" customHeight="false" outlineLevel="0" collapsed="false">
      <c r="A42" s="182" t="s">
        <v>302</v>
      </c>
      <c r="B42" s="177" t="n">
        <f aca="false">SUM(C42:N42)</f>
        <v>27000</v>
      </c>
      <c r="C42" s="177" t="n">
        <f aca="false">[5]Apr!$X$1+[4]Apr!$AB$1</f>
        <v>1000</v>
      </c>
      <c r="D42" s="177" t="n">
        <f aca="false">[5]May!$X$1+[4]May!$AB$1</f>
        <v>1000</v>
      </c>
      <c r="E42" s="177" t="n">
        <f aca="false">[5]Jun!$X$1+[4]Jun!$AB$1</f>
        <v>1000</v>
      </c>
      <c r="F42" s="177" t="n">
        <f aca="false">[5]Jul!$X$1+[4]Jul!$AB$1</f>
        <v>4000</v>
      </c>
      <c r="G42" s="177" t="n">
        <f aca="false">[5]Aug!$X$1+[4]Aug!$AB$1</f>
        <v>1000</v>
      </c>
      <c r="H42" s="177" t="n">
        <f aca="false">[5]Sep!$X$1+[4]Sep!$AB$1</f>
        <v>1000</v>
      </c>
      <c r="I42" s="177" t="n">
        <f aca="false">[5]Oct!$X$1+[4]Oct!$AB$1</f>
        <v>4000</v>
      </c>
      <c r="J42" s="177" t="n">
        <f aca="false">[5]Nov!$X$1+[4]Nov!$AB$1</f>
        <v>1000</v>
      </c>
      <c r="K42" s="177" t="n">
        <f aca="false">[5]Dec!$X$1+[4]Dec!$AB$1</f>
        <v>1000</v>
      </c>
      <c r="L42" s="177" t="n">
        <f aca="false">[5]Jan!$X$1+[4]Jan!$AB$1</f>
        <v>4000</v>
      </c>
      <c r="M42" s="177" t="n">
        <f aca="false">[5]Feb!$X$1+[4]Feb!$AB$1</f>
        <v>1000</v>
      </c>
      <c r="N42" s="177" t="n">
        <f aca="false">[5]Mar!$X$1+[4]Mar!$AB$1</f>
        <v>7000</v>
      </c>
      <c r="O42" s="164"/>
    </row>
    <row r="43" customFormat="false" ht="12" hidden="false" customHeight="false" outlineLevel="0" collapsed="false">
      <c r="A43" s="182" t="s">
        <v>303</v>
      </c>
      <c r="B43" s="177" t="n">
        <f aca="false">SUM(C43:N43)</f>
        <v>0</v>
      </c>
      <c r="C43" s="177" t="n">
        <f aca="false">-[2]Apr!$W$1</f>
        <v>-0</v>
      </c>
      <c r="D43" s="177" t="n">
        <f aca="false">-[2]May!$W$1</f>
        <v>-0</v>
      </c>
      <c r="E43" s="177" t="n">
        <f aca="false">-[2]Jun!$W$1</f>
        <v>-0</v>
      </c>
      <c r="F43" s="177" t="n">
        <f aca="false">-[2]Jul!$W$1</f>
        <v>-0</v>
      </c>
      <c r="G43" s="177" t="n">
        <f aca="false">-[2]Aug!$W$1</f>
        <v>-0</v>
      </c>
      <c r="H43" s="177" t="n">
        <f aca="false">-[2]Sep!$W$1</f>
        <v>-0</v>
      </c>
      <c r="I43" s="177" t="n">
        <f aca="false">-[2]Oct!$W$1</f>
        <v>-0</v>
      </c>
      <c r="J43" s="177" t="n">
        <f aca="false">-[2]Nov!$W$1</f>
        <v>-0</v>
      </c>
      <c r="K43" s="177" t="n">
        <f aca="false">-[2]Dec!$W$1</f>
        <v>-0</v>
      </c>
      <c r="L43" s="177" t="n">
        <f aca="false">-[2]Jan!$W$1</f>
        <v>-0</v>
      </c>
      <c r="M43" s="177" t="n">
        <f aca="false">-[2]Feb!$W$1</f>
        <v>-0</v>
      </c>
      <c r="N43" s="177" t="n">
        <f aca="false">-[2]Mar!$W$1</f>
        <v>-0</v>
      </c>
      <c r="O43" s="164"/>
    </row>
    <row r="44" customFormat="false" ht="12" hidden="false" customHeight="false" outlineLevel="0" collapsed="false">
      <c r="A44" s="182" t="s">
        <v>304</v>
      </c>
      <c r="B44" s="177" t="n">
        <f aca="false">SUM(C44:N44)</f>
        <v>42674.9669999998</v>
      </c>
      <c r="C44" s="177" t="n">
        <f aca="false">IF(C9&gt;0,'Profit Forecast'!C$46/12,0)</f>
        <v>3556.24724999998</v>
      </c>
      <c r="D44" s="177" t="n">
        <f aca="false">IF(D9&gt;0,'Profit Forecast'!C$46/12,0)</f>
        <v>3556.24724999998</v>
      </c>
      <c r="E44" s="177" t="n">
        <f aca="false">IF(E9&gt;0,'Profit Forecast'!C$46/12,0)</f>
        <v>3556.24724999998</v>
      </c>
      <c r="F44" s="177" t="n">
        <f aca="false">IF(F9&gt;0,'Profit Forecast'!C$46/12,0)</f>
        <v>3556.24724999998</v>
      </c>
      <c r="G44" s="177" t="n">
        <f aca="false">IF(G9&gt;0,'Profit Forecast'!C$46/12,0)</f>
        <v>3556.24724999998</v>
      </c>
      <c r="H44" s="177" t="n">
        <f aca="false">IF(H9&gt;0,'Profit Forecast'!C$46/12,0)</f>
        <v>3556.24724999998</v>
      </c>
      <c r="I44" s="177" t="n">
        <f aca="false">IF(I9&gt;0,'Profit Forecast'!C$46/12,0)</f>
        <v>3556.24724999998</v>
      </c>
      <c r="J44" s="177" t="n">
        <f aca="false">IF(J9&gt;0,'Profit Forecast'!C$46/12,0)</f>
        <v>3556.24724999998</v>
      </c>
      <c r="K44" s="177" t="n">
        <f aca="false">IF(K9&gt;0,'Profit Forecast'!C$46/12,0)</f>
        <v>3556.24724999998</v>
      </c>
      <c r="L44" s="177" t="n">
        <f aca="false">IF(L9&gt;0,'Profit Forecast'!C$46/12,0)</f>
        <v>3556.24724999998</v>
      </c>
      <c r="M44" s="177" t="n">
        <f aca="false">IF(M9&gt;0,'Profit Forecast'!C$46/12,0)</f>
        <v>3556.24724999998</v>
      </c>
      <c r="N44" s="177" t="n">
        <f aca="false">IF(N9&gt;0,'Profit Forecast'!C$46/12,0)</f>
        <v>3556.24724999998</v>
      </c>
      <c r="O44" s="164"/>
    </row>
    <row r="45" customFormat="false" ht="12" hidden="false" customHeight="false" outlineLevel="0" collapsed="false">
      <c r="A45" s="188" t="s">
        <v>305</v>
      </c>
      <c r="B45" s="189" t="n">
        <f aca="false">SUM(C45:N45)</f>
        <v>93944.8829999998</v>
      </c>
      <c r="C45" s="190" t="n">
        <f aca="false">C39-C42-C44</f>
        <v>9924.55274999999</v>
      </c>
      <c r="D45" s="191" t="n">
        <f aca="false">D39-D42-D44</f>
        <v>9940.30274999999</v>
      </c>
      <c r="E45" s="191" t="n">
        <f aca="false">E39-E42-E44</f>
        <v>5866.30274999998</v>
      </c>
      <c r="F45" s="191" t="n">
        <f aca="false">F39-F42-F44</f>
        <v>4941.55274999999</v>
      </c>
      <c r="G45" s="191" t="n">
        <f aca="false">G39-G42-G44</f>
        <v>12404.55275</v>
      </c>
      <c r="H45" s="191" t="n">
        <f aca="false">H39-H42-H44</f>
        <v>9016.96941666666</v>
      </c>
      <c r="I45" s="191" t="n">
        <f aca="false">I39-I42-I44</f>
        <v>7144.05274999999</v>
      </c>
      <c r="J45" s="191" t="n">
        <f aca="false">J39-J42-J44</f>
        <v>9977.30274999999</v>
      </c>
      <c r="K45" s="191" t="n">
        <f aca="false">K39-K42-K44</f>
        <v>5636.30274999998</v>
      </c>
      <c r="L45" s="191" t="n">
        <f aca="false">L39-L42-L44</f>
        <v>9124.55274999999</v>
      </c>
      <c r="M45" s="191" t="n">
        <f aca="false">M39-M42-M44</f>
        <v>11322.80275</v>
      </c>
      <c r="N45" s="191" t="n">
        <f aca="false">N39-N42-N44</f>
        <v>-1354.36391666668</v>
      </c>
      <c r="O45" s="164"/>
    </row>
    <row r="46" customFormat="false" ht="12" hidden="false" customHeight="false" outlineLevel="0" collapsed="false">
      <c r="A46" s="182" t="s">
        <v>254</v>
      </c>
      <c r="B46" s="177" t="n">
        <f aca="false">SUM(C46:N46)</f>
        <v>5000</v>
      </c>
      <c r="C46" s="177" t="n">
        <f aca="false">[5]Apr!$J$1+[4]Apr!$L$1</f>
        <v>0</v>
      </c>
      <c r="D46" s="177" t="n">
        <f aca="false">[5]May!$J$1+[4]May!$L$1</f>
        <v>0</v>
      </c>
      <c r="E46" s="177" t="n">
        <f aca="false">[5]Jun!$J$1+[4]Jun!$L$1</f>
        <v>0</v>
      </c>
      <c r="F46" s="177" t="n">
        <f aca="false">[5]Jul!$J$1+[4]Jul!$L$1</f>
        <v>0</v>
      </c>
      <c r="G46" s="177" t="n">
        <f aca="false">[5]Aug!$J$1+[4]Aug!$L$1</f>
        <v>0</v>
      </c>
      <c r="H46" s="177" t="n">
        <f aca="false">[5]Sep!$J$1+[4]Sep!$L$1</f>
        <v>0</v>
      </c>
      <c r="I46" s="177" t="n">
        <f aca="false">[5]Oct!$J$1+[4]Oct!$L$1</f>
        <v>0</v>
      </c>
      <c r="J46" s="177" t="n">
        <f aca="false">[5]Nov!$J$1+[4]Nov!$L$1</f>
        <v>0</v>
      </c>
      <c r="K46" s="177" t="n">
        <f aca="false">[5]Dec!$J$1+[4]Dec!$L$1</f>
        <v>0</v>
      </c>
      <c r="L46" s="177" t="n">
        <f aca="false">[5]Jan!$J$1+[4]Jan!$L$1</f>
        <v>5000</v>
      </c>
      <c r="M46" s="177" t="n">
        <f aca="false">[5]Feb!$J$1+[4]Feb!$L$1</f>
        <v>0</v>
      </c>
      <c r="N46" s="177" t="n">
        <f aca="false">[5]Mar!$J$1+[4]Mar!$L$1</f>
        <v>0</v>
      </c>
      <c r="O46" s="164"/>
    </row>
    <row r="47" customFormat="false" ht="6" hidden="false" customHeight="true" outlineLevel="0" collapsed="false">
      <c r="A47" s="184"/>
      <c r="B47" s="192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86"/>
    </row>
    <row r="49" customFormat="false" ht="12" hidden="false" customHeight="false" outlineLevel="0" collapsed="false">
      <c r="A49" s="182" t="s">
        <v>306</v>
      </c>
      <c r="B49" s="170" t="n">
        <f aca="false">SUM(C49:N49)</f>
        <v>291.666666666667</v>
      </c>
      <c r="C49" s="171" t="n">
        <f aca="false">[3]Apr!$AC$1</f>
        <v>0</v>
      </c>
      <c r="D49" s="171" t="n">
        <f aca="false">[3]May!$AC$1</f>
        <v>0</v>
      </c>
      <c r="E49" s="172" t="n">
        <f aca="false">[3]Jun!$AC$1</f>
        <v>0</v>
      </c>
      <c r="F49" s="171" t="n">
        <f aca="false">[3]Jul!$AC$1</f>
        <v>0</v>
      </c>
      <c r="G49" s="171" t="n">
        <f aca="false">[3]Aug!$AC$1</f>
        <v>291.666666666667</v>
      </c>
      <c r="H49" s="172" t="n">
        <f aca="false">[3]Sep!$AC$1</f>
        <v>0</v>
      </c>
      <c r="I49" s="171" t="n">
        <f aca="false">[3]Oct!$AC$1</f>
        <v>0</v>
      </c>
      <c r="J49" s="171" t="n">
        <f aca="false">[3]Nov!$AC$1</f>
        <v>0</v>
      </c>
      <c r="K49" s="172" t="n">
        <f aca="false">[3]Dec!$AC$1</f>
        <v>0</v>
      </c>
      <c r="L49" s="171" t="n">
        <f aca="false">[3]Jan!$AC$1</f>
        <v>0</v>
      </c>
      <c r="M49" s="171" t="n">
        <f aca="false">[3]Feb!$AC$1</f>
        <v>0</v>
      </c>
      <c r="N49" s="172" t="n">
        <f aca="false">[3]Mar!$AC$1</f>
        <v>0</v>
      </c>
      <c r="O49" s="164"/>
    </row>
  </sheetData>
  <mergeCells count="13">
    <mergeCell ref="A2:A4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rintOptions headings="false" gridLines="true" gridLinesSet="true" horizontalCentered="false" verticalCentered="false"/>
  <pageMargins left="0.275694444444444" right="0.472222222222222" top="0.273611111111111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94" width="1.66"/>
    <col collapsed="false" customWidth="true" hidden="false" outlineLevel="0" max="2" min="2" style="194" width="22.32"/>
    <col collapsed="false" customWidth="false" hidden="false" outlineLevel="0" max="3" min="3" style="194" width="9.15"/>
    <col collapsed="false" customWidth="true" hidden="false" outlineLevel="0" max="4" min="4" style="194" width="10.15"/>
    <col collapsed="false" customWidth="false" hidden="false" outlineLevel="0" max="7" min="5" style="194" width="9.15"/>
    <col collapsed="false" customWidth="true" hidden="false" outlineLevel="0" max="8" min="8" style="194" width="23.66"/>
    <col collapsed="false" customWidth="true" hidden="false" outlineLevel="0" max="9" min="9" style="194" width="1.66"/>
    <col collapsed="false" customWidth="false" hidden="false" outlineLevel="0" max="257" min="10" style="194" width="9.15"/>
  </cols>
  <sheetData>
    <row r="1" customFormat="false" ht="6" hidden="false" customHeight="true" outlineLevel="0" collapsed="false">
      <c r="A1" s="195"/>
      <c r="B1" s="195"/>
      <c r="C1" s="195"/>
      <c r="D1" s="195"/>
      <c r="E1" s="195"/>
      <c r="F1" s="195"/>
      <c r="G1" s="195"/>
      <c r="H1" s="195"/>
      <c r="I1" s="195"/>
      <c r="J1" s="196"/>
    </row>
    <row r="2" customFormat="false" ht="12" hidden="false" customHeight="true" outlineLevel="0" collapsed="false">
      <c r="A2" s="195"/>
      <c r="B2" s="197" t="s">
        <v>307</v>
      </c>
      <c r="C2" s="197" t="s">
        <v>308</v>
      </c>
      <c r="D2" s="197" t="s">
        <v>309</v>
      </c>
      <c r="E2" s="197" t="s">
        <v>310</v>
      </c>
      <c r="F2" s="197" t="s">
        <v>311</v>
      </c>
      <c r="G2" s="197" t="s">
        <v>312</v>
      </c>
      <c r="H2" s="197" t="s">
        <v>313</v>
      </c>
      <c r="I2" s="195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6"/>
      <c r="BG2" s="196"/>
      <c r="BH2" s="196"/>
      <c r="BI2" s="196"/>
      <c r="BJ2" s="196"/>
      <c r="BK2" s="196"/>
      <c r="BL2" s="196"/>
      <c r="BM2" s="196"/>
      <c r="BN2" s="196"/>
      <c r="BO2" s="196"/>
      <c r="BP2" s="196"/>
      <c r="BQ2" s="196"/>
      <c r="BR2" s="196"/>
      <c r="BS2" s="196"/>
      <c r="BT2" s="196"/>
      <c r="BU2" s="196"/>
      <c r="BV2" s="196"/>
      <c r="BW2" s="196"/>
      <c r="BX2" s="196"/>
      <c r="BY2" s="196"/>
      <c r="BZ2" s="196"/>
      <c r="CA2" s="196"/>
      <c r="CB2" s="196"/>
      <c r="CC2" s="196"/>
      <c r="CD2" s="196"/>
      <c r="CE2" s="196"/>
      <c r="CF2" s="196"/>
      <c r="CG2" s="196"/>
      <c r="CH2" s="196"/>
      <c r="CI2" s="196"/>
      <c r="CJ2" s="196"/>
      <c r="CK2" s="196"/>
      <c r="CL2" s="196"/>
      <c r="CM2" s="196"/>
      <c r="CN2" s="196"/>
      <c r="CO2" s="196"/>
      <c r="CP2" s="196"/>
      <c r="CQ2" s="196"/>
      <c r="CR2" s="196"/>
      <c r="CS2" s="196"/>
      <c r="CT2" s="196"/>
      <c r="CU2" s="196"/>
      <c r="CV2" s="196"/>
      <c r="CW2" s="196"/>
      <c r="CX2" s="196"/>
      <c r="CY2" s="196"/>
      <c r="CZ2" s="196"/>
      <c r="DA2" s="196"/>
      <c r="DB2" s="196"/>
      <c r="DC2" s="196"/>
      <c r="DD2" s="196"/>
      <c r="DE2" s="196"/>
      <c r="DF2" s="196"/>
      <c r="DG2" s="196"/>
      <c r="DH2" s="196"/>
      <c r="DI2" s="196"/>
      <c r="DJ2" s="196"/>
      <c r="DK2" s="196"/>
      <c r="DL2" s="196"/>
      <c r="DM2" s="196"/>
      <c r="DN2" s="196"/>
      <c r="DO2" s="196"/>
      <c r="DP2" s="196"/>
      <c r="DQ2" s="196"/>
      <c r="DR2" s="196"/>
      <c r="DS2" s="196"/>
      <c r="DT2" s="196"/>
      <c r="DU2" s="196"/>
      <c r="DV2" s="196"/>
      <c r="DW2" s="196"/>
      <c r="DX2" s="196"/>
      <c r="DY2" s="196"/>
      <c r="DZ2" s="196"/>
      <c r="EA2" s="196"/>
      <c r="EB2" s="196"/>
      <c r="EC2" s="196"/>
      <c r="ED2" s="196"/>
      <c r="EE2" s="196"/>
      <c r="EF2" s="196"/>
      <c r="EG2" s="196"/>
      <c r="EH2" s="196"/>
      <c r="EI2" s="196"/>
      <c r="EJ2" s="196"/>
      <c r="EK2" s="196"/>
      <c r="EL2" s="196"/>
      <c r="EM2" s="196"/>
      <c r="EN2" s="196"/>
      <c r="EO2" s="196"/>
      <c r="EP2" s="196"/>
      <c r="EQ2" s="196"/>
      <c r="ER2" s="196"/>
      <c r="ES2" s="196"/>
      <c r="ET2" s="196"/>
      <c r="EU2" s="196"/>
      <c r="EV2" s="196"/>
      <c r="EW2" s="196"/>
      <c r="EX2" s="196"/>
      <c r="EY2" s="196"/>
      <c r="EZ2" s="196"/>
      <c r="FA2" s="196"/>
      <c r="FB2" s="196"/>
      <c r="FC2" s="196"/>
      <c r="FD2" s="196"/>
      <c r="FE2" s="196"/>
      <c r="FF2" s="196"/>
      <c r="FG2" s="196"/>
      <c r="FH2" s="196"/>
      <c r="FI2" s="196"/>
      <c r="FJ2" s="196"/>
      <c r="FK2" s="196"/>
      <c r="FL2" s="196"/>
      <c r="FM2" s="196"/>
      <c r="FN2" s="196"/>
      <c r="FO2" s="196"/>
      <c r="FP2" s="196"/>
      <c r="FQ2" s="196"/>
      <c r="FR2" s="196"/>
      <c r="FS2" s="196"/>
      <c r="FT2" s="196"/>
      <c r="FU2" s="196"/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196"/>
      <c r="GG2" s="196"/>
      <c r="GH2" s="196"/>
      <c r="GI2" s="196"/>
      <c r="GJ2" s="196"/>
      <c r="GK2" s="196"/>
      <c r="GL2" s="196"/>
      <c r="GM2" s="196"/>
      <c r="GN2" s="196"/>
      <c r="GO2" s="196"/>
      <c r="GP2" s="196"/>
      <c r="GQ2" s="196"/>
      <c r="GR2" s="196"/>
      <c r="GS2" s="196"/>
      <c r="GT2" s="196"/>
      <c r="GU2" s="196"/>
      <c r="GV2" s="196"/>
      <c r="GW2" s="196"/>
      <c r="GX2" s="196"/>
      <c r="GY2" s="196"/>
      <c r="GZ2" s="196"/>
      <c r="HA2" s="196"/>
      <c r="HB2" s="196"/>
      <c r="HC2" s="196"/>
      <c r="HD2" s="196"/>
      <c r="HE2" s="196"/>
      <c r="HF2" s="196"/>
      <c r="HG2" s="196"/>
      <c r="HH2" s="196"/>
      <c r="HI2" s="196"/>
      <c r="HJ2" s="196"/>
      <c r="HK2" s="196"/>
      <c r="HL2" s="196"/>
      <c r="HM2" s="196"/>
      <c r="HN2" s="196"/>
      <c r="HO2" s="196"/>
      <c r="HP2" s="196"/>
      <c r="HQ2" s="196"/>
      <c r="HR2" s="196"/>
      <c r="HS2" s="196"/>
      <c r="HT2" s="196"/>
      <c r="HU2" s="196"/>
      <c r="HV2" s="196"/>
      <c r="HW2" s="196"/>
      <c r="HX2" s="196"/>
      <c r="HY2" s="196"/>
      <c r="HZ2" s="196"/>
      <c r="IA2" s="196"/>
      <c r="IB2" s="196"/>
      <c r="IC2" s="196"/>
      <c r="ID2" s="196"/>
      <c r="IE2" s="196"/>
      <c r="IF2" s="196"/>
      <c r="IG2" s="196"/>
      <c r="IH2" s="196"/>
      <c r="II2" s="196"/>
      <c r="IJ2" s="196"/>
      <c r="IK2" s="196"/>
      <c r="IL2" s="196"/>
      <c r="IM2" s="196"/>
      <c r="IN2" s="196"/>
      <c r="IO2" s="196"/>
      <c r="IP2" s="196"/>
      <c r="IQ2" s="196"/>
      <c r="IR2" s="196"/>
      <c r="IS2" s="196"/>
      <c r="IT2" s="196"/>
      <c r="IU2" s="196"/>
      <c r="IV2" s="196"/>
      <c r="IW2" s="196"/>
    </row>
    <row r="3" customFormat="false" ht="12" hidden="false" customHeight="true" outlineLevel="0" collapsed="false">
      <c r="A3" s="195"/>
      <c r="B3" s="197"/>
      <c r="C3" s="197"/>
      <c r="D3" s="197"/>
      <c r="E3" s="197"/>
      <c r="F3" s="197"/>
      <c r="G3" s="197"/>
      <c r="H3" s="197"/>
      <c r="I3" s="195"/>
    </row>
    <row r="4" customFormat="false" ht="6" hidden="false" customHeight="true" outlineLevel="0" collapsed="false">
      <c r="A4" s="195"/>
      <c r="B4" s="195"/>
      <c r="C4" s="195"/>
      <c r="D4" s="195"/>
      <c r="E4" s="195"/>
      <c r="F4" s="195"/>
      <c r="G4" s="195"/>
      <c r="H4" s="195"/>
      <c r="I4" s="195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8"/>
      <c r="BL4" s="198"/>
      <c r="BM4" s="198"/>
      <c r="BN4" s="198"/>
      <c r="BO4" s="198"/>
      <c r="BP4" s="198"/>
      <c r="BQ4" s="198"/>
      <c r="BR4" s="198"/>
      <c r="BS4" s="198"/>
      <c r="BT4" s="198"/>
      <c r="BU4" s="198"/>
      <c r="BV4" s="198"/>
      <c r="BW4" s="198"/>
      <c r="BX4" s="198"/>
      <c r="BY4" s="198"/>
      <c r="BZ4" s="198"/>
      <c r="CA4" s="198"/>
      <c r="CB4" s="198"/>
      <c r="CC4" s="198"/>
      <c r="CD4" s="198"/>
      <c r="CE4" s="198"/>
      <c r="CF4" s="198"/>
      <c r="CG4" s="198"/>
      <c r="CH4" s="198"/>
      <c r="CI4" s="198"/>
      <c r="CJ4" s="198"/>
      <c r="CK4" s="198"/>
      <c r="CL4" s="198"/>
      <c r="CM4" s="198"/>
      <c r="CN4" s="198"/>
      <c r="CO4" s="198"/>
      <c r="CP4" s="198"/>
      <c r="CQ4" s="198"/>
      <c r="CR4" s="198"/>
      <c r="CS4" s="198"/>
      <c r="CT4" s="198"/>
      <c r="CU4" s="198"/>
      <c r="CV4" s="198"/>
      <c r="CW4" s="198"/>
      <c r="CX4" s="198"/>
      <c r="CY4" s="198"/>
      <c r="CZ4" s="198"/>
      <c r="DA4" s="198"/>
      <c r="DB4" s="198"/>
      <c r="DC4" s="198"/>
      <c r="DD4" s="198"/>
      <c r="DE4" s="198"/>
      <c r="DF4" s="198"/>
      <c r="DG4" s="198"/>
      <c r="DH4" s="198"/>
      <c r="DI4" s="198"/>
      <c r="DJ4" s="198"/>
      <c r="DK4" s="198"/>
      <c r="DL4" s="198"/>
      <c r="DM4" s="198"/>
      <c r="DN4" s="198"/>
      <c r="DO4" s="198"/>
      <c r="DP4" s="198"/>
      <c r="DQ4" s="198"/>
      <c r="DR4" s="198"/>
      <c r="DS4" s="198"/>
      <c r="DT4" s="198"/>
      <c r="DU4" s="198"/>
      <c r="DV4" s="198"/>
      <c r="DW4" s="198"/>
      <c r="DX4" s="198"/>
      <c r="DY4" s="198"/>
      <c r="DZ4" s="198"/>
      <c r="EA4" s="198"/>
      <c r="EB4" s="198"/>
      <c r="EC4" s="198"/>
      <c r="ED4" s="198"/>
      <c r="EE4" s="198"/>
      <c r="EF4" s="198"/>
      <c r="EG4" s="198"/>
      <c r="EH4" s="198"/>
      <c r="EI4" s="198"/>
      <c r="EJ4" s="198"/>
      <c r="EK4" s="198"/>
      <c r="EL4" s="198"/>
      <c r="EM4" s="198"/>
      <c r="EN4" s="198"/>
      <c r="EO4" s="198"/>
      <c r="EP4" s="198"/>
      <c r="EQ4" s="198"/>
      <c r="ER4" s="198"/>
      <c r="ES4" s="198"/>
      <c r="ET4" s="198"/>
      <c r="EU4" s="198"/>
      <c r="EV4" s="198"/>
      <c r="EW4" s="198"/>
      <c r="EX4" s="198"/>
      <c r="EY4" s="198"/>
      <c r="EZ4" s="198"/>
      <c r="FA4" s="198"/>
      <c r="FB4" s="198"/>
      <c r="FC4" s="198"/>
      <c r="FD4" s="198"/>
      <c r="FE4" s="198"/>
      <c r="FF4" s="198"/>
      <c r="FG4" s="198"/>
      <c r="FH4" s="198"/>
      <c r="FI4" s="198"/>
      <c r="FJ4" s="198"/>
      <c r="FK4" s="198"/>
      <c r="FL4" s="198"/>
      <c r="FM4" s="198"/>
      <c r="FN4" s="198"/>
      <c r="FO4" s="198"/>
      <c r="FP4" s="198"/>
      <c r="FQ4" s="198"/>
      <c r="FR4" s="198"/>
      <c r="FS4" s="198"/>
      <c r="FT4" s="198"/>
      <c r="FU4" s="198"/>
      <c r="FV4" s="198"/>
      <c r="FW4" s="198"/>
      <c r="FX4" s="198"/>
      <c r="FY4" s="198"/>
      <c r="FZ4" s="198"/>
      <c r="GA4" s="198"/>
      <c r="GB4" s="198"/>
      <c r="GC4" s="198"/>
      <c r="GD4" s="198"/>
      <c r="GE4" s="198"/>
      <c r="GF4" s="198"/>
      <c r="GG4" s="198"/>
      <c r="GH4" s="198"/>
      <c r="GI4" s="198"/>
      <c r="GJ4" s="198"/>
      <c r="GK4" s="198"/>
      <c r="GL4" s="198"/>
      <c r="GM4" s="198"/>
      <c r="GN4" s="198"/>
      <c r="GO4" s="198"/>
      <c r="GP4" s="198"/>
      <c r="GQ4" s="198"/>
      <c r="GR4" s="198"/>
      <c r="GS4" s="198"/>
      <c r="GT4" s="198"/>
      <c r="GU4" s="198"/>
      <c r="GV4" s="198"/>
      <c r="GW4" s="198"/>
      <c r="GX4" s="198"/>
      <c r="GY4" s="198"/>
      <c r="GZ4" s="198"/>
      <c r="HA4" s="198"/>
      <c r="HB4" s="198"/>
      <c r="HC4" s="198"/>
      <c r="HD4" s="198"/>
      <c r="HE4" s="198"/>
      <c r="HF4" s="198"/>
      <c r="HG4" s="198"/>
      <c r="HH4" s="198"/>
      <c r="HI4" s="198"/>
      <c r="HJ4" s="198"/>
      <c r="HK4" s="198"/>
      <c r="HL4" s="198"/>
      <c r="HM4" s="198"/>
      <c r="HN4" s="198"/>
      <c r="HO4" s="198"/>
      <c r="HP4" s="198"/>
      <c r="HQ4" s="198"/>
      <c r="HR4" s="198"/>
      <c r="HS4" s="198"/>
      <c r="HT4" s="198"/>
      <c r="HU4" s="198"/>
      <c r="HV4" s="198"/>
      <c r="HW4" s="198"/>
      <c r="HX4" s="198"/>
      <c r="HY4" s="198"/>
      <c r="HZ4" s="198"/>
      <c r="IA4" s="198"/>
      <c r="IB4" s="198"/>
      <c r="IC4" s="198"/>
      <c r="ID4" s="198"/>
      <c r="IE4" s="198"/>
      <c r="IF4" s="198"/>
      <c r="IG4" s="198"/>
      <c r="IH4" s="198"/>
      <c r="II4" s="198"/>
      <c r="IJ4" s="198"/>
      <c r="IK4" s="198"/>
      <c r="IL4" s="198"/>
      <c r="IM4" s="198"/>
      <c r="IN4" s="198"/>
      <c r="IO4" s="198"/>
      <c r="IP4" s="198"/>
      <c r="IQ4" s="198"/>
      <c r="IR4" s="198"/>
      <c r="IS4" s="198"/>
      <c r="IT4" s="198"/>
      <c r="IU4" s="198"/>
      <c r="IV4" s="198"/>
      <c r="IW4" s="198"/>
    </row>
    <row r="5" customFormat="false" ht="12.75" hidden="false" customHeight="false" outlineLevel="0" collapsed="false">
      <c r="A5" s="195"/>
      <c r="B5" s="195" t="s">
        <v>314</v>
      </c>
      <c r="C5" s="199" t="n">
        <f aca="false">SUM('Profit &amp; Loss Account'!C5:E7)</f>
        <v>83899.9999999999</v>
      </c>
      <c r="D5" s="199" t="n">
        <f aca="false">SUM('Profit &amp; Loss Account'!F5:H7)</f>
        <v>82999.9999999999</v>
      </c>
      <c r="E5" s="199" t="n">
        <f aca="false">SUM('Profit &amp; Loss Account'!I5:K7)</f>
        <v>85699.9999999999</v>
      </c>
      <c r="F5" s="199" t="n">
        <f aca="false">SUM('Profit &amp; Loss Account'!L5:N7)</f>
        <v>82899.9999999999</v>
      </c>
      <c r="G5" s="200" t="n">
        <f aca="false">SUM(C5:F5)</f>
        <v>335500</v>
      </c>
      <c r="H5" s="195"/>
      <c r="I5" s="195"/>
    </row>
    <row r="6" customFormat="false" ht="13.5" hidden="false" customHeight="true" outlineLevel="0" collapsed="false">
      <c r="A6" s="195"/>
      <c r="B6" s="195" t="s">
        <v>315</v>
      </c>
      <c r="C6" s="199" t="n">
        <f aca="false">SUM('Profit &amp; Loss Account'!C8:E8)+SUM('Profit &amp; Loss Account'!C11:E11)+SUM('Profit &amp; Loss Account'!C38:E38)</f>
        <v>700</v>
      </c>
      <c r="D6" s="199" t="n">
        <f aca="false">SUM('Profit &amp; Loss Account'!F8:H8)+SUM('Profit &amp; Loss Account'!F11:H11)+SUM('Profit &amp; Loss Account'!F38:H38)</f>
        <v>3283.33333333333</v>
      </c>
      <c r="E6" s="199" t="n">
        <f aca="false">SUM('Profit &amp; Loss Account'!I8:K8)+SUM('Profit &amp; Loss Account'!I11:K11)+SUM('Profit &amp; Loss Account'!I38:K38)</f>
        <v>700</v>
      </c>
      <c r="F6" s="199" t="n">
        <f aca="false">SUM('Profit &amp; Loss Account'!L8:N8)+SUM('Profit &amp; Loss Account'!L11:N11)+SUM('Profit &amp; Loss Account'!L38:N38)</f>
        <v>1100</v>
      </c>
      <c r="G6" s="200" t="n">
        <f aca="false">SUM(C6:F6)</f>
        <v>5783.33333333333</v>
      </c>
      <c r="H6" s="195"/>
      <c r="I6" s="195"/>
    </row>
    <row r="7" customFormat="false" ht="12.75" hidden="false" customHeight="false" outlineLevel="0" collapsed="false">
      <c r="A7" s="195"/>
      <c r="B7" s="195" t="s">
        <v>316</v>
      </c>
      <c r="C7" s="199" t="n">
        <f aca="false">SUM('Profit &amp; Loss Account'!C14:E14)+SUM('Profit &amp; Loss Account'!C16:E16)</f>
        <v>2282.5</v>
      </c>
      <c r="D7" s="199" t="n">
        <f aca="false">SUM('Profit &amp; Loss Account'!F14:H14)+SUM('Profit &amp; Loss Account'!F16:H16)</f>
        <v>2602.5</v>
      </c>
      <c r="E7" s="199" t="n">
        <f aca="false">SUM('Profit &amp; Loss Account'!I14:K14)+SUM('Profit &amp; Loss Account'!I16:K16)</f>
        <v>2182.5</v>
      </c>
      <c r="F7" s="199" t="n">
        <f aca="false">SUM('Profit &amp; Loss Account'!L14:N14)+SUM('Profit &amp; Loss Account'!L16:N16)</f>
        <v>6402.5</v>
      </c>
      <c r="G7" s="200" t="n">
        <f aca="false">SUM(C7:F7)</f>
        <v>13470</v>
      </c>
      <c r="H7" s="195"/>
      <c r="I7" s="195"/>
    </row>
    <row r="8" customFormat="false" ht="12.75" hidden="false" customHeight="false" outlineLevel="0" collapsed="false">
      <c r="A8" s="195"/>
      <c r="B8" s="195"/>
      <c r="C8" s="195"/>
      <c r="D8" s="195"/>
      <c r="E8" s="195"/>
      <c r="F8" s="195"/>
      <c r="G8" s="195"/>
      <c r="H8" s="195"/>
      <c r="I8" s="195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  <c r="AU8" s="201"/>
      <c r="AV8" s="201"/>
      <c r="AW8" s="201"/>
      <c r="AX8" s="201"/>
      <c r="AY8" s="201"/>
      <c r="AZ8" s="201"/>
      <c r="BA8" s="201"/>
      <c r="BB8" s="201"/>
      <c r="BC8" s="201"/>
      <c r="BD8" s="201"/>
      <c r="BE8" s="201"/>
      <c r="BF8" s="201"/>
      <c r="BG8" s="201"/>
      <c r="BH8" s="201"/>
      <c r="BI8" s="201"/>
      <c r="BJ8" s="201"/>
      <c r="BK8" s="201"/>
      <c r="BL8" s="201"/>
      <c r="BM8" s="201"/>
      <c r="BN8" s="201"/>
      <c r="BO8" s="201"/>
      <c r="BP8" s="201"/>
      <c r="BQ8" s="201"/>
      <c r="BR8" s="201"/>
      <c r="BS8" s="201"/>
      <c r="BT8" s="201"/>
      <c r="BU8" s="201"/>
      <c r="BV8" s="201"/>
      <c r="BW8" s="201"/>
      <c r="BX8" s="201"/>
      <c r="BY8" s="201"/>
      <c r="BZ8" s="201"/>
      <c r="CA8" s="201"/>
      <c r="CB8" s="201"/>
      <c r="CC8" s="201"/>
      <c r="CD8" s="201"/>
      <c r="CE8" s="201"/>
      <c r="CF8" s="201"/>
      <c r="CG8" s="201"/>
      <c r="CH8" s="201"/>
      <c r="CI8" s="201"/>
      <c r="CJ8" s="201"/>
      <c r="CK8" s="201"/>
      <c r="CL8" s="201"/>
      <c r="CM8" s="201"/>
      <c r="CN8" s="201"/>
      <c r="CO8" s="201"/>
      <c r="CP8" s="201"/>
      <c r="CQ8" s="201"/>
      <c r="CR8" s="201"/>
      <c r="CS8" s="201"/>
      <c r="CT8" s="201"/>
      <c r="CU8" s="201"/>
      <c r="CV8" s="201"/>
      <c r="CW8" s="201"/>
      <c r="CX8" s="201"/>
      <c r="CY8" s="201"/>
      <c r="CZ8" s="201"/>
      <c r="DA8" s="201"/>
      <c r="DB8" s="201"/>
      <c r="DC8" s="201"/>
      <c r="DD8" s="201"/>
      <c r="DE8" s="201"/>
      <c r="DF8" s="201"/>
      <c r="DG8" s="201"/>
      <c r="DH8" s="201"/>
      <c r="DI8" s="201"/>
      <c r="DJ8" s="201"/>
      <c r="DK8" s="201"/>
      <c r="DL8" s="201"/>
      <c r="DM8" s="201"/>
      <c r="DN8" s="201"/>
      <c r="DO8" s="201"/>
      <c r="DP8" s="201"/>
      <c r="DQ8" s="201"/>
      <c r="DR8" s="201"/>
      <c r="DS8" s="201"/>
      <c r="DT8" s="201"/>
      <c r="DU8" s="201"/>
      <c r="DV8" s="201"/>
      <c r="DW8" s="201"/>
      <c r="DX8" s="201"/>
      <c r="DY8" s="201"/>
      <c r="DZ8" s="201"/>
      <c r="EA8" s="201"/>
      <c r="EB8" s="201"/>
      <c r="EC8" s="201"/>
      <c r="ED8" s="201"/>
      <c r="EE8" s="201"/>
      <c r="EF8" s="201"/>
      <c r="EG8" s="201"/>
      <c r="EH8" s="201"/>
      <c r="EI8" s="201"/>
      <c r="EJ8" s="201"/>
      <c r="EK8" s="201"/>
      <c r="EL8" s="201"/>
      <c r="EM8" s="201"/>
      <c r="EN8" s="201"/>
      <c r="EO8" s="201"/>
      <c r="EP8" s="201"/>
      <c r="EQ8" s="201"/>
      <c r="ER8" s="201"/>
      <c r="ES8" s="201"/>
      <c r="ET8" s="201"/>
      <c r="EU8" s="201"/>
      <c r="EV8" s="201"/>
      <c r="EW8" s="201"/>
      <c r="EX8" s="201"/>
      <c r="EY8" s="201"/>
      <c r="EZ8" s="201"/>
      <c r="FA8" s="201"/>
      <c r="FB8" s="201"/>
      <c r="FC8" s="201"/>
      <c r="FD8" s="201"/>
      <c r="FE8" s="201"/>
      <c r="FF8" s="201"/>
      <c r="FG8" s="201"/>
      <c r="FH8" s="201"/>
      <c r="FI8" s="201"/>
      <c r="FJ8" s="201"/>
      <c r="FK8" s="201"/>
      <c r="FL8" s="201"/>
      <c r="FM8" s="201"/>
      <c r="FN8" s="201"/>
      <c r="FO8" s="201"/>
      <c r="FP8" s="201"/>
      <c r="FQ8" s="201"/>
      <c r="FR8" s="201"/>
      <c r="FS8" s="201"/>
      <c r="FT8" s="201"/>
      <c r="FU8" s="201"/>
      <c r="FV8" s="201"/>
      <c r="FW8" s="201"/>
      <c r="FX8" s="201"/>
      <c r="FY8" s="201"/>
      <c r="FZ8" s="201"/>
      <c r="GA8" s="201"/>
      <c r="GB8" s="201"/>
      <c r="GC8" s="201"/>
      <c r="GD8" s="201"/>
      <c r="GE8" s="201"/>
      <c r="GF8" s="201"/>
      <c r="GG8" s="201"/>
      <c r="GH8" s="201"/>
      <c r="GI8" s="201"/>
      <c r="GJ8" s="201"/>
      <c r="GK8" s="201"/>
      <c r="GL8" s="201"/>
      <c r="GM8" s="201"/>
      <c r="GN8" s="201"/>
      <c r="GO8" s="201"/>
      <c r="GP8" s="201"/>
      <c r="GQ8" s="201"/>
      <c r="GR8" s="201"/>
      <c r="GS8" s="201"/>
      <c r="GT8" s="201"/>
      <c r="GU8" s="201"/>
      <c r="GV8" s="201"/>
      <c r="GW8" s="201"/>
      <c r="GX8" s="201"/>
      <c r="GY8" s="201"/>
      <c r="GZ8" s="201"/>
      <c r="HA8" s="201"/>
      <c r="HB8" s="201"/>
      <c r="HC8" s="201"/>
      <c r="HD8" s="201"/>
      <c r="HE8" s="201"/>
      <c r="HF8" s="201"/>
      <c r="HG8" s="201"/>
      <c r="HH8" s="201"/>
      <c r="HI8" s="201"/>
      <c r="HJ8" s="201"/>
      <c r="HK8" s="201"/>
      <c r="HL8" s="201"/>
      <c r="HM8" s="201"/>
      <c r="HN8" s="201"/>
      <c r="HO8" s="201"/>
      <c r="HP8" s="201"/>
      <c r="HQ8" s="201"/>
      <c r="HR8" s="201"/>
      <c r="HS8" s="201"/>
      <c r="HT8" s="201"/>
      <c r="HU8" s="201"/>
      <c r="HV8" s="201"/>
      <c r="HW8" s="201"/>
      <c r="HX8" s="201"/>
      <c r="HY8" s="201"/>
      <c r="HZ8" s="201"/>
      <c r="IA8" s="201"/>
      <c r="IB8" s="201"/>
      <c r="IC8" s="201"/>
      <c r="ID8" s="201"/>
      <c r="IE8" s="201"/>
      <c r="IF8" s="201"/>
      <c r="IG8" s="201"/>
      <c r="IH8" s="201"/>
      <c r="II8" s="201"/>
      <c r="IJ8" s="201"/>
      <c r="IK8" s="201"/>
      <c r="IL8" s="201"/>
      <c r="IM8" s="201"/>
      <c r="IN8" s="201"/>
      <c r="IO8" s="201"/>
      <c r="IP8" s="201"/>
      <c r="IQ8" s="201"/>
      <c r="IR8" s="201"/>
      <c r="IS8" s="201"/>
      <c r="IT8" s="201"/>
      <c r="IU8" s="201"/>
      <c r="IV8" s="201"/>
      <c r="IW8" s="201"/>
    </row>
    <row r="9" customFormat="false" ht="6" hidden="false" customHeight="true" outlineLevel="0" collapsed="false">
      <c r="A9" s="195"/>
      <c r="B9" s="195"/>
      <c r="C9" s="195"/>
      <c r="D9" s="195"/>
      <c r="E9" s="195"/>
      <c r="F9" s="195"/>
      <c r="G9" s="195"/>
      <c r="H9" s="195"/>
      <c r="I9" s="195"/>
    </row>
    <row r="10" customFormat="false" ht="12.75" hidden="false" customHeight="false" outlineLevel="0" collapsed="false">
      <c r="A10" s="195"/>
      <c r="B10" s="202" t="s">
        <v>317</v>
      </c>
      <c r="C10" s="195"/>
      <c r="D10" s="195"/>
      <c r="E10" s="195"/>
      <c r="F10" s="195"/>
      <c r="G10" s="195"/>
      <c r="H10" s="195"/>
      <c r="I10" s="195"/>
    </row>
    <row r="11" customFormat="false" ht="6" hidden="false" customHeight="true" outlineLevel="0" collapsed="false">
      <c r="A11" s="195"/>
      <c r="B11" s="195"/>
      <c r="C11" s="195"/>
      <c r="D11" s="195"/>
      <c r="E11" s="195"/>
      <c r="F11" s="195"/>
      <c r="G11" s="195"/>
      <c r="H11" s="195"/>
      <c r="I11" s="195"/>
    </row>
    <row r="12" customFormat="false" ht="12.75" hidden="false" customHeight="false" outlineLevel="0" collapsed="false">
      <c r="A12" s="195"/>
      <c r="B12" s="195" t="s">
        <v>318</v>
      </c>
      <c r="C12" s="200" t="n">
        <f aca="false">SUM('Profit &amp; Loss Account'!C21:E21)</f>
        <v>21975.6</v>
      </c>
      <c r="D12" s="200" t="n">
        <f aca="false">SUM('Profit &amp; Loss Account'!F21:H21)</f>
        <v>22642.2666666667</v>
      </c>
      <c r="E12" s="200" t="n">
        <f aca="false">SUM('Profit &amp; Loss Account'!I21:K21)</f>
        <v>26142.2666666667</v>
      </c>
      <c r="F12" s="200" t="n">
        <f aca="false">SUM('Profit &amp; Loss Account'!L21:N21)</f>
        <v>21975.6</v>
      </c>
      <c r="G12" s="200" t="n">
        <f aca="false">SUM(C12:F12)</f>
        <v>92735.7333333333</v>
      </c>
      <c r="H12" s="195"/>
      <c r="I12" s="195"/>
    </row>
    <row r="13" customFormat="false" ht="12.75" hidden="false" customHeight="false" outlineLevel="0" collapsed="false">
      <c r="A13" s="195"/>
      <c r="B13" s="195" t="s">
        <v>319</v>
      </c>
      <c r="C13" s="200" t="n">
        <f aca="false">SUM('Profit &amp; Loss Account'!C22:E22)</f>
        <v>3300</v>
      </c>
      <c r="D13" s="200" t="n">
        <f aca="false">SUM('Profit &amp; Loss Account'!F22:H22)</f>
        <v>3250</v>
      </c>
      <c r="E13" s="200" t="n">
        <f aca="false">SUM('Profit &amp; Loss Account'!I22:K22)</f>
        <v>3350</v>
      </c>
      <c r="F13" s="200" t="n">
        <f aca="false">SUM('Profit &amp; Loss Account'!L22:N22)</f>
        <v>3300</v>
      </c>
      <c r="G13" s="200" t="n">
        <f aca="false">SUM(C13:F13)</f>
        <v>13200</v>
      </c>
      <c r="H13" s="195"/>
      <c r="I13" s="195"/>
    </row>
    <row r="14" customFormat="false" ht="12.75" hidden="false" customHeight="false" outlineLevel="0" collapsed="false">
      <c r="A14" s="195"/>
      <c r="B14" s="195" t="s">
        <v>320</v>
      </c>
      <c r="C14" s="200" t="n">
        <f aca="false">SUM('Profit &amp; Loss Account'!C23:E23)</f>
        <v>100</v>
      </c>
      <c r="D14" s="200" t="n">
        <f aca="false">SUM('Profit &amp; Loss Account'!F23:H23)</f>
        <v>350</v>
      </c>
      <c r="E14" s="200" t="n">
        <f aca="false">SUM('Profit &amp; Loss Account'!I23:K23)</f>
        <v>80</v>
      </c>
      <c r="F14" s="200" t="n">
        <f aca="false">SUM('Profit &amp; Loss Account'!L23:N23)</f>
        <v>420</v>
      </c>
      <c r="G14" s="200" t="n">
        <f aca="false">SUM(C14:F14)</f>
        <v>950</v>
      </c>
      <c r="H14" s="195"/>
      <c r="I14" s="195"/>
    </row>
    <row r="15" customFormat="false" ht="12.75" hidden="false" customHeight="false" outlineLevel="0" collapsed="false">
      <c r="A15" s="195"/>
      <c r="B15" s="195" t="s">
        <v>321</v>
      </c>
      <c r="C15" s="200" t="n">
        <f aca="false">SUM('Profit &amp; Loss Account'!C24:E24)</f>
        <v>732.5</v>
      </c>
      <c r="D15" s="200" t="n">
        <f aca="false">SUM('Profit &amp; Loss Account'!F24:H24)</f>
        <v>697.5</v>
      </c>
      <c r="E15" s="200" t="n">
        <f aca="false">SUM('Profit &amp; Loss Account'!I24:K24)</f>
        <v>812.5</v>
      </c>
      <c r="F15" s="200" t="n">
        <f aca="false">SUM('Profit &amp; Loss Account'!L24:N24)</f>
        <v>792.5</v>
      </c>
      <c r="G15" s="200" t="n">
        <f aca="false">SUM(C15:F15)</f>
        <v>3035</v>
      </c>
      <c r="H15" s="195"/>
      <c r="I15" s="195"/>
    </row>
    <row r="16" customFormat="false" ht="12.75" hidden="false" customHeight="false" outlineLevel="0" collapsed="false">
      <c r="A16" s="195"/>
      <c r="B16" s="195" t="s">
        <v>322</v>
      </c>
      <c r="C16" s="200" t="n">
        <f aca="false">SUM('Profit &amp; Loss Account'!C31:E31)</f>
        <v>2275</v>
      </c>
      <c r="D16" s="200" t="n">
        <f aca="false">SUM('Profit &amp; Loss Account'!F31:H31)</f>
        <v>1308</v>
      </c>
      <c r="E16" s="200" t="n">
        <f aca="false">SUM('Profit &amp; Loss Account'!I31:K31)</f>
        <v>192</v>
      </c>
      <c r="F16" s="200" t="n">
        <f aca="false">SUM('Profit &amp; Loss Account'!L31:N31)</f>
        <v>125</v>
      </c>
      <c r="G16" s="200" t="n">
        <f aca="false">SUM(C16:F16)</f>
        <v>3900</v>
      </c>
      <c r="H16" s="195"/>
      <c r="I16" s="195"/>
    </row>
    <row r="17" customFormat="false" ht="12.75" hidden="false" customHeight="false" outlineLevel="0" collapsed="false">
      <c r="A17" s="195"/>
      <c r="B17" s="195" t="s">
        <v>323</v>
      </c>
      <c r="C17" s="200" t="n">
        <f aca="false">SUM('Profit &amp; Loss Account'!C25:E26)</f>
        <v>2102.75</v>
      </c>
      <c r="D17" s="200" t="n">
        <f aca="false">SUM('Profit &amp; Loss Account'!F25:H26)</f>
        <v>1899.5</v>
      </c>
      <c r="E17" s="200" t="n">
        <f aca="false">SUM('Profit &amp; Loss Account'!I25:K26)</f>
        <v>2011.75</v>
      </c>
      <c r="F17" s="200" t="n">
        <f aca="false">SUM('Profit &amp; Loss Account'!L25:N26)</f>
        <v>2106.75</v>
      </c>
      <c r="G17" s="200" t="n">
        <f aca="false">SUM(C17:F17)</f>
        <v>8120.75</v>
      </c>
      <c r="H17" s="195"/>
      <c r="I17" s="195"/>
    </row>
    <row r="18" customFormat="false" ht="12.75" hidden="false" customHeight="false" outlineLevel="0" collapsed="false">
      <c r="A18" s="195"/>
      <c r="B18" s="195" t="s">
        <v>324</v>
      </c>
      <c r="C18" s="200" t="n">
        <f aca="false">SUM('Profit &amp; Loss Account'!C27:E27)</f>
        <v>500</v>
      </c>
      <c r="D18" s="200" t="n">
        <f aca="false">SUM('Profit &amp; Loss Account'!F27:H27)</f>
        <v>691.666666666667</v>
      </c>
      <c r="E18" s="200" t="n">
        <f aca="false">SUM('Profit &amp; Loss Account'!I27:K27)</f>
        <v>2500</v>
      </c>
      <c r="F18" s="200" t="n">
        <f aca="false">SUM('Profit &amp; Loss Account'!L27:N27)</f>
        <v>400</v>
      </c>
      <c r="G18" s="200" t="n">
        <f aca="false">SUM(C18:F18)</f>
        <v>4091.66666666667</v>
      </c>
      <c r="H18" s="195"/>
      <c r="I18" s="195"/>
    </row>
    <row r="19" customFormat="false" ht="12.75" hidden="false" customHeight="false" outlineLevel="0" collapsed="false">
      <c r="A19" s="195"/>
      <c r="B19" s="195" t="s">
        <v>325</v>
      </c>
      <c r="C19" s="200" t="n">
        <f aca="false">SUM('Profit &amp; Loss Account'!C28:E28)</f>
        <v>958.333333333333</v>
      </c>
      <c r="D19" s="200" t="n">
        <f aca="false">SUM('Profit &amp; Loss Account'!F28:H28)</f>
        <v>4223.33333333333</v>
      </c>
      <c r="E19" s="200" t="n">
        <f aca="false">SUM('Profit &amp; Loss Account'!I28:K28)</f>
        <v>889.166666666667</v>
      </c>
      <c r="F19" s="200" t="n">
        <f aca="false">SUM('Profit &amp; Loss Account'!L28:N28)</f>
        <v>854.166666666667</v>
      </c>
      <c r="G19" s="200" t="n">
        <f aca="false">SUM(C19:F19)</f>
        <v>6925</v>
      </c>
      <c r="H19" s="195"/>
      <c r="I19" s="195"/>
    </row>
    <row r="20" customFormat="false" ht="12.75" hidden="false" customHeight="false" outlineLevel="0" collapsed="false">
      <c r="A20" s="195"/>
      <c r="B20" s="195" t="s">
        <v>326</v>
      </c>
      <c r="C20" s="200" t="n">
        <f aca="false">SUM('Profit &amp; Loss Account'!C29:E29)</f>
        <v>0</v>
      </c>
      <c r="D20" s="200" t="n">
        <f aca="false">SUM('Profit &amp; Loss Account'!F29:H29)</f>
        <v>0</v>
      </c>
      <c r="E20" s="200" t="n">
        <f aca="false">SUM('Profit &amp; Loss Account'!I29:K29)</f>
        <v>0</v>
      </c>
      <c r="F20" s="200" t="n">
        <f aca="false">SUM('Profit &amp; Loss Account'!L29:N29)</f>
        <v>300</v>
      </c>
      <c r="G20" s="200" t="n">
        <f aca="false">SUM(C20:F20)</f>
        <v>300</v>
      </c>
      <c r="H20" s="195"/>
      <c r="I20" s="195"/>
    </row>
    <row r="21" customFormat="false" ht="12.75" hidden="false" customHeight="false" outlineLevel="0" collapsed="false">
      <c r="A21" s="195"/>
      <c r="B21" s="195" t="s">
        <v>327</v>
      </c>
      <c r="C21" s="200" t="n">
        <f aca="false">SUM('Profit &amp; Loss Account'!C30:E30)</f>
        <v>0</v>
      </c>
      <c r="D21" s="200" t="n">
        <f aca="false">SUM('Profit &amp; Loss Account'!F30:H30)</f>
        <v>0</v>
      </c>
      <c r="E21" s="200" t="n">
        <f aca="false">SUM('Profit &amp; Loss Account'!I30:K30)</f>
        <v>0</v>
      </c>
      <c r="F21" s="200" t="n">
        <f aca="false">SUM('Profit &amp; Loss Account'!L30:N30)</f>
        <v>0</v>
      </c>
      <c r="G21" s="200" t="n">
        <f aca="false">SUM(C21:F21)</f>
        <v>0</v>
      </c>
      <c r="H21" s="195"/>
      <c r="I21" s="195"/>
    </row>
    <row r="22" customFormat="false" ht="12.75" hidden="false" customHeight="false" outlineLevel="0" collapsed="false">
      <c r="A22" s="195"/>
      <c r="B22" s="195" t="s">
        <v>328</v>
      </c>
      <c r="C22" s="200" t="n">
        <f aca="false">SUM('Profit &amp; Loss Account'!C32:E32)</f>
        <v>1547.5</v>
      </c>
      <c r="D22" s="200" t="n">
        <f aca="false">SUM('Profit &amp; Loss Account'!F32:H32)</f>
        <v>327.5</v>
      </c>
      <c r="E22" s="200" t="n">
        <f aca="false">SUM('Profit &amp; Loss Account'!I32:K32)</f>
        <v>1054.16666666667</v>
      </c>
      <c r="F22" s="200" t="n">
        <f aca="false">SUM('Profit &amp; Loss Account'!L32:N32)</f>
        <v>302.5</v>
      </c>
      <c r="G22" s="200" t="n">
        <f aca="false">SUM(C22:F22)</f>
        <v>3231.66666666666</v>
      </c>
      <c r="H22" s="195"/>
      <c r="I22" s="195"/>
    </row>
    <row r="23" customFormat="false" ht="12.75" hidden="false" customHeight="false" outlineLevel="0" collapsed="false">
      <c r="A23" s="195"/>
      <c r="B23" s="195"/>
      <c r="C23" s="195"/>
      <c r="D23" s="195"/>
      <c r="E23" s="195"/>
      <c r="F23" s="195"/>
      <c r="G23" s="195"/>
      <c r="H23" s="195"/>
      <c r="I23" s="195"/>
    </row>
    <row r="24" customFormat="false" ht="13.5" hidden="false" customHeight="true" outlineLevel="0" collapsed="false">
      <c r="A24" s="195"/>
      <c r="B24" s="195" t="s">
        <v>329</v>
      </c>
      <c r="C24" s="200" t="n">
        <f aca="false">SUM('Profit &amp; Loss Account'!C15:E15)</f>
        <v>4166.66666666667</v>
      </c>
      <c r="D24" s="200" t="n">
        <f aca="false">SUM('Profit &amp; Loss Account'!F15:H15)</f>
        <v>0</v>
      </c>
      <c r="E24" s="200" t="n">
        <f aca="false">SUM('Profit &amp; Loss Account'!I15:K15)</f>
        <v>2500</v>
      </c>
      <c r="F24" s="200" t="n">
        <f aca="false">SUM('Profit &amp; Loss Account'!L15:N15)</f>
        <v>0</v>
      </c>
      <c r="G24" s="200" t="n">
        <f aca="false">SUM(C24:F24)</f>
        <v>6666.66666666667</v>
      </c>
      <c r="H24" s="195"/>
      <c r="I24" s="195"/>
    </row>
    <row r="25" customFormat="false" ht="12.75" hidden="false" customHeight="false" outlineLevel="0" collapsed="false">
      <c r="A25" s="195"/>
      <c r="B25" s="195" t="s">
        <v>330</v>
      </c>
      <c r="C25" s="200" t="n">
        <f aca="false">SUM('Profit &amp; Loss Account'!C49:E49)</f>
        <v>0</v>
      </c>
      <c r="D25" s="200" t="n">
        <f aca="false">SUM('Profit &amp; Loss Account'!F49:H49)</f>
        <v>291.666666666667</v>
      </c>
      <c r="E25" s="200" t="n">
        <f aca="false">SUM('Profit &amp; Loss Account'!I49:K49)</f>
        <v>0</v>
      </c>
      <c r="F25" s="200" t="n">
        <f aca="false">SUM('Profit &amp; Loss Account'!L49:N49)</f>
        <v>0</v>
      </c>
      <c r="G25" s="200" t="n">
        <f aca="false">SUM(C25:F25)</f>
        <v>291.666666666667</v>
      </c>
      <c r="H25" s="195"/>
      <c r="I25" s="195"/>
    </row>
    <row r="26" customFormat="false" ht="13.5" hidden="false" customHeight="true" outlineLevel="0" collapsed="false">
      <c r="A26" s="195"/>
      <c r="B26" s="195" t="s">
        <v>297</v>
      </c>
      <c r="C26" s="200" t="n">
        <f aca="false">SUM('Profit &amp; Loss Account'!C33:E34)</f>
        <v>5259.25</v>
      </c>
      <c r="D26" s="200" t="n">
        <f aca="false">SUM('Profit &amp; Loss Account'!F33:H34)</f>
        <v>5259.25</v>
      </c>
      <c r="E26" s="200" t="n">
        <f aca="false">SUM('Profit &amp; Loss Account'!I33:K34)</f>
        <v>5259.25</v>
      </c>
      <c r="F26" s="200" t="n">
        <f aca="false">SUM('Profit &amp; Loss Account'!L33:N34)</f>
        <v>5259.25</v>
      </c>
      <c r="G26" s="200" t="n">
        <f aca="false">SUM(C26:F26)</f>
        <v>21037</v>
      </c>
      <c r="H26" s="195"/>
      <c r="I26" s="195"/>
    </row>
    <row r="27" customFormat="false" ht="12.75" hidden="false" customHeight="false" outlineLevel="0" collapsed="false">
      <c r="A27" s="195"/>
      <c r="B27" s="195"/>
      <c r="C27" s="195"/>
      <c r="D27" s="195"/>
      <c r="E27" s="195"/>
      <c r="F27" s="195"/>
      <c r="G27" s="195"/>
      <c r="H27" s="195"/>
      <c r="I27" s="195"/>
    </row>
    <row r="28" customFormat="false" ht="6" hidden="false" customHeight="true" outlineLevel="0" collapsed="false">
      <c r="A28" s="195"/>
      <c r="B28" s="195"/>
      <c r="C28" s="195"/>
      <c r="D28" s="195"/>
      <c r="E28" s="195"/>
      <c r="F28" s="195"/>
      <c r="G28" s="195"/>
      <c r="H28" s="195"/>
      <c r="I28" s="195"/>
    </row>
    <row r="29" customFormat="false" ht="12.75" hidden="false" customHeight="false" outlineLevel="0" collapsed="false">
      <c r="A29" s="195"/>
      <c r="B29" s="202" t="s">
        <v>331</v>
      </c>
      <c r="C29" s="203" t="n">
        <f aca="false">SUM(C7,C12,C13,C14,C15,C16,C17,C18,C19,C20,C21,C22,C24,C26)</f>
        <v>45200.1</v>
      </c>
      <c r="D29" s="203" t="n">
        <f aca="false">SUM(D7,D12,D13,D14,D15,D16,D17,D18,D19,D20,D21,D22,D24,D26)</f>
        <v>43251.5166666667</v>
      </c>
      <c r="E29" s="203" t="n">
        <f aca="false">SUM(E7,E12,E13,E14,E15,E16,E17,E18,E19,E20,E21,E22,E24,E26)</f>
        <v>46973.6</v>
      </c>
      <c r="F29" s="203" t="n">
        <f aca="false">SUM(F7,F12,F13,F14,F15,F16,F17,F18,F19,F20,F21,F22,F24,F26)</f>
        <v>42238.2666666667</v>
      </c>
      <c r="G29" s="203" t="n">
        <f aca="false">SUM(G7,G12,G13,G14,G15,G16,G17,G18,G19,G20,G21,G22,G24,G26)</f>
        <v>177663.483333333</v>
      </c>
      <c r="H29" s="204"/>
      <c r="I29" s="195"/>
    </row>
    <row r="30" customFormat="false" ht="6" hidden="false" customHeight="true" outlineLevel="0" collapsed="false">
      <c r="A30" s="195"/>
      <c r="B30" s="195"/>
      <c r="C30" s="195"/>
      <c r="D30" s="195"/>
      <c r="E30" s="195"/>
      <c r="F30" s="195"/>
      <c r="G30" s="195"/>
      <c r="H30" s="195"/>
      <c r="I30" s="195"/>
    </row>
    <row r="31" customFormat="false" ht="12.75" hidden="false" customHeight="false" outlineLevel="0" collapsed="false">
      <c r="A31" s="195"/>
      <c r="B31" s="195"/>
      <c r="C31" s="195"/>
      <c r="D31" s="195"/>
      <c r="E31" s="195"/>
      <c r="F31" s="195"/>
      <c r="G31" s="195"/>
      <c r="H31" s="195"/>
      <c r="I31" s="195"/>
    </row>
    <row r="32" customFormat="false" ht="6" hidden="false" customHeight="true" outlineLevel="0" collapsed="false">
      <c r="A32" s="195"/>
      <c r="B32" s="195"/>
      <c r="C32" s="195"/>
      <c r="D32" s="195"/>
      <c r="E32" s="195"/>
      <c r="F32" s="195"/>
      <c r="G32" s="195"/>
      <c r="H32" s="195"/>
      <c r="I32" s="195"/>
    </row>
    <row r="33" customFormat="false" ht="12.75" hidden="false" customHeight="false" outlineLevel="0" collapsed="false">
      <c r="A33" s="195"/>
      <c r="B33" s="195"/>
      <c r="C33" s="195"/>
      <c r="D33" s="195"/>
      <c r="E33" s="195"/>
      <c r="F33" s="195"/>
      <c r="G33" s="195"/>
      <c r="H33" s="195"/>
      <c r="I33" s="195"/>
    </row>
    <row r="34" customFormat="false" ht="12.75" hidden="false" customHeight="false" outlineLevel="0" collapsed="false">
      <c r="A34" s="195"/>
      <c r="B34" s="202" t="s">
        <v>145</v>
      </c>
      <c r="C34" s="195"/>
      <c r="D34" s="195"/>
      <c r="E34" s="195"/>
      <c r="F34" s="195"/>
      <c r="G34" s="195"/>
      <c r="H34" s="195"/>
      <c r="I34" s="195"/>
    </row>
    <row r="35" customFormat="false" ht="6" hidden="false" customHeight="true" outlineLevel="0" collapsed="false">
      <c r="A35" s="195"/>
      <c r="B35" s="195"/>
      <c r="C35" s="195"/>
      <c r="D35" s="195"/>
      <c r="E35" s="195"/>
      <c r="F35" s="195"/>
      <c r="G35" s="195"/>
      <c r="H35" s="195"/>
      <c r="I35" s="195"/>
    </row>
    <row r="36" customFormat="false" ht="12.75" hidden="false" customHeight="false" outlineLevel="0" collapsed="false">
      <c r="A36" s="195"/>
      <c r="B36" s="195" t="s">
        <v>316</v>
      </c>
      <c r="C36" s="200" t="n">
        <f aca="false">C7*$I$36</f>
        <v>45.65</v>
      </c>
      <c r="D36" s="200" t="n">
        <f aca="false">D7*$I$36</f>
        <v>52.05</v>
      </c>
      <c r="E36" s="200" t="n">
        <f aca="false">E7*$I$36</f>
        <v>43.65</v>
      </c>
      <c r="F36" s="200" t="n">
        <f aca="false">F7*$I$36</f>
        <v>128.05</v>
      </c>
      <c r="G36" s="200" t="n">
        <f aca="false">SUM(C36:F36)</f>
        <v>269.4</v>
      </c>
      <c r="H36" s="195" t="s">
        <v>332</v>
      </c>
      <c r="I36" s="195" t="n">
        <v>0.02</v>
      </c>
    </row>
    <row r="37" customFormat="false" ht="13.5" hidden="false" customHeight="true" outlineLevel="0" collapsed="false">
      <c r="A37" s="195"/>
      <c r="B37" s="195" t="s">
        <v>329</v>
      </c>
      <c r="C37" s="200" t="n">
        <f aca="false">C24*$I$37</f>
        <v>125</v>
      </c>
      <c r="D37" s="200" t="n">
        <f aca="false">D24*$I$37</f>
        <v>0</v>
      </c>
      <c r="E37" s="200" t="n">
        <f aca="false">E24*$I$37</f>
        <v>75</v>
      </c>
      <c r="F37" s="200" t="n">
        <f aca="false">F24*$I$37</f>
        <v>0</v>
      </c>
      <c r="G37" s="200" t="n">
        <f aca="false">SUM(C37:F37)</f>
        <v>200</v>
      </c>
      <c r="H37" s="195" t="s">
        <v>332</v>
      </c>
      <c r="I37" s="195" t="n">
        <v>0.03</v>
      </c>
    </row>
    <row r="38" customFormat="false" ht="12.75" hidden="false" customHeight="false" outlineLevel="0" collapsed="false">
      <c r="A38" s="195"/>
      <c r="B38" s="195" t="s">
        <v>318</v>
      </c>
      <c r="C38" s="200" t="n">
        <f aca="false">C12*$I$38</f>
        <v>879.024</v>
      </c>
      <c r="D38" s="200" t="n">
        <f aca="false">D12*$I$38</f>
        <v>905.690666666667</v>
      </c>
      <c r="E38" s="200" t="n">
        <f aca="false">E12*$I$38</f>
        <v>1045.69066666667</v>
      </c>
      <c r="F38" s="200" t="n">
        <f aca="false">F12*$I$38</f>
        <v>879.024</v>
      </c>
      <c r="G38" s="200" t="n">
        <f aca="false">SUM(C38:F38)</f>
        <v>3709.42933333333</v>
      </c>
      <c r="H38" s="195" t="s">
        <v>332</v>
      </c>
      <c r="I38" s="195" t="n">
        <v>0.04</v>
      </c>
    </row>
    <row r="39" customFormat="false" ht="13.5" hidden="false" customHeight="true" outlineLevel="0" collapsed="false">
      <c r="A39" s="195"/>
      <c r="B39" s="195" t="s">
        <v>333</v>
      </c>
      <c r="C39" s="200" t="n">
        <f aca="false">C17*$I$39</f>
        <v>525.6875</v>
      </c>
      <c r="D39" s="200" t="n">
        <f aca="false">D17*$I$39</f>
        <v>474.875</v>
      </c>
      <c r="E39" s="200" t="n">
        <f aca="false">E17*$I$39</f>
        <v>502.9375</v>
      </c>
      <c r="F39" s="200" t="n">
        <f aca="false">F17*$I$39</f>
        <v>526.6875</v>
      </c>
      <c r="G39" s="200" t="n">
        <f aca="false">SUM(C39:F39)</f>
        <v>2030.1875</v>
      </c>
      <c r="H39" s="195" t="s">
        <v>332</v>
      </c>
      <c r="I39" s="195" t="n">
        <v>0.25</v>
      </c>
    </row>
    <row r="40" customFormat="false" ht="12.75" hidden="false" customHeight="false" outlineLevel="0" collapsed="false">
      <c r="A40" s="195"/>
      <c r="B40" s="195" t="s">
        <v>319</v>
      </c>
      <c r="C40" s="200" t="n">
        <f aca="false">C13*$I$40</f>
        <v>165</v>
      </c>
      <c r="D40" s="200" t="n">
        <f aca="false">D13*$I$40</f>
        <v>162.5</v>
      </c>
      <c r="E40" s="200" t="n">
        <f aca="false">E13*$I$40</f>
        <v>167.5</v>
      </c>
      <c r="F40" s="200" t="n">
        <f aca="false">F13*$I$40</f>
        <v>165</v>
      </c>
      <c r="G40" s="200" t="n">
        <f aca="false">SUM(C40:F40)</f>
        <v>660</v>
      </c>
      <c r="H40" s="195" t="s">
        <v>332</v>
      </c>
      <c r="I40" s="195" t="n">
        <v>0.05</v>
      </c>
    </row>
    <row r="41" customFormat="false" ht="12.75" hidden="false" customHeight="false" outlineLevel="0" collapsed="false">
      <c r="A41" s="195"/>
      <c r="B41" s="195" t="s">
        <v>320</v>
      </c>
      <c r="C41" s="200" t="n">
        <f aca="false">C14*$I$41</f>
        <v>6</v>
      </c>
      <c r="D41" s="200" t="n">
        <f aca="false">D14*$I$41</f>
        <v>21</v>
      </c>
      <c r="E41" s="200" t="n">
        <f aca="false">E14*$I$41</f>
        <v>4.8</v>
      </c>
      <c r="F41" s="200" t="n">
        <f aca="false">F14*$I$41</f>
        <v>25.2</v>
      </c>
      <c r="G41" s="200" t="n">
        <f aca="false">SUM(C41:F41)</f>
        <v>57</v>
      </c>
      <c r="H41" s="195" t="s">
        <v>332</v>
      </c>
      <c r="I41" s="195" t="n">
        <v>0.06</v>
      </c>
    </row>
    <row r="42" customFormat="false" ht="12.75" hidden="false" customHeight="false" outlineLevel="0" collapsed="false">
      <c r="A42" s="195"/>
      <c r="B42" s="195" t="s">
        <v>321</v>
      </c>
      <c r="C42" s="200" t="n">
        <f aca="false">C15*$I$42</f>
        <v>51.275</v>
      </c>
      <c r="D42" s="200" t="n">
        <f aca="false">D15*$I$42</f>
        <v>48.825</v>
      </c>
      <c r="E42" s="200" t="n">
        <f aca="false">E15*$I$42</f>
        <v>56.875</v>
      </c>
      <c r="F42" s="200" t="n">
        <f aca="false">F15*$I$42</f>
        <v>55.475</v>
      </c>
      <c r="G42" s="200" t="n">
        <f aca="false">SUM(C42:F42)</f>
        <v>212.45</v>
      </c>
      <c r="H42" s="195" t="s">
        <v>332</v>
      </c>
      <c r="I42" s="195" t="n">
        <v>0.07</v>
      </c>
    </row>
    <row r="43" customFormat="false" ht="12.75" hidden="false" customHeight="false" outlineLevel="0" collapsed="false">
      <c r="A43" s="195"/>
      <c r="B43" s="195" t="s">
        <v>324</v>
      </c>
      <c r="C43" s="200" t="n">
        <f aca="false">C18*$I$43</f>
        <v>40</v>
      </c>
      <c r="D43" s="200" t="n">
        <f aca="false">D18*$I$43</f>
        <v>55.3333333333334</v>
      </c>
      <c r="E43" s="200" t="n">
        <f aca="false">E18*$I$43</f>
        <v>200</v>
      </c>
      <c r="F43" s="200" t="n">
        <f aca="false">F18*$I$43</f>
        <v>32</v>
      </c>
      <c r="G43" s="200" t="n">
        <f aca="false">SUM(C43:F43)</f>
        <v>327.333333333333</v>
      </c>
      <c r="H43" s="195" t="s">
        <v>332</v>
      </c>
      <c r="I43" s="195" t="n">
        <v>0.08</v>
      </c>
    </row>
    <row r="44" customFormat="false" ht="12.75" hidden="false" customHeight="false" outlineLevel="0" collapsed="false">
      <c r="A44" s="195"/>
      <c r="B44" s="195" t="s">
        <v>330</v>
      </c>
      <c r="C44" s="200" t="n">
        <f aca="false">C25</f>
        <v>0</v>
      </c>
      <c r="D44" s="200" t="n">
        <f aca="false">D25</f>
        <v>291.666666666667</v>
      </c>
      <c r="E44" s="200" t="n">
        <f aca="false">E25</f>
        <v>0</v>
      </c>
      <c r="F44" s="200" t="n">
        <f aca="false">F25</f>
        <v>0</v>
      </c>
      <c r="G44" s="200" t="n">
        <f aca="false">SUM(C44:F44)</f>
        <v>291.666666666667</v>
      </c>
      <c r="H44" s="195" t="s">
        <v>334</v>
      </c>
      <c r="I44" s="195"/>
    </row>
    <row r="45" customFormat="false" ht="12.75" hidden="false" customHeight="false" outlineLevel="0" collapsed="false">
      <c r="A45" s="195"/>
      <c r="B45" s="195" t="s">
        <v>327</v>
      </c>
      <c r="C45" s="200" t="n">
        <f aca="false">C21*$I$45</f>
        <v>0</v>
      </c>
      <c r="D45" s="200" t="n">
        <f aca="false">D21*$I$45</f>
        <v>0</v>
      </c>
      <c r="E45" s="200" t="n">
        <f aca="false">E21*$I$45</f>
        <v>0</v>
      </c>
      <c r="F45" s="200" t="n">
        <f aca="false">F21*$I$45</f>
        <v>0</v>
      </c>
      <c r="G45" s="200" t="n">
        <f aca="false">SUM(C45:F45)</f>
        <v>0</v>
      </c>
      <c r="H45" s="195" t="s">
        <v>332</v>
      </c>
      <c r="I45" s="195" t="n">
        <v>0.09</v>
      </c>
    </row>
    <row r="46" customFormat="false" ht="12.75" hidden="false" customHeight="false" outlineLevel="0" collapsed="false">
      <c r="A46" s="195"/>
      <c r="B46" s="195" t="s">
        <v>335</v>
      </c>
      <c r="C46" s="200" t="n">
        <f aca="false">C16*$I$46</f>
        <v>227.5</v>
      </c>
      <c r="D46" s="200" t="n">
        <f aca="false">D16*$I$46</f>
        <v>130.8</v>
      </c>
      <c r="E46" s="200" t="n">
        <f aca="false">E16*$I$46</f>
        <v>19.2</v>
      </c>
      <c r="F46" s="200" t="n">
        <f aca="false">F16*$I$46</f>
        <v>12.5</v>
      </c>
      <c r="G46" s="200" t="n">
        <f aca="false">SUM(C46:F46)</f>
        <v>390</v>
      </c>
      <c r="H46" s="195" t="s">
        <v>332</v>
      </c>
      <c r="I46" s="195" t="n">
        <v>0.1</v>
      </c>
    </row>
    <row r="47" customFormat="false" ht="12.75" hidden="false" customHeight="false" outlineLevel="0" collapsed="false">
      <c r="A47" s="195"/>
      <c r="B47" s="195" t="s">
        <v>336</v>
      </c>
      <c r="C47" s="200" t="n">
        <f aca="false">C20*$I$47</f>
        <v>0</v>
      </c>
      <c r="D47" s="200" t="n">
        <f aca="false">D20*$I$47</f>
        <v>0</v>
      </c>
      <c r="E47" s="200" t="n">
        <f aca="false">E20*$I$47</f>
        <v>0</v>
      </c>
      <c r="F47" s="200" t="n">
        <f aca="false">F20*$I$47</f>
        <v>33</v>
      </c>
      <c r="G47" s="200" t="n">
        <f aca="false">SUM(C47:F47)</f>
        <v>33</v>
      </c>
      <c r="H47" s="195" t="s">
        <v>332</v>
      </c>
      <c r="I47" s="195" t="n">
        <v>0.11</v>
      </c>
    </row>
    <row r="48" customFormat="false" ht="12.75" hidden="false" customHeight="false" outlineLevel="0" collapsed="false">
      <c r="A48" s="195"/>
      <c r="B48" s="195" t="s">
        <v>325</v>
      </c>
      <c r="C48" s="200" t="n">
        <f aca="false">C19*$I$48</f>
        <v>115</v>
      </c>
      <c r="D48" s="200" t="n">
        <f aca="false">D19*$I$48</f>
        <v>506.8</v>
      </c>
      <c r="E48" s="200" t="n">
        <f aca="false">E19*$I$48</f>
        <v>106.7</v>
      </c>
      <c r="F48" s="200" t="n">
        <f aca="false">F19*$I$48</f>
        <v>102.5</v>
      </c>
      <c r="G48" s="200" t="n">
        <f aca="false">SUM(C48:F48)</f>
        <v>831</v>
      </c>
      <c r="H48" s="195" t="s">
        <v>332</v>
      </c>
      <c r="I48" s="195" t="n">
        <v>0.12</v>
      </c>
    </row>
    <row r="49" customFormat="false" ht="12.75" hidden="false" customHeight="false" outlineLevel="0" collapsed="false">
      <c r="A49" s="195"/>
      <c r="B49" s="195" t="s">
        <v>297</v>
      </c>
      <c r="C49" s="200" t="n">
        <f aca="false">SUM('Profit &amp; Loss Account'!C34:E34)</f>
        <v>5216.25</v>
      </c>
      <c r="D49" s="200" t="n">
        <f aca="false">SUM('Profit &amp; Loss Account'!F34:H34)</f>
        <v>5216.25</v>
      </c>
      <c r="E49" s="200" t="n">
        <f aca="false">SUM('Profit &amp; Loss Account'!I34:K34)</f>
        <v>5216.25</v>
      </c>
      <c r="F49" s="200" t="n">
        <f aca="false">SUM('Profit &amp; Loss Account'!L34:N34)</f>
        <v>5216.25</v>
      </c>
      <c r="G49" s="200" t="n">
        <f aca="false">SUM(C49:F49)</f>
        <v>20865</v>
      </c>
      <c r="H49" s="195" t="s">
        <v>337</v>
      </c>
      <c r="I49" s="195"/>
    </row>
    <row r="50" customFormat="false" ht="12.75" hidden="false" customHeight="false" outlineLevel="0" collapsed="false">
      <c r="A50" s="195"/>
      <c r="B50" s="195" t="s">
        <v>328</v>
      </c>
      <c r="C50" s="200" t="n">
        <f aca="false">C22*$I$50</f>
        <v>201.175</v>
      </c>
      <c r="D50" s="200" t="n">
        <f aca="false">D22*$I$50</f>
        <v>42.575</v>
      </c>
      <c r="E50" s="200" t="n">
        <f aca="false">E22*$I$50</f>
        <v>137.041666666667</v>
      </c>
      <c r="F50" s="200" t="n">
        <f aca="false">F22*$I$50</f>
        <v>39.325</v>
      </c>
      <c r="G50" s="200" t="n">
        <f aca="false">SUM(C50:F50)</f>
        <v>420.116666666666</v>
      </c>
      <c r="H50" s="195" t="s">
        <v>332</v>
      </c>
      <c r="I50" s="195" t="n">
        <v>0.13</v>
      </c>
    </row>
    <row r="51" customFormat="false" ht="12.75" hidden="false" customHeight="false" outlineLevel="0" collapsed="false">
      <c r="A51" s="195"/>
      <c r="B51" s="195"/>
      <c r="C51" s="195"/>
      <c r="D51" s="195"/>
      <c r="E51" s="195"/>
      <c r="F51" s="195"/>
      <c r="G51" s="195"/>
      <c r="H51" s="195"/>
      <c r="I51" s="195"/>
    </row>
    <row r="52" customFormat="false" ht="12.75" hidden="false" customHeight="false" outlineLevel="0" collapsed="false">
      <c r="A52" s="205"/>
    </row>
  </sheetData>
  <mergeCells count="7">
    <mergeCell ref="B2:B3"/>
    <mergeCell ref="C2:C3"/>
    <mergeCell ref="D2:D3"/>
    <mergeCell ref="E2:E3"/>
    <mergeCell ref="F2:F3"/>
    <mergeCell ref="G2:G3"/>
    <mergeCell ref="H2:H3"/>
  </mergeCells>
  <printOptions headings="false" gridLines="true" gridLinesSet="true" horizontalCentered="false" verticalCentered="false"/>
  <pageMargins left="0.275694444444444" right="0.472222222222222" top="0.747916666666667" bottom="0.786805555555556" header="0.275694444444444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&amp;C&amp;"Arial,Bold"&amp;11Financial accounts for the period
6 April 2020 to 5 April 2021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206" width="2.66"/>
    <col collapsed="false" customWidth="true" hidden="false" outlineLevel="0" max="2" min="2" style="206" width="25.99"/>
    <col collapsed="false" customWidth="true" hidden="false" outlineLevel="0" max="3" min="3" style="206" width="11.32"/>
    <col collapsed="false" customWidth="true" hidden="false" outlineLevel="0" max="4" min="4" style="207" width="13.49"/>
    <col collapsed="false" customWidth="true" hidden="false" outlineLevel="0" max="5" min="5" style="208" width="12.66"/>
    <col collapsed="false" customWidth="true" hidden="false" outlineLevel="0" max="6" min="6" style="209" width="4.15"/>
    <col collapsed="false" customWidth="true" hidden="false" outlineLevel="0" max="7" min="7" style="210" width="2.66"/>
    <col collapsed="false" customWidth="false" hidden="false" outlineLevel="0" max="12" min="8" style="206" width="9.15"/>
    <col collapsed="false" customWidth="true" hidden="false" outlineLevel="0" max="13" min="13" style="206" width="15.15"/>
    <col collapsed="false" customWidth="false" hidden="false" outlineLevel="0" max="257" min="14" style="206" width="9.15"/>
  </cols>
  <sheetData>
    <row r="1" customFormat="false" ht="12.75" hidden="false" customHeight="false" outlineLevel="0" collapsed="false">
      <c r="A1" s="211"/>
      <c r="B1" s="211"/>
      <c r="C1" s="211"/>
      <c r="D1" s="212"/>
      <c r="E1" s="213"/>
      <c r="F1" s="214"/>
      <c r="G1" s="211"/>
    </row>
    <row r="2" customFormat="false" ht="18" hidden="false" customHeight="true" outlineLevel="0" collapsed="false">
      <c r="A2" s="211"/>
      <c r="B2" s="215" t="s">
        <v>338</v>
      </c>
      <c r="C2" s="216" t="str">
        <f aca="false">Admin!L2</f>
        <v>2026-27</v>
      </c>
      <c r="D2" s="217" t="s">
        <v>339</v>
      </c>
      <c r="E2" s="217"/>
      <c r="F2" s="217"/>
      <c r="G2" s="218"/>
    </row>
    <row r="3" customFormat="false" ht="18.75" hidden="false" customHeight="true" outlineLevel="0" collapsed="false">
      <c r="A3" s="211"/>
      <c r="B3" s="219"/>
      <c r="C3" s="219"/>
      <c r="D3" s="217"/>
      <c r="E3" s="217"/>
      <c r="F3" s="217"/>
      <c r="G3" s="218"/>
    </row>
    <row r="4" customFormat="false" ht="12.75" hidden="false" customHeight="false" outlineLevel="0" collapsed="false">
      <c r="A4" s="211"/>
      <c r="B4" s="220"/>
      <c r="C4" s="220"/>
      <c r="D4" s="221"/>
      <c r="E4" s="213"/>
      <c r="F4" s="214"/>
      <c r="G4" s="218"/>
    </row>
    <row r="5" customFormat="false" ht="12.75" hidden="false" customHeight="false" outlineLevel="0" collapsed="false">
      <c r="A5" s="211"/>
      <c r="B5" s="222" t="s">
        <v>340</v>
      </c>
      <c r="C5" s="222"/>
      <c r="D5" s="222"/>
      <c r="E5" s="223" t="n">
        <f aca="false">'SE Full'!O210</f>
        <v>123647.775965753</v>
      </c>
      <c r="F5" s="214"/>
      <c r="G5" s="218"/>
      <c r="M5" s="224"/>
    </row>
    <row r="6" customFormat="false" ht="12.75" hidden="false" customHeight="false" outlineLevel="0" collapsed="false">
      <c r="A6" s="211"/>
      <c r="B6" s="220" t="s">
        <v>341</v>
      </c>
      <c r="C6" s="220" t="str">
        <f aca="false">C2</f>
        <v>2026-27</v>
      </c>
      <c r="D6" s="225"/>
      <c r="E6" s="218" t="n">
        <f aca="false">IF(E5&lt;=0,0,MAX(0,Admin!N$4-MAX(0,E5-Admin!N$5)/2))</f>
        <v>746.112017123494</v>
      </c>
      <c r="F6" s="214"/>
      <c r="G6" s="218"/>
      <c r="M6" s="224"/>
    </row>
    <row r="7" customFormat="false" ht="12.75" hidden="false" customHeight="false" outlineLevel="0" collapsed="false">
      <c r="A7" s="211"/>
      <c r="B7" s="222" t="s">
        <v>342</v>
      </c>
      <c r="C7" s="222"/>
      <c r="D7" s="222"/>
      <c r="E7" s="223" t="n">
        <f aca="false">IF((E5&gt;E6),(E5-E6),0)</f>
        <v>122901.66394863</v>
      </c>
      <c r="F7" s="214"/>
      <c r="G7" s="218"/>
      <c r="M7" s="224"/>
    </row>
    <row r="8" customFormat="false" ht="12.75" hidden="false" customHeight="false" outlineLevel="0" collapsed="false">
      <c r="A8" s="211"/>
      <c r="B8" s="220" t="s">
        <v>343</v>
      </c>
      <c r="C8" s="220" t="n">
        <f aca="false">Admin!N$11</f>
        <v>0</v>
      </c>
      <c r="D8" s="226" t="n">
        <f aca="false">Admin!N$6</f>
        <v>0.2</v>
      </c>
      <c r="E8" s="213" t="n">
        <f aca="false">IF((E7&gt;0),(IF((E7&lt;C9),E7*D8,C9*D8)),0)</f>
        <v>7540</v>
      </c>
      <c r="F8" s="214"/>
      <c r="G8" s="218"/>
      <c r="H8" s="227"/>
      <c r="M8" s="224"/>
    </row>
    <row r="9" customFormat="false" ht="12.75" hidden="false" customHeight="false" outlineLevel="0" collapsed="false">
      <c r="A9" s="211"/>
      <c r="B9" s="220" t="s">
        <v>344</v>
      </c>
      <c r="C9" s="220" t="n">
        <f aca="false">Admin!M$11</f>
        <v>37700</v>
      </c>
      <c r="D9" s="226" t="n">
        <f aca="false">Admin!N$7</f>
        <v>0.4</v>
      </c>
      <c r="E9" s="213" t="n">
        <f aca="false">IF(E7&gt;C9,(MIN(E7,C10)-C9)*D9,0)</f>
        <v>34080.6655794518</v>
      </c>
      <c r="F9" s="214"/>
      <c r="G9" s="218"/>
      <c r="M9" s="224"/>
    </row>
    <row r="10" customFormat="false" ht="12.75" hidden="false" customHeight="false" outlineLevel="0" collapsed="false">
      <c r="A10" s="211"/>
      <c r="B10" s="220" t="s">
        <v>345</v>
      </c>
      <c r="C10" s="220" t="n">
        <f aca="false">Admin!N$13</f>
        <v>125140</v>
      </c>
      <c r="D10" s="226" t="n">
        <f aca="false">Admin!N$8</f>
        <v>0.45</v>
      </c>
      <c r="E10" s="213" t="n">
        <f aca="false">IF(E7&gt;C10,(E7-C10)*D10,0)</f>
        <v>0</v>
      </c>
      <c r="F10" s="214"/>
      <c r="G10" s="218"/>
      <c r="M10" s="224"/>
    </row>
    <row r="11" customFormat="false" ht="12.75" hidden="false" customHeight="false" outlineLevel="0" collapsed="false">
      <c r="A11" s="211"/>
      <c r="B11" s="228" t="s">
        <v>346</v>
      </c>
      <c r="C11" s="229"/>
      <c r="D11" s="230"/>
      <c r="E11" s="231" t="n">
        <f aca="false">SUM(E8:E10)</f>
        <v>41620.6655794518</v>
      </c>
      <c r="F11" s="232"/>
      <c r="G11" s="233"/>
      <c r="M11" s="224"/>
    </row>
    <row r="12" customFormat="false" ht="12.75" hidden="false" customHeight="false" outlineLevel="0" collapsed="false">
      <c r="A12" s="211"/>
      <c r="B12" s="220" t="s">
        <v>347</v>
      </c>
      <c r="C12" s="220"/>
      <c r="D12" s="234"/>
      <c r="E12" s="213" t="n">
        <f aca="false">-[2]Mar!$X$1</f>
        <v>-0</v>
      </c>
      <c r="F12" s="232"/>
      <c r="G12" s="233"/>
      <c r="M12" s="224"/>
    </row>
    <row r="13" customFormat="false" ht="12.75" hidden="false" customHeight="false" outlineLevel="0" collapsed="false">
      <c r="A13" s="211"/>
      <c r="B13" s="235" t="s">
        <v>348</v>
      </c>
      <c r="C13" s="236" t="n">
        <f aca="false">Admin!B21</f>
        <v>46783</v>
      </c>
      <c r="D13" s="236"/>
      <c r="E13" s="213"/>
      <c r="F13" s="232"/>
      <c r="G13" s="233"/>
      <c r="M13" s="224"/>
    </row>
    <row r="14" customFormat="false" ht="12.75" hidden="false" customHeight="false" outlineLevel="0" collapsed="false">
      <c r="A14" s="211"/>
      <c r="B14" s="220" t="s">
        <v>349</v>
      </c>
      <c r="C14" s="220"/>
      <c r="D14" s="237"/>
      <c r="E14" s="213" t="n">
        <f aca="false">IF('SE Full'!D201&gt;0,IF(E7+'SE Full'!D201&lt;C9,(E7+'SE Full'!D201)*D8,C9*D8)+IF(E7+'SE Full'!D201&gt;C9,(MIN(E7+'SE Full'!D201,C10)-C9)*D9,0)+IF(E7+'SE Full'!D201&gt;C10,(E7+'SE Full'!D201-C10)*D10,0)-E11,0)</f>
        <v>1688.08319743147</v>
      </c>
      <c r="F14" s="214"/>
      <c r="G14" s="233"/>
      <c r="M14" s="224"/>
    </row>
    <row r="15" customFormat="false" ht="12.75" hidden="false" customHeight="false" outlineLevel="0" collapsed="false">
      <c r="A15" s="211"/>
      <c r="B15" s="238" t="s">
        <v>350</v>
      </c>
      <c r="C15" s="238"/>
      <c r="D15" s="226" t="n">
        <f aca="false">Admin!L20</f>
        <v>0.06</v>
      </c>
      <c r="E15" s="239" t="n">
        <f aca="false">IF((E5+'SE Full'!D201)&gt;Admin!N20,IF((E5+'SE Full'!D201)&lt;Admin!N$23,((E5+'SE Full'!D201)-Admin!N20)*D15,(Admin!N$23-Admin!N20)*D15),0)</f>
        <v>2262</v>
      </c>
      <c r="F15" s="214"/>
      <c r="G15" s="233"/>
      <c r="M15" s="224"/>
    </row>
    <row r="16" customFormat="false" ht="12.75" hidden="false" customHeight="false" outlineLevel="0" collapsed="false">
      <c r="A16" s="211"/>
      <c r="B16" s="238" t="s">
        <v>351</v>
      </c>
      <c r="C16" s="238"/>
      <c r="D16" s="226" t="n">
        <f aca="false">Admin!L23</f>
        <v>0.02</v>
      </c>
      <c r="E16" s="239" t="n">
        <f aca="false">IF(((E5+'SE Full'!D201)&gt;Admin!N$23),(((E5+'SE Full'!D201)-Admin!N$23)*D16),0)</f>
        <v>1547.55551931506</v>
      </c>
      <c r="F16" s="214"/>
      <c r="G16" s="233"/>
      <c r="M16" s="224"/>
    </row>
    <row r="17" customFormat="false" ht="12.75" hidden="false" customHeight="false" outlineLevel="0" collapsed="false">
      <c r="A17" s="211"/>
      <c r="B17" s="220"/>
      <c r="C17" s="220"/>
      <c r="D17" s="237"/>
      <c r="E17" s="240"/>
      <c r="F17" s="214"/>
      <c r="G17" s="233"/>
      <c r="M17" s="224"/>
    </row>
    <row r="18" customFormat="false" ht="12.75" hidden="false" customHeight="false" outlineLevel="0" collapsed="false">
      <c r="A18" s="211"/>
      <c r="B18" s="241" t="s">
        <v>352</v>
      </c>
      <c r="C18" s="241"/>
      <c r="D18" s="237"/>
      <c r="E18" s="231" t="n">
        <f aca="false">SUM(E11:E17)</f>
        <v>47118.3042961983</v>
      </c>
      <c r="F18" s="214"/>
      <c r="G18" s="218"/>
      <c r="M18" s="224"/>
    </row>
    <row r="19" customFormat="false" ht="12.75" hidden="false" customHeight="false" outlineLevel="0" collapsed="false">
      <c r="A19" s="211"/>
      <c r="B19" s="242"/>
      <c r="C19" s="242"/>
      <c r="D19" s="237"/>
      <c r="E19" s="240"/>
      <c r="F19" s="214"/>
      <c r="G19" s="218"/>
    </row>
    <row r="20" customFormat="false" ht="12.75" hidden="false" customHeight="false" outlineLevel="0" collapsed="false">
      <c r="A20" s="211"/>
      <c r="B20" s="242"/>
      <c r="C20" s="242"/>
      <c r="D20" s="237"/>
      <c r="E20" s="240"/>
      <c r="F20" s="214"/>
      <c r="G20" s="218"/>
    </row>
    <row r="21" customFormat="false" ht="18" hidden="false" customHeight="true" outlineLevel="0" collapsed="false">
      <c r="A21" s="211"/>
      <c r="B21" s="228" t="s">
        <v>353</v>
      </c>
      <c r="C21" s="243"/>
      <c r="D21" s="244" t="s">
        <v>354</v>
      </c>
      <c r="E21" s="244"/>
      <c r="F21" s="244"/>
      <c r="G21" s="211"/>
    </row>
    <row r="22" customFormat="false" ht="12.75" hidden="false" customHeight="true" outlineLevel="0" collapsed="false">
      <c r="A22" s="211"/>
      <c r="B22" s="220"/>
      <c r="C22" s="220"/>
      <c r="D22" s="237"/>
      <c r="E22" s="240"/>
      <c r="F22" s="214"/>
      <c r="G22" s="233"/>
    </row>
    <row r="23" customFormat="false" ht="12.75" hidden="false" customHeight="true" outlineLevel="0" collapsed="false">
      <c r="A23" s="245"/>
      <c r="B23" s="220"/>
      <c r="C23" s="220"/>
      <c r="D23" s="246" t="s">
        <v>355</v>
      </c>
      <c r="E23" s="247" t="s">
        <v>356</v>
      </c>
      <c r="F23" s="248"/>
      <c r="G23" s="218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9"/>
      <c r="BB23" s="249"/>
      <c r="BC23" s="249"/>
      <c r="BD23" s="249"/>
      <c r="BE23" s="249"/>
      <c r="BF23" s="249"/>
      <c r="BG23" s="249"/>
      <c r="BH23" s="249"/>
      <c r="BI23" s="249"/>
      <c r="BJ23" s="249"/>
      <c r="BK23" s="249"/>
      <c r="BL23" s="249"/>
      <c r="BM23" s="249"/>
      <c r="BN23" s="249"/>
      <c r="BO23" s="249"/>
      <c r="BP23" s="249"/>
      <c r="BQ23" s="249"/>
      <c r="BR23" s="249"/>
      <c r="BS23" s="249"/>
      <c r="BT23" s="249"/>
      <c r="BU23" s="249"/>
      <c r="BV23" s="249"/>
      <c r="BW23" s="249"/>
      <c r="BX23" s="249"/>
      <c r="BY23" s="249"/>
      <c r="BZ23" s="249"/>
      <c r="CA23" s="249"/>
      <c r="CB23" s="249"/>
      <c r="CC23" s="249"/>
      <c r="CD23" s="249"/>
      <c r="CE23" s="249"/>
      <c r="CF23" s="249"/>
      <c r="CG23" s="249"/>
      <c r="CH23" s="249"/>
      <c r="CI23" s="249"/>
      <c r="CJ23" s="249"/>
      <c r="CK23" s="249"/>
      <c r="CL23" s="249"/>
      <c r="CM23" s="249"/>
      <c r="CN23" s="249"/>
      <c r="CO23" s="249"/>
      <c r="CP23" s="249"/>
      <c r="CQ23" s="249"/>
      <c r="CR23" s="249"/>
      <c r="CS23" s="249"/>
      <c r="CT23" s="249"/>
      <c r="CU23" s="249"/>
      <c r="CV23" s="249"/>
      <c r="CW23" s="249"/>
      <c r="CX23" s="249"/>
      <c r="CY23" s="249"/>
      <c r="CZ23" s="249"/>
      <c r="DA23" s="249"/>
      <c r="DB23" s="249"/>
      <c r="DC23" s="249"/>
      <c r="DD23" s="249"/>
      <c r="DE23" s="249"/>
      <c r="DF23" s="249"/>
      <c r="DG23" s="249"/>
      <c r="DH23" s="249"/>
      <c r="DI23" s="249"/>
      <c r="DJ23" s="249"/>
      <c r="DK23" s="249"/>
      <c r="DL23" s="249"/>
      <c r="DM23" s="249"/>
      <c r="DN23" s="249"/>
      <c r="DO23" s="249"/>
      <c r="DP23" s="249"/>
      <c r="DQ23" s="249"/>
      <c r="DR23" s="249"/>
      <c r="DS23" s="249"/>
      <c r="DT23" s="249"/>
      <c r="DU23" s="249"/>
      <c r="DV23" s="249"/>
      <c r="DW23" s="249"/>
      <c r="DX23" s="249"/>
      <c r="DY23" s="249"/>
      <c r="DZ23" s="249"/>
      <c r="EA23" s="249"/>
      <c r="EB23" s="249"/>
      <c r="EC23" s="249"/>
      <c r="ED23" s="249"/>
      <c r="EE23" s="249"/>
      <c r="EF23" s="249"/>
      <c r="EG23" s="249"/>
      <c r="EH23" s="249"/>
      <c r="EI23" s="249"/>
      <c r="EJ23" s="249"/>
      <c r="EK23" s="249"/>
      <c r="EL23" s="249"/>
      <c r="EM23" s="249"/>
      <c r="EN23" s="249"/>
      <c r="EO23" s="249"/>
      <c r="EP23" s="249"/>
      <c r="EQ23" s="249"/>
      <c r="ER23" s="249"/>
      <c r="ES23" s="249"/>
      <c r="ET23" s="249"/>
      <c r="EU23" s="249"/>
      <c r="EV23" s="249"/>
      <c r="EW23" s="249"/>
      <c r="EX23" s="249"/>
      <c r="EY23" s="249"/>
      <c r="EZ23" s="249"/>
      <c r="FA23" s="249"/>
      <c r="FB23" s="249"/>
      <c r="FC23" s="249"/>
      <c r="FD23" s="249"/>
      <c r="FE23" s="249"/>
      <c r="FF23" s="249"/>
      <c r="FG23" s="249"/>
      <c r="FH23" s="249"/>
      <c r="FI23" s="249"/>
      <c r="FJ23" s="249"/>
      <c r="FK23" s="249"/>
      <c r="FL23" s="249"/>
      <c r="FM23" s="249"/>
      <c r="FN23" s="249"/>
      <c r="FO23" s="249"/>
      <c r="FP23" s="249"/>
      <c r="FQ23" s="249"/>
      <c r="FR23" s="249"/>
      <c r="FS23" s="249"/>
      <c r="FT23" s="249"/>
      <c r="FU23" s="249"/>
      <c r="FV23" s="249"/>
      <c r="FW23" s="249"/>
      <c r="FX23" s="249"/>
      <c r="FY23" s="249"/>
      <c r="FZ23" s="249"/>
      <c r="GA23" s="249"/>
      <c r="GB23" s="249"/>
      <c r="GC23" s="249"/>
      <c r="GD23" s="249"/>
      <c r="GE23" s="249"/>
      <c r="GF23" s="249"/>
      <c r="GG23" s="249"/>
      <c r="GH23" s="249"/>
      <c r="GI23" s="249"/>
      <c r="GJ23" s="249"/>
      <c r="GK23" s="249"/>
      <c r="GL23" s="249"/>
      <c r="GM23" s="249"/>
      <c r="GN23" s="249"/>
      <c r="GO23" s="249"/>
      <c r="GP23" s="249"/>
      <c r="GQ23" s="249"/>
      <c r="GR23" s="249"/>
      <c r="GS23" s="249"/>
      <c r="GT23" s="249"/>
      <c r="GU23" s="249"/>
      <c r="GV23" s="249"/>
      <c r="GW23" s="249"/>
      <c r="GX23" s="249"/>
      <c r="GY23" s="249"/>
      <c r="GZ23" s="249"/>
      <c r="HA23" s="249"/>
      <c r="HB23" s="249"/>
      <c r="HC23" s="249"/>
      <c r="HD23" s="249"/>
      <c r="HE23" s="249"/>
      <c r="HF23" s="249"/>
      <c r="HG23" s="249"/>
      <c r="HH23" s="249"/>
      <c r="HI23" s="249"/>
      <c r="HJ23" s="249"/>
      <c r="HK23" s="249"/>
      <c r="HL23" s="249"/>
      <c r="HM23" s="249"/>
      <c r="HN23" s="249"/>
      <c r="HO23" s="249"/>
      <c r="HP23" s="249"/>
      <c r="HQ23" s="249"/>
      <c r="HR23" s="249"/>
      <c r="HS23" s="249"/>
      <c r="HT23" s="249"/>
      <c r="HU23" s="249"/>
      <c r="HV23" s="249"/>
      <c r="HW23" s="249"/>
      <c r="HX23" s="249"/>
      <c r="HY23" s="249"/>
      <c r="HZ23" s="249"/>
      <c r="IA23" s="249"/>
      <c r="IB23" s="249"/>
      <c r="IC23" s="249"/>
      <c r="ID23" s="249"/>
      <c r="IE23" s="249"/>
      <c r="IF23" s="249"/>
      <c r="IG23" s="249"/>
      <c r="IH23" s="249"/>
      <c r="II23" s="249"/>
      <c r="IJ23" s="249"/>
      <c r="IK23" s="249"/>
      <c r="IL23" s="249"/>
      <c r="IM23" s="249"/>
      <c r="IN23" s="249"/>
      <c r="IO23" s="249"/>
      <c r="IP23" s="249"/>
      <c r="IQ23" s="249"/>
      <c r="IR23" s="249"/>
      <c r="IS23" s="249"/>
      <c r="IT23" s="249"/>
      <c r="IU23" s="249"/>
      <c r="IV23" s="249"/>
      <c r="IW23" s="249"/>
    </row>
    <row r="24" customFormat="false" ht="12.75" hidden="false" customHeight="false" outlineLevel="0" collapsed="false">
      <c r="A24" s="245"/>
      <c r="B24" s="220"/>
      <c r="C24" s="220"/>
      <c r="D24" s="246"/>
      <c r="E24" s="246"/>
      <c r="F24" s="248"/>
      <c r="G24" s="218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249"/>
      <c r="AS24" s="249"/>
      <c r="AT24" s="249"/>
      <c r="AU24" s="249"/>
      <c r="AV24" s="249"/>
      <c r="AW24" s="249"/>
      <c r="AX24" s="249"/>
      <c r="AY24" s="249"/>
      <c r="AZ24" s="249"/>
      <c r="BA24" s="249"/>
      <c r="BB24" s="249"/>
      <c r="BC24" s="249"/>
      <c r="BD24" s="249"/>
      <c r="BE24" s="249"/>
      <c r="BF24" s="249"/>
      <c r="BG24" s="249"/>
      <c r="BH24" s="249"/>
      <c r="BI24" s="249"/>
      <c r="BJ24" s="249"/>
      <c r="BK24" s="249"/>
      <c r="BL24" s="249"/>
      <c r="BM24" s="249"/>
      <c r="BN24" s="249"/>
      <c r="BO24" s="249"/>
      <c r="BP24" s="249"/>
      <c r="BQ24" s="249"/>
      <c r="BR24" s="249"/>
      <c r="BS24" s="249"/>
      <c r="BT24" s="249"/>
      <c r="BU24" s="249"/>
      <c r="BV24" s="249"/>
      <c r="BW24" s="249"/>
      <c r="BX24" s="249"/>
      <c r="BY24" s="249"/>
      <c r="BZ24" s="249"/>
      <c r="CA24" s="249"/>
      <c r="CB24" s="249"/>
      <c r="CC24" s="249"/>
      <c r="CD24" s="249"/>
      <c r="CE24" s="249"/>
      <c r="CF24" s="249"/>
      <c r="CG24" s="249"/>
      <c r="CH24" s="249"/>
      <c r="CI24" s="249"/>
      <c r="CJ24" s="249"/>
      <c r="CK24" s="249"/>
      <c r="CL24" s="249"/>
      <c r="CM24" s="249"/>
      <c r="CN24" s="249"/>
      <c r="CO24" s="249"/>
      <c r="CP24" s="249"/>
      <c r="CQ24" s="249"/>
      <c r="CR24" s="249"/>
      <c r="CS24" s="249"/>
      <c r="CT24" s="249"/>
      <c r="CU24" s="249"/>
      <c r="CV24" s="249"/>
      <c r="CW24" s="249"/>
      <c r="CX24" s="249"/>
      <c r="CY24" s="249"/>
      <c r="CZ24" s="249"/>
      <c r="DA24" s="249"/>
      <c r="DB24" s="249"/>
      <c r="DC24" s="249"/>
      <c r="DD24" s="249"/>
      <c r="DE24" s="249"/>
      <c r="DF24" s="249"/>
      <c r="DG24" s="249"/>
      <c r="DH24" s="249"/>
      <c r="DI24" s="249"/>
      <c r="DJ24" s="249"/>
      <c r="DK24" s="249"/>
      <c r="DL24" s="249"/>
      <c r="DM24" s="249"/>
      <c r="DN24" s="249"/>
      <c r="DO24" s="249"/>
      <c r="DP24" s="249"/>
      <c r="DQ24" s="249"/>
      <c r="DR24" s="249"/>
      <c r="DS24" s="249"/>
      <c r="DT24" s="249"/>
      <c r="DU24" s="249"/>
      <c r="DV24" s="249"/>
      <c r="DW24" s="249"/>
      <c r="DX24" s="249"/>
      <c r="DY24" s="249"/>
      <c r="DZ24" s="249"/>
      <c r="EA24" s="249"/>
      <c r="EB24" s="249"/>
      <c r="EC24" s="249"/>
      <c r="ED24" s="249"/>
      <c r="EE24" s="249"/>
      <c r="EF24" s="249"/>
      <c r="EG24" s="249"/>
      <c r="EH24" s="249"/>
      <c r="EI24" s="249"/>
      <c r="EJ24" s="249"/>
      <c r="EK24" s="249"/>
      <c r="EL24" s="249"/>
      <c r="EM24" s="249"/>
      <c r="EN24" s="249"/>
      <c r="EO24" s="249"/>
      <c r="EP24" s="249"/>
      <c r="EQ24" s="249"/>
      <c r="ER24" s="249"/>
      <c r="ES24" s="249"/>
      <c r="ET24" s="249"/>
      <c r="EU24" s="249"/>
      <c r="EV24" s="249"/>
      <c r="EW24" s="249"/>
      <c r="EX24" s="249"/>
      <c r="EY24" s="249"/>
      <c r="EZ24" s="249"/>
      <c r="FA24" s="249"/>
      <c r="FB24" s="249"/>
      <c r="FC24" s="249"/>
      <c r="FD24" s="249"/>
      <c r="FE24" s="249"/>
      <c r="FF24" s="249"/>
      <c r="FG24" s="249"/>
      <c r="FH24" s="249"/>
      <c r="FI24" s="249"/>
      <c r="FJ24" s="249"/>
      <c r="FK24" s="249"/>
      <c r="FL24" s="249"/>
      <c r="FM24" s="249"/>
      <c r="FN24" s="249"/>
      <c r="FO24" s="249"/>
      <c r="FP24" s="249"/>
      <c r="FQ24" s="249"/>
      <c r="FR24" s="249"/>
      <c r="FS24" s="249"/>
      <c r="FT24" s="249"/>
      <c r="FU24" s="249"/>
      <c r="FV24" s="249"/>
      <c r="FW24" s="249"/>
      <c r="FX24" s="249"/>
      <c r="FY24" s="249"/>
      <c r="FZ24" s="249"/>
      <c r="GA24" s="249"/>
      <c r="GB24" s="249"/>
      <c r="GC24" s="249"/>
      <c r="GD24" s="249"/>
      <c r="GE24" s="249"/>
      <c r="GF24" s="249"/>
      <c r="GG24" s="249"/>
      <c r="GH24" s="249"/>
      <c r="GI24" s="249"/>
      <c r="GJ24" s="249"/>
      <c r="GK24" s="249"/>
      <c r="GL24" s="249"/>
      <c r="GM24" s="249"/>
      <c r="GN24" s="249"/>
      <c r="GO24" s="249"/>
      <c r="GP24" s="249"/>
      <c r="GQ24" s="249"/>
      <c r="GR24" s="249"/>
      <c r="GS24" s="249"/>
      <c r="GT24" s="249"/>
      <c r="GU24" s="249"/>
      <c r="GV24" s="249"/>
      <c r="GW24" s="249"/>
      <c r="GX24" s="249"/>
      <c r="GY24" s="249"/>
      <c r="GZ24" s="249"/>
      <c r="HA24" s="249"/>
      <c r="HB24" s="249"/>
      <c r="HC24" s="249"/>
      <c r="HD24" s="249"/>
      <c r="HE24" s="249"/>
      <c r="HF24" s="249"/>
      <c r="HG24" s="249"/>
      <c r="HH24" s="249"/>
      <c r="HI24" s="249"/>
      <c r="HJ24" s="249"/>
      <c r="HK24" s="249"/>
      <c r="HL24" s="249"/>
      <c r="HM24" s="249"/>
      <c r="HN24" s="249"/>
      <c r="HO24" s="249"/>
      <c r="HP24" s="249"/>
      <c r="HQ24" s="249"/>
      <c r="HR24" s="249"/>
      <c r="HS24" s="249"/>
      <c r="HT24" s="249"/>
      <c r="HU24" s="249"/>
      <c r="HV24" s="249"/>
      <c r="HW24" s="249"/>
      <c r="HX24" s="249"/>
      <c r="HY24" s="249"/>
      <c r="HZ24" s="249"/>
      <c r="IA24" s="249"/>
      <c r="IB24" s="249"/>
      <c r="IC24" s="249"/>
      <c r="ID24" s="249"/>
      <c r="IE24" s="249"/>
      <c r="IF24" s="249"/>
      <c r="IG24" s="249"/>
      <c r="IH24" s="249"/>
      <c r="II24" s="249"/>
      <c r="IJ24" s="249"/>
      <c r="IK24" s="249"/>
      <c r="IL24" s="249"/>
      <c r="IM24" s="249"/>
      <c r="IN24" s="249"/>
      <c r="IO24" s="249"/>
      <c r="IP24" s="249"/>
      <c r="IQ24" s="249"/>
      <c r="IR24" s="249"/>
      <c r="IS24" s="249"/>
      <c r="IT24" s="249"/>
      <c r="IU24" s="249"/>
      <c r="IV24" s="249"/>
      <c r="IW24" s="249"/>
    </row>
    <row r="25" customFormat="false" ht="12.75" hidden="false" customHeight="false" outlineLevel="0" collapsed="false">
      <c r="A25" s="211"/>
      <c r="B25" s="220" t="s">
        <v>357</v>
      </c>
      <c r="C25" s="250" t="str">
        <f aca="false">Admin!B24</f>
        <v>2027-28</v>
      </c>
      <c r="D25" s="251" t="s">
        <v>358</v>
      </c>
      <c r="E25" s="239" t="n">
        <f aca="false">E18</f>
        <v>47118.3042961983</v>
      </c>
      <c r="F25" s="214"/>
      <c r="G25" s="218"/>
    </row>
    <row r="26" customFormat="false" ht="12.75" hidden="false" customHeight="false" outlineLevel="0" collapsed="false">
      <c r="A26" s="211"/>
      <c r="B26" s="220" t="s">
        <v>359</v>
      </c>
      <c r="C26" s="220"/>
      <c r="D26" s="252" t="n">
        <f aca="false">Admin!B21</f>
        <v>46783</v>
      </c>
      <c r="E26" s="223" t="n">
        <f aca="false">E25/2</f>
        <v>23559.1521480992</v>
      </c>
      <c r="F26" s="214"/>
      <c r="G26" s="218"/>
    </row>
    <row r="27" customFormat="false" ht="12.75" hidden="false" customHeight="false" outlineLevel="0" collapsed="false">
      <c r="A27" s="211"/>
      <c r="B27" s="220" t="s">
        <v>359</v>
      </c>
      <c r="C27" s="220"/>
      <c r="D27" s="252" t="n">
        <f aca="false">Admin!B22</f>
        <v>46965</v>
      </c>
      <c r="E27" s="223" t="n">
        <f aca="false">E25/2</f>
        <v>23559.1521480992</v>
      </c>
      <c r="F27" s="214"/>
      <c r="G27" s="218"/>
    </row>
    <row r="28" customFormat="false" ht="12.75" hidden="false" customHeight="false" outlineLevel="0" collapsed="false">
      <c r="A28" s="211"/>
      <c r="B28" s="211"/>
      <c r="C28" s="211"/>
      <c r="D28" s="237"/>
      <c r="E28" s="213"/>
      <c r="F28" s="214"/>
      <c r="G28" s="218"/>
    </row>
    <row r="29" customFormat="false" ht="12.75" hidden="false" customHeight="false" outlineLevel="0" collapsed="false">
      <c r="A29" s="211"/>
      <c r="B29" s="253" t="s">
        <v>360</v>
      </c>
      <c r="C29" s="254"/>
      <c r="D29" s="237"/>
      <c r="E29" s="213"/>
      <c r="F29" s="214"/>
      <c r="G29" s="218"/>
    </row>
    <row r="30" customFormat="false" ht="12.75" hidden="false" customHeight="false" outlineLevel="0" collapsed="false">
      <c r="A30" s="211"/>
      <c r="B30" s="255" t="s">
        <v>361</v>
      </c>
      <c r="C30" s="255"/>
      <c r="D30" s="211"/>
      <c r="E30" s="256"/>
      <c r="F30" s="214"/>
      <c r="G30" s="257"/>
    </row>
    <row r="31" customFormat="false" ht="12.75" hidden="false" customHeight="false" outlineLevel="0" collapsed="false">
      <c r="A31" s="211"/>
      <c r="B31" s="258" t="s">
        <v>362</v>
      </c>
      <c r="C31" s="258"/>
      <c r="D31" s="259"/>
      <c r="E31" s="256"/>
      <c r="F31" s="214"/>
      <c r="G31" s="257"/>
    </row>
    <row r="32" customFormat="false" ht="12.75" hidden="false" customHeight="false" outlineLevel="0" collapsed="false">
      <c r="A32" s="211"/>
      <c r="B32" s="260" t="s">
        <v>363</v>
      </c>
      <c r="C32" s="258"/>
      <c r="D32" s="259"/>
      <c r="E32" s="256"/>
      <c r="F32" s="214"/>
      <c r="G32" s="257"/>
    </row>
    <row r="33" customFormat="false" ht="12.75" hidden="false" customHeight="false" outlineLevel="0" collapsed="false">
      <c r="A33" s="211"/>
      <c r="B33" s="254" t="s">
        <v>364</v>
      </c>
      <c r="C33" s="254"/>
      <c r="D33" s="259"/>
      <c r="E33" s="261"/>
      <c r="F33" s="214"/>
      <c r="G33" s="257"/>
    </row>
    <row r="34" customFormat="false" ht="12.75" hidden="false" customHeight="false" outlineLevel="0" collapsed="false">
      <c r="A34" s="211"/>
      <c r="B34" s="254" t="s">
        <v>365</v>
      </c>
      <c r="C34" s="254"/>
      <c r="D34" s="259"/>
      <c r="E34" s="261"/>
      <c r="F34" s="214"/>
      <c r="G34" s="257"/>
    </row>
    <row r="35" customFormat="false" ht="12.75" hidden="false" customHeight="false" outlineLevel="0" collapsed="false">
      <c r="A35" s="211"/>
      <c r="B35" s="254" t="s">
        <v>366</v>
      </c>
      <c r="C35" s="254"/>
      <c r="D35" s="259"/>
      <c r="E35" s="261"/>
      <c r="F35" s="214"/>
      <c r="G35" s="257"/>
    </row>
    <row r="36" customFormat="false" ht="12.75" hidden="false" customHeight="false" outlineLevel="0" collapsed="false">
      <c r="A36" s="211"/>
      <c r="B36" s="211"/>
      <c r="C36" s="211"/>
      <c r="D36" s="259"/>
      <c r="E36" s="261"/>
      <c r="F36" s="214"/>
      <c r="G36" s="257"/>
    </row>
  </sheetData>
  <mergeCells count="10">
    <mergeCell ref="D2:F3"/>
    <mergeCell ref="B5:D5"/>
    <mergeCell ref="B7:D7"/>
    <mergeCell ref="C13:D13"/>
    <mergeCell ref="B15:C15"/>
    <mergeCell ref="B16:C16"/>
    <mergeCell ref="B18:C18"/>
    <mergeCell ref="D21:F21"/>
    <mergeCell ref="D23:D24"/>
    <mergeCell ref="E23:E2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&amp;C&amp;"Arial,Bold"&amp;11Provisional tax calculation
&amp;"Arial,Regular"&amp;10precise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54" width="1.66"/>
    <col collapsed="false" customWidth="false" hidden="false" outlineLevel="0" max="2" min="2" style="262" width="9.15"/>
    <col collapsed="false" customWidth="true" hidden="false" outlineLevel="0" max="9" min="3" style="263" width="10.66"/>
    <col collapsed="false" customWidth="true" hidden="false" outlineLevel="0" max="10" min="10" style="154" width="1.66"/>
    <col collapsed="false" customWidth="true" hidden="false" outlineLevel="0" max="11" min="11" style="154" width="36.82"/>
    <col collapsed="false" customWidth="true" hidden="false" outlineLevel="0" max="12" min="12" style="154" width="1.66"/>
    <col collapsed="false" customWidth="false" hidden="false" outlineLevel="0" max="257" min="13" style="154" width="9.15"/>
  </cols>
  <sheetData>
    <row r="1" customFormat="false" ht="7.5" hidden="false" customHeight="true" outlineLevel="0" collapsed="false">
      <c r="A1" s="264"/>
      <c r="B1" s="265"/>
      <c r="C1" s="266"/>
      <c r="D1" s="266"/>
      <c r="E1" s="266"/>
      <c r="F1" s="266"/>
      <c r="G1" s="266"/>
      <c r="H1" s="266"/>
      <c r="I1" s="266"/>
      <c r="J1" s="157"/>
      <c r="K1" s="157"/>
      <c r="L1" s="159"/>
    </row>
    <row r="2" customFormat="false" ht="43.25" hidden="false" customHeight="false" outlineLevel="0" collapsed="false">
      <c r="A2" s="267"/>
      <c r="B2" s="268" t="s">
        <v>367</v>
      </c>
      <c r="C2" s="269" t="s">
        <v>368</v>
      </c>
      <c r="D2" s="269" t="s">
        <v>369</v>
      </c>
      <c r="E2" s="269" t="s">
        <v>370</v>
      </c>
      <c r="F2" s="269" t="s">
        <v>371</v>
      </c>
      <c r="G2" s="269" t="s">
        <v>372</v>
      </c>
      <c r="H2" s="269" t="s">
        <v>373</v>
      </c>
      <c r="I2" s="269" t="s">
        <v>374</v>
      </c>
      <c r="J2" s="270"/>
      <c r="K2" s="268" t="s">
        <v>375</v>
      </c>
      <c r="L2" s="271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272"/>
      <c r="BB2" s="272"/>
      <c r="BC2" s="272"/>
      <c r="BD2" s="272"/>
      <c r="BE2" s="272"/>
      <c r="BF2" s="272"/>
      <c r="BG2" s="272"/>
      <c r="BH2" s="272"/>
      <c r="BI2" s="272"/>
      <c r="BJ2" s="272"/>
      <c r="BK2" s="272"/>
      <c r="BL2" s="272"/>
      <c r="BM2" s="272"/>
      <c r="BN2" s="272"/>
      <c r="BO2" s="272"/>
      <c r="BP2" s="272"/>
      <c r="BQ2" s="272"/>
      <c r="BR2" s="272"/>
      <c r="BS2" s="272"/>
      <c r="BT2" s="272"/>
      <c r="BU2" s="272"/>
      <c r="BV2" s="272"/>
      <c r="BW2" s="272"/>
      <c r="BX2" s="272"/>
      <c r="BY2" s="272"/>
      <c r="BZ2" s="272"/>
      <c r="CA2" s="272"/>
      <c r="CB2" s="272"/>
      <c r="CC2" s="272"/>
      <c r="CD2" s="272"/>
      <c r="CE2" s="272"/>
      <c r="CF2" s="272"/>
      <c r="CG2" s="272"/>
      <c r="CH2" s="272"/>
      <c r="CI2" s="272"/>
      <c r="CJ2" s="272"/>
      <c r="CK2" s="272"/>
      <c r="CL2" s="272"/>
      <c r="CM2" s="272"/>
      <c r="CN2" s="272"/>
      <c r="CO2" s="272"/>
      <c r="CP2" s="272"/>
      <c r="CQ2" s="272"/>
      <c r="CR2" s="272"/>
      <c r="CS2" s="272"/>
      <c r="CT2" s="272"/>
      <c r="CU2" s="272"/>
      <c r="CV2" s="272"/>
      <c r="CW2" s="272"/>
      <c r="CX2" s="272"/>
      <c r="CY2" s="272"/>
      <c r="CZ2" s="272"/>
      <c r="DA2" s="272"/>
      <c r="DB2" s="272"/>
      <c r="DC2" s="272"/>
      <c r="DD2" s="272"/>
      <c r="DE2" s="272"/>
      <c r="DF2" s="272"/>
      <c r="DG2" s="272"/>
      <c r="DH2" s="272"/>
      <c r="DI2" s="272"/>
      <c r="DJ2" s="272"/>
      <c r="DK2" s="272"/>
      <c r="DL2" s="272"/>
      <c r="DM2" s="272"/>
      <c r="DN2" s="272"/>
      <c r="DO2" s="272"/>
      <c r="DP2" s="272"/>
      <c r="DQ2" s="272"/>
      <c r="DR2" s="272"/>
      <c r="DS2" s="272"/>
      <c r="DT2" s="272"/>
      <c r="DU2" s="272"/>
      <c r="DV2" s="272"/>
      <c r="DW2" s="272"/>
      <c r="DX2" s="272"/>
      <c r="DY2" s="272"/>
      <c r="DZ2" s="272"/>
      <c r="EA2" s="272"/>
      <c r="EB2" s="272"/>
      <c r="EC2" s="272"/>
      <c r="ED2" s="272"/>
      <c r="EE2" s="272"/>
      <c r="EF2" s="272"/>
      <c r="EG2" s="272"/>
      <c r="EH2" s="272"/>
      <c r="EI2" s="272"/>
      <c r="EJ2" s="272"/>
      <c r="EK2" s="272"/>
      <c r="EL2" s="272"/>
      <c r="EM2" s="272"/>
      <c r="EN2" s="272"/>
      <c r="EO2" s="272"/>
      <c r="EP2" s="272"/>
      <c r="EQ2" s="272"/>
      <c r="ER2" s="272"/>
      <c r="ES2" s="272"/>
      <c r="ET2" s="272"/>
      <c r="EU2" s="272"/>
      <c r="EV2" s="272"/>
      <c r="EW2" s="272"/>
      <c r="EX2" s="272"/>
      <c r="EY2" s="272"/>
      <c r="EZ2" s="272"/>
      <c r="FA2" s="272"/>
      <c r="FB2" s="272"/>
      <c r="FC2" s="272"/>
      <c r="FD2" s="272"/>
      <c r="FE2" s="272"/>
      <c r="FF2" s="272"/>
      <c r="FG2" s="272"/>
      <c r="FH2" s="272"/>
      <c r="FI2" s="272"/>
      <c r="FJ2" s="272"/>
      <c r="FK2" s="272"/>
      <c r="FL2" s="272"/>
      <c r="FM2" s="272"/>
      <c r="FN2" s="272"/>
      <c r="FO2" s="272"/>
      <c r="FP2" s="272"/>
      <c r="FQ2" s="272"/>
      <c r="FR2" s="272"/>
      <c r="FS2" s="272"/>
      <c r="FT2" s="272"/>
      <c r="FU2" s="272"/>
      <c r="FV2" s="272"/>
      <c r="FW2" s="272"/>
      <c r="FX2" s="272"/>
      <c r="FY2" s="272"/>
      <c r="FZ2" s="272"/>
      <c r="GA2" s="272"/>
      <c r="GB2" s="272"/>
      <c r="GC2" s="272"/>
      <c r="GD2" s="272"/>
      <c r="GE2" s="272"/>
      <c r="GF2" s="272"/>
      <c r="GG2" s="272"/>
      <c r="GH2" s="272"/>
      <c r="GI2" s="272"/>
      <c r="GJ2" s="272"/>
      <c r="GK2" s="272"/>
      <c r="GL2" s="272"/>
      <c r="GM2" s="272"/>
      <c r="GN2" s="272"/>
      <c r="GO2" s="272"/>
      <c r="GP2" s="272"/>
      <c r="GQ2" s="272"/>
      <c r="GR2" s="272"/>
      <c r="GS2" s="272"/>
      <c r="GT2" s="272"/>
      <c r="GU2" s="272"/>
      <c r="GV2" s="272"/>
      <c r="GW2" s="272"/>
      <c r="GX2" s="272"/>
      <c r="GY2" s="272"/>
      <c r="GZ2" s="272"/>
      <c r="HA2" s="272"/>
      <c r="HB2" s="272"/>
      <c r="HC2" s="272"/>
      <c r="HD2" s="272"/>
      <c r="HE2" s="272"/>
      <c r="HF2" s="272"/>
      <c r="HG2" s="272"/>
      <c r="HH2" s="272"/>
      <c r="HI2" s="272"/>
      <c r="HJ2" s="272"/>
      <c r="HK2" s="272"/>
      <c r="HL2" s="272"/>
      <c r="HM2" s="272"/>
      <c r="HN2" s="272"/>
      <c r="HO2" s="272"/>
      <c r="HP2" s="272"/>
      <c r="HQ2" s="272"/>
      <c r="HR2" s="272"/>
      <c r="HS2" s="272"/>
      <c r="HT2" s="272"/>
      <c r="HU2" s="272"/>
      <c r="HV2" s="272"/>
      <c r="HW2" s="272"/>
      <c r="HX2" s="272"/>
      <c r="HY2" s="272"/>
      <c r="HZ2" s="272"/>
      <c r="IA2" s="272"/>
      <c r="IB2" s="272"/>
      <c r="IC2" s="272"/>
      <c r="ID2" s="272"/>
      <c r="IE2" s="272"/>
      <c r="IF2" s="272"/>
      <c r="IG2" s="272"/>
      <c r="IH2" s="272"/>
      <c r="II2" s="272"/>
      <c r="IJ2" s="272"/>
      <c r="IK2" s="272"/>
      <c r="IL2" s="272"/>
      <c r="IM2" s="272"/>
      <c r="IN2" s="272"/>
      <c r="IO2" s="272"/>
      <c r="IP2" s="272"/>
      <c r="IQ2" s="272"/>
      <c r="IR2" s="272"/>
      <c r="IS2" s="272"/>
      <c r="IT2" s="272"/>
      <c r="IU2" s="272"/>
      <c r="IV2" s="272"/>
      <c r="IW2" s="272"/>
    </row>
    <row r="3" customFormat="false" ht="15" hidden="false" customHeight="true" outlineLevel="0" collapsed="false">
      <c r="A3" s="267"/>
      <c r="B3" s="273" t="s">
        <v>376</v>
      </c>
      <c r="C3" s="273"/>
      <c r="D3" s="274"/>
      <c r="E3" s="274"/>
      <c r="F3" s="274"/>
      <c r="G3" s="274"/>
      <c r="H3" s="274"/>
      <c r="I3" s="274"/>
      <c r="J3" s="270"/>
      <c r="K3" s="275"/>
      <c r="L3" s="271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2"/>
      <c r="AP3" s="272"/>
      <c r="AQ3" s="272"/>
      <c r="AR3" s="272"/>
      <c r="AS3" s="272"/>
      <c r="AT3" s="272"/>
      <c r="AU3" s="272"/>
      <c r="AV3" s="272"/>
      <c r="AW3" s="272"/>
      <c r="AX3" s="272"/>
      <c r="AY3" s="272"/>
      <c r="AZ3" s="272"/>
      <c r="BA3" s="272"/>
      <c r="BB3" s="272"/>
      <c r="BC3" s="272"/>
      <c r="BD3" s="272"/>
      <c r="BE3" s="272"/>
      <c r="BF3" s="272"/>
      <c r="BG3" s="272"/>
      <c r="BH3" s="272"/>
      <c r="BI3" s="272"/>
      <c r="BJ3" s="272"/>
      <c r="BK3" s="272"/>
      <c r="BL3" s="272"/>
      <c r="BM3" s="272"/>
      <c r="BN3" s="272"/>
      <c r="BO3" s="272"/>
      <c r="BP3" s="272"/>
      <c r="BQ3" s="272"/>
      <c r="BR3" s="272"/>
      <c r="BS3" s="272"/>
      <c r="BT3" s="272"/>
      <c r="BU3" s="272"/>
      <c r="BV3" s="272"/>
      <c r="BW3" s="272"/>
      <c r="BX3" s="272"/>
      <c r="BY3" s="272"/>
      <c r="BZ3" s="272"/>
      <c r="CA3" s="272"/>
      <c r="CB3" s="272"/>
      <c r="CC3" s="272"/>
      <c r="CD3" s="272"/>
      <c r="CE3" s="272"/>
      <c r="CF3" s="272"/>
      <c r="CG3" s="272"/>
      <c r="CH3" s="272"/>
      <c r="CI3" s="272"/>
      <c r="CJ3" s="272"/>
      <c r="CK3" s="272"/>
      <c r="CL3" s="272"/>
      <c r="CM3" s="272"/>
      <c r="CN3" s="272"/>
      <c r="CO3" s="272"/>
      <c r="CP3" s="272"/>
      <c r="CQ3" s="272"/>
      <c r="CR3" s="272"/>
      <c r="CS3" s="272"/>
      <c r="CT3" s="272"/>
      <c r="CU3" s="272"/>
      <c r="CV3" s="272"/>
      <c r="CW3" s="272"/>
      <c r="CX3" s="272"/>
      <c r="CY3" s="272"/>
      <c r="CZ3" s="272"/>
      <c r="DA3" s="272"/>
      <c r="DB3" s="272"/>
      <c r="DC3" s="272"/>
      <c r="DD3" s="272"/>
      <c r="DE3" s="272"/>
      <c r="DF3" s="272"/>
      <c r="DG3" s="272"/>
      <c r="DH3" s="272"/>
      <c r="DI3" s="272"/>
      <c r="DJ3" s="272"/>
      <c r="DK3" s="272"/>
      <c r="DL3" s="272"/>
      <c r="DM3" s="272"/>
      <c r="DN3" s="272"/>
      <c r="DO3" s="272"/>
      <c r="DP3" s="272"/>
      <c r="DQ3" s="272"/>
      <c r="DR3" s="272"/>
      <c r="DS3" s="272"/>
      <c r="DT3" s="272"/>
      <c r="DU3" s="272"/>
      <c r="DV3" s="272"/>
      <c r="DW3" s="272"/>
      <c r="DX3" s="272"/>
      <c r="DY3" s="272"/>
      <c r="DZ3" s="272"/>
      <c r="EA3" s="272"/>
      <c r="EB3" s="272"/>
      <c r="EC3" s="272"/>
      <c r="ED3" s="272"/>
      <c r="EE3" s="272"/>
      <c r="EF3" s="272"/>
      <c r="EG3" s="272"/>
      <c r="EH3" s="272"/>
      <c r="EI3" s="272"/>
      <c r="EJ3" s="272"/>
      <c r="EK3" s="272"/>
      <c r="EL3" s="272"/>
      <c r="EM3" s="272"/>
      <c r="EN3" s="272"/>
      <c r="EO3" s="272"/>
      <c r="EP3" s="272"/>
      <c r="EQ3" s="272"/>
      <c r="ER3" s="272"/>
      <c r="ES3" s="272"/>
      <c r="ET3" s="272"/>
      <c r="EU3" s="272"/>
      <c r="EV3" s="272"/>
      <c r="EW3" s="272"/>
      <c r="EX3" s="272"/>
      <c r="EY3" s="272"/>
      <c r="EZ3" s="272"/>
      <c r="FA3" s="272"/>
      <c r="FB3" s="272"/>
      <c r="FC3" s="272"/>
      <c r="FD3" s="272"/>
      <c r="FE3" s="272"/>
      <c r="FF3" s="272"/>
      <c r="FG3" s="272"/>
      <c r="FH3" s="272"/>
      <c r="FI3" s="272"/>
      <c r="FJ3" s="272"/>
      <c r="FK3" s="272"/>
      <c r="FL3" s="272"/>
      <c r="FM3" s="272"/>
      <c r="FN3" s="272"/>
      <c r="FO3" s="272"/>
      <c r="FP3" s="272"/>
      <c r="FQ3" s="272"/>
      <c r="FR3" s="272"/>
      <c r="FS3" s="272"/>
      <c r="FT3" s="272"/>
      <c r="FU3" s="272"/>
      <c r="FV3" s="272"/>
      <c r="FW3" s="272"/>
      <c r="FX3" s="272"/>
      <c r="FY3" s="272"/>
      <c r="FZ3" s="272"/>
      <c r="GA3" s="272"/>
      <c r="GB3" s="272"/>
      <c r="GC3" s="272"/>
      <c r="GD3" s="272"/>
      <c r="GE3" s="272"/>
      <c r="GF3" s="272"/>
      <c r="GG3" s="272"/>
      <c r="GH3" s="272"/>
      <c r="GI3" s="272"/>
      <c r="GJ3" s="272"/>
      <c r="GK3" s="272"/>
      <c r="GL3" s="272"/>
      <c r="GM3" s="272"/>
      <c r="GN3" s="272"/>
      <c r="GO3" s="272"/>
      <c r="GP3" s="272"/>
      <c r="GQ3" s="272"/>
      <c r="GR3" s="272"/>
      <c r="GS3" s="272"/>
      <c r="GT3" s="272"/>
      <c r="GU3" s="272"/>
      <c r="GV3" s="272"/>
      <c r="GW3" s="272"/>
      <c r="GX3" s="272"/>
      <c r="GY3" s="272"/>
      <c r="GZ3" s="272"/>
      <c r="HA3" s="272"/>
      <c r="HB3" s="272"/>
      <c r="HC3" s="272"/>
      <c r="HD3" s="272"/>
      <c r="HE3" s="272"/>
      <c r="HF3" s="272"/>
      <c r="HG3" s="272"/>
      <c r="HH3" s="272"/>
      <c r="HI3" s="272"/>
      <c r="HJ3" s="272"/>
      <c r="HK3" s="272"/>
      <c r="HL3" s="272"/>
      <c r="HM3" s="272"/>
      <c r="HN3" s="272"/>
      <c r="HO3" s="272"/>
      <c r="HP3" s="272"/>
      <c r="HQ3" s="272"/>
      <c r="HR3" s="272"/>
      <c r="HS3" s="272"/>
      <c r="HT3" s="272"/>
      <c r="HU3" s="272"/>
      <c r="HV3" s="272"/>
      <c r="HW3" s="272"/>
      <c r="HX3" s="272"/>
      <c r="HY3" s="272"/>
      <c r="HZ3" s="272"/>
      <c r="IA3" s="272"/>
      <c r="IB3" s="272"/>
      <c r="IC3" s="272"/>
      <c r="ID3" s="272"/>
      <c r="IE3" s="272"/>
      <c r="IF3" s="272"/>
      <c r="IG3" s="272"/>
      <c r="IH3" s="272"/>
      <c r="II3" s="272"/>
      <c r="IJ3" s="272"/>
      <c r="IK3" s="272"/>
      <c r="IL3" s="272"/>
      <c r="IM3" s="272"/>
      <c r="IN3" s="272"/>
      <c r="IO3" s="272"/>
      <c r="IP3" s="272"/>
      <c r="IQ3" s="272"/>
      <c r="IR3" s="272"/>
      <c r="IS3" s="272"/>
      <c r="IT3" s="272"/>
      <c r="IU3" s="272"/>
      <c r="IV3" s="272"/>
      <c r="IW3" s="272"/>
    </row>
    <row r="4" customFormat="false" ht="12" hidden="false" customHeight="true" outlineLevel="0" collapsed="false">
      <c r="A4" s="276"/>
      <c r="B4" s="277" t="n">
        <f aca="false">Admin!B5</f>
        <v>46142</v>
      </c>
      <c r="C4" s="263" t="n">
        <f aca="false">[6]Apr!$M$1</f>
        <v>6748</v>
      </c>
      <c r="D4" s="263" t="n">
        <f aca="false">[6]Apr!$N$1</f>
        <v>800</v>
      </c>
      <c r="E4" s="263" t="n">
        <f aca="false">[6]Apr!$O$1</f>
        <v>296</v>
      </c>
      <c r="F4" s="263" t="n">
        <f aca="false">[6]Apr!$P$1+[6]Apr!$Q$1</f>
        <v>0</v>
      </c>
      <c r="G4" s="263" t="n">
        <f aca="false">C4-SUM(D4:F4)</f>
        <v>5652</v>
      </c>
      <c r="H4" s="263" t="n">
        <f aca="false">[6]Apr!$T$1</f>
        <v>577.2</v>
      </c>
      <c r="I4" s="263" t="n">
        <f aca="false">[6]Apr!$G$1</f>
        <v>0</v>
      </c>
      <c r="J4" s="158"/>
      <c r="K4" s="278" t="s">
        <v>377</v>
      </c>
      <c r="L4" s="164"/>
    </row>
    <row r="5" customFormat="false" ht="12" hidden="false" customHeight="true" outlineLevel="0" collapsed="false">
      <c r="A5" s="276"/>
      <c r="B5" s="277" t="n">
        <f aca="false">Admin!B6</f>
        <v>46173</v>
      </c>
      <c r="C5" s="263" t="n">
        <f aca="false">[6]May!$M$1</f>
        <v>6748</v>
      </c>
      <c r="D5" s="263" t="n">
        <f aca="false">[6]May!$N$1</f>
        <v>800</v>
      </c>
      <c r="E5" s="263" t="n">
        <f aca="false">[6]May!$O$1</f>
        <v>296</v>
      </c>
      <c r="F5" s="263" t="n">
        <f aca="false">[6]May!$P$1+[6]May!$Q$1</f>
        <v>0</v>
      </c>
      <c r="G5" s="263" t="n">
        <f aca="false">C5-SUM(D5:F5)</f>
        <v>5652</v>
      </c>
      <c r="H5" s="263" t="n">
        <f aca="false">[6]May!$T$1</f>
        <v>577.2</v>
      </c>
      <c r="I5" s="263" t="n">
        <f aca="false">[6]May!$G$1</f>
        <v>0</v>
      </c>
      <c r="J5" s="158"/>
      <c r="K5" s="278"/>
      <c r="L5" s="164"/>
    </row>
    <row r="6" customFormat="false" ht="12" hidden="false" customHeight="false" outlineLevel="0" collapsed="false">
      <c r="A6" s="276"/>
      <c r="B6" s="277" t="n">
        <f aca="false">Admin!B7</f>
        <v>46203</v>
      </c>
      <c r="C6" s="263" t="n">
        <f aca="false">[6]Jun!$M$1</f>
        <v>6748</v>
      </c>
      <c r="D6" s="263" t="n">
        <f aca="false">[6]Jun!$N$1</f>
        <v>800</v>
      </c>
      <c r="E6" s="263" t="n">
        <f aca="false">[6]Jun!$O$1</f>
        <v>296</v>
      </c>
      <c r="F6" s="263" t="n">
        <f aca="false">[6]Jun!$P$1+[6]Jun!$Q$1</f>
        <v>0</v>
      </c>
      <c r="G6" s="263" t="n">
        <f aca="false">C6-SUM(D6:F6)</f>
        <v>5652</v>
      </c>
      <c r="H6" s="263" t="n">
        <f aca="false">[6]Jun!$T$1</f>
        <v>577.2</v>
      </c>
      <c r="I6" s="263" t="n">
        <f aca="false">[6]Jun!$G$1</f>
        <v>0</v>
      </c>
      <c r="J6" s="158"/>
      <c r="K6" s="278"/>
      <c r="L6" s="164"/>
    </row>
    <row r="7" customFormat="false" ht="12" hidden="false" customHeight="false" outlineLevel="0" collapsed="false">
      <c r="A7" s="276"/>
      <c r="B7" s="277" t="n">
        <f aca="false">Admin!B8</f>
        <v>46234</v>
      </c>
      <c r="C7" s="263" t="n">
        <f aca="false">[6]Jul!$M$1</f>
        <v>6748</v>
      </c>
      <c r="D7" s="263" t="n">
        <f aca="false">[6]Jul!$N$1</f>
        <v>800</v>
      </c>
      <c r="E7" s="263" t="n">
        <f aca="false">[6]Jul!$O$1</f>
        <v>296</v>
      </c>
      <c r="F7" s="263" t="n">
        <f aca="false">[6]Jul!$P$1+[6]Jul!$Q$1</f>
        <v>0</v>
      </c>
      <c r="G7" s="263" t="n">
        <f aca="false">C7-SUM(D7:F7)</f>
        <v>5652</v>
      </c>
      <c r="H7" s="263" t="n">
        <f aca="false">[6]Jul!$T$1</f>
        <v>577.2</v>
      </c>
      <c r="I7" s="263" t="n">
        <f aca="false">[6]Jul!$G$1</f>
        <v>0</v>
      </c>
      <c r="J7" s="158"/>
      <c r="K7" s="278"/>
      <c r="L7" s="164"/>
    </row>
    <row r="8" customFormat="false" ht="12" hidden="false" customHeight="true" outlineLevel="0" collapsed="false">
      <c r="A8" s="276"/>
      <c r="B8" s="277" t="n">
        <f aca="false">Admin!B9</f>
        <v>46265</v>
      </c>
      <c r="C8" s="263" t="n">
        <f aca="false">[6]Aug!$M$1</f>
        <v>6748</v>
      </c>
      <c r="D8" s="263" t="n">
        <f aca="false">[6]Aug!$N$1</f>
        <v>800</v>
      </c>
      <c r="E8" s="263" t="n">
        <f aca="false">[6]Aug!$O$1</f>
        <v>296</v>
      </c>
      <c r="F8" s="263" t="n">
        <f aca="false">[6]Aug!$P$1+[6]Aug!$Q$1</f>
        <v>0</v>
      </c>
      <c r="G8" s="263" t="n">
        <f aca="false">C8-SUM(D8:F8)</f>
        <v>5652</v>
      </c>
      <c r="H8" s="263" t="n">
        <f aca="false">[6]Aug!$T$1</f>
        <v>577.2</v>
      </c>
      <c r="I8" s="263" t="n">
        <f aca="false">[6]Aug!$G$1</f>
        <v>0</v>
      </c>
      <c r="J8" s="158"/>
      <c r="K8" s="278" t="s">
        <v>378</v>
      </c>
      <c r="L8" s="164"/>
    </row>
    <row r="9" customFormat="false" ht="12" hidden="false" customHeight="true" outlineLevel="0" collapsed="false">
      <c r="A9" s="276"/>
      <c r="B9" s="277" t="n">
        <f aca="false">Admin!B10</f>
        <v>46295</v>
      </c>
      <c r="C9" s="263" t="n">
        <f aca="false">[6]Sep!$M$1</f>
        <v>6748</v>
      </c>
      <c r="D9" s="263" t="n">
        <f aca="false">[6]Sep!$N$1</f>
        <v>800</v>
      </c>
      <c r="E9" s="263" t="n">
        <f aca="false">[6]Sep!$O$1</f>
        <v>296</v>
      </c>
      <c r="F9" s="263" t="n">
        <f aca="false">[6]Sep!$P$1+[6]Sep!$Q$1</f>
        <v>0</v>
      </c>
      <c r="G9" s="263" t="n">
        <f aca="false">C9-SUM(D9:F9)</f>
        <v>5652</v>
      </c>
      <c r="H9" s="263" t="n">
        <f aca="false">[6]Sep!$T$1</f>
        <v>577.2</v>
      </c>
      <c r="I9" s="263" t="n">
        <f aca="false">[6]Sep!$G$1</f>
        <v>0</v>
      </c>
      <c r="J9" s="158"/>
      <c r="K9" s="278"/>
      <c r="L9" s="164"/>
    </row>
    <row r="10" customFormat="false" ht="12" hidden="false" customHeight="true" outlineLevel="0" collapsed="false">
      <c r="A10" s="276"/>
      <c r="B10" s="277" t="n">
        <f aca="false">Admin!B11</f>
        <v>46326</v>
      </c>
      <c r="C10" s="263" t="n">
        <f aca="false">[6]Oct!$M$1</f>
        <v>6748</v>
      </c>
      <c r="D10" s="263" t="n">
        <f aca="false">[6]Oct!$N$1</f>
        <v>800</v>
      </c>
      <c r="E10" s="263" t="n">
        <f aca="false">[6]Oct!$O$1</f>
        <v>296</v>
      </c>
      <c r="F10" s="263" t="n">
        <f aca="false">[6]Oct!$P$1+[6]Oct!$Q$1</f>
        <v>0</v>
      </c>
      <c r="G10" s="263" t="n">
        <f aca="false">C10-SUM(D10:F10)</f>
        <v>5652</v>
      </c>
      <c r="H10" s="263" t="n">
        <f aca="false">[6]Oct!$T$1</f>
        <v>577.2</v>
      </c>
      <c r="I10" s="263" t="n">
        <f aca="false">[6]Oct!$G$1</f>
        <v>0</v>
      </c>
      <c r="J10" s="158"/>
      <c r="K10" s="278"/>
      <c r="L10" s="164"/>
    </row>
    <row r="11" customFormat="false" ht="12" hidden="false" customHeight="true" outlineLevel="0" collapsed="false">
      <c r="A11" s="276"/>
      <c r="B11" s="277" t="n">
        <f aca="false">Admin!B12</f>
        <v>46356</v>
      </c>
      <c r="C11" s="263" t="n">
        <f aca="false">[6]Nov!$M$1</f>
        <v>6748</v>
      </c>
      <c r="D11" s="263" t="n">
        <f aca="false">[6]Nov!$N$1</f>
        <v>800</v>
      </c>
      <c r="E11" s="263" t="n">
        <f aca="false">[6]Nov!$O$1</f>
        <v>296</v>
      </c>
      <c r="F11" s="263" t="n">
        <f aca="false">[6]Nov!$P$1+[6]Nov!$Q$1</f>
        <v>0</v>
      </c>
      <c r="G11" s="263" t="n">
        <f aca="false">C11-SUM(D11:F11)</f>
        <v>5652</v>
      </c>
      <c r="H11" s="263" t="n">
        <f aca="false">[6]Nov!$T$1</f>
        <v>577.2</v>
      </c>
      <c r="I11" s="263" t="n">
        <f aca="false">[6]Nov!$G$1</f>
        <v>0</v>
      </c>
      <c r="J11" s="158"/>
      <c r="K11" s="278"/>
      <c r="L11" s="164"/>
    </row>
    <row r="12" customFormat="false" ht="12" hidden="false" customHeight="true" outlineLevel="0" collapsed="false">
      <c r="A12" s="276"/>
      <c r="B12" s="277" t="n">
        <f aca="false">Admin!B13</f>
        <v>46387</v>
      </c>
      <c r="C12" s="263" t="n">
        <f aca="false">[6]Dec!$M$1</f>
        <v>6748</v>
      </c>
      <c r="D12" s="263" t="n">
        <f aca="false">[6]Dec!$N$1</f>
        <v>800</v>
      </c>
      <c r="E12" s="263" t="n">
        <f aca="false">[6]Dec!$O$1</f>
        <v>296</v>
      </c>
      <c r="F12" s="263" t="n">
        <f aca="false">[6]Dec!$P$1+[6]Dec!$Q$1</f>
        <v>0</v>
      </c>
      <c r="G12" s="263" t="n">
        <f aca="false">C12-SUM(D12:F12)</f>
        <v>5652</v>
      </c>
      <c r="H12" s="263" t="n">
        <f aca="false">[6]Dec!$T$1</f>
        <v>577.2</v>
      </c>
      <c r="I12" s="263" t="n">
        <f aca="false">[6]Dec!$G$1</f>
        <v>0</v>
      </c>
      <c r="J12" s="158"/>
      <c r="K12" s="278"/>
      <c r="L12" s="164"/>
    </row>
    <row r="13" customFormat="false" ht="12" hidden="false" customHeight="false" outlineLevel="0" collapsed="false">
      <c r="A13" s="276"/>
      <c r="B13" s="277" t="n">
        <f aca="false">Admin!B14</f>
        <v>46418</v>
      </c>
      <c r="C13" s="263" t="n">
        <f aca="false">[6]Jan!$M$1</f>
        <v>6748</v>
      </c>
      <c r="D13" s="263" t="n">
        <f aca="false">[6]Jan!$N$1</f>
        <v>800</v>
      </c>
      <c r="E13" s="263" t="n">
        <f aca="false">[6]Jan!$O$1</f>
        <v>296</v>
      </c>
      <c r="F13" s="263" t="n">
        <f aca="false">[6]Jan!$P$1+[6]Jan!$Q$1</f>
        <v>0</v>
      </c>
      <c r="G13" s="263" t="n">
        <f aca="false">C13-SUM(D13:F13)</f>
        <v>5652</v>
      </c>
      <c r="H13" s="263" t="n">
        <f aca="false">[6]Jan!$T$1</f>
        <v>577.2</v>
      </c>
      <c r="I13" s="263" t="n">
        <f aca="false">[6]Jan!$G$1</f>
        <v>0</v>
      </c>
      <c r="J13" s="158"/>
      <c r="K13" s="278"/>
      <c r="L13" s="164"/>
    </row>
    <row r="14" customFormat="false" ht="12" hidden="false" customHeight="false" outlineLevel="0" collapsed="false">
      <c r="A14" s="276"/>
      <c r="B14" s="277" t="n">
        <f aca="false">Admin!B15</f>
        <v>46446</v>
      </c>
      <c r="C14" s="263" t="n">
        <f aca="false">[6]Feb!$M$1</f>
        <v>6748</v>
      </c>
      <c r="D14" s="263" t="n">
        <f aca="false">[6]Feb!$N$1</f>
        <v>800</v>
      </c>
      <c r="E14" s="263" t="n">
        <f aca="false">[6]Feb!$O$1</f>
        <v>296</v>
      </c>
      <c r="F14" s="263" t="n">
        <f aca="false">[6]Feb!$P$1+[6]Feb!$Q$1</f>
        <v>0</v>
      </c>
      <c r="G14" s="263" t="n">
        <f aca="false">C14-SUM(D14:F14)</f>
        <v>5652</v>
      </c>
      <c r="H14" s="263" t="n">
        <f aca="false">[6]Feb!$T$1</f>
        <v>577.2</v>
      </c>
      <c r="I14" s="263" t="n">
        <f aca="false">[6]Feb!$G$1</f>
        <v>0</v>
      </c>
      <c r="J14" s="158"/>
      <c r="K14" s="278"/>
      <c r="L14" s="164"/>
    </row>
    <row r="15" customFormat="false" ht="12" hidden="false" customHeight="false" outlineLevel="0" collapsed="false">
      <c r="A15" s="276"/>
      <c r="B15" s="277" t="n">
        <f aca="false">Admin!B16</f>
        <v>46477</v>
      </c>
      <c r="C15" s="263" t="n">
        <f aca="false">[6]Mar!$M$1</f>
        <v>6748</v>
      </c>
      <c r="D15" s="263" t="n">
        <f aca="false">[6]Mar!$N$1</f>
        <v>800</v>
      </c>
      <c r="E15" s="263" t="n">
        <f aca="false">[6]Mar!$O$1</f>
        <v>296</v>
      </c>
      <c r="F15" s="263" t="n">
        <f aca="false">[6]Mar!$P$1+[6]Mar!$Q$1</f>
        <v>0</v>
      </c>
      <c r="G15" s="263" t="n">
        <f aca="false">C15-SUM(D15:F15)</f>
        <v>5652</v>
      </c>
      <c r="H15" s="263" t="n">
        <f aca="false">[6]Mar!$T$1</f>
        <v>577.2</v>
      </c>
      <c r="I15" s="263" t="n">
        <f aca="false">[6]Mar!$G$1</f>
        <v>0</v>
      </c>
      <c r="J15" s="158"/>
      <c r="K15" s="158"/>
      <c r="L15" s="164"/>
    </row>
    <row r="16" customFormat="false" ht="12" hidden="false" customHeight="false" outlineLevel="0" collapsed="false">
      <c r="A16" s="279"/>
      <c r="B16" s="280"/>
      <c r="C16" s="281"/>
      <c r="D16" s="281"/>
      <c r="E16" s="281"/>
      <c r="F16" s="281"/>
      <c r="G16" s="281"/>
      <c r="H16" s="281"/>
      <c r="I16" s="281"/>
      <c r="J16" s="193"/>
      <c r="K16" s="193"/>
      <c r="L16" s="186"/>
    </row>
  </sheetData>
  <mergeCells count="4">
    <mergeCell ref="B3:C3"/>
    <mergeCell ref="K4:K7"/>
    <mergeCell ref="K8:K11"/>
    <mergeCell ref="K12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54" width="1.5"/>
    <col collapsed="false" customWidth="true" hidden="false" outlineLevel="0" max="2" min="2" style="282" width="10.66"/>
    <col collapsed="false" customWidth="true" hidden="false" outlineLevel="0" max="3" min="3" style="282" width="0.82"/>
    <col collapsed="false" customWidth="true" hidden="false" outlineLevel="0" max="4" min="4" style="171" width="8.66"/>
    <col collapsed="false" customWidth="true" hidden="false" outlineLevel="0" max="5" min="5" style="171" width="0.82"/>
    <col collapsed="false" customWidth="true" hidden="false" outlineLevel="0" max="6" min="6" style="171" width="8.66"/>
    <col collapsed="false" customWidth="true" hidden="false" outlineLevel="0" max="7" min="7" style="171" width="0.82"/>
    <col collapsed="false" customWidth="true" hidden="false" outlineLevel="0" max="8" min="8" style="283" width="7.66"/>
    <col collapsed="false" customWidth="true" hidden="false" outlineLevel="0" max="9" min="9" style="171" width="0.82"/>
    <col collapsed="false" customWidth="true" hidden="false" outlineLevel="0" max="10" min="10" style="171" width="7.99"/>
    <col collapsed="false" customWidth="true" hidden="false" outlineLevel="0" max="11" min="11" style="171" width="0.82"/>
    <col collapsed="false" customWidth="true" hidden="false" outlineLevel="0" max="12" min="12" style="171" width="7.66"/>
    <col collapsed="false" customWidth="true" hidden="false" outlineLevel="0" max="13" min="13" style="171" width="0.82"/>
    <col collapsed="false" customWidth="true" hidden="false" outlineLevel="0" max="14" min="14" style="284" width="7.66"/>
    <col collapsed="false" customWidth="true" hidden="false" outlineLevel="0" max="15" min="15" style="171" width="0.82"/>
    <col collapsed="false" customWidth="true" hidden="false" outlineLevel="0" max="16" min="16" style="171" width="7.99"/>
    <col collapsed="false" customWidth="true" hidden="false" outlineLevel="0" max="17" min="17" style="171" width="0.82"/>
    <col collapsed="false" customWidth="true" hidden="false" outlineLevel="0" max="18" min="18" style="172" width="7.66"/>
    <col collapsed="false" customWidth="true" hidden="false" outlineLevel="0" max="19" min="19" style="171" width="0.82"/>
    <col collapsed="false" customWidth="true" hidden="false" outlineLevel="0" max="20" min="20" style="284" width="7.66"/>
    <col collapsed="false" customWidth="true" hidden="false" outlineLevel="0" max="21" min="21" style="171" width="0.82"/>
    <col collapsed="false" customWidth="true" hidden="false" outlineLevel="0" max="22" min="22" style="171" width="7.99"/>
    <col collapsed="false" customWidth="true" hidden="false" outlineLevel="0" max="23" min="23" style="171" width="0.82"/>
    <col collapsed="false" customWidth="true" hidden="false" outlineLevel="0" max="24" min="24" style="172" width="7.66"/>
    <col collapsed="false" customWidth="true" hidden="false" outlineLevel="0" max="25" min="25" style="171" width="0.82"/>
    <col collapsed="false" customWidth="true" hidden="false" outlineLevel="0" max="26" min="26" style="171" width="8.99"/>
    <col collapsed="false" customWidth="true" hidden="false" outlineLevel="0" max="27" min="27" style="171" width="0.82"/>
    <col collapsed="false" customWidth="true" hidden="false" outlineLevel="0" max="28" min="28" style="171" width="10.66"/>
    <col collapsed="false" customWidth="true" hidden="false" outlineLevel="0" max="29" min="29" style="154" width="1.66"/>
    <col collapsed="false" customWidth="true" hidden="false" outlineLevel="0" max="33" min="30" style="285" width="9.66"/>
    <col collapsed="false" customWidth="true" hidden="false" outlineLevel="0" max="34" min="34" style="154" width="2.66"/>
    <col collapsed="false" customWidth="false" hidden="false" outlineLevel="0" max="257" min="35" style="154" width="9.15"/>
  </cols>
  <sheetData>
    <row r="1" customFormat="false" ht="12" hidden="false" customHeight="true" outlineLevel="0" collapsed="false">
      <c r="A1" s="264"/>
      <c r="B1" s="286"/>
      <c r="C1" s="286"/>
      <c r="D1" s="287"/>
      <c r="E1" s="287"/>
      <c r="F1" s="287"/>
      <c r="G1" s="287"/>
      <c r="H1" s="288" t="s">
        <v>379</v>
      </c>
      <c r="I1" s="288"/>
      <c r="J1" s="288"/>
      <c r="K1" s="288"/>
      <c r="L1" s="288"/>
      <c r="M1" s="287"/>
      <c r="N1" s="288" t="s">
        <v>379</v>
      </c>
      <c r="O1" s="288"/>
      <c r="P1" s="288"/>
      <c r="Q1" s="288"/>
      <c r="R1" s="288"/>
      <c r="S1" s="287"/>
      <c r="T1" s="288" t="s">
        <v>379</v>
      </c>
      <c r="U1" s="288"/>
      <c r="V1" s="288"/>
      <c r="W1" s="288"/>
      <c r="X1" s="288"/>
      <c r="Y1" s="289"/>
      <c r="Z1" s="287"/>
      <c r="AA1" s="287"/>
      <c r="AB1" s="287"/>
      <c r="AC1" s="159"/>
      <c r="AD1" s="290"/>
      <c r="AE1" s="291"/>
      <c r="AF1" s="291"/>
      <c r="AG1" s="291"/>
      <c r="AH1" s="159"/>
    </row>
    <row r="2" customFormat="false" ht="32.8" hidden="false" customHeight="true" outlineLevel="0" collapsed="false">
      <c r="A2" s="292"/>
      <c r="B2" s="293" t="s">
        <v>380</v>
      </c>
      <c r="C2" s="294"/>
      <c r="D2" s="295" t="s">
        <v>381</v>
      </c>
      <c r="E2" s="296"/>
      <c r="F2" s="295" t="s">
        <v>382</v>
      </c>
      <c r="G2" s="296"/>
      <c r="H2" s="297" t="s">
        <v>383</v>
      </c>
      <c r="I2" s="296"/>
      <c r="J2" s="295" t="s">
        <v>384</v>
      </c>
      <c r="K2" s="296"/>
      <c r="L2" s="295" t="s">
        <v>385</v>
      </c>
      <c r="M2" s="296"/>
      <c r="N2" s="297" t="s">
        <v>386</v>
      </c>
      <c r="O2" s="296"/>
      <c r="P2" s="295" t="s">
        <v>387</v>
      </c>
      <c r="Q2" s="296"/>
      <c r="R2" s="295" t="s">
        <v>385</v>
      </c>
      <c r="S2" s="296"/>
      <c r="T2" s="297" t="s">
        <v>388</v>
      </c>
      <c r="U2" s="296"/>
      <c r="V2" s="295" t="s">
        <v>389</v>
      </c>
      <c r="W2" s="296"/>
      <c r="X2" s="298" t="s">
        <v>385</v>
      </c>
      <c r="Y2" s="299"/>
      <c r="Z2" s="295" t="s">
        <v>390</v>
      </c>
      <c r="AA2" s="296"/>
      <c r="AB2" s="295" t="s">
        <v>391</v>
      </c>
      <c r="AC2" s="300"/>
      <c r="AD2" s="301" t="s">
        <v>392</v>
      </c>
      <c r="AE2" s="301"/>
      <c r="AF2" s="301"/>
      <c r="AG2" s="301"/>
      <c r="AH2" s="300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2"/>
      <c r="CB2" s="302"/>
      <c r="CC2" s="302"/>
      <c r="CD2" s="302"/>
      <c r="CE2" s="302"/>
      <c r="CF2" s="302"/>
      <c r="CG2" s="302"/>
      <c r="CH2" s="302"/>
      <c r="CI2" s="302"/>
      <c r="CJ2" s="302"/>
      <c r="CK2" s="302"/>
      <c r="CL2" s="302"/>
      <c r="CM2" s="302"/>
      <c r="CN2" s="302"/>
      <c r="CO2" s="302"/>
      <c r="CP2" s="302"/>
      <c r="CQ2" s="302"/>
      <c r="CR2" s="302"/>
      <c r="CS2" s="302"/>
      <c r="CT2" s="302"/>
      <c r="CU2" s="302"/>
      <c r="CV2" s="302"/>
      <c r="CW2" s="302"/>
      <c r="CX2" s="302"/>
      <c r="CY2" s="302"/>
      <c r="CZ2" s="302"/>
      <c r="DA2" s="302"/>
      <c r="DB2" s="302"/>
      <c r="DC2" s="302"/>
      <c r="DD2" s="302"/>
      <c r="DE2" s="302"/>
      <c r="DF2" s="302"/>
      <c r="DG2" s="302"/>
      <c r="DH2" s="302"/>
      <c r="DI2" s="302"/>
      <c r="DJ2" s="302"/>
      <c r="DK2" s="302"/>
      <c r="DL2" s="302"/>
      <c r="DM2" s="302"/>
      <c r="DN2" s="302"/>
      <c r="DO2" s="302"/>
      <c r="DP2" s="302"/>
      <c r="DQ2" s="302"/>
      <c r="DR2" s="302"/>
      <c r="DS2" s="302"/>
      <c r="DT2" s="302"/>
      <c r="DU2" s="302"/>
      <c r="DV2" s="302"/>
      <c r="DW2" s="302"/>
      <c r="DX2" s="302"/>
      <c r="DY2" s="302"/>
      <c r="DZ2" s="302"/>
      <c r="EA2" s="302"/>
      <c r="EB2" s="302"/>
      <c r="EC2" s="302"/>
      <c r="ED2" s="302"/>
      <c r="EE2" s="302"/>
      <c r="EF2" s="302"/>
      <c r="EG2" s="302"/>
      <c r="EH2" s="302"/>
      <c r="EI2" s="302"/>
      <c r="EJ2" s="302"/>
      <c r="EK2" s="302"/>
      <c r="EL2" s="302"/>
      <c r="EM2" s="302"/>
      <c r="EN2" s="302"/>
      <c r="EO2" s="302"/>
      <c r="EP2" s="302"/>
      <c r="EQ2" s="302"/>
      <c r="ER2" s="302"/>
      <c r="ES2" s="302"/>
      <c r="ET2" s="302"/>
      <c r="EU2" s="302"/>
      <c r="EV2" s="302"/>
      <c r="EW2" s="302"/>
      <c r="EX2" s="302"/>
      <c r="EY2" s="302"/>
      <c r="EZ2" s="302"/>
      <c r="FA2" s="302"/>
      <c r="FB2" s="302"/>
      <c r="FC2" s="302"/>
      <c r="FD2" s="302"/>
      <c r="FE2" s="302"/>
      <c r="FF2" s="302"/>
      <c r="FG2" s="302"/>
      <c r="FH2" s="302"/>
      <c r="FI2" s="302"/>
      <c r="FJ2" s="302"/>
      <c r="FK2" s="302"/>
      <c r="FL2" s="302"/>
      <c r="FM2" s="302"/>
      <c r="FN2" s="302"/>
      <c r="FO2" s="302"/>
      <c r="FP2" s="302"/>
      <c r="FQ2" s="302"/>
      <c r="FR2" s="302"/>
      <c r="FS2" s="302"/>
      <c r="FT2" s="302"/>
      <c r="FU2" s="302"/>
      <c r="FV2" s="302"/>
      <c r="FW2" s="302"/>
      <c r="FX2" s="302"/>
      <c r="FY2" s="302"/>
      <c r="FZ2" s="302"/>
      <c r="GA2" s="302"/>
      <c r="GB2" s="302"/>
      <c r="GC2" s="302"/>
      <c r="GD2" s="302"/>
      <c r="GE2" s="302"/>
      <c r="GF2" s="302"/>
      <c r="GG2" s="302"/>
      <c r="GH2" s="302"/>
      <c r="GI2" s="302"/>
      <c r="GJ2" s="302"/>
      <c r="GK2" s="302"/>
      <c r="GL2" s="302"/>
      <c r="GM2" s="302"/>
      <c r="GN2" s="302"/>
      <c r="GO2" s="302"/>
      <c r="GP2" s="302"/>
      <c r="GQ2" s="302"/>
      <c r="GR2" s="302"/>
      <c r="GS2" s="302"/>
      <c r="GT2" s="302"/>
      <c r="GU2" s="302"/>
      <c r="GV2" s="302"/>
      <c r="GW2" s="302"/>
      <c r="GX2" s="302"/>
      <c r="GY2" s="302"/>
      <c r="GZ2" s="302"/>
      <c r="HA2" s="302"/>
      <c r="HB2" s="302"/>
      <c r="HC2" s="302"/>
      <c r="HD2" s="302"/>
      <c r="HE2" s="302"/>
      <c r="HF2" s="302"/>
      <c r="HG2" s="302"/>
      <c r="HH2" s="302"/>
      <c r="HI2" s="302"/>
      <c r="HJ2" s="302"/>
      <c r="HK2" s="302"/>
      <c r="HL2" s="302"/>
      <c r="HM2" s="302"/>
      <c r="HN2" s="302"/>
      <c r="HO2" s="302"/>
      <c r="HP2" s="302"/>
      <c r="HQ2" s="302"/>
      <c r="HR2" s="302"/>
      <c r="HS2" s="302"/>
      <c r="HT2" s="302"/>
      <c r="HU2" s="302"/>
      <c r="HV2" s="302"/>
      <c r="HW2" s="302"/>
      <c r="HX2" s="302"/>
      <c r="HY2" s="302"/>
      <c r="HZ2" s="302"/>
      <c r="IA2" s="302"/>
      <c r="IB2" s="302"/>
      <c r="IC2" s="302"/>
      <c r="ID2" s="302"/>
      <c r="IE2" s="302"/>
      <c r="IF2" s="302"/>
      <c r="IG2" s="302"/>
      <c r="IH2" s="302"/>
      <c r="II2" s="302"/>
      <c r="IJ2" s="302"/>
      <c r="IK2" s="302"/>
      <c r="IL2" s="302"/>
      <c r="IM2" s="302"/>
      <c r="IN2" s="302"/>
      <c r="IO2" s="302"/>
      <c r="IP2" s="302"/>
      <c r="IQ2" s="302"/>
      <c r="IR2" s="302"/>
      <c r="IS2" s="302"/>
      <c r="IT2" s="302"/>
      <c r="IU2" s="302"/>
      <c r="IV2" s="302"/>
      <c r="IW2" s="302"/>
    </row>
    <row r="3" customFormat="false" ht="12" hidden="false" customHeight="true" outlineLevel="0" collapsed="false">
      <c r="A3" s="276"/>
      <c r="B3" s="303"/>
      <c r="C3" s="303"/>
      <c r="D3" s="304"/>
      <c r="E3" s="304"/>
      <c r="F3" s="305"/>
      <c r="G3" s="305"/>
      <c r="H3" s="306"/>
      <c r="I3" s="305"/>
      <c r="J3" s="305"/>
      <c r="K3" s="305"/>
      <c r="L3" s="307"/>
      <c r="M3" s="305"/>
      <c r="N3" s="306"/>
      <c r="O3" s="305"/>
      <c r="P3" s="305"/>
      <c r="Q3" s="305"/>
      <c r="R3" s="307"/>
      <c r="S3" s="305"/>
      <c r="T3" s="306"/>
      <c r="U3" s="305"/>
      <c r="V3" s="305"/>
      <c r="W3" s="305"/>
      <c r="X3" s="305"/>
      <c r="Y3" s="308"/>
      <c r="Z3" s="305"/>
      <c r="AA3" s="305"/>
      <c r="AB3" s="305"/>
      <c r="AC3" s="164"/>
      <c r="AD3" s="309" t="s">
        <v>393</v>
      </c>
      <c r="AE3" s="309"/>
      <c r="AF3" s="309"/>
      <c r="AG3" s="309"/>
      <c r="AH3" s="164"/>
    </row>
    <row r="4" customFormat="false" ht="12" hidden="false" customHeight="true" outlineLevel="0" collapsed="false">
      <c r="A4" s="276"/>
      <c r="B4" s="310" t="s">
        <v>394</v>
      </c>
      <c r="C4" s="310"/>
      <c r="D4" s="310"/>
      <c r="E4" s="310"/>
      <c r="F4" s="310"/>
      <c r="G4" s="305"/>
      <c r="H4" s="311" t="n">
        <v>0</v>
      </c>
      <c r="I4" s="305"/>
      <c r="J4" s="305"/>
      <c r="K4" s="305"/>
      <c r="L4" s="307"/>
      <c r="M4" s="305"/>
      <c r="N4" s="311" t="n">
        <v>0</v>
      </c>
      <c r="O4" s="305"/>
      <c r="P4" s="305"/>
      <c r="Q4" s="305"/>
      <c r="R4" s="307"/>
      <c r="S4" s="305"/>
      <c r="T4" s="311" t="n">
        <v>0</v>
      </c>
      <c r="U4" s="305"/>
      <c r="V4" s="305"/>
      <c r="W4" s="305"/>
      <c r="X4" s="305"/>
      <c r="Y4" s="308"/>
      <c r="Z4" s="305"/>
      <c r="AA4" s="305"/>
      <c r="AB4" s="305"/>
      <c r="AC4" s="164"/>
      <c r="AD4" s="309"/>
      <c r="AE4" s="309"/>
      <c r="AF4" s="309"/>
      <c r="AG4" s="309"/>
      <c r="AH4" s="164"/>
    </row>
    <row r="5" customFormat="false" ht="12" hidden="false" customHeight="false" outlineLevel="0" collapsed="false">
      <c r="A5" s="276"/>
      <c r="B5" s="312"/>
      <c r="C5" s="312"/>
      <c r="D5" s="177"/>
      <c r="E5" s="177"/>
      <c r="F5" s="177"/>
      <c r="G5" s="177"/>
      <c r="H5" s="313"/>
      <c r="I5" s="177"/>
      <c r="J5" s="177"/>
      <c r="K5" s="177"/>
      <c r="L5" s="179"/>
      <c r="M5" s="177"/>
      <c r="N5" s="313"/>
      <c r="O5" s="177"/>
      <c r="P5" s="177"/>
      <c r="Q5" s="177"/>
      <c r="R5" s="179"/>
      <c r="S5" s="177"/>
      <c r="T5" s="313"/>
      <c r="U5" s="177"/>
      <c r="V5" s="177"/>
      <c r="W5" s="177"/>
      <c r="X5" s="177"/>
      <c r="Y5" s="314"/>
      <c r="Z5" s="177"/>
      <c r="AA5" s="177"/>
      <c r="AB5" s="177"/>
      <c r="AC5" s="164"/>
      <c r="AD5" s="309"/>
      <c r="AE5" s="309"/>
      <c r="AF5" s="309"/>
      <c r="AG5" s="309"/>
      <c r="AH5" s="164"/>
    </row>
    <row r="6" customFormat="false" ht="12" hidden="false" customHeight="false" outlineLevel="0" collapsed="false">
      <c r="A6" s="276"/>
      <c r="B6" s="315" t="n">
        <f aca="false">Admin!B4</f>
        <v>46118</v>
      </c>
      <c r="C6" s="316"/>
      <c r="D6" s="191" t="n">
        <f aca="false">AB6</f>
        <v>10000</v>
      </c>
      <c r="E6" s="177"/>
      <c r="F6" s="177"/>
      <c r="G6" s="177"/>
      <c r="H6" s="313"/>
      <c r="I6" s="177"/>
      <c r="J6" s="177"/>
      <c r="K6" s="177"/>
      <c r="L6" s="179"/>
      <c r="M6" s="177"/>
      <c r="N6" s="313"/>
      <c r="O6" s="177"/>
      <c r="P6" s="177"/>
      <c r="Q6" s="177"/>
      <c r="R6" s="179"/>
      <c r="S6" s="177"/>
      <c r="T6" s="313"/>
      <c r="U6" s="177"/>
      <c r="V6" s="177"/>
      <c r="W6" s="177"/>
      <c r="X6" s="177"/>
      <c r="Y6" s="314"/>
      <c r="Z6" s="177"/>
      <c r="AA6" s="177"/>
      <c r="AB6" s="170" t="n">
        <v>10000</v>
      </c>
      <c r="AC6" s="164"/>
      <c r="AD6" s="309"/>
      <c r="AE6" s="309"/>
      <c r="AF6" s="309"/>
      <c r="AG6" s="309"/>
      <c r="AH6" s="164"/>
    </row>
    <row r="7" customFormat="false" ht="12" hidden="false" customHeight="false" outlineLevel="0" collapsed="false">
      <c r="A7" s="276"/>
      <c r="B7" s="316"/>
      <c r="C7" s="316"/>
      <c r="D7" s="177"/>
      <c r="E7" s="177"/>
      <c r="F7" s="177"/>
      <c r="G7" s="177"/>
      <c r="H7" s="313"/>
      <c r="I7" s="177"/>
      <c r="J7" s="177"/>
      <c r="K7" s="177"/>
      <c r="L7" s="179"/>
      <c r="M7" s="177"/>
      <c r="N7" s="313"/>
      <c r="O7" s="177"/>
      <c r="P7" s="177"/>
      <c r="Q7" s="177"/>
      <c r="R7" s="179"/>
      <c r="S7" s="177"/>
      <c r="T7" s="313"/>
      <c r="U7" s="177"/>
      <c r="V7" s="177"/>
      <c r="W7" s="177"/>
      <c r="X7" s="177"/>
      <c r="Y7" s="314"/>
      <c r="Z7" s="177"/>
      <c r="AA7" s="177"/>
      <c r="AB7" s="177"/>
      <c r="AC7" s="164"/>
      <c r="AD7" s="309"/>
      <c r="AE7" s="309"/>
      <c r="AF7" s="309"/>
      <c r="AG7" s="309"/>
      <c r="AH7" s="164"/>
    </row>
    <row r="8" customFormat="false" ht="12" hidden="false" customHeight="false" outlineLevel="0" collapsed="false">
      <c r="A8" s="276"/>
      <c r="B8" s="315" t="n">
        <f aca="false">Admin!B5</f>
        <v>46142</v>
      </c>
      <c r="C8" s="316"/>
      <c r="D8" s="191" t="n">
        <f aca="false">D6+F8-L8-R8-X8+Z6</f>
        <v>10000</v>
      </c>
      <c r="E8" s="177"/>
      <c r="F8" s="177" t="n">
        <f aca="false">IF((H$4+N$4+T$4)=0,0,[3]Apr!$P$1)</f>
        <v>0</v>
      </c>
      <c r="G8" s="177"/>
      <c r="H8" s="317" t="n">
        <f aca="false">H4</f>
        <v>0</v>
      </c>
      <c r="I8" s="177"/>
      <c r="J8" s="177" t="n">
        <f aca="false">[2]Apr!$P$1</f>
        <v>25333.3333333333</v>
      </c>
      <c r="K8" s="177"/>
      <c r="L8" s="179" t="n">
        <f aca="false">J8*H8</f>
        <v>0</v>
      </c>
      <c r="M8" s="177"/>
      <c r="N8" s="317" t="n">
        <f aca="false">N4</f>
        <v>0</v>
      </c>
      <c r="O8" s="177"/>
      <c r="P8" s="177" t="n">
        <f aca="false">[2]Apr!$Q$1</f>
        <v>1800</v>
      </c>
      <c r="Q8" s="177"/>
      <c r="R8" s="179" t="n">
        <f aca="false">P8*N8</f>
        <v>0</v>
      </c>
      <c r="S8" s="177"/>
      <c r="T8" s="317" t="n">
        <f aca="false">T4</f>
        <v>0</v>
      </c>
      <c r="U8" s="177"/>
      <c r="V8" s="177" t="n">
        <f aca="false">[2]Apr!$R$1</f>
        <v>0</v>
      </c>
      <c r="W8" s="177"/>
      <c r="X8" s="177" t="n">
        <f aca="false">V8*T8</f>
        <v>0</v>
      </c>
      <c r="Y8" s="314"/>
      <c r="Z8" s="177" t="n">
        <f aca="false">IF(AB8&lt;&gt;D8,AB8-D8,0)</f>
        <v>0</v>
      </c>
      <c r="AA8" s="177"/>
      <c r="AB8" s="170" t="n">
        <f aca="false">AB6+F8-L8-R8-X8</f>
        <v>10000</v>
      </c>
      <c r="AC8" s="164"/>
      <c r="AD8" s="309"/>
      <c r="AE8" s="309"/>
      <c r="AF8" s="309"/>
      <c r="AG8" s="309"/>
      <c r="AH8" s="164"/>
    </row>
    <row r="9" customFormat="false" ht="12" hidden="false" customHeight="false" outlineLevel="0" collapsed="false">
      <c r="A9" s="276"/>
      <c r="B9" s="316"/>
      <c r="C9" s="316"/>
      <c r="D9" s="177"/>
      <c r="E9" s="177"/>
      <c r="F9" s="177"/>
      <c r="G9" s="177"/>
      <c r="H9" s="313"/>
      <c r="I9" s="177"/>
      <c r="J9" s="177"/>
      <c r="K9" s="177"/>
      <c r="L9" s="179"/>
      <c r="M9" s="177"/>
      <c r="N9" s="313"/>
      <c r="O9" s="177"/>
      <c r="P9" s="177"/>
      <c r="Q9" s="177"/>
      <c r="R9" s="179"/>
      <c r="S9" s="177"/>
      <c r="T9" s="313"/>
      <c r="U9" s="177"/>
      <c r="V9" s="177"/>
      <c r="W9" s="177"/>
      <c r="X9" s="177"/>
      <c r="Y9" s="314"/>
      <c r="Z9" s="177"/>
      <c r="AA9" s="177"/>
      <c r="AB9" s="177"/>
      <c r="AC9" s="164"/>
      <c r="AD9" s="309"/>
      <c r="AE9" s="309"/>
      <c r="AF9" s="309"/>
      <c r="AG9" s="309"/>
      <c r="AH9" s="164"/>
    </row>
    <row r="10" customFormat="false" ht="12.65" hidden="false" customHeight="false" outlineLevel="0" collapsed="false">
      <c r="A10" s="276"/>
      <c r="B10" s="315" t="n">
        <f aca="false">Admin!B6</f>
        <v>46173</v>
      </c>
      <c r="C10" s="316"/>
      <c r="D10" s="191" t="n">
        <f aca="false">D8+F10-L10-R10-X10+Z8</f>
        <v>10000</v>
      </c>
      <c r="E10" s="177"/>
      <c r="F10" s="177" t="n">
        <f aca="false">IF((H$4+N$4+T$4)=0,0,[3]May!$P$1)</f>
        <v>0</v>
      </c>
      <c r="G10" s="177"/>
      <c r="H10" s="317" t="n">
        <f aca="false">H8</f>
        <v>0</v>
      </c>
      <c r="I10" s="177"/>
      <c r="J10" s="177" t="n">
        <f aca="false">[2]May!$P$1</f>
        <v>25633.3333333333</v>
      </c>
      <c r="K10" s="177"/>
      <c r="L10" s="179" t="n">
        <f aca="false">J10*H10</f>
        <v>0</v>
      </c>
      <c r="M10" s="177"/>
      <c r="N10" s="317" t="n">
        <f aca="false">N8</f>
        <v>0</v>
      </c>
      <c r="O10" s="177"/>
      <c r="P10" s="177" t="n">
        <f aca="false">[2]May!$Q$1</f>
        <v>800</v>
      </c>
      <c r="Q10" s="177"/>
      <c r="R10" s="179" t="n">
        <f aca="false">P10*N10</f>
        <v>0</v>
      </c>
      <c r="S10" s="177"/>
      <c r="T10" s="317" t="n">
        <f aca="false">T8</f>
        <v>0</v>
      </c>
      <c r="U10" s="177"/>
      <c r="V10" s="177" t="n">
        <f aca="false">[2]May!$R$1</f>
        <v>1000</v>
      </c>
      <c r="W10" s="177"/>
      <c r="X10" s="177" t="n">
        <f aca="false">V10*T10</f>
        <v>0</v>
      </c>
      <c r="Y10" s="314"/>
      <c r="Z10" s="177" t="n">
        <f aca="false">IF(AB10&lt;&gt;D10,AB10-D10,0)</f>
        <v>0</v>
      </c>
      <c r="AA10" s="177"/>
      <c r="AB10" s="170" t="n">
        <f aca="false">AB8+F10-L10-R10-X10</f>
        <v>10000</v>
      </c>
      <c r="AC10" s="164"/>
      <c r="AD10" s="318"/>
      <c r="AE10" s="319"/>
      <c r="AF10" s="319"/>
      <c r="AG10" s="319"/>
      <c r="AH10" s="164"/>
    </row>
    <row r="11" customFormat="false" ht="12" hidden="false" customHeight="true" outlineLevel="0" collapsed="false">
      <c r="A11" s="276"/>
      <c r="B11" s="316"/>
      <c r="C11" s="316"/>
      <c r="D11" s="177"/>
      <c r="E11" s="177"/>
      <c r="F11" s="177"/>
      <c r="G11" s="177"/>
      <c r="H11" s="313"/>
      <c r="I11" s="177"/>
      <c r="J11" s="177"/>
      <c r="K11" s="177"/>
      <c r="L11" s="179"/>
      <c r="M11" s="177"/>
      <c r="N11" s="313"/>
      <c r="O11" s="177"/>
      <c r="P11" s="177"/>
      <c r="Q11" s="177"/>
      <c r="R11" s="179"/>
      <c r="S11" s="177"/>
      <c r="T11" s="313"/>
      <c r="U11" s="177"/>
      <c r="V11" s="177"/>
      <c r="W11" s="177"/>
      <c r="X11" s="177"/>
      <c r="Y11" s="314"/>
      <c r="Z11" s="177"/>
      <c r="AA11" s="177"/>
      <c r="AB11" s="177"/>
      <c r="AC11" s="164"/>
      <c r="AD11" s="309" t="s">
        <v>395</v>
      </c>
      <c r="AE11" s="309"/>
      <c r="AF11" s="309"/>
      <c r="AG11" s="309"/>
      <c r="AH11" s="164"/>
    </row>
    <row r="12" customFormat="false" ht="12" hidden="false" customHeight="false" outlineLevel="0" collapsed="false">
      <c r="A12" s="276"/>
      <c r="B12" s="315" t="n">
        <f aca="false">Admin!B7</f>
        <v>46203</v>
      </c>
      <c r="C12" s="316"/>
      <c r="D12" s="191" t="n">
        <f aca="false">D10+F12-L12-R12-X12+Z10</f>
        <v>10000</v>
      </c>
      <c r="E12" s="177"/>
      <c r="F12" s="177" t="n">
        <f aca="false">IF((H$4+N$4+T$4)=0,0,[3]Jun!$P$1)</f>
        <v>0</v>
      </c>
      <c r="G12" s="177"/>
      <c r="H12" s="317" t="n">
        <f aca="false">H10</f>
        <v>0</v>
      </c>
      <c r="I12" s="177"/>
      <c r="J12" s="177" t="n">
        <f aca="false">[2]Jun!$P$1</f>
        <v>26533.3333333333</v>
      </c>
      <c r="K12" s="177"/>
      <c r="L12" s="179" t="n">
        <f aca="false">J12*H12</f>
        <v>0</v>
      </c>
      <c r="M12" s="177"/>
      <c r="N12" s="317" t="n">
        <f aca="false">N10</f>
        <v>0</v>
      </c>
      <c r="O12" s="177"/>
      <c r="P12" s="177" t="n">
        <f aca="false">[2]Jun!$Q$1</f>
        <v>800</v>
      </c>
      <c r="Q12" s="177"/>
      <c r="R12" s="179" t="n">
        <f aca="false">P12*N12</f>
        <v>0</v>
      </c>
      <c r="S12" s="177"/>
      <c r="T12" s="317" t="n">
        <f aca="false">T10</f>
        <v>0</v>
      </c>
      <c r="U12" s="177"/>
      <c r="V12" s="177" t="n">
        <f aca="false">[2]Jun!$R$1</f>
        <v>2000</v>
      </c>
      <c r="W12" s="177"/>
      <c r="X12" s="177" t="n">
        <f aca="false">V12*T12</f>
        <v>0</v>
      </c>
      <c r="Y12" s="314"/>
      <c r="Z12" s="177" t="n">
        <f aca="false">IF(AB12&lt;&gt;D12,AB12-D12,0)</f>
        <v>0</v>
      </c>
      <c r="AA12" s="177"/>
      <c r="AB12" s="170" t="n">
        <f aca="false">AB10+F12-L12-R12-X12</f>
        <v>10000</v>
      </c>
      <c r="AC12" s="164"/>
      <c r="AD12" s="309"/>
      <c r="AE12" s="309"/>
      <c r="AF12" s="309"/>
      <c r="AG12" s="309"/>
      <c r="AH12" s="164"/>
    </row>
    <row r="13" customFormat="false" ht="12" hidden="false" customHeight="false" outlineLevel="0" collapsed="false">
      <c r="A13" s="276"/>
      <c r="B13" s="316"/>
      <c r="C13" s="316"/>
      <c r="D13" s="177"/>
      <c r="E13" s="177"/>
      <c r="F13" s="177"/>
      <c r="G13" s="177"/>
      <c r="H13" s="313"/>
      <c r="I13" s="177"/>
      <c r="J13" s="177"/>
      <c r="K13" s="177"/>
      <c r="L13" s="179"/>
      <c r="M13" s="177"/>
      <c r="N13" s="313"/>
      <c r="O13" s="177"/>
      <c r="P13" s="177"/>
      <c r="Q13" s="177"/>
      <c r="R13" s="179"/>
      <c r="S13" s="177"/>
      <c r="T13" s="313"/>
      <c r="U13" s="177"/>
      <c r="V13" s="177"/>
      <c r="W13" s="177"/>
      <c r="X13" s="177"/>
      <c r="Y13" s="314"/>
      <c r="Z13" s="177"/>
      <c r="AA13" s="177"/>
      <c r="AB13" s="177"/>
      <c r="AC13" s="164"/>
      <c r="AD13" s="309"/>
      <c r="AE13" s="309"/>
      <c r="AF13" s="309"/>
      <c r="AG13" s="309"/>
      <c r="AH13" s="164"/>
    </row>
    <row r="14" customFormat="false" ht="12" hidden="false" customHeight="true" outlineLevel="0" collapsed="false">
      <c r="A14" s="276"/>
      <c r="B14" s="315" t="n">
        <f aca="false">Admin!B8</f>
        <v>46234</v>
      </c>
      <c r="C14" s="316"/>
      <c r="D14" s="191" t="n">
        <f aca="false">D12+F14-L14-R14-X14+Z12</f>
        <v>10000</v>
      </c>
      <c r="E14" s="177"/>
      <c r="F14" s="177" t="n">
        <f aca="false">IF((H$4+N$4+T$4)=0,0,[3]Jul!$P$1)</f>
        <v>0</v>
      </c>
      <c r="G14" s="177"/>
      <c r="H14" s="317" t="n">
        <f aca="false">H12</f>
        <v>0</v>
      </c>
      <c r="I14" s="177"/>
      <c r="J14" s="177" t="n">
        <f aca="false">[2]Jul!$P$1</f>
        <v>25633.3333333333</v>
      </c>
      <c r="K14" s="177"/>
      <c r="L14" s="179" t="n">
        <f aca="false">J14*H14</f>
        <v>0</v>
      </c>
      <c r="M14" s="177"/>
      <c r="N14" s="317" t="n">
        <f aca="false">N12</f>
        <v>0</v>
      </c>
      <c r="O14" s="177"/>
      <c r="P14" s="177" t="n">
        <f aca="false">[2]Jul!$Q$1</f>
        <v>1800</v>
      </c>
      <c r="Q14" s="177"/>
      <c r="R14" s="179" t="n">
        <f aca="false">P14*N14</f>
        <v>0</v>
      </c>
      <c r="S14" s="177"/>
      <c r="T14" s="317" t="n">
        <f aca="false">T12</f>
        <v>0</v>
      </c>
      <c r="U14" s="177"/>
      <c r="V14" s="177" t="n">
        <f aca="false">[2]Jul!$R$1</f>
        <v>0</v>
      </c>
      <c r="W14" s="177"/>
      <c r="X14" s="177" t="n">
        <f aca="false">V14*T14</f>
        <v>0</v>
      </c>
      <c r="Y14" s="314"/>
      <c r="Z14" s="177" t="n">
        <f aca="false">IF(AB14&lt;&gt;D14,AB14-D14,0)</f>
        <v>0</v>
      </c>
      <c r="AA14" s="177"/>
      <c r="AB14" s="170" t="n">
        <f aca="false">AB12+F14-L14-R14-X14</f>
        <v>10000</v>
      </c>
      <c r="AC14" s="164"/>
      <c r="AD14" s="320"/>
      <c r="AE14" s="321"/>
      <c r="AF14" s="321"/>
      <c r="AG14" s="321"/>
      <c r="AH14" s="164"/>
    </row>
    <row r="15" customFormat="false" ht="12" hidden="false" customHeight="true" outlineLevel="0" collapsed="false">
      <c r="A15" s="276"/>
      <c r="B15" s="316"/>
      <c r="C15" s="316"/>
      <c r="D15" s="177"/>
      <c r="E15" s="177"/>
      <c r="F15" s="177"/>
      <c r="G15" s="177"/>
      <c r="H15" s="313"/>
      <c r="I15" s="177"/>
      <c r="J15" s="177"/>
      <c r="K15" s="177"/>
      <c r="L15" s="179"/>
      <c r="M15" s="177"/>
      <c r="N15" s="313"/>
      <c r="O15" s="177"/>
      <c r="P15" s="177"/>
      <c r="Q15" s="177"/>
      <c r="R15" s="179"/>
      <c r="S15" s="177"/>
      <c r="T15" s="313"/>
      <c r="U15" s="177"/>
      <c r="V15" s="177"/>
      <c r="W15" s="177"/>
      <c r="X15" s="177"/>
      <c r="Y15" s="314"/>
      <c r="Z15" s="177"/>
      <c r="AA15" s="177"/>
      <c r="AB15" s="177"/>
      <c r="AC15" s="164"/>
      <c r="AD15" s="309" t="s">
        <v>396</v>
      </c>
      <c r="AE15" s="309"/>
      <c r="AF15" s="309"/>
      <c r="AG15" s="309"/>
      <c r="AH15" s="164"/>
    </row>
    <row r="16" customFormat="false" ht="12" hidden="false" customHeight="true" outlineLevel="0" collapsed="false">
      <c r="A16" s="276"/>
      <c r="B16" s="315" t="n">
        <f aca="false">Admin!B9</f>
        <v>46265</v>
      </c>
      <c r="C16" s="316"/>
      <c r="D16" s="191" t="n">
        <f aca="false">D14+F16-L16-R16-X16+Z14</f>
        <v>10000</v>
      </c>
      <c r="E16" s="177"/>
      <c r="F16" s="177" t="n">
        <f aca="false">IF((H$4+N$4+T$4)=0,0,[3]Aug!$P$1)</f>
        <v>0</v>
      </c>
      <c r="G16" s="177"/>
      <c r="H16" s="317" t="n">
        <f aca="false">H14</f>
        <v>0</v>
      </c>
      <c r="I16" s="177"/>
      <c r="J16" s="177" t="n">
        <f aca="false">[2]Aug!$P$1</f>
        <v>27133.3333333333</v>
      </c>
      <c r="K16" s="177"/>
      <c r="L16" s="179" t="n">
        <f aca="false">J16*H16</f>
        <v>0</v>
      </c>
      <c r="M16" s="177"/>
      <c r="N16" s="317" t="n">
        <f aca="false">N14</f>
        <v>0</v>
      </c>
      <c r="O16" s="177"/>
      <c r="P16" s="177" t="n">
        <f aca="false">[2]Aug!$Q$1</f>
        <v>800</v>
      </c>
      <c r="Q16" s="177"/>
      <c r="R16" s="179" t="n">
        <f aca="false">P16*N16</f>
        <v>0</v>
      </c>
      <c r="S16" s="177"/>
      <c r="T16" s="317" t="n">
        <f aca="false">T14</f>
        <v>0</v>
      </c>
      <c r="U16" s="177"/>
      <c r="V16" s="177" t="n">
        <f aca="false">[2]Aug!$R$1</f>
        <v>0</v>
      </c>
      <c r="W16" s="177"/>
      <c r="X16" s="177" t="n">
        <f aca="false">V16*T16</f>
        <v>0</v>
      </c>
      <c r="Y16" s="314"/>
      <c r="Z16" s="177" t="n">
        <f aca="false">IF(AB16&lt;&gt;D16,AB16-D16,0)</f>
        <v>0</v>
      </c>
      <c r="AA16" s="177"/>
      <c r="AB16" s="170" t="n">
        <f aca="false">AB14+F16-L16-R16-X16</f>
        <v>10000</v>
      </c>
      <c r="AC16" s="164"/>
      <c r="AD16" s="309"/>
      <c r="AE16" s="309"/>
      <c r="AF16" s="309"/>
      <c r="AG16" s="309"/>
      <c r="AH16" s="164"/>
    </row>
    <row r="17" customFormat="false" ht="12" hidden="false" customHeight="true" outlineLevel="0" collapsed="false">
      <c r="A17" s="276"/>
      <c r="B17" s="316"/>
      <c r="C17" s="316"/>
      <c r="D17" s="177"/>
      <c r="E17" s="177"/>
      <c r="F17" s="177"/>
      <c r="G17" s="177"/>
      <c r="H17" s="313"/>
      <c r="I17" s="177"/>
      <c r="J17" s="177"/>
      <c r="K17" s="177"/>
      <c r="L17" s="179"/>
      <c r="M17" s="177"/>
      <c r="N17" s="313"/>
      <c r="O17" s="177"/>
      <c r="P17" s="177"/>
      <c r="Q17" s="177"/>
      <c r="R17" s="179"/>
      <c r="S17" s="177"/>
      <c r="T17" s="313"/>
      <c r="U17" s="177"/>
      <c r="V17" s="177"/>
      <c r="W17" s="177"/>
      <c r="X17" s="177"/>
      <c r="Y17" s="314"/>
      <c r="Z17" s="177"/>
      <c r="AA17" s="177"/>
      <c r="AB17" s="177"/>
      <c r="AC17" s="164"/>
      <c r="AD17" s="309"/>
      <c r="AE17" s="309"/>
      <c r="AF17" s="309"/>
      <c r="AG17" s="309"/>
      <c r="AH17" s="164"/>
    </row>
    <row r="18" customFormat="false" ht="12" hidden="false" customHeight="true" outlineLevel="0" collapsed="false">
      <c r="A18" s="276"/>
      <c r="B18" s="315" t="n">
        <f aca="false">Admin!B10</f>
        <v>46295</v>
      </c>
      <c r="C18" s="316"/>
      <c r="D18" s="191" t="n">
        <f aca="false">D16+F18-L18-R18-X18+Z16</f>
        <v>10000</v>
      </c>
      <c r="E18" s="177"/>
      <c r="F18" s="177" t="n">
        <f aca="false">IF((H$4+N$4+T$4)=0,0,[3]Sep!$P$1)</f>
        <v>0</v>
      </c>
      <c r="G18" s="177"/>
      <c r="H18" s="317" t="n">
        <f aca="false">H16</f>
        <v>0</v>
      </c>
      <c r="I18" s="177"/>
      <c r="J18" s="177" t="n">
        <f aca="false">[2]Sep!$P$1</f>
        <v>25033.3333333333</v>
      </c>
      <c r="K18" s="177"/>
      <c r="L18" s="179" t="n">
        <f aca="false">J18*H18</f>
        <v>0</v>
      </c>
      <c r="M18" s="177"/>
      <c r="N18" s="317" t="n">
        <f aca="false">N16</f>
        <v>0</v>
      </c>
      <c r="O18" s="177"/>
      <c r="P18" s="177" t="n">
        <f aca="false">[2]Sep!$Q$1</f>
        <v>800</v>
      </c>
      <c r="Q18" s="177"/>
      <c r="R18" s="179" t="n">
        <f aca="false">P18*N18</f>
        <v>0</v>
      </c>
      <c r="S18" s="177"/>
      <c r="T18" s="317" t="n">
        <f aca="false">T16</f>
        <v>0</v>
      </c>
      <c r="U18" s="177"/>
      <c r="V18" s="177" t="n">
        <f aca="false">[2]Sep!$R$1</f>
        <v>1800</v>
      </c>
      <c r="W18" s="177"/>
      <c r="X18" s="177" t="n">
        <f aca="false">V18*T18</f>
        <v>0</v>
      </c>
      <c r="Y18" s="314"/>
      <c r="Z18" s="177" t="n">
        <f aca="false">IF(AB18&lt;&gt;D18,AB18-D18,0)</f>
        <v>0</v>
      </c>
      <c r="AA18" s="177"/>
      <c r="AB18" s="170" t="n">
        <f aca="false">AB16+F18-L18-R18-X18</f>
        <v>10000</v>
      </c>
      <c r="AC18" s="164"/>
      <c r="AD18" s="320"/>
      <c r="AE18" s="321"/>
      <c r="AF18" s="321"/>
      <c r="AG18" s="321"/>
      <c r="AH18" s="164"/>
    </row>
    <row r="19" customFormat="false" ht="12" hidden="false" customHeight="true" outlineLevel="0" collapsed="false">
      <c r="A19" s="276"/>
      <c r="B19" s="316"/>
      <c r="C19" s="316"/>
      <c r="D19" s="177"/>
      <c r="E19" s="177"/>
      <c r="F19" s="177"/>
      <c r="G19" s="177"/>
      <c r="H19" s="313"/>
      <c r="I19" s="177"/>
      <c r="J19" s="177"/>
      <c r="K19" s="177"/>
      <c r="L19" s="179"/>
      <c r="M19" s="177"/>
      <c r="N19" s="313"/>
      <c r="O19" s="177"/>
      <c r="P19" s="177"/>
      <c r="Q19" s="177"/>
      <c r="R19" s="179"/>
      <c r="S19" s="177"/>
      <c r="T19" s="313"/>
      <c r="U19" s="177"/>
      <c r="V19" s="177"/>
      <c r="W19" s="177"/>
      <c r="X19" s="177"/>
      <c r="Y19" s="314"/>
      <c r="Z19" s="177"/>
      <c r="AA19" s="177"/>
      <c r="AB19" s="177"/>
      <c r="AC19" s="164"/>
      <c r="AD19" s="309" t="s">
        <v>397</v>
      </c>
      <c r="AE19" s="309"/>
      <c r="AF19" s="309"/>
      <c r="AG19" s="309"/>
      <c r="AH19" s="164"/>
    </row>
    <row r="20" customFormat="false" ht="12" hidden="false" customHeight="true" outlineLevel="0" collapsed="false">
      <c r="A20" s="276"/>
      <c r="B20" s="315" t="n">
        <f aca="false">Admin!B11</f>
        <v>46326</v>
      </c>
      <c r="C20" s="316"/>
      <c r="D20" s="191" t="n">
        <f aca="false">D18+F20-L20-R20-X20+Z18</f>
        <v>10000</v>
      </c>
      <c r="E20" s="177"/>
      <c r="F20" s="177" t="n">
        <f aca="false">IF((H$4+N$4+T$4)=0,0,[3]Oct!$P$1)</f>
        <v>0</v>
      </c>
      <c r="G20" s="177"/>
      <c r="H20" s="317" t="n">
        <f aca="false">H18</f>
        <v>0</v>
      </c>
      <c r="I20" s="177"/>
      <c r="J20" s="177" t="n">
        <f aca="false">[2]Oct!$P$1</f>
        <v>27133.3333333333</v>
      </c>
      <c r="K20" s="177"/>
      <c r="L20" s="179" t="n">
        <f aca="false">J20*H20</f>
        <v>0</v>
      </c>
      <c r="M20" s="177"/>
      <c r="N20" s="317" t="n">
        <f aca="false">N18</f>
        <v>0</v>
      </c>
      <c r="O20" s="177"/>
      <c r="P20" s="177" t="n">
        <f aca="false">[2]Oct!$Q$1</f>
        <v>1800</v>
      </c>
      <c r="Q20" s="177"/>
      <c r="R20" s="179" t="n">
        <f aca="false">P20*N20</f>
        <v>0</v>
      </c>
      <c r="S20" s="177"/>
      <c r="T20" s="317" t="n">
        <f aca="false">T18</f>
        <v>0</v>
      </c>
      <c r="U20" s="177"/>
      <c r="V20" s="177" t="n">
        <f aca="false">[2]Oct!$R$1</f>
        <v>0</v>
      </c>
      <c r="W20" s="177"/>
      <c r="X20" s="177" t="n">
        <f aca="false">V20*T20</f>
        <v>0</v>
      </c>
      <c r="Y20" s="314"/>
      <c r="Z20" s="177" t="n">
        <f aca="false">IF(AB20&lt;&gt;D20,AB20-D20,0)</f>
        <v>0</v>
      </c>
      <c r="AA20" s="177"/>
      <c r="AB20" s="170" t="n">
        <f aca="false">AB18+F20-L20-R20-X20</f>
        <v>10000</v>
      </c>
      <c r="AC20" s="164"/>
      <c r="AD20" s="309"/>
      <c r="AE20" s="309"/>
      <c r="AF20" s="309"/>
      <c r="AG20" s="309"/>
      <c r="AH20" s="164"/>
    </row>
    <row r="21" customFormat="false" ht="12" hidden="false" customHeight="true" outlineLevel="0" collapsed="false">
      <c r="A21" s="276"/>
      <c r="B21" s="316"/>
      <c r="C21" s="316"/>
      <c r="D21" s="177"/>
      <c r="E21" s="177"/>
      <c r="F21" s="177"/>
      <c r="G21" s="177"/>
      <c r="H21" s="313"/>
      <c r="I21" s="177"/>
      <c r="J21" s="177"/>
      <c r="K21" s="177"/>
      <c r="L21" s="179"/>
      <c r="M21" s="177"/>
      <c r="N21" s="313"/>
      <c r="O21" s="177"/>
      <c r="P21" s="177"/>
      <c r="Q21" s="177"/>
      <c r="R21" s="179"/>
      <c r="S21" s="177"/>
      <c r="T21" s="313"/>
      <c r="U21" s="177"/>
      <c r="V21" s="177"/>
      <c r="W21" s="177"/>
      <c r="X21" s="177"/>
      <c r="Y21" s="314"/>
      <c r="Z21" s="177"/>
      <c r="AA21" s="177"/>
      <c r="AB21" s="177"/>
      <c r="AC21" s="164"/>
      <c r="AD21" s="309"/>
      <c r="AE21" s="309"/>
      <c r="AF21" s="309"/>
      <c r="AG21" s="309"/>
      <c r="AH21" s="164"/>
    </row>
    <row r="22" customFormat="false" ht="12" hidden="false" customHeight="true" outlineLevel="0" collapsed="false">
      <c r="A22" s="276"/>
      <c r="B22" s="315" t="n">
        <f aca="false">Admin!B12</f>
        <v>46356</v>
      </c>
      <c r="C22" s="316"/>
      <c r="D22" s="191" t="n">
        <f aca="false">D20+F22-L22-R22-X22+Z20</f>
        <v>10000</v>
      </c>
      <c r="E22" s="177"/>
      <c r="F22" s="177" t="n">
        <f aca="false">IF((H$4+N$4+T$4)=0,0,[3]Nov!$P$1)</f>
        <v>0</v>
      </c>
      <c r="G22" s="177"/>
      <c r="H22" s="317" t="n">
        <f aca="false">H20</f>
        <v>0</v>
      </c>
      <c r="I22" s="177"/>
      <c r="J22" s="177" t="n">
        <f aca="false">[2]Nov!$P$1</f>
        <v>25633.3333333333</v>
      </c>
      <c r="K22" s="177"/>
      <c r="L22" s="179" t="n">
        <f aca="false">J22*H22</f>
        <v>0</v>
      </c>
      <c r="M22" s="177"/>
      <c r="N22" s="317" t="n">
        <f aca="false">N20</f>
        <v>0</v>
      </c>
      <c r="O22" s="177"/>
      <c r="P22" s="177" t="n">
        <f aca="false">[2]Nov!$Q$1</f>
        <v>800</v>
      </c>
      <c r="Q22" s="177"/>
      <c r="R22" s="179" t="n">
        <f aca="false">P22*N22</f>
        <v>0</v>
      </c>
      <c r="S22" s="177"/>
      <c r="T22" s="317" t="n">
        <f aca="false">T20</f>
        <v>0</v>
      </c>
      <c r="U22" s="177"/>
      <c r="V22" s="177" t="n">
        <f aca="false">[2]Nov!$R$1</f>
        <v>3000</v>
      </c>
      <c r="W22" s="177"/>
      <c r="X22" s="177" t="n">
        <f aca="false">V22*T22</f>
        <v>0</v>
      </c>
      <c r="Y22" s="314"/>
      <c r="Z22" s="177" t="n">
        <f aca="false">IF(AB22&lt;&gt;D22,AB22-D22,0)</f>
        <v>0</v>
      </c>
      <c r="AA22" s="177"/>
      <c r="AB22" s="170" t="n">
        <f aca="false">AB20+F22-L22-R22-X22</f>
        <v>10000</v>
      </c>
      <c r="AC22" s="164"/>
      <c r="AD22" s="320"/>
      <c r="AE22" s="321"/>
      <c r="AF22" s="321"/>
      <c r="AG22" s="321"/>
      <c r="AH22" s="164"/>
    </row>
    <row r="23" customFormat="false" ht="12" hidden="false" customHeight="true" outlineLevel="0" collapsed="false">
      <c r="A23" s="276"/>
      <c r="B23" s="316"/>
      <c r="C23" s="316"/>
      <c r="D23" s="177"/>
      <c r="E23" s="177"/>
      <c r="F23" s="177"/>
      <c r="G23" s="177"/>
      <c r="H23" s="313"/>
      <c r="I23" s="177"/>
      <c r="J23" s="177"/>
      <c r="K23" s="177"/>
      <c r="L23" s="179"/>
      <c r="M23" s="177"/>
      <c r="N23" s="313"/>
      <c r="O23" s="177"/>
      <c r="P23" s="177"/>
      <c r="Q23" s="177"/>
      <c r="R23" s="179"/>
      <c r="S23" s="177"/>
      <c r="T23" s="313"/>
      <c r="U23" s="177"/>
      <c r="V23" s="177"/>
      <c r="W23" s="177"/>
      <c r="X23" s="177"/>
      <c r="Y23" s="314"/>
      <c r="Z23" s="177"/>
      <c r="AA23" s="177"/>
      <c r="AB23" s="177"/>
      <c r="AC23" s="164"/>
      <c r="AD23" s="309" t="s">
        <v>398</v>
      </c>
      <c r="AE23" s="309"/>
      <c r="AF23" s="309"/>
      <c r="AG23" s="309"/>
      <c r="AH23" s="164"/>
    </row>
    <row r="24" customFormat="false" ht="12" hidden="false" customHeight="false" outlineLevel="0" collapsed="false">
      <c r="A24" s="276"/>
      <c r="B24" s="315" t="n">
        <f aca="false">Admin!B13</f>
        <v>46387</v>
      </c>
      <c r="C24" s="316"/>
      <c r="D24" s="191" t="n">
        <f aca="false">D22+F24-L24-R24-X24+Z22</f>
        <v>10000</v>
      </c>
      <c r="E24" s="177"/>
      <c r="F24" s="177" t="n">
        <f aca="false">IF((H$4+N$4+T$4)=0,0,[3]Dec!$P$1)</f>
        <v>0</v>
      </c>
      <c r="G24" s="177"/>
      <c r="H24" s="317" t="n">
        <f aca="false">H22</f>
        <v>0</v>
      </c>
      <c r="I24" s="177"/>
      <c r="J24" s="177" t="n">
        <f aca="false">[2]Dec!$P$1</f>
        <v>26533.3333333333</v>
      </c>
      <c r="K24" s="177"/>
      <c r="L24" s="179" t="n">
        <f aca="false">J24*H24</f>
        <v>0</v>
      </c>
      <c r="M24" s="177"/>
      <c r="N24" s="317" t="n">
        <f aca="false">N22</f>
        <v>0</v>
      </c>
      <c r="O24" s="177"/>
      <c r="P24" s="177" t="n">
        <f aca="false">[2]Dec!$Q$1</f>
        <v>800</v>
      </c>
      <c r="Q24" s="177"/>
      <c r="R24" s="179" t="n">
        <f aca="false">P24*N24</f>
        <v>0</v>
      </c>
      <c r="S24" s="177"/>
      <c r="T24" s="317" t="n">
        <f aca="false">T22</f>
        <v>0</v>
      </c>
      <c r="U24" s="177"/>
      <c r="V24" s="177" t="n">
        <f aca="false">[2]Dec!$R$1</f>
        <v>0</v>
      </c>
      <c r="W24" s="177"/>
      <c r="X24" s="177" t="n">
        <f aca="false">V24*T24</f>
        <v>0</v>
      </c>
      <c r="Y24" s="314"/>
      <c r="Z24" s="177" t="n">
        <f aca="false">IF(AB24&lt;&gt;D24,AB24-D24,0)</f>
        <v>0</v>
      </c>
      <c r="AA24" s="177"/>
      <c r="AB24" s="170" t="n">
        <f aca="false">AB22+F24-L24-R24-X24</f>
        <v>10000</v>
      </c>
      <c r="AC24" s="164"/>
      <c r="AD24" s="309"/>
      <c r="AE24" s="309"/>
      <c r="AF24" s="309"/>
      <c r="AG24" s="309"/>
      <c r="AH24" s="164"/>
    </row>
    <row r="25" customFormat="false" ht="12" hidden="false" customHeight="false" outlineLevel="0" collapsed="false">
      <c r="A25" s="276"/>
      <c r="B25" s="316"/>
      <c r="C25" s="316"/>
      <c r="D25" s="177"/>
      <c r="E25" s="177"/>
      <c r="F25" s="177"/>
      <c r="G25" s="177"/>
      <c r="H25" s="313"/>
      <c r="I25" s="177"/>
      <c r="J25" s="177"/>
      <c r="K25" s="177"/>
      <c r="L25" s="179"/>
      <c r="M25" s="177"/>
      <c r="N25" s="313"/>
      <c r="O25" s="177"/>
      <c r="P25" s="177"/>
      <c r="Q25" s="177"/>
      <c r="R25" s="179"/>
      <c r="S25" s="177"/>
      <c r="T25" s="313"/>
      <c r="U25" s="177"/>
      <c r="V25" s="177"/>
      <c r="W25" s="177"/>
      <c r="X25" s="177"/>
      <c r="Y25" s="314"/>
      <c r="Z25" s="177"/>
      <c r="AA25" s="177"/>
      <c r="AB25" s="177"/>
      <c r="AC25" s="164"/>
      <c r="AD25" s="309"/>
      <c r="AE25" s="309"/>
      <c r="AF25" s="309"/>
      <c r="AG25" s="309"/>
      <c r="AH25" s="164"/>
    </row>
    <row r="26" customFormat="false" ht="12" hidden="false" customHeight="false" outlineLevel="0" collapsed="false">
      <c r="A26" s="276"/>
      <c r="B26" s="315" t="n">
        <f aca="false">Admin!B14</f>
        <v>46418</v>
      </c>
      <c r="C26" s="316"/>
      <c r="D26" s="191" t="n">
        <f aca="false">D24+F26-L26-R26-X26+Z24</f>
        <v>10000</v>
      </c>
      <c r="E26" s="177"/>
      <c r="F26" s="177" t="n">
        <f aca="false">IF((H$4+N$4+T$4)=0,0,[3]Jan!$P$1)</f>
        <v>0</v>
      </c>
      <c r="G26" s="177"/>
      <c r="H26" s="317" t="n">
        <f aca="false">H24</f>
        <v>0</v>
      </c>
      <c r="I26" s="177"/>
      <c r="J26" s="177" t="n">
        <f aca="false">[2]Jan!$P$1</f>
        <v>25633.3333333333</v>
      </c>
      <c r="K26" s="177"/>
      <c r="L26" s="179" t="n">
        <f aca="false">J26*H26</f>
        <v>0</v>
      </c>
      <c r="M26" s="177"/>
      <c r="N26" s="317" t="n">
        <f aca="false">N24</f>
        <v>0</v>
      </c>
      <c r="O26" s="177"/>
      <c r="P26" s="177" t="n">
        <f aca="false">[2]Jan!$Q$1</f>
        <v>1800</v>
      </c>
      <c r="Q26" s="177"/>
      <c r="R26" s="179" t="n">
        <f aca="false">P26*N26</f>
        <v>0</v>
      </c>
      <c r="S26" s="177"/>
      <c r="T26" s="317" t="n">
        <f aca="false">T24</f>
        <v>0</v>
      </c>
      <c r="U26" s="177"/>
      <c r="V26" s="177" t="n">
        <f aca="false">[2]Jan!$R$1</f>
        <v>1000</v>
      </c>
      <c r="W26" s="177"/>
      <c r="X26" s="177" t="n">
        <f aca="false">V26*T26</f>
        <v>0</v>
      </c>
      <c r="Y26" s="314"/>
      <c r="Z26" s="177" t="n">
        <f aca="false">IF(AB26&lt;&gt;D26,AB26-D26,0)</f>
        <v>0</v>
      </c>
      <c r="AA26" s="177"/>
      <c r="AB26" s="170" t="n">
        <f aca="false">AB24+F26-L26-R26-X26</f>
        <v>10000</v>
      </c>
      <c r="AC26" s="164"/>
      <c r="AD26" s="309"/>
      <c r="AE26" s="309"/>
      <c r="AF26" s="309"/>
      <c r="AG26" s="309"/>
      <c r="AH26" s="164"/>
    </row>
    <row r="27" customFormat="false" ht="12" hidden="false" customHeight="false" outlineLevel="0" collapsed="false">
      <c r="A27" s="276"/>
      <c r="B27" s="316"/>
      <c r="C27" s="316"/>
      <c r="D27" s="177"/>
      <c r="E27" s="177"/>
      <c r="F27" s="177"/>
      <c r="G27" s="177"/>
      <c r="H27" s="313"/>
      <c r="I27" s="177"/>
      <c r="J27" s="177"/>
      <c r="K27" s="177"/>
      <c r="L27" s="179"/>
      <c r="M27" s="177"/>
      <c r="N27" s="313"/>
      <c r="O27" s="177"/>
      <c r="P27" s="177"/>
      <c r="Q27" s="177"/>
      <c r="R27" s="179"/>
      <c r="S27" s="177"/>
      <c r="T27" s="313"/>
      <c r="U27" s="177"/>
      <c r="V27" s="177"/>
      <c r="W27" s="177"/>
      <c r="X27" s="177"/>
      <c r="Y27" s="314"/>
      <c r="Z27" s="177"/>
      <c r="AA27" s="177"/>
      <c r="AB27" s="177"/>
      <c r="AC27" s="164"/>
      <c r="AD27" s="320"/>
      <c r="AE27" s="321"/>
      <c r="AF27" s="321"/>
      <c r="AG27" s="321"/>
      <c r="AH27" s="164"/>
    </row>
    <row r="28" customFormat="false" ht="12" hidden="false" customHeight="true" outlineLevel="0" collapsed="false">
      <c r="A28" s="276"/>
      <c r="B28" s="315" t="n">
        <f aca="false">Admin!B15</f>
        <v>46446</v>
      </c>
      <c r="C28" s="316"/>
      <c r="D28" s="191" t="n">
        <f aca="false">D26+F28-L28-R28-X28+Z26</f>
        <v>10000</v>
      </c>
      <c r="E28" s="177"/>
      <c r="F28" s="177" t="n">
        <f aca="false">IF((H$4+N$4+T$4)=0,0,[3]OpeningCreditors!$P$1)</f>
        <v>0</v>
      </c>
      <c r="G28" s="177"/>
      <c r="H28" s="317" t="n">
        <f aca="false">H26</f>
        <v>0</v>
      </c>
      <c r="I28" s="177"/>
      <c r="J28" s="177" t="n">
        <f aca="false">[2]Feb!$P$1</f>
        <v>26333.3333333333</v>
      </c>
      <c r="K28" s="177"/>
      <c r="L28" s="179" t="n">
        <f aca="false">J28*H28</f>
        <v>0</v>
      </c>
      <c r="M28" s="177"/>
      <c r="N28" s="317" t="n">
        <f aca="false">N26</f>
        <v>0</v>
      </c>
      <c r="O28" s="177"/>
      <c r="P28" s="177" t="n">
        <f aca="false">[2]Feb!$Q$1</f>
        <v>800</v>
      </c>
      <c r="Q28" s="177"/>
      <c r="R28" s="179" t="n">
        <f aca="false">P28*N28</f>
        <v>0</v>
      </c>
      <c r="S28" s="177"/>
      <c r="T28" s="317" t="n">
        <f aca="false">T26</f>
        <v>0</v>
      </c>
      <c r="U28" s="177"/>
      <c r="V28" s="177" t="n">
        <f aca="false">[2]Feb!$R$1</f>
        <v>1500</v>
      </c>
      <c r="W28" s="177"/>
      <c r="X28" s="177" t="n">
        <f aca="false">V28*T28</f>
        <v>0</v>
      </c>
      <c r="Y28" s="314"/>
      <c r="Z28" s="177" t="n">
        <f aca="false">IF(AB28&lt;&gt;D28,AB28-D28,0)</f>
        <v>0</v>
      </c>
      <c r="AA28" s="177"/>
      <c r="AB28" s="170" t="n">
        <f aca="false">AB26+F28-L28-R28-X28</f>
        <v>10000</v>
      </c>
      <c r="AC28" s="164"/>
      <c r="AD28" s="309" t="s">
        <v>399</v>
      </c>
      <c r="AE28" s="309"/>
      <c r="AF28" s="309"/>
      <c r="AG28" s="309"/>
      <c r="AH28" s="164"/>
    </row>
    <row r="29" customFormat="false" ht="12" hidden="false" customHeight="false" outlineLevel="0" collapsed="false">
      <c r="A29" s="276"/>
      <c r="B29" s="316"/>
      <c r="C29" s="316"/>
      <c r="D29" s="177"/>
      <c r="E29" s="177"/>
      <c r="F29" s="177"/>
      <c r="G29" s="177"/>
      <c r="H29" s="313"/>
      <c r="I29" s="177"/>
      <c r="J29" s="177"/>
      <c r="K29" s="177"/>
      <c r="L29" s="179"/>
      <c r="M29" s="177"/>
      <c r="N29" s="313"/>
      <c r="O29" s="177"/>
      <c r="P29" s="177"/>
      <c r="Q29" s="177"/>
      <c r="R29" s="179"/>
      <c r="S29" s="177"/>
      <c r="T29" s="313"/>
      <c r="U29" s="177"/>
      <c r="V29" s="177"/>
      <c r="W29" s="177"/>
      <c r="X29" s="177"/>
      <c r="Y29" s="314"/>
      <c r="Z29" s="177"/>
      <c r="AA29" s="177"/>
      <c r="AB29" s="177"/>
      <c r="AC29" s="164"/>
      <c r="AD29" s="309"/>
      <c r="AE29" s="309"/>
      <c r="AF29" s="309"/>
      <c r="AG29" s="309"/>
      <c r="AH29" s="164"/>
    </row>
    <row r="30" customFormat="false" ht="12" hidden="false" customHeight="false" outlineLevel="0" collapsed="false">
      <c r="A30" s="276"/>
      <c r="B30" s="315" t="n">
        <f aca="false">Admin!B17</f>
        <v>46482</v>
      </c>
      <c r="C30" s="316"/>
      <c r="D30" s="191" t="n">
        <f aca="false">D28+F30-L30-R30-X30+Z28</f>
        <v>10000</v>
      </c>
      <c r="E30" s="177"/>
      <c r="F30" s="177" t="n">
        <f aca="false">IF((H$4+N$4+T$4)=0,0,[3]Mar!$P$1)</f>
        <v>0</v>
      </c>
      <c r="G30" s="177"/>
      <c r="H30" s="317" t="n">
        <f aca="false">H28</f>
        <v>0</v>
      </c>
      <c r="I30" s="177"/>
      <c r="J30" s="177" t="n">
        <f aca="false">[2]Mar!$P$1</f>
        <v>25033.3333333333</v>
      </c>
      <c r="K30" s="177"/>
      <c r="L30" s="179" t="n">
        <f aca="false">J30*H30</f>
        <v>0</v>
      </c>
      <c r="M30" s="177"/>
      <c r="N30" s="317" t="n">
        <f aca="false">N28</f>
        <v>0</v>
      </c>
      <c r="O30" s="177"/>
      <c r="P30" s="177" t="n">
        <f aca="false">[2]Mar!$Q$1</f>
        <v>800</v>
      </c>
      <c r="Q30" s="177"/>
      <c r="R30" s="179" t="n">
        <f aca="false">P30*N30</f>
        <v>0</v>
      </c>
      <c r="S30" s="177"/>
      <c r="T30" s="317" t="n">
        <f aca="false">T28</f>
        <v>0</v>
      </c>
      <c r="U30" s="177"/>
      <c r="V30" s="177" t="n">
        <f aca="false">[2]Mar!$R$1</f>
        <v>0</v>
      </c>
      <c r="W30" s="177"/>
      <c r="X30" s="177" t="n">
        <f aca="false">V30*T30</f>
        <v>0</v>
      </c>
      <c r="Y30" s="314"/>
      <c r="Z30" s="177" t="n">
        <f aca="false">IF(AB30&lt;&gt;D30,AB30-D30,0)</f>
        <v>-4000</v>
      </c>
      <c r="AA30" s="177"/>
      <c r="AB30" s="170" t="n">
        <v>6000</v>
      </c>
      <c r="AC30" s="164"/>
      <c r="AD30" s="309"/>
      <c r="AE30" s="309"/>
      <c r="AF30" s="309"/>
      <c r="AG30" s="309"/>
      <c r="AH30" s="164"/>
    </row>
    <row r="31" customFormat="false" ht="12" hidden="false" customHeight="false" outlineLevel="0" collapsed="false">
      <c r="A31" s="279"/>
      <c r="B31" s="322"/>
      <c r="C31" s="322"/>
      <c r="D31" s="185"/>
      <c r="E31" s="185"/>
      <c r="F31" s="185"/>
      <c r="G31" s="185"/>
      <c r="H31" s="323"/>
      <c r="I31" s="185"/>
      <c r="J31" s="185"/>
      <c r="K31" s="185"/>
      <c r="L31" s="324"/>
      <c r="M31" s="185"/>
      <c r="N31" s="323"/>
      <c r="O31" s="185"/>
      <c r="P31" s="185"/>
      <c r="Q31" s="185"/>
      <c r="R31" s="324"/>
      <c r="S31" s="185"/>
      <c r="T31" s="323"/>
      <c r="U31" s="185"/>
      <c r="V31" s="185"/>
      <c r="W31" s="185"/>
      <c r="X31" s="185"/>
      <c r="Y31" s="325"/>
      <c r="Z31" s="185"/>
      <c r="AA31" s="185"/>
      <c r="AB31" s="185"/>
      <c r="AC31" s="186"/>
      <c r="AD31" s="326"/>
      <c r="AE31" s="327"/>
      <c r="AF31" s="327"/>
      <c r="AG31" s="327"/>
      <c r="AH31" s="186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54" width="1.66"/>
    <col collapsed="false" customWidth="true" hidden="false" outlineLevel="0" max="2" min="2" style="154" width="19.66"/>
    <col collapsed="false" customWidth="false" hidden="false" outlineLevel="0" max="3" min="3" style="154" width="9.15"/>
    <col collapsed="false" customWidth="true" hidden="false" outlineLevel="0" max="14" min="4" style="154" width="8.99"/>
    <col collapsed="false" customWidth="true" hidden="false" outlineLevel="0" max="15" min="15" style="154" width="9.82"/>
    <col collapsed="false" customWidth="true" hidden="false" outlineLevel="0" max="16" min="16" style="154" width="1.66"/>
    <col collapsed="false" customWidth="false" hidden="false" outlineLevel="0" max="257" min="17" style="154" width="9.15"/>
  </cols>
  <sheetData>
    <row r="1" customFormat="false" ht="6" hidden="false" customHeight="true" outlineLevel="0" collapsed="false">
      <c r="A1" s="158"/>
      <c r="B1" s="328"/>
      <c r="C1" s="329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customFormat="false" ht="12" hidden="false" customHeight="true" outlineLevel="0" collapsed="false">
      <c r="A2" s="158"/>
      <c r="B2" s="330" t="s">
        <v>400</v>
      </c>
      <c r="C2" s="161" t="s">
        <v>270</v>
      </c>
      <c r="D2" s="162" t="n">
        <f aca="false">Admin!B5</f>
        <v>46142</v>
      </c>
      <c r="E2" s="163" t="n">
        <f aca="false">Admin!B6</f>
        <v>46173</v>
      </c>
      <c r="F2" s="163" t="n">
        <f aca="false">Admin!B7</f>
        <v>46203</v>
      </c>
      <c r="G2" s="163" t="n">
        <f aca="false">Admin!B8</f>
        <v>46234</v>
      </c>
      <c r="H2" s="163" t="n">
        <f aca="false">Admin!B9</f>
        <v>46265</v>
      </c>
      <c r="I2" s="163" t="n">
        <f aca="false">Admin!B10</f>
        <v>46295</v>
      </c>
      <c r="J2" s="163" t="n">
        <f aca="false">Admin!B11</f>
        <v>46326</v>
      </c>
      <c r="K2" s="163" t="n">
        <f aca="false">Admin!B12</f>
        <v>46356</v>
      </c>
      <c r="L2" s="163" t="n">
        <f aca="false">Admin!B13</f>
        <v>46387</v>
      </c>
      <c r="M2" s="163" t="n">
        <f aca="false">Admin!B14</f>
        <v>46418</v>
      </c>
      <c r="N2" s="163" t="n">
        <f aca="false">Admin!B15</f>
        <v>46446</v>
      </c>
      <c r="O2" s="163" t="n">
        <f aca="false">Admin!B16</f>
        <v>46477</v>
      </c>
      <c r="P2" s="158"/>
    </row>
    <row r="3" customFormat="false" ht="12" hidden="false" customHeight="true" outlineLevel="0" collapsed="false">
      <c r="A3" s="158"/>
      <c r="B3" s="330"/>
      <c r="C3" s="165" t="n">
        <f aca="false">Admin!B$17</f>
        <v>46482</v>
      </c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58"/>
    </row>
    <row r="4" customFormat="false" ht="12" hidden="false" customHeight="false" outlineLevel="0" collapsed="false">
      <c r="A4" s="158"/>
      <c r="B4" s="330"/>
      <c r="C4" s="331" t="s">
        <v>33</v>
      </c>
      <c r="D4" s="166" t="s">
        <v>33</v>
      </c>
      <c r="E4" s="166" t="s">
        <v>33</v>
      </c>
      <c r="F4" s="166" t="s">
        <v>33</v>
      </c>
      <c r="G4" s="166" t="s">
        <v>33</v>
      </c>
      <c r="H4" s="166" t="s">
        <v>33</v>
      </c>
      <c r="I4" s="166" t="s">
        <v>33</v>
      </c>
      <c r="J4" s="166" t="s">
        <v>33</v>
      </c>
      <c r="K4" s="166" t="s">
        <v>33</v>
      </c>
      <c r="L4" s="166" t="s">
        <v>33</v>
      </c>
      <c r="M4" s="166" t="s">
        <v>33</v>
      </c>
      <c r="N4" s="168" t="s">
        <v>33</v>
      </c>
      <c r="O4" s="166" t="s">
        <v>33</v>
      </c>
      <c r="P4" s="158"/>
    </row>
    <row r="5" customFormat="false" ht="12" hidden="false" customHeight="false" outlineLevel="0" collapsed="false">
      <c r="A5" s="178"/>
      <c r="B5" s="332" t="s">
        <v>275</v>
      </c>
      <c r="C5" s="170" t="n">
        <f aca="false">SUM(D5:O5)</f>
        <v>339200</v>
      </c>
      <c r="D5" s="170" t="n">
        <f aca="false">'Profit &amp; Loss Account'!C9</f>
        <v>27833.3333333333</v>
      </c>
      <c r="E5" s="170" t="n">
        <f aca="false">'Profit &amp; Loss Account'!D9</f>
        <v>27433.3333333333</v>
      </c>
      <c r="F5" s="170" t="n">
        <f aca="false">'Profit &amp; Loss Account'!E9</f>
        <v>29333.3333333333</v>
      </c>
      <c r="G5" s="170" t="n">
        <f aca="false">'Profit &amp; Loss Account'!F9</f>
        <v>28133.3333333333</v>
      </c>
      <c r="H5" s="170" t="n">
        <f aca="false">'Profit &amp; Loss Account'!G9</f>
        <v>27933.3333333333</v>
      </c>
      <c r="I5" s="170" t="n">
        <f aca="false">'Profit &amp; Loss Account'!H9</f>
        <v>28133.3333333333</v>
      </c>
      <c r="J5" s="170" t="n">
        <f aca="false">'Profit &amp; Loss Account'!I9</f>
        <v>29633.3333333333</v>
      </c>
      <c r="K5" s="170" t="n">
        <f aca="false">'Profit &amp; Loss Account'!J9</f>
        <v>29433.3333333333</v>
      </c>
      <c r="L5" s="170" t="n">
        <f aca="false">'Profit &amp; Loss Account'!K9</f>
        <v>27333.3333333333</v>
      </c>
      <c r="M5" s="170" t="n">
        <f aca="false">'Profit &amp; Loss Account'!L9</f>
        <v>29533.3333333333</v>
      </c>
      <c r="N5" s="170" t="n">
        <f aca="false">'Profit &amp; Loss Account'!M9</f>
        <v>28633.3333333333</v>
      </c>
      <c r="O5" s="170" t="n">
        <f aca="false">'Profit &amp; Loss Account'!N9</f>
        <v>25833.3333333333</v>
      </c>
      <c r="P5" s="178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6"/>
      <c r="BN5" s="176"/>
      <c r="BO5" s="176"/>
      <c r="BP5" s="176"/>
      <c r="BQ5" s="176"/>
      <c r="BR5" s="176"/>
      <c r="BS5" s="176"/>
      <c r="BT5" s="176"/>
      <c r="BU5" s="176"/>
      <c r="BV5" s="176"/>
      <c r="BW5" s="176"/>
      <c r="BX5" s="176"/>
      <c r="BY5" s="176"/>
      <c r="BZ5" s="176"/>
      <c r="CA5" s="176"/>
      <c r="CB5" s="176"/>
      <c r="CC5" s="176"/>
      <c r="CD5" s="176"/>
      <c r="CE5" s="176"/>
      <c r="CF5" s="176"/>
      <c r="CG5" s="176"/>
      <c r="CH5" s="176"/>
      <c r="CI5" s="176"/>
      <c r="CJ5" s="176"/>
      <c r="CK5" s="176"/>
      <c r="CL5" s="176"/>
      <c r="CM5" s="176"/>
      <c r="CN5" s="176"/>
      <c r="CO5" s="176"/>
      <c r="CP5" s="176"/>
      <c r="CQ5" s="176"/>
      <c r="CR5" s="176"/>
      <c r="CS5" s="176"/>
      <c r="CT5" s="176"/>
      <c r="CU5" s="176"/>
      <c r="CV5" s="176"/>
      <c r="CW5" s="176"/>
      <c r="CX5" s="176"/>
      <c r="CY5" s="176"/>
      <c r="CZ5" s="176"/>
      <c r="DA5" s="176"/>
      <c r="DB5" s="176"/>
      <c r="DC5" s="176"/>
      <c r="DD5" s="176"/>
      <c r="DE5" s="176"/>
      <c r="DF5" s="176"/>
      <c r="DG5" s="176"/>
      <c r="DH5" s="176"/>
      <c r="DI5" s="176"/>
      <c r="DJ5" s="176"/>
      <c r="DK5" s="176"/>
      <c r="DL5" s="176"/>
      <c r="DM5" s="176"/>
      <c r="DN5" s="176"/>
      <c r="DO5" s="176"/>
      <c r="DP5" s="176"/>
      <c r="DQ5" s="176"/>
      <c r="DR5" s="176"/>
      <c r="DS5" s="176"/>
      <c r="DT5" s="176"/>
      <c r="DU5" s="176"/>
      <c r="DV5" s="176"/>
      <c r="DW5" s="176"/>
      <c r="DX5" s="176"/>
      <c r="DY5" s="176"/>
      <c r="DZ5" s="176"/>
      <c r="EA5" s="176"/>
      <c r="EB5" s="176"/>
      <c r="EC5" s="176"/>
      <c r="ED5" s="176"/>
      <c r="EE5" s="176"/>
      <c r="EF5" s="176"/>
      <c r="EG5" s="176"/>
      <c r="EH5" s="176"/>
      <c r="EI5" s="176"/>
      <c r="EJ5" s="176"/>
      <c r="EK5" s="176"/>
      <c r="EL5" s="176"/>
      <c r="EM5" s="176"/>
      <c r="EN5" s="176"/>
      <c r="EO5" s="176"/>
      <c r="EP5" s="176"/>
      <c r="EQ5" s="176"/>
      <c r="ER5" s="176"/>
      <c r="ES5" s="176"/>
      <c r="ET5" s="176"/>
      <c r="EU5" s="176"/>
      <c r="EV5" s="176"/>
      <c r="EW5" s="176"/>
      <c r="EX5" s="176"/>
      <c r="EY5" s="176"/>
      <c r="EZ5" s="176"/>
      <c r="FA5" s="176"/>
      <c r="FB5" s="176"/>
      <c r="FC5" s="176"/>
      <c r="FD5" s="176"/>
      <c r="FE5" s="176"/>
      <c r="FF5" s="176"/>
      <c r="FG5" s="176"/>
      <c r="FH5" s="176"/>
      <c r="FI5" s="176"/>
      <c r="FJ5" s="176"/>
      <c r="FK5" s="176"/>
      <c r="FL5" s="176"/>
      <c r="FM5" s="176"/>
      <c r="FN5" s="176"/>
      <c r="FO5" s="176"/>
      <c r="FP5" s="176"/>
      <c r="FQ5" s="176"/>
      <c r="FR5" s="176"/>
      <c r="FS5" s="176"/>
      <c r="FT5" s="176"/>
      <c r="FU5" s="176"/>
      <c r="FV5" s="176"/>
      <c r="FW5" s="176"/>
      <c r="FX5" s="176"/>
      <c r="FY5" s="176"/>
      <c r="FZ5" s="176"/>
      <c r="GA5" s="176"/>
      <c r="GB5" s="176"/>
      <c r="GC5" s="176"/>
      <c r="GD5" s="176"/>
      <c r="GE5" s="176"/>
      <c r="GF5" s="176"/>
      <c r="GG5" s="176"/>
      <c r="GH5" s="176"/>
      <c r="GI5" s="176"/>
      <c r="GJ5" s="176"/>
      <c r="GK5" s="176"/>
      <c r="GL5" s="176"/>
      <c r="GM5" s="176"/>
      <c r="GN5" s="176"/>
      <c r="GO5" s="176"/>
      <c r="GP5" s="176"/>
      <c r="GQ5" s="176"/>
      <c r="GR5" s="176"/>
      <c r="GS5" s="176"/>
      <c r="GT5" s="176"/>
      <c r="GU5" s="176"/>
      <c r="GV5" s="176"/>
      <c r="GW5" s="176"/>
      <c r="GX5" s="176"/>
      <c r="GY5" s="176"/>
      <c r="GZ5" s="176"/>
      <c r="HA5" s="176"/>
      <c r="HB5" s="176"/>
      <c r="HC5" s="176"/>
      <c r="HD5" s="176"/>
      <c r="HE5" s="176"/>
      <c r="HF5" s="176"/>
      <c r="HG5" s="176"/>
      <c r="HH5" s="176"/>
      <c r="HI5" s="176"/>
      <c r="HJ5" s="176"/>
      <c r="HK5" s="176"/>
      <c r="HL5" s="176"/>
      <c r="HM5" s="176"/>
      <c r="HN5" s="176"/>
      <c r="HO5" s="176"/>
      <c r="HP5" s="176"/>
      <c r="HQ5" s="176"/>
      <c r="HR5" s="176"/>
      <c r="HS5" s="176"/>
      <c r="HT5" s="176"/>
      <c r="HU5" s="176"/>
      <c r="HV5" s="176"/>
      <c r="HW5" s="176"/>
      <c r="HX5" s="176"/>
      <c r="HY5" s="176"/>
      <c r="HZ5" s="176"/>
      <c r="IA5" s="176"/>
      <c r="IB5" s="176"/>
      <c r="IC5" s="176"/>
      <c r="ID5" s="176"/>
      <c r="IE5" s="176"/>
      <c r="IF5" s="176"/>
      <c r="IG5" s="176"/>
      <c r="IH5" s="176"/>
      <c r="II5" s="176"/>
      <c r="IJ5" s="176"/>
      <c r="IK5" s="176"/>
      <c r="IL5" s="176"/>
      <c r="IM5" s="176"/>
      <c r="IN5" s="176"/>
      <c r="IO5" s="176"/>
      <c r="IP5" s="176"/>
      <c r="IQ5" s="176"/>
      <c r="IR5" s="176"/>
      <c r="IS5" s="176"/>
      <c r="IT5" s="176"/>
      <c r="IU5" s="176"/>
      <c r="IV5" s="176"/>
      <c r="IW5" s="176"/>
    </row>
    <row r="6" customFormat="false" ht="6" hidden="false" customHeight="true" outlineLevel="0" collapsed="false">
      <c r="A6" s="178"/>
      <c r="B6" s="333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8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 s="176"/>
      <c r="BT6" s="176"/>
      <c r="BU6" s="176"/>
      <c r="BV6" s="176"/>
      <c r="BW6" s="176"/>
      <c r="BX6" s="176"/>
      <c r="BY6" s="176"/>
      <c r="BZ6" s="176"/>
      <c r="CA6" s="176"/>
      <c r="CB6" s="176"/>
      <c r="CC6" s="176"/>
      <c r="CD6" s="176"/>
      <c r="CE6" s="176"/>
      <c r="CF6" s="176"/>
      <c r="CG6" s="176"/>
      <c r="CH6" s="176"/>
      <c r="CI6" s="176"/>
      <c r="CJ6" s="176"/>
      <c r="CK6" s="176"/>
      <c r="CL6" s="176"/>
      <c r="CM6" s="176"/>
      <c r="CN6" s="176"/>
      <c r="CO6" s="176"/>
      <c r="CP6" s="176"/>
      <c r="CQ6" s="176"/>
      <c r="CR6" s="176"/>
      <c r="CS6" s="176"/>
      <c r="CT6" s="176"/>
      <c r="CU6" s="176"/>
      <c r="CV6" s="176"/>
      <c r="CW6" s="176"/>
      <c r="CX6" s="176"/>
      <c r="CY6" s="176"/>
      <c r="CZ6" s="176"/>
      <c r="DA6" s="176"/>
      <c r="DB6" s="176"/>
      <c r="DC6" s="176"/>
      <c r="DD6" s="176"/>
      <c r="DE6" s="176"/>
      <c r="DF6" s="176"/>
      <c r="DG6" s="176"/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  <c r="DS6" s="176"/>
      <c r="DT6" s="176"/>
      <c r="DU6" s="176"/>
      <c r="DV6" s="176"/>
      <c r="DW6" s="176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6"/>
      <c r="EL6" s="176"/>
      <c r="EM6" s="176"/>
      <c r="EN6" s="176"/>
      <c r="EO6" s="176"/>
      <c r="EP6" s="176"/>
      <c r="EQ6" s="176"/>
      <c r="ER6" s="176"/>
      <c r="ES6" s="176"/>
      <c r="ET6" s="176"/>
      <c r="EU6" s="176"/>
      <c r="EV6" s="176"/>
      <c r="EW6" s="176"/>
      <c r="EX6" s="176"/>
      <c r="EY6" s="176"/>
      <c r="EZ6" s="176"/>
      <c r="FA6" s="176"/>
      <c r="FB6" s="176"/>
      <c r="FC6" s="176"/>
      <c r="FD6" s="176"/>
      <c r="FE6" s="176"/>
      <c r="FF6" s="176"/>
      <c r="FG6" s="176"/>
      <c r="FH6" s="176"/>
      <c r="FI6" s="176"/>
      <c r="FJ6" s="176"/>
      <c r="FK6" s="176"/>
      <c r="FL6" s="176"/>
      <c r="FM6" s="176"/>
      <c r="FN6" s="176"/>
      <c r="FO6" s="176"/>
      <c r="FP6" s="176"/>
      <c r="FQ6" s="176"/>
      <c r="FR6" s="176"/>
      <c r="FS6" s="176"/>
      <c r="FT6" s="176"/>
      <c r="FU6" s="176"/>
      <c r="FV6" s="176"/>
      <c r="FW6" s="176"/>
      <c r="FX6" s="176"/>
      <c r="FY6" s="176"/>
      <c r="FZ6" s="176"/>
      <c r="GA6" s="176"/>
      <c r="GB6" s="176"/>
      <c r="GC6" s="176"/>
      <c r="GD6" s="176"/>
      <c r="GE6" s="176"/>
      <c r="GF6" s="176"/>
      <c r="GG6" s="176"/>
      <c r="GH6" s="176"/>
      <c r="GI6" s="176"/>
      <c r="GJ6" s="176"/>
      <c r="GK6" s="176"/>
      <c r="GL6" s="176"/>
      <c r="GM6" s="176"/>
      <c r="GN6" s="176"/>
      <c r="GO6" s="176"/>
      <c r="GP6" s="176"/>
      <c r="GQ6" s="176"/>
      <c r="GR6" s="176"/>
      <c r="GS6" s="176"/>
      <c r="GT6" s="176"/>
      <c r="GU6" s="176"/>
      <c r="GV6" s="176"/>
      <c r="GW6" s="176"/>
      <c r="GX6" s="176"/>
      <c r="GY6" s="176"/>
      <c r="GZ6" s="176"/>
      <c r="HA6" s="176"/>
      <c r="HB6" s="176"/>
      <c r="HC6" s="176"/>
      <c r="HD6" s="176"/>
      <c r="HE6" s="176"/>
      <c r="HF6" s="176"/>
      <c r="HG6" s="176"/>
      <c r="HH6" s="176"/>
      <c r="HI6" s="176"/>
      <c r="HJ6" s="176"/>
      <c r="HK6" s="176"/>
      <c r="HL6" s="176"/>
      <c r="HM6" s="176"/>
      <c r="HN6" s="176"/>
      <c r="HO6" s="176"/>
      <c r="HP6" s="176"/>
      <c r="HQ6" s="176"/>
      <c r="HR6" s="176"/>
      <c r="HS6" s="176"/>
      <c r="HT6" s="176"/>
      <c r="HU6" s="176"/>
      <c r="HV6" s="176"/>
      <c r="HW6" s="176"/>
      <c r="HX6" s="176"/>
      <c r="HY6" s="176"/>
      <c r="HZ6" s="176"/>
      <c r="IA6" s="176"/>
      <c r="IB6" s="176"/>
      <c r="IC6" s="176"/>
      <c r="ID6" s="176"/>
      <c r="IE6" s="176"/>
      <c r="IF6" s="176"/>
      <c r="IG6" s="176"/>
      <c r="IH6" s="176"/>
      <c r="II6" s="176"/>
      <c r="IJ6" s="176"/>
      <c r="IK6" s="176"/>
      <c r="IL6" s="176"/>
      <c r="IM6" s="176"/>
      <c r="IN6" s="176"/>
      <c r="IO6" s="176"/>
      <c r="IP6" s="176"/>
      <c r="IQ6" s="176"/>
      <c r="IR6" s="176"/>
      <c r="IS6" s="176"/>
      <c r="IT6" s="176"/>
      <c r="IU6" s="176"/>
      <c r="IV6" s="176"/>
      <c r="IW6" s="176"/>
    </row>
    <row r="7" customFormat="false" ht="12" hidden="false" customHeight="false" outlineLevel="0" collapsed="false">
      <c r="A7" s="158"/>
      <c r="B7" s="334" t="s">
        <v>401</v>
      </c>
      <c r="C7" s="170" t="n">
        <f aca="false">SUM(D7:O7)</f>
        <v>2083.33333333333</v>
      </c>
      <c r="D7" s="171" t="n">
        <f aca="false">'Profit &amp; Loss Account'!C11</f>
        <v>0</v>
      </c>
      <c r="E7" s="171" t="n">
        <f aca="false">'Profit &amp; Loss Account'!D11</f>
        <v>0</v>
      </c>
      <c r="F7" s="171" t="n">
        <f aca="false">'Profit &amp; Loss Account'!E11</f>
        <v>0</v>
      </c>
      <c r="G7" s="171" t="n">
        <f aca="false">'Profit &amp; Loss Account'!F11</f>
        <v>0</v>
      </c>
      <c r="H7" s="171" t="n">
        <f aca="false">'Profit &amp; Loss Account'!G11</f>
        <v>2083.33333333333</v>
      </c>
      <c r="I7" s="171" t="n">
        <f aca="false">'Profit &amp; Loss Account'!H11</f>
        <v>0</v>
      </c>
      <c r="J7" s="171" t="n">
        <f aca="false">'Profit &amp; Loss Account'!I11</f>
        <v>0</v>
      </c>
      <c r="K7" s="171" t="n">
        <f aca="false">'Profit &amp; Loss Account'!J11</f>
        <v>0</v>
      </c>
      <c r="L7" s="171" t="n">
        <f aca="false">'Profit &amp; Loss Account'!K11</f>
        <v>0</v>
      </c>
      <c r="M7" s="171" t="n">
        <f aca="false">'Profit &amp; Loss Account'!L11</f>
        <v>0</v>
      </c>
      <c r="N7" s="171" t="n">
        <f aca="false">'Profit &amp; Loss Account'!M11</f>
        <v>0</v>
      </c>
      <c r="O7" s="171" t="n">
        <f aca="false">'Profit &amp; Loss Account'!N11</f>
        <v>0</v>
      </c>
      <c r="P7" s="158"/>
    </row>
    <row r="8" customFormat="false" ht="6" hidden="false" customHeight="true" outlineLevel="0" collapsed="false">
      <c r="A8" s="158"/>
      <c r="B8" s="33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58"/>
    </row>
    <row r="9" customFormat="false" ht="12" hidden="false" customHeight="false" outlineLevel="0" collapsed="false">
      <c r="A9" s="178"/>
      <c r="B9" s="333" t="s">
        <v>281</v>
      </c>
      <c r="C9" s="170" t="n">
        <f aca="false">SUM(D9:O9)</f>
        <v>20136.6666666667</v>
      </c>
      <c r="D9" s="170" t="n">
        <f aca="false">'Profit &amp; Loss Account'!C17</f>
        <v>737.5</v>
      </c>
      <c r="E9" s="170" t="n">
        <f aca="false">'Profit &amp; Loss Account'!D17</f>
        <v>1007.5</v>
      </c>
      <c r="F9" s="170" t="n">
        <f aca="false">'Profit &amp; Loss Account'!E17</f>
        <v>4704.16666666667</v>
      </c>
      <c r="G9" s="170" t="n">
        <f aca="false">'Profit &amp; Loss Account'!F17</f>
        <v>1207.5</v>
      </c>
      <c r="H9" s="170" t="n">
        <f aca="false">'Profit &amp; Loss Account'!G17</f>
        <v>687.5</v>
      </c>
      <c r="I9" s="170" t="n">
        <f aca="false">'Profit &amp; Loss Account'!H17</f>
        <v>707.5</v>
      </c>
      <c r="J9" s="170" t="n">
        <f aca="false">'Profit &amp; Loss Account'!I17</f>
        <v>637.5</v>
      </c>
      <c r="K9" s="170" t="n">
        <f aca="false">'Profit &amp; Loss Account'!J17</f>
        <v>3407.5</v>
      </c>
      <c r="L9" s="170" t="n">
        <f aca="false">'Profit &amp; Loss Account'!K17</f>
        <v>637.5</v>
      </c>
      <c r="M9" s="170" t="n">
        <f aca="false">'Profit &amp; Loss Account'!L17</f>
        <v>857.5</v>
      </c>
      <c r="N9" s="170" t="n">
        <f aca="false">'Profit &amp; Loss Account'!M17</f>
        <v>1087.5</v>
      </c>
      <c r="O9" s="170" t="n">
        <f aca="false">'Profit &amp; Loss Account'!N17</f>
        <v>4457.5</v>
      </c>
      <c r="P9" s="178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6"/>
      <c r="BN9" s="176"/>
      <c r="BO9" s="176"/>
      <c r="BP9" s="176"/>
      <c r="BQ9" s="176"/>
      <c r="BR9" s="176"/>
      <c r="BS9" s="176"/>
      <c r="BT9" s="176"/>
      <c r="BU9" s="176"/>
      <c r="BV9" s="176"/>
      <c r="BW9" s="176"/>
      <c r="BX9" s="176"/>
      <c r="BY9" s="176"/>
      <c r="BZ9" s="176"/>
      <c r="CA9" s="176"/>
      <c r="CB9" s="176"/>
      <c r="CC9" s="176"/>
      <c r="CD9" s="176"/>
      <c r="CE9" s="176"/>
      <c r="CF9" s="176"/>
      <c r="CG9" s="176"/>
      <c r="CH9" s="176"/>
      <c r="CI9" s="176"/>
      <c r="CJ9" s="176"/>
      <c r="CK9" s="176"/>
      <c r="CL9" s="176"/>
      <c r="CM9" s="176"/>
      <c r="CN9" s="176"/>
      <c r="CO9" s="176"/>
      <c r="CP9" s="176"/>
      <c r="CQ9" s="176"/>
      <c r="CR9" s="176"/>
      <c r="CS9" s="176"/>
      <c r="CT9" s="176"/>
      <c r="CU9" s="176"/>
      <c r="CV9" s="176"/>
      <c r="CW9" s="176"/>
      <c r="CX9" s="176"/>
      <c r="CY9" s="176"/>
      <c r="CZ9" s="176"/>
      <c r="DA9" s="176"/>
      <c r="DB9" s="176"/>
      <c r="DC9" s="176"/>
      <c r="DD9" s="176"/>
      <c r="DE9" s="176"/>
      <c r="DF9" s="176"/>
      <c r="DG9" s="176"/>
      <c r="DH9" s="176"/>
      <c r="DI9" s="176"/>
      <c r="DJ9" s="176"/>
      <c r="DK9" s="176"/>
      <c r="DL9" s="176"/>
      <c r="DM9" s="176"/>
      <c r="DN9" s="176"/>
      <c r="DO9" s="176"/>
      <c r="DP9" s="176"/>
      <c r="DQ9" s="176"/>
      <c r="DR9" s="176"/>
      <c r="DS9" s="176"/>
      <c r="DT9" s="176"/>
      <c r="DU9" s="176"/>
      <c r="DV9" s="176"/>
      <c r="DW9" s="176"/>
      <c r="DX9" s="176"/>
      <c r="DY9" s="176"/>
      <c r="DZ9" s="176"/>
      <c r="EA9" s="176"/>
      <c r="EB9" s="176"/>
      <c r="EC9" s="176"/>
      <c r="ED9" s="176"/>
      <c r="EE9" s="176"/>
      <c r="EF9" s="176"/>
      <c r="EG9" s="176"/>
      <c r="EH9" s="176"/>
      <c r="EI9" s="176"/>
      <c r="EJ9" s="176"/>
      <c r="EK9" s="176"/>
      <c r="EL9" s="176"/>
      <c r="EM9" s="176"/>
      <c r="EN9" s="176"/>
      <c r="EO9" s="176"/>
      <c r="EP9" s="176"/>
      <c r="EQ9" s="176"/>
      <c r="ER9" s="176"/>
      <c r="ES9" s="176"/>
      <c r="ET9" s="176"/>
      <c r="EU9" s="176"/>
      <c r="EV9" s="176"/>
      <c r="EW9" s="176"/>
      <c r="EX9" s="176"/>
      <c r="EY9" s="176"/>
      <c r="EZ9" s="176"/>
      <c r="FA9" s="176"/>
      <c r="FB9" s="176"/>
      <c r="FC9" s="176"/>
      <c r="FD9" s="176"/>
      <c r="FE9" s="176"/>
      <c r="FF9" s="176"/>
      <c r="FG9" s="176"/>
      <c r="FH9" s="176"/>
      <c r="FI9" s="176"/>
      <c r="FJ9" s="176"/>
      <c r="FK9" s="176"/>
      <c r="FL9" s="176"/>
      <c r="FM9" s="176"/>
      <c r="FN9" s="176"/>
      <c r="FO9" s="176"/>
      <c r="FP9" s="176"/>
      <c r="FQ9" s="176"/>
      <c r="FR9" s="176"/>
      <c r="FS9" s="176"/>
      <c r="FT9" s="176"/>
      <c r="FU9" s="176"/>
      <c r="FV9" s="176"/>
      <c r="FW9" s="176"/>
      <c r="FX9" s="176"/>
      <c r="FY9" s="176"/>
      <c r="FZ9" s="176"/>
      <c r="GA9" s="176"/>
      <c r="GB9" s="176"/>
      <c r="GC9" s="176"/>
      <c r="GD9" s="176"/>
      <c r="GE9" s="176"/>
      <c r="GF9" s="176"/>
      <c r="GG9" s="176"/>
      <c r="GH9" s="176"/>
      <c r="GI9" s="176"/>
      <c r="GJ9" s="176"/>
      <c r="GK9" s="176"/>
      <c r="GL9" s="176"/>
      <c r="GM9" s="176"/>
      <c r="GN9" s="176"/>
      <c r="GO9" s="176"/>
      <c r="GP9" s="176"/>
      <c r="GQ9" s="176"/>
      <c r="GR9" s="176"/>
      <c r="GS9" s="176"/>
      <c r="GT9" s="176"/>
      <c r="GU9" s="176"/>
      <c r="GV9" s="176"/>
      <c r="GW9" s="176"/>
      <c r="GX9" s="176"/>
      <c r="GY9" s="176"/>
      <c r="GZ9" s="176"/>
      <c r="HA9" s="176"/>
      <c r="HB9" s="176"/>
      <c r="HC9" s="176"/>
      <c r="HD9" s="176"/>
      <c r="HE9" s="176"/>
      <c r="HF9" s="176"/>
      <c r="HG9" s="176"/>
      <c r="HH9" s="176"/>
      <c r="HI9" s="176"/>
      <c r="HJ9" s="176"/>
      <c r="HK9" s="176"/>
      <c r="HL9" s="176"/>
      <c r="HM9" s="176"/>
      <c r="HN9" s="176"/>
      <c r="HO9" s="176"/>
      <c r="HP9" s="176"/>
      <c r="HQ9" s="176"/>
      <c r="HR9" s="176"/>
      <c r="HS9" s="176"/>
      <c r="HT9" s="176"/>
      <c r="HU9" s="176"/>
      <c r="HV9" s="176"/>
      <c r="HW9" s="176"/>
      <c r="HX9" s="176"/>
      <c r="HY9" s="176"/>
      <c r="HZ9" s="176"/>
      <c r="IA9" s="176"/>
      <c r="IB9" s="176"/>
      <c r="IC9" s="176"/>
      <c r="ID9" s="176"/>
      <c r="IE9" s="176"/>
      <c r="IF9" s="176"/>
      <c r="IG9" s="176"/>
      <c r="IH9" s="176"/>
      <c r="II9" s="176"/>
      <c r="IJ9" s="176"/>
      <c r="IK9" s="176"/>
      <c r="IL9" s="176"/>
      <c r="IM9" s="176"/>
      <c r="IN9" s="176"/>
      <c r="IO9" s="176"/>
      <c r="IP9" s="176"/>
      <c r="IQ9" s="176"/>
      <c r="IR9" s="176"/>
      <c r="IS9" s="176"/>
      <c r="IT9" s="176"/>
      <c r="IU9" s="176"/>
      <c r="IV9" s="176"/>
      <c r="IW9" s="176"/>
    </row>
    <row r="10" customFormat="false" ht="6" hidden="false" customHeight="true" outlineLevel="0" collapsed="false">
      <c r="A10" s="178"/>
      <c r="B10" s="333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8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6"/>
      <c r="BN10" s="176"/>
      <c r="BO10" s="176"/>
      <c r="BP10" s="176"/>
      <c r="BQ10" s="176"/>
      <c r="BR10" s="176"/>
      <c r="BS10" s="176"/>
      <c r="BT10" s="176"/>
      <c r="BU10" s="176"/>
      <c r="BV10" s="176"/>
      <c r="BW10" s="176"/>
      <c r="BX10" s="176"/>
      <c r="BY10" s="176"/>
      <c r="BZ10" s="176"/>
      <c r="CA10" s="176"/>
      <c r="CB10" s="176"/>
      <c r="CC10" s="176"/>
      <c r="CD10" s="176"/>
      <c r="CE10" s="176"/>
      <c r="CF10" s="176"/>
      <c r="CG10" s="176"/>
      <c r="CH10" s="176"/>
      <c r="CI10" s="176"/>
      <c r="CJ10" s="176"/>
      <c r="CK10" s="176"/>
      <c r="CL10" s="176"/>
      <c r="CM10" s="176"/>
      <c r="CN10" s="176"/>
      <c r="CO10" s="176"/>
      <c r="CP10" s="176"/>
      <c r="CQ10" s="176"/>
      <c r="CR10" s="176"/>
      <c r="CS10" s="176"/>
      <c r="CT10" s="176"/>
      <c r="CU10" s="176"/>
      <c r="CV10" s="176"/>
      <c r="CW10" s="176"/>
      <c r="CX10" s="176"/>
      <c r="CY10" s="176"/>
      <c r="CZ10" s="176"/>
      <c r="DA10" s="176"/>
      <c r="DB10" s="176"/>
      <c r="DC10" s="176"/>
      <c r="DD10" s="176"/>
      <c r="DE10" s="176"/>
      <c r="DF10" s="176"/>
      <c r="DG10" s="176"/>
      <c r="DH10" s="176"/>
      <c r="DI10" s="176"/>
      <c r="DJ10" s="176"/>
      <c r="DK10" s="176"/>
      <c r="DL10" s="176"/>
      <c r="DM10" s="176"/>
      <c r="DN10" s="176"/>
      <c r="DO10" s="176"/>
      <c r="DP10" s="176"/>
      <c r="DQ10" s="176"/>
      <c r="DR10" s="176"/>
      <c r="DS10" s="176"/>
      <c r="DT10" s="176"/>
      <c r="DU10" s="176"/>
      <c r="DV10" s="176"/>
      <c r="DW10" s="176"/>
      <c r="DX10" s="176"/>
      <c r="DY10" s="176"/>
      <c r="DZ10" s="176"/>
      <c r="EA10" s="176"/>
      <c r="EB10" s="176"/>
      <c r="EC10" s="176"/>
      <c r="ED10" s="176"/>
      <c r="EE10" s="176"/>
      <c r="EF10" s="176"/>
      <c r="EG10" s="176"/>
      <c r="EH10" s="176"/>
      <c r="EI10" s="176"/>
      <c r="EJ10" s="176"/>
      <c r="EK10" s="176"/>
      <c r="EL10" s="176"/>
      <c r="EM10" s="176"/>
      <c r="EN10" s="176"/>
      <c r="EO10" s="176"/>
      <c r="EP10" s="176"/>
      <c r="EQ10" s="176"/>
      <c r="ER10" s="176"/>
      <c r="ES10" s="176"/>
      <c r="ET10" s="176"/>
      <c r="EU10" s="176"/>
      <c r="EV10" s="176"/>
      <c r="EW10" s="176"/>
      <c r="EX10" s="176"/>
      <c r="EY10" s="176"/>
      <c r="EZ10" s="176"/>
      <c r="FA10" s="176"/>
      <c r="FB10" s="176"/>
      <c r="FC10" s="176"/>
      <c r="FD10" s="176"/>
      <c r="FE10" s="176"/>
      <c r="FF10" s="176"/>
      <c r="FG10" s="176"/>
      <c r="FH10" s="176"/>
      <c r="FI10" s="176"/>
      <c r="FJ10" s="176"/>
      <c r="FK10" s="176"/>
      <c r="FL10" s="176"/>
      <c r="FM10" s="176"/>
      <c r="FN10" s="176"/>
      <c r="FO10" s="176"/>
      <c r="FP10" s="176"/>
      <c r="FQ10" s="176"/>
      <c r="FR10" s="176"/>
      <c r="FS10" s="176"/>
      <c r="FT10" s="176"/>
      <c r="FU10" s="176"/>
      <c r="FV10" s="176"/>
      <c r="FW10" s="176"/>
      <c r="FX10" s="176"/>
      <c r="FY10" s="176"/>
      <c r="FZ10" s="176"/>
      <c r="GA10" s="176"/>
      <c r="GB10" s="176"/>
      <c r="GC10" s="176"/>
      <c r="GD10" s="176"/>
      <c r="GE10" s="176"/>
      <c r="GF10" s="176"/>
      <c r="GG10" s="176"/>
      <c r="GH10" s="176"/>
      <c r="GI10" s="176"/>
      <c r="GJ10" s="176"/>
      <c r="GK10" s="176"/>
      <c r="GL10" s="176"/>
      <c r="GM10" s="176"/>
      <c r="GN10" s="176"/>
      <c r="GO10" s="176"/>
      <c r="GP10" s="176"/>
      <c r="GQ10" s="176"/>
      <c r="GR10" s="176"/>
      <c r="GS10" s="176"/>
      <c r="GT10" s="176"/>
      <c r="GU10" s="176"/>
      <c r="GV10" s="176"/>
      <c r="GW10" s="176"/>
      <c r="GX10" s="176"/>
      <c r="GY10" s="176"/>
      <c r="GZ10" s="176"/>
      <c r="HA10" s="176"/>
      <c r="HB10" s="176"/>
      <c r="HC10" s="176"/>
      <c r="HD10" s="176"/>
      <c r="HE10" s="176"/>
      <c r="HF10" s="176"/>
      <c r="HG10" s="176"/>
      <c r="HH10" s="176"/>
      <c r="HI10" s="176"/>
      <c r="HJ10" s="176"/>
      <c r="HK10" s="176"/>
      <c r="HL10" s="176"/>
      <c r="HM10" s="176"/>
      <c r="HN10" s="176"/>
      <c r="HO10" s="176"/>
      <c r="HP10" s="176"/>
      <c r="HQ10" s="176"/>
      <c r="HR10" s="176"/>
      <c r="HS10" s="176"/>
      <c r="HT10" s="176"/>
      <c r="HU10" s="176"/>
      <c r="HV10" s="176"/>
      <c r="HW10" s="176"/>
      <c r="HX10" s="176"/>
      <c r="HY10" s="176"/>
      <c r="HZ10" s="176"/>
      <c r="IA10" s="176"/>
      <c r="IB10" s="176"/>
      <c r="IC10" s="176"/>
      <c r="ID10" s="176"/>
      <c r="IE10" s="176"/>
      <c r="IF10" s="176"/>
      <c r="IG10" s="176"/>
      <c r="IH10" s="176"/>
      <c r="II10" s="176"/>
      <c r="IJ10" s="176"/>
      <c r="IK10" s="176"/>
      <c r="IL10" s="176"/>
      <c r="IM10" s="176"/>
      <c r="IN10" s="176"/>
      <c r="IO10" s="176"/>
      <c r="IP10" s="176"/>
      <c r="IQ10" s="176"/>
      <c r="IR10" s="176"/>
      <c r="IS10" s="176"/>
      <c r="IT10" s="176"/>
      <c r="IU10" s="176"/>
      <c r="IV10" s="176"/>
      <c r="IW10" s="176"/>
    </row>
    <row r="11" customFormat="false" ht="12" hidden="false" customHeight="false" outlineLevel="0" collapsed="false">
      <c r="A11" s="178"/>
      <c r="B11" s="332" t="s">
        <v>282</v>
      </c>
      <c r="C11" s="170" t="n">
        <f aca="false">SUM(D11:O11)</f>
        <v>321146.666666666</v>
      </c>
      <c r="D11" s="170" t="n">
        <f aca="false">D5+D7-D9</f>
        <v>27095.8333333333</v>
      </c>
      <c r="E11" s="170" t="n">
        <f aca="false">E5+E7-E9</f>
        <v>26425.8333333333</v>
      </c>
      <c r="F11" s="170" t="n">
        <f aca="false">F5+F7-F9</f>
        <v>24629.1666666666</v>
      </c>
      <c r="G11" s="170" t="n">
        <f aca="false">G5+G7-G9</f>
        <v>26925.8333333333</v>
      </c>
      <c r="H11" s="170" t="n">
        <f aca="false">H5+H7-H9</f>
        <v>29329.1666666666</v>
      </c>
      <c r="I11" s="170" t="n">
        <f aca="false">I5+I7-I9</f>
        <v>27425.8333333333</v>
      </c>
      <c r="J11" s="170" t="n">
        <f aca="false">J5+J7-J9</f>
        <v>28995.8333333333</v>
      </c>
      <c r="K11" s="170" t="n">
        <f aca="false">K5+K7-K9</f>
        <v>26025.8333333333</v>
      </c>
      <c r="L11" s="170" t="n">
        <f aca="false">L5+L7-L9</f>
        <v>26695.8333333333</v>
      </c>
      <c r="M11" s="170" t="n">
        <f aca="false">M5+M7-M9</f>
        <v>28675.8333333333</v>
      </c>
      <c r="N11" s="170" t="n">
        <f aca="false">N5+N7-N9</f>
        <v>27545.8333333333</v>
      </c>
      <c r="O11" s="170" t="n">
        <f aca="false">O5+O7-O9</f>
        <v>21375.8333333333</v>
      </c>
      <c r="P11" s="178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6"/>
      <c r="CH11" s="176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6"/>
      <c r="DC11" s="176"/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176"/>
      <c r="ET11" s="176"/>
      <c r="EU11" s="176"/>
      <c r="EV11" s="176"/>
      <c r="EW11" s="176"/>
      <c r="EX11" s="176"/>
      <c r="EY11" s="176"/>
      <c r="EZ11" s="176"/>
      <c r="FA11" s="176"/>
      <c r="FB11" s="176"/>
      <c r="FC11" s="176"/>
      <c r="FD11" s="176"/>
      <c r="FE11" s="176"/>
      <c r="FF11" s="176"/>
      <c r="FG11" s="176"/>
      <c r="FH11" s="176"/>
      <c r="FI11" s="176"/>
      <c r="FJ11" s="176"/>
      <c r="FK11" s="176"/>
      <c r="FL11" s="176"/>
      <c r="FM11" s="176"/>
      <c r="FN11" s="176"/>
      <c r="FO11" s="176"/>
      <c r="FP11" s="176"/>
      <c r="FQ11" s="176"/>
      <c r="FR11" s="176"/>
      <c r="FS11" s="176"/>
      <c r="FT11" s="176"/>
      <c r="FU11" s="176"/>
      <c r="FV11" s="176"/>
      <c r="FW11" s="176"/>
      <c r="FX11" s="176"/>
      <c r="FY11" s="176"/>
      <c r="FZ11" s="176"/>
      <c r="GA11" s="176"/>
      <c r="GB11" s="176"/>
      <c r="GC11" s="176"/>
      <c r="GD11" s="176"/>
      <c r="GE11" s="176"/>
      <c r="GF11" s="176"/>
      <c r="GG11" s="176"/>
      <c r="GH11" s="176"/>
      <c r="GI11" s="176"/>
      <c r="GJ11" s="176"/>
      <c r="GK11" s="176"/>
      <c r="GL11" s="176"/>
      <c r="GM11" s="176"/>
      <c r="GN11" s="176"/>
      <c r="GO11" s="176"/>
      <c r="GP11" s="176"/>
      <c r="GQ11" s="176"/>
      <c r="GR11" s="176"/>
      <c r="GS11" s="176"/>
      <c r="GT11" s="176"/>
      <c r="GU11" s="176"/>
      <c r="GV11" s="176"/>
      <c r="GW11" s="176"/>
      <c r="GX11" s="176"/>
      <c r="GY11" s="176"/>
      <c r="GZ11" s="176"/>
      <c r="HA11" s="176"/>
      <c r="HB11" s="176"/>
      <c r="HC11" s="176"/>
      <c r="HD11" s="176"/>
      <c r="HE11" s="176"/>
      <c r="HF11" s="176"/>
      <c r="HG11" s="176"/>
      <c r="HH11" s="176"/>
      <c r="HI11" s="176"/>
      <c r="HJ11" s="176"/>
      <c r="HK11" s="176"/>
      <c r="HL11" s="176"/>
      <c r="HM11" s="176"/>
      <c r="HN11" s="176"/>
      <c r="HO11" s="176"/>
      <c r="HP11" s="176"/>
      <c r="HQ11" s="176"/>
      <c r="HR11" s="176"/>
      <c r="HS11" s="176"/>
      <c r="HT11" s="176"/>
      <c r="HU11" s="176"/>
      <c r="HV11" s="176"/>
      <c r="HW11" s="176"/>
      <c r="HX11" s="176"/>
      <c r="HY11" s="176"/>
      <c r="HZ11" s="176"/>
      <c r="IA11" s="176"/>
      <c r="IB11" s="176"/>
      <c r="IC11" s="176"/>
      <c r="ID11" s="176"/>
      <c r="IE11" s="176"/>
      <c r="IF11" s="176"/>
      <c r="IG11" s="176"/>
      <c r="IH11" s="176"/>
      <c r="II11" s="176"/>
      <c r="IJ11" s="176"/>
      <c r="IK11" s="176"/>
      <c r="IL11" s="176"/>
      <c r="IM11" s="176"/>
      <c r="IN11" s="176"/>
      <c r="IO11" s="176"/>
      <c r="IP11" s="176"/>
      <c r="IQ11" s="176"/>
      <c r="IR11" s="176"/>
      <c r="IS11" s="176"/>
      <c r="IT11" s="176"/>
      <c r="IU11" s="176"/>
      <c r="IV11" s="176"/>
      <c r="IW11" s="176"/>
    </row>
    <row r="12" customFormat="false" ht="6" hidden="false" customHeight="true" outlineLevel="0" collapsed="false">
      <c r="A12" s="178"/>
      <c r="B12" s="334"/>
      <c r="C12" s="177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78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  <c r="BO12" s="176"/>
      <c r="BP12" s="176"/>
      <c r="BQ12" s="176"/>
      <c r="BR12" s="176"/>
      <c r="BS12" s="176"/>
      <c r="BT12" s="176"/>
      <c r="BU12" s="176"/>
      <c r="BV12" s="176"/>
      <c r="BW12" s="176"/>
      <c r="BX12" s="176"/>
      <c r="BY12" s="176"/>
      <c r="BZ12" s="176"/>
      <c r="CA12" s="176"/>
      <c r="CB12" s="176"/>
      <c r="CC12" s="176"/>
      <c r="CD12" s="176"/>
      <c r="CE12" s="176"/>
      <c r="CF12" s="176"/>
      <c r="CG12" s="176"/>
      <c r="CH12" s="176"/>
      <c r="CI12" s="176"/>
      <c r="CJ12" s="176"/>
      <c r="CK12" s="176"/>
      <c r="CL12" s="176"/>
      <c r="CM12" s="176"/>
      <c r="CN12" s="176"/>
      <c r="CO12" s="176"/>
      <c r="CP12" s="176"/>
      <c r="CQ12" s="176"/>
      <c r="CR12" s="176"/>
      <c r="CS12" s="176"/>
      <c r="CT12" s="176"/>
      <c r="CU12" s="176"/>
      <c r="CV12" s="176"/>
      <c r="CW12" s="176"/>
      <c r="CX12" s="176"/>
      <c r="CY12" s="176"/>
      <c r="CZ12" s="176"/>
      <c r="DA12" s="176"/>
      <c r="DB12" s="176"/>
      <c r="DC12" s="176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6"/>
      <c r="EL12" s="176"/>
      <c r="EM12" s="176"/>
      <c r="EN12" s="176"/>
      <c r="EO12" s="176"/>
      <c r="EP12" s="176"/>
      <c r="EQ12" s="176"/>
      <c r="ER12" s="176"/>
      <c r="ES12" s="176"/>
      <c r="ET12" s="176"/>
      <c r="EU12" s="176"/>
      <c r="EV12" s="176"/>
      <c r="EW12" s="176"/>
      <c r="EX12" s="176"/>
      <c r="EY12" s="176"/>
      <c r="EZ12" s="176"/>
      <c r="FA12" s="176"/>
      <c r="FB12" s="176"/>
      <c r="FC12" s="176"/>
      <c r="FD12" s="176"/>
      <c r="FE12" s="176"/>
      <c r="FF12" s="176"/>
      <c r="FG12" s="176"/>
      <c r="FH12" s="176"/>
      <c r="FI12" s="176"/>
      <c r="FJ12" s="176"/>
      <c r="FK12" s="176"/>
      <c r="FL12" s="176"/>
      <c r="FM12" s="176"/>
      <c r="FN12" s="176"/>
      <c r="FO12" s="176"/>
      <c r="FP12" s="176"/>
      <c r="FQ12" s="176"/>
      <c r="FR12" s="176"/>
      <c r="FS12" s="176"/>
      <c r="FT12" s="176"/>
      <c r="FU12" s="176"/>
      <c r="FV12" s="176"/>
      <c r="FW12" s="176"/>
      <c r="FX12" s="176"/>
      <c r="FY12" s="176"/>
      <c r="FZ12" s="176"/>
      <c r="GA12" s="176"/>
      <c r="GB12" s="176"/>
      <c r="GC12" s="176"/>
      <c r="GD12" s="176"/>
      <c r="GE12" s="176"/>
      <c r="GF12" s="176"/>
      <c r="GG12" s="176"/>
      <c r="GH12" s="176"/>
      <c r="GI12" s="176"/>
      <c r="GJ12" s="176"/>
      <c r="GK12" s="176"/>
      <c r="GL12" s="176"/>
      <c r="GM12" s="176"/>
      <c r="GN12" s="176"/>
      <c r="GO12" s="176"/>
      <c r="GP12" s="176"/>
      <c r="GQ12" s="176"/>
      <c r="GR12" s="176"/>
      <c r="GS12" s="176"/>
      <c r="GT12" s="176"/>
      <c r="GU12" s="176"/>
      <c r="GV12" s="176"/>
      <c r="GW12" s="176"/>
      <c r="GX12" s="176"/>
      <c r="GY12" s="176"/>
      <c r="GZ12" s="176"/>
      <c r="HA12" s="176"/>
      <c r="HB12" s="176"/>
      <c r="HC12" s="176"/>
      <c r="HD12" s="176"/>
      <c r="HE12" s="176"/>
      <c r="HF12" s="176"/>
      <c r="HG12" s="176"/>
      <c r="HH12" s="176"/>
      <c r="HI12" s="176"/>
      <c r="HJ12" s="176"/>
      <c r="HK12" s="176"/>
      <c r="HL12" s="176"/>
      <c r="HM12" s="176"/>
      <c r="HN12" s="176"/>
      <c r="HO12" s="176"/>
      <c r="HP12" s="176"/>
      <c r="HQ12" s="176"/>
      <c r="HR12" s="176"/>
      <c r="HS12" s="176"/>
      <c r="HT12" s="176"/>
      <c r="HU12" s="176"/>
      <c r="HV12" s="176"/>
      <c r="HW12" s="176"/>
      <c r="HX12" s="176"/>
      <c r="HY12" s="176"/>
      <c r="HZ12" s="176"/>
      <c r="IA12" s="176"/>
      <c r="IB12" s="176"/>
      <c r="IC12" s="176"/>
      <c r="ID12" s="176"/>
      <c r="IE12" s="176"/>
      <c r="IF12" s="176"/>
      <c r="IG12" s="176"/>
      <c r="IH12" s="176"/>
      <c r="II12" s="176"/>
      <c r="IJ12" s="176"/>
      <c r="IK12" s="176"/>
      <c r="IL12" s="176"/>
      <c r="IM12" s="176"/>
      <c r="IN12" s="176"/>
      <c r="IO12" s="176"/>
      <c r="IP12" s="176"/>
      <c r="IQ12" s="176"/>
      <c r="IR12" s="176"/>
      <c r="IS12" s="176"/>
      <c r="IT12" s="176"/>
      <c r="IU12" s="176"/>
      <c r="IV12" s="176"/>
      <c r="IW12" s="176"/>
    </row>
    <row r="13" customFormat="false" ht="12" hidden="false" customHeight="false" outlineLevel="0" collapsed="false">
      <c r="A13" s="158"/>
      <c r="B13" s="333" t="s">
        <v>402</v>
      </c>
      <c r="C13" s="170" t="n">
        <f aca="false">SUM(D13:O13)</f>
        <v>157526.816666667</v>
      </c>
      <c r="D13" s="170" t="n">
        <f aca="false">'Profit &amp; Loss Account'!C35</f>
        <v>12615.0333333333</v>
      </c>
      <c r="E13" s="170" t="n">
        <f aca="false">'Profit &amp; Loss Account'!D35</f>
        <v>11929.2833333333</v>
      </c>
      <c r="F13" s="170" t="n">
        <f aca="false">'Profit &amp; Loss Account'!E35</f>
        <v>14206.6166666667</v>
      </c>
      <c r="G13" s="170" t="n">
        <f aca="false">'Profit &amp; Loss Account'!F35</f>
        <v>14428.0333333333</v>
      </c>
      <c r="H13" s="170" t="n">
        <f aca="false">'Profit &amp; Loss Account'!G35</f>
        <v>12368.3666666667</v>
      </c>
      <c r="I13" s="170" t="n">
        <f aca="false">'Profit &amp; Loss Account'!H35</f>
        <v>13852.6166666667</v>
      </c>
      <c r="J13" s="170" t="n">
        <f aca="false">'Profit &amp; Loss Account'!I35</f>
        <v>14295.5333333333</v>
      </c>
      <c r="K13" s="170" t="n">
        <f aca="false">'Profit &amp; Loss Account'!J35</f>
        <v>11492.2833333333</v>
      </c>
      <c r="L13" s="170" t="n">
        <f aca="false">'Profit &amp; Loss Account'!K35</f>
        <v>16503.2833333333</v>
      </c>
      <c r="M13" s="170" t="n">
        <f aca="false">'Profit &amp; Loss Account'!L35</f>
        <v>11995.0333333333</v>
      </c>
      <c r="N13" s="170" t="n">
        <f aca="false">'Profit &amp; Loss Account'!M35</f>
        <v>11666.7833333333</v>
      </c>
      <c r="O13" s="170" t="n">
        <f aca="false">'Profit &amp; Loss Account'!N35</f>
        <v>12173.95</v>
      </c>
      <c r="P13" s="158"/>
    </row>
    <row r="14" customFormat="false" ht="6" hidden="false" customHeight="true" outlineLevel="0" collapsed="false">
      <c r="A14" s="158"/>
      <c r="B14" s="333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58"/>
    </row>
    <row r="15" customFormat="false" ht="12" hidden="false" customHeight="false" outlineLevel="0" collapsed="false">
      <c r="A15" s="158"/>
      <c r="B15" s="332" t="s">
        <v>298</v>
      </c>
      <c r="C15" s="170" t="n">
        <f aca="false">SUM(D15:O15)</f>
        <v>163619.85</v>
      </c>
      <c r="D15" s="170" t="n">
        <f aca="false">D11-D13</f>
        <v>14480.8</v>
      </c>
      <c r="E15" s="170" t="n">
        <f aca="false">E11-E13</f>
        <v>14496.55</v>
      </c>
      <c r="F15" s="170" t="n">
        <f aca="false">F11-F13</f>
        <v>10422.55</v>
      </c>
      <c r="G15" s="170" t="n">
        <f aca="false">G11-G13</f>
        <v>12497.8</v>
      </c>
      <c r="H15" s="170" t="n">
        <f aca="false">H11-H13</f>
        <v>16960.8</v>
      </c>
      <c r="I15" s="170" t="n">
        <f aca="false">I11-I13</f>
        <v>13573.2166666666</v>
      </c>
      <c r="J15" s="170" t="n">
        <f aca="false">J11-J13</f>
        <v>14700.3</v>
      </c>
      <c r="K15" s="170" t="n">
        <f aca="false">K11-K13</f>
        <v>14533.55</v>
      </c>
      <c r="L15" s="170" t="n">
        <f aca="false">L11-L13</f>
        <v>10192.55</v>
      </c>
      <c r="M15" s="170" t="n">
        <f aca="false">M11-M13</f>
        <v>16680.8</v>
      </c>
      <c r="N15" s="170" t="n">
        <f aca="false">N11-N13</f>
        <v>15879.05</v>
      </c>
      <c r="O15" s="170" t="n">
        <f aca="false">O11-O13</f>
        <v>9201.8833333333</v>
      </c>
      <c r="P15" s="158"/>
    </row>
    <row r="16" customFormat="false" ht="12" hidden="false" customHeight="false" outlineLevel="0" collapsed="false">
      <c r="A16" s="158"/>
      <c r="B16" s="334" t="s">
        <v>299</v>
      </c>
      <c r="C16" s="170" t="n">
        <f aca="false">SUM(D16:O16)</f>
        <v>0</v>
      </c>
      <c r="D16" s="171" t="n">
        <f aca="false">'Profit &amp; Loss Account'!C38</f>
        <v>0</v>
      </c>
      <c r="E16" s="171" t="n">
        <f aca="false">'Profit &amp; Loss Account'!D38</f>
        <v>0</v>
      </c>
      <c r="F16" s="171" t="n">
        <f aca="false">'Profit &amp; Loss Account'!E38</f>
        <v>0</v>
      </c>
      <c r="G16" s="171" t="n">
        <f aca="false">'Profit &amp; Loss Account'!F38</f>
        <v>0</v>
      </c>
      <c r="H16" s="171" t="n">
        <f aca="false">'Profit &amp; Loss Account'!G38</f>
        <v>0</v>
      </c>
      <c r="I16" s="171" t="n">
        <f aca="false">'Profit &amp; Loss Account'!H38</f>
        <v>0</v>
      </c>
      <c r="J16" s="171" t="n">
        <f aca="false">'Profit &amp; Loss Account'!I38</f>
        <v>0</v>
      </c>
      <c r="K16" s="171" t="n">
        <f aca="false">'Profit &amp; Loss Account'!J38</f>
        <v>0</v>
      </c>
      <c r="L16" s="171" t="n">
        <f aca="false">'Profit &amp; Loss Account'!K38</f>
        <v>0</v>
      </c>
      <c r="M16" s="171" t="n">
        <f aca="false">'Profit &amp; Loss Account'!L38</f>
        <v>0</v>
      </c>
      <c r="N16" s="171" t="n">
        <f aca="false">'Profit &amp; Loss Account'!M38</f>
        <v>0</v>
      </c>
      <c r="O16" s="171" t="n">
        <f aca="false">'Profit &amp; Loss Account'!N38</f>
        <v>0</v>
      </c>
      <c r="P16" s="158"/>
    </row>
    <row r="17" customFormat="false" ht="12" hidden="false" customHeight="false" outlineLevel="0" collapsed="false">
      <c r="A17" s="158"/>
      <c r="B17" s="335" t="s">
        <v>300</v>
      </c>
      <c r="C17" s="170" t="n">
        <f aca="false">SUM(D17:O17)</f>
        <v>163619.85</v>
      </c>
      <c r="D17" s="170" t="n">
        <f aca="false">D15+D16</f>
        <v>14480.8</v>
      </c>
      <c r="E17" s="170" t="n">
        <f aca="false">E15+E16</f>
        <v>14496.55</v>
      </c>
      <c r="F17" s="170" t="n">
        <f aca="false">F15+F16</f>
        <v>10422.55</v>
      </c>
      <c r="G17" s="170" t="n">
        <f aca="false">G15+G16</f>
        <v>12497.8</v>
      </c>
      <c r="H17" s="170" t="n">
        <f aca="false">H15+H16</f>
        <v>16960.8</v>
      </c>
      <c r="I17" s="170" t="n">
        <f aca="false">I15+I16</f>
        <v>13573.2166666666</v>
      </c>
      <c r="J17" s="170" t="n">
        <f aca="false">J15+J16</f>
        <v>14700.3</v>
      </c>
      <c r="K17" s="170" t="n">
        <f aca="false">K15+K16</f>
        <v>14533.55</v>
      </c>
      <c r="L17" s="170" t="n">
        <f aca="false">L15+L16</f>
        <v>10192.55</v>
      </c>
      <c r="M17" s="170" t="n">
        <f aca="false">M15+M16</f>
        <v>16680.8</v>
      </c>
      <c r="N17" s="170" t="n">
        <f aca="false">N15+N16</f>
        <v>15879.05</v>
      </c>
      <c r="O17" s="170" t="n">
        <f aca="false">O15+O16</f>
        <v>9201.8833333333</v>
      </c>
      <c r="P17" s="158"/>
    </row>
    <row r="18" customFormat="false" ht="12" hidden="false" customHeight="false" outlineLevel="0" collapsed="false">
      <c r="A18" s="158"/>
      <c r="B18" s="158"/>
      <c r="C18" s="336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</row>
    <row r="19" customFormat="false" ht="12" hidden="false" customHeight="true" outlineLevel="0" collapsed="false">
      <c r="A19" s="158"/>
      <c r="B19" s="337" t="s">
        <v>403</v>
      </c>
      <c r="C19" s="161" t="s">
        <v>270</v>
      </c>
      <c r="D19" s="162" t="n">
        <f aca="false">D2</f>
        <v>46142</v>
      </c>
      <c r="E19" s="162" t="n">
        <f aca="false">E2</f>
        <v>46173</v>
      </c>
      <c r="F19" s="162" t="n">
        <f aca="false">F2</f>
        <v>46203</v>
      </c>
      <c r="G19" s="162" t="n">
        <f aca="false">G2</f>
        <v>46234</v>
      </c>
      <c r="H19" s="162" t="n">
        <f aca="false">H2</f>
        <v>46265</v>
      </c>
      <c r="I19" s="162" t="n">
        <f aca="false">I2</f>
        <v>46295</v>
      </c>
      <c r="J19" s="162" t="n">
        <f aca="false">J2</f>
        <v>46326</v>
      </c>
      <c r="K19" s="162" t="n">
        <f aca="false">K2</f>
        <v>46356</v>
      </c>
      <c r="L19" s="162" t="n">
        <f aca="false">L2</f>
        <v>46387</v>
      </c>
      <c r="M19" s="162" t="n">
        <f aca="false">M2</f>
        <v>46418</v>
      </c>
      <c r="N19" s="162" t="n">
        <f aca="false">N2</f>
        <v>46446</v>
      </c>
      <c r="O19" s="162" t="n">
        <f aca="false">O2</f>
        <v>46477</v>
      </c>
      <c r="P19" s="158"/>
    </row>
    <row r="20" customFormat="false" ht="12" hidden="false" customHeight="true" outlineLevel="0" collapsed="false">
      <c r="A20" s="158"/>
      <c r="B20" s="337"/>
      <c r="C20" s="165" t="n">
        <f aca="false">Admin!B$17</f>
        <v>46482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58"/>
    </row>
    <row r="21" customFormat="false" ht="12" hidden="false" customHeight="false" outlineLevel="0" collapsed="false">
      <c r="A21" s="158"/>
      <c r="B21" s="337"/>
      <c r="C21" s="167" t="n">
        <f aca="false">SUM(D21:O21)</f>
        <v>12</v>
      </c>
      <c r="D21" s="166" t="n">
        <f aca="false">IF(D5&gt;0,1," ")</f>
        <v>1</v>
      </c>
      <c r="E21" s="166" t="n">
        <f aca="false">IF(E5&gt;0,1," ")</f>
        <v>1</v>
      </c>
      <c r="F21" s="166" t="n">
        <f aca="false">IF(F5&gt;0,1," ")</f>
        <v>1</v>
      </c>
      <c r="G21" s="166" t="n">
        <f aca="false">IF(G5&gt;0,1," ")</f>
        <v>1</v>
      </c>
      <c r="H21" s="166" t="n">
        <f aca="false">IF(H5&gt;0,1," ")</f>
        <v>1</v>
      </c>
      <c r="I21" s="166" t="n">
        <f aca="false">IF(I5&gt;0,1," ")</f>
        <v>1</v>
      </c>
      <c r="J21" s="166" t="n">
        <f aca="false">IF(J5&gt;0,1," ")</f>
        <v>1</v>
      </c>
      <c r="K21" s="166" t="n">
        <f aca="false">IF(K5&gt;0,1," ")</f>
        <v>1</v>
      </c>
      <c r="L21" s="166" t="n">
        <f aca="false">IF(L5&gt;0,1," ")</f>
        <v>1</v>
      </c>
      <c r="M21" s="166" t="n">
        <f aca="false">IF(M5&gt;0,1," ")</f>
        <v>1</v>
      </c>
      <c r="N21" s="166" t="n">
        <f aca="false">IF(N5&gt;0,1," ")</f>
        <v>1</v>
      </c>
      <c r="O21" s="166" t="n">
        <f aca="false">IF(O5&gt;0,1," ")</f>
        <v>1</v>
      </c>
      <c r="P21" s="158"/>
    </row>
    <row r="22" customFormat="false" ht="12" hidden="false" customHeight="false" outlineLevel="0" collapsed="false">
      <c r="A22" s="178"/>
      <c r="B22" s="332" t="s">
        <v>275</v>
      </c>
      <c r="C22" s="170" t="n">
        <f aca="false">SUM(D22:O22)</f>
        <v>339200</v>
      </c>
      <c r="D22" s="170" t="n">
        <f aca="false">IF(C5&gt;0,IF(D5&gt;0,D5,C5/C21),0)</f>
        <v>27833.3333333333</v>
      </c>
      <c r="E22" s="170" t="n">
        <f aca="false">IF(C5&gt;0,IF(E5&gt;0,E5,C5/C21),0)</f>
        <v>27433.3333333333</v>
      </c>
      <c r="F22" s="170" t="n">
        <f aca="false">IF(C5&gt;0,IF(F5&gt;0,F5,C5/C21),0)</f>
        <v>29333.3333333333</v>
      </c>
      <c r="G22" s="170" t="n">
        <f aca="false">IF(C5&gt;0,IF(G5&gt;0,G5,C5/C21),0)</f>
        <v>28133.3333333333</v>
      </c>
      <c r="H22" s="170" t="n">
        <f aca="false">IF(C5&gt;0,IF(H5&gt;0,H5,C5/C21),0)</f>
        <v>27933.3333333333</v>
      </c>
      <c r="I22" s="170" t="n">
        <f aca="false">IF(C5&gt;0,IF(I5&gt;0,I5,C5/C21),0)</f>
        <v>28133.3333333333</v>
      </c>
      <c r="J22" s="170" t="n">
        <f aca="false">IF(C5&gt;0,IF(J5&gt;0,J5,C5/C21),0)</f>
        <v>29633.3333333333</v>
      </c>
      <c r="K22" s="170" t="n">
        <f aca="false">IF(C5&gt;0,IF(K5&gt;0,K5,C5/C21),0)</f>
        <v>29433.3333333333</v>
      </c>
      <c r="L22" s="170" t="n">
        <f aca="false">IF(C5&gt;0,IF(L5&gt;0,L5,C5/C21),0)</f>
        <v>27333.3333333333</v>
      </c>
      <c r="M22" s="170" t="n">
        <f aca="false">IF(C5&gt;0,IF(M5&gt;0,M5,C5/C21),0)</f>
        <v>29533.3333333333</v>
      </c>
      <c r="N22" s="170" t="n">
        <f aca="false">IF(C5&gt;0,IF(N5&gt;0,N5,C5/C21),0)</f>
        <v>28633.3333333333</v>
      </c>
      <c r="O22" s="170" t="n">
        <f aca="false">IF(C5&gt;0,IF(O5&gt;0,O5,C5/C21),0)</f>
        <v>25833.3333333333</v>
      </c>
      <c r="P22" s="178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76"/>
      <c r="BK22" s="176"/>
      <c r="BL22" s="176"/>
      <c r="BM22" s="176"/>
      <c r="BN22" s="176"/>
      <c r="BO22" s="176"/>
      <c r="BP22" s="176"/>
      <c r="BQ22" s="176"/>
      <c r="BR22" s="176"/>
      <c r="BS22" s="176"/>
      <c r="BT22" s="176"/>
      <c r="BU22" s="176"/>
      <c r="BV22" s="176"/>
      <c r="BW22" s="176"/>
      <c r="BX22" s="176"/>
      <c r="BY22" s="176"/>
      <c r="BZ22" s="176"/>
      <c r="CA22" s="176"/>
      <c r="CB22" s="176"/>
      <c r="CC22" s="176"/>
      <c r="CD22" s="176"/>
      <c r="CE22" s="176"/>
      <c r="CF22" s="176"/>
      <c r="CG22" s="176"/>
      <c r="CH22" s="176"/>
      <c r="CI22" s="176"/>
      <c r="CJ22" s="176"/>
      <c r="CK22" s="176"/>
      <c r="CL22" s="176"/>
      <c r="CM22" s="176"/>
      <c r="CN22" s="176"/>
      <c r="CO22" s="176"/>
      <c r="CP22" s="176"/>
      <c r="CQ22" s="176"/>
      <c r="CR22" s="176"/>
      <c r="CS22" s="176"/>
      <c r="CT22" s="176"/>
      <c r="CU22" s="176"/>
      <c r="CV22" s="176"/>
      <c r="CW22" s="176"/>
      <c r="CX22" s="176"/>
      <c r="CY22" s="176"/>
      <c r="CZ22" s="176"/>
      <c r="DA22" s="176"/>
      <c r="DB22" s="176"/>
      <c r="DC22" s="176"/>
      <c r="DD22" s="176"/>
      <c r="DE22" s="176"/>
      <c r="DF22" s="176"/>
      <c r="DG22" s="176"/>
      <c r="DH22" s="176"/>
      <c r="DI22" s="176"/>
      <c r="DJ22" s="176"/>
      <c r="DK22" s="176"/>
      <c r="DL22" s="176"/>
      <c r="DM22" s="176"/>
      <c r="DN22" s="176"/>
      <c r="DO22" s="176"/>
      <c r="DP22" s="176"/>
      <c r="DQ22" s="176"/>
      <c r="DR22" s="176"/>
      <c r="DS22" s="176"/>
      <c r="DT22" s="176"/>
      <c r="DU22" s="176"/>
      <c r="DV22" s="176"/>
      <c r="DW22" s="176"/>
      <c r="DX22" s="176"/>
      <c r="DY22" s="176"/>
      <c r="DZ22" s="176"/>
      <c r="EA22" s="176"/>
      <c r="EB22" s="176"/>
      <c r="EC22" s="176"/>
      <c r="ED22" s="176"/>
      <c r="EE22" s="176"/>
      <c r="EF22" s="176"/>
      <c r="EG22" s="176"/>
      <c r="EH22" s="176"/>
      <c r="EI22" s="176"/>
      <c r="EJ22" s="176"/>
      <c r="EK22" s="176"/>
      <c r="EL22" s="176"/>
      <c r="EM22" s="176"/>
      <c r="EN22" s="176"/>
      <c r="EO22" s="176"/>
      <c r="EP22" s="176"/>
      <c r="EQ22" s="176"/>
      <c r="ER22" s="176"/>
      <c r="ES22" s="176"/>
      <c r="ET22" s="176"/>
      <c r="EU22" s="176"/>
      <c r="EV22" s="176"/>
      <c r="EW22" s="176"/>
      <c r="EX22" s="176"/>
      <c r="EY22" s="176"/>
      <c r="EZ22" s="176"/>
      <c r="FA22" s="176"/>
      <c r="FB22" s="176"/>
      <c r="FC22" s="176"/>
      <c r="FD22" s="176"/>
      <c r="FE22" s="176"/>
      <c r="FF22" s="176"/>
      <c r="FG22" s="176"/>
      <c r="FH22" s="176"/>
      <c r="FI22" s="176"/>
      <c r="FJ22" s="176"/>
      <c r="FK22" s="176"/>
      <c r="FL22" s="176"/>
      <c r="FM22" s="176"/>
      <c r="FN22" s="176"/>
      <c r="FO22" s="176"/>
      <c r="FP22" s="176"/>
      <c r="FQ22" s="176"/>
      <c r="FR22" s="176"/>
      <c r="FS22" s="176"/>
      <c r="FT22" s="176"/>
      <c r="FU22" s="176"/>
      <c r="FV22" s="176"/>
      <c r="FW22" s="176"/>
      <c r="FX22" s="176"/>
      <c r="FY22" s="176"/>
      <c r="FZ22" s="176"/>
      <c r="GA22" s="176"/>
      <c r="GB22" s="176"/>
      <c r="GC22" s="176"/>
      <c r="GD22" s="176"/>
      <c r="GE22" s="176"/>
      <c r="GF22" s="176"/>
      <c r="GG22" s="176"/>
      <c r="GH22" s="176"/>
      <c r="GI22" s="176"/>
      <c r="GJ22" s="176"/>
      <c r="GK22" s="176"/>
      <c r="GL22" s="176"/>
      <c r="GM22" s="176"/>
      <c r="GN22" s="176"/>
      <c r="GO22" s="176"/>
      <c r="GP22" s="176"/>
      <c r="GQ22" s="176"/>
      <c r="GR22" s="176"/>
      <c r="GS22" s="176"/>
      <c r="GT22" s="176"/>
      <c r="GU22" s="176"/>
      <c r="GV22" s="176"/>
      <c r="GW22" s="176"/>
      <c r="GX22" s="176"/>
      <c r="GY22" s="176"/>
      <c r="GZ22" s="176"/>
      <c r="HA22" s="176"/>
      <c r="HB22" s="176"/>
      <c r="HC22" s="176"/>
      <c r="HD22" s="176"/>
      <c r="HE22" s="176"/>
      <c r="HF22" s="176"/>
      <c r="HG22" s="176"/>
      <c r="HH22" s="176"/>
      <c r="HI22" s="176"/>
      <c r="HJ22" s="176"/>
      <c r="HK22" s="176"/>
      <c r="HL22" s="176"/>
      <c r="HM22" s="176"/>
      <c r="HN22" s="176"/>
      <c r="HO22" s="176"/>
      <c r="HP22" s="176"/>
      <c r="HQ22" s="176"/>
      <c r="HR22" s="176"/>
      <c r="HS22" s="176"/>
      <c r="HT22" s="176"/>
      <c r="HU22" s="176"/>
      <c r="HV22" s="176"/>
      <c r="HW22" s="176"/>
      <c r="HX22" s="176"/>
      <c r="HY22" s="176"/>
      <c r="HZ22" s="176"/>
      <c r="IA22" s="176"/>
      <c r="IB22" s="176"/>
      <c r="IC22" s="176"/>
      <c r="ID22" s="176"/>
      <c r="IE22" s="176"/>
      <c r="IF22" s="176"/>
      <c r="IG22" s="176"/>
      <c r="IH22" s="176"/>
      <c r="II22" s="176"/>
      <c r="IJ22" s="176"/>
      <c r="IK22" s="176"/>
      <c r="IL22" s="176"/>
      <c r="IM22" s="176"/>
      <c r="IN22" s="176"/>
      <c r="IO22" s="176"/>
      <c r="IP22" s="176"/>
      <c r="IQ22" s="176"/>
      <c r="IR22" s="176"/>
      <c r="IS22" s="176"/>
      <c r="IT22" s="176"/>
      <c r="IU22" s="176"/>
      <c r="IV22" s="176"/>
      <c r="IW22" s="176"/>
    </row>
    <row r="23" customFormat="false" ht="6" hidden="false" customHeight="true" outlineLevel="0" collapsed="false">
      <c r="A23" s="178"/>
      <c r="B23" s="33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8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  <c r="BN23" s="176"/>
      <c r="BO23" s="176"/>
      <c r="BP23" s="176"/>
      <c r="BQ23" s="176"/>
      <c r="BR23" s="176"/>
      <c r="BS23" s="176"/>
      <c r="BT23" s="176"/>
      <c r="BU23" s="176"/>
      <c r="BV23" s="176"/>
      <c r="BW23" s="176"/>
      <c r="BX23" s="176"/>
      <c r="BY23" s="176"/>
      <c r="BZ23" s="176"/>
      <c r="CA23" s="176"/>
      <c r="CB23" s="176"/>
      <c r="CC23" s="176"/>
      <c r="CD23" s="176"/>
      <c r="CE23" s="176"/>
      <c r="CF23" s="176"/>
      <c r="CG23" s="176"/>
      <c r="CH23" s="176"/>
      <c r="CI23" s="176"/>
      <c r="CJ23" s="176"/>
      <c r="CK23" s="176"/>
      <c r="CL23" s="176"/>
      <c r="CM23" s="176"/>
      <c r="CN23" s="176"/>
      <c r="CO23" s="176"/>
      <c r="CP23" s="176"/>
      <c r="CQ23" s="176"/>
      <c r="CR23" s="176"/>
      <c r="CS23" s="176"/>
      <c r="CT23" s="176"/>
      <c r="CU23" s="176"/>
      <c r="CV23" s="176"/>
      <c r="CW23" s="176"/>
      <c r="CX23" s="176"/>
      <c r="CY23" s="176"/>
      <c r="CZ23" s="176"/>
      <c r="DA23" s="176"/>
      <c r="DB23" s="176"/>
      <c r="DC23" s="176"/>
      <c r="DD23" s="176"/>
      <c r="DE23" s="176"/>
      <c r="DF23" s="176"/>
      <c r="DG23" s="176"/>
      <c r="DH23" s="176"/>
      <c r="DI23" s="176"/>
      <c r="DJ23" s="176"/>
      <c r="DK23" s="176"/>
      <c r="DL23" s="176"/>
      <c r="DM23" s="176"/>
      <c r="DN23" s="176"/>
      <c r="DO23" s="176"/>
      <c r="DP23" s="176"/>
      <c r="DQ23" s="176"/>
      <c r="DR23" s="176"/>
      <c r="DS23" s="176"/>
      <c r="DT23" s="176"/>
      <c r="DU23" s="176"/>
      <c r="DV23" s="176"/>
      <c r="DW23" s="176"/>
      <c r="DX23" s="176"/>
      <c r="DY23" s="176"/>
      <c r="DZ23" s="176"/>
      <c r="EA23" s="176"/>
      <c r="EB23" s="176"/>
      <c r="EC23" s="176"/>
      <c r="ED23" s="176"/>
      <c r="EE23" s="176"/>
      <c r="EF23" s="176"/>
      <c r="EG23" s="176"/>
      <c r="EH23" s="176"/>
      <c r="EI23" s="176"/>
      <c r="EJ23" s="176"/>
      <c r="EK23" s="176"/>
      <c r="EL23" s="176"/>
      <c r="EM23" s="176"/>
      <c r="EN23" s="176"/>
      <c r="EO23" s="176"/>
      <c r="EP23" s="176"/>
      <c r="EQ23" s="176"/>
      <c r="ER23" s="176"/>
      <c r="ES23" s="176"/>
      <c r="ET23" s="176"/>
      <c r="EU23" s="176"/>
      <c r="EV23" s="176"/>
      <c r="EW23" s="176"/>
      <c r="EX23" s="176"/>
      <c r="EY23" s="176"/>
      <c r="EZ23" s="176"/>
      <c r="FA23" s="176"/>
      <c r="FB23" s="176"/>
      <c r="FC23" s="176"/>
      <c r="FD23" s="176"/>
      <c r="FE23" s="176"/>
      <c r="FF23" s="176"/>
      <c r="FG23" s="176"/>
      <c r="FH23" s="176"/>
      <c r="FI23" s="176"/>
      <c r="FJ23" s="176"/>
      <c r="FK23" s="176"/>
      <c r="FL23" s="176"/>
      <c r="FM23" s="176"/>
      <c r="FN23" s="176"/>
      <c r="FO23" s="176"/>
      <c r="FP23" s="176"/>
      <c r="FQ23" s="176"/>
      <c r="FR23" s="176"/>
      <c r="FS23" s="176"/>
      <c r="FT23" s="176"/>
      <c r="FU23" s="176"/>
      <c r="FV23" s="176"/>
      <c r="FW23" s="176"/>
      <c r="FX23" s="176"/>
      <c r="FY23" s="176"/>
      <c r="FZ23" s="176"/>
      <c r="GA23" s="176"/>
      <c r="GB23" s="176"/>
      <c r="GC23" s="176"/>
      <c r="GD23" s="176"/>
      <c r="GE23" s="176"/>
      <c r="GF23" s="176"/>
      <c r="GG23" s="176"/>
      <c r="GH23" s="176"/>
      <c r="GI23" s="176"/>
      <c r="GJ23" s="176"/>
      <c r="GK23" s="176"/>
      <c r="GL23" s="176"/>
      <c r="GM23" s="176"/>
      <c r="GN23" s="176"/>
      <c r="GO23" s="176"/>
      <c r="GP23" s="176"/>
      <c r="GQ23" s="176"/>
      <c r="GR23" s="176"/>
      <c r="GS23" s="176"/>
      <c r="GT23" s="176"/>
      <c r="GU23" s="176"/>
      <c r="GV23" s="176"/>
      <c r="GW23" s="176"/>
      <c r="GX23" s="176"/>
      <c r="GY23" s="176"/>
      <c r="GZ23" s="176"/>
      <c r="HA23" s="176"/>
      <c r="HB23" s="176"/>
      <c r="HC23" s="176"/>
      <c r="HD23" s="176"/>
      <c r="HE23" s="176"/>
      <c r="HF23" s="176"/>
      <c r="HG23" s="176"/>
      <c r="HH23" s="176"/>
      <c r="HI23" s="176"/>
      <c r="HJ23" s="176"/>
      <c r="HK23" s="176"/>
      <c r="HL23" s="176"/>
      <c r="HM23" s="176"/>
      <c r="HN23" s="176"/>
      <c r="HO23" s="176"/>
      <c r="HP23" s="176"/>
      <c r="HQ23" s="176"/>
      <c r="HR23" s="176"/>
      <c r="HS23" s="176"/>
      <c r="HT23" s="176"/>
      <c r="HU23" s="176"/>
      <c r="HV23" s="176"/>
      <c r="HW23" s="176"/>
      <c r="HX23" s="176"/>
      <c r="HY23" s="176"/>
      <c r="HZ23" s="176"/>
      <c r="IA23" s="176"/>
      <c r="IB23" s="176"/>
      <c r="IC23" s="176"/>
      <c r="ID23" s="176"/>
      <c r="IE23" s="176"/>
      <c r="IF23" s="176"/>
      <c r="IG23" s="176"/>
      <c r="IH23" s="176"/>
      <c r="II23" s="176"/>
      <c r="IJ23" s="176"/>
      <c r="IK23" s="176"/>
      <c r="IL23" s="176"/>
      <c r="IM23" s="176"/>
      <c r="IN23" s="176"/>
      <c r="IO23" s="176"/>
      <c r="IP23" s="176"/>
      <c r="IQ23" s="176"/>
      <c r="IR23" s="176"/>
      <c r="IS23" s="176"/>
      <c r="IT23" s="176"/>
      <c r="IU23" s="176"/>
      <c r="IV23" s="176"/>
      <c r="IW23" s="176"/>
    </row>
    <row r="24" customFormat="false" ht="12" hidden="false" customHeight="false" outlineLevel="0" collapsed="false">
      <c r="A24" s="158"/>
      <c r="B24" s="334" t="s">
        <v>401</v>
      </c>
      <c r="C24" s="170" t="n">
        <f aca="false">SUM(D24:O24)</f>
        <v>2083.33333333333</v>
      </c>
      <c r="D24" s="171" t="n">
        <f aca="false">D7</f>
        <v>0</v>
      </c>
      <c r="E24" s="171" t="n">
        <f aca="false">E7</f>
        <v>0</v>
      </c>
      <c r="F24" s="171" t="n">
        <f aca="false">F7</f>
        <v>0</v>
      </c>
      <c r="G24" s="171" t="n">
        <f aca="false">G7</f>
        <v>0</v>
      </c>
      <c r="H24" s="171" t="n">
        <f aca="false">H7</f>
        <v>2083.33333333333</v>
      </c>
      <c r="I24" s="171" t="n">
        <f aca="false">I7</f>
        <v>0</v>
      </c>
      <c r="J24" s="171" t="n">
        <f aca="false">J7</f>
        <v>0</v>
      </c>
      <c r="K24" s="171" t="n">
        <f aca="false">K7</f>
        <v>0</v>
      </c>
      <c r="L24" s="171" t="n">
        <f aca="false">L7</f>
        <v>0</v>
      </c>
      <c r="M24" s="171" t="n">
        <f aca="false">M7</f>
        <v>0</v>
      </c>
      <c r="N24" s="171" t="n">
        <f aca="false">N7</f>
        <v>0</v>
      </c>
      <c r="O24" s="171" t="n">
        <f aca="false">O7</f>
        <v>0</v>
      </c>
      <c r="P24" s="158"/>
    </row>
    <row r="25" customFormat="false" ht="6" hidden="false" customHeight="true" outlineLevel="0" collapsed="false">
      <c r="A25" s="158"/>
      <c r="B25" s="334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58"/>
    </row>
    <row r="26" customFormat="false" ht="12" hidden="false" customHeight="false" outlineLevel="0" collapsed="false">
      <c r="A26" s="178"/>
      <c r="B26" s="333" t="s">
        <v>281</v>
      </c>
      <c r="C26" s="170" t="n">
        <f aca="false">SUM(D26:O26)</f>
        <v>20136.6666666667</v>
      </c>
      <c r="D26" s="170" t="n">
        <f aca="false">IF(C5&gt;0,IF(D5&gt;0,D9,C9/C21),0)</f>
        <v>737.5</v>
      </c>
      <c r="E26" s="170" t="n">
        <f aca="false">IF(C5&gt;0,IF(E5&gt;0,E9,C9/C21),0)</f>
        <v>1007.5</v>
      </c>
      <c r="F26" s="170" t="n">
        <f aca="false">IF(C5&gt;0,IF(F5&gt;0,F9,C9/C21),0)</f>
        <v>4704.16666666667</v>
      </c>
      <c r="G26" s="170" t="n">
        <f aca="false">IF(C5&gt;0,IF(G5&gt;0,G9,C9/C21),0)</f>
        <v>1207.5</v>
      </c>
      <c r="H26" s="170" t="n">
        <f aca="false">IF(C5&gt;0,IF(H5&gt;0,H9,C9/C21),0)</f>
        <v>687.5</v>
      </c>
      <c r="I26" s="170" t="n">
        <f aca="false">IF(C5&gt;0,IF(I5&gt;0,I9,C9/C21),0)</f>
        <v>707.5</v>
      </c>
      <c r="J26" s="170" t="n">
        <f aca="false">IF(C5&gt;0,IF(J5&gt;0,J9,C9/C21),0)</f>
        <v>637.5</v>
      </c>
      <c r="K26" s="170" t="n">
        <f aca="false">IF(C5&gt;0,IF(K5&gt;0,K9,C9/C21),0)</f>
        <v>3407.5</v>
      </c>
      <c r="L26" s="170" t="n">
        <f aca="false">IF(C5&gt;0,IF(L5&gt;0,L9,C9/C21),0)</f>
        <v>637.5</v>
      </c>
      <c r="M26" s="170" t="n">
        <f aca="false">IF(C5&gt;0,IF(M5&gt;0,M9,C9/C21),0)</f>
        <v>857.5</v>
      </c>
      <c r="N26" s="170" t="n">
        <f aca="false">IF(C5&gt;0,IF(N5&gt;0,N9,C9/C21),0)</f>
        <v>1087.5</v>
      </c>
      <c r="O26" s="170" t="n">
        <f aca="false">IF(C5&gt;0,IF(O5&gt;0,O9,C9/C21),0)</f>
        <v>4457.5</v>
      </c>
      <c r="P26" s="178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76"/>
      <c r="BK26" s="176"/>
      <c r="BL26" s="176"/>
      <c r="BM26" s="176"/>
      <c r="BN26" s="176"/>
      <c r="BO26" s="176"/>
      <c r="BP26" s="176"/>
      <c r="BQ26" s="176"/>
      <c r="BR26" s="176"/>
      <c r="BS26" s="176"/>
      <c r="BT26" s="176"/>
      <c r="BU26" s="176"/>
      <c r="BV26" s="176"/>
      <c r="BW26" s="176"/>
      <c r="BX26" s="176"/>
      <c r="BY26" s="176"/>
      <c r="BZ26" s="176"/>
      <c r="CA26" s="176"/>
      <c r="CB26" s="176"/>
      <c r="CC26" s="176"/>
      <c r="CD26" s="176"/>
      <c r="CE26" s="176"/>
      <c r="CF26" s="176"/>
      <c r="CG26" s="176"/>
      <c r="CH26" s="176"/>
      <c r="CI26" s="176"/>
      <c r="CJ26" s="176"/>
      <c r="CK26" s="176"/>
      <c r="CL26" s="176"/>
      <c r="CM26" s="176"/>
      <c r="CN26" s="176"/>
      <c r="CO26" s="176"/>
      <c r="CP26" s="176"/>
      <c r="CQ26" s="176"/>
      <c r="CR26" s="176"/>
      <c r="CS26" s="176"/>
      <c r="CT26" s="176"/>
      <c r="CU26" s="176"/>
      <c r="CV26" s="176"/>
      <c r="CW26" s="176"/>
      <c r="CX26" s="176"/>
      <c r="CY26" s="176"/>
      <c r="CZ26" s="176"/>
      <c r="DA26" s="176"/>
      <c r="DB26" s="176"/>
      <c r="DC26" s="176"/>
      <c r="DD26" s="176"/>
      <c r="DE26" s="176"/>
      <c r="DF26" s="176"/>
      <c r="DG26" s="176"/>
      <c r="DH26" s="176"/>
      <c r="DI26" s="176"/>
      <c r="DJ26" s="176"/>
      <c r="DK26" s="176"/>
      <c r="DL26" s="176"/>
      <c r="DM26" s="176"/>
      <c r="DN26" s="176"/>
      <c r="DO26" s="176"/>
      <c r="DP26" s="176"/>
      <c r="DQ26" s="176"/>
      <c r="DR26" s="176"/>
      <c r="DS26" s="176"/>
      <c r="DT26" s="176"/>
      <c r="DU26" s="176"/>
      <c r="DV26" s="176"/>
      <c r="DW26" s="176"/>
      <c r="DX26" s="176"/>
      <c r="DY26" s="176"/>
      <c r="DZ26" s="176"/>
      <c r="EA26" s="176"/>
      <c r="EB26" s="176"/>
      <c r="EC26" s="176"/>
      <c r="ED26" s="176"/>
      <c r="EE26" s="176"/>
      <c r="EF26" s="176"/>
      <c r="EG26" s="176"/>
      <c r="EH26" s="176"/>
      <c r="EI26" s="176"/>
      <c r="EJ26" s="176"/>
      <c r="EK26" s="176"/>
      <c r="EL26" s="176"/>
      <c r="EM26" s="176"/>
      <c r="EN26" s="176"/>
      <c r="EO26" s="176"/>
      <c r="EP26" s="176"/>
      <c r="EQ26" s="176"/>
      <c r="ER26" s="176"/>
      <c r="ES26" s="176"/>
      <c r="ET26" s="176"/>
      <c r="EU26" s="176"/>
      <c r="EV26" s="176"/>
      <c r="EW26" s="176"/>
      <c r="EX26" s="176"/>
      <c r="EY26" s="176"/>
      <c r="EZ26" s="176"/>
      <c r="FA26" s="176"/>
      <c r="FB26" s="176"/>
      <c r="FC26" s="176"/>
      <c r="FD26" s="176"/>
      <c r="FE26" s="176"/>
      <c r="FF26" s="176"/>
      <c r="FG26" s="176"/>
      <c r="FH26" s="176"/>
      <c r="FI26" s="176"/>
      <c r="FJ26" s="176"/>
      <c r="FK26" s="176"/>
      <c r="FL26" s="176"/>
      <c r="FM26" s="176"/>
      <c r="FN26" s="176"/>
      <c r="FO26" s="176"/>
      <c r="FP26" s="176"/>
      <c r="FQ26" s="176"/>
      <c r="FR26" s="176"/>
      <c r="FS26" s="176"/>
      <c r="FT26" s="176"/>
      <c r="FU26" s="176"/>
      <c r="FV26" s="176"/>
      <c r="FW26" s="176"/>
      <c r="FX26" s="176"/>
      <c r="FY26" s="176"/>
      <c r="FZ26" s="176"/>
      <c r="GA26" s="176"/>
      <c r="GB26" s="176"/>
      <c r="GC26" s="176"/>
      <c r="GD26" s="176"/>
      <c r="GE26" s="176"/>
      <c r="GF26" s="176"/>
      <c r="GG26" s="176"/>
      <c r="GH26" s="176"/>
      <c r="GI26" s="176"/>
      <c r="GJ26" s="176"/>
      <c r="GK26" s="176"/>
      <c r="GL26" s="176"/>
      <c r="GM26" s="176"/>
      <c r="GN26" s="176"/>
      <c r="GO26" s="176"/>
      <c r="GP26" s="176"/>
      <c r="GQ26" s="176"/>
      <c r="GR26" s="176"/>
      <c r="GS26" s="176"/>
      <c r="GT26" s="176"/>
      <c r="GU26" s="176"/>
      <c r="GV26" s="176"/>
      <c r="GW26" s="176"/>
      <c r="GX26" s="176"/>
      <c r="GY26" s="176"/>
      <c r="GZ26" s="176"/>
      <c r="HA26" s="176"/>
      <c r="HB26" s="176"/>
      <c r="HC26" s="176"/>
      <c r="HD26" s="176"/>
      <c r="HE26" s="176"/>
      <c r="HF26" s="176"/>
      <c r="HG26" s="176"/>
      <c r="HH26" s="176"/>
      <c r="HI26" s="176"/>
      <c r="HJ26" s="176"/>
      <c r="HK26" s="176"/>
      <c r="HL26" s="176"/>
      <c r="HM26" s="176"/>
      <c r="HN26" s="176"/>
      <c r="HO26" s="176"/>
      <c r="HP26" s="176"/>
      <c r="HQ26" s="176"/>
      <c r="HR26" s="176"/>
      <c r="HS26" s="176"/>
      <c r="HT26" s="176"/>
      <c r="HU26" s="176"/>
      <c r="HV26" s="176"/>
      <c r="HW26" s="176"/>
      <c r="HX26" s="176"/>
      <c r="HY26" s="176"/>
      <c r="HZ26" s="176"/>
      <c r="IA26" s="176"/>
      <c r="IB26" s="176"/>
      <c r="IC26" s="176"/>
      <c r="ID26" s="176"/>
      <c r="IE26" s="176"/>
      <c r="IF26" s="176"/>
      <c r="IG26" s="176"/>
      <c r="IH26" s="176"/>
      <c r="II26" s="176"/>
      <c r="IJ26" s="176"/>
      <c r="IK26" s="176"/>
      <c r="IL26" s="176"/>
      <c r="IM26" s="176"/>
      <c r="IN26" s="176"/>
      <c r="IO26" s="176"/>
      <c r="IP26" s="176"/>
      <c r="IQ26" s="176"/>
      <c r="IR26" s="176"/>
      <c r="IS26" s="176"/>
      <c r="IT26" s="176"/>
      <c r="IU26" s="176"/>
      <c r="IV26" s="176"/>
      <c r="IW26" s="176"/>
    </row>
    <row r="27" customFormat="false" ht="7.5" hidden="false" customHeight="true" outlineLevel="0" collapsed="false">
      <c r="A27" s="178"/>
      <c r="B27" s="333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8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/>
      <c r="BJ27" s="176"/>
      <c r="BK27" s="176"/>
      <c r="BL27" s="176"/>
      <c r="BM27" s="176"/>
      <c r="BN27" s="176"/>
      <c r="BO27" s="176"/>
      <c r="BP27" s="176"/>
      <c r="BQ27" s="176"/>
      <c r="BR27" s="176"/>
      <c r="BS27" s="176"/>
      <c r="BT27" s="176"/>
      <c r="BU27" s="176"/>
      <c r="BV27" s="176"/>
      <c r="BW27" s="176"/>
      <c r="BX27" s="176"/>
      <c r="BY27" s="176"/>
      <c r="BZ27" s="176"/>
      <c r="CA27" s="176"/>
      <c r="CB27" s="176"/>
      <c r="CC27" s="176"/>
      <c r="CD27" s="176"/>
      <c r="CE27" s="176"/>
      <c r="CF27" s="176"/>
      <c r="CG27" s="176"/>
      <c r="CH27" s="176"/>
      <c r="CI27" s="176"/>
      <c r="CJ27" s="176"/>
      <c r="CK27" s="176"/>
      <c r="CL27" s="176"/>
      <c r="CM27" s="176"/>
      <c r="CN27" s="176"/>
      <c r="CO27" s="176"/>
      <c r="CP27" s="176"/>
      <c r="CQ27" s="176"/>
      <c r="CR27" s="176"/>
      <c r="CS27" s="176"/>
      <c r="CT27" s="176"/>
      <c r="CU27" s="176"/>
      <c r="CV27" s="176"/>
      <c r="CW27" s="176"/>
      <c r="CX27" s="176"/>
      <c r="CY27" s="176"/>
      <c r="CZ27" s="176"/>
      <c r="DA27" s="176"/>
      <c r="DB27" s="176"/>
      <c r="DC27" s="176"/>
      <c r="DD27" s="176"/>
      <c r="DE27" s="176"/>
      <c r="DF27" s="176"/>
      <c r="DG27" s="176"/>
      <c r="DH27" s="176"/>
      <c r="DI27" s="176"/>
      <c r="DJ27" s="176"/>
      <c r="DK27" s="176"/>
      <c r="DL27" s="176"/>
      <c r="DM27" s="176"/>
      <c r="DN27" s="176"/>
      <c r="DO27" s="176"/>
      <c r="DP27" s="176"/>
      <c r="DQ27" s="176"/>
      <c r="DR27" s="176"/>
      <c r="DS27" s="176"/>
      <c r="DT27" s="176"/>
      <c r="DU27" s="176"/>
      <c r="DV27" s="176"/>
      <c r="DW27" s="176"/>
      <c r="DX27" s="176"/>
      <c r="DY27" s="176"/>
      <c r="DZ27" s="176"/>
      <c r="EA27" s="176"/>
      <c r="EB27" s="176"/>
      <c r="EC27" s="176"/>
      <c r="ED27" s="176"/>
      <c r="EE27" s="176"/>
      <c r="EF27" s="176"/>
      <c r="EG27" s="176"/>
      <c r="EH27" s="176"/>
      <c r="EI27" s="176"/>
      <c r="EJ27" s="176"/>
      <c r="EK27" s="176"/>
      <c r="EL27" s="176"/>
      <c r="EM27" s="176"/>
      <c r="EN27" s="176"/>
      <c r="EO27" s="176"/>
      <c r="EP27" s="176"/>
      <c r="EQ27" s="176"/>
      <c r="ER27" s="176"/>
      <c r="ES27" s="176"/>
      <c r="ET27" s="176"/>
      <c r="EU27" s="176"/>
      <c r="EV27" s="176"/>
      <c r="EW27" s="176"/>
      <c r="EX27" s="176"/>
      <c r="EY27" s="176"/>
      <c r="EZ27" s="176"/>
      <c r="FA27" s="176"/>
      <c r="FB27" s="176"/>
      <c r="FC27" s="176"/>
      <c r="FD27" s="176"/>
      <c r="FE27" s="176"/>
      <c r="FF27" s="176"/>
      <c r="FG27" s="176"/>
      <c r="FH27" s="176"/>
      <c r="FI27" s="176"/>
      <c r="FJ27" s="176"/>
      <c r="FK27" s="176"/>
      <c r="FL27" s="176"/>
      <c r="FM27" s="176"/>
      <c r="FN27" s="176"/>
      <c r="FO27" s="176"/>
      <c r="FP27" s="176"/>
      <c r="FQ27" s="176"/>
      <c r="FR27" s="176"/>
      <c r="FS27" s="176"/>
      <c r="FT27" s="176"/>
      <c r="FU27" s="176"/>
      <c r="FV27" s="176"/>
      <c r="FW27" s="176"/>
      <c r="FX27" s="176"/>
      <c r="FY27" s="176"/>
      <c r="FZ27" s="176"/>
      <c r="GA27" s="176"/>
      <c r="GB27" s="176"/>
      <c r="GC27" s="176"/>
      <c r="GD27" s="176"/>
      <c r="GE27" s="176"/>
      <c r="GF27" s="176"/>
      <c r="GG27" s="176"/>
      <c r="GH27" s="176"/>
      <c r="GI27" s="176"/>
      <c r="GJ27" s="176"/>
      <c r="GK27" s="176"/>
      <c r="GL27" s="176"/>
      <c r="GM27" s="176"/>
      <c r="GN27" s="176"/>
      <c r="GO27" s="176"/>
      <c r="GP27" s="176"/>
      <c r="GQ27" s="176"/>
      <c r="GR27" s="176"/>
      <c r="GS27" s="176"/>
      <c r="GT27" s="176"/>
      <c r="GU27" s="176"/>
      <c r="GV27" s="176"/>
      <c r="GW27" s="176"/>
      <c r="GX27" s="176"/>
      <c r="GY27" s="176"/>
      <c r="GZ27" s="176"/>
      <c r="HA27" s="176"/>
      <c r="HB27" s="176"/>
      <c r="HC27" s="176"/>
      <c r="HD27" s="176"/>
      <c r="HE27" s="176"/>
      <c r="HF27" s="176"/>
      <c r="HG27" s="176"/>
      <c r="HH27" s="176"/>
      <c r="HI27" s="176"/>
      <c r="HJ27" s="176"/>
      <c r="HK27" s="176"/>
      <c r="HL27" s="176"/>
      <c r="HM27" s="176"/>
      <c r="HN27" s="176"/>
      <c r="HO27" s="176"/>
      <c r="HP27" s="176"/>
      <c r="HQ27" s="176"/>
      <c r="HR27" s="176"/>
      <c r="HS27" s="176"/>
      <c r="HT27" s="176"/>
      <c r="HU27" s="176"/>
      <c r="HV27" s="176"/>
      <c r="HW27" s="176"/>
      <c r="HX27" s="176"/>
      <c r="HY27" s="176"/>
      <c r="HZ27" s="176"/>
      <c r="IA27" s="176"/>
      <c r="IB27" s="176"/>
      <c r="IC27" s="176"/>
      <c r="ID27" s="176"/>
      <c r="IE27" s="176"/>
      <c r="IF27" s="176"/>
      <c r="IG27" s="176"/>
      <c r="IH27" s="176"/>
      <c r="II27" s="176"/>
      <c r="IJ27" s="176"/>
      <c r="IK27" s="176"/>
      <c r="IL27" s="176"/>
      <c r="IM27" s="176"/>
      <c r="IN27" s="176"/>
      <c r="IO27" s="176"/>
      <c r="IP27" s="176"/>
      <c r="IQ27" s="176"/>
      <c r="IR27" s="176"/>
      <c r="IS27" s="176"/>
      <c r="IT27" s="176"/>
      <c r="IU27" s="176"/>
      <c r="IV27" s="176"/>
      <c r="IW27" s="176"/>
    </row>
    <row r="28" customFormat="false" ht="12" hidden="false" customHeight="false" outlineLevel="0" collapsed="false">
      <c r="A28" s="178"/>
      <c r="B28" s="332" t="s">
        <v>282</v>
      </c>
      <c r="C28" s="170" t="n">
        <f aca="false">SUM(D28:O28)</f>
        <v>321146.666666666</v>
      </c>
      <c r="D28" s="170" t="n">
        <f aca="false">D22+D24-D26</f>
        <v>27095.8333333333</v>
      </c>
      <c r="E28" s="170" t="n">
        <f aca="false">E22+E24-E26</f>
        <v>26425.8333333333</v>
      </c>
      <c r="F28" s="170" t="n">
        <f aca="false">F22+F24-F26</f>
        <v>24629.1666666666</v>
      </c>
      <c r="G28" s="170" t="n">
        <f aca="false">G22+G24-G26</f>
        <v>26925.8333333333</v>
      </c>
      <c r="H28" s="170" t="n">
        <f aca="false">H22+H24-H26</f>
        <v>29329.1666666666</v>
      </c>
      <c r="I28" s="170" t="n">
        <f aca="false">I22+I24-I26</f>
        <v>27425.8333333333</v>
      </c>
      <c r="J28" s="170" t="n">
        <f aca="false">J22+J24-J26</f>
        <v>28995.8333333333</v>
      </c>
      <c r="K28" s="170" t="n">
        <f aca="false">K22+K24-K26</f>
        <v>26025.8333333333</v>
      </c>
      <c r="L28" s="170" t="n">
        <f aca="false">L22+L24-L26</f>
        <v>26695.8333333333</v>
      </c>
      <c r="M28" s="170" t="n">
        <f aca="false">M22+M24-M26</f>
        <v>28675.8333333333</v>
      </c>
      <c r="N28" s="170" t="n">
        <f aca="false">N22+N24-N26</f>
        <v>27545.8333333333</v>
      </c>
      <c r="O28" s="170" t="n">
        <f aca="false">O22+O24-O26</f>
        <v>21375.8333333333</v>
      </c>
      <c r="P28" s="178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76"/>
      <c r="BA28" s="176"/>
      <c r="BB28" s="176"/>
      <c r="BC28" s="176"/>
      <c r="BD28" s="176"/>
      <c r="BE28" s="176"/>
      <c r="BF28" s="176"/>
      <c r="BG28" s="176"/>
      <c r="BH28" s="176"/>
      <c r="BI28" s="176"/>
      <c r="BJ28" s="176"/>
      <c r="BK28" s="176"/>
      <c r="BL28" s="176"/>
      <c r="BM28" s="176"/>
      <c r="BN28" s="176"/>
      <c r="BO28" s="176"/>
      <c r="BP28" s="176"/>
      <c r="BQ28" s="176"/>
      <c r="BR28" s="176"/>
      <c r="BS28" s="176"/>
      <c r="BT28" s="176"/>
      <c r="BU28" s="176"/>
      <c r="BV28" s="176"/>
      <c r="BW28" s="176"/>
      <c r="BX28" s="176"/>
      <c r="BY28" s="176"/>
      <c r="BZ28" s="176"/>
      <c r="CA28" s="176"/>
      <c r="CB28" s="176"/>
      <c r="CC28" s="176"/>
      <c r="CD28" s="176"/>
      <c r="CE28" s="176"/>
      <c r="CF28" s="176"/>
      <c r="CG28" s="176"/>
      <c r="CH28" s="176"/>
      <c r="CI28" s="176"/>
      <c r="CJ28" s="176"/>
      <c r="CK28" s="176"/>
      <c r="CL28" s="176"/>
      <c r="CM28" s="176"/>
      <c r="CN28" s="176"/>
      <c r="CO28" s="176"/>
      <c r="CP28" s="176"/>
      <c r="CQ28" s="176"/>
      <c r="CR28" s="176"/>
      <c r="CS28" s="176"/>
      <c r="CT28" s="176"/>
      <c r="CU28" s="176"/>
      <c r="CV28" s="176"/>
      <c r="CW28" s="176"/>
      <c r="CX28" s="176"/>
      <c r="CY28" s="176"/>
      <c r="CZ28" s="176"/>
      <c r="DA28" s="176"/>
      <c r="DB28" s="176"/>
      <c r="DC28" s="176"/>
      <c r="DD28" s="176"/>
      <c r="DE28" s="176"/>
      <c r="DF28" s="176"/>
      <c r="DG28" s="176"/>
      <c r="DH28" s="176"/>
      <c r="DI28" s="176"/>
      <c r="DJ28" s="176"/>
      <c r="DK28" s="176"/>
      <c r="DL28" s="176"/>
      <c r="DM28" s="176"/>
      <c r="DN28" s="176"/>
      <c r="DO28" s="176"/>
      <c r="DP28" s="176"/>
      <c r="DQ28" s="176"/>
      <c r="DR28" s="176"/>
      <c r="DS28" s="176"/>
      <c r="DT28" s="176"/>
      <c r="DU28" s="176"/>
      <c r="DV28" s="176"/>
      <c r="DW28" s="176"/>
      <c r="DX28" s="176"/>
      <c r="DY28" s="176"/>
      <c r="DZ28" s="176"/>
      <c r="EA28" s="176"/>
      <c r="EB28" s="176"/>
      <c r="EC28" s="176"/>
      <c r="ED28" s="176"/>
      <c r="EE28" s="176"/>
      <c r="EF28" s="176"/>
      <c r="EG28" s="176"/>
      <c r="EH28" s="176"/>
      <c r="EI28" s="176"/>
      <c r="EJ28" s="176"/>
      <c r="EK28" s="176"/>
      <c r="EL28" s="176"/>
      <c r="EM28" s="176"/>
      <c r="EN28" s="176"/>
      <c r="EO28" s="176"/>
      <c r="EP28" s="176"/>
      <c r="EQ28" s="176"/>
      <c r="ER28" s="176"/>
      <c r="ES28" s="176"/>
      <c r="ET28" s="176"/>
      <c r="EU28" s="176"/>
      <c r="EV28" s="176"/>
      <c r="EW28" s="176"/>
      <c r="EX28" s="176"/>
      <c r="EY28" s="176"/>
      <c r="EZ28" s="176"/>
      <c r="FA28" s="176"/>
      <c r="FB28" s="176"/>
      <c r="FC28" s="176"/>
      <c r="FD28" s="176"/>
      <c r="FE28" s="176"/>
      <c r="FF28" s="176"/>
      <c r="FG28" s="176"/>
      <c r="FH28" s="176"/>
      <c r="FI28" s="176"/>
      <c r="FJ28" s="176"/>
      <c r="FK28" s="176"/>
      <c r="FL28" s="176"/>
      <c r="FM28" s="176"/>
      <c r="FN28" s="176"/>
      <c r="FO28" s="176"/>
      <c r="FP28" s="176"/>
      <c r="FQ28" s="176"/>
      <c r="FR28" s="176"/>
      <c r="FS28" s="176"/>
      <c r="FT28" s="176"/>
      <c r="FU28" s="176"/>
      <c r="FV28" s="176"/>
      <c r="FW28" s="176"/>
      <c r="FX28" s="176"/>
      <c r="FY28" s="176"/>
      <c r="FZ28" s="176"/>
      <c r="GA28" s="176"/>
      <c r="GB28" s="176"/>
      <c r="GC28" s="176"/>
      <c r="GD28" s="176"/>
      <c r="GE28" s="176"/>
      <c r="GF28" s="176"/>
      <c r="GG28" s="176"/>
      <c r="GH28" s="176"/>
      <c r="GI28" s="176"/>
      <c r="GJ28" s="176"/>
      <c r="GK28" s="176"/>
      <c r="GL28" s="176"/>
      <c r="GM28" s="176"/>
      <c r="GN28" s="176"/>
      <c r="GO28" s="176"/>
      <c r="GP28" s="176"/>
      <c r="GQ28" s="176"/>
      <c r="GR28" s="176"/>
      <c r="GS28" s="176"/>
      <c r="GT28" s="176"/>
      <c r="GU28" s="176"/>
      <c r="GV28" s="176"/>
      <c r="GW28" s="176"/>
      <c r="GX28" s="176"/>
      <c r="GY28" s="176"/>
      <c r="GZ28" s="176"/>
      <c r="HA28" s="176"/>
      <c r="HB28" s="176"/>
      <c r="HC28" s="176"/>
      <c r="HD28" s="176"/>
      <c r="HE28" s="176"/>
      <c r="HF28" s="176"/>
      <c r="HG28" s="176"/>
      <c r="HH28" s="176"/>
      <c r="HI28" s="176"/>
      <c r="HJ28" s="176"/>
      <c r="HK28" s="176"/>
      <c r="HL28" s="176"/>
      <c r="HM28" s="176"/>
      <c r="HN28" s="176"/>
      <c r="HO28" s="176"/>
      <c r="HP28" s="176"/>
      <c r="HQ28" s="176"/>
      <c r="HR28" s="176"/>
      <c r="HS28" s="176"/>
      <c r="HT28" s="176"/>
      <c r="HU28" s="176"/>
      <c r="HV28" s="176"/>
      <c r="HW28" s="176"/>
      <c r="HX28" s="176"/>
      <c r="HY28" s="176"/>
      <c r="HZ28" s="176"/>
      <c r="IA28" s="176"/>
      <c r="IB28" s="176"/>
      <c r="IC28" s="176"/>
      <c r="ID28" s="176"/>
      <c r="IE28" s="176"/>
      <c r="IF28" s="176"/>
      <c r="IG28" s="176"/>
      <c r="IH28" s="176"/>
      <c r="II28" s="176"/>
      <c r="IJ28" s="176"/>
      <c r="IK28" s="176"/>
      <c r="IL28" s="176"/>
      <c r="IM28" s="176"/>
      <c r="IN28" s="176"/>
      <c r="IO28" s="176"/>
      <c r="IP28" s="176"/>
      <c r="IQ28" s="176"/>
      <c r="IR28" s="176"/>
      <c r="IS28" s="176"/>
      <c r="IT28" s="176"/>
      <c r="IU28" s="176"/>
      <c r="IV28" s="176"/>
      <c r="IW28" s="176"/>
    </row>
    <row r="29" customFormat="false" ht="6" hidden="false" customHeight="true" outlineLevel="0" collapsed="false">
      <c r="A29" s="178"/>
      <c r="B29" s="334"/>
      <c r="C29" s="177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78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  <c r="BE29" s="176"/>
      <c r="BF29" s="176"/>
      <c r="BG29" s="176"/>
      <c r="BH29" s="176"/>
      <c r="BI29" s="176"/>
      <c r="BJ29" s="176"/>
      <c r="BK29" s="176"/>
      <c r="BL29" s="176"/>
      <c r="BM29" s="176"/>
      <c r="BN29" s="176"/>
      <c r="BO29" s="176"/>
      <c r="BP29" s="176"/>
      <c r="BQ29" s="176"/>
      <c r="BR29" s="176"/>
      <c r="BS29" s="176"/>
      <c r="BT29" s="176"/>
      <c r="BU29" s="176"/>
      <c r="BV29" s="176"/>
      <c r="BW29" s="176"/>
      <c r="BX29" s="176"/>
      <c r="BY29" s="176"/>
      <c r="BZ29" s="176"/>
      <c r="CA29" s="176"/>
      <c r="CB29" s="176"/>
      <c r="CC29" s="176"/>
      <c r="CD29" s="176"/>
      <c r="CE29" s="176"/>
      <c r="CF29" s="176"/>
      <c r="CG29" s="176"/>
      <c r="CH29" s="176"/>
      <c r="CI29" s="176"/>
      <c r="CJ29" s="176"/>
      <c r="CK29" s="176"/>
      <c r="CL29" s="176"/>
      <c r="CM29" s="176"/>
      <c r="CN29" s="176"/>
      <c r="CO29" s="176"/>
      <c r="CP29" s="176"/>
      <c r="CQ29" s="176"/>
      <c r="CR29" s="176"/>
      <c r="CS29" s="176"/>
      <c r="CT29" s="176"/>
      <c r="CU29" s="176"/>
      <c r="CV29" s="176"/>
      <c r="CW29" s="176"/>
      <c r="CX29" s="176"/>
      <c r="CY29" s="176"/>
      <c r="CZ29" s="176"/>
      <c r="DA29" s="176"/>
      <c r="DB29" s="176"/>
      <c r="DC29" s="176"/>
      <c r="DD29" s="176"/>
      <c r="DE29" s="176"/>
      <c r="DF29" s="176"/>
      <c r="DG29" s="176"/>
      <c r="DH29" s="176"/>
      <c r="DI29" s="176"/>
      <c r="DJ29" s="176"/>
      <c r="DK29" s="176"/>
      <c r="DL29" s="176"/>
      <c r="DM29" s="176"/>
      <c r="DN29" s="176"/>
      <c r="DO29" s="176"/>
      <c r="DP29" s="176"/>
      <c r="DQ29" s="176"/>
      <c r="DR29" s="176"/>
      <c r="DS29" s="176"/>
      <c r="DT29" s="176"/>
      <c r="DU29" s="176"/>
      <c r="DV29" s="176"/>
      <c r="DW29" s="176"/>
      <c r="DX29" s="176"/>
      <c r="DY29" s="176"/>
      <c r="DZ29" s="176"/>
      <c r="EA29" s="176"/>
      <c r="EB29" s="176"/>
      <c r="EC29" s="176"/>
      <c r="ED29" s="176"/>
      <c r="EE29" s="176"/>
      <c r="EF29" s="176"/>
      <c r="EG29" s="176"/>
      <c r="EH29" s="176"/>
      <c r="EI29" s="176"/>
      <c r="EJ29" s="176"/>
      <c r="EK29" s="176"/>
      <c r="EL29" s="176"/>
      <c r="EM29" s="176"/>
      <c r="EN29" s="176"/>
      <c r="EO29" s="176"/>
      <c r="EP29" s="176"/>
      <c r="EQ29" s="176"/>
      <c r="ER29" s="176"/>
      <c r="ES29" s="176"/>
      <c r="ET29" s="176"/>
      <c r="EU29" s="176"/>
      <c r="EV29" s="176"/>
      <c r="EW29" s="176"/>
      <c r="EX29" s="176"/>
      <c r="EY29" s="176"/>
      <c r="EZ29" s="176"/>
      <c r="FA29" s="176"/>
      <c r="FB29" s="176"/>
      <c r="FC29" s="176"/>
      <c r="FD29" s="176"/>
      <c r="FE29" s="176"/>
      <c r="FF29" s="176"/>
      <c r="FG29" s="176"/>
      <c r="FH29" s="176"/>
      <c r="FI29" s="176"/>
      <c r="FJ29" s="176"/>
      <c r="FK29" s="176"/>
      <c r="FL29" s="176"/>
      <c r="FM29" s="176"/>
      <c r="FN29" s="176"/>
      <c r="FO29" s="176"/>
      <c r="FP29" s="176"/>
      <c r="FQ29" s="176"/>
      <c r="FR29" s="176"/>
      <c r="FS29" s="176"/>
      <c r="FT29" s="176"/>
      <c r="FU29" s="176"/>
      <c r="FV29" s="176"/>
      <c r="FW29" s="176"/>
      <c r="FX29" s="176"/>
      <c r="FY29" s="176"/>
      <c r="FZ29" s="176"/>
      <c r="GA29" s="176"/>
      <c r="GB29" s="176"/>
      <c r="GC29" s="176"/>
      <c r="GD29" s="176"/>
      <c r="GE29" s="176"/>
      <c r="GF29" s="176"/>
      <c r="GG29" s="176"/>
      <c r="GH29" s="176"/>
      <c r="GI29" s="176"/>
      <c r="GJ29" s="176"/>
      <c r="GK29" s="176"/>
      <c r="GL29" s="176"/>
      <c r="GM29" s="176"/>
      <c r="GN29" s="176"/>
      <c r="GO29" s="176"/>
      <c r="GP29" s="176"/>
      <c r="GQ29" s="176"/>
      <c r="GR29" s="176"/>
      <c r="GS29" s="176"/>
      <c r="GT29" s="176"/>
      <c r="GU29" s="176"/>
      <c r="GV29" s="176"/>
      <c r="GW29" s="176"/>
      <c r="GX29" s="176"/>
      <c r="GY29" s="176"/>
      <c r="GZ29" s="176"/>
      <c r="HA29" s="176"/>
      <c r="HB29" s="176"/>
      <c r="HC29" s="176"/>
      <c r="HD29" s="176"/>
      <c r="HE29" s="176"/>
      <c r="HF29" s="176"/>
      <c r="HG29" s="176"/>
      <c r="HH29" s="176"/>
      <c r="HI29" s="176"/>
      <c r="HJ29" s="176"/>
      <c r="HK29" s="176"/>
      <c r="HL29" s="176"/>
      <c r="HM29" s="176"/>
      <c r="HN29" s="176"/>
      <c r="HO29" s="176"/>
      <c r="HP29" s="176"/>
      <c r="HQ29" s="176"/>
      <c r="HR29" s="176"/>
      <c r="HS29" s="176"/>
      <c r="HT29" s="176"/>
      <c r="HU29" s="176"/>
      <c r="HV29" s="176"/>
      <c r="HW29" s="176"/>
      <c r="HX29" s="176"/>
      <c r="HY29" s="176"/>
      <c r="HZ29" s="176"/>
      <c r="IA29" s="176"/>
      <c r="IB29" s="176"/>
      <c r="IC29" s="176"/>
      <c r="ID29" s="176"/>
      <c r="IE29" s="176"/>
      <c r="IF29" s="176"/>
      <c r="IG29" s="176"/>
      <c r="IH29" s="176"/>
      <c r="II29" s="176"/>
      <c r="IJ29" s="176"/>
      <c r="IK29" s="176"/>
      <c r="IL29" s="176"/>
      <c r="IM29" s="176"/>
      <c r="IN29" s="176"/>
      <c r="IO29" s="176"/>
      <c r="IP29" s="176"/>
      <c r="IQ29" s="176"/>
      <c r="IR29" s="176"/>
      <c r="IS29" s="176"/>
      <c r="IT29" s="176"/>
      <c r="IU29" s="176"/>
      <c r="IV29" s="176"/>
      <c r="IW29" s="176"/>
    </row>
    <row r="30" customFormat="false" ht="12" hidden="false" customHeight="false" outlineLevel="0" collapsed="false">
      <c r="A30" s="158"/>
      <c r="B30" s="333" t="s">
        <v>402</v>
      </c>
      <c r="C30" s="170" t="n">
        <f aca="false">SUM(D30:O30)</f>
        <v>157526.816666667</v>
      </c>
      <c r="D30" s="170" t="n">
        <f aca="false">IF(C5&gt;0,IF(D5&gt;0,D13,C13/C21),0)</f>
        <v>12615.0333333333</v>
      </c>
      <c r="E30" s="170" t="n">
        <f aca="false">IF(C5&gt;0,IF(E5&gt;0,E13,C13/C21),0)</f>
        <v>11929.2833333333</v>
      </c>
      <c r="F30" s="170" t="n">
        <f aca="false">IF(C5&gt;0,IF(F5&gt;0,F13,C13/C21),0)</f>
        <v>14206.6166666667</v>
      </c>
      <c r="G30" s="170" t="n">
        <f aca="false">IF(C5&gt;0,IF(G5&gt;0,G13,C13/C21),0)</f>
        <v>14428.0333333333</v>
      </c>
      <c r="H30" s="170" t="n">
        <f aca="false">IF(C5&gt;0,IF(H5&gt;0,H13,C13/C21),0)</f>
        <v>12368.3666666667</v>
      </c>
      <c r="I30" s="170" t="n">
        <f aca="false">IF(C5&gt;0,IF(I5&gt;0,I13,C13/C21),0)</f>
        <v>13852.6166666667</v>
      </c>
      <c r="J30" s="170" t="n">
        <f aca="false">IF(C5&gt;0,IF(J5&gt;0,J13,C13/C21),0)</f>
        <v>14295.5333333333</v>
      </c>
      <c r="K30" s="170" t="n">
        <f aca="false">IF(C5&gt;0,IF(K5&gt;0,K13,C13/C21),0)</f>
        <v>11492.2833333333</v>
      </c>
      <c r="L30" s="170" t="n">
        <f aca="false">IF(C5&gt;0,IF(L5&gt;0,L13,C13/C21),0)</f>
        <v>16503.2833333333</v>
      </c>
      <c r="M30" s="170" t="n">
        <f aca="false">IF(C5&gt;0,IF(M5&gt;0,M13,C13/C21),0)</f>
        <v>11995.0333333333</v>
      </c>
      <c r="N30" s="170" t="n">
        <f aca="false">IF(C5&gt;0,IF(N5&gt;0,N13,C13/C21),0)</f>
        <v>11666.7833333333</v>
      </c>
      <c r="O30" s="170" t="n">
        <f aca="false">IF(C5&gt;0,IF(O5&gt;0,O13,C13/C21),0)</f>
        <v>12173.95</v>
      </c>
      <c r="P30" s="158"/>
    </row>
    <row r="31" customFormat="false" ht="6" hidden="false" customHeight="true" outlineLevel="0" collapsed="false">
      <c r="A31" s="158"/>
      <c r="B31" s="333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58"/>
    </row>
    <row r="32" customFormat="false" ht="12" hidden="false" customHeight="false" outlineLevel="0" collapsed="false">
      <c r="A32" s="158"/>
      <c r="B32" s="332" t="s">
        <v>298</v>
      </c>
      <c r="C32" s="170" t="n">
        <f aca="false">SUM(D32:O32)</f>
        <v>163619.85</v>
      </c>
      <c r="D32" s="170" t="n">
        <f aca="false">D28-D30</f>
        <v>14480.8</v>
      </c>
      <c r="E32" s="170" t="n">
        <f aca="false">E28-E30</f>
        <v>14496.55</v>
      </c>
      <c r="F32" s="170" t="n">
        <f aca="false">F28-F30</f>
        <v>10422.55</v>
      </c>
      <c r="G32" s="170" t="n">
        <f aca="false">G28-G30</f>
        <v>12497.8</v>
      </c>
      <c r="H32" s="170" t="n">
        <f aca="false">H28-H30</f>
        <v>16960.8</v>
      </c>
      <c r="I32" s="170" t="n">
        <f aca="false">I28-I30</f>
        <v>13573.2166666666</v>
      </c>
      <c r="J32" s="170" t="n">
        <f aca="false">J28-J30</f>
        <v>14700.3</v>
      </c>
      <c r="K32" s="170" t="n">
        <f aca="false">K28-K30</f>
        <v>14533.55</v>
      </c>
      <c r="L32" s="170" t="n">
        <f aca="false">L28-L30</f>
        <v>10192.55</v>
      </c>
      <c r="M32" s="170" t="n">
        <f aca="false">M28-M30</f>
        <v>16680.8</v>
      </c>
      <c r="N32" s="170" t="n">
        <f aca="false">N28-N30</f>
        <v>15879.05</v>
      </c>
      <c r="O32" s="170" t="n">
        <f aca="false">O28-O30</f>
        <v>9201.8833333333</v>
      </c>
      <c r="P32" s="158"/>
    </row>
    <row r="33" customFormat="false" ht="12" hidden="false" customHeight="false" outlineLevel="0" collapsed="false">
      <c r="A33" s="158"/>
      <c r="B33" s="334" t="s">
        <v>299</v>
      </c>
      <c r="C33" s="170" t="n">
        <f aca="false">SUM(D33:O33)</f>
        <v>0</v>
      </c>
      <c r="D33" s="171" t="n">
        <f aca="false">D16</f>
        <v>0</v>
      </c>
      <c r="E33" s="171" t="n">
        <f aca="false">E16</f>
        <v>0</v>
      </c>
      <c r="F33" s="171" t="n">
        <f aca="false">F16</f>
        <v>0</v>
      </c>
      <c r="G33" s="171" t="n">
        <f aca="false">G16</f>
        <v>0</v>
      </c>
      <c r="H33" s="171" t="n">
        <f aca="false">H16</f>
        <v>0</v>
      </c>
      <c r="I33" s="171" t="n">
        <f aca="false">I16</f>
        <v>0</v>
      </c>
      <c r="J33" s="171" t="n">
        <f aca="false">J16</f>
        <v>0</v>
      </c>
      <c r="K33" s="171" t="n">
        <f aca="false">K16</f>
        <v>0</v>
      </c>
      <c r="L33" s="171" t="n">
        <f aca="false">L16</f>
        <v>0</v>
      </c>
      <c r="M33" s="171" t="n">
        <f aca="false">M16</f>
        <v>0</v>
      </c>
      <c r="N33" s="171" t="n">
        <f aca="false">N16</f>
        <v>0</v>
      </c>
      <c r="O33" s="171" t="n">
        <f aca="false">O16</f>
        <v>0</v>
      </c>
      <c r="P33" s="158"/>
    </row>
    <row r="34" customFormat="false" ht="12" hidden="false" customHeight="false" outlineLevel="0" collapsed="false">
      <c r="A34" s="158"/>
      <c r="B34" s="335" t="s">
        <v>300</v>
      </c>
      <c r="C34" s="170" t="n">
        <f aca="false">SUM(D34:O34)</f>
        <v>163619.85</v>
      </c>
      <c r="D34" s="170" t="n">
        <f aca="false">D32+D33</f>
        <v>14480.8</v>
      </c>
      <c r="E34" s="170" t="n">
        <f aca="false">E32+E33</f>
        <v>14496.55</v>
      </c>
      <c r="F34" s="170" t="n">
        <f aca="false">F32+F33</f>
        <v>10422.55</v>
      </c>
      <c r="G34" s="170" t="n">
        <f aca="false">G32+G33</f>
        <v>12497.8</v>
      </c>
      <c r="H34" s="170" t="n">
        <f aca="false">H32+H33</f>
        <v>16960.8</v>
      </c>
      <c r="I34" s="170" t="n">
        <f aca="false">I32+I33</f>
        <v>13573.2166666666</v>
      </c>
      <c r="J34" s="170" t="n">
        <f aca="false">J32+J33</f>
        <v>14700.3</v>
      </c>
      <c r="K34" s="170" t="n">
        <f aca="false">K32+K33</f>
        <v>14533.55</v>
      </c>
      <c r="L34" s="170" t="n">
        <f aca="false">L32+L33</f>
        <v>10192.55</v>
      </c>
      <c r="M34" s="170" t="n">
        <f aca="false">M32+M33</f>
        <v>16680.8</v>
      </c>
      <c r="N34" s="170" t="n">
        <f aca="false">N32+N33</f>
        <v>15879.05</v>
      </c>
      <c r="O34" s="170" t="n">
        <f aca="false">O32+O33</f>
        <v>9201.8833333333</v>
      </c>
      <c r="P34" s="158"/>
    </row>
    <row r="35" customFormat="false" ht="6" hidden="false" customHeight="true" outlineLevel="0" collapsed="false">
      <c r="A35" s="158"/>
      <c r="B35" s="332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/>
    </row>
    <row r="36" customFormat="false" ht="12" hidden="false" customHeight="true" outlineLevel="0" collapsed="false">
      <c r="A36" s="158"/>
      <c r="B36" s="338" t="s">
        <v>404</v>
      </c>
      <c r="C36" s="33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</row>
    <row r="37" customFormat="false" ht="12" hidden="false" customHeight="false" outlineLevel="0" collapsed="false">
      <c r="A37" s="158"/>
      <c r="B37" s="169" t="s">
        <v>405</v>
      </c>
      <c r="C37" s="339" t="n">
        <f aca="false">'Profit &amp; Loss Account'!B33+'Profit &amp; Loss Account'!B34</f>
        <v>21037</v>
      </c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</row>
    <row r="38" customFormat="false" ht="12" hidden="false" customHeight="false" outlineLevel="0" collapsed="false">
      <c r="A38" s="158"/>
      <c r="B38" s="169" t="s">
        <v>406</v>
      </c>
      <c r="C38" s="339" t="n">
        <f aca="false">[1]Schedule!$Q$1+[1]Schedule!$R$1+[1]Schedule!$AC$1+[1]Schedule!$Y$1-[1]Schedule!$Z$1</f>
        <v>65324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</row>
    <row r="39" customFormat="false" ht="12" hidden="false" customHeight="false" outlineLevel="0" collapsed="false">
      <c r="A39" s="158"/>
      <c r="B39" s="169" t="s">
        <v>407</v>
      </c>
      <c r="C39" s="339" t="n">
        <f aca="false">C34+C37-C38</f>
        <v>119332.85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</row>
    <row r="40" customFormat="false" ht="12" hidden="false" customHeight="false" outlineLevel="0" collapsed="false">
      <c r="A40" s="158"/>
      <c r="B40" s="182" t="s">
        <v>408</v>
      </c>
      <c r="C40" s="339" t="n">
        <f aca="false">IF(C39&lt;=0,0,MAX(0,Admin!N$4-MAX(0,C39-Admin!N$5)/2))</f>
        <v>2903.5750000002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</row>
    <row r="41" customFormat="false" ht="12" hidden="false" customHeight="false" outlineLevel="0" collapsed="false">
      <c r="A41" s="158"/>
      <c r="B41" s="182" t="s">
        <v>409</v>
      </c>
      <c r="C41" s="339" t="n">
        <f aca="false">IF((C39&gt;C40),(C39-C40),0)</f>
        <v>116429.274999999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</row>
    <row r="42" customFormat="false" ht="12" hidden="false" customHeight="false" outlineLevel="0" collapsed="false">
      <c r="A42" s="158"/>
      <c r="B42" s="182" t="s">
        <v>410</v>
      </c>
      <c r="C42" s="339" t="n">
        <f aca="false">IF((C41&gt;0),(IF((C41&lt;Admin!M$11),C41*Admin!N$6,Admin!M$11*Admin!N$6)),0)</f>
        <v>7540</v>
      </c>
      <c r="D42" s="340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</row>
    <row r="43" customFormat="false" ht="12" hidden="false" customHeight="false" outlineLevel="0" collapsed="false">
      <c r="A43" s="158"/>
      <c r="B43" s="182" t="s">
        <v>411</v>
      </c>
      <c r="C43" s="339" t="n">
        <f aca="false">IF(C41&gt;Admin!M$11,(MIN(C41,Admin!N$13)-Admin!M$11)*Admin!N$7,0)</f>
        <v>31491.7099999998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</row>
    <row r="44" customFormat="false" ht="12" hidden="false" customHeight="false" outlineLevel="0" collapsed="false">
      <c r="A44" s="158"/>
      <c r="B44" s="182" t="s">
        <v>412</v>
      </c>
      <c r="C44" s="339" t="n">
        <f aca="false">IF(C41&gt;Admin!N$13,(C41-Admin!N$13)*Admin!N$8,0)</f>
        <v>0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</row>
    <row r="45" customFormat="false" ht="12" hidden="false" customHeight="false" outlineLevel="0" collapsed="false">
      <c r="A45" s="158"/>
      <c r="B45" s="182" t="s">
        <v>413</v>
      </c>
      <c r="C45" s="339" t="n">
        <f aca="false">IF(C39&gt;Admin!N$20,IF(C39&lt;Admin!N$23,(C39-Admin!N$20)*Admin!L$20,(Admin!N$23-Admin!N$20)*Admin!L$20),0)+IF(C39&gt;Admin!N$23,(C39-Admin!N$23)*Admin!L$23,0)</f>
        <v>3643.25699999999</v>
      </c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</row>
    <row r="46" customFormat="false" ht="12" hidden="false" customHeight="false" outlineLevel="0" collapsed="false">
      <c r="A46" s="158"/>
      <c r="B46" s="182" t="s">
        <v>414</v>
      </c>
      <c r="C46" s="341" t="n">
        <f aca="false">C42+C43+C44+C45</f>
        <v>42674.9669999998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</row>
    <row r="47" customFormat="false" ht="12" hidden="false" customHeight="false" outlineLevel="0" collapsed="false">
      <c r="A47" s="158"/>
      <c r="B47" s="279"/>
      <c r="C47" s="186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</row>
  </sheetData>
  <mergeCells count="27">
    <mergeCell ref="B2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B19:B21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B36:C36"/>
  </mergeCells>
  <printOptions headings="false" gridLines="false" gridLinesSet="true" horizontalCentered="true" verticalCentered="false"/>
  <pageMargins left="0.157638888888889" right="0.157638888888889" top="0.590972222222222" bottom="0.551388888888889" header="0.157638888888889" footer="0.275694444444444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&amp;C&amp;"Arial,Bold"&amp;11Forecast Monthly Profit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50" width="1.5"/>
    <col collapsed="false" customWidth="true" hidden="false" outlineLevel="0" max="2" min="2" style="342" width="10.15"/>
    <col collapsed="false" customWidth="true" hidden="false" outlineLevel="0" max="3" min="3" style="50" width="4.66"/>
    <col collapsed="false" customWidth="true" hidden="false" outlineLevel="0" max="5" min="4" style="50" width="11.15"/>
    <col collapsed="false" customWidth="true" hidden="false" outlineLevel="0" max="6" min="6" style="50" width="10.99"/>
    <col collapsed="false" customWidth="false" hidden="false" outlineLevel="0" max="7" min="7" style="343" width="9.15"/>
    <col collapsed="false" customWidth="true" hidden="false" outlineLevel="0" max="8" min="8" style="50" width="4.66"/>
    <col collapsed="false" customWidth="false" hidden="false" outlineLevel="0" max="12" min="9" style="50" width="9.15"/>
    <col collapsed="false" customWidth="true" hidden="false" outlineLevel="0" max="13" min="13" style="50" width="13.49"/>
    <col collapsed="false" customWidth="false" hidden="false" outlineLevel="0" max="14" min="14" style="50" width="9.15"/>
    <col collapsed="false" customWidth="true" hidden="false" outlineLevel="0" max="15" min="15" style="50" width="4.33"/>
    <col collapsed="false" customWidth="false" hidden="false" outlineLevel="0" max="257" min="16" style="50" width="9.15"/>
  </cols>
  <sheetData>
    <row r="1" customFormat="false" ht="12" hidden="false" customHeight="true" outlineLevel="0" collapsed="false">
      <c r="A1" s="63"/>
      <c r="B1" s="344" t="s">
        <v>415</v>
      </c>
      <c r="C1" s="63"/>
      <c r="D1" s="345"/>
      <c r="E1" s="345"/>
      <c r="F1" s="345"/>
      <c r="G1" s="346"/>
      <c r="H1" s="63"/>
      <c r="I1" s="63"/>
      <c r="J1" s="63"/>
      <c r="K1" s="63"/>
      <c r="L1" s="63"/>
      <c r="M1" s="63"/>
      <c r="N1" s="63"/>
      <c r="O1" s="63"/>
    </row>
    <row r="2" customFormat="false" ht="12" hidden="false" customHeight="true" outlineLevel="0" collapsed="false">
      <c r="A2" s="63"/>
      <c r="B2" s="347" t="n">
        <v>46081</v>
      </c>
      <c r="C2" s="63"/>
      <c r="D2" s="348" t="s">
        <v>416</v>
      </c>
      <c r="E2" s="348"/>
      <c r="F2" s="348"/>
      <c r="G2" s="349" t="str">
        <f aca="false">B23</f>
        <v>2026-27</v>
      </c>
      <c r="H2" s="63"/>
      <c r="I2" s="63"/>
      <c r="J2" s="350" t="s">
        <v>417</v>
      </c>
      <c r="K2" s="350"/>
      <c r="L2" s="348" t="str">
        <f aca="false">G2</f>
        <v>2026-27</v>
      </c>
      <c r="M2" s="63"/>
      <c r="N2" s="63"/>
      <c r="O2" s="63"/>
    </row>
    <row r="3" customFormat="false" ht="12" hidden="false" customHeight="true" outlineLevel="0" collapsed="false">
      <c r="A3" s="63"/>
      <c r="B3" s="347" t="n">
        <v>46112</v>
      </c>
      <c r="C3" s="63"/>
      <c r="D3" s="63"/>
      <c r="E3" s="63"/>
      <c r="F3" s="63"/>
      <c r="G3" s="351"/>
      <c r="H3" s="63"/>
      <c r="I3" s="63"/>
      <c r="J3" s="352"/>
      <c r="K3" s="352"/>
      <c r="L3" s="346"/>
      <c r="M3" s="63"/>
      <c r="N3" s="63"/>
      <c r="O3" s="63"/>
    </row>
    <row r="4" customFormat="false" ht="12" hidden="false" customHeight="true" outlineLevel="0" collapsed="false">
      <c r="A4" s="63"/>
      <c r="B4" s="353" t="n">
        <v>46118</v>
      </c>
      <c r="C4" s="63"/>
      <c r="D4" s="354" t="s">
        <v>96</v>
      </c>
      <c r="E4" s="354"/>
      <c r="F4" s="354"/>
      <c r="G4" s="355" t="n">
        <v>1</v>
      </c>
      <c r="H4" s="63"/>
      <c r="I4" s="354" t="s">
        <v>418</v>
      </c>
      <c r="J4" s="354"/>
      <c r="K4" s="354"/>
      <c r="L4" s="354"/>
      <c r="M4" s="354"/>
      <c r="N4" s="356" t="n">
        <v>12570</v>
      </c>
      <c r="O4" s="351" t="s">
        <v>33</v>
      </c>
    </row>
    <row r="5" customFormat="false" ht="12" hidden="false" customHeight="true" outlineLevel="0" collapsed="false">
      <c r="A5" s="63"/>
      <c r="B5" s="347" t="n">
        <v>46142</v>
      </c>
      <c r="C5" s="63"/>
      <c r="D5" s="354" t="s">
        <v>419</v>
      </c>
      <c r="E5" s="354"/>
      <c r="F5" s="354"/>
      <c r="G5" s="355" t="n">
        <v>0.14</v>
      </c>
      <c r="H5" s="63"/>
      <c r="I5" s="354" t="s">
        <v>420</v>
      </c>
      <c r="J5" s="354"/>
      <c r="K5" s="354"/>
      <c r="L5" s="354"/>
      <c r="M5" s="354"/>
      <c r="N5" s="357" t="n">
        <v>100000</v>
      </c>
      <c r="O5" s="351" t="s">
        <v>33</v>
      </c>
    </row>
    <row r="6" customFormat="false" ht="12" hidden="false" customHeight="true" outlineLevel="0" collapsed="false">
      <c r="A6" s="63"/>
      <c r="B6" s="347" t="n">
        <v>46173</v>
      </c>
      <c r="C6" s="63"/>
      <c r="D6" s="63" t="s">
        <v>421</v>
      </c>
      <c r="E6" s="63"/>
      <c r="F6" s="63"/>
      <c r="G6" s="355" t="n">
        <v>0.06</v>
      </c>
      <c r="H6" s="63"/>
      <c r="I6" s="354" t="s">
        <v>422</v>
      </c>
      <c r="J6" s="354"/>
      <c r="K6" s="354"/>
      <c r="L6" s="354"/>
      <c r="M6" s="354"/>
      <c r="N6" s="355" t="n">
        <v>0.2</v>
      </c>
      <c r="O6" s="351" t="s">
        <v>423</v>
      </c>
    </row>
    <row r="7" customFormat="false" ht="12" hidden="false" customHeight="true" outlineLevel="0" collapsed="false">
      <c r="A7" s="63"/>
      <c r="B7" s="347" t="n">
        <v>46203</v>
      </c>
      <c r="C7" s="63"/>
      <c r="D7" s="354" t="s">
        <v>424</v>
      </c>
      <c r="E7" s="354"/>
      <c r="F7" s="354"/>
      <c r="G7" s="351"/>
      <c r="H7" s="63"/>
      <c r="I7" s="354" t="s">
        <v>425</v>
      </c>
      <c r="J7" s="354"/>
      <c r="K7" s="354"/>
      <c r="L7" s="354"/>
      <c r="M7" s="354"/>
      <c r="N7" s="355" t="n">
        <v>0.4</v>
      </c>
      <c r="O7" s="351" t="s">
        <v>423</v>
      </c>
    </row>
    <row r="8" customFormat="false" ht="12" hidden="false" customHeight="true" outlineLevel="0" collapsed="false">
      <c r="A8" s="63"/>
      <c r="B8" s="347" t="n">
        <v>46234</v>
      </c>
      <c r="C8" s="63"/>
      <c r="D8" s="63"/>
      <c r="E8" s="357"/>
      <c r="F8" s="63"/>
      <c r="G8" s="357"/>
      <c r="H8" s="63"/>
      <c r="I8" s="354" t="s">
        <v>426</v>
      </c>
      <c r="J8" s="354"/>
      <c r="K8" s="354"/>
      <c r="L8" s="354"/>
      <c r="M8" s="354"/>
      <c r="N8" s="355" t="n">
        <v>0.45</v>
      </c>
      <c r="O8" s="351" t="s">
        <v>423</v>
      </c>
    </row>
    <row r="9" customFormat="false" ht="12" hidden="false" customHeight="true" outlineLevel="0" collapsed="false">
      <c r="A9" s="63"/>
      <c r="B9" s="347" t="n">
        <v>46265</v>
      </c>
      <c r="C9" s="63"/>
      <c r="D9" s="63" t="s">
        <v>427</v>
      </c>
      <c r="E9" s="351"/>
      <c r="F9" s="63"/>
      <c r="G9" s="355" t="n">
        <v>0.03</v>
      </c>
      <c r="H9" s="63"/>
      <c r="I9" s="354" t="s">
        <v>428</v>
      </c>
      <c r="J9" s="354"/>
      <c r="K9" s="354"/>
      <c r="L9" s="358" t="s">
        <v>429</v>
      </c>
      <c r="M9" s="358" t="s">
        <v>430</v>
      </c>
      <c r="N9" s="359" t="s">
        <v>431</v>
      </c>
      <c r="O9" s="351"/>
    </row>
    <row r="10" customFormat="false" ht="12" hidden="false" customHeight="true" outlineLevel="0" collapsed="false">
      <c r="A10" s="63"/>
      <c r="B10" s="347" t="n">
        <v>46295</v>
      </c>
      <c r="C10" s="63"/>
      <c r="D10" s="63" t="s">
        <v>432</v>
      </c>
      <c r="E10" s="351"/>
      <c r="F10" s="63"/>
      <c r="G10" s="355" t="n">
        <v>0.1</v>
      </c>
      <c r="H10" s="63"/>
      <c r="I10" s="63"/>
      <c r="J10" s="63"/>
      <c r="K10" s="63"/>
      <c r="L10" s="63"/>
      <c r="M10" s="63"/>
      <c r="N10" s="351"/>
      <c r="O10" s="351"/>
    </row>
    <row r="11" customFormat="false" ht="12" hidden="false" customHeight="true" outlineLevel="0" collapsed="false">
      <c r="A11" s="63"/>
      <c r="B11" s="347" t="n">
        <v>46326</v>
      </c>
      <c r="C11" s="63"/>
      <c r="D11" s="348" t="s">
        <v>433</v>
      </c>
      <c r="E11" s="348"/>
      <c r="F11" s="348"/>
      <c r="G11" s="351" t="s">
        <v>423</v>
      </c>
      <c r="H11" s="63"/>
      <c r="I11" s="63" t="s">
        <v>434</v>
      </c>
      <c r="J11" s="63"/>
      <c r="K11" s="360" t="n">
        <v>0.2</v>
      </c>
      <c r="L11" s="351" t="n">
        <f aca="false">N11</f>
        <v>0</v>
      </c>
      <c r="M11" s="351" t="n">
        <v>37700</v>
      </c>
      <c r="N11" s="357" t="n">
        <v>0</v>
      </c>
      <c r="O11" s="351"/>
    </row>
    <row r="12" customFormat="false" ht="12" hidden="false" customHeight="true" outlineLevel="0" collapsed="false">
      <c r="A12" s="63"/>
      <c r="B12" s="347" t="n">
        <v>46356</v>
      </c>
      <c r="C12" s="63"/>
      <c r="D12" s="63"/>
      <c r="E12" s="63"/>
      <c r="F12" s="63"/>
      <c r="G12" s="351"/>
      <c r="H12" s="63"/>
      <c r="I12" s="63" t="s">
        <v>435</v>
      </c>
      <c r="J12" s="63"/>
      <c r="K12" s="360" t="n">
        <v>0.4</v>
      </c>
      <c r="L12" s="351" t="n">
        <v>37701</v>
      </c>
      <c r="M12" s="63"/>
      <c r="N12" s="357" t="n">
        <v>37701</v>
      </c>
      <c r="O12" s="351"/>
    </row>
    <row r="13" customFormat="false" ht="12" hidden="false" customHeight="true" outlineLevel="0" collapsed="false">
      <c r="A13" s="63"/>
      <c r="B13" s="347" t="n">
        <v>46387</v>
      </c>
      <c r="C13" s="63"/>
      <c r="D13" s="354" t="s">
        <v>436</v>
      </c>
      <c r="E13" s="354"/>
      <c r="F13" s="354"/>
      <c r="G13" s="355" t="n">
        <v>0</v>
      </c>
      <c r="H13" s="63"/>
      <c r="I13" s="63" t="s">
        <v>437</v>
      </c>
      <c r="J13" s="63"/>
      <c r="K13" s="360" t="n">
        <v>0.45</v>
      </c>
      <c r="L13" s="351" t="n">
        <v>125141</v>
      </c>
      <c r="M13" s="63"/>
      <c r="N13" s="357" t="n">
        <v>125140</v>
      </c>
      <c r="O13" s="63"/>
    </row>
    <row r="14" customFormat="false" ht="12" hidden="false" customHeight="true" outlineLevel="0" collapsed="false">
      <c r="A14" s="63"/>
      <c r="B14" s="347" t="n">
        <v>46418</v>
      </c>
      <c r="C14" s="63"/>
      <c r="D14" s="354" t="s">
        <v>438</v>
      </c>
      <c r="E14" s="354"/>
      <c r="F14" s="354"/>
      <c r="G14" s="355" t="n">
        <v>0.1</v>
      </c>
      <c r="H14" s="63"/>
      <c r="I14" s="348" t="s">
        <v>439</v>
      </c>
      <c r="J14" s="348"/>
      <c r="K14" s="348"/>
      <c r="L14" s="348" t="str">
        <f aca="false">G2</f>
        <v>2026-27</v>
      </c>
      <c r="M14" s="63"/>
      <c r="N14" s="63"/>
      <c r="O14" s="63"/>
    </row>
    <row r="15" customFormat="false" ht="12" hidden="false" customHeight="true" outlineLevel="0" collapsed="false">
      <c r="A15" s="63"/>
      <c r="B15" s="347" t="n">
        <v>46446</v>
      </c>
      <c r="C15" s="63"/>
      <c r="D15" s="354" t="s">
        <v>440</v>
      </c>
      <c r="E15" s="354"/>
      <c r="F15" s="354"/>
      <c r="G15" s="355" t="n">
        <v>0.2</v>
      </c>
      <c r="H15" s="63"/>
      <c r="I15" s="63"/>
      <c r="J15" s="63"/>
      <c r="K15" s="63"/>
      <c r="L15" s="63"/>
      <c r="M15" s="63"/>
      <c r="N15" s="63"/>
      <c r="O15" s="63"/>
    </row>
    <row r="16" customFormat="false" ht="12" hidden="false" customHeight="true" outlineLevel="0" collapsed="false">
      <c r="A16" s="63"/>
      <c r="B16" s="347" t="n">
        <v>46477</v>
      </c>
      <c r="C16" s="63"/>
      <c r="D16" s="354" t="s">
        <v>441</v>
      </c>
      <c r="E16" s="354"/>
      <c r="F16" s="354"/>
      <c r="G16" s="355" t="n">
        <v>0.33</v>
      </c>
      <c r="H16" s="63"/>
      <c r="I16" s="354" t="s">
        <v>442</v>
      </c>
      <c r="J16" s="354"/>
      <c r="K16" s="354"/>
      <c r="L16" s="361" t="n">
        <v>3.65</v>
      </c>
      <c r="M16" s="63" t="s">
        <v>443</v>
      </c>
      <c r="N16" s="357" t="n">
        <v>7105</v>
      </c>
      <c r="O16" s="351" t="s">
        <v>33</v>
      </c>
    </row>
    <row r="17" customFormat="false" ht="12" hidden="false" customHeight="true" outlineLevel="0" collapsed="false">
      <c r="A17" s="63"/>
      <c r="B17" s="353" t="n">
        <v>46482</v>
      </c>
      <c r="C17" s="63"/>
      <c r="D17" s="354" t="s">
        <v>444</v>
      </c>
      <c r="E17" s="354"/>
      <c r="F17" s="354"/>
      <c r="G17" s="355" t="n">
        <v>0.25</v>
      </c>
      <c r="H17" s="63"/>
      <c r="I17" s="63"/>
      <c r="J17" s="63"/>
      <c r="K17" s="63"/>
      <c r="L17" s="362"/>
      <c r="M17" s="63"/>
      <c r="N17" s="63"/>
      <c r="O17" s="63"/>
    </row>
    <row r="18" customFormat="false" ht="12" hidden="false" customHeight="true" outlineLevel="0" collapsed="false">
      <c r="A18" s="63"/>
      <c r="B18" s="347" t="n">
        <v>46507</v>
      </c>
      <c r="C18" s="63"/>
      <c r="D18" s="63"/>
      <c r="E18" s="63"/>
      <c r="F18" s="63"/>
      <c r="G18" s="351"/>
      <c r="H18" s="63"/>
      <c r="I18" s="63"/>
      <c r="J18" s="63"/>
      <c r="K18" s="63"/>
      <c r="L18" s="63"/>
      <c r="M18" s="63"/>
      <c r="N18" s="63"/>
      <c r="O18" s="63"/>
    </row>
    <row r="19" customFormat="false" ht="12" hidden="false" customHeight="true" outlineLevel="0" collapsed="false">
      <c r="A19" s="63"/>
      <c r="B19" s="347" t="n">
        <v>46538</v>
      </c>
      <c r="C19" s="63"/>
      <c r="D19" s="348" t="s">
        <v>445</v>
      </c>
      <c r="E19" s="348"/>
      <c r="F19" s="351" t="s">
        <v>446</v>
      </c>
      <c r="G19" s="351" t="s">
        <v>447</v>
      </c>
      <c r="H19" s="63"/>
      <c r="I19" s="363" t="s">
        <v>448</v>
      </c>
      <c r="J19" s="363"/>
      <c r="K19" s="363"/>
      <c r="L19" s="63"/>
      <c r="M19" s="364" t="s">
        <v>449</v>
      </c>
      <c r="N19" s="63"/>
      <c r="O19" s="63"/>
    </row>
    <row r="20" customFormat="false" ht="12" hidden="false" customHeight="true" outlineLevel="0" collapsed="false">
      <c r="A20" s="63"/>
      <c r="B20" s="347" t="n">
        <v>46568</v>
      </c>
      <c r="C20" s="63"/>
      <c r="D20" s="346"/>
      <c r="E20" s="346"/>
      <c r="F20" s="351"/>
      <c r="G20" s="351"/>
      <c r="H20" s="63"/>
      <c r="I20" s="363"/>
      <c r="J20" s="363"/>
      <c r="K20" s="363"/>
      <c r="L20" s="365" t="n">
        <v>0.06</v>
      </c>
      <c r="M20" s="364"/>
      <c r="N20" s="357" t="n">
        <v>12570</v>
      </c>
      <c r="O20" s="351" t="s">
        <v>33</v>
      </c>
    </row>
    <row r="21" customFormat="false" ht="12" hidden="false" customHeight="true" outlineLevel="0" collapsed="false">
      <c r="A21" s="63"/>
      <c r="B21" s="347" t="n">
        <v>46783</v>
      </c>
      <c r="C21" s="63"/>
      <c r="D21" s="354" t="s">
        <v>450</v>
      </c>
      <c r="E21" s="354"/>
      <c r="F21" s="357" t="n">
        <v>10000</v>
      </c>
      <c r="G21" s="361" t="n">
        <v>0.55</v>
      </c>
      <c r="H21" s="63"/>
      <c r="I21" s="366"/>
      <c r="J21" s="366"/>
      <c r="K21" s="366"/>
      <c r="L21" s="360"/>
      <c r="M21" s="63"/>
      <c r="N21" s="63"/>
      <c r="O21" s="63"/>
    </row>
    <row r="22" customFormat="false" ht="12" hidden="false" customHeight="true" outlineLevel="0" collapsed="false">
      <c r="A22" s="63"/>
      <c r="B22" s="347" t="n">
        <v>46965</v>
      </c>
      <c r="C22" s="63"/>
      <c r="D22" s="63" t="s">
        <v>451</v>
      </c>
      <c r="E22" s="63"/>
      <c r="F22" s="357" t="n">
        <v>10001</v>
      </c>
      <c r="G22" s="361" t="n">
        <v>0.25</v>
      </c>
      <c r="H22" s="63"/>
      <c r="I22" s="363" t="s">
        <v>452</v>
      </c>
      <c r="J22" s="363"/>
      <c r="K22" s="363"/>
      <c r="L22" s="63"/>
      <c r="M22" s="364" t="s">
        <v>453</v>
      </c>
      <c r="N22" s="63"/>
      <c r="O22" s="63"/>
    </row>
    <row r="23" customFormat="false" ht="12" hidden="false" customHeight="true" outlineLevel="0" collapsed="false">
      <c r="A23" s="63"/>
      <c r="B23" s="353" t="s">
        <v>454</v>
      </c>
      <c r="C23" s="63"/>
      <c r="D23" s="63"/>
      <c r="E23" s="63"/>
      <c r="F23" s="351"/>
      <c r="G23" s="362"/>
      <c r="H23" s="63"/>
      <c r="I23" s="363"/>
      <c r="J23" s="363"/>
      <c r="K23" s="363"/>
      <c r="L23" s="365" t="n">
        <v>0.02</v>
      </c>
      <c r="M23" s="364"/>
      <c r="N23" s="357" t="n">
        <v>50270</v>
      </c>
      <c r="O23" s="351" t="s">
        <v>33</v>
      </c>
    </row>
    <row r="24" customFormat="false" ht="12" hidden="false" customHeight="true" outlineLevel="0" collapsed="false">
      <c r="A24" s="63"/>
      <c r="B24" s="353" t="s">
        <v>455</v>
      </c>
      <c r="C24" s="63"/>
      <c r="D24" s="348" t="s">
        <v>445</v>
      </c>
      <c r="E24" s="348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customFormat="false" ht="12" hidden="false" customHeight="true" outlineLevel="0" collapsed="false">
      <c r="A25" s="63"/>
      <c r="B25" s="347" t="n">
        <v>46599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customFormat="false" ht="12" hidden="false" customHeight="false" outlineLevel="0" collapsed="false">
      <c r="A26" s="63"/>
      <c r="B26" s="367"/>
      <c r="C26" s="63"/>
      <c r="D26" s="354" t="s">
        <v>456</v>
      </c>
      <c r="E26" s="354"/>
      <c r="F26" s="357" t="n">
        <v>90000</v>
      </c>
      <c r="G26" s="351"/>
      <c r="H26" s="63"/>
      <c r="I26" s="63"/>
      <c r="J26" s="63"/>
      <c r="K26" s="63"/>
      <c r="L26" s="63"/>
      <c r="M26" s="63"/>
      <c r="N26" s="63"/>
      <c r="O26" s="63"/>
    </row>
    <row r="27" customFormat="false" ht="12" hidden="false" customHeight="false" outlineLevel="0" collapsed="false">
      <c r="A27" s="63"/>
      <c r="B27" s="367"/>
      <c r="C27" s="63"/>
      <c r="D27" s="63" t="s">
        <v>457</v>
      </c>
      <c r="E27" s="63"/>
      <c r="F27" s="355" t="n">
        <v>0.2</v>
      </c>
      <c r="G27" s="351"/>
      <c r="H27" s="63"/>
      <c r="I27" s="63"/>
      <c r="J27" s="63"/>
      <c r="K27" s="63"/>
      <c r="L27" s="63"/>
      <c r="M27" s="63"/>
      <c r="N27" s="63"/>
      <c r="O27" s="63"/>
    </row>
    <row r="28" customFormat="false" ht="12" hidden="false" customHeight="false" outlineLevel="0" collapsed="false">
      <c r="A28" s="63"/>
      <c r="B28" s="367"/>
      <c r="C28" s="63"/>
      <c r="D28" s="63"/>
      <c r="E28" s="63"/>
      <c r="F28" s="63"/>
      <c r="G28" s="351"/>
      <c r="H28" s="63"/>
      <c r="I28" s="63"/>
      <c r="J28" s="63"/>
      <c r="K28" s="63"/>
      <c r="L28" s="63"/>
      <c r="M28" s="63"/>
      <c r="N28" s="63"/>
      <c r="O28" s="63"/>
    </row>
  </sheetData>
  <mergeCells count="28">
    <mergeCell ref="D1:F1"/>
    <mergeCell ref="D2:F2"/>
    <mergeCell ref="J2:K2"/>
    <mergeCell ref="D4:F4"/>
    <mergeCell ref="I4:M4"/>
    <mergeCell ref="D5:F5"/>
    <mergeCell ref="I5:M5"/>
    <mergeCell ref="I6:M6"/>
    <mergeCell ref="D7:F7"/>
    <mergeCell ref="I7:M7"/>
    <mergeCell ref="I8:M8"/>
    <mergeCell ref="I9:K9"/>
    <mergeCell ref="D11:F11"/>
    <mergeCell ref="D13:F13"/>
    <mergeCell ref="D14:F14"/>
    <mergeCell ref="I14:K14"/>
    <mergeCell ref="D15:F15"/>
    <mergeCell ref="D16:F16"/>
    <mergeCell ref="I16:K16"/>
    <mergeCell ref="D17:F17"/>
    <mergeCell ref="D19:E19"/>
    <mergeCell ref="I19:K20"/>
    <mergeCell ref="M19:M20"/>
    <mergeCell ref="D21:E21"/>
    <mergeCell ref="I22:K23"/>
    <mergeCell ref="M22:M23"/>
    <mergeCell ref="D24:E24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2008-06-02T20:53:06Z</cp:lastPrinted>
  <dcterms:modified xsi:type="dcterms:W3CDTF">2025-04-03T22:48:48Z</dcterms:modified>
  <cp:revision>0</cp:revision>
  <dc:subject/>
  <dc:title>Financial Accounts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