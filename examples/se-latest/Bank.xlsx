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pr" sheetId="1" state="visible" r:id="rId3"/>
    <sheet name="May" sheetId="2" state="visible" r:id="rId4"/>
    <sheet name="Jun" sheetId="3" state="visible" r:id="rId5"/>
    <sheet name="Jul" sheetId="4" state="visible" r:id="rId6"/>
    <sheet name="Aug" sheetId="5" state="visible" r:id="rId7"/>
    <sheet name="Sep" sheetId="6" state="visible" r:id="rId8"/>
    <sheet name="Oct" sheetId="7" state="visible" r:id="rId9"/>
    <sheet name="Nov" sheetId="8" state="visible" r:id="rId10"/>
    <sheet name="Dec" sheetId="9" state="visible" r:id="rId11"/>
    <sheet name="Jan" sheetId="10" state="visible" r:id="rId12"/>
    <sheet name="Feb" sheetId="11" state="visible" r:id="rId13"/>
    <sheet name="Mar" sheetId="12" state="visible" r:id="rId14"/>
  </sheets>
  <externalReferences>
    <externalReference r:id="rId15"/>
  </externalReferences>
  <definedNames>
    <definedName function="false" hidden="false" localSheetId="0" name="_xlnm.Print_Area" vbProcedure="false">Apr!$A$1:$AA$75</definedName>
    <definedName function="false" hidden="false" localSheetId="0" name="_xlnm.Print_Titles" vbProcedure="false">Apr!$1:$5</definedName>
    <definedName function="false" hidden="false" localSheetId="4" name="_xlnm.Print_Area" vbProcedure="false">Aug!$A$1:$AA$75</definedName>
    <definedName function="false" hidden="false" localSheetId="4" name="_xlnm.Print_Titles" vbProcedure="false">Aug!$1:$5</definedName>
    <definedName function="false" hidden="false" localSheetId="8" name="_xlnm.Print_Area" vbProcedure="false">Dec!$A$1:$AA$75</definedName>
    <definedName function="false" hidden="false" localSheetId="8" name="_xlnm.Print_Titles" vbProcedure="false">Dec!$1:$5</definedName>
    <definedName function="false" hidden="false" localSheetId="10" name="_xlnm.Print_Area" vbProcedure="false">Feb!$A$1:$AA$75</definedName>
    <definedName function="false" hidden="false" localSheetId="10" name="_xlnm.Print_Titles" vbProcedure="false">Feb!$1:$5</definedName>
    <definedName function="false" hidden="false" localSheetId="9" name="_xlnm.Print_Area" vbProcedure="false">Jan!$A$1:$AA$75</definedName>
    <definedName function="false" hidden="false" localSheetId="9" name="_xlnm.Print_Titles" vbProcedure="false">Jan!$1:$5</definedName>
    <definedName function="false" hidden="false" localSheetId="3" name="_xlnm.Print_Area" vbProcedure="false">Jul!$A$1:$AA$75</definedName>
    <definedName function="false" hidden="false" localSheetId="3" name="_xlnm.Print_Titles" vbProcedure="false">Jul!$1:$5</definedName>
    <definedName function="false" hidden="false" localSheetId="2" name="_xlnm.Print_Area" vbProcedure="false">Jun!$A$1:$AA$75</definedName>
    <definedName function="false" hidden="false" localSheetId="2" name="_xlnm.Print_Titles" vbProcedure="false">Jun!$1:$5</definedName>
    <definedName function="false" hidden="false" localSheetId="11" name="_xlnm.Print_Area" vbProcedure="false">Mar!$A$1:$AA$75</definedName>
    <definedName function="false" hidden="false" localSheetId="11" name="_xlnm.Print_Titles" vbProcedure="false">Mar!$1:$5</definedName>
    <definedName function="false" hidden="false" localSheetId="1" name="_xlnm.Print_Area" vbProcedure="false">May!$A$1:$AA$75</definedName>
    <definedName function="false" hidden="false" localSheetId="1" name="_xlnm.Print_Titles" vbProcedure="false">May!$1:$5</definedName>
    <definedName function="false" hidden="false" localSheetId="7" name="_xlnm.Print_Area" vbProcedure="false">Nov!$A$1:$AA$75</definedName>
    <definedName function="false" hidden="false" localSheetId="7" name="_xlnm.Print_Titles" vbProcedure="false">Nov!$1:$5</definedName>
    <definedName function="false" hidden="false" localSheetId="6" name="_xlnm.Print_Area" vbProcedure="false">Oct!$A$1:$AA$75</definedName>
    <definedName function="false" hidden="false" localSheetId="6" name="_xlnm.Print_Titles" vbProcedure="false">Oct!$1:$5</definedName>
    <definedName function="false" hidden="false" localSheetId="5" name="_xlnm.Print_Area" vbProcedure="false">Sep!$A$1:$AA$75</definedName>
    <definedName function="false" hidden="false" localSheetId="5" name="_xlnm.Print_Titles" vbProcedure="false">Sep!$1:$5</definedName>
    <definedName function="false" hidden="false" localSheetId="0" name="_xlnm_Print_Area" vbProcedure="false">Apr!$A$1:$AA$75</definedName>
    <definedName function="false" hidden="false" localSheetId="0" name="_xlnm_Print_Titles" vbProcedure="false">Apr!$1:$5</definedName>
    <definedName function="false" hidden="false" localSheetId="1" name="_xlnm_Print_Area" vbProcedure="false">May!$A$1:$AA$75</definedName>
    <definedName function="false" hidden="false" localSheetId="1" name="_xlnm_Print_Titles" vbProcedure="false">May!$1:$5</definedName>
    <definedName function="false" hidden="false" localSheetId="2" name="_xlnm_Print_Area" vbProcedure="false">Jun!$A$1:$AA$75</definedName>
    <definedName function="false" hidden="false" localSheetId="2" name="_xlnm_Print_Titles" vbProcedure="false">Jun!$1:$5</definedName>
    <definedName function="false" hidden="false" localSheetId="3" name="_xlnm_Print_Area" vbProcedure="false">Jul!$A$1:$AA$75</definedName>
    <definedName function="false" hidden="false" localSheetId="3" name="_xlnm_Print_Titles" vbProcedure="false">Jul!$1:$5</definedName>
    <definedName function="false" hidden="false" localSheetId="4" name="_xlnm_Print_Area" vbProcedure="false">Aug!$A$1:$AA$75</definedName>
    <definedName function="false" hidden="false" localSheetId="4" name="_xlnm_Print_Titles" vbProcedure="false">Aug!$1:$5</definedName>
    <definedName function="false" hidden="false" localSheetId="5" name="_xlnm_Print_Area" vbProcedure="false">Sep!$A$1:$AA$75</definedName>
    <definedName function="false" hidden="false" localSheetId="5" name="_xlnm_Print_Titles" vbProcedure="false">Sep!$1:$5</definedName>
    <definedName function="false" hidden="false" localSheetId="6" name="_xlnm_Print_Area" vbProcedure="false">Oct!$A$1:$AA$75</definedName>
    <definedName function="false" hidden="false" localSheetId="6" name="_xlnm_Print_Titles" vbProcedure="false">Oct!$1:$5</definedName>
    <definedName function="false" hidden="false" localSheetId="7" name="_xlnm_Print_Area" vbProcedure="false">Nov!$A$1:$AA$75</definedName>
    <definedName function="false" hidden="false" localSheetId="7" name="_xlnm_Print_Titles" vbProcedure="false">Nov!$1:$5</definedName>
    <definedName function="false" hidden="false" localSheetId="8" name="_xlnm_Print_Area" vbProcedure="false">Dec!$A$1:$AA$75</definedName>
    <definedName function="false" hidden="false" localSheetId="8" name="_xlnm_Print_Titles" vbProcedure="false">Dec!$1:$5</definedName>
    <definedName function="false" hidden="false" localSheetId="9" name="_xlnm_Print_Area" vbProcedure="false">Jan!$A$1:$AA$75</definedName>
    <definedName function="false" hidden="false" localSheetId="9" name="_xlnm_Print_Titles" vbProcedure="false">Jan!$1:$5</definedName>
    <definedName function="false" hidden="false" localSheetId="10" name="_xlnm_Print_Area" vbProcedure="false">Feb!$A$1:$AA$75</definedName>
    <definedName function="false" hidden="false" localSheetId="10" name="_xlnm_Print_Titles" vbProcedure="false">Feb!$1:$5</definedName>
    <definedName function="false" hidden="false" localSheetId="11" name="_xlnm_Print_Area" vbProcedure="false">Mar!$A$1:$AA$75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<sst xmlns="http://schemas.openxmlformats.org/spreadsheetml/2006/main" count="886" uniqueCount="63">
  <si>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</si>
  <si>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</si>
  <si>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</si>
  <si>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</si>
  <si>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</si>
  <si>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ENTER BANK RECEIPTS</t>
  </si>
  <si>
    <t xml:space="preserve">CURRENT ACCOUNT STATEMENT RECEIPTS</t>
  </si>
  <si>
    <t xml:space="preserve">Enter Purchase Invoice No.</t>
  </si>
  <si>
    <t xml:space="preserve">Cheque number  Direct Debit</t>
  </si>
  <si>
    <t xml:space="preserve">ENTER BANK PAYMENT</t>
  </si>
  <si>
    <t xml:space="preserve">CURRENT ACCOUNT STATEMENT PAYMENTS</t>
  </si>
  <si>
    <t xml:space="preserve">&lt;  Statement Bank Balance</t>
  </si>
  <si>
    <t xml:space="preserve">Cash paid into Bank</t>
  </si>
  <si>
    <t xml:space="preserve">Amount Received Debtors</t>
  </si>
  <si>
    <t xml:space="preserve">Amount Received Creditors</t>
  </si>
  <si>
    <t xml:space="preserve">Bank Interest Received</t>
  </si>
  <si>
    <t xml:space="preserve">HMRC   Refunded</t>
  </si>
  <si>
    <t xml:space="preserve">Capital Introduced</t>
  </si>
  <si>
    <t xml:space="preserve">Bank Contra items</t>
  </si>
  <si>
    <t xml:space="preserve">Cash Withdrawn from Bank</t>
  </si>
  <si>
    <t xml:space="preserve">Amount Paid Creditors</t>
  </si>
  <si>
    <t xml:space="preserve">Amount Paid Debtors</t>
  </si>
  <si>
    <t xml:space="preserve">Net        Wages      Paid</t>
  </si>
  <si>
    <t xml:space="preserve">HP Interest Leasing &amp; Bank Charges</t>
  </si>
  <si>
    <t xml:space="preserve">Bank Loan &amp; Overdraft Interest</t>
  </si>
  <si>
    <t xml:space="preserve">HMRC Payments</t>
  </si>
  <si>
    <t xml:space="preserve">Drawings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</si>
  <si>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</si>
  <si>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</si>
  <si>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</si>
  <si>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</si>
  <si>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</si>
  <si>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BC</t>
  </si>
  <si>
    <t xml:space="preserve">DR</t>
  </si>
  <si>
    <t xml:space="preserve">CR</t>
  </si>
  <si>
    <t xml:space="preserve">K</t>
  </si>
  <si>
    <t xml:space="preserve">RV</t>
  </si>
  <si>
    <t xml:space="preserve">DL</t>
  </si>
  <si>
    <t xml:space="preserve">X</t>
  </si>
  <si>
    <t xml:space="preserve">W</t>
  </si>
  <si>
    <t xml:space="preserve">B</t>
  </si>
  <si>
    <t xml:space="preserve">J</t>
  </si>
  <si>
    <t xml:space="preserve">RP</t>
  </si>
  <si>
    <t xml:space="preserve">Acme Corp</t>
  </si>
  <si>
    <t xml:space="preserve">WorkSpace Ltd</t>
  </si>
  <si>
    <t xml:space="preserve">Beta Systems</t>
  </si>
  <si>
    <t xml:space="preserve">Director</t>
  </si>
  <si>
    <t xml:space="preserve">Various suppliers</t>
  </si>
  <si>
    <t xml:space="preserve">TechStart Ltd</t>
  </si>
  <si>
    <t xml:space="preserve">HMRC</t>
  </si>
  <si>
    <t xml:space="preserve">Gamma Ltd</t>
  </si>
  <si>
    <t xml:space="preserve">Payroll</t>
  </si>
  <si>
    <t xml:space="preserve">Various customers</t>
  </si>
  <si>
    <t xml:space="preserve">Smith &amp; Co</t>
  </si>
  <si>
    <t xml:space="preserve">Credit card payment</t>
  </si>
  <si>
    <t xml:space="preserve">HSBC</t>
  </si>
  <si>
    <t xml:space="preserve">Directors loan interest</t>
  </si>
  <si>
    <t xml:space="preserve">Proprietor</t>
  </si>
  <si>
    <t xml:space="preserve">Innovate UK</t>
  </si>
  <si>
    <t xml:space="preserve">Private buyer</t>
  </si>
  <si>
    <t xml:space="preserve">Ford</t>
  </si>
  <si>
    <t xml:space="preserve">Director loan</t>
  </si>
  <si>
    <t xml:space="preserve">Internal transfer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</si>
</sst>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46118</v>
          </cell>
        </row>
        <row r="5">
          <cell r="B5">
            <v>46142</v>
          </cell>
        </row>
        <row r="6">
          <cell r="B6">
            <v>46173</v>
          </cell>
        </row>
        <row r="7">
          <cell r="B7">
            <v>46203</v>
          </cell>
        </row>
        <row r="8">
          <cell r="B8">
            <v>46234</v>
          </cell>
        </row>
        <row r="9">
          <cell r="B9">
            <v>46265</v>
          </cell>
        </row>
        <row r="10">
          <cell r="B10">
            <v>46295</v>
          </cell>
        </row>
        <row r="11">
          <cell r="B11">
            <v>46326</v>
          </cell>
        </row>
        <row r="12">
          <cell r="B12">
            <v>46356</v>
          </cell>
        </row>
        <row r="13">
          <cell r="B13">
            <v>46387</v>
          </cell>
        </row>
        <row r="14">
          <cell r="B14">
            <v>46418</v>
          </cell>
        </row>
        <row r="15">
          <cell r="B15">
            <v>46446</v>
          </cell>
        </row>
        <row r="17">
          <cell r="B17">
            <v>46482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7" t="n">
        <v>25000</v>
      </c>
      <c r="B1" s="8" t="s">
        <v>0</v>
      </c>
      <c r="C1" s="9" t="n">
        <f aca="false">[1]Admin!$B$4</f>
        <v>46118</v>
      </c>
      <c r="D1" s="10" t="s">
        <v>1</v>
      </c>
      <c r="E1" s="11" t="n">
        <f aca="false">F1-SUM(G1:M1)</f>
        <v>0</v>
      </c>
      <c r="F1" s="12" t="n">
        <f aca="false">SUM(F6:F200)</f>
        <v>44200</v>
      </c>
      <c r="G1" s="12" t="n">
        <f aca="false">SUM(G6:G200)</f>
        <v>0</v>
      </c>
      <c r="H1" s="12" t="n">
        <f aca="false">SUM(H6:H200)</f>
        <v>44200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15153</v>
      </c>
      <c r="U1" s="12" t="n">
        <f aca="false">SUM(U6:U200)</f>
        <v>0</v>
      </c>
      <c r="V1" s="12" t="n">
        <f aca="false">SUM(V6:V200)</f>
        <v>3700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4301</v>
      </c>
      <c r="AB1" s="12" t="n">
        <f aca="false">SUM(AB6:AB200)</f>
        <v>1000</v>
      </c>
      <c r="AC1" s="12" t="n">
        <f aca="false">SUM(AC6:AC200)</f>
        <v>500</v>
      </c>
    </row>
    <row r="2" customFormat="false" ht="15" hidden="false" customHeight="true" outlineLevel="0" collapsed="false">
      <c r="A2" s="17" t="n">
        <f aca="false">A1+F1-T1</f>
        <v>54047</v>
      </c>
      <c r="B2" s="18" t="s">
        <v>2</v>
      </c>
      <c r="C2" s="9" t="n">
        <f aca="false">[1]Admin!$B$5</f>
        <v>46142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46142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54047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45757</v>
      </c>
      <c r="B6" s="2" t="s">
        <v>43</v>
      </c>
      <c r="E6" s="5" t="s">
        <v>33</v>
      </c>
      <c r="F6" s="6" t="n">
        <v>7200</v>
      </c>
      <c r="G6" s="6" t="str">
        <f aca="false">IF(E6="BC",F6," ")</f>
        <v> </v>
      </c>
      <c r="H6" s="6" t="n">
        <f aca="false">IF(E6="DR",F6," ")</f>
        <v>7200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45748</v>
      </c>
      <c r="P6" s="4" t="s">
        <v>44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45762</v>
      </c>
      <c r="B7" s="2" t="s">
        <v>45</v>
      </c>
      <c r="E7" s="5" t="s">
        <v>33</v>
      </c>
      <c r="F7" s="6" t="n">
        <v>1200</v>
      </c>
      <c r="G7" s="6" t="str">
        <f aca="false">IF(E7="BC",F7," ")</f>
        <v> </v>
      </c>
      <c r="H7" s="6" t="n">
        <f aca="false">IF(E7="DR",F7," ")</f>
        <v>1200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45748</v>
      </c>
      <c r="P7" s="4" t="s">
        <v>46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45767</v>
      </c>
      <c r="B8" s="2" t="s">
        <v>43</v>
      </c>
      <c r="E8" s="5" t="s">
        <v>33</v>
      </c>
      <c r="F8" s="6" t="n">
        <v>8000</v>
      </c>
      <c r="G8" s="6" t="str">
        <f aca="false">IF(E8="BC",F8," ")</f>
        <v> </v>
      </c>
      <c r="H8" s="6" t="n">
        <f aca="false">IF(E8="DR",F8," ")</f>
        <v>8000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45752</v>
      </c>
      <c r="P8" s="4" t="s">
        <v>47</v>
      </c>
      <c r="S8" s="38" t="s">
        <v>34</v>
      </c>
      <c r="T8" s="6" t="n">
        <v>2200</v>
      </c>
      <c r="U8" s="6" t="str">
        <f aca="false">IF(S8="BC",T8," ")</f>
        <v> </v>
      </c>
      <c r="V8" s="6" t="n">
        <f aca="false">IF(S8="CR",T8," ")</f>
        <v>2200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45772</v>
      </c>
      <c r="B9" s="2" t="s">
        <v>48</v>
      </c>
      <c r="E9" s="5" t="s">
        <v>33</v>
      </c>
      <c r="F9" s="6" t="n">
        <v>2400</v>
      </c>
      <c r="G9" s="6" t="str">
        <f aca="false">IF(E9="BC",F9," ")</f>
        <v> </v>
      </c>
      <c r="H9" s="6" t="n">
        <f aca="false">IF(E9="DR",F9," ")</f>
        <v>2400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45766</v>
      </c>
      <c r="P9" s="4" t="s">
        <v>49</v>
      </c>
      <c r="S9" s="38" t="s">
        <v>42</v>
      </c>
      <c r="T9" s="6" t="n">
        <v>1501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1501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45772</v>
      </c>
      <c r="B10" s="2" t="s">
        <v>50</v>
      </c>
      <c r="E10" s="5" t="s">
        <v>33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45775</v>
      </c>
      <c r="P10" s="4" t="s">
        <v>51</v>
      </c>
      <c r="S10" s="38" t="s">
        <v>39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45775</v>
      </c>
      <c r="B11" s="2" t="s">
        <v>52</v>
      </c>
      <c r="E11" s="5" t="s">
        <v>33</v>
      </c>
      <c r="F11" s="6" t="n">
        <v>23000</v>
      </c>
      <c r="G11" s="6" t="str">
        <f aca="false">IF(E11="BC",F11," ")</f>
        <v> </v>
      </c>
      <c r="H11" s="6" t="n">
        <f aca="false">IF(E11="DR",F11," ")</f>
        <v>23000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45777</v>
      </c>
      <c r="P11" s="4" t="s">
        <v>53</v>
      </c>
      <c r="S11" s="38" t="s">
        <v>34</v>
      </c>
      <c r="T11" s="6" t="n">
        <v>300</v>
      </c>
      <c r="U11" s="6" t="str">
        <f aca="false">IF(S11="BC",T11," ")</f>
        <v> </v>
      </c>
      <c r="V11" s="6" t="n">
        <f aca="false">IF(S11="CR",T11," ")</f>
        <v>300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45777</v>
      </c>
      <c r="P12" s="4" t="s">
        <v>54</v>
      </c>
      <c r="S12" s="38" t="s">
        <v>38</v>
      </c>
      <c r="T12" s="6" t="n">
        <v>500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n">
        <f aca="false">IF(S12="X",T12," ")</f>
        <v>500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46113</v>
      </c>
      <c r="P13" s="4" t="s">
        <v>49</v>
      </c>
      <c r="S13" s="38" t="s">
        <v>42</v>
      </c>
      <c r="T13" s="6" t="n">
        <v>2800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n">
        <f aca="false">IF(S13="RP",T13," ")</f>
        <v>2800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showDropDown="false" showErrorMessage="true" showInputMessage="false" sqref="E6:E200" type="list">
      <formula1>$G$5:$M$5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Apr!A2</f>
        <v>54047</v>
      </c>
      <c r="B1" s="8" t="s">
        <v>0</v>
      </c>
      <c r="C1" s="9" t="n">
        <f aca="false">Apr!C2</f>
        <v>46142</v>
      </c>
      <c r="D1" s="10" t="s">
        <v>1</v>
      </c>
      <c r="E1" s="11" t="n">
        <f aca="false">F1-SUM(G1:M1)</f>
        <v>0</v>
      </c>
      <c r="F1" s="12" t="n">
        <f aca="false">SUM(F6:F200)</f>
        <v>32920</v>
      </c>
      <c r="G1" s="12" t="n">
        <f aca="false">SUM(G6:G200)</f>
        <v>0</v>
      </c>
      <c r="H1" s="12" t="n">
        <f aca="false">SUM(H6:H200)</f>
        <v>32920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12478</v>
      </c>
      <c r="U1" s="12" t="n">
        <f aca="false">SUM(U6:U200)</f>
        <v>0</v>
      </c>
      <c r="V1" s="12" t="n">
        <f aca="false">SUM(V6:V200)</f>
        <v>4300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25</v>
      </c>
      <c r="Z1" s="12" t="n">
        <f aca="false">SUM(Z6:Z200)</f>
        <v>0</v>
      </c>
      <c r="AA1" s="12" t="n">
        <f aca="false">SUM(AA6:AA200)</f>
        <v>1501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74489</v>
      </c>
      <c r="B2" s="18" t="s">
        <v>2</v>
      </c>
      <c r="C2" s="9" t="n">
        <f aca="false">[1]Admin!$B$6</f>
        <v>46173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46173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74489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45797</v>
      </c>
      <c r="B6" s="2" t="s">
        <v>43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45778</v>
      </c>
      <c r="P6" s="4" t="s">
        <v>44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45802</v>
      </c>
      <c r="B7" s="2" t="s">
        <v>48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45778</v>
      </c>
      <c r="P7" s="4" t="s">
        <v>46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45805</v>
      </c>
      <c r="B8" s="2" t="s">
        <v>52</v>
      </c>
      <c r="E8" s="5" t="s">
        <v>33</v>
      </c>
      <c r="F8" s="6" t="n">
        <v>22520</v>
      </c>
      <c r="G8" s="6" t="str">
        <f aca="false">IF(E8="BC",F8," ")</f>
        <v> </v>
      </c>
      <c r="H8" s="6" t="n">
        <f aca="false">IF(E8="DR",F8," ")</f>
        <v>22520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45782</v>
      </c>
      <c r="P8" s="4" t="s">
        <v>47</v>
      </c>
      <c r="S8" s="38" t="s">
        <v>34</v>
      </c>
      <c r="T8" s="6" t="n">
        <v>2800</v>
      </c>
      <c r="U8" s="6" t="str">
        <f aca="false">IF(S8="BC",T8," ")</f>
        <v> </v>
      </c>
      <c r="V8" s="6" t="n">
        <f aca="false">IF(S8="CR",T8," ")</f>
        <v>2800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45796</v>
      </c>
      <c r="P9" s="4" t="s">
        <v>49</v>
      </c>
      <c r="S9" s="38" t="s">
        <v>42</v>
      </c>
      <c r="T9" s="6" t="n">
        <v>1501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1501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45802</v>
      </c>
      <c r="P10" s="4" t="s">
        <v>55</v>
      </c>
      <c r="S10" s="38" t="s">
        <v>40</v>
      </c>
      <c r="T10" s="6" t="n">
        <v>25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n">
        <f aca="false">IF(S10="B",T10," ")</f>
        <v>25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45805</v>
      </c>
      <c r="P11" s="4" t="s">
        <v>51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45808</v>
      </c>
      <c r="P12" s="4" t="s">
        <v>53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May!A2</f>
        <v>74489</v>
      </c>
      <c r="B1" s="8" t="s">
        <v>0</v>
      </c>
      <c r="C1" s="9" t="n">
        <f aca="false">May!C2</f>
        <v>46173</v>
      </c>
      <c r="D1" s="10" t="s">
        <v>1</v>
      </c>
      <c r="E1" s="11" t="n">
        <f aca="false">F1-SUM(G1:M1)</f>
        <v>0</v>
      </c>
      <c r="F1" s="12" t="n">
        <f aca="false">SUM(F6:F200)</f>
        <v>35200</v>
      </c>
      <c r="G1" s="12" t="n">
        <f aca="false">SUM(G6:G200)</f>
        <v>0</v>
      </c>
      <c r="H1" s="12" t="n">
        <f aca="false">SUM(H6:H200)</f>
        <v>35200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12403</v>
      </c>
      <c r="U1" s="12" t="n">
        <f aca="false">SUM(U6:U200)</f>
        <v>0</v>
      </c>
      <c r="V1" s="12" t="n">
        <f aca="false">SUM(V6:V200)</f>
        <v>4000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250</v>
      </c>
      <c r="Z1" s="12" t="n">
        <f aca="false">SUM(Z6:Z200)</f>
        <v>0</v>
      </c>
      <c r="AA1" s="12" t="n">
        <f aca="false">SUM(AA6:AA200)</f>
        <v>1501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97286</v>
      </c>
      <c r="B2" s="18" t="s">
        <v>2</v>
      </c>
      <c r="C2" s="9" t="n">
        <f aca="false">[1]Admin!$B$7</f>
        <v>46203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46203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97286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45828</v>
      </c>
      <c r="B6" s="2" t="s">
        <v>43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45809</v>
      </c>
      <c r="P6" s="4" t="s">
        <v>44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45833</v>
      </c>
      <c r="B7" s="2" t="s">
        <v>48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45809</v>
      </c>
      <c r="P7" s="4" t="s">
        <v>46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45836</v>
      </c>
      <c r="B8" s="2" t="s">
        <v>52</v>
      </c>
      <c r="E8" s="5" t="s">
        <v>33</v>
      </c>
      <c r="F8" s="6" t="n">
        <v>24800</v>
      </c>
      <c r="G8" s="6" t="str">
        <f aca="false">IF(E8="BC",F8," ")</f>
        <v> </v>
      </c>
      <c r="H8" s="6" t="n">
        <f aca="false">IF(E8="DR",F8," ")</f>
        <v>24800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45813</v>
      </c>
      <c r="P8" s="4" t="s">
        <v>47</v>
      </c>
      <c r="S8" s="38" t="s">
        <v>34</v>
      </c>
      <c r="T8" s="6" t="n">
        <v>2500</v>
      </c>
      <c r="U8" s="6" t="str">
        <f aca="false">IF(S8="BC",T8," ")</f>
        <v> </v>
      </c>
      <c r="V8" s="6" t="n">
        <f aca="false">IF(S8="CR",T8," ")</f>
        <v>2500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45827</v>
      </c>
      <c r="P9" s="4" t="s">
        <v>49</v>
      </c>
      <c r="S9" s="38" t="s">
        <v>42</v>
      </c>
      <c r="T9" s="6" t="n">
        <v>1501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1501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45836</v>
      </c>
      <c r="P10" s="4" t="s">
        <v>51</v>
      </c>
      <c r="S10" s="38" t="s">
        <v>39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45838</v>
      </c>
      <c r="P11" s="4" t="s">
        <v>56</v>
      </c>
      <c r="S11" s="38" t="s">
        <v>40</v>
      </c>
      <c r="T11" s="6" t="n">
        <v>250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n">
        <f aca="false">IF(S11="B",T11," ")</f>
        <v>250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45838</v>
      </c>
      <c r="P12" s="4" t="s">
        <v>53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Jun!A2</f>
        <v>97286</v>
      </c>
      <c r="B1" s="8" t="s">
        <v>0</v>
      </c>
      <c r="C1" s="9" t="n">
        <f aca="false">Jun!C2</f>
        <v>46203</v>
      </c>
      <c r="D1" s="10" t="s">
        <v>1</v>
      </c>
      <c r="E1" s="11" t="n">
        <f aca="false">F1-SUM(G1:M1)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33760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20053</v>
      </c>
      <c r="U1" s="12" t="n">
        <f aca="false">SUM(U6:U200)</f>
        <v>0</v>
      </c>
      <c r="V1" s="12" t="n">
        <f aca="false">SUM(V6:V200)</f>
        <v>3800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6301</v>
      </c>
      <c r="AB1" s="12" t="n">
        <f aca="false">SUM(AB6:AB200)</f>
        <v>4000</v>
      </c>
      <c r="AC1" s="12" t="n">
        <f aca="false">SUM(AC6:AC200)</f>
        <v>300</v>
      </c>
    </row>
    <row r="2" customFormat="false" ht="15" hidden="false" customHeight="true" outlineLevel="0" collapsed="false">
      <c r="A2" s="17" t="n">
        <f aca="false">A1+F1-T1</f>
        <v>110993</v>
      </c>
      <c r="B2" s="18" t="s">
        <v>2</v>
      </c>
      <c r="C2" s="9" t="n">
        <f aca="false">[1]Admin!$B$8</f>
        <v>46234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46234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110993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45858</v>
      </c>
      <c r="B6" s="2" t="s">
        <v>43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45839</v>
      </c>
      <c r="P6" s="4" t="s">
        <v>44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45863</v>
      </c>
      <c r="B7" s="2" t="s">
        <v>48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45839</v>
      </c>
      <c r="P7" s="4" t="s">
        <v>46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45866</v>
      </c>
      <c r="B8" s="2" t="s">
        <v>52</v>
      </c>
      <c r="E8" s="5" t="s">
        <v>33</v>
      </c>
      <c r="F8" s="6" t="n">
        <v>23360</v>
      </c>
      <c r="G8" s="6" t="str">
        <f aca="false">IF(E8="BC",F8," ")</f>
        <v> </v>
      </c>
      <c r="H8" s="6" t="n">
        <f aca="false">IF(E8="DR",F8," ")</f>
        <v>23360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45843</v>
      </c>
      <c r="P8" s="4" t="s">
        <v>47</v>
      </c>
      <c r="S8" s="38" t="s">
        <v>34</v>
      </c>
      <c r="T8" s="6" t="n">
        <v>2300</v>
      </c>
      <c r="U8" s="6" t="str">
        <f aca="false">IF(S8="BC",T8," ")</f>
        <v> </v>
      </c>
      <c r="V8" s="6" t="n">
        <f aca="false">IF(S8="CR",T8," ")</f>
        <v>2300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45845</v>
      </c>
      <c r="P9" s="4" t="s">
        <v>49</v>
      </c>
      <c r="S9" s="38" t="s">
        <v>42</v>
      </c>
      <c r="T9" s="6" t="n">
        <v>3800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3800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45853</v>
      </c>
      <c r="P10" s="4" t="s">
        <v>57</v>
      </c>
      <c r="S10" s="38" t="s">
        <v>37</v>
      </c>
      <c r="T10" s="6" t="n">
        <v>3000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n">
        <f aca="false">IF(S10="DL",T10," ")</f>
        <v>3000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45857</v>
      </c>
      <c r="P11" s="4" t="s">
        <v>49</v>
      </c>
      <c r="S11" s="38" t="s">
        <v>42</v>
      </c>
      <c r="T11" s="6" t="n">
        <v>1501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n">
        <f aca="false">IF(S11="RP",T11," ")</f>
        <v>1501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45857</v>
      </c>
      <c r="P12" s="4" t="s">
        <v>49</v>
      </c>
      <c r="S12" s="38" t="s">
        <v>42</v>
      </c>
      <c r="T12" s="6" t="n">
        <v>1000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n">
        <f aca="false">IF(S12="RP",T12," ")</f>
        <v>1000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45866</v>
      </c>
      <c r="P13" s="4" t="s">
        <v>51</v>
      </c>
      <c r="S13" s="38" t="s">
        <v>39</v>
      </c>
      <c r="T13" s="6" t="n">
        <v>5652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n">
        <f aca="false">IF(S13="W",T13," ")</f>
        <v>5652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45869</v>
      </c>
      <c r="P14" s="4" t="s">
        <v>53</v>
      </c>
      <c r="S14" s="38" t="s">
        <v>34</v>
      </c>
      <c r="T14" s="6" t="n">
        <v>300</v>
      </c>
      <c r="U14" s="6" t="str">
        <f aca="false">IF(S14="BC",T14," ")</f>
        <v> </v>
      </c>
      <c r="V14" s="6" t="n">
        <f aca="false">IF(S14="CR",T14," ")</f>
        <v>300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O15" s="1" t="n">
        <v>45869</v>
      </c>
      <c r="P15" s="4" t="s">
        <v>54</v>
      </c>
      <c r="S15" s="38" t="s">
        <v>38</v>
      </c>
      <c r="T15" s="6" t="n">
        <v>300</v>
      </c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n">
        <f aca="false">IF(S15="X",T15," ")</f>
        <v>300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Jul!A2</f>
        <v>110993</v>
      </c>
      <c r="B1" s="8" t="s">
        <v>0</v>
      </c>
      <c r="C1" s="9" t="n">
        <f aca="false">Jul!C2</f>
        <v>46234</v>
      </c>
      <c r="D1" s="10" t="s">
        <v>1</v>
      </c>
      <c r="E1" s="11" t="n">
        <f aca="false">F1-SUM(G1:M1)</f>
        <v>0</v>
      </c>
      <c r="F1" s="12" t="n">
        <f aca="false">SUM(F6:F200)</f>
        <v>38520</v>
      </c>
      <c r="G1" s="12" t="n">
        <f aca="false">SUM(G6:G200)</f>
        <v>0</v>
      </c>
      <c r="H1" s="12" t="n">
        <f aca="false">SUM(H6:H200)</f>
        <v>36020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2500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12253</v>
      </c>
      <c r="U1" s="12" t="n">
        <f aca="false">SUM(U6:U200)</f>
        <v>0</v>
      </c>
      <c r="V1" s="12" t="n">
        <f aca="false">SUM(V6:V200)</f>
        <v>4100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1501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137260</v>
      </c>
      <c r="B2" s="18" t="s">
        <v>2</v>
      </c>
      <c r="C2" s="9" t="n">
        <f aca="false">[1]Admin!$B$9</f>
        <v>46265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46265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137260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45874</v>
      </c>
      <c r="B6" s="2" t="s">
        <v>58</v>
      </c>
      <c r="E6" s="5" t="s">
        <v>36</v>
      </c>
      <c r="F6" s="6" t="n">
        <v>2500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n">
        <f aca="false">IF(E6="RV",F6," ")</f>
        <v>2500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45870</v>
      </c>
      <c r="P6" s="4" t="s">
        <v>44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45889</v>
      </c>
      <c r="B7" s="2" t="s">
        <v>43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45870</v>
      </c>
      <c r="P7" s="4" t="s">
        <v>46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45894</v>
      </c>
      <c r="B8" s="2" t="s">
        <v>48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45874</v>
      </c>
      <c r="P8" s="4" t="s">
        <v>47</v>
      </c>
      <c r="S8" s="38" t="s">
        <v>34</v>
      </c>
      <c r="T8" s="6" t="n">
        <v>2600</v>
      </c>
      <c r="U8" s="6" t="str">
        <f aca="false">IF(S8="BC",T8," ")</f>
        <v> </v>
      </c>
      <c r="V8" s="6" t="n">
        <f aca="false">IF(S8="CR",T8," ")</f>
        <v>2600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45897</v>
      </c>
      <c r="B9" s="2" t="s">
        <v>52</v>
      </c>
      <c r="E9" s="5" t="s">
        <v>33</v>
      </c>
      <c r="F9" s="6" t="n">
        <v>25620</v>
      </c>
      <c r="G9" s="6" t="str">
        <f aca="false">IF(E9="BC",F9," ")</f>
        <v> </v>
      </c>
      <c r="H9" s="6" t="n">
        <f aca="false">IF(E9="DR",F9," ")</f>
        <v>25620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45888</v>
      </c>
      <c r="P9" s="4" t="s">
        <v>49</v>
      </c>
      <c r="S9" s="38" t="s">
        <v>42</v>
      </c>
      <c r="T9" s="6" t="n">
        <v>1501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1501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45897</v>
      </c>
      <c r="P10" s="4" t="s">
        <v>51</v>
      </c>
      <c r="S10" s="38" t="s">
        <v>39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45900</v>
      </c>
      <c r="P11" s="4" t="s">
        <v>53</v>
      </c>
      <c r="S11" s="38" t="s">
        <v>34</v>
      </c>
      <c r="T11" s="6" t="n">
        <v>300</v>
      </c>
      <c r="U11" s="6" t="str">
        <f aca="false">IF(S11="BC",T11," ")</f>
        <v> </v>
      </c>
      <c r="V11" s="6" t="n">
        <f aca="false">IF(S11="CR",T11," ")</f>
        <v>300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S12" s="38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Aug!A2</f>
        <v>137260</v>
      </c>
      <c r="B1" s="8" t="s">
        <v>0</v>
      </c>
      <c r="C1" s="9" t="n">
        <f aca="false">Aug!C2</f>
        <v>46265</v>
      </c>
      <c r="D1" s="10" t="s">
        <v>1</v>
      </c>
      <c r="E1" s="11" t="n">
        <f aca="false">F1-SUM(G1:M1)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33760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11961</v>
      </c>
      <c r="U1" s="12" t="n">
        <f aca="false">SUM(U6:U200)</f>
        <v>0</v>
      </c>
      <c r="V1" s="12" t="n">
        <f aca="false">SUM(V6:V200)</f>
        <v>3600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208</v>
      </c>
      <c r="Z1" s="12" t="n">
        <f aca="false">SUM(Z6:Z200)</f>
        <v>0</v>
      </c>
      <c r="AA1" s="12" t="n">
        <f aca="false">SUM(AA6:AA200)</f>
        <v>1501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159059</v>
      </c>
      <c r="B2" s="18" t="s">
        <v>2</v>
      </c>
      <c r="C2" s="9" t="n">
        <f aca="false">[1]Admin!$B$10</f>
        <v>46295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46295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159059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45920</v>
      </c>
      <c r="B6" s="2" t="s">
        <v>43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45901</v>
      </c>
      <c r="P6" s="4" t="s">
        <v>44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45925</v>
      </c>
      <c r="B7" s="2" t="s">
        <v>48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45901</v>
      </c>
      <c r="P7" s="4" t="s">
        <v>46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45928</v>
      </c>
      <c r="B8" s="2" t="s">
        <v>52</v>
      </c>
      <c r="E8" s="5" t="s">
        <v>33</v>
      </c>
      <c r="F8" s="6" t="n">
        <v>23360</v>
      </c>
      <c r="G8" s="6" t="str">
        <f aca="false">IF(E8="BC",F8," ")</f>
        <v> </v>
      </c>
      <c r="H8" s="6" t="n">
        <f aca="false">IF(E8="DR",F8," ")</f>
        <v>23360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45905</v>
      </c>
      <c r="P8" s="4" t="s">
        <v>47</v>
      </c>
      <c r="S8" s="38" t="s">
        <v>34</v>
      </c>
      <c r="T8" s="6" t="n">
        <v>2100</v>
      </c>
      <c r="U8" s="6" t="str">
        <f aca="false">IF(S8="BC",T8," ")</f>
        <v> </v>
      </c>
      <c r="V8" s="6" t="n">
        <f aca="false">IF(S8="CR",T8," ")</f>
        <v>2100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45919</v>
      </c>
      <c r="P9" s="4" t="s">
        <v>49</v>
      </c>
      <c r="S9" s="38" t="s">
        <v>42</v>
      </c>
      <c r="T9" s="6" t="n">
        <v>1501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1501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45928</v>
      </c>
      <c r="P10" s="4" t="s">
        <v>51</v>
      </c>
      <c r="S10" s="38" t="s">
        <v>39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45930</v>
      </c>
      <c r="P11" s="4" t="s">
        <v>56</v>
      </c>
      <c r="S11" s="38" t="s">
        <v>40</v>
      </c>
      <c r="T11" s="6" t="n">
        <v>208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n">
        <f aca="false">IF(S11="B",T11," ")</f>
        <v>208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45930</v>
      </c>
      <c r="P12" s="4" t="s">
        <v>53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Sep!A2</f>
        <v>159059</v>
      </c>
      <c r="B1" s="8" t="s">
        <v>0</v>
      </c>
      <c r="C1" s="9" t="n">
        <f aca="false">Sep!C2</f>
        <v>46295</v>
      </c>
      <c r="D1" s="10" t="s">
        <v>1</v>
      </c>
      <c r="E1" s="11" t="n">
        <f aca="false">F1-SUM(G1:M1)</f>
        <v>0</v>
      </c>
      <c r="F1" s="12" t="n">
        <f aca="false">SUM(F6:F200)</f>
        <v>50560</v>
      </c>
      <c r="G1" s="12" t="n">
        <f aca="false">SUM(G6:G200)</f>
        <v>0</v>
      </c>
      <c r="H1" s="12" t="n">
        <f aca="false">SUM(H6:H200)</f>
        <v>50560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59853</v>
      </c>
      <c r="U1" s="12" t="n">
        <f aca="false">SUM(U6:U200)</f>
        <v>0</v>
      </c>
      <c r="V1" s="12" t="n">
        <f aca="false">SUM(V6:V200)</f>
        <v>40500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9201</v>
      </c>
      <c r="AB1" s="12" t="n">
        <f aca="false">SUM(AB6:AB200)</f>
        <v>4000</v>
      </c>
      <c r="AC1" s="12" t="n">
        <f aca="false">SUM(AC6:AC200)</f>
        <v>500</v>
      </c>
    </row>
    <row r="2" customFormat="false" ht="15" hidden="false" customHeight="true" outlineLevel="0" collapsed="false">
      <c r="A2" s="17" t="n">
        <f aca="false">A1+F1-T1</f>
        <v>149766</v>
      </c>
      <c r="B2" s="18" t="s">
        <v>2</v>
      </c>
      <c r="C2" s="9" t="n">
        <f aca="false">[1]Admin!$B$11</f>
        <v>46326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46326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149766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45945</v>
      </c>
      <c r="B6" s="2" t="s">
        <v>59</v>
      </c>
      <c r="E6" s="5" t="s">
        <v>33</v>
      </c>
      <c r="F6" s="6" t="n">
        <v>15000</v>
      </c>
      <c r="G6" s="6" t="str">
        <f aca="false">IF(E6="BC",F6," ")</f>
        <v> </v>
      </c>
      <c r="H6" s="6" t="n">
        <f aca="false">IF(E6="DR",F6," ")</f>
        <v>15000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45931</v>
      </c>
      <c r="P6" s="4" t="s">
        <v>44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45950</v>
      </c>
      <c r="B7" s="2" t="s">
        <v>43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45931</v>
      </c>
      <c r="P7" s="4" t="s">
        <v>46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45955</v>
      </c>
      <c r="B8" s="2" t="s">
        <v>48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45931</v>
      </c>
      <c r="P8" s="4" t="s">
        <v>49</v>
      </c>
      <c r="S8" s="38" t="s">
        <v>42</v>
      </c>
      <c r="T8" s="6" t="n">
        <v>4500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n">
        <f aca="false">IF(S8="RP",T8," ")</f>
        <v>4500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45958</v>
      </c>
      <c r="B9" s="2" t="s">
        <v>52</v>
      </c>
      <c r="E9" s="5" t="s">
        <v>33</v>
      </c>
      <c r="F9" s="6" t="n">
        <v>25160</v>
      </c>
      <c r="G9" s="6" t="str">
        <f aca="false">IF(E9="BC",F9," ")</f>
        <v> </v>
      </c>
      <c r="H9" s="6" t="n">
        <f aca="false">IF(E9="DR",F9," ")</f>
        <v>25160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45935</v>
      </c>
      <c r="P9" s="4" t="s">
        <v>47</v>
      </c>
      <c r="S9" s="38" t="s">
        <v>34</v>
      </c>
      <c r="T9" s="6" t="n">
        <v>3000</v>
      </c>
      <c r="U9" s="6" t="str">
        <f aca="false">IF(S9="BC",T9," ")</f>
        <v> </v>
      </c>
      <c r="V9" s="6" t="n">
        <f aca="false">IF(S9="CR",T9," ")</f>
        <v>3000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45937</v>
      </c>
      <c r="P10" s="4" t="s">
        <v>49</v>
      </c>
      <c r="S10" s="38" t="s">
        <v>42</v>
      </c>
      <c r="T10" s="6" t="n">
        <v>3200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3200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45945</v>
      </c>
      <c r="P11" s="4" t="s">
        <v>57</v>
      </c>
      <c r="S11" s="38" t="s">
        <v>37</v>
      </c>
      <c r="T11" s="6" t="n">
        <v>3000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n">
        <f aca="false">IF(S11="DL",T11," ")</f>
        <v>3000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45949</v>
      </c>
      <c r="P12" s="4" t="s">
        <v>49</v>
      </c>
      <c r="S12" s="38" t="s">
        <v>42</v>
      </c>
      <c r="T12" s="6" t="n">
        <v>1501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n">
        <f aca="false">IF(S12="RP",T12," ")</f>
        <v>1501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45955</v>
      </c>
      <c r="P13" s="4" t="s">
        <v>60</v>
      </c>
      <c r="S13" s="38" t="s">
        <v>34</v>
      </c>
      <c r="T13" s="6" t="n">
        <v>36000</v>
      </c>
      <c r="U13" s="6" t="str">
        <f aca="false">IF(S13="BC",T13," ")</f>
        <v> </v>
      </c>
      <c r="V13" s="6" t="n">
        <f aca="false">IF(S13="CR",T13," ")</f>
        <v>36000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45958</v>
      </c>
      <c r="P14" s="4" t="s">
        <v>51</v>
      </c>
      <c r="S14" s="38" t="s">
        <v>39</v>
      </c>
      <c r="T14" s="6" t="n">
        <v>5652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n">
        <f aca="false">IF(S14="W",T14," ")</f>
        <v>5652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O15" s="1" t="n">
        <v>45961</v>
      </c>
      <c r="P15" s="4" t="s">
        <v>53</v>
      </c>
      <c r="S15" s="38" t="s">
        <v>34</v>
      </c>
      <c r="T15" s="6" t="n">
        <v>300</v>
      </c>
      <c r="U15" s="6" t="str">
        <f aca="false">IF(S15="BC",T15," ")</f>
        <v> </v>
      </c>
      <c r="V15" s="6" t="n">
        <f aca="false">IF(S15="CR",T15," ")</f>
        <v>300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O16" s="1" t="n">
        <v>45961</v>
      </c>
      <c r="P16" s="4" t="s">
        <v>54</v>
      </c>
      <c r="S16" s="38" t="s">
        <v>38</v>
      </c>
      <c r="T16" s="6" t="n">
        <v>500</v>
      </c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n">
        <f aca="false">IF(S16="X",T16," ")</f>
        <v>500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Oct!A2</f>
        <v>149766</v>
      </c>
      <c r="B1" s="8" t="s">
        <v>0</v>
      </c>
      <c r="C1" s="9" t="n">
        <f aca="false">Oct!C2</f>
        <v>46326</v>
      </c>
      <c r="D1" s="10" t="s">
        <v>1</v>
      </c>
      <c r="E1" s="11" t="n">
        <f aca="false">F1-SUM(G1:M1)</f>
        <v>0</v>
      </c>
      <c r="F1" s="12" t="n">
        <f aca="false">SUM(F6:F200)</f>
        <v>35320</v>
      </c>
      <c r="G1" s="12" t="n">
        <f aca="false">SUM(G6:G200)</f>
        <v>0</v>
      </c>
      <c r="H1" s="12" t="n">
        <f aca="false">SUM(H6:H200)</f>
        <v>35320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12078</v>
      </c>
      <c r="U1" s="12" t="n">
        <f aca="false">SUM(U6:U200)</f>
        <v>0</v>
      </c>
      <c r="V1" s="12" t="n">
        <f aca="false">SUM(V6:V200)</f>
        <v>3900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25</v>
      </c>
      <c r="Z1" s="12" t="n">
        <f aca="false">SUM(Z6:Z200)</f>
        <v>0</v>
      </c>
      <c r="AA1" s="12" t="n">
        <f aca="false">SUM(AA6:AA200)</f>
        <v>1501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173008</v>
      </c>
      <c r="B2" s="18" t="s">
        <v>2</v>
      </c>
      <c r="C2" s="9" t="n">
        <f aca="false">[1]Admin!$B$12</f>
        <v>46356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46356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173008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45981</v>
      </c>
      <c r="B6" s="2" t="s">
        <v>43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45962</v>
      </c>
      <c r="P6" s="4" t="s">
        <v>44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45986</v>
      </c>
      <c r="B7" s="2" t="s">
        <v>48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45962</v>
      </c>
      <c r="P7" s="4" t="s">
        <v>46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45989</v>
      </c>
      <c r="B8" s="2" t="s">
        <v>52</v>
      </c>
      <c r="E8" s="5" t="s">
        <v>33</v>
      </c>
      <c r="F8" s="6" t="n">
        <v>24920</v>
      </c>
      <c r="G8" s="6" t="str">
        <f aca="false">IF(E8="BC",F8," ")</f>
        <v> </v>
      </c>
      <c r="H8" s="6" t="n">
        <f aca="false">IF(E8="DR",F8," ")</f>
        <v>24920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45966</v>
      </c>
      <c r="P8" s="4" t="s">
        <v>47</v>
      </c>
      <c r="S8" s="38" t="s">
        <v>34</v>
      </c>
      <c r="T8" s="6" t="n">
        <v>2400</v>
      </c>
      <c r="U8" s="6" t="str">
        <f aca="false">IF(S8="BC",T8," ")</f>
        <v> </v>
      </c>
      <c r="V8" s="6" t="n">
        <f aca="false">IF(S8="CR",T8," ")</f>
        <v>2400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45980</v>
      </c>
      <c r="P9" s="4" t="s">
        <v>49</v>
      </c>
      <c r="S9" s="38" t="s">
        <v>42</v>
      </c>
      <c r="T9" s="6" t="n">
        <v>1501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1501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45986</v>
      </c>
      <c r="P10" s="4" t="s">
        <v>55</v>
      </c>
      <c r="S10" s="38" t="s">
        <v>40</v>
      </c>
      <c r="T10" s="6" t="n">
        <v>25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n">
        <f aca="false">IF(S10="B",T10," ")</f>
        <v>25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45989</v>
      </c>
      <c r="P11" s="4" t="s">
        <v>51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45991</v>
      </c>
      <c r="P12" s="4" t="s">
        <v>53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Nov!A2</f>
        <v>173008</v>
      </c>
      <c r="B1" s="8" t="s">
        <v>0</v>
      </c>
      <c r="C1" s="9" t="n">
        <f aca="false">Nov!C2</f>
        <v>46356</v>
      </c>
      <c r="D1" s="10" t="s">
        <v>1</v>
      </c>
      <c r="E1" s="11" t="n">
        <f aca="false">F1-SUM(G1:M1)</f>
        <v>0</v>
      </c>
      <c r="F1" s="12" t="n">
        <f aca="false">SUM(F6:F200)</f>
        <v>32800</v>
      </c>
      <c r="G1" s="12" t="n">
        <f aca="false">SUM(G6:G200)</f>
        <v>0</v>
      </c>
      <c r="H1" s="12" t="n">
        <f aca="false">SUM(H6:H200)</f>
        <v>32800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13120</v>
      </c>
      <c r="U1" s="12" t="n">
        <f aca="false">SUM(U6:U200)</f>
        <v>0</v>
      </c>
      <c r="V1" s="12" t="n">
        <f aca="false">SUM(V6:V200)</f>
        <v>4200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167</v>
      </c>
      <c r="Z1" s="12" t="n">
        <f aca="false">SUM(Z6:Z200)</f>
        <v>0</v>
      </c>
      <c r="AA1" s="12" t="n">
        <f aca="false">SUM(AA6:AA200)</f>
        <v>2101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192688</v>
      </c>
      <c r="B2" s="18" t="s">
        <v>2</v>
      </c>
      <c r="C2" s="9" t="n">
        <f aca="false">[1]Admin!$B$13</f>
        <v>46387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46387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192688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46011</v>
      </c>
      <c r="B6" s="2" t="s">
        <v>43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45992</v>
      </c>
      <c r="P6" s="4" t="s">
        <v>44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46016</v>
      </c>
      <c r="B7" s="2" t="s">
        <v>48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45992</v>
      </c>
      <c r="P7" s="4" t="s">
        <v>46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46019</v>
      </c>
      <c r="B8" s="2" t="s">
        <v>52</v>
      </c>
      <c r="E8" s="5" t="s">
        <v>33</v>
      </c>
      <c r="F8" s="6" t="n">
        <v>22400</v>
      </c>
      <c r="G8" s="6" t="str">
        <f aca="false">IF(E8="BC",F8," ")</f>
        <v> </v>
      </c>
      <c r="H8" s="6" t="n">
        <f aca="false">IF(E8="DR",F8," ")</f>
        <v>22400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45996</v>
      </c>
      <c r="P8" s="4" t="s">
        <v>47</v>
      </c>
      <c r="S8" s="38" t="s">
        <v>34</v>
      </c>
      <c r="T8" s="6" t="n">
        <v>2700</v>
      </c>
      <c r="U8" s="6" t="str">
        <f aca="false">IF(S8="BC",T8," ")</f>
        <v> </v>
      </c>
      <c r="V8" s="6" t="n">
        <f aca="false">IF(S8="CR",T8," ")</f>
        <v>2700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46010</v>
      </c>
      <c r="P9" s="4" t="s">
        <v>49</v>
      </c>
      <c r="S9" s="38" t="s">
        <v>42</v>
      </c>
      <c r="T9" s="6" t="n">
        <v>1501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1501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46010</v>
      </c>
      <c r="P10" s="4" t="s">
        <v>49</v>
      </c>
      <c r="S10" s="38" t="s">
        <v>42</v>
      </c>
      <c r="T10" s="6" t="n">
        <v>600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600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46019</v>
      </c>
      <c r="P11" s="4" t="s">
        <v>51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46022</v>
      </c>
      <c r="P12" s="4" t="s">
        <v>56</v>
      </c>
      <c r="S12" s="38" t="s">
        <v>40</v>
      </c>
      <c r="T12" s="6" t="n">
        <v>167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n">
        <f aca="false">IF(S12="B",T12," ")</f>
        <v>167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46022</v>
      </c>
      <c r="P13" s="4" t="s">
        <v>53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Dec!A2</f>
        <v>192688</v>
      </c>
      <c r="B1" s="8" t="s">
        <v>0</v>
      </c>
      <c r="C1" s="9" t="n">
        <f aca="false">Dec!C2</f>
        <v>46387</v>
      </c>
      <c r="D1" s="10" t="s">
        <v>1</v>
      </c>
      <c r="E1" s="11" t="n">
        <f aca="false">F1-SUM(G1:M1)</f>
        <v>0</v>
      </c>
      <c r="F1" s="12" t="n">
        <f aca="false">SUM(F6:F200)</f>
        <v>41940</v>
      </c>
      <c r="G1" s="12" t="n">
        <f aca="false">SUM(G6:G200)</f>
        <v>0</v>
      </c>
      <c r="H1" s="12" t="n">
        <f aca="false">SUM(H6:H200)</f>
        <v>35440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1500</v>
      </c>
      <c r="L1" s="12" t="n">
        <f aca="false">SUM(L6:L200)</f>
        <v>5000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15453</v>
      </c>
      <c r="U1" s="12" t="n">
        <f aca="false">SUM(U6:U200)</f>
        <v>0</v>
      </c>
      <c r="V1" s="12" t="n">
        <f aca="false">SUM(V6:V200)</f>
        <v>4000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1501</v>
      </c>
      <c r="AB1" s="12" t="n">
        <f aca="false">SUM(AB6:AB200)</f>
        <v>4000</v>
      </c>
      <c r="AC1" s="12" t="n">
        <f aca="false">SUM(AC6:AC200)</f>
        <v>300</v>
      </c>
    </row>
    <row r="2" customFormat="false" ht="15" hidden="false" customHeight="true" outlineLevel="0" collapsed="false">
      <c r="A2" s="17" t="n">
        <f aca="false">A1+F1-T1</f>
        <v>219175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46418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219175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46029</v>
      </c>
      <c r="B6" s="2" t="s">
        <v>49</v>
      </c>
      <c r="E6" s="5" t="s">
        <v>36</v>
      </c>
      <c r="F6" s="6" t="n">
        <v>1500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n">
        <f aca="false">IF(E6="RV",F6," ")</f>
        <v>1500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46023</v>
      </c>
      <c r="P6" s="4" t="s">
        <v>44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46037</v>
      </c>
      <c r="B7" s="2" t="s">
        <v>61</v>
      </c>
      <c r="E7" s="5" t="s">
        <v>37</v>
      </c>
      <c r="F7" s="6" t="n">
        <v>5000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5000</v>
      </c>
      <c r="M7" s="6" t="str">
        <f aca="false">IF(E7="X",F7," ")</f>
        <v> </v>
      </c>
      <c r="N7" s="39"/>
      <c r="O7" s="1" t="n">
        <v>46023</v>
      </c>
      <c r="P7" s="4" t="s">
        <v>46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46042</v>
      </c>
      <c r="B8" s="2" t="s">
        <v>43</v>
      </c>
      <c r="E8" s="5" t="s">
        <v>33</v>
      </c>
      <c r="F8" s="6" t="n">
        <v>8000</v>
      </c>
      <c r="G8" s="6" t="str">
        <f aca="false">IF(E8="BC",F8," ")</f>
        <v> </v>
      </c>
      <c r="H8" s="6" t="n">
        <f aca="false">IF(E8="DR",F8," ")</f>
        <v>8000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46027</v>
      </c>
      <c r="P8" s="4" t="s">
        <v>47</v>
      </c>
      <c r="S8" s="38" t="s">
        <v>34</v>
      </c>
      <c r="T8" s="6" t="n">
        <v>2500</v>
      </c>
      <c r="U8" s="6" t="str">
        <f aca="false">IF(S8="BC",T8," ")</f>
        <v> </v>
      </c>
      <c r="V8" s="6" t="n">
        <f aca="false">IF(S8="CR",T8," ")</f>
        <v>2500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46047</v>
      </c>
      <c r="B9" s="2" t="s">
        <v>48</v>
      </c>
      <c r="E9" s="5" t="s">
        <v>33</v>
      </c>
      <c r="F9" s="6" t="n">
        <v>2400</v>
      </c>
      <c r="G9" s="6" t="str">
        <f aca="false">IF(E9="BC",F9," ")</f>
        <v> </v>
      </c>
      <c r="H9" s="6" t="n">
        <f aca="false">IF(E9="DR",F9," ")</f>
        <v>2400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46037</v>
      </c>
      <c r="P9" s="4" t="s">
        <v>57</v>
      </c>
      <c r="S9" s="38" t="s">
        <v>37</v>
      </c>
      <c r="T9" s="6" t="n">
        <v>3000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n">
        <f aca="false">IF(S9="DL",T9," ")</f>
        <v>3000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46050</v>
      </c>
      <c r="B10" s="2" t="s">
        <v>52</v>
      </c>
      <c r="E10" s="5" t="s">
        <v>33</v>
      </c>
      <c r="F10" s="6" t="n">
        <v>25040</v>
      </c>
      <c r="G10" s="6" t="str">
        <f aca="false">IF(E10="BC",F10," ")</f>
        <v> </v>
      </c>
      <c r="H10" s="6" t="n">
        <f aca="false">IF(E10="DR",F10," ")</f>
        <v>25040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46041</v>
      </c>
      <c r="P10" s="4" t="s">
        <v>49</v>
      </c>
      <c r="S10" s="38" t="s">
        <v>42</v>
      </c>
      <c r="T10" s="6" t="n">
        <v>1501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1501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46050</v>
      </c>
      <c r="P11" s="4" t="s">
        <v>51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46053</v>
      </c>
      <c r="P12" s="4" t="s">
        <v>53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46053</v>
      </c>
      <c r="P13" s="4" t="s">
        <v>54</v>
      </c>
      <c r="S13" s="38" t="s">
        <v>38</v>
      </c>
      <c r="T13" s="6" t="n">
        <v>300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n">
        <f aca="false">IF(S13="X",T13," ")</f>
        <v>300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Jan!A2</f>
        <v>219175</v>
      </c>
      <c r="B1" s="8" t="s">
        <v>0</v>
      </c>
      <c r="C1" s="9" t="n">
        <f aca="false">Jan!C2</f>
        <v>46418</v>
      </c>
      <c r="D1" s="10" t="s">
        <v>1</v>
      </c>
      <c r="E1" s="11" t="n">
        <f aca="false">F1-SUM(G1:M1)</f>
        <v>0</v>
      </c>
      <c r="F1" s="12" t="n">
        <f aca="false">SUM(F6:F200)</f>
        <v>34360</v>
      </c>
      <c r="G1" s="12" t="n">
        <f aca="false">SUM(G6:G200)</f>
        <v>0</v>
      </c>
      <c r="H1" s="12" t="n">
        <f aca="false">SUM(H6:H200)</f>
        <v>34360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12553</v>
      </c>
      <c r="U1" s="12" t="n">
        <f aca="false">SUM(U6:U200)</f>
        <v>0</v>
      </c>
      <c r="V1" s="12" t="n">
        <f aca="false">SUM(V6:V200)</f>
        <v>4400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1501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240982</v>
      </c>
      <c r="B2" s="18" t="s">
        <v>2</v>
      </c>
      <c r="C2" s="9" t="n">
        <f aca="false">[1]Admin!$B$15</f>
        <v>46446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46446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240982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46073</v>
      </c>
      <c r="B6" s="2" t="s">
        <v>43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46054</v>
      </c>
      <c r="P6" s="4" t="s">
        <v>44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46078</v>
      </c>
      <c r="B7" s="2" t="s">
        <v>48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46054</v>
      </c>
      <c r="P7" s="4" t="s">
        <v>46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46081</v>
      </c>
      <c r="B8" s="2" t="s">
        <v>52</v>
      </c>
      <c r="E8" s="5" t="s">
        <v>33</v>
      </c>
      <c r="F8" s="6" t="n">
        <v>23960</v>
      </c>
      <c r="G8" s="6" t="str">
        <f aca="false">IF(E8="BC",F8," ")</f>
        <v> </v>
      </c>
      <c r="H8" s="6" t="n">
        <f aca="false">IF(E8="DR",F8," ")</f>
        <v>23960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46058</v>
      </c>
      <c r="P8" s="4" t="s">
        <v>47</v>
      </c>
      <c r="S8" s="38" t="s">
        <v>34</v>
      </c>
      <c r="T8" s="6" t="n">
        <v>2900</v>
      </c>
      <c r="U8" s="6" t="str">
        <f aca="false">IF(S8="BC",T8," ")</f>
        <v> </v>
      </c>
      <c r="V8" s="6" t="n">
        <f aca="false">IF(S8="CR",T8," ")</f>
        <v>2900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46072</v>
      </c>
      <c r="P9" s="4" t="s">
        <v>49</v>
      </c>
      <c r="S9" s="38" t="s">
        <v>42</v>
      </c>
      <c r="T9" s="6" t="n">
        <v>1501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1501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46081</v>
      </c>
      <c r="P10" s="4" t="s">
        <v>53</v>
      </c>
      <c r="S10" s="38" t="s">
        <v>34</v>
      </c>
      <c r="T10" s="6" t="n">
        <v>300</v>
      </c>
      <c r="U10" s="6" t="str">
        <f aca="false">IF(S10="BC",T10," ")</f>
        <v> </v>
      </c>
      <c r="V10" s="6" t="n">
        <f aca="false">IF(S10="CR",T10," ")</f>
        <v>300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46081</v>
      </c>
      <c r="P11" s="4" t="s">
        <v>51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S12" s="38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of  &amp;N&amp;R&amp;F  &amp;A</oddFooter>
  </headerFooter>
  <colBreaks count="1" manualBreakCount="1">
    <brk id="13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Feb!A2</f>
        <v>240982</v>
      </c>
      <c r="B1" s="8" t="s">
        <v>0</v>
      </c>
      <c r="C1" s="9" t="n">
        <f aca="false">Feb!C2</f>
        <v>46446</v>
      </c>
      <c r="D1" s="10" t="s">
        <v>1</v>
      </c>
      <c r="E1" s="11" t="n">
        <f aca="false">F1-SUM(G1:M1)</f>
        <v>0</v>
      </c>
      <c r="F1" s="12" t="n">
        <f aca="false">SUM(F6:F200)</f>
        <v>20960</v>
      </c>
      <c r="G1" s="12" t="n">
        <f aca="false">SUM(G6:G200)</f>
        <v>0</v>
      </c>
      <c r="H1" s="12" t="n">
        <f aca="false">SUM(H6:H200)</f>
        <v>20960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23078</v>
      </c>
      <c r="U1" s="12" t="n">
        <f aca="false">SUM(U6:U200)</f>
        <v>0</v>
      </c>
      <c r="V1" s="12" t="n">
        <f aca="false">SUM(V6:V200)</f>
        <v>3800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125</v>
      </c>
      <c r="Z1" s="12" t="n">
        <f aca="false">SUM(Z6:Z200)</f>
        <v>0</v>
      </c>
      <c r="AA1" s="12" t="n">
        <f aca="false">SUM(AA6:AA200)</f>
        <v>1501</v>
      </c>
      <c r="AB1" s="12" t="n">
        <f aca="false">SUM(AB6:AB200)</f>
        <v>7000</v>
      </c>
      <c r="AC1" s="12" t="n">
        <f aca="false">SUM(AC6:AC200)</f>
        <v>5000</v>
      </c>
    </row>
    <row r="2" customFormat="false" ht="15" hidden="false" customHeight="true" outlineLevel="0" collapsed="false">
      <c r="A2" s="17" t="n">
        <f aca="false">A1+F1-T1</f>
        <v>238864</v>
      </c>
      <c r="B2" s="18" t="s">
        <v>2</v>
      </c>
      <c r="C2" s="9" t="n">
        <f aca="false">[1]Admin!$B$17</f>
        <v>46482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46482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238864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46101</v>
      </c>
      <c r="B6" s="2" t="s">
        <v>43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46082</v>
      </c>
      <c r="P6" s="4" t="s">
        <v>44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46106</v>
      </c>
      <c r="B7" s="2" t="s">
        <v>48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46082</v>
      </c>
      <c r="P7" s="4" t="s">
        <v>46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46109</v>
      </c>
      <c r="B8" s="2" t="s">
        <v>52</v>
      </c>
      <c r="E8" s="5" t="s">
        <v>33</v>
      </c>
      <c r="F8" s="6" t="n">
        <v>10560</v>
      </c>
      <c r="G8" s="6" t="str">
        <f aca="false">IF(E8="BC",F8," ")</f>
        <v> </v>
      </c>
      <c r="H8" s="6" t="n">
        <f aca="false">IF(E8="DR",F8," ")</f>
        <v>10560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46086</v>
      </c>
      <c r="P8" s="4" t="s">
        <v>47</v>
      </c>
      <c r="S8" s="38" t="s">
        <v>34</v>
      </c>
      <c r="T8" s="6" t="n">
        <v>2300</v>
      </c>
      <c r="U8" s="6" t="str">
        <f aca="false">IF(S8="BC",T8," ")</f>
        <v> </v>
      </c>
      <c r="V8" s="6" t="n">
        <f aca="false">IF(S8="CR",T8," ")</f>
        <v>2300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46096</v>
      </c>
      <c r="P9" s="4" t="s">
        <v>62</v>
      </c>
      <c r="S9" s="38" t="s">
        <v>38</v>
      </c>
      <c r="T9" s="6" t="n">
        <v>5000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n">
        <f aca="false">IF(S9="X",T9," ")</f>
        <v>5000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46100</v>
      </c>
      <c r="P10" s="4" t="s">
        <v>49</v>
      </c>
      <c r="S10" s="38" t="s">
        <v>42</v>
      </c>
      <c r="T10" s="6" t="n">
        <v>1501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1501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46109</v>
      </c>
      <c r="P11" s="4" t="s">
        <v>51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46112</v>
      </c>
      <c r="P12" s="4" t="s">
        <v>56</v>
      </c>
      <c r="S12" s="38" t="s">
        <v>40</v>
      </c>
      <c r="T12" s="6" t="n">
        <v>125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n">
        <f aca="false">IF(S12="B",T12," ")</f>
        <v>125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46112</v>
      </c>
      <c r="P13" s="4" t="s">
        <v>53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46112</v>
      </c>
      <c r="P14" s="4" t="s">
        <v>57</v>
      </c>
      <c r="S14" s="38" t="s">
        <v>37</v>
      </c>
      <c r="T14" s="6" t="n">
        <v>6000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n">
        <f aca="false">IF(S14="DL",T14," ")</f>
        <v>6000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 Cartwright</dc:creator>
  <dc:description/>
  <dc:language>en-US</dc:language>
  <cp:lastModifiedBy>Cartwright, Antony</cp:lastModifiedBy>
  <cp:lastPrinted>2007-03-03T16:28:32Z</cp:lastPrinted>
  <dcterms:modified xsi:type="dcterms:W3CDTF">2025-04-03T22:50:29Z</dcterms:modified>
  <cp:revision>0</cp:revision>
  <dc:subject/>
  <dc:title>Self employed bank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