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r" sheetId="1" state="visible" r:id="rId3"/>
    <sheet name="May" sheetId="2" state="visible" r:id="rId4"/>
    <sheet name="Jun" sheetId="3" state="visible" r:id="rId5"/>
    <sheet name="Jul" sheetId="4" state="visible" r:id="rId6"/>
    <sheet name="Aug" sheetId="5" state="visible" r:id="rId7"/>
    <sheet name="Sep" sheetId="6" state="visible" r:id="rId8"/>
    <sheet name="Oct" sheetId="7" state="visible" r:id="rId9"/>
    <sheet name="Nov" sheetId="8" state="visible" r:id="rId10"/>
    <sheet name="Dec" sheetId="9" state="visible" r:id="rId11"/>
    <sheet name="Jan" sheetId="10" state="visible" r:id="rId12"/>
    <sheet name="Feb" sheetId="11" state="visible" r:id="rId13"/>
    <sheet name="Mar" sheetId="12" state="visible" r:id="rId14"/>
  </sheets>
  <externalReferences>
    <externalReference r:id="rId15"/>
  </externalReferences>
  <definedNames>
    <definedName function="false" hidden="false" localSheetId="0" name="_xlnm.Print_Area" vbProcedure="false">Apr!$A$1:$AA$75</definedName>
    <definedName function="false" hidden="false" localSheetId="0" name="_xlnm.Print_Titles" vbProcedure="false">Apr!$1:$5</definedName>
    <definedName function="false" hidden="false" localSheetId="4" name="_xlnm.Print_Area" vbProcedure="false">Aug!$A$1:$AA$75</definedName>
    <definedName function="false" hidden="false" localSheetId="4" name="_xlnm.Print_Titles" vbProcedure="false">Aug!$1:$5</definedName>
    <definedName function="false" hidden="false" localSheetId="8" name="_xlnm.Print_Area" vbProcedure="false">Dec!$A$1:$AA$75</definedName>
    <definedName function="false" hidden="false" localSheetId="8" name="_xlnm.Print_Titles" vbProcedure="false">Dec!$1:$5</definedName>
    <definedName function="false" hidden="false" localSheetId="10" name="_xlnm.Print_Area" vbProcedure="false">Feb!$A$1:$AA$75</definedName>
    <definedName function="false" hidden="false" localSheetId="10" name="_xlnm.Print_Titles" vbProcedure="false">Feb!$1:$5</definedName>
    <definedName function="false" hidden="false" localSheetId="9" name="_xlnm.Print_Area" vbProcedure="false">Jan!$A$1:$AA$75</definedName>
    <definedName function="false" hidden="false" localSheetId="9" name="_xlnm.Print_Titles" vbProcedure="false">Jan!$1:$5</definedName>
    <definedName function="false" hidden="false" localSheetId="3" name="_xlnm.Print_Area" vbProcedure="false">Jul!$A$1:$AA$75</definedName>
    <definedName function="false" hidden="false" localSheetId="3" name="_xlnm.Print_Titles" vbProcedure="false">Jul!$1:$5</definedName>
    <definedName function="false" hidden="false" localSheetId="2" name="_xlnm.Print_Area" vbProcedure="false">Jun!$A$1:$AA$75</definedName>
    <definedName function="false" hidden="false" localSheetId="2" name="_xlnm.Print_Titles" vbProcedure="false">Jun!$1:$5</definedName>
    <definedName function="false" hidden="false" localSheetId="11" name="_xlnm.Print_Area" vbProcedure="false">Mar!$A$1:$AA$75</definedName>
    <definedName function="false" hidden="false" localSheetId="11" name="_xlnm.Print_Titles" vbProcedure="false">Mar!$1:$5</definedName>
    <definedName function="false" hidden="false" localSheetId="1" name="_xlnm.Print_Area" vbProcedure="false">May!$A$1:$AA$75</definedName>
    <definedName function="false" hidden="false" localSheetId="1" name="_xlnm.Print_Titles" vbProcedure="false">May!$1:$5</definedName>
    <definedName function="false" hidden="false" localSheetId="7" name="_xlnm.Print_Area" vbProcedure="false">Nov!$A$1:$AA$75</definedName>
    <definedName function="false" hidden="false" localSheetId="7" name="_xlnm.Print_Titles" vbProcedure="false">Nov!$1:$5</definedName>
    <definedName function="false" hidden="false" localSheetId="6" name="_xlnm.Print_Area" vbProcedure="false">Oct!$A$1:$AA$75</definedName>
    <definedName function="false" hidden="false" localSheetId="6" name="_xlnm.Print_Titles" vbProcedure="false">Oct!$1:$5</definedName>
    <definedName function="false" hidden="false" localSheetId="5" name="_xlnm.Print_Area" vbProcedure="false">Sep!$A$1:$AA$75</definedName>
    <definedName function="false" hidden="false" localSheetId="5" name="_xlnm.Print_Titles" vbProcedure="false">Sep!$1:$5</definedName>
    <definedName function="false" hidden="false" localSheetId="0" name="_xlnm_Print_Area" vbProcedure="false">Apr!$A$1:$AA$75</definedName>
    <definedName function="false" hidden="false" localSheetId="0" name="_xlnm_Print_Titles" vbProcedure="false">Apr!$1:$5</definedName>
    <definedName function="false" hidden="false" localSheetId="1" name="_xlnm_Print_Area" vbProcedure="false">May!$A$1:$AA$75</definedName>
    <definedName function="false" hidden="false" localSheetId="1" name="_xlnm_Print_Titles" vbProcedure="false">May!$1:$5</definedName>
    <definedName function="false" hidden="false" localSheetId="2" name="_xlnm_Print_Area" vbProcedure="false">Jun!$A$1:$AA$75</definedName>
    <definedName function="false" hidden="false" localSheetId="2" name="_xlnm_Print_Titles" vbProcedure="false">Jun!$1:$5</definedName>
    <definedName function="false" hidden="false" localSheetId="3" name="_xlnm_Print_Area" vbProcedure="false">Jul!$A$1:$AA$75</definedName>
    <definedName function="false" hidden="false" localSheetId="3" name="_xlnm_Print_Titles" vbProcedure="false">Jul!$1:$5</definedName>
    <definedName function="false" hidden="false" localSheetId="4" name="_xlnm_Print_Area" vbProcedure="false">Aug!$A$1:$AA$75</definedName>
    <definedName function="false" hidden="false" localSheetId="4" name="_xlnm_Print_Titles" vbProcedure="false">Aug!$1:$5</definedName>
    <definedName function="false" hidden="false" localSheetId="5" name="_xlnm_Print_Area" vbProcedure="false">Sep!$A$1:$AA$75</definedName>
    <definedName function="false" hidden="false" localSheetId="5" name="_xlnm_Print_Titles" vbProcedure="false">Sep!$1:$5</definedName>
    <definedName function="false" hidden="false" localSheetId="6" name="_xlnm_Print_Area" vbProcedure="false">Oct!$A$1:$AA$75</definedName>
    <definedName function="false" hidden="false" localSheetId="6" name="_xlnm_Print_Titles" vbProcedure="false">Oct!$1:$5</definedName>
    <definedName function="false" hidden="false" localSheetId="7" name="_xlnm_Print_Area" vbProcedure="false">Nov!$A$1:$AA$75</definedName>
    <definedName function="false" hidden="false" localSheetId="7" name="_xlnm_Print_Titles" vbProcedure="false">Nov!$1:$5</definedName>
    <definedName function="false" hidden="false" localSheetId="8" name="_xlnm_Print_Area" vbProcedure="false">Dec!$A$1:$AA$75</definedName>
    <definedName function="false" hidden="false" localSheetId="8" name="_xlnm_Print_Titles" vbProcedure="false">Dec!$1:$5</definedName>
    <definedName function="false" hidden="false" localSheetId="9" name="_xlnm_Print_Area" vbProcedure="false">Jan!$A$1:$AA$75</definedName>
    <definedName function="false" hidden="false" localSheetId="9" name="_xlnm_Print_Titles" vbProcedure="false">Jan!$1:$5</definedName>
    <definedName function="false" hidden="false" localSheetId="10" name="_xlnm_Print_Area" vbProcedure="false">Feb!$A$1:$AA$75</definedName>
    <definedName function="false" hidden="false" localSheetId="10" name="_xlnm_Print_Titles" vbProcedure="false">Feb!$1:$5</definedName>
    <definedName function="false" hidden="false" localSheetId="11" name="_xlnm_Print_Area" vbProcedure="false">Mar!$A$1:$AA$75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<sst xmlns="http://schemas.openxmlformats.org/spreadsheetml/2006/main" count="1180" uniqueCount="236">
  <si>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</si>
  <si>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</si>
  <si>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</si>
  <si>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</si>
  <si>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</si>
  <si>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ENTER BANK RECEIPTS</t>
  </si>
  <si>
    <t xml:space="preserve">CURRENT ACCOUNT STATEMENT RECEIPTS</t>
  </si>
  <si>
    <t xml:space="preserve">Enter Purchase Invoice No.</t>
  </si>
  <si>
    <t xml:space="preserve">Cheque number  Direct Debit</t>
  </si>
  <si>
    <t xml:space="preserve">ENTER BANK PAYMENT</t>
  </si>
  <si>
    <t xml:space="preserve">CURRENT ACCOUNT STATEMENT PAYMENTS</t>
  </si>
  <si>
    <t xml:space="preserve">&lt;  Statement Bank Balance</t>
  </si>
  <si>
    <t xml:space="preserve">Cash paid into Bank</t>
  </si>
  <si>
    <t xml:space="preserve">Amount Received Debtors</t>
  </si>
  <si>
    <t xml:space="preserve">Amount Received Creditors</t>
  </si>
  <si>
    <t xml:space="preserve">Bank Interest Received</t>
  </si>
  <si>
    <t xml:space="preserve">HMRC   Refunded</t>
  </si>
  <si>
    <t xml:space="preserve">Capital Introduced</t>
  </si>
  <si>
    <t xml:space="preserve">Bank Contra items</t>
  </si>
  <si>
    <t xml:space="preserve">Cash Withdrawn from Bank</t>
  </si>
  <si>
    <t xml:space="preserve">Amount Paid Creditors</t>
  </si>
  <si>
    <t xml:space="preserve">Amount Paid Debtors</t>
  </si>
  <si>
    <t xml:space="preserve">Net        Wages      Paid</t>
  </si>
  <si>
    <t xml:space="preserve">HP Interest Leasing &amp; Bank Charges</t>
  </si>
  <si>
    <t xml:space="preserve">Bank Loan &amp; Overdraft Interest</t>
  </si>
  <si>
    <t xml:space="preserve">HMRC Payments</t>
  </si>
  <si>
    <t xml:space="preserve">Drawings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</si>
  <si>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</si>
  <si>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</si>
  <si>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</si>
  <si>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</si>
  <si>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</si>
  <si>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BC</t>
  </si>
  <si>
    <t xml:space="preserve">DR</t>
  </si>
  <si>
    <t xml:space="preserve">CR</t>
  </si>
  <si>
    <t xml:space="preserve">K</t>
  </si>
  <si>
    <t xml:space="preserve">RV</t>
  </si>
  <si>
    <t xml:space="preserve">DL</t>
  </si>
  <si>
    <t xml:space="preserve">X</t>
  </si>
  <si>
    <t xml:space="preserve">W</t>
  </si>
  <si>
    <t xml:space="preserve">B</t>
  </si>
  <si>
    <t xml:space="preserve">J</t>
  </si>
  <si>
    <t xml:space="preserve">RP</t>
  </si>
  <si>
    <t xml:space="preserve">Acme Corp</t>
  </si>
  <si>
    <t xml:space="preserve">BNK-DR-037</t>
  </si>
  <si>
    <t xml:space="preserve">Opening debtor receipt</t>
  </si>
  <si>
    <t xml:space="preserve">WorkSpace Ltd</t>
  </si>
  <si>
    <t xml:space="preserve">BNK-CR-001</t>
  </si>
  <si>
    <t xml:space="preserve">Office rent payment</t>
  </si>
  <si>
    <t xml:space="preserve">Beta Systems</t>
  </si>
  <si>
    <t xml:space="preserve">BNK-DR-038</t>
  </si>
  <si>
    <t xml:space="preserve">Director</t>
  </si>
  <si>
    <t xml:space="preserve">BNK-DL-001</t>
  </si>
  <si>
    <t xml:space="preserve">Directors loan repayment</t>
  </si>
  <si>
    <t xml:space="preserve">BNK-DR-001</t>
  </si>
  <si>
    <t xml:space="preserve">Customer receipt</t>
  </si>
  <si>
    <t xml:space="preserve">Various suppliers</t>
  </si>
  <si>
    <t xml:space="preserve">BNK-CR-MISC-001</t>
  </si>
  <si>
    <t xml:space="preserve">Aggregate supplier payments</t>
  </si>
  <si>
    <t xml:space="preserve">TechStart Ltd</t>
  </si>
  <si>
    <t xml:space="preserve">BNK-DR-013</t>
  </si>
  <si>
    <t xml:space="preserve">HMRC</t>
  </si>
  <si>
    <t xml:space="preserve">BNK-RP-001</t>
  </si>
  <si>
    <t xml:space="preserve">Monthly PAYE/NI payment</t>
  </si>
  <si>
    <t xml:space="preserve">Gamma Ltd</t>
  </si>
  <si>
    <t xml:space="preserve">BNK-DR-039</t>
  </si>
  <si>
    <t xml:space="preserve">Payroll</t>
  </si>
  <si>
    <t xml:space="preserve">BNK-W-001</t>
  </si>
  <si>
    <t xml:space="preserve">Monthly net wages (all staff)</t>
  </si>
  <si>
    <t xml:space="preserve">Various customers</t>
  </si>
  <si>
    <t xml:space="preserve">BNK-DR-025</t>
  </si>
  <si>
    <t xml:space="preserve">Aggregate customer receipts</t>
  </si>
  <si>
    <t xml:space="preserve">Smith &amp; Co</t>
  </si>
  <si>
    <t xml:space="preserve">BNK-CR-013</t>
  </si>
  <si>
    <t xml:space="preserve">Accountancy fee payment</t>
  </si>
  <si>
    <t xml:space="preserve">Credit card payment</t>
  </si>
  <si>
    <t xml:space="preserve">BNK-X-CC-001</t>
  </si>
  <si>
    <t xml:space="preserve">Pay credit card balance</t>
  </si>
  <si>
    <t xml:space="preserve">BNK-DR-002</t>
  </si>
  <si>
    <t xml:space="preserve">BNK-CR-002</t>
  </si>
  <si>
    <t xml:space="preserve">BNK-DR-014</t>
  </si>
  <si>
    <t xml:space="preserve">BNK-DL-002</t>
  </si>
  <si>
    <t xml:space="preserve">BNK-DR-026</t>
  </si>
  <si>
    <t xml:space="preserve">BNK-CR-MISC-002</t>
  </si>
  <si>
    <t xml:space="preserve">BNK-RP-002</t>
  </si>
  <si>
    <t xml:space="preserve">HSBC</t>
  </si>
  <si>
    <t xml:space="preserve">BNK-B-001</t>
  </si>
  <si>
    <t xml:space="preserve">Bank charges</t>
  </si>
  <si>
    <t xml:space="preserve">BNK-W-002</t>
  </si>
  <si>
    <t xml:space="preserve">BNK-CR-014</t>
  </si>
  <si>
    <t xml:space="preserve">BNK-RV-VAT-000</t>
  </si>
  <si>
    <t xml:space="preserve">VAT payment, prior year fourth quarter</t>
  </si>
  <si>
    <t xml:space="preserve">BNK-DR-003</t>
  </si>
  <si>
    <t xml:space="preserve">BNK-CR-003</t>
  </si>
  <si>
    <t xml:space="preserve">BNK-DR-015</t>
  </si>
  <si>
    <t xml:space="preserve">BNK-DL-003</t>
  </si>
  <si>
    <t xml:space="preserve">BNK-DR-027</t>
  </si>
  <si>
    <t xml:space="preserve">BNK-CR-MISC-003</t>
  </si>
  <si>
    <t xml:space="preserve">Cash top-up</t>
  </si>
  <si>
    <t xml:space="preserve">BNK-BC-001</t>
  </si>
  <si>
    <t xml:space="preserve">Transfer to cash float</t>
  </si>
  <si>
    <t xml:space="preserve">BNK-RP-003</t>
  </si>
  <si>
    <t xml:space="preserve">BNK-W-003</t>
  </si>
  <si>
    <t xml:space="preserve">Directors loan interest</t>
  </si>
  <si>
    <t xml:space="preserve">BNK-B-INT-001</t>
  </si>
  <si>
    <t xml:space="preserve">Quarterly loan interest payment</t>
  </si>
  <si>
    <t xml:space="preserve">BNK-CR-015</t>
  </si>
  <si>
    <t xml:space="preserve">Close Brothers Asset Finance</t>
  </si>
  <si>
    <t xml:space="preserve">BNK-HP-INT-001</t>
  </si>
  <si>
    <t xml:space="preserve">HP-2025-01 admin charges and interest</t>
  </si>
  <si>
    <t xml:space="preserve">BNK-HP-CAP-001</t>
  </si>
  <si>
    <t xml:space="preserve">HP-2025-01 capital repayment</t>
  </si>
  <si>
    <t xml:space="preserve">BNK-DR-004</t>
  </si>
  <si>
    <t xml:space="preserve">BNK-CR-004</t>
  </si>
  <si>
    <t xml:space="preserve">BNK-DR-016</t>
  </si>
  <si>
    <t xml:space="preserve">BNK-DL-004</t>
  </si>
  <si>
    <t xml:space="preserve">BNK-DR-028</t>
  </si>
  <si>
    <t xml:space="preserve">BNK-CR-MISC-004</t>
  </si>
  <si>
    <t xml:space="preserve">Proprietor</t>
  </si>
  <si>
    <t xml:space="preserve">BNK-DV-001</t>
  </si>
  <si>
    <t xml:space="preserve">Quarterly drawings payment</t>
  </si>
  <si>
    <t xml:space="preserve">BNK-RP-004</t>
  </si>
  <si>
    <t xml:space="preserve">BNK-RC-CIS-001</t>
  </si>
  <si>
    <t xml:space="preserve">CIS deduction remittance</t>
  </si>
  <si>
    <t xml:space="preserve">BNK-W-004</t>
  </si>
  <si>
    <t xml:space="preserve">BNK-CR-016</t>
  </si>
  <si>
    <t xml:space="preserve">BNK-X-CC-002</t>
  </si>
  <si>
    <t xml:space="preserve">Innovate UK</t>
  </si>
  <si>
    <t xml:space="preserve">BNK-RV-001</t>
  </si>
  <si>
    <t xml:space="preserve">Grant received</t>
  </si>
  <si>
    <t xml:space="preserve">BNK-RV-VAT-001</t>
  </si>
  <si>
    <t xml:space="preserve">VAT payment Q1 Apr-Jun</t>
  </si>
  <si>
    <t xml:space="preserve">BNK-DR-005</t>
  </si>
  <si>
    <t xml:space="preserve">BNK-CR-005</t>
  </si>
  <si>
    <t xml:space="preserve">BNK-DR-017</t>
  </si>
  <si>
    <t xml:space="preserve">BNK-DL-005</t>
  </si>
  <si>
    <t xml:space="preserve">BNK-DR-029</t>
  </si>
  <si>
    <t xml:space="preserve">BNK-CR-MISC-005</t>
  </si>
  <si>
    <t xml:space="preserve">BNK-RP-005</t>
  </si>
  <si>
    <t xml:space="preserve">BNK-W-005</t>
  </si>
  <si>
    <t xml:space="preserve">BNK-CR-017</t>
  </si>
  <si>
    <t xml:space="preserve">BNK-DR-006</t>
  </si>
  <si>
    <t xml:space="preserve">BNK-CR-006</t>
  </si>
  <si>
    <t xml:space="preserve">BNK-DR-018</t>
  </si>
  <si>
    <t xml:space="preserve">BNK-DL-006</t>
  </si>
  <si>
    <t xml:space="preserve">BNK-DR-030</t>
  </si>
  <si>
    <t xml:space="preserve">BNK-CR-MISC-006</t>
  </si>
  <si>
    <t xml:space="preserve">BNK-RP-006</t>
  </si>
  <si>
    <t xml:space="preserve">BNK-W-006</t>
  </si>
  <si>
    <t xml:space="preserve">BNK-B-INT-002</t>
  </si>
  <si>
    <t xml:space="preserve">BNK-CR-018</t>
  </si>
  <si>
    <t xml:space="preserve">BNK-HP-INT-002</t>
  </si>
  <si>
    <t xml:space="preserve">HP-2025-02 admin charges and interest</t>
  </si>
  <si>
    <t xml:space="preserve">BNK-HP-CAP-002</t>
  </si>
  <si>
    <t xml:space="preserve">HP-2025-02 capital repayment</t>
  </si>
  <si>
    <t xml:space="preserve">Private buyer</t>
  </si>
  <si>
    <t xml:space="preserve">BNK-DR-040</t>
  </si>
  <si>
    <t xml:space="preserve">Van sale proceeds</t>
  </si>
  <si>
    <t xml:space="preserve">BNK-CR-007</t>
  </si>
  <si>
    <t xml:space="preserve">BNK-DR-007</t>
  </si>
  <si>
    <t xml:space="preserve">BNK-DL-007</t>
  </si>
  <si>
    <t xml:space="preserve">BNK-DR-019</t>
  </si>
  <si>
    <t xml:space="preserve">BNK-RT-CT-001</t>
  </si>
  <si>
    <t xml:space="preserve">Corporation Tax prior year</t>
  </si>
  <si>
    <t xml:space="preserve">BNK-DR-031</t>
  </si>
  <si>
    <t xml:space="preserve">BNK-CR-MISC-007</t>
  </si>
  <si>
    <t xml:space="preserve">BNK-DV-002</t>
  </si>
  <si>
    <t xml:space="preserve">BNK-RP-007</t>
  </si>
  <si>
    <t xml:space="preserve">Ford</t>
  </si>
  <si>
    <t xml:space="preserve">BNK-CR-FA-001</t>
  </si>
  <si>
    <t xml:space="preserve">Ford Transit Custom purchase</t>
  </si>
  <si>
    <t xml:space="preserve">BNK-W-007</t>
  </si>
  <si>
    <t xml:space="preserve">BNK-CR-019</t>
  </si>
  <si>
    <t xml:space="preserve">BNK-X-CC-003</t>
  </si>
  <si>
    <t xml:space="preserve">BNK-DR-008</t>
  </si>
  <si>
    <t xml:space="preserve">BNK-RV-VAT-002</t>
  </si>
  <si>
    <t xml:space="preserve">VAT payment Q2 Jul-Sep</t>
  </si>
  <si>
    <t xml:space="preserve">BNK-DR-020</t>
  </si>
  <si>
    <t xml:space="preserve">BNK-CR-008</t>
  </si>
  <si>
    <t xml:space="preserve">BNK-DR-032</t>
  </si>
  <si>
    <t xml:space="preserve">BNK-DL-008</t>
  </si>
  <si>
    <t xml:space="preserve">BNK-CR-MISC-008</t>
  </si>
  <si>
    <t xml:space="preserve">BNK-RP-008</t>
  </si>
  <si>
    <t xml:space="preserve">BNK-B-002</t>
  </si>
  <si>
    <t xml:space="preserve">BNK-W-008</t>
  </si>
  <si>
    <t xml:space="preserve">BNK-CR-020</t>
  </si>
  <si>
    <t xml:space="preserve">BNK-DR-009</t>
  </si>
  <si>
    <t xml:space="preserve">BNK-CR-009</t>
  </si>
  <si>
    <t xml:space="preserve">BNK-DR-021</t>
  </si>
  <si>
    <t xml:space="preserve">BNK-DL-009</t>
  </si>
  <si>
    <t xml:space="preserve">BNK-DR-033</t>
  </si>
  <si>
    <t xml:space="preserve">BNK-CR-MISC-009</t>
  </si>
  <si>
    <t xml:space="preserve">BNK-RP-009</t>
  </si>
  <si>
    <t xml:space="preserve">BNK-RC-CIS-002</t>
  </si>
  <si>
    <t xml:space="preserve">BNK-W-009</t>
  </si>
  <si>
    <t xml:space="preserve">BNK-B-INT-003</t>
  </si>
  <si>
    <t xml:space="preserve">BNK-CR-021</t>
  </si>
  <si>
    <t xml:space="preserve">Director loan</t>
  </si>
  <si>
    <t xml:space="preserve">BNK-DL-IN-001</t>
  </si>
  <si>
    <t xml:space="preserve">Directors loan advance</t>
  </si>
  <si>
    <t xml:space="preserve">BNK-CR-010</t>
  </si>
  <si>
    <t xml:space="preserve">BNK-DR-010</t>
  </si>
  <si>
    <t xml:space="preserve">BNK-DL-010</t>
  </si>
  <si>
    <t xml:space="preserve">BNK-DR-022</t>
  </si>
  <si>
    <t xml:space="preserve">BNK-CR-MISC-010</t>
  </si>
  <si>
    <t xml:space="preserve">BNK-DR-034</t>
  </si>
  <si>
    <t xml:space="preserve">BNK-DV-003</t>
  </si>
  <si>
    <t xml:space="preserve">BNK-RP-010</t>
  </si>
  <si>
    <t xml:space="preserve">BNK-W-010</t>
  </si>
  <si>
    <t xml:space="preserve">BNK-CR-022</t>
  </si>
  <si>
    <t xml:space="preserve">BNK-X-CC-004</t>
  </si>
  <si>
    <t xml:space="preserve">BNK-DR-011</t>
  </si>
  <si>
    <t xml:space="preserve">BNK-RV-VAT-003</t>
  </si>
  <si>
    <t xml:space="preserve">VAT payment Q3 Oct-Dec</t>
  </si>
  <si>
    <t xml:space="preserve">BNK-DR-023</t>
  </si>
  <si>
    <t xml:space="preserve">BNK-CR-011</t>
  </si>
  <si>
    <t xml:space="preserve">BNK-DR-035</t>
  </si>
  <si>
    <t xml:space="preserve">BNK-DL-011</t>
  </si>
  <si>
    <t xml:space="preserve">BNK-CR-MISC-011</t>
  </si>
  <si>
    <t xml:space="preserve">BNK-RP-011</t>
  </si>
  <si>
    <t xml:space="preserve">BNK-CR-023</t>
  </si>
  <si>
    <t xml:space="preserve">BNK-W-011</t>
  </si>
  <si>
    <t xml:space="preserve">BNK-DR-012</t>
  </si>
  <si>
    <t xml:space="preserve">BNK-CR-012</t>
  </si>
  <si>
    <t xml:space="preserve">BNK-DR-024</t>
  </si>
  <si>
    <t xml:space="preserve">BNK-DL-012</t>
  </si>
  <si>
    <t xml:space="preserve">BNK-DR-036</t>
  </si>
  <si>
    <t xml:space="preserve">BNK-CR-MISC-012</t>
  </si>
  <si>
    <t xml:space="preserve">Internal transfer</t>
  </si>
  <si>
    <t xml:space="preserve">BNK-X-001</t>
  </si>
  <si>
    <t xml:space="preserve">Transfer to savings account</t>
  </si>
  <si>
    <t xml:space="preserve">BNK-RP-012</t>
  </si>
  <si>
    <t xml:space="preserve">BNK-W-012</t>
  </si>
  <si>
    <t xml:space="preserve">BNK-B-INT-004</t>
  </si>
  <si>
    <t xml:space="preserve">BNK-CR-024</t>
  </si>
  <si>
    <t xml:space="preserve">BNK-DV-004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</si>
</sst>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10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var/folders/y4/k996sqmj6hz03g4bgbq_yql80000gn/T/spreadsheet-multi-0dee1b74/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46118</v>
          </cell>
        </row>
        <row r="5">
          <cell r="B5">
            <v>46142</v>
          </cell>
        </row>
        <row r="6">
          <cell r="B6">
            <v>46173</v>
          </cell>
        </row>
        <row r="7">
          <cell r="B7">
            <v>46203</v>
          </cell>
        </row>
        <row r="8">
          <cell r="B8">
            <v>46234</v>
          </cell>
        </row>
        <row r="9">
          <cell r="B9">
            <v>46265</v>
          </cell>
        </row>
        <row r="10">
          <cell r="B10">
            <v>46295</v>
          </cell>
        </row>
        <row r="11">
          <cell r="B11">
            <v>46326</v>
          </cell>
        </row>
        <row r="12">
          <cell r="B12">
            <v>46356</v>
          </cell>
        </row>
        <row r="13">
          <cell r="B13">
            <v>46387</v>
          </cell>
        </row>
        <row r="14">
          <cell r="B14">
            <v>46418</v>
          </cell>
        </row>
        <row r="15">
          <cell r="B15">
            <v>46446</v>
          </cell>
        </row>
        <row r="17">
          <cell r="B17">
            <v>46482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7" t="n">
        <v>25000</v>
      </c>
      <c r="B1" s="8" t="s">
        <v>0</v>
      </c>
      <c r="C1" s="9" t="n">
        <f aca="false">[1]Admin!$B$4</f>
        <v>46118</v>
      </c>
      <c r="D1" s="10" t="s">
        <v>1</v>
      </c>
      <c r="E1" s="11" t="n">
        <f aca="false">F1-SUM(G1:M1)</f>
        <v>0</v>
      </c>
      <c r="F1" s="12" t="n">
        <f aca="false">SUM(F6:F200)</f>
        <v>44200</v>
      </c>
      <c r="G1" s="12" t="n">
        <f aca="false">SUM(G6:G200)</f>
        <v>0</v>
      </c>
      <c r="H1" s="12" t="n">
        <f aca="false">SUM(H6:H200)</f>
        <v>44200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12525.2</v>
      </c>
      <c r="U1" s="12" t="n">
        <f aca="false">SUM(U6:U200)</f>
        <v>0</v>
      </c>
      <c r="V1" s="12" t="n">
        <f aca="false">SUM(V6:V200)</f>
        <v>3700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1673.2</v>
      </c>
      <c r="AB1" s="12" t="n">
        <f aca="false">SUM(AB6:AB200)</f>
        <v>1000</v>
      </c>
      <c r="AC1" s="12" t="n">
        <f aca="false">SUM(AC6:AC200)</f>
        <v>500</v>
      </c>
    </row>
    <row r="2" customFormat="false" ht="15" hidden="false" customHeight="true" outlineLevel="0" collapsed="false">
      <c r="A2" s="17" t="n">
        <f aca="false">A1+F1-T1</f>
        <v>56674.8</v>
      </c>
      <c r="B2" s="18" t="s">
        <v>2</v>
      </c>
      <c r="C2" s="9" t="n">
        <f aca="false">[1]Admin!$B$5</f>
        <v>46142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46142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56674.8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46122</v>
      </c>
      <c r="B6" s="2" t="s">
        <v>43</v>
      </c>
      <c r="C6" s="3" t="s">
        <v>44</v>
      </c>
      <c r="D6" s="4" t="s">
        <v>45</v>
      </c>
      <c r="E6" s="5" t="s">
        <v>33</v>
      </c>
      <c r="F6" s="6" t="n">
        <v>7200</v>
      </c>
      <c r="G6" s="6" t="str">
        <f aca="false">IF(E6="BC",F6," ")</f>
        <v> </v>
      </c>
      <c r="H6" s="6" t="n">
        <f aca="false">IF(E6="DR",F6," ")</f>
        <v>7200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46113</v>
      </c>
      <c r="P6" s="4" t="s">
        <v>46</v>
      </c>
      <c r="Q6" s="3" t="s">
        <v>47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46127</v>
      </c>
      <c r="B7" s="2" t="s">
        <v>49</v>
      </c>
      <c r="C7" s="3" t="s">
        <v>50</v>
      </c>
      <c r="D7" s="4" t="s">
        <v>45</v>
      </c>
      <c r="E7" s="5" t="s">
        <v>33</v>
      </c>
      <c r="F7" s="6" t="n">
        <v>1200</v>
      </c>
      <c r="G7" s="6" t="str">
        <f aca="false">IF(E7="BC",F7," ")</f>
        <v> </v>
      </c>
      <c r="H7" s="6" t="n">
        <f aca="false">IF(E7="DR",F7," ")</f>
        <v>1200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46113</v>
      </c>
      <c r="P7" s="4" t="s">
        <v>51</v>
      </c>
      <c r="Q7" s="3" t="s">
        <v>52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46132</v>
      </c>
      <c r="B8" s="2" t="s">
        <v>43</v>
      </c>
      <c r="C8" s="3" t="s">
        <v>54</v>
      </c>
      <c r="D8" s="4" t="s">
        <v>55</v>
      </c>
      <c r="E8" s="5" t="s">
        <v>33</v>
      </c>
      <c r="F8" s="6" t="n">
        <v>8000</v>
      </c>
      <c r="G8" s="6" t="str">
        <f aca="false">IF(E8="BC",F8," ")</f>
        <v> </v>
      </c>
      <c r="H8" s="6" t="n">
        <f aca="false">IF(E8="DR",F8," ")</f>
        <v>8000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46117</v>
      </c>
      <c r="P8" s="4" t="s">
        <v>56</v>
      </c>
      <c r="Q8" s="3" t="s">
        <v>57</v>
      </c>
      <c r="R8" s="3" t="s">
        <v>58</v>
      </c>
      <c r="S8" s="38" t="s">
        <v>34</v>
      </c>
      <c r="T8" s="6" t="n">
        <v>2200</v>
      </c>
      <c r="U8" s="6" t="str">
        <f aca="false">IF(S8="BC",T8," ")</f>
        <v> </v>
      </c>
      <c r="V8" s="6" t="n">
        <f aca="false">IF(S8="CR",T8," ")</f>
        <v>2200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46137</v>
      </c>
      <c r="B9" s="2" t="s">
        <v>59</v>
      </c>
      <c r="C9" s="3" t="s">
        <v>60</v>
      </c>
      <c r="D9" s="4" t="s">
        <v>55</v>
      </c>
      <c r="E9" s="5" t="s">
        <v>33</v>
      </c>
      <c r="F9" s="6" t="n">
        <v>2400</v>
      </c>
      <c r="G9" s="6" t="str">
        <f aca="false">IF(E9="BC",F9," ")</f>
        <v> </v>
      </c>
      <c r="H9" s="6" t="n">
        <f aca="false">IF(E9="DR",F9," ")</f>
        <v>2400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46131</v>
      </c>
      <c r="P9" s="4" t="s">
        <v>61</v>
      </c>
      <c r="Q9" s="3" t="s">
        <v>62</v>
      </c>
      <c r="R9" s="3" t="s">
        <v>63</v>
      </c>
      <c r="S9" s="38" t="s">
        <v>42</v>
      </c>
      <c r="T9" s="6" t="n">
        <v>1673.2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1673.2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A10" s="1" t="n">
        <v>46137</v>
      </c>
      <c r="B10" s="2" t="s">
        <v>64</v>
      </c>
      <c r="C10" s="3" t="s">
        <v>65</v>
      </c>
      <c r="D10" s="4" t="s">
        <v>45</v>
      </c>
      <c r="E10" s="5" t="s">
        <v>33</v>
      </c>
      <c r="F10" s="6" t="n">
        <v>2400</v>
      </c>
      <c r="G10" s="6" t="str">
        <f aca="false">IF(E10="BC",F10," ")</f>
        <v> </v>
      </c>
      <c r="H10" s="6" t="n">
        <f aca="false">IF(E10="DR",F10," ")</f>
        <v>2400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46140</v>
      </c>
      <c r="P10" s="4" t="s">
        <v>66</v>
      </c>
      <c r="Q10" s="3" t="s">
        <v>67</v>
      </c>
      <c r="R10" s="3" t="s">
        <v>68</v>
      </c>
      <c r="S10" s="38" t="s">
        <v>39</v>
      </c>
      <c r="T10" s="6" t="n">
        <v>5652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n">
        <f aca="false">IF(S10="W",T10," ")</f>
        <v>5652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A11" s="1" t="n">
        <v>46140</v>
      </c>
      <c r="B11" s="2" t="s">
        <v>69</v>
      </c>
      <c r="C11" s="3" t="s">
        <v>70</v>
      </c>
      <c r="D11" s="4" t="s">
        <v>71</v>
      </c>
      <c r="E11" s="5" t="s">
        <v>33</v>
      </c>
      <c r="F11" s="6" t="n">
        <v>23000</v>
      </c>
      <c r="G11" s="6" t="str">
        <f aca="false">IF(E11="BC",F11," ")</f>
        <v> </v>
      </c>
      <c r="H11" s="6" t="n">
        <f aca="false">IF(E11="DR",F11," ")</f>
        <v>23000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46142</v>
      </c>
      <c r="P11" s="4" t="s">
        <v>72</v>
      </c>
      <c r="Q11" s="3" t="s">
        <v>73</v>
      </c>
      <c r="R11" s="3" t="s">
        <v>74</v>
      </c>
      <c r="S11" s="38" t="s">
        <v>34</v>
      </c>
      <c r="T11" s="6" t="n">
        <v>300</v>
      </c>
      <c r="U11" s="6" t="str">
        <f aca="false">IF(S11="BC",T11," ")</f>
        <v> </v>
      </c>
      <c r="V11" s="6" t="n">
        <f aca="false">IF(S11="CR",T11," ")</f>
        <v>300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46142</v>
      </c>
      <c r="P12" s="4" t="s">
        <v>75</v>
      </c>
      <c r="Q12" s="3" t="s">
        <v>76</v>
      </c>
      <c r="R12" s="3" t="s">
        <v>77</v>
      </c>
      <c r="S12" s="38" t="s">
        <v>38</v>
      </c>
      <c r="T12" s="6" t="n">
        <v>500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n">
        <f aca="false">IF(S12="X",T12," ")</f>
        <v>500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showDropDown="false" showErrorMessage="true" showInputMessage="false" sqref="E6:E200" type="list">
      <formula1>$G$5:$M$5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Apr!A2</f>
        <v>56674.8</v>
      </c>
      <c r="B1" s="8" t="s">
        <v>0</v>
      </c>
      <c r="C1" s="9" t="n">
        <f aca="false">Apr!C2</f>
        <v>46142</v>
      </c>
      <c r="D1" s="10" t="s">
        <v>1</v>
      </c>
      <c r="E1" s="11" t="n">
        <f aca="false">F1-SUM(G1:M1)</f>
        <v>0</v>
      </c>
      <c r="F1" s="12" t="n">
        <f aca="false">SUM(F6:F200)</f>
        <v>32920</v>
      </c>
      <c r="G1" s="12" t="n">
        <f aca="false">SUM(G6:G200)</f>
        <v>0</v>
      </c>
      <c r="H1" s="12" t="n">
        <f aca="false">SUM(H6:H200)</f>
        <v>32920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14150.2</v>
      </c>
      <c r="U1" s="12" t="n">
        <f aca="false">SUM(U6:U200)</f>
        <v>0</v>
      </c>
      <c r="V1" s="12" t="n">
        <f aca="false">SUM(V6:V200)</f>
        <v>4300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25</v>
      </c>
      <c r="Z1" s="12" t="n">
        <f aca="false">SUM(Z6:Z200)</f>
        <v>0</v>
      </c>
      <c r="AA1" s="12" t="n">
        <f aca="false">SUM(AA6:AA200)</f>
        <v>3173.2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75444.6</v>
      </c>
      <c r="B2" s="18" t="s">
        <v>2</v>
      </c>
      <c r="C2" s="9" t="n">
        <f aca="false">[1]Admin!$B$6</f>
        <v>46173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46173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75444.6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46162</v>
      </c>
      <c r="B6" s="2" t="s">
        <v>43</v>
      </c>
      <c r="C6" s="3" t="s">
        <v>78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46143</v>
      </c>
      <c r="P6" s="4" t="s">
        <v>46</v>
      </c>
      <c r="Q6" s="3" t="s">
        <v>79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46167</v>
      </c>
      <c r="B7" s="2" t="s">
        <v>59</v>
      </c>
      <c r="C7" s="3" t="s">
        <v>80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46143</v>
      </c>
      <c r="P7" s="4" t="s">
        <v>51</v>
      </c>
      <c r="Q7" s="3" t="s">
        <v>81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46170</v>
      </c>
      <c r="B8" s="2" t="s">
        <v>69</v>
      </c>
      <c r="C8" s="3" t="s">
        <v>82</v>
      </c>
      <c r="D8" s="4" t="s">
        <v>71</v>
      </c>
      <c r="E8" s="5" t="s">
        <v>33</v>
      </c>
      <c r="F8" s="6" t="n">
        <v>22520</v>
      </c>
      <c r="G8" s="6" t="str">
        <f aca="false">IF(E8="BC",F8," ")</f>
        <v> </v>
      </c>
      <c r="H8" s="6" t="n">
        <f aca="false">IF(E8="DR",F8," ")</f>
        <v>22520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46147</v>
      </c>
      <c r="P8" s="4" t="s">
        <v>56</v>
      </c>
      <c r="Q8" s="3" t="s">
        <v>83</v>
      </c>
      <c r="R8" s="3" t="s">
        <v>58</v>
      </c>
      <c r="S8" s="38" t="s">
        <v>34</v>
      </c>
      <c r="T8" s="6" t="n">
        <v>2800</v>
      </c>
      <c r="U8" s="6" t="str">
        <f aca="false">IF(S8="BC",T8," ")</f>
        <v> </v>
      </c>
      <c r="V8" s="6" t="n">
        <f aca="false">IF(S8="CR",T8," ")</f>
        <v>2800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46161</v>
      </c>
      <c r="P9" s="4" t="s">
        <v>61</v>
      </c>
      <c r="Q9" s="3" t="s">
        <v>84</v>
      </c>
      <c r="R9" s="3" t="s">
        <v>63</v>
      </c>
      <c r="S9" s="38" t="s">
        <v>42</v>
      </c>
      <c r="T9" s="6" t="n">
        <v>1673.2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1673.2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46167</v>
      </c>
      <c r="P10" s="4" t="s">
        <v>85</v>
      </c>
      <c r="Q10" s="3" t="s">
        <v>86</v>
      </c>
      <c r="R10" s="3" t="s">
        <v>87</v>
      </c>
      <c r="S10" s="38" t="s">
        <v>40</v>
      </c>
      <c r="T10" s="6" t="n">
        <v>25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n">
        <f aca="false">IF(S10="B",T10," ")</f>
        <v>25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46170</v>
      </c>
      <c r="P11" s="4" t="s">
        <v>66</v>
      </c>
      <c r="Q11" s="3" t="s">
        <v>88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46173</v>
      </c>
      <c r="P12" s="4" t="s">
        <v>72</v>
      </c>
      <c r="Q12" s="3" t="s">
        <v>89</v>
      </c>
      <c r="R12" s="3" t="s">
        <v>74</v>
      </c>
      <c r="S12" s="38" t="s">
        <v>34</v>
      </c>
      <c r="T12" s="6" t="n">
        <v>300</v>
      </c>
      <c r="U12" s="6" t="str">
        <f aca="false">IF(S12="BC",T12," ")</f>
        <v> </v>
      </c>
      <c r="V12" s="6" t="n">
        <f aca="false">IF(S12="CR",T12," ")</f>
        <v>300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46149</v>
      </c>
      <c r="P13" s="4" t="s">
        <v>61</v>
      </c>
      <c r="Q13" s="3" t="s">
        <v>90</v>
      </c>
      <c r="R13" s="3" t="s">
        <v>91</v>
      </c>
      <c r="S13" s="38" t="s">
        <v>42</v>
      </c>
      <c r="T13" s="6" t="n">
        <v>1500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n">
        <f aca="false">IF(S13="RP",T13," ")</f>
        <v>1500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May!A2</f>
        <v>75444.6</v>
      </c>
      <c r="B1" s="8" t="s">
        <v>0</v>
      </c>
      <c r="C1" s="9" t="n">
        <f aca="false">May!C2</f>
        <v>46173</v>
      </c>
      <c r="D1" s="10" t="s">
        <v>1</v>
      </c>
      <c r="E1" s="11" t="n">
        <f aca="false">F1-SUM(G1:M1)</f>
        <v>0</v>
      </c>
      <c r="F1" s="12" t="n">
        <f aca="false">SUM(F6:F200)</f>
        <v>35200</v>
      </c>
      <c r="G1" s="12" t="n">
        <f aca="false">SUM(G6:G200)</f>
        <v>0</v>
      </c>
      <c r="H1" s="12" t="n">
        <f aca="false">SUM(H6:H200)</f>
        <v>35200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27675.2</v>
      </c>
      <c r="U1" s="12" t="n">
        <f aca="false">SUM(U6:U200)</f>
        <v>0</v>
      </c>
      <c r="V1" s="12" t="n">
        <f aca="false">SUM(V6:V200)</f>
        <v>17000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2250</v>
      </c>
      <c r="Z1" s="12" t="n">
        <f aca="false">SUM(Z6:Z200)</f>
        <v>0</v>
      </c>
      <c r="AA1" s="12" t="n">
        <f aca="false">SUM(AA6:AA200)</f>
        <v>1673.2</v>
      </c>
      <c r="AB1" s="12" t="n">
        <f aca="false">SUM(AB6:AB200)</f>
        <v>1000</v>
      </c>
      <c r="AC1" s="12" t="n">
        <f aca="false">SUM(AC6:AC200)</f>
        <v>100</v>
      </c>
    </row>
    <row r="2" customFormat="false" ht="15" hidden="false" customHeight="true" outlineLevel="0" collapsed="false">
      <c r="A2" s="17" t="n">
        <f aca="false">A1+F1-T1</f>
        <v>82969.4</v>
      </c>
      <c r="B2" s="18" t="s">
        <v>2</v>
      </c>
      <c r="C2" s="9" t="n">
        <f aca="false">[1]Admin!$B$7</f>
        <v>46203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46203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82969.4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46193</v>
      </c>
      <c r="B6" s="2" t="s">
        <v>43</v>
      </c>
      <c r="C6" s="3" t="s">
        <v>92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46174</v>
      </c>
      <c r="P6" s="4" t="s">
        <v>46</v>
      </c>
      <c r="Q6" s="3" t="s">
        <v>93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46198</v>
      </c>
      <c r="B7" s="2" t="s">
        <v>59</v>
      </c>
      <c r="C7" s="3" t="s">
        <v>94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46174</v>
      </c>
      <c r="P7" s="4" t="s">
        <v>51</v>
      </c>
      <c r="Q7" s="3" t="s">
        <v>95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46201</v>
      </c>
      <c r="B8" s="2" t="s">
        <v>69</v>
      </c>
      <c r="C8" s="3" t="s">
        <v>96</v>
      </c>
      <c r="D8" s="4" t="s">
        <v>71</v>
      </c>
      <c r="E8" s="5" t="s">
        <v>33</v>
      </c>
      <c r="F8" s="6" t="n">
        <v>24800</v>
      </c>
      <c r="G8" s="6" t="str">
        <f aca="false">IF(E8="BC",F8," ")</f>
        <v> </v>
      </c>
      <c r="H8" s="6" t="n">
        <f aca="false">IF(E8="DR",F8," ")</f>
        <v>24800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46178</v>
      </c>
      <c r="P8" s="4" t="s">
        <v>56</v>
      </c>
      <c r="Q8" s="3" t="s">
        <v>97</v>
      </c>
      <c r="R8" s="3" t="s">
        <v>58</v>
      </c>
      <c r="S8" s="38" t="s">
        <v>34</v>
      </c>
      <c r="T8" s="6" t="n">
        <v>2500</v>
      </c>
      <c r="U8" s="6" t="str">
        <f aca="false">IF(S8="BC",T8," ")</f>
        <v> </v>
      </c>
      <c r="V8" s="6" t="n">
        <f aca="false">IF(S8="CR",T8," ")</f>
        <v>2500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46183</v>
      </c>
      <c r="P9" s="4" t="s">
        <v>98</v>
      </c>
      <c r="Q9" s="3" t="s">
        <v>99</v>
      </c>
      <c r="R9" s="3" t="s">
        <v>100</v>
      </c>
      <c r="S9" s="38" t="s">
        <v>38</v>
      </c>
      <c r="T9" s="6" t="n">
        <v>100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n">
        <f aca="false">IF(S9="X",T9," ")</f>
        <v>100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46192</v>
      </c>
      <c r="P10" s="4" t="s">
        <v>61</v>
      </c>
      <c r="Q10" s="3" t="s">
        <v>101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46201</v>
      </c>
      <c r="P11" s="4" t="s">
        <v>66</v>
      </c>
      <c r="Q11" s="3" t="s">
        <v>102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46203</v>
      </c>
      <c r="P12" s="4" t="s">
        <v>103</v>
      </c>
      <c r="Q12" s="3" t="s">
        <v>104</v>
      </c>
      <c r="R12" s="3" t="s">
        <v>105</v>
      </c>
      <c r="S12" s="38" t="s">
        <v>40</v>
      </c>
      <c r="T12" s="6" t="n">
        <v>250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n">
        <f aca="false">IF(S12="B",T12," ")</f>
        <v>250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46203</v>
      </c>
      <c r="P13" s="4" t="s">
        <v>72</v>
      </c>
      <c r="Q13" s="3" t="s">
        <v>106</v>
      </c>
      <c r="R13" s="3" t="s">
        <v>74</v>
      </c>
      <c r="S13" s="38" t="s">
        <v>34</v>
      </c>
      <c r="T13" s="6" t="n">
        <v>300</v>
      </c>
      <c r="U13" s="6" t="str">
        <f aca="false">IF(S13="BC",T13," ")</f>
        <v> </v>
      </c>
      <c r="V13" s="6" t="n">
        <f aca="false">IF(S13="CR",T13," ")</f>
        <v>300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O14" s="1" t="n">
        <v>46174</v>
      </c>
      <c r="P14" s="4" t="s">
        <v>107</v>
      </c>
      <c r="Q14" s="3" t="s">
        <v>108</v>
      </c>
      <c r="R14" s="3" t="s">
        <v>109</v>
      </c>
      <c r="S14" s="38" t="s">
        <v>40</v>
      </c>
      <c r="T14" s="6" t="n">
        <v>2000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n">
        <f aca="false">IF(S14="B",T14," ")</f>
        <v>2000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O15" s="1" t="n">
        <v>46174</v>
      </c>
      <c r="P15" s="4" t="s">
        <v>107</v>
      </c>
      <c r="Q15" s="3" t="s">
        <v>110</v>
      </c>
      <c r="R15" s="3" t="s">
        <v>111</v>
      </c>
      <c r="S15" s="38" t="s">
        <v>34</v>
      </c>
      <c r="T15" s="6" t="n">
        <v>13000</v>
      </c>
      <c r="U15" s="6" t="str">
        <f aca="false">IF(S15="BC",T15," ")</f>
        <v> </v>
      </c>
      <c r="V15" s="6" t="n">
        <f aca="false">IF(S15="CR",T15," ")</f>
        <v>13000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Jun!A2</f>
        <v>82969.4</v>
      </c>
      <c r="B1" s="8" t="s">
        <v>0</v>
      </c>
      <c r="C1" s="9" t="n">
        <f aca="false">Jun!C2</f>
        <v>46203</v>
      </c>
      <c r="D1" s="10" t="s">
        <v>1</v>
      </c>
      <c r="E1" s="11" t="n">
        <f aca="false">F1-SUM(G1:M1)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33760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16425.2</v>
      </c>
      <c r="U1" s="12" t="n">
        <f aca="false">SUM(U6:U200)</f>
        <v>0</v>
      </c>
      <c r="V1" s="12" t="n">
        <f aca="false">SUM(V6:V200)</f>
        <v>3800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2673.2</v>
      </c>
      <c r="AB1" s="12" t="n">
        <f aca="false">SUM(AB6:AB200)</f>
        <v>4000</v>
      </c>
      <c r="AC1" s="12" t="n">
        <f aca="false">SUM(AC6:AC200)</f>
        <v>300</v>
      </c>
    </row>
    <row r="2" customFormat="false" ht="15" hidden="false" customHeight="true" outlineLevel="0" collapsed="false">
      <c r="A2" s="17" t="n">
        <f aca="false">A1+F1-T1</f>
        <v>100304.2</v>
      </c>
      <c r="B2" s="18" t="s">
        <v>2</v>
      </c>
      <c r="C2" s="9" t="n">
        <f aca="false">[1]Admin!$B$8</f>
        <v>46234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46234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100304.2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46223</v>
      </c>
      <c r="B6" s="2" t="s">
        <v>43</v>
      </c>
      <c r="C6" s="3" t="s">
        <v>112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46204</v>
      </c>
      <c r="P6" s="4" t="s">
        <v>46</v>
      </c>
      <c r="Q6" s="3" t="s">
        <v>113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46228</v>
      </c>
      <c r="B7" s="2" t="s">
        <v>59</v>
      </c>
      <c r="C7" s="3" t="s">
        <v>114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46204</v>
      </c>
      <c r="P7" s="4" t="s">
        <v>51</v>
      </c>
      <c r="Q7" s="3" t="s">
        <v>115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46231</v>
      </c>
      <c r="B8" s="2" t="s">
        <v>69</v>
      </c>
      <c r="C8" s="3" t="s">
        <v>116</v>
      </c>
      <c r="D8" s="4" t="s">
        <v>71</v>
      </c>
      <c r="E8" s="5" t="s">
        <v>33</v>
      </c>
      <c r="F8" s="6" t="n">
        <v>23360</v>
      </c>
      <c r="G8" s="6" t="str">
        <f aca="false">IF(E8="BC",F8," ")</f>
        <v> </v>
      </c>
      <c r="H8" s="6" t="n">
        <f aca="false">IF(E8="DR",F8," ")</f>
        <v>23360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46208</v>
      </c>
      <c r="P8" s="4" t="s">
        <v>56</v>
      </c>
      <c r="Q8" s="3" t="s">
        <v>117</v>
      </c>
      <c r="R8" s="3" t="s">
        <v>58</v>
      </c>
      <c r="S8" s="38" t="s">
        <v>34</v>
      </c>
      <c r="T8" s="6" t="n">
        <v>2300</v>
      </c>
      <c r="U8" s="6" t="str">
        <f aca="false">IF(S8="BC",T8," ")</f>
        <v> </v>
      </c>
      <c r="V8" s="6" t="n">
        <f aca="false">IF(S8="CR",T8," ")</f>
        <v>2300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46218</v>
      </c>
      <c r="P9" s="4" t="s">
        <v>118</v>
      </c>
      <c r="Q9" s="3" t="s">
        <v>119</v>
      </c>
      <c r="R9" s="3" t="s">
        <v>120</v>
      </c>
      <c r="S9" s="38" t="s">
        <v>37</v>
      </c>
      <c r="T9" s="6" t="n">
        <v>3000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n">
        <f aca="false">IF(S9="DL",T9," ")</f>
        <v>3000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46222</v>
      </c>
      <c r="P10" s="4" t="s">
        <v>61</v>
      </c>
      <c r="Q10" s="3" t="s">
        <v>121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46222</v>
      </c>
      <c r="P11" s="4" t="s">
        <v>61</v>
      </c>
      <c r="Q11" s="3" t="s">
        <v>122</v>
      </c>
      <c r="R11" s="3" t="s">
        <v>123</v>
      </c>
      <c r="S11" s="38" t="s">
        <v>42</v>
      </c>
      <c r="T11" s="6" t="n">
        <v>1000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n">
        <f aca="false">IF(S11="RP",T11," ")</f>
        <v>1000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46231</v>
      </c>
      <c r="P12" s="4" t="s">
        <v>66</v>
      </c>
      <c r="Q12" s="3" t="s">
        <v>124</v>
      </c>
      <c r="R12" s="3" t="s">
        <v>68</v>
      </c>
      <c r="S12" s="38" t="s">
        <v>39</v>
      </c>
      <c r="T12" s="6" t="n">
        <v>5652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n">
        <f aca="false">IF(S12="W",T12," ")</f>
        <v>5652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46234</v>
      </c>
      <c r="P13" s="4" t="s">
        <v>72</v>
      </c>
      <c r="Q13" s="3" t="s">
        <v>125</v>
      </c>
      <c r="R13" s="3" t="s">
        <v>74</v>
      </c>
      <c r="S13" s="38" t="s">
        <v>34</v>
      </c>
      <c r="T13" s="6" t="n">
        <v>300</v>
      </c>
      <c r="U13" s="6" t="str">
        <f aca="false">IF(S13="BC",T13," ")</f>
        <v> </v>
      </c>
      <c r="V13" s="6" t="n">
        <f aca="false">IF(S13="CR",T13," ")</f>
        <v>300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O14" s="1" t="n">
        <v>46234</v>
      </c>
      <c r="P14" s="4" t="s">
        <v>75</v>
      </c>
      <c r="Q14" s="3" t="s">
        <v>126</v>
      </c>
      <c r="R14" s="3" t="s">
        <v>77</v>
      </c>
      <c r="S14" s="38" t="s">
        <v>38</v>
      </c>
      <c r="T14" s="6" t="n">
        <v>300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n">
        <f aca="false">IF(S14="X",T14," ")</f>
        <v>300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Jul!A2</f>
        <v>100304.2</v>
      </c>
      <c r="B1" s="8" t="s">
        <v>0</v>
      </c>
      <c r="C1" s="9" t="n">
        <f aca="false">Jul!C2</f>
        <v>46234</v>
      </c>
      <c r="D1" s="10" t="s">
        <v>1</v>
      </c>
      <c r="E1" s="11" t="n">
        <f aca="false">F1-SUM(G1:M1)</f>
        <v>0</v>
      </c>
      <c r="F1" s="12" t="n">
        <f aca="false">SUM(F6:F200)</f>
        <v>38520</v>
      </c>
      <c r="G1" s="12" t="n">
        <f aca="false">SUM(G6:G200)</f>
        <v>0</v>
      </c>
      <c r="H1" s="12" t="n">
        <f aca="false">SUM(H6:H200)</f>
        <v>38520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26233.37</v>
      </c>
      <c r="U1" s="12" t="n">
        <f aca="false">SUM(U6:U200)</f>
        <v>0</v>
      </c>
      <c r="V1" s="12" t="n">
        <f aca="false">SUM(V6:V200)</f>
        <v>4100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15481.37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112590.83</v>
      </c>
      <c r="B2" s="18" t="s">
        <v>2</v>
      </c>
      <c r="C2" s="9" t="n">
        <f aca="false">[1]Admin!$B$9</f>
        <v>46265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46265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112590.83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46239</v>
      </c>
      <c r="B6" s="2" t="s">
        <v>127</v>
      </c>
      <c r="C6" s="3" t="s">
        <v>128</v>
      </c>
      <c r="D6" s="4" t="s">
        <v>129</v>
      </c>
      <c r="E6" s="5" t="s">
        <v>33</v>
      </c>
      <c r="F6" s="6" t="n">
        <v>2500</v>
      </c>
      <c r="G6" s="6" t="str">
        <f aca="false">IF(E6="BC",F6," ")</f>
        <v> </v>
      </c>
      <c r="H6" s="6" t="n">
        <f aca="false">IF(E6="DR",F6," ")</f>
        <v>2500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46241</v>
      </c>
      <c r="P6" s="4" t="s">
        <v>61</v>
      </c>
      <c r="Q6" s="3" t="s">
        <v>130</v>
      </c>
      <c r="R6" s="3" t="s">
        <v>131</v>
      </c>
      <c r="S6" s="38" t="s">
        <v>42</v>
      </c>
      <c r="T6" s="6" t="n">
        <v>13808.17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13808.17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46254</v>
      </c>
      <c r="B7" s="2" t="s">
        <v>43</v>
      </c>
      <c r="C7" s="3" t="s">
        <v>132</v>
      </c>
      <c r="D7" s="4" t="s">
        <v>55</v>
      </c>
      <c r="E7" s="5" t="s">
        <v>33</v>
      </c>
      <c r="F7" s="6" t="n">
        <v>8000</v>
      </c>
      <c r="G7" s="6" t="str">
        <f aca="false">IF(E7="BC",F7," ")</f>
        <v> </v>
      </c>
      <c r="H7" s="6" t="n">
        <f aca="false">IF(E7="DR",F7," ")</f>
        <v>8000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46235</v>
      </c>
      <c r="P7" s="4" t="s">
        <v>46</v>
      </c>
      <c r="Q7" s="3" t="s">
        <v>133</v>
      </c>
      <c r="R7" s="3" t="s">
        <v>48</v>
      </c>
      <c r="S7" s="38" t="s">
        <v>34</v>
      </c>
      <c r="T7" s="6" t="n">
        <v>1200</v>
      </c>
      <c r="U7" s="6" t="str">
        <f aca="false">IF(S7="BC",T7," ")</f>
        <v> </v>
      </c>
      <c r="V7" s="6" t="n">
        <f aca="false">IF(S7="CR",T7," ")</f>
        <v>1200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46259</v>
      </c>
      <c r="B8" s="2" t="s">
        <v>59</v>
      </c>
      <c r="C8" s="3" t="s">
        <v>134</v>
      </c>
      <c r="D8" s="4" t="s">
        <v>55</v>
      </c>
      <c r="E8" s="5" t="s">
        <v>33</v>
      </c>
      <c r="F8" s="6" t="n">
        <v>2400</v>
      </c>
      <c r="G8" s="6" t="str">
        <f aca="false">IF(E8="BC",F8," ")</f>
        <v> </v>
      </c>
      <c r="H8" s="6" t="n">
        <f aca="false">IF(E8="DR",F8," ")</f>
        <v>2400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46235</v>
      </c>
      <c r="P8" s="4" t="s">
        <v>51</v>
      </c>
      <c r="Q8" s="3" t="s">
        <v>135</v>
      </c>
      <c r="R8" s="3" t="s">
        <v>53</v>
      </c>
      <c r="S8" s="38" t="s">
        <v>37</v>
      </c>
      <c r="T8" s="6" t="n">
        <v>1000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n">
        <f aca="false">IF(S8="DL",T8," ")</f>
        <v>1000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46262</v>
      </c>
      <c r="B9" s="2" t="s">
        <v>69</v>
      </c>
      <c r="C9" s="3" t="s">
        <v>136</v>
      </c>
      <c r="D9" s="4" t="s">
        <v>71</v>
      </c>
      <c r="E9" s="5" t="s">
        <v>33</v>
      </c>
      <c r="F9" s="6" t="n">
        <v>25620</v>
      </c>
      <c r="G9" s="6" t="str">
        <f aca="false">IF(E9="BC",F9," ")</f>
        <v> </v>
      </c>
      <c r="H9" s="6" t="n">
        <f aca="false">IF(E9="DR",F9," ")</f>
        <v>25620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46239</v>
      </c>
      <c r="P9" s="4" t="s">
        <v>56</v>
      </c>
      <c r="Q9" s="3" t="s">
        <v>137</v>
      </c>
      <c r="R9" s="3" t="s">
        <v>58</v>
      </c>
      <c r="S9" s="38" t="s">
        <v>34</v>
      </c>
      <c r="T9" s="6" t="n">
        <v>2600</v>
      </c>
      <c r="U9" s="6" t="str">
        <f aca="false">IF(S9="BC",T9," ")</f>
        <v> </v>
      </c>
      <c r="V9" s="6" t="n">
        <f aca="false">IF(S9="CR",T9," ")</f>
        <v>2600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46253</v>
      </c>
      <c r="P10" s="4" t="s">
        <v>61</v>
      </c>
      <c r="Q10" s="3" t="s">
        <v>138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46262</v>
      </c>
      <c r="P11" s="4" t="s">
        <v>66</v>
      </c>
      <c r="Q11" s="3" t="s">
        <v>139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46265</v>
      </c>
      <c r="P12" s="4" t="s">
        <v>72</v>
      </c>
      <c r="Q12" s="3" t="s">
        <v>140</v>
      </c>
      <c r="R12" s="3" t="s">
        <v>74</v>
      </c>
      <c r="S12" s="38" t="s">
        <v>34</v>
      </c>
      <c r="T12" s="6" t="n">
        <v>300</v>
      </c>
      <c r="U12" s="6" t="str">
        <f aca="false">IF(S12="BC",T12," ")</f>
        <v> </v>
      </c>
      <c r="V12" s="6" t="n">
        <f aca="false">IF(S12="CR",T12," ")</f>
        <v>300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Aug!A2</f>
        <v>112590.83</v>
      </c>
      <c r="B1" s="8" t="s">
        <v>0</v>
      </c>
      <c r="C1" s="9" t="n">
        <f aca="false">Aug!C2</f>
        <v>46265</v>
      </c>
      <c r="D1" s="10" t="s">
        <v>1</v>
      </c>
      <c r="E1" s="11" t="n">
        <f aca="false">F1-SUM(G1:M1)</f>
        <v>0</v>
      </c>
      <c r="F1" s="12" t="n">
        <f aca="false">SUM(F6:F200)</f>
        <v>33760</v>
      </c>
      <c r="G1" s="12" t="n">
        <f aca="false">SUM(G6:G200)</f>
        <v>0</v>
      </c>
      <c r="H1" s="12" t="n">
        <f aca="false">SUM(H6:H200)</f>
        <v>33760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20233.2</v>
      </c>
      <c r="U1" s="12" t="n">
        <f aca="false">SUM(U6:U200)</f>
        <v>0</v>
      </c>
      <c r="V1" s="12" t="n">
        <f aca="false">SUM(V6:V200)</f>
        <v>10600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1308</v>
      </c>
      <c r="Z1" s="12" t="n">
        <f aca="false">SUM(Z6:Z200)</f>
        <v>0</v>
      </c>
      <c r="AA1" s="12" t="n">
        <f aca="false">SUM(AA6:AA200)</f>
        <v>1673.2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126117.63</v>
      </c>
      <c r="B2" s="18" t="s">
        <v>2</v>
      </c>
      <c r="C2" s="9" t="n">
        <f aca="false">[1]Admin!$B$10</f>
        <v>46295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46295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126117.63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46285</v>
      </c>
      <c r="B6" s="2" t="s">
        <v>43</v>
      </c>
      <c r="C6" s="3" t="s">
        <v>141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46266</v>
      </c>
      <c r="P6" s="4" t="s">
        <v>46</v>
      </c>
      <c r="Q6" s="3" t="s">
        <v>142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46290</v>
      </c>
      <c r="B7" s="2" t="s">
        <v>59</v>
      </c>
      <c r="C7" s="3" t="s">
        <v>143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46266</v>
      </c>
      <c r="P7" s="4" t="s">
        <v>51</v>
      </c>
      <c r="Q7" s="3" t="s">
        <v>144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46293</v>
      </c>
      <c r="B8" s="2" t="s">
        <v>69</v>
      </c>
      <c r="C8" s="3" t="s">
        <v>145</v>
      </c>
      <c r="D8" s="4" t="s">
        <v>71</v>
      </c>
      <c r="E8" s="5" t="s">
        <v>33</v>
      </c>
      <c r="F8" s="6" t="n">
        <v>23360</v>
      </c>
      <c r="G8" s="6" t="str">
        <f aca="false">IF(E8="BC",F8," ")</f>
        <v> </v>
      </c>
      <c r="H8" s="6" t="n">
        <f aca="false">IF(E8="DR",F8," ")</f>
        <v>23360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46270</v>
      </c>
      <c r="P8" s="4" t="s">
        <v>56</v>
      </c>
      <c r="Q8" s="3" t="s">
        <v>146</v>
      </c>
      <c r="R8" s="3" t="s">
        <v>58</v>
      </c>
      <c r="S8" s="38" t="s">
        <v>34</v>
      </c>
      <c r="T8" s="6" t="n">
        <v>2100</v>
      </c>
      <c r="U8" s="6" t="str">
        <f aca="false">IF(S8="BC",T8," ")</f>
        <v> </v>
      </c>
      <c r="V8" s="6" t="n">
        <f aca="false">IF(S8="CR",T8," ")</f>
        <v>2100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46284</v>
      </c>
      <c r="P9" s="4" t="s">
        <v>61</v>
      </c>
      <c r="Q9" s="3" t="s">
        <v>147</v>
      </c>
      <c r="R9" s="3" t="s">
        <v>63</v>
      </c>
      <c r="S9" s="38" t="s">
        <v>42</v>
      </c>
      <c r="T9" s="6" t="n">
        <v>1673.2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1673.2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46293</v>
      </c>
      <c r="P10" s="4" t="s">
        <v>66</v>
      </c>
      <c r="Q10" s="3" t="s">
        <v>148</v>
      </c>
      <c r="R10" s="3" t="s">
        <v>68</v>
      </c>
      <c r="S10" s="38" t="s">
        <v>39</v>
      </c>
      <c r="T10" s="6" t="n">
        <v>5652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n">
        <f aca="false">IF(S10="W",T10," ")</f>
        <v>5652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46295</v>
      </c>
      <c r="P11" s="4" t="s">
        <v>103</v>
      </c>
      <c r="Q11" s="3" t="s">
        <v>149</v>
      </c>
      <c r="R11" s="3" t="s">
        <v>105</v>
      </c>
      <c r="S11" s="38" t="s">
        <v>40</v>
      </c>
      <c r="T11" s="6" t="n">
        <v>208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n">
        <f aca="false">IF(S11="B",T11," ")</f>
        <v>208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46295</v>
      </c>
      <c r="P12" s="4" t="s">
        <v>72</v>
      </c>
      <c r="Q12" s="3" t="s">
        <v>150</v>
      </c>
      <c r="R12" s="3" t="s">
        <v>74</v>
      </c>
      <c r="S12" s="38" t="s">
        <v>34</v>
      </c>
      <c r="T12" s="6" t="n">
        <v>300</v>
      </c>
      <c r="U12" s="6" t="str">
        <f aca="false">IF(S12="BC",T12," ")</f>
        <v> </v>
      </c>
      <c r="V12" s="6" t="n">
        <f aca="false">IF(S12="CR",T12," ")</f>
        <v>300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46266</v>
      </c>
      <c r="P13" s="4" t="s">
        <v>107</v>
      </c>
      <c r="Q13" s="3" t="s">
        <v>151</v>
      </c>
      <c r="R13" s="3" t="s">
        <v>152</v>
      </c>
      <c r="S13" s="38" t="s">
        <v>40</v>
      </c>
      <c r="T13" s="6" t="n">
        <v>1100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n">
        <f aca="false">IF(S13="B",T13," ")</f>
        <v>1100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O14" s="1" t="n">
        <v>46266</v>
      </c>
      <c r="P14" s="4" t="s">
        <v>107</v>
      </c>
      <c r="Q14" s="3" t="s">
        <v>153</v>
      </c>
      <c r="R14" s="3" t="s">
        <v>154</v>
      </c>
      <c r="S14" s="38" t="s">
        <v>34</v>
      </c>
      <c r="T14" s="6" t="n">
        <v>7000</v>
      </c>
      <c r="U14" s="6" t="str">
        <f aca="false">IF(S14="BC",T14," ")</f>
        <v> </v>
      </c>
      <c r="V14" s="6" t="n">
        <f aca="false">IF(S14="CR",T14," ")</f>
        <v>7000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Sep!A2</f>
        <v>126117.63</v>
      </c>
      <c r="B1" s="8" t="s">
        <v>0</v>
      </c>
      <c r="C1" s="9" t="n">
        <f aca="false">Sep!C2</f>
        <v>46295</v>
      </c>
      <c r="D1" s="10" t="s">
        <v>1</v>
      </c>
      <c r="E1" s="11" t="n">
        <f aca="false">F1-SUM(G1:M1)</f>
        <v>0</v>
      </c>
      <c r="F1" s="12" t="n">
        <f aca="false">SUM(F6:F200)</f>
        <v>50560</v>
      </c>
      <c r="G1" s="12" t="n">
        <f aca="false">SUM(G6:G200)</f>
        <v>0</v>
      </c>
      <c r="H1" s="12" t="n">
        <f aca="false">SUM(H6:H200)</f>
        <v>50560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56825.2</v>
      </c>
      <c r="U1" s="12" t="n">
        <f aca="false">SUM(U6:U200)</f>
        <v>0</v>
      </c>
      <c r="V1" s="12" t="n">
        <f aca="false">SUM(V6:V200)</f>
        <v>40500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6173.2</v>
      </c>
      <c r="AB1" s="12" t="n">
        <f aca="false">SUM(AB6:AB200)</f>
        <v>4000</v>
      </c>
      <c r="AC1" s="12" t="n">
        <f aca="false">SUM(AC6:AC200)</f>
        <v>500</v>
      </c>
    </row>
    <row r="2" customFormat="false" ht="15" hidden="false" customHeight="true" outlineLevel="0" collapsed="false">
      <c r="A2" s="17" t="n">
        <f aca="false">A1+F1-T1</f>
        <v>119852.43</v>
      </c>
      <c r="B2" s="18" t="s">
        <v>2</v>
      </c>
      <c r="C2" s="9" t="n">
        <f aca="false">[1]Admin!$B$11</f>
        <v>46326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46326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119852.43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46310</v>
      </c>
      <c r="B6" s="2" t="s">
        <v>155</v>
      </c>
      <c r="C6" s="3" t="s">
        <v>156</v>
      </c>
      <c r="D6" s="4" t="s">
        <v>157</v>
      </c>
      <c r="E6" s="5" t="s">
        <v>33</v>
      </c>
      <c r="F6" s="6" t="n">
        <v>15000</v>
      </c>
      <c r="G6" s="6" t="str">
        <f aca="false">IF(E6="BC",F6," ")</f>
        <v> </v>
      </c>
      <c r="H6" s="6" t="n">
        <f aca="false">IF(E6="DR",F6," ")</f>
        <v>15000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46296</v>
      </c>
      <c r="P6" s="4" t="s">
        <v>46</v>
      </c>
      <c r="Q6" s="3" t="s">
        <v>158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46315</v>
      </c>
      <c r="B7" s="2" t="s">
        <v>43</v>
      </c>
      <c r="C7" s="3" t="s">
        <v>159</v>
      </c>
      <c r="D7" s="4" t="s">
        <v>55</v>
      </c>
      <c r="E7" s="5" t="s">
        <v>33</v>
      </c>
      <c r="F7" s="6" t="n">
        <v>8000</v>
      </c>
      <c r="G7" s="6" t="str">
        <f aca="false">IF(E7="BC",F7," ")</f>
        <v> </v>
      </c>
      <c r="H7" s="6" t="n">
        <f aca="false">IF(E7="DR",F7," ")</f>
        <v>8000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46296</v>
      </c>
      <c r="P7" s="4" t="s">
        <v>51</v>
      </c>
      <c r="Q7" s="3" t="s">
        <v>160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46320</v>
      </c>
      <c r="B8" s="2" t="s">
        <v>59</v>
      </c>
      <c r="C8" s="3" t="s">
        <v>161</v>
      </c>
      <c r="D8" s="4" t="s">
        <v>55</v>
      </c>
      <c r="E8" s="5" t="s">
        <v>33</v>
      </c>
      <c r="F8" s="6" t="n">
        <v>2400</v>
      </c>
      <c r="G8" s="6" t="str">
        <f aca="false">IF(E8="BC",F8," ")</f>
        <v> </v>
      </c>
      <c r="H8" s="6" t="n">
        <f aca="false">IF(E8="DR",F8," ")</f>
        <v>2400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46296</v>
      </c>
      <c r="P8" s="4" t="s">
        <v>61</v>
      </c>
      <c r="Q8" s="3" t="s">
        <v>162</v>
      </c>
      <c r="R8" s="3" t="s">
        <v>163</v>
      </c>
      <c r="S8" s="38" t="s">
        <v>42</v>
      </c>
      <c r="T8" s="6" t="n">
        <v>4500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n">
        <f aca="false">IF(S8="RP",T8," ")</f>
        <v>4500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46323</v>
      </c>
      <c r="B9" s="2" t="s">
        <v>69</v>
      </c>
      <c r="C9" s="3" t="s">
        <v>164</v>
      </c>
      <c r="D9" s="4" t="s">
        <v>71</v>
      </c>
      <c r="E9" s="5" t="s">
        <v>33</v>
      </c>
      <c r="F9" s="6" t="n">
        <v>25160</v>
      </c>
      <c r="G9" s="6" t="str">
        <f aca="false">IF(E9="BC",F9," ")</f>
        <v> </v>
      </c>
      <c r="H9" s="6" t="n">
        <f aca="false">IF(E9="DR",F9," ")</f>
        <v>25160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46300</v>
      </c>
      <c r="P9" s="4" t="s">
        <v>56</v>
      </c>
      <c r="Q9" s="3" t="s">
        <v>165</v>
      </c>
      <c r="R9" s="3" t="s">
        <v>58</v>
      </c>
      <c r="S9" s="38" t="s">
        <v>34</v>
      </c>
      <c r="T9" s="6" t="n">
        <v>3000</v>
      </c>
      <c r="U9" s="6" t="str">
        <f aca="false">IF(S9="BC",T9," ")</f>
        <v> </v>
      </c>
      <c r="V9" s="6" t="n">
        <f aca="false">IF(S9="CR",T9," ")</f>
        <v>3000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46310</v>
      </c>
      <c r="P10" s="4" t="s">
        <v>118</v>
      </c>
      <c r="Q10" s="3" t="s">
        <v>166</v>
      </c>
      <c r="R10" s="3" t="s">
        <v>120</v>
      </c>
      <c r="S10" s="38" t="s">
        <v>37</v>
      </c>
      <c r="T10" s="6" t="n">
        <v>3000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str">
        <f aca="false">IF(S10="RP",T10," ")</f>
        <v> </v>
      </c>
      <c r="AB10" s="6" t="n">
        <f aca="false">IF(S10="DL",T10," ")</f>
        <v>3000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46314</v>
      </c>
      <c r="P11" s="4" t="s">
        <v>61</v>
      </c>
      <c r="Q11" s="3" t="s">
        <v>167</v>
      </c>
      <c r="R11" s="3" t="s">
        <v>63</v>
      </c>
      <c r="S11" s="38" t="s">
        <v>42</v>
      </c>
      <c r="T11" s="6" t="n">
        <v>1673.2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n">
        <f aca="false">IF(S11="RP",T11," ")</f>
        <v>1673.2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46320</v>
      </c>
      <c r="P12" s="4" t="s">
        <v>168</v>
      </c>
      <c r="Q12" s="3" t="s">
        <v>169</v>
      </c>
      <c r="R12" s="3" t="s">
        <v>170</v>
      </c>
      <c r="S12" s="38" t="s">
        <v>34</v>
      </c>
      <c r="T12" s="6" t="n">
        <v>36000</v>
      </c>
      <c r="U12" s="6" t="str">
        <f aca="false">IF(S12="BC",T12," ")</f>
        <v> </v>
      </c>
      <c r="V12" s="6" t="n">
        <f aca="false">IF(S12="CR",T12," ")</f>
        <v>36000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46323</v>
      </c>
      <c r="P13" s="4" t="s">
        <v>66</v>
      </c>
      <c r="Q13" s="3" t="s">
        <v>171</v>
      </c>
      <c r="R13" s="3" t="s">
        <v>68</v>
      </c>
      <c r="S13" s="38" t="s">
        <v>39</v>
      </c>
      <c r="T13" s="6" t="n">
        <v>5652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n">
        <f aca="false">IF(S13="W",T13," ")</f>
        <v>5652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O14" s="1" t="n">
        <v>46326</v>
      </c>
      <c r="P14" s="4" t="s">
        <v>72</v>
      </c>
      <c r="Q14" s="3" t="s">
        <v>172</v>
      </c>
      <c r="R14" s="3" t="s">
        <v>74</v>
      </c>
      <c r="S14" s="38" t="s">
        <v>34</v>
      </c>
      <c r="T14" s="6" t="n">
        <v>300</v>
      </c>
      <c r="U14" s="6" t="str">
        <f aca="false">IF(S14="BC",T14," ")</f>
        <v> </v>
      </c>
      <c r="V14" s="6" t="n">
        <f aca="false">IF(S14="CR",T14," ")</f>
        <v>300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O15" s="1" t="n">
        <v>46326</v>
      </c>
      <c r="P15" s="4" t="s">
        <v>75</v>
      </c>
      <c r="Q15" s="3" t="s">
        <v>173</v>
      </c>
      <c r="R15" s="3" t="s">
        <v>77</v>
      </c>
      <c r="S15" s="38" t="s">
        <v>38</v>
      </c>
      <c r="T15" s="6" t="n">
        <v>500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n">
        <f aca="false">IF(S15="X",T15," ")</f>
        <v>500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Oct!A2</f>
        <v>119852.43</v>
      </c>
      <c r="B1" s="8" t="s">
        <v>0</v>
      </c>
      <c r="C1" s="9" t="n">
        <f aca="false">Oct!C2</f>
        <v>46326</v>
      </c>
      <c r="D1" s="10" t="s">
        <v>1</v>
      </c>
      <c r="E1" s="11" t="n">
        <f aca="false">F1-SUM(G1:M1)</f>
        <v>0</v>
      </c>
      <c r="F1" s="12" t="n">
        <f aca="false">SUM(F6:F200)</f>
        <v>35320</v>
      </c>
      <c r="G1" s="12" t="n">
        <f aca="false">SUM(G6:G200)</f>
        <v>0</v>
      </c>
      <c r="H1" s="12" t="n">
        <f aca="false">SUM(H6:H200)</f>
        <v>35320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26706.7</v>
      </c>
      <c r="U1" s="12" t="n">
        <f aca="false">SUM(U6:U200)</f>
        <v>0</v>
      </c>
      <c r="V1" s="12" t="n">
        <f aca="false">SUM(V6:V200)</f>
        <v>3900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25</v>
      </c>
      <c r="Z1" s="12" t="n">
        <f aca="false">SUM(Z6:Z200)</f>
        <v>0</v>
      </c>
      <c r="AA1" s="12" t="n">
        <f aca="false">SUM(AA6:AA200)</f>
        <v>16129.7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128465.73</v>
      </c>
      <c r="B2" s="18" t="s">
        <v>2</v>
      </c>
      <c r="C2" s="9" t="n">
        <f aca="false">[1]Admin!$B$12</f>
        <v>46356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46356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128465.73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46346</v>
      </c>
      <c r="B6" s="2" t="s">
        <v>43</v>
      </c>
      <c r="C6" s="3" t="s">
        <v>174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46333</v>
      </c>
      <c r="P6" s="4" t="s">
        <v>61</v>
      </c>
      <c r="Q6" s="3" t="s">
        <v>175</v>
      </c>
      <c r="R6" s="3" t="s">
        <v>176</v>
      </c>
      <c r="S6" s="38" t="s">
        <v>42</v>
      </c>
      <c r="T6" s="6" t="n">
        <v>14456.5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14456.5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46351</v>
      </c>
      <c r="B7" s="2" t="s">
        <v>59</v>
      </c>
      <c r="C7" s="3" t="s">
        <v>177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46327</v>
      </c>
      <c r="P7" s="4" t="s">
        <v>46</v>
      </c>
      <c r="Q7" s="3" t="s">
        <v>178</v>
      </c>
      <c r="R7" s="3" t="s">
        <v>48</v>
      </c>
      <c r="S7" s="38" t="s">
        <v>34</v>
      </c>
      <c r="T7" s="6" t="n">
        <v>1200</v>
      </c>
      <c r="U7" s="6" t="str">
        <f aca="false">IF(S7="BC",T7," ")</f>
        <v> </v>
      </c>
      <c r="V7" s="6" t="n">
        <f aca="false">IF(S7="CR",T7," ")</f>
        <v>1200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46354</v>
      </c>
      <c r="B8" s="2" t="s">
        <v>69</v>
      </c>
      <c r="C8" s="3" t="s">
        <v>179</v>
      </c>
      <c r="D8" s="4" t="s">
        <v>71</v>
      </c>
      <c r="E8" s="5" t="s">
        <v>33</v>
      </c>
      <c r="F8" s="6" t="n">
        <v>24920</v>
      </c>
      <c r="G8" s="6" t="str">
        <f aca="false">IF(E8="BC",F8," ")</f>
        <v> </v>
      </c>
      <c r="H8" s="6" t="n">
        <f aca="false">IF(E8="DR",F8," ")</f>
        <v>24920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46327</v>
      </c>
      <c r="P8" s="4" t="s">
        <v>51</v>
      </c>
      <c r="Q8" s="3" t="s">
        <v>180</v>
      </c>
      <c r="R8" s="3" t="s">
        <v>53</v>
      </c>
      <c r="S8" s="38" t="s">
        <v>37</v>
      </c>
      <c r="T8" s="6" t="n">
        <v>1000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n">
        <f aca="false">IF(S8="DL",T8," ")</f>
        <v>1000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46331</v>
      </c>
      <c r="P9" s="4" t="s">
        <v>56</v>
      </c>
      <c r="Q9" s="3" t="s">
        <v>181</v>
      </c>
      <c r="R9" s="3" t="s">
        <v>58</v>
      </c>
      <c r="S9" s="38" t="s">
        <v>34</v>
      </c>
      <c r="T9" s="6" t="n">
        <v>2400</v>
      </c>
      <c r="U9" s="6" t="str">
        <f aca="false">IF(S9="BC",T9," ")</f>
        <v> </v>
      </c>
      <c r="V9" s="6" t="n">
        <f aca="false">IF(S9="CR",T9," ")</f>
        <v>2400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46345</v>
      </c>
      <c r="P10" s="4" t="s">
        <v>61</v>
      </c>
      <c r="Q10" s="3" t="s">
        <v>182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46351</v>
      </c>
      <c r="P11" s="4" t="s">
        <v>85</v>
      </c>
      <c r="Q11" s="3" t="s">
        <v>183</v>
      </c>
      <c r="R11" s="3" t="s">
        <v>87</v>
      </c>
      <c r="S11" s="38" t="s">
        <v>40</v>
      </c>
      <c r="T11" s="6" t="n">
        <v>25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str">
        <f aca="false">IF(S11="W",T11," ")</f>
        <v> </v>
      </c>
      <c r="Y11" s="6" t="n">
        <f aca="false">IF(S11="B",T11," ")</f>
        <v>25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46354</v>
      </c>
      <c r="P12" s="4" t="s">
        <v>66</v>
      </c>
      <c r="Q12" s="3" t="s">
        <v>184</v>
      </c>
      <c r="R12" s="3" t="s">
        <v>68</v>
      </c>
      <c r="S12" s="38" t="s">
        <v>39</v>
      </c>
      <c r="T12" s="6" t="n">
        <v>5652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n">
        <f aca="false">IF(S12="W",T12," ")</f>
        <v>5652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46356</v>
      </c>
      <c r="P13" s="4" t="s">
        <v>72</v>
      </c>
      <c r="Q13" s="3" t="s">
        <v>185</v>
      </c>
      <c r="R13" s="3" t="s">
        <v>74</v>
      </c>
      <c r="S13" s="38" t="s">
        <v>34</v>
      </c>
      <c r="T13" s="6" t="n">
        <v>300</v>
      </c>
      <c r="U13" s="6" t="str">
        <f aca="false">IF(S13="BC",T13," ")</f>
        <v> </v>
      </c>
      <c r="V13" s="6" t="n">
        <f aca="false">IF(S13="CR",T13," ")</f>
        <v>300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Nov!A2</f>
        <v>128465.73</v>
      </c>
      <c r="B1" s="8" t="s">
        <v>0</v>
      </c>
      <c r="C1" s="9" t="n">
        <f aca="false">Nov!C2</f>
        <v>46356</v>
      </c>
      <c r="D1" s="10" t="s">
        <v>1</v>
      </c>
      <c r="E1" s="11" t="n">
        <f aca="false">F1-SUM(G1:M1)</f>
        <v>0</v>
      </c>
      <c r="F1" s="12" t="n">
        <f aca="false">SUM(F6:F200)</f>
        <v>32800</v>
      </c>
      <c r="G1" s="12" t="n">
        <f aca="false">SUM(G6:G200)</f>
        <v>0</v>
      </c>
      <c r="H1" s="12" t="n">
        <f aca="false">SUM(H6:H200)</f>
        <v>32800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13292.2</v>
      </c>
      <c r="U1" s="12" t="n">
        <f aca="false">SUM(U6:U200)</f>
        <v>0</v>
      </c>
      <c r="V1" s="12" t="n">
        <f aca="false">SUM(V6:V200)</f>
        <v>4200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167</v>
      </c>
      <c r="Z1" s="12" t="n">
        <f aca="false">SUM(Z6:Z200)</f>
        <v>0</v>
      </c>
      <c r="AA1" s="12" t="n">
        <f aca="false">SUM(AA6:AA200)</f>
        <v>2273.2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147973.53</v>
      </c>
      <c r="B2" s="18" t="s">
        <v>2</v>
      </c>
      <c r="C2" s="9" t="n">
        <f aca="false">[1]Admin!$B$13</f>
        <v>46387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46387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147973.53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46376</v>
      </c>
      <c r="B6" s="2" t="s">
        <v>43</v>
      </c>
      <c r="C6" s="3" t="s">
        <v>186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46357</v>
      </c>
      <c r="P6" s="4" t="s">
        <v>46</v>
      </c>
      <c r="Q6" s="3" t="s">
        <v>187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46381</v>
      </c>
      <c r="B7" s="2" t="s">
        <v>59</v>
      </c>
      <c r="C7" s="3" t="s">
        <v>188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46357</v>
      </c>
      <c r="P7" s="4" t="s">
        <v>51</v>
      </c>
      <c r="Q7" s="3" t="s">
        <v>189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46384</v>
      </c>
      <c r="B8" s="2" t="s">
        <v>69</v>
      </c>
      <c r="C8" s="3" t="s">
        <v>190</v>
      </c>
      <c r="D8" s="4" t="s">
        <v>71</v>
      </c>
      <c r="E8" s="5" t="s">
        <v>33</v>
      </c>
      <c r="F8" s="6" t="n">
        <v>22400</v>
      </c>
      <c r="G8" s="6" t="str">
        <f aca="false">IF(E8="BC",F8," ")</f>
        <v> </v>
      </c>
      <c r="H8" s="6" t="n">
        <f aca="false">IF(E8="DR",F8," ")</f>
        <v>22400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46361</v>
      </c>
      <c r="P8" s="4" t="s">
        <v>56</v>
      </c>
      <c r="Q8" s="3" t="s">
        <v>191</v>
      </c>
      <c r="R8" s="3" t="s">
        <v>58</v>
      </c>
      <c r="S8" s="38" t="s">
        <v>34</v>
      </c>
      <c r="T8" s="6" t="n">
        <v>2700</v>
      </c>
      <c r="U8" s="6" t="str">
        <f aca="false">IF(S8="BC",T8," ")</f>
        <v> </v>
      </c>
      <c r="V8" s="6" t="n">
        <f aca="false">IF(S8="CR",T8," ")</f>
        <v>2700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46375</v>
      </c>
      <c r="P9" s="4" t="s">
        <v>61</v>
      </c>
      <c r="Q9" s="3" t="s">
        <v>192</v>
      </c>
      <c r="R9" s="3" t="s">
        <v>63</v>
      </c>
      <c r="S9" s="38" t="s">
        <v>42</v>
      </c>
      <c r="T9" s="6" t="n">
        <v>1673.2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n">
        <f aca="false">IF(S9="RP",T9," ")</f>
        <v>1673.2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46375</v>
      </c>
      <c r="P10" s="4" t="s">
        <v>61</v>
      </c>
      <c r="Q10" s="3" t="s">
        <v>193</v>
      </c>
      <c r="R10" s="3" t="s">
        <v>123</v>
      </c>
      <c r="S10" s="38" t="s">
        <v>42</v>
      </c>
      <c r="T10" s="6" t="n">
        <v>600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600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46384</v>
      </c>
      <c r="P11" s="4" t="s">
        <v>66</v>
      </c>
      <c r="Q11" s="3" t="s">
        <v>194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46387</v>
      </c>
      <c r="P12" s="4" t="s">
        <v>103</v>
      </c>
      <c r="Q12" s="3" t="s">
        <v>195</v>
      </c>
      <c r="R12" s="3" t="s">
        <v>105</v>
      </c>
      <c r="S12" s="38" t="s">
        <v>40</v>
      </c>
      <c r="T12" s="6" t="n">
        <v>167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n">
        <f aca="false">IF(S12="B",T12," ")</f>
        <v>167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46387</v>
      </c>
      <c r="P13" s="4" t="s">
        <v>72</v>
      </c>
      <c r="Q13" s="3" t="s">
        <v>196</v>
      </c>
      <c r="R13" s="3" t="s">
        <v>74</v>
      </c>
      <c r="S13" s="38" t="s">
        <v>34</v>
      </c>
      <c r="T13" s="6" t="n">
        <v>300</v>
      </c>
      <c r="U13" s="6" t="str">
        <f aca="false">IF(S13="BC",T13," ")</f>
        <v> </v>
      </c>
      <c r="V13" s="6" t="n">
        <f aca="false">IF(S13="CR",T13," ")</f>
        <v>300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Dec!A2</f>
        <v>147973.53</v>
      </c>
      <c r="B1" s="8" t="s">
        <v>0</v>
      </c>
      <c r="C1" s="9" t="n">
        <f aca="false">Dec!C2</f>
        <v>46387</v>
      </c>
      <c r="D1" s="10" t="s">
        <v>1</v>
      </c>
      <c r="E1" s="11" t="n">
        <f aca="false">F1-SUM(G1:M1)</f>
        <v>0</v>
      </c>
      <c r="F1" s="12" t="n">
        <f aca="false">SUM(F6:F200)</f>
        <v>40440</v>
      </c>
      <c r="G1" s="12" t="n">
        <f aca="false">SUM(G6:G200)</f>
        <v>0</v>
      </c>
      <c r="H1" s="12" t="n">
        <f aca="false">SUM(H6:H200)</f>
        <v>35440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5000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15625.2</v>
      </c>
      <c r="U1" s="12" t="n">
        <f aca="false">SUM(U6:U200)</f>
        <v>0</v>
      </c>
      <c r="V1" s="12" t="n">
        <f aca="false">SUM(V6:V200)</f>
        <v>4000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1673.2</v>
      </c>
      <c r="AB1" s="12" t="n">
        <f aca="false">SUM(AB6:AB200)</f>
        <v>4000</v>
      </c>
      <c r="AC1" s="12" t="n">
        <f aca="false">SUM(AC6:AC200)</f>
        <v>300</v>
      </c>
    </row>
    <row r="2" customFormat="false" ht="15" hidden="false" customHeight="true" outlineLevel="0" collapsed="false">
      <c r="A2" s="17" t="n">
        <f aca="false">A1+F1-T1</f>
        <v>172788.33</v>
      </c>
      <c r="B2" s="18" t="s">
        <v>2</v>
      </c>
      <c r="C2" s="9" t="n">
        <f aca="false">[1]Admin!$B$14</f>
        <v>46418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46418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172788.33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46402</v>
      </c>
      <c r="B6" s="2" t="s">
        <v>197</v>
      </c>
      <c r="C6" s="3" t="s">
        <v>198</v>
      </c>
      <c r="D6" s="4" t="s">
        <v>199</v>
      </c>
      <c r="E6" s="5" t="s">
        <v>37</v>
      </c>
      <c r="F6" s="6" t="n">
        <v>5000</v>
      </c>
      <c r="G6" s="6" t="str">
        <f aca="false">IF(E6="BC",F6," ")</f>
        <v> </v>
      </c>
      <c r="H6" s="6" t="str">
        <f aca="false">IF(E6="DR",F6," ")</f>
        <v> 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n">
        <f aca="false">IF(E6="DL",F6," ")</f>
        <v>5000</v>
      </c>
      <c r="M6" s="6" t="str">
        <f aca="false">IF(E6="X",F6," ")</f>
        <v> </v>
      </c>
      <c r="N6" s="37"/>
      <c r="O6" s="1" t="n">
        <v>46388</v>
      </c>
      <c r="P6" s="4" t="s">
        <v>46</v>
      </c>
      <c r="Q6" s="3" t="s">
        <v>200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46407</v>
      </c>
      <c r="B7" s="2" t="s">
        <v>43</v>
      </c>
      <c r="C7" s="3" t="s">
        <v>201</v>
      </c>
      <c r="D7" s="4" t="s">
        <v>55</v>
      </c>
      <c r="E7" s="5" t="s">
        <v>33</v>
      </c>
      <c r="F7" s="6" t="n">
        <v>8000</v>
      </c>
      <c r="G7" s="6" t="str">
        <f aca="false">IF(E7="BC",F7," ")</f>
        <v> </v>
      </c>
      <c r="H7" s="6" t="n">
        <f aca="false">IF(E7="DR",F7," ")</f>
        <v>8000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46388</v>
      </c>
      <c r="P7" s="4" t="s">
        <v>51</v>
      </c>
      <c r="Q7" s="3" t="s">
        <v>202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46412</v>
      </c>
      <c r="B8" s="2" t="s">
        <v>59</v>
      </c>
      <c r="C8" s="3" t="s">
        <v>203</v>
      </c>
      <c r="D8" s="4" t="s">
        <v>55</v>
      </c>
      <c r="E8" s="5" t="s">
        <v>33</v>
      </c>
      <c r="F8" s="6" t="n">
        <v>2400</v>
      </c>
      <c r="G8" s="6" t="str">
        <f aca="false">IF(E8="BC",F8," ")</f>
        <v> </v>
      </c>
      <c r="H8" s="6" t="n">
        <f aca="false">IF(E8="DR",F8," ")</f>
        <v>2400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46392</v>
      </c>
      <c r="P8" s="4" t="s">
        <v>56</v>
      </c>
      <c r="Q8" s="3" t="s">
        <v>204</v>
      </c>
      <c r="R8" s="3" t="s">
        <v>58</v>
      </c>
      <c r="S8" s="38" t="s">
        <v>34</v>
      </c>
      <c r="T8" s="6" t="n">
        <v>2500</v>
      </c>
      <c r="U8" s="6" t="str">
        <f aca="false">IF(S8="BC",T8," ")</f>
        <v> </v>
      </c>
      <c r="V8" s="6" t="n">
        <f aca="false">IF(S8="CR",T8," ")</f>
        <v>2500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A9" s="1" t="n">
        <v>46415</v>
      </c>
      <c r="B9" s="2" t="s">
        <v>69</v>
      </c>
      <c r="C9" s="3" t="s">
        <v>205</v>
      </c>
      <c r="D9" s="4" t="s">
        <v>71</v>
      </c>
      <c r="E9" s="5" t="s">
        <v>33</v>
      </c>
      <c r="F9" s="6" t="n">
        <v>25040</v>
      </c>
      <c r="G9" s="6" t="str">
        <f aca="false">IF(E9="BC",F9," ")</f>
        <v> </v>
      </c>
      <c r="H9" s="6" t="n">
        <f aca="false">IF(E9="DR",F9," ")</f>
        <v>25040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46402</v>
      </c>
      <c r="P9" s="4" t="s">
        <v>118</v>
      </c>
      <c r="Q9" s="3" t="s">
        <v>206</v>
      </c>
      <c r="R9" s="3" t="s">
        <v>120</v>
      </c>
      <c r="S9" s="38" t="s">
        <v>37</v>
      </c>
      <c r="T9" s="6" t="n">
        <v>3000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n">
        <f aca="false">IF(S9="DL",T9," ")</f>
        <v>3000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46406</v>
      </c>
      <c r="P10" s="4" t="s">
        <v>61</v>
      </c>
      <c r="Q10" s="3" t="s">
        <v>207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46415</v>
      </c>
      <c r="P11" s="4" t="s">
        <v>66</v>
      </c>
      <c r="Q11" s="3" t="s">
        <v>208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46418</v>
      </c>
      <c r="P12" s="4" t="s">
        <v>72</v>
      </c>
      <c r="Q12" s="3" t="s">
        <v>209</v>
      </c>
      <c r="R12" s="3" t="s">
        <v>74</v>
      </c>
      <c r="S12" s="38" t="s">
        <v>34</v>
      </c>
      <c r="T12" s="6" t="n">
        <v>300</v>
      </c>
      <c r="U12" s="6" t="str">
        <f aca="false">IF(S12="BC",T12," ")</f>
        <v> </v>
      </c>
      <c r="V12" s="6" t="n">
        <f aca="false">IF(S12="CR",T12," ")</f>
        <v>300</v>
      </c>
      <c r="W12" s="6" t="str">
        <f aca="false">IF(S12="DR",T12," ")</f>
        <v> </v>
      </c>
      <c r="X12" s="6" t="str">
        <f aca="false">IF(S12="W",T12," ")</f>
        <v> 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46418</v>
      </c>
      <c r="P13" s="4" t="s">
        <v>75</v>
      </c>
      <c r="Q13" s="3" t="s">
        <v>210</v>
      </c>
      <c r="R13" s="3" t="s">
        <v>77</v>
      </c>
      <c r="S13" s="38" t="s">
        <v>38</v>
      </c>
      <c r="T13" s="6" t="n">
        <v>300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n">
        <f aca="false">IF(S13="X",T13," ")</f>
        <v>300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Jan!A2</f>
        <v>172788.33</v>
      </c>
      <c r="B1" s="8" t="s">
        <v>0</v>
      </c>
      <c r="C1" s="9" t="n">
        <f aca="false">Jan!C2</f>
        <v>46418</v>
      </c>
      <c r="D1" s="10" t="s">
        <v>1</v>
      </c>
      <c r="E1" s="11" t="n">
        <f aca="false">F1-SUM(G1:M1)</f>
        <v>0</v>
      </c>
      <c r="F1" s="12" t="n">
        <f aca="false">SUM(F6:F200)</f>
        <v>34360</v>
      </c>
      <c r="G1" s="12" t="n">
        <f aca="false">SUM(G6:G200)</f>
        <v>0</v>
      </c>
      <c r="H1" s="12" t="n">
        <f aca="false">SUM(H6:H200)</f>
        <v>34360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23642.7</v>
      </c>
      <c r="U1" s="12" t="n">
        <f aca="false">SUM(U6:U200)</f>
        <v>0</v>
      </c>
      <c r="V1" s="12" t="n">
        <f aca="false">SUM(V6:V200)</f>
        <v>4400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12590.7</v>
      </c>
      <c r="AB1" s="12" t="n">
        <f aca="false">SUM(AB6:AB200)</f>
        <v>1000</v>
      </c>
      <c r="AC1" s="12" t="n">
        <f aca="false">SUM(AC6:AC200)</f>
        <v>0</v>
      </c>
    </row>
    <row r="2" customFormat="false" ht="15" hidden="false" customHeight="true" outlineLevel="0" collapsed="false">
      <c r="A2" s="17" t="n">
        <f aca="false">A1+F1-T1</f>
        <v>183505.63</v>
      </c>
      <c r="B2" s="18" t="s">
        <v>2</v>
      </c>
      <c r="C2" s="9" t="n">
        <f aca="false">[1]Admin!$B$15</f>
        <v>46446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46446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183505.63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46438</v>
      </c>
      <c r="B6" s="2" t="s">
        <v>43</v>
      </c>
      <c r="C6" s="3" t="s">
        <v>211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46425</v>
      </c>
      <c r="P6" s="4" t="s">
        <v>61</v>
      </c>
      <c r="Q6" s="3" t="s">
        <v>212</v>
      </c>
      <c r="R6" s="3" t="s">
        <v>213</v>
      </c>
      <c r="S6" s="38" t="s">
        <v>42</v>
      </c>
      <c r="T6" s="6" t="n">
        <v>10917.5</v>
      </c>
      <c r="U6" s="6" t="str">
        <f aca="false">IF(S6="BC",T6," ")</f>
        <v> </v>
      </c>
      <c r="V6" s="6" t="str">
        <f aca="false">IF(S6="CR",T6," ")</f>
        <v> 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n">
        <f aca="false">IF(S6="RP",T6," ")</f>
        <v>10917.5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46443</v>
      </c>
      <c r="B7" s="2" t="s">
        <v>59</v>
      </c>
      <c r="C7" s="3" t="s">
        <v>214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46419</v>
      </c>
      <c r="P7" s="4" t="s">
        <v>46</v>
      </c>
      <c r="Q7" s="3" t="s">
        <v>215</v>
      </c>
      <c r="R7" s="3" t="s">
        <v>48</v>
      </c>
      <c r="S7" s="38" t="s">
        <v>34</v>
      </c>
      <c r="T7" s="6" t="n">
        <v>1200</v>
      </c>
      <c r="U7" s="6" t="str">
        <f aca="false">IF(S7="BC",T7," ")</f>
        <v> </v>
      </c>
      <c r="V7" s="6" t="n">
        <f aca="false">IF(S7="CR",T7," ")</f>
        <v>1200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str">
        <f aca="false">IF(S7="DL",T7," ")</f>
        <v> 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46446</v>
      </c>
      <c r="B8" s="2" t="s">
        <v>69</v>
      </c>
      <c r="C8" s="3" t="s">
        <v>216</v>
      </c>
      <c r="D8" s="4" t="s">
        <v>71</v>
      </c>
      <c r="E8" s="5" t="s">
        <v>33</v>
      </c>
      <c r="F8" s="6" t="n">
        <v>23960</v>
      </c>
      <c r="G8" s="6" t="str">
        <f aca="false">IF(E8="BC",F8," ")</f>
        <v> </v>
      </c>
      <c r="H8" s="6" t="n">
        <f aca="false">IF(E8="DR",F8," ")</f>
        <v>23960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46419</v>
      </c>
      <c r="P8" s="4" t="s">
        <v>51</v>
      </c>
      <c r="Q8" s="3" t="s">
        <v>217</v>
      </c>
      <c r="R8" s="3" t="s">
        <v>53</v>
      </c>
      <c r="S8" s="38" t="s">
        <v>37</v>
      </c>
      <c r="T8" s="6" t="n">
        <v>1000</v>
      </c>
      <c r="U8" s="6" t="str">
        <f aca="false">IF(S8="BC",T8," ")</f>
        <v> </v>
      </c>
      <c r="V8" s="6" t="str">
        <f aca="false">IF(S8="CR",T8," ")</f>
        <v> 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n">
        <f aca="false">IF(S8="DL",T8," ")</f>
        <v>1000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46423</v>
      </c>
      <c r="P9" s="4" t="s">
        <v>56</v>
      </c>
      <c r="Q9" s="3" t="s">
        <v>218</v>
      </c>
      <c r="R9" s="3" t="s">
        <v>58</v>
      </c>
      <c r="S9" s="38" t="s">
        <v>34</v>
      </c>
      <c r="T9" s="6" t="n">
        <v>2900</v>
      </c>
      <c r="U9" s="6" t="str">
        <f aca="false">IF(S9="BC",T9," ")</f>
        <v> </v>
      </c>
      <c r="V9" s="6" t="n">
        <f aca="false">IF(S9="CR",T9," ")</f>
        <v>2900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str">
        <f aca="false">IF(S9="X",T9," ")</f>
        <v> 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46437</v>
      </c>
      <c r="P10" s="4" t="s">
        <v>61</v>
      </c>
      <c r="Q10" s="3" t="s">
        <v>219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46446</v>
      </c>
      <c r="P11" s="4" t="s">
        <v>72</v>
      </c>
      <c r="Q11" s="3" t="s">
        <v>220</v>
      </c>
      <c r="R11" s="3" t="s">
        <v>74</v>
      </c>
      <c r="S11" s="38" t="s">
        <v>34</v>
      </c>
      <c r="T11" s="6" t="n">
        <v>300</v>
      </c>
      <c r="U11" s="6" t="str">
        <f aca="false">IF(S11="BC",T11," ")</f>
        <v> </v>
      </c>
      <c r="V11" s="6" t="n">
        <f aca="false">IF(S11="CR",T11," ")</f>
        <v>300</v>
      </c>
      <c r="W11" s="6" t="str">
        <f aca="false">IF(S11="DR",T11," ")</f>
        <v> </v>
      </c>
      <c r="X11" s="6" t="str">
        <f aca="false">IF(S11="W",T11," ")</f>
        <v> 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46446</v>
      </c>
      <c r="P12" s="4" t="s">
        <v>66</v>
      </c>
      <c r="Q12" s="3" t="s">
        <v>221</v>
      </c>
      <c r="R12" s="3" t="s">
        <v>68</v>
      </c>
      <c r="S12" s="38" t="s">
        <v>39</v>
      </c>
      <c r="T12" s="6" t="n">
        <v>5652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n">
        <f aca="false">IF(S12="W",T12," ")</f>
        <v>5652</v>
      </c>
      <c r="Y12" s="6" t="str">
        <f aca="false">IF(S12="B",T12," ")</f>
        <v> 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S13" s="38" t="str">
        <f aca="false">IF(T13&lt;&gt;0,"Enter Code"," ")</f>
        <v> </v>
      </c>
      <c r="U13" s="6" t="str">
        <f aca="false">IF(S13="BC",T13," ")</f>
        <v> </v>
      </c>
      <c r="V13" s="6" t="str">
        <f aca="false">IF(S13="CR",T13," ")</f>
        <v> 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S14" s="38" t="str">
        <f aca="false">IF(T14&lt;&gt;0,"Enter Code"," ")</f>
        <v> 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str">
        <f aca="false">IF(S14="DL",T14," ")</f>
        <v> 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of  &amp;N&amp;R&amp;F  &amp;A</oddFooter>
  </headerFooter>
  <colBreaks count="1" manualBreakCount="1">
    <brk id="13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customHeight="false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3" min="6" style="6" width="8.66"/>
    <col collapsed="false" customWidth="true" hidden="false" outlineLevel="0" max="14" min="14" style="6" width="0.82"/>
    <col collapsed="false" customWidth="true" hidden="false" outlineLevel="0" max="15" min="15" style="1" width="8.66"/>
    <col collapsed="false" customWidth="true" hidden="false" outlineLevel="0" max="16" min="16" style="4" width="25.15"/>
    <col collapsed="false" customWidth="true" hidden="false" outlineLevel="0" max="17" min="17" style="3" width="11.82"/>
    <col collapsed="false" customWidth="true" hidden="false" outlineLevel="0" max="18" min="18" style="3" width="8.66"/>
    <col collapsed="false" customWidth="true" hidden="false" outlineLevel="0" max="19" min="19" style="6" width="8.66"/>
    <col collapsed="false" customWidth="true" hidden="false" outlineLevel="0" max="20" min="20" style="6" width="9.33"/>
    <col collapsed="false" customWidth="true" hidden="false" outlineLevel="0" max="24" min="21" style="6" width="8.66"/>
    <col collapsed="false" customWidth="true" hidden="false" outlineLevel="0" max="26" min="25" style="6" width="10.66"/>
    <col collapsed="false" customWidth="true" hidden="false" outlineLevel="0" max="29" min="27" style="6" width="8.66"/>
    <col collapsed="false" customWidth="false" hidden="false" outlineLevel="0" max="257" min="30" style="6" width="9.15"/>
  </cols>
  <sheetData>
    <row r="1" customFormat="false" ht="15" hidden="false" customHeight="true" outlineLevel="0" collapsed="false">
      <c r="A1" s="48" t="n">
        <f aca="false">Feb!A2</f>
        <v>183505.63</v>
      </c>
      <c r="B1" s="8" t="s">
        <v>0</v>
      </c>
      <c r="C1" s="9" t="n">
        <f aca="false">Feb!C2</f>
        <v>46446</v>
      </c>
      <c r="D1" s="10" t="s">
        <v>1</v>
      </c>
      <c r="E1" s="11" t="n">
        <f aca="false">F1-SUM(G1:M1)</f>
        <v>0</v>
      </c>
      <c r="F1" s="12" t="n">
        <f aca="false">SUM(F6:F200)</f>
        <v>20960</v>
      </c>
      <c r="G1" s="12" t="n">
        <f aca="false">SUM(G6:G200)</f>
        <v>0</v>
      </c>
      <c r="H1" s="12" t="n">
        <f aca="false">SUM(H6:H200)</f>
        <v>20960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3"/>
      <c r="O1" s="14" t="str">
        <f aca="false">IF(S1=0," ","Check all payment code letters entered")</f>
        <v> </v>
      </c>
      <c r="P1" s="14"/>
      <c r="Q1" s="15"/>
      <c r="R1" s="16" t="s">
        <v>1</v>
      </c>
      <c r="S1" s="11" t="n">
        <f aca="false">T1-SUM(U1:AC1)</f>
        <v>0</v>
      </c>
      <c r="T1" s="12" t="n">
        <f aca="false">SUM(T6:T200)</f>
        <v>23250.2</v>
      </c>
      <c r="U1" s="12" t="n">
        <f aca="false">SUM(U6:U200)</f>
        <v>0</v>
      </c>
      <c r="V1" s="12" t="n">
        <f aca="false">SUM(V6:V200)</f>
        <v>3800</v>
      </c>
      <c r="W1" s="12" t="n">
        <f aca="false">SUM(W6:W200)</f>
        <v>0</v>
      </c>
      <c r="X1" s="12" t="n">
        <f aca="false">SUM(X6:X200)</f>
        <v>5652</v>
      </c>
      <c r="Y1" s="12" t="n">
        <f aca="false">SUM(Y6:Y200)</f>
        <v>125</v>
      </c>
      <c r="Z1" s="12" t="n">
        <f aca="false">SUM(Z6:Z200)</f>
        <v>0</v>
      </c>
      <c r="AA1" s="12" t="n">
        <f aca="false">SUM(AA6:AA200)</f>
        <v>1673.2</v>
      </c>
      <c r="AB1" s="12" t="n">
        <f aca="false">SUM(AB6:AB200)</f>
        <v>7000</v>
      </c>
      <c r="AC1" s="12" t="n">
        <f aca="false">SUM(AC6:AC200)</f>
        <v>5000</v>
      </c>
    </row>
    <row r="2" customFormat="false" ht="15" hidden="false" customHeight="true" outlineLevel="0" collapsed="false">
      <c r="A2" s="17" t="n">
        <f aca="false">A1+F1-T1</f>
        <v>181215.43</v>
      </c>
      <c r="B2" s="18" t="s">
        <v>2</v>
      </c>
      <c r="C2" s="9" t="n">
        <f aca="false">[1]Admin!$B$17</f>
        <v>46482</v>
      </c>
      <c r="D2" s="19" t="s">
        <v>3</v>
      </c>
      <c r="E2" s="20" t="s">
        <v>4</v>
      </c>
      <c r="F2" s="20" t="s">
        <v>5</v>
      </c>
      <c r="G2" s="20" t="s">
        <v>6</v>
      </c>
      <c r="H2" s="20"/>
      <c r="I2" s="20"/>
      <c r="J2" s="20"/>
      <c r="K2" s="20"/>
      <c r="L2" s="20"/>
      <c r="M2" s="20"/>
      <c r="N2" s="13"/>
      <c r="O2" s="14" t="str">
        <f aca="false">IF(E1=0," ","Check all Receipts Code Letters entered")</f>
        <v> </v>
      </c>
      <c r="P2" s="14"/>
      <c r="Q2" s="21" t="s">
        <v>7</v>
      </c>
      <c r="R2" s="22" t="s">
        <v>8</v>
      </c>
      <c r="S2" s="20" t="s">
        <v>4</v>
      </c>
      <c r="T2" s="20" t="s">
        <v>9</v>
      </c>
      <c r="U2" s="20" t="s">
        <v>10</v>
      </c>
      <c r="V2" s="20"/>
      <c r="W2" s="20"/>
      <c r="X2" s="20"/>
      <c r="Y2" s="20"/>
      <c r="Z2" s="20"/>
      <c r="AA2" s="20"/>
      <c r="AB2" s="20"/>
      <c r="AC2" s="20"/>
    </row>
    <row r="3" customFormat="false" ht="19.5" hidden="false" customHeight="true" outlineLevel="0" collapsed="false">
      <c r="A3" s="7"/>
      <c r="B3" s="23" t="s">
        <v>11</v>
      </c>
      <c r="C3" s="24" t="n">
        <f aca="false">C2</f>
        <v>46482</v>
      </c>
      <c r="D3" s="19"/>
      <c r="E3" s="20"/>
      <c r="F3" s="20"/>
      <c r="G3" s="25" t="s">
        <v>12</v>
      </c>
      <c r="H3" s="25" t="s">
        <v>13</v>
      </c>
      <c r="I3" s="25" t="s">
        <v>14</v>
      </c>
      <c r="J3" s="25" t="s">
        <v>15</v>
      </c>
      <c r="K3" s="25" t="s">
        <v>16</v>
      </c>
      <c r="L3" s="25" t="s">
        <v>17</v>
      </c>
      <c r="M3" s="25" t="s">
        <v>18</v>
      </c>
      <c r="N3" s="13"/>
      <c r="O3" s="26"/>
      <c r="P3" s="27"/>
      <c r="Q3" s="21"/>
      <c r="R3" s="22"/>
      <c r="S3" s="20"/>
      <c r="T3" s="20"/>
      <c r="U3" s="25" t="s">
        <v>19</v>
      </c>
      <c r="V3" s="25" t="s">
        <v>20</v>
      </c>
      <c r="W3" s="25" t="s">
        <v>21</v>
      </c>
      <c r="X3" s="25" t="s">
        <v>22</v>
      </c>
      <c r="Y3" s="25" t="s">
        <v>23</v>
      </c>
      <c r="Z3" s="25" t="s">
        <v>24</v>
      </c>
      <c r="AA3" s="25" t="s">
        <v>25</v>
      </c>
      <c r="AB3" s="25" t="s">
        <v>26</v>
      </c>
      <c r="AC3" s="25" t="s">
        <v>18</v>
      </c>
    </row>
    <row r="4" customFormat="false" ht="19.5" hidden="false" customHeight="true" outlineLevel="0" collapsed="false">
      <c r="A4" s="28" t="n">
        <f aca="false">A2-A3</f>
        <v>181215.43</v>
      </c>
      <c r="B4" s="29" t="str">
        <f aca="false">IF(A4=0,"&lt;  Bank Balances with Statement","&lt;  Check Bank Entries With Statement")</f>
        <v>&lt;  Check Bank Entries With Statement</v>
      </c>
      <c r="C4" s="29"/>
      <c r="D4" s="19"/>
      <c r="E4" s="20"/>
      <c r="F4" s="20"/>
      <c r="G4" s="25"/>
      <c r="H4" s="25"/>
      <c r="I4" s="25"/>
      <c r="J4" s="25"/>
      <c r="K4" s="25"/>
      <c r="L4" s="25"/>
      <c r="M4" s="25"/>
      <c r="N4" s="13"/>
      <c r="O4" s="30" t="s">
        <v>27</v>
      </c>
      <c r="P4" s="31" t="s">
        <v>28</v>
      </c>
      <c r="Q4" s="21"/>
      <c r="R4" s="22"/>
      <c r="S4" s="20"/>
      <c r="T4" s="20"/>
      <c r="U4" s="25"/>
      <c r="V4" s="25"/>
      <c r="W4" s="25"/>
      <c r="X4" s="25"/>
      <c r="Y4" s="25"/>
      <c r="Z4" s="25"/>
      <c r="AA4" s="25"/>
      <c r="AB4" s="25"/>
      <c r="AC4" s="25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</row>
    <row r="5" customFormat="false" ht="15" hidden="false" customHeight="true" outlineLevel="0" collapsed="false">
      <c r="A5" s="33" t="s">
        <v>29</v>
      </c>
      <c r="B5" s="34" t="s">
        <v>30</v>
      </c>
      <c r="C5" s="35" t="s">
        <v>31</v>
      </c>
      <c r="D5" s="19"/>
      <c r="E5" s="20"/>
      <c r="F5" s="20"/>
      <c r="G5" s="36" t="s">
        <v>32</v>
      </c>
      <c r="H5" s="36" t="s">
        <v>33</v>
      </c>
      <c r="I5" s="36" t="s">
        <v>34</v>
      </c>
      <c r="J5" s="36" t="s">
        <v>35</v>
      </c>
      <c r="K5" s="36" t="s">
        <v>36</v>
      </c>
      <c r="L5" s="36" t="s">
        <v>37</v>
      </c>
      <c r="M5" s="36" t="s">
        <v>38</v>
      </c>
      <c r="N5" s="13"/>
      <c r="O5" s="30"/>
      <c r="P5" s="31"/>
      <c r="Q5" s="21"/>
      <c r="R5" s="22"/>
      <c r="S5" s="20"/>
      <c r="T5" s="20"/>
      <c r="U5" s="36" t="s">
        <v>32</v>
      </c>
      <c r="V5" s="36" t="s">
        <v>34</v>
      </c>
      <c r="W5" s="36" t="s">
        <v>33</v>
      </c>
      <c r="X5" s="36" t="s">
        <v>39</v>
      </c>
      <c r="Y5" s="36" t="s">
        <v>40</v>
      </c>
      <c r="Z5" s="36" t="s">
        <v>41</v>
      </c>
      <c r="AA5" s="36" t="s">
        <v>42</v>
      </c>
      <c r="AB5" s="36" t="s">
        <v>37</v>
      </c>
      <c r="AC5" s="36" t="s">
        <v>38</v>
      </c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</row>
    <row r="6" customFormat="false" ht="12.75" hidden="false" customHeight="false" outlineLevel="0" collapsed="false">
      <c r="A6" s="1" t="n">
        <v>46466</v>
      </c>
      <c r="B6" s="2" t="s">
        <v>43</v>
      </c>
      <c r="C6" s="3" t="s">
        <v>222</v>
      </c>
      <c r="D6" s="4" t="s">
        <v>55</v>
      </c>
      <c r="E6" s="5" t="s">
        <v>33</v>
      </c>
      <c r="F6" s="6" t="n">
        <v>8000</v>
      </c>
      <c r="G6" s="6" t="str">
        <f aca="false">IF(E6="BC",F6," ")</f>
        <v> </v>
      </c>
      <c r="H6" s="6" t="n">
        <f aca="false">IF(E6="DR",F6," ")</f>
        <v>8000</v>
      </c>
      <c r="I6" s="6" t="str">
        <f aca="false">IF(E6="CR",F6," ")</f>
        <v> </v>
      </c>
      <c r="J6" s="6" t="str">
        <f aca="false">IF(E6="K",F6," ")</f>
        <v> </v>
      </c>
      <c r="K6" s="6" t="str">
        <f aca="false">IF(E6="RV",F6," ")</f>
        <v> </v>
      </c>
      <c r="L6" s="6" t="str">
        <f aca="false">IF(E6="DL",F6," ")</f>
        <v> </v>
      </c>
      <c r="M6" s="6" t="str">
        <f aca="false">IF(E6="X",F6," ")</f>
        <v> </v>
      </c>
      <c r="N6" s="37"/>
      <c r="O6" s="1" t="n">
        <v>46447</v>
      </c>
      <c r="P6" s="4" t="s">
        <v>46</v>
      </c>
      <c r="Q6" s="3" t="s">
        <v>223</v>
      </c>
      <c r="R6" s="3" t="s">
        <v>48</v>
      </c>
      <c r="S6" s="38" t="s">
        <v>34</v>
      </c>
      <c r="T6" s="6" t="n">
        <v>1200</v>
      </c>
      <c r="U6" s="6" t="str">
        <f aca="false">IF(S6="BC",T6," ")</f>
        <v> </v>
      </c>
      <c r="V6" s="6" t="n">
        <f aca="false">IF(S6="CR",T6," ")</f>
        <v>1200</v>
      </c>
      <c r="W6" s="6" t="str">
        <f aca="false">IF(S6="DR",T6," ")</f>
        <v> </v>
      </c>
      <c r="X6" s="6" t="str">
        <f aca="false">IF(S6="W",T6," ")</f>
        <v> </v>
      </c>
      <c r="Y6" s="6" t="str">
        <f aca="false">IF(S6="B",T6," ")</f>
        <v> </v>
      </c>
      <c r="Z6" s="6" t="str">
        <f aca="false">IF(S6="J",T6," ")</f>
        <v> </v>
      </c>
      <c r="AA6" s="6" t="str">
        <f aca="false">IF(S6="RP",T6," ")</f>
        <v> </v>
      </c>
      <c r="AB6" s="6" t="str">
        <f aca="false">IF(S6="DL",T6," ")</f>
        <v> </v>
      </c>
      <c r="AC6" s="6" t="str">
        <f aca="false">IF(S6="X",T6," ")</f>
        <v> </v>
      </c>
    </row>
    <row r="7" customFormat="false" ht="12.75" hidden="false" customHeight="false" outlineLevel="0" collapsed="false">
      <c r="A7" s="1" t="n">
        <v>46471</v>
      </c>
      <c r="B7" s="2" t="s">
        <v>59</v>
      </c>
      <c r="C7" s="3" t="s">
        <v>224</v>
      </c>
      <c r="D7" s="4" t="s">
        <v>55</v>
      </c>
      <c r="E7" s="5" t="s">
        <v>33</v>
      </c>
      <c r="F7" s="6" t="n">
        <v>2400</v>
      </c>
      <c r="G7" s="6" t="str">
        <f aca="false">IF(E7="BC",F7," ")</f>
        <v> </v>
      </c>
      <c r="H7" s="6" t="n">
        <f aca="false">IF(E7="DR",F7," ")</f>
        <v>2400</v>
      </c>
      <c r="I7" s="6" t="str">
        <f aca="false">IF(E7="CR",F7," ")</f>
        <v> </v>
      </c>
      <c r="J7" s="6" t="str">
        <f aca="false">IF(E7="K",F7," ")</f>
        <v> </v>
      </c>
      <c r="K7" s="6" t="str">
        <f aca="false">IF(E7="RV",F7," ")</f>
        <v> </v>
      </c>
      <c r="L7" s="6" t="str">
        <f aca="false">IF(E7="DL",F7," ")</f>
        <v> </v>
      </c>
      <c r="M7" s="6" t="str">
        <f aca="false">IF(E7="X",F7," ")</f>
        <v> </v>
      </c>
      <c r="N7" s="39"/>
      <c r="O7" s="1" t="n">
        <v>46447</v>
      </c>
      <c r="P7" s="4" t="s">
        <v>51</v>
      </c>
      <c r="Q7" s="3" t="s">
        <v>225</v>
      </c>
      <c r="R7" s="3" t="s">
        <v>53</v>
      </c>
      <c r="S7" s="38" t="s">
        <v>37</v>
      </c>
      <c r="T7" s="6" t="n">
        <v>1000</v>
      </c>
      <c r="U7" s="6" t="str">
        <f aca="false">IF(S7="BC",T7," ")</f>
        <v> </v>
      </c>
      <c r="V7" s="6" t="str">
        <f aca="false">IF(S7="CR",T7," ")</f>
        <v> </v>
      </c>
      <c r="W7" s="6" t="str">
        <f aca="false">IF(S7="DR",T7," ")</f>
        <v> </v>
      </c>
      <c r="X7" s="6" t="str">
        <f aca="false">IF(S7="W",T7," ")</f>
        <v> </v>
      </c>
      <c r="Y7" s="6" t="str">
        <f aca="false">IF(S7="B",T7," ")</f>
        <v> </v>
      </c>
      <c r="Z7" s="6" t="str">
        <f aca="false">IF(S7="J",T7," ")</f>
        <v> </v>
      </c>
      <c r="AA7" s="6" t="str">
        <f aca="false">IF(S7="RP",T7," ")</f>
        <v> </v>
      </c>
      <c r="AB7" s="6" t="n">
        <f aca="false">IF(S7="DL",T7," ")</f>
        <v>1000</v>
      </c>
      <c r="AC7" s="6" t="str">
        <f aca="false">IF(S7="X",T7," ")</f>
        <v> </v>
      </c>
    </row>
    <row r="8" customFormat="false" ht="12.75" hidden="false" customHeight="false" outlineLevel="0" collapsed="false">
      <c r="A8" s="1" t="n">
        <v>46474</v>
      </c>
      <c r="B8" s="2" t="s">
        <v>69</v>
      </c>
      <c r="C8" s="3" t="s">
        <v>226</v>
      </c>
      <c r="D8" s="4" t="s">
        <v>71</v>
      </c>
      <c r="E8" s="5" t="s">
        <v>33</v>
      </c>
      <c r="F8" s="6" t="n">
        <v>10560</v>
      </c>
      <c r="G8" s="6" t="str">
        <f aca="false">IF(E8="BC",F8," ")</f>
        <v> </v>
      </c>
      <c r="H8" s="6" t="n">
        <f aca="false">IF(E8="DR",F8," ")</f>
        <v>10560</v>
      </c>
      <c r="I8" s="6" t="str">
        <f aca="false">IF(E8="CR",F8," ")</f>
        <v> </v>
      </c>
      <c r="J8" s="6" t="str">
        <f aca="false">IF(E8="K",F8," ")</f>
        <v> </v>
      </c>
      <c r="K8" s="6" t="str">
        <f aca="false">IF(E8="RV",F8," ")</f>
        <v> </v>
      </c>
      <c r="L8" s="6" t="str">
        <f aca="false">IF(E8="DL",F8," ")</f>
        <v> </v>
      </c>
      <c r="M8" s="6" t="str">
        <f aca="false">IF(E8="X",F8," ")</f>
        <v> </v>
      </c>
      <c r="N8" s="39"/>
      <c r="O8" s="1" t="n">
        <v>46451</v>
      </c>
      <c r="P8" s="4" t="s">
        <v>56</v>
      </c>
      <c r="Q8" s="3" t="s">
        <v>227</v>
      </c>
      <c r="R8" s="3" t="s">
        <v>58</v>
      </c>
      <c r="S8" s="38" t="s">
        <v>34</v>
      </c>
      <c r="T8" s="6" t="n">
        <v>2300</v>
      </c>
      <c r="U8" s="6" t="str">
        <f aca="false">IF(S8="BC",T8," ")</f>
        <v> </v>
      </c>
      <c r="V8" s="6" t="n">
        <f aca="false">IF(S8="CR",T8," ")</f>
        <v>2300</v>
      </c>
      <c r="W8" s="6" t="str">
        <f aca="false">IF(S8="DR",T8," ")</f>
        <v> </v>
      </c>
      <c r="X8" s="6" t="str">
        <f aca="false">IF(S8="W",T8," ")</f>
        <v> </v>
      </c>
      <c r="Y8" s="6" t="str">
        <f aca="false">IF(S8="B",T8," ")</f>
        <v> </v>
      </c>
      <c r="Z8" s="6" t="str">
        <f aca="false">IF(S8="J",T8," ")</f>
        <v> </v>
      </c>
      <c r="AA8" s="6" t="str">
        <f aca="false">IF(S8="RP",T8," ")</f>
        <v> </v>
      </c>
      <c r="AB8" s="6" t="str">
        <f aca="false">IF(S8="DL",T8," ")</f>
        <v> </v>
      </c>
      <c r="AC8" s="6" t="str">
        <f aca="false">IF(S8="X",T8," ")</f>
        <v> </v>
      </c>
    </row>
    <row r="9" customFormat="false" ht="12.75" hidden="false" customHeight="false" outlineLevel="0" collapsed="false">
      <c r="E9" s="5" t="str">
        <f aca="false">IF(F9&lt;&gt;0,"Enter Code"," ")</f>
        <v> </v>
      </c>
      <c r="G9" s="6" t="str">
        <f aca="false">IF(E9="BC",F9," ")</f>
        <v> </v>
      </c>
      <c r="H9" s="6" t="str">
        <f aca="false">IF(E9="DR",F9," ")</f>
        <v> </v>
      </c>
      <c r="I9" s="6" t="str">
        <f aca="false">IF(E9="CR",F9," ")</f>
        <v> </v>
      </c>
      <c r="J9" s="6" t="str">
        <f aca="false">IF(E9="K",F9," ")</f>
        <v> </v>
      </c>
      <c r="K9" s="6" t="str">
        <f aca="false">IF(E9="RV",F9," ")</f>
        <v> </v>
      </c>
      <c r="L9" s="6" t="str">
        <f aca="false">IF(E9="DL",F9," ")</f>
        <v> </v>
      </c>
      <c r="M9" s="6" t="str">
        <f aca="false">IF(E9="X",F9," ")</f>
        <v> </v>
      </c>
      <c r="N9" s="39"/>
      <c r="O9" s="1" t="n">
        <v>46461</v>
      </c>
      <c r="P9" s="4" t="s">
        <v>228</v>
      </c>
      <c r="Q9" s="3" t="s">
        <v>229</v>
      </c>
      <c r="R9" s="3" t="s">
        <v>230</v>
      </c>
      <c r="S9" s="38" t="s">
        <v>38</v>
      </c>
      <c r="T9" s="6" t="n">
        <v>5000</v>
      </c>
      <c r="U9" s="6" t="str">
        <f aca="false">IF(S9="BC",T9," ")</f>
        <v> </v>
      </c>
      <c r="V9" s="6" t="str">
        <f aca="false">IF(S9="CR",T9," ")</f>
        <v> </v>
      </c>
      <c r="W9" s="6" t="str">
        <f aca="false">IF(S9="DR",T9," ")</f>
        <v> </v>
      </c>
      <c r="X9" s="6" t="str">
        <f aca="false">IF(S9="W",T9," ")</f>
        <v> </v>
      </c>
      <c r="Y9" s="6" t="str">
        <f aca="false">IF(S9="B",T9," ")</f>
        <v> </v>
      </c>
      <c r="Z9" s="6" t="str">
        <f aca="false">IF(S9="J",T9," ")</f>
        <v> </v>
      </c>
      <c r="AA9" s="6" t="str">
        <f aca="false">IF(S9="RP",T9," ")</f>
        <v> </v>
      </c>
      <c r="AB9" s="6" t="str">
        <f aca="false">IF(S9="DL",T9," ")</f>
        <v> </v>
      </c>
      <c r="AC9" s="6" t="n">
        <f aca="false">IF(S9="X",T9," ")</f>
        <v>5000</v>
      </c>
    </row>
    <row r="10" customFormat="false" ht="12.75" hidden="false" customHeight="false" outlineLevel="0" collapsed="false">
      <c r="E10" s="5" t="str">
        <f aca="false">IF(F10&lt;&gt;0,"Enter Code"," ")</f>
        <v> </v>
      </c>
      <c r="G10" s="6" t="str">
        <f aca="false">IF(E10="BC",F10," ")</f>
        <v> </v>
      </c>
      <c r="H10" s="6" t="str">
        <f aca="false">IF(E10="DR",F10," ")</f>
        <v> </v>
      </c>
      <c r="I10" s="6" t="str">
        <f aca="false">IF(E10="CR",F10," ")</f>
        <v> </v>
      </c>
      <c r="J10" s="6" t="str">
        <f aca="false">IF(E10="K",F10," ")</f>
        <v> </v>
      </c>
      <c r="K10" s="6" t="str">
        <f aca="false">IF(E10="RV",F10," ")</f>
        <v> </v>
      </c>
      <c r="L10" s="6" t="str">
        <f aca="false">IF(E10="DL",F10," ")</f>
        <v> </v>
      </c>
      <c r="M10" s="6" t="str">
        <f aca="false">IF(E10="X",F10," ")</f>
        <v> </v>
      </c>
      <c r="N10" s="39"/>
      <c r="O10" s="1" t="n">
        <v>46465</v>
      </c>
      <c r="P10" s="4" t="s">
        <v>61</v>
      </c>
      <c r="Q10" s="3" t="s">
        <v>231</v>
      </c>
      <c r="R10" s="3" t="s">
        <v>63</v>
      </c>
      <c r="S10" s="38" t="s">
        <v>42</v>
      </c>
      <c r="T10" s="6" t="n">
        <v>1673.2</v>
      </c>
      <c r="U10" s="6" t="str">
        <f aca="false">IF(S10="BC",T10," ")</f>
        <v> </v>
      </c>
      <c r="V10" s="6" t="str">
        <f aca="false">IF(S10="CR",T10," ")</f>
        <v> </v>
      </c>
      <c r="W10" s="6" t="str">
        <f aca="false">IF(S10="DR",T10," ")</f>
        <v> </v>
      </c>
      <c r="X10" s="6" t="str">
        <f aca="false">IF(S10="W",T10," ")</f>
        <v> </v>
      </c>
      <c r="Y10" s="6" t="str">
        <f aca="false">IF(S10="B",T10," ")</f>
        <v> </v>
      </c>
      <c r="Z10" s="6" t="str">
        <f aca="false">IF(S10="J",T10," ")</f>
        <v> </v>
      </c>
      <c r="AA10" s="6" t="n">
        <f aca="false">IF(S10="RP",T10," ")</f>
        <v>1673.2</v>
      </c>
      <c r="AB10" s="6" t="str">
        <f aca="false">IF(S10="DL",T10," ")</f>
        <v> </v>
      </c>
      <c r="AC10" s="6" t="str">
        <f aca="false">IF(S10="X",T10," ")</f>
        <v> </v>
      </c>
    </row>
    <row r="11" customFormat="false" ht="12.75" hidden="false" customHeight="false" outlineLevel="0" collapsed="false">
      <c r="E11" s="5" t="str">
        <f aca="false">IF(F11&lt;&gt;0,"Enter Code"," ")</f>
        <v> </v>
      </c>
      <c r="G11" s="6" t="str">
        <f aca="false">IF(E11="BC",F11," ")</f>
        <v> </v>
      </c>
      <c r="H11" s="6" t="str">
        <f aca="false">IF(E11="DR",F11," ")</f>
        <v> </v>
      </c>
      <c r="I11" s="6" t="str">
        <f aca="false">IF(E11="CR",F11," ")</f>
        <v> </v>
      </c>
      <c r="J11" s="6" t="str">
        <f aca="false">IF(E11="K",F11," ")</f>
        <v> </v>
      </c>
      <c r="K11" s="6" t="str">
        <f aca="false">IF(E11="RV",F11," ")</f>
        <v> </v>
      </c>
      <c r="L11" s="6" t="str">
        <f aca="false">IF(E11="DL",F11," ")</f>
        <v> </v>
      </c>
      <c r="M11" s="6" t="str">
        <f aca="false">IF(E11="X",F11," ")</f>
        <v> </v>
      </c>
      <c r="N11" s="39"/>
      <c r="O11" s="1" t="n">
        <v>46474</v>
      </c>
      <c r="P11" s="4" t="s">
        <v>66</v>
      </c>
      <c r="Q11" s="3" t="s">
        <v>232</v>
      </c>
      <c r="R11" s="3" t="s">
        <v>68</v>
      </c>
      <c r="S11" s="38" t="s">
        <v>39</v>
      </c>
      <c r="T11" s="6" t="n">
        <v>5652</v>
      </c>
      <c r="U11" s="6" t="str">
        <f aca="false">IF(S11="BC",T11," ")</f>
        <v> </v>
      </c>
      <c r="V11" s="6" t="str">
        <f aca="false">IF(S11="CR",T11," ")</f>
        <v> </v>
      </c>
      <c r="W11" s="6" t="str">
        <f aca="false">IF(S11="DR",T11," ")</f>
        <v> </v>
      </c>
      <c r="X11" s="6" t="n">
        <f aca="false">IF(S11="W",T11," ")</f>
        <v>5652</v>
      </c>
      <c r="Y11" s="6" t="str">
        <f aca="false">IF(S11="B",T11," ")</f>
        <v> </v>
      </c>
      <c r="Z11" s="6" t="str">
        <f aca="false">IF(S11="J",T11," ")</f>
        <v> </v>
      </c>
      <c r="AA11" s="6" t="str">
        <f aca="false">IF(S11="RP",T11," ")</f>
        <v> </v>
      </c>
      <c r="AB11" s="6" t="str">
        <f aca="false">IF(S11="DL",T11," ")</f>
        <v> </v>
      </c>
      <c r="AC11" s="6" t="str">
        <f aca="false">IF(S11="X",T11," ")</f>
        <v> </v>
      </c>
    </row>
    <row r="12" customFormat="false" ht="12.75" hidden="false" customHeight="false" outlineLevel="0" collapsed="false">
      <c r="E12" s="5" t="str">
        <f aca="false">IF(F12&lt;&gt;0,"Enter Code"," ")</f>
        <v> </v>
      </c>
      <c r="G12" s="6" t="str">
        <f aca="false">IF(E12="BC",F12," ")</f>
        <v> </v>
      </c>
      <c r="H12" s="6" t="str">
        <f aca="false">IF(E12="DR",F12," ")</f>
        <v> </v>
      </c>
      <c r="I12" s="6" t="str">
        <f aca="false">IF(E12="CR",F12," ")</f>
        <v> </v>
      </c>
      <c r="J12" s="6" t="str">
        <f aca="false">IF(E12="K",F12," ")</f>
        <v> </v>
      </c>
      <c r="K12" s="6" t="str">
        <f aca="false">IF(E12="RV",F12," ")</f>
        <v> </v>
      </c>
      <c r="L12" s="6" t="str">
        <f aca="false">IF(E12="DL",F12," ")</f>
        <v> </v>
      </c>
      <c r="M12" s="6" t="str">
        <f aca="false">IF(E12="X",F12," ")</f>
        <v> </v>
      </c>
      <c r="N12" s="39"/>
      <c r="O12" s="1" t="n">
        <v>46477</v>
      </c>
      <c r="P12" s="4" t="s">
        <v>103</v>
      </c>
      <c r="Q12" s="3" t="s">
        <v>233</v>
      </c>
      <c r="R12" s="3" t="s">
        <v>105</v>
      </c>
      <c r="S12" s="38" t="s">
        <v>40</v>
      </c>
      <c r="T12" s="6" t="n">
        <v>125</v>
      </c>
      <c r="U12" s="6" t="str">
        <f aca="false">IF(S12="BC",T12," ")</f>
        <v> </v>
      </c>
      <c r="V12" s="6" t="str">
        <f aca="false">IF(S12="CR",T12," ")</f>
        <v> </v>
      </c>
      <c r="W12" s="6" t="str">
        <f aca="false">IF(S12="DR",T12," ")</f>
        <v> </v>
      </c>
      <c r="X12" s="6" t="str">
        <f aca="false">IF(S12="W",T12," ")</f>
        <v> </v>
      </c>
      <c r="Y12" s="6" t="n">
        <f aca="false">IF(S12="B",T12," ")</f>
        <v>125</v>
      </c>
      <c r="Z12" s="6" t="str">
        <f aca="false">IF(S12="J",T12," ")</f>
        <v> </v>
      </c>
      <c r="AA12" s="6" t="str">
        <f aca="false">IF(S12="RP",T12," ")</f>
        <v> </v>
      </c>
      <c r="AB12" s="6" t="str">
        <f aca="false">IF(S12="DL",T12," ")</f>
        <v> </v>
      </c>
      <c r="AC12" s="6" t="str">
        <f aca="false">IF(S12="X",T12," ")</f>
        <v> </v>
      </c>
    </row>
    <row r="13" customFormat="false" ht="12.75" hidden="false" customHeight="false" outlineLevel="0" collapsed="false">
      <c r="E13" s="5" t="str">
        <f aca="false">IF(F13&lt;&gt;0,"Enter Code"," ")</f>
        <v> </v>
      </c>
      <c r="G13" s="6" t="str">
        <f aca="false">IF(E13="BC",F13," ")</f>
        <v> </v>
      </c>
      <c r="H13" s="6" t="str">
        <f aca="false">IF(E13="DR",F13," ")</f>
        <v> </v>
      </c>
      <c r="I13" s="6" t="str">
        <f aca="false">IF(E13="CR",F13," ")</f>
        <v> </v>
      </c>
      <c r="J13" s="6" t="str">
        <f aca="false">IF(E13="K",F13," ")</f>
        <v> </v>
      </c>
      <c r="K13" s="6" t="str">
        <f aca="false">IF(E13="RV",F13," ")</f>
        <v> </v>
      </c>
      <c r="L13" s="6" t="str">
        <f aca="false">IF(E13="DL",F13," ")</f>
        <v> </v>
      </c>
      <c r="M13" s="6" t="str">
        <f aca="false">IF(E13="X",F13," ")</f>
        <v> </v>
      </c>
      <c r="N13" s="39"/>
      <c r="O13" s="1" t="n">
        <v>46477</v>
      </c>
      <c r="P13" s="4" t="s">
        <v>72</v>
      </c>
      <c r="Q13" s="3" t="s">
        <v>234</v>
      </c>
      <c r="R13" s="3" t="s">
        <v>74</v>
      </c>
      <c r="S13" s="38" t="s">
        <v>34</v>
      </c>
      <c r="T13" s="6" t="n">
        <v>300</v>
      </c>
      <c r="U13" s="6" t="str">
        <f aca="false">IF(S13="BC",T13," ")</f>
        <v> </v>
      </c>
      <c r="V13" s="6" t="n">
        <f aca="false">IF(S13="CR",T13," ")</f>
        <v>300</v>
      </c>
      <c r="W13" s="6" t="str">
        <f aca="false">IF(S13="DR",T13," ")</f>
        <v> </v>
      </c>
      <c r="X13" s="6" t="str">
        <f aca="false">IF(S13="W",T13," ")</f>
        <v> </v>
      </c>
      <c r="Y13" s="6" t="str">
        <f aca="false">IF(S13="B",T13," ")</f>
        <v> </v>
      </c>
      <c r="Z13" s="6" t="str">
        <f aca="false">IF(S13="J",T13," ")</f>
        <v> </v>
      </c>
      <c r="AA13" s="6" t="str">
        <f aca="false">IF(S13="RP",T13," ")</f>
        <v> </v>
      </c>
      <c r="AB13" s="6" t="str">
        <f aca="false">IF(S13="DL",T13," ")</f>
        <v> </v>
      </c>
      <c r="AC13" s="6" t="str">
        <f aca="false">IF(S13="X",T13," ")</f>
        <v> </v>
      </c>
    </row>
    <row r="14" customFormat="false" ht="12.75" hidden="false" customHeight="false" outlineLevel="0" collapsed="false">
      <c r="E14" s="5" t="str">
        <f aca="false">IF(F14&lt;&gt;0,"Enter Code"," ")</f>
        <v> </v>
      </c>
      <c r="G14" s="6" t="str">
        <f aca="false">IF(E14="BC",F14," ")</f>
        <v> </v>
      </c>
      <c r="H14" s="6" t="str">
        <f aca="false">IF(E14="DR",F14," ")</f>
        <v> </v>
      </c>
      <c r="I14" s="6" t="str">
        <f aca="false">IF(E14="CR",F14," ")</f>
        <v> </v>
      </c>
      <c r="J14" s="6" t="str">
        <f aca="false">IF(E14="K",F14," ")</f>
        <v> </v>
      </c>
      <c r="K14" s="6" t="str">
        <f aca="false">IF(E14="RV",F14," ")</f>
        <v> </v>
      </c>
      <c r="L14" s="6" t="str">
        <f aca="false">IF(E14="DL",F14," ")</f>
        <v> </v>
      </c>
      <c r="M14" s="6" t="str">
        <f aca="false">IF(E14="X",F14," ")</f>
        <v> </v>
      </c>
      <c r="N14" s="39"/>
      <c r="O14" s="1" t="n">
        <v>46477</v>
      </c>
      <c r="P14" s="4" t="s">
        <v>118</v>
      </c>
      <c r="Q14" s="3" t="s">
        <v>235</v>
      </c>
      <c r="R14" s="3" t="s">
        <v>120</v>
      </c>
      <c r="S14" s="38" t="s">
        <v>37</v>
      </c>
      <c r="T14" s="6" t="n">
        <v>6000</v>
      </c>
      <c r="U14" s="6" t="str">
        <f aca="false">IF(S14="BC",T14," ")</f>
        <v> </v>
      </c>
      <c r="V14" s="6" t="str">
        <f aca="false">IF(S14="CR",T14," ")</f>
        <v> </v>
      </c>
      <c r="W14" s="6" t="str">
        <f aca="false">IF(S14="DR",T14," ")</f>
        <v> </v>
      </c>
      <c r="X14" s="6" t="str">
        <f aca="false">IF(S14="W",T14," ")</f>
        <v> </v>
      </c>
      <c r="Y14" s="6" t="str">
        <f aca="false">IF(S14="B",T14," ")</f>
        <v> </v>
      </c>
      <c r="Z14" s="6" t="str">
        <f aca="false">IF(S14="J",T14," ")</f>
        <v> </v>
      </c>
      <c r="AA14" s="6" t="str">
        <f aca="false">IF(S14="RP",T14," ")</f>
        <v> </v>
      </c>
      <c r="AB14" s="6" t="n">
        <f aca="false">IF(S14="DL",T14," ")</f>
        <v>6000</v>
      </c>
      <c r="AC14" s="6" t="str">
        <f aca="false">IF(S14="X",T14," ")</f>
        <v> </v>
      </c>
    </row>
    <row r="15" customFormat="false" ht="12.75" hidden="false" customHeight="false" outlineLevel="0" collapsed="false">
      <c r="E15" s="5" t="str">
        <f aca="false">IF(F15&lt;&gt;0,"Enter Code"," ")</f>
        <v> </v>
      </c>
      <c r="G15" s="6" t="str">
        <f aca="false">IF(E15="BC",F15," ")</f>
        <v> </v>
      </c>
      <c r="H15" s="6" t="str">
        <f aca="false">IF(E15="DR",F15," ")</f>
        <v> </v>
      </c>
      <c r="I15" s="6" t="str">
        <f aca="false">IF(E15="CR",F15," ")</f>
        <v> </v>
      </c>
      <c r="J15" s="6" t="str">
        <f aca="false">IF(E15="K",F15," ")</f>
        <v> </v>
      </c>
      <c r="K15" s="6" t="str">
        <f aca="false">IF(E15="RV",F15," ")</f>
        <v> </v>
      </c>
      <c r="L15" s="6" t="str">
        <f aca="false">IF(E15="DL",F15," ")</f>
        <v> </v>
      </c>
      <c r="M15" s="6" t="str">
        <f aca="false">IF(E15="X",F15," ")</f>
        <v> </v>
      </c>
      <c r="N15" s="39"/>
      <c r="S15" s="38" t="str">
        <f aca="false">IF(T15&lt;&gt;0,"Enter Code"," ")</f>
        <v> </v>
      </c>
      <c r="U15" s="6" t="str">
        <f aca="false">IF(S15="BC",T15," ")</f>
        <v> </v>
      </c>
      <c r="V15" s="6" t="str">
        <f aca="false">IF(S15="CR",T15," ")</f>
        <v> </v>
      </c>
      <c r="W15" s="6" t="str">
        <f aca="false">IF(S15="DR",T15," ")</f>
        <v> </v>
      </c>
      <c r="X15" s="6" t="str">
        <f aca="false">IF(S15="W",T15," ")</f>
        <v> </v>
      </c>
      <c r="Y15" s="6" t="str">
        <f aca="false">IF(S15="B",T15," ")</f>
        <v> </v>
      </c>
      <c r="Z15" s="6" t="str">
        <f aca="false">IF(S15="J",T15," ")</f>
        <v> </v>
      </c>
      <c r="AA15" s="6" t="str">
        <f aca="false">IF(S15="RP",T15," ")</f>
        <v> </v>
      </c>
      <c r="AB15" s="6" t="str">
        <f aca="false">IF(S15="DL",T15," ")</f>
        <v> </v>
      </c>
      <c r="AC15" s="6" t="str">
        <f aca="false">IF(S15="X",T15," ")</f>
        <v> </v>
      </c>
    </row>
    <row r="16" customFormat="false" ht="12.75" hidden="false" customHeight="false" outlineLevel="0" collapsed="false">
      <c r="E16" s="5" t="str">
        <f aca="false">IF(F16&lt;&gt;0,"Enter Code"," ")</f>
        <v> </v>
      </c>
      <c r="G16" s="6" t="str">
        <f aca="false">IF(E16="BC",F16," ")</f>
        <v> </v>
      </c>
      <c r="H16" s="6" t="str">
        <f aca="false">IF(E16="DR",F16," ")</f>
        <v> </v>
      </c>
      <c r="I16" s="6" t="str">
        <f aca="false">IF(E16="CR",F16," ")</f>
        <v> </v>
      </c>
      <c r="J16" s="6" t="str">
        <f aca="false">IF(E16="K",F16," ")</f>
        <v> </v>
      </c>
      <c r="K16" s="6" t="str">
        <f aca="false">IF(E16="RV",F16," ")</f>
        <v> </v>
      </c>
      <c r="L16" s="6" t="str">
        <f aca="false">IF(E16="DL",F16," ")</f>
        <v> </v>
      </c>
      <c r="M16" s="6" t="str">
        <f aca="false">IF(E16="X",F16," ")</f>
        <v> </v>
      </c>
      <c r="N16" s="39"/>
      <c r="S16" s="38" t="str">
        <f aca="false">IF(T16&lt;&gt;0,"Enter Code"," ")</f>
        <v> </v>
      </c>
      <c r="U16" s="6" t="str">
        <f aca="false">IF(S16="BC",T16," ")</f>
        <v> </v>
      </c>
      <c r="V16" s="6" t="str">
        <f aca="false">IF(S16="CR",T16," ")</f>
        <v> </v>
      </c>
      <c r="W16" s="6" t="str">
        <f aca="false">IF(S16="DR",T16," ")</f>
        <v> </v>
      </c>
      <c r="X16" s="6" t="str">
        <f aca="false">IF(S16="W",T16," ")</f>
        <v> </v>
      </c>
      <c r="Y16" s="6" t="str">
        <f aca="false">IF(S16="B",T16," ")</f>
        <v> </v>
      </c>
      <c r="Z16" s="6" t="str">
        <f aca="false">IF(S16="J",T16," ")</f>
        <v> </v>
      </c>
      <c r="AA16" s="6" t="str">
        <f aca="false">IF(S16="RP",T16," ")</f>
        <v> </v>
      </c>
      <c r="AB16" s="6" t="str">
        <f aca="false">IF(S16="DL",T16," ")</f>
        <v> </v>
      </c>
      <c r="AC16" s="6" t="str">
        <f aca="false">IF(S16="X",T16," ")</f>
        <v> </v>
      </c>
    </row>
    <row r="17" customFormat="false" ht="12.75" hidden="false" customHeight="false" outlineLevel="0" collapsed="false">
      <c r="E17" s="5" t="str">
        <f aca="false">IF(F17&lt;&gt;0,"Enter Code"," ")</f>
        <v> </v>
      </c>
      <c r="G17" s="6" t="str">
        <f aca="false">IF(E17="BC",F17," ")</f>
        <v> </v>
      </c>
      <c r="H17" s="6" t="str">
        <f aca="false">IF(E17="DR",F17," ")</f>
        <v> </v>
      </c>
      <c r="I17" s="6" t="str">
        <f aca="false">IF(E17="CR",F17," ")</f>
        <v> </v>
      </c>
      <c r="J17" s="6" t="str">
        <f aca="false">IF(E17="K",F17," ")</f>
        <v> </v>
      </c>
      <c r="K17" s="6" t="str">
        <f aca="false">IF(E17="RV",F17," ")</f>
        <v> </v>
      </c>
      <c r="L17" s="6" t="str">
        <f aca="false">IF(E17="DL",F17," ")</f>
        <v> </v>
      </c>
      <c r="M17" s="6" t="str">
        <f aca="false">IF(E17="X",F17," ")</f>
        <v> </v>
      </c>
      <c r="N17" s="39"/>
      <c r="S17" s="38" t="str">
        <f aca="false">IF(T17&lt;&gt;0,"Enter Code"," ")</f>
        <v> </v>
      </c>
      <c r="U17" s="6" t="str">
        <f aca="false">IF(S17="BC",T17," ")</f>
        <v> </v>
      </c>
      <c r="V17" s="6" t="str">
        <f aca="false">IF(S17="CR",T17," ")</f>
        <v> </v>
      </c>
      <c r="W17" s="6" t="str">
        <f aca="false">IF(S17="DR",T17," ")</f>
        <v> </v>
      </c>
      <c r="X17" s="6" t="str">
        <f aca="false">IF(S17="W",T17," ")</f>
        <v> </v>
      </c>
      <c r="Y17" s="6" t="str">
        <f aca="false">IF(S17="B",T17," ")</f>
        <v> </v>
      </c>
      <c r="Z17" s="6" t="str">
        <f aca="false">IF(S17="J",T17," ")</f>
        <v> </v>
      </c>
      <c r="AA17" s="6" t="str">
        <f aca="false">IF(S17="RP",T17," ")</f>
        <v> </v>
      </c>
      <c r="AB17" s="6" t="str">
        <f aca="false">IF(S17="DL",T17," ")</f>
        <v> </v>
      </c>
      <c r="AC17" s="6" t="str">
        <f aca="false">IF(S17="X",T17," ")</f>
        <v> </v>
      </c>
    </row>
    <row r="18" customFormat="false" ht="12.75" hidden="false" customHeight="false" outlineLevel="0" collapsed="false">
      <c r="E18" s="5" t="str">
        <f aca="false">IF(F18&lt;&gt;0,"Enter Code"," ")</f>
        <v> </v>
      </c>
      <c r="G18" s="6" t="str">
        <f aca="false">IF(E18="BC",F18," ")</f>
        <v> </v>
      </c>
      <c r="H18" s="6" t="str">
        <f aca="false">IF(E18="DR",F18," ")</f>
        <v> </v>
      </c>
      <c r="I18" s="6" t="str">
        <f aca="false">IF(E18="CR",F18," ")</f>
        <v> </v>
      </c>
      <c r="J18" s="6" t="str">
        <f aca="false">IF(E18="K",F18," ")</f>
        <v> </v>
      </c>
      <c r="K18" s="6" t="str">
        <f aca="false">IF(E18="RV",F18," ")</f>
        <v> </v>
      </c>
      <c r="L18" s="6" t="str">
        <f aca="false">IF(E18="DL",F18," ")</f>
        <v> </v>
      </c>
      <c r="M18" s="6" t="str">
        <f aca="false">IF(E18="X",F18," ")</f>
        <v> </v>
      </c>
      <c r="N18" s="39"/>
      <c r="S18" s="38" t="str">
        <f aca="false">IF(T18&lt;&gt;0,"Enter Code"," ")</f>
        <v> </v>
      </c>
      <c r="U18" s="6" t="str">
        <f aca="false">IF(S18="BC",T18," ")</f>
        <v> </v>
      </c>
      <c r="V18" s="6" t="str">
        <f aca="false">IF(S18="CR",T18," ")</f>
        <v> </v>
      </c>
      <c r="W18" s="6" t="str">
        <f aca="false">IF(S18="DR",T18," ")</f>
        <v> </v>
      </c>
      <c r="X18" s="6" t="str">
        <f aca="false">IF(S18="W",T18," ")</f>
        <v> </v>
      </c>
      <c r="Y18" s="6" t="str">
        <f aca="false">IF(S18="B",T18," ")</f>
        <v> </v>
      </c>
      <c r="Z18" s="6" t="str">
        <f aca="false">IF(S18="J",T18," ")</f>
        <v> </v>
      </c>
      <c r="AA18" s="6" t="str">
        <f aca="false">IF(S18="RP",T18," ")</f>
        <v> </v>
      </c>
      <c r="AB18" s="6" t="str">
        <f aca="false">IF(S18="DL",T18," ")</f>
        <v> </v>
      </c>
      <c r="AC18" s="6" t="str">
        <f aca="false">IF(S18="X",T18," ")</f>
        <v> </v>
      </c>
    </row>
    <row r="19" customFormat="false" ht="12.75" hidden="false" customHeight="false" outlineLevel="0" collapsed="false">
      <c r="E19" s="5" t="str">
        <f aca="false">IF(F19&lt;&gt;0,"Enter Code"," ")</f>
        <v> </v>
      </c>
      <c r="G19" s="6" t="str">
        <f aca="false">IF(E19="BC",F19," ")</f>
        <v> </v>
      </c>
      <c r="H19" s="6" t="str">
        <f aca="false">IF(E19="DR",F19," ")</f>
        <v> </v>
      </c>
      <c r="I19" s="6" t="str">
        <f aca="false">IF(E19="CR",F19," ")</f>
        <v> </v>
      </c>
      <c r="J19" s="6" t="str">
        <f aca="false">IF(E19="K",F19," ")</f>
        <v> </v>
      </c>
      <c r="K19" s="6" t="str">
        <f aca="false">IF(E19="RV",F19," ")</f>
        <v> </v>
      </c>
      <c r="L19" s="6" t="str">
        <f aca="false">IF(E19="DL",F19," ")</f>
        <v> </v>
      </c>
      <c r="M19" s="6" t="str">
        <f aca="false">IF(E19="X",F19," ")</f>
        <v> </v>
      </c>
      <c r="N19" s="39"/>
      <c r="S19" s="38" t="str">
        <f aca="false">IF(T19&lt;&gt;0,"Enter Code"," ")</f>
        <v> </v>
      </c>
      <c r="U19" s="6" t="str">
        <f aca="false">IF(S19="BC",T19," ")</f>
        <v> </v>
      </c>
      <c r="V19" s="6" t="str">
        <f aca="false">IF(S19="CR",T19," ")</f>
        <v> </v>
      </c>
      <c r="W19" s="6" t="str">
        <f aca="false">IF(S19="DR",T19," ")</f>
        <v> </v>
      </c>
      <c r="X19" s="6" t="str">
        <f aca="false">IF(S19="W",T19," ")</f>
        <v> </v>
      </c>
      <c r="Y19" s="6" t="str">
        <f aca="false">IF(S19="B",T19," ")</f>
        <v> </v>
      </c>
      <c r="Z19" s="6" t="str">
        <f aca="false">IF(S19="J",T19," ")</f>
        <v> </v>
      </c>
      <c r="AA19" s="6" t="str">
        <f aca="false">IF(S19="RP",T19," ")</f>
        <v> </v>
      </c>
      <c r="AB19" s="6" t="str">
        <f aca="false">IF(S19="DL",T19," ")</f>
        <v> </v>
      </c>
      <c r="AC19" s="6" t="str">
        <f aca="false">IF(S19="X",T19," ")</f>
        <v> </v>
      </c>
    </row>
    <row r="20" customFormat="false" ht="12.75" hidden="false" customHeight="false" outlineLevel="0" collapsed="false">
      <c r="E20" s="5" t="str">
        <f aca="false">IF(F20&lt;&gt;0,"Enter Code"," ")</f>
        <v> </v>
      </c>
      <c r="G20" s="6" t="str">
        <f aca="false">IF(E20="BC",F20," ")</f>
        <v> </v>
      </c>
      <c r="H20" s="6" t="str">
        <f aca="false">IF(E20="DR",F20," ")</f>
        <v> </v>
      </c>
      <c r="I20" s="6" t="str">
        <f aca="false">IF(E20="CR",F20," ")</f>
        <v> </v>
      </c>
      <c r="J20" s="6" t="str">
        <f aca="false">IF(E20="K",F20," ")</f>
        <v> </v>
      </c>
      <c r="K20" s="6" t="str">
        <f aca="false">IF(E20="RV",F20," ")</f>
        <v> </v>
      </c>
      <c r="L20" s="6" t="str">
        <f aca="false">IF(E20="DL",F20," ")</f>
        <v> </v>
      </c>
      <c r="M20" s="6" t="str">
        <f aca="false">IF(E20="X",F20," ")</f>
        <v> </v>
      </c>
      <c r="N20" s="39"/>
      <c r="S20" s="38" t="str">
        <f aca="false">IF(T20&lt;&gt;0,"Enter Code"," ")</f>
        <v> </v>
      </c>
      <c r="U20" s="6" t="str">
        <f aca="false">IF(S20="BC",T20," ")</f>
        <v> </v>
      </c>
      <c r="V20" s="6" t="str">
        <f aca="false">IF(S20="CR",T20," ")</f>
        <v> </v>
      </c>
      <c r="W20" s="6" t="str">
        <f aca="false">IF(S20="DR",T20," ")</f>
        <v> </v>
      </c>
      <c r="X20" s="6" t="str">
        <f aca="false">IF(S20="W",T20," ")</f>
        <v> </v>
      </c>
      <c r="Y20" s="6" t="str">
        <f aca="false">IF(S20="B",T20," ")</f>
        <v> </v>
      </c>
      <c r="Z20" s="6" t="str">
        <f aca="false">IF(S20="J",T20," ")</f>
        <v> </v>
      </c>
      <c r="AA20" s="6" t="str">
        <f aca="false">IF(S20="RP",T20," ")</f>
        <v> </v>
      </c>
      <c r="AB20" s="6" t="str">
        <f aca="false">IF(S20="DL",T20," ")</f>
        <v> </v>
      </c>
      <c r="AC20" s="6" t="str">
        <f aca="false">IF(S20="X",T20," ")</f>
        <v> </v>
      </c>
    </row>
    <row r="21" customFormat="false" ht="12.75" hidden="false" customHeight="false" outlineLevel="0" collapsed="false">
      <c r="E21" s="5" t="str">
        <f aca="false">IF(F21&lt;&gt;0,"Enter Code"," ")</f>
        <v> </v>
      </c>
      <c r="G21" s="6" t="str">
        <f aca="false">IF(E21="BC",F21," ")</f>
        <v> </v>
      </c>
      <c r="H21" s="6" t="str">
        <f aca="false">IF(E21="DR",F21," ")</f>
        <v> </v>
      </c>
      <c r="I21" s="6" t="str">
        <f aca="false">IF(E21="CR",F21," ")</f>
        <v> </v>
      </c>
      <c r="J21" s="6" t="str">
        <f aca="false">IF(E21="K",F21," ")</f>
        <v> </v>
      </c>
      <c r="K21" s="6" t="str">
        <f aca="false">IF(E21="RV",F21," ")</f>
        <v> </v>
      </c>
      <c r="L21" s="6" t="str">
        <f aca="false">IF(E21="DL",F21," ")</f>
        <v> </v>
      </c>
      <c r="M21" s="6" t="str">
        <f aca="false">IF(E21="X",F21," ")</f>
        <v> </v>
      </c>
      <c r="N21" s="39"/>
      <c r="S21" s="38" t="str">
        <f aca="false">IF(T21&lt;&gt;0,"Enter Code"," ")</f>
        <v> </v>
      </c>
      <c r="U21" s="6" t="str">
        <f aca="false">IF(S21="BC",T21," ")</f>
        <v> </v>
      </c>
      <c r="V21" s="6" t="str">
        <f aca="false">IF(S21="CR",T21," ")</f>
        <v> </v>
      </c>
      <c r="W21" s="6" t="str">
        <f aca="false">IF(S21="DR",T21," ")</f>
        <v> </v>
      </c>
      <c r="X21" s="6" t="str">
        <f aca="false">IF(S21="W",T21," ")</f>
        <v> </v>
      </c>
      <c r="Y21" s="6" t="str">
        <f aca="false">IF(S21="B",T21," ")</f>
        <v> </v>
      </c>
      <c r="Z21" s="6" t="str">
        <f aca="false">IF(S21="J",T21," ")</f>
        <v> </v>
      </c>
      <c r="AA21" s="6" t="str">
        <f aca="false">IF(S21="RP",T21," ")</f>
        <v> </v>
      </c>
      <c r="AB21" s="6" t="str">
        <f aca="false">IF(S21="DL",T21," ")</f>
        <v> </v>
      </c>
      <c r="AC21" s="6" t="str">
        <f aca="false">IF(S21="X",T21," ")</f>
        <v> </v>
      </c>
    </row>
    <row r="22" customFormat="false" ht="12.75" hidden="false" customHeight="false" outlineLevel="0" collapsed="false">
      <c r="E22" s="5" t="str">
        <f aca="false">IF(F22&lt;&gt;0,"Enter Code"," ")</f>
        <v> </v>
      </c>
      <c r="G22" s="6" t="str">
        <f aca="false">IF(E22="BC",F22," ")</f>
        <v> </v>
      </c>
      <c r="H22" s="6" t="str">
        <f aca="false">IF(E22="DR",F22," ")</f>
        <v> </v>
      </c>
      <c r="I22" s="6" t="str">
        <f aca="false">IF(E22="CR",F22," ")</f>
        <v> </v>
      </c>
      <c r="J22" s="6" t="str">
        <f aca="false">IF(E22="K",F22," ")</f>
        <v> </v>
      </c>
      <c r="K22" s="6" t="str">
        <f aca="false">IF(E22="RV",F22," ")</f>
        <v> </v>
      </c>
      <c r="L22" s="6" t="str">
        <f aca="false">IF(E22="DL",F22," ")</f>
        <v> </v>
      </c>
      <c r="M22" s="6" t="str">
        <f aca="false">IF(E22="X",F22," ")</f>
        <v> </v>
      </c>
      <c r="N22" s="39"/>
      <c r="S22" s="38" t="str">
        <f aca="false">IF(T22&lt;&gt;0,"Enter Code"," ")</f>
        <v> </v>
      </c>
      <c r="U22" s="6" t="str">
        <f aca="false">IF(S22="BC",T22," ")</f>
        <v> </v>
      </c>
      <c r="V22" s="6" t="str">
        <f aca="false">IF(S22="CR",T22," ")</f>
        <v> </v>
      </c>
      <c r="W22" s="6" t="str">
        <f aca="false">IF(S22="DR",T22," ")</f>
        <v> </v>
      </c>
      <c r="X22" s="6" t="str">
        <f aca="false">IF(S22="W",T22," ")</f>
        <v> </v>
      </c>
      <c r="Y22" s="6" t="str">
        <f aca="false">IF(S22="B",T22," ")</f>
        <v> </v>
      </c>
      <c r="Z22" s="6" t="str">
        <f aca="false">IF(S22="J",T22," ")</f>
        <v> </v>
      </c>
      <c r="AA22" s="6" t="str">
        <f aca="false">IF(S22="RP",T22," ")</f>
        <v> </v>
      </c>
      <c r="AB22" s="6" t="str">
        <f aca="false">IF(S22="DL",T22," ")</f>
        <v> </v>
      </c>
      <c r="AC22" s="6" t="str">
        <f aca="false">IF(S22="X",T22," ")</f>
        <v> </v>
      </c>
    </row>
    <row r="23" customFormat="false" ht="12.75" hidden="false" customHeight="false" outlineLevel="0" collapsed="false">
      <c r="E23" s="5" t="str">
        <f aca="false">IF(F23&lt;&gt;0,"Enter Code"," ")</f>
        <v> </v>
      </c>
      <c r="G23" s="6" t="str">
        <f aca="false">IF(E23="BC",F23," ")</f>
        <v> </v>
      </c>
      <c r="H23" s="6" t="str">
        <f aca="false">IF(E23="DR",F23," ")</f>
        <v> </v>
      </c>
      <c r="I23" s="6" t="str">
        <f aca="false">IF(E23="CR",F23," ")</f>
        <v> </v>
      </c>
      <c r="J23" s="6" t="str">
        <f aca="false">IF(E23="K",F23," ")</f>
        <v> </v>
      </c>
      <c r="K23" s="6" t="str">
        <f aca="false">IF(E23="RV",F23," ")</f>
        <v> </v>
      </c>
      <c r="L23" s="6" t="str">
        <f aca="false">IF(E23="DL",F23," ")</f>
        <v> </v>
      </c>
      <c r="M23" s="6" t="str">
        <f aca="false">IF(E23="X",F23," ")</f>
        <v> </v>
      </c>
      <c r="N23" s="39"/>
      <c r="S23" s="38" t="str">
        <f aca="false">IF(T23&lt;&gt;0,"Enter Code"," ")</f>
        <v> </v>
      </c>
      <c r="U23" s="6" t="str">
        <f aca="false">IF(S23="BC",T23," ")</f>
        <v> </v>
      </c>
      <c r="V23" s="6" t="str">
        <f aca="false">IF(S23="CR",T23," ")</f>
        <v> </v>
      </c>
      <c r="W23" s="6" t="str">
        <f aca="false">IF(S23="DR",T23," ")</f>
        <v> </v>
      </c>
      <c r="X23" s="6" t="str">
        <f aca="false">IF(S23="W",T23," ")</f>
        <v> </v>
      </c>
      <c r="Y23" s="6" t="str">
        <f aca="false">IF(S23="B",T23," ")</f>
        <v> </v>
      </c>
      <c r="Z23" s="6" t="str">
        <f aca="false">IF(S23="J",T23," ")</f>
        <v> </v>
      </c>
      <c r="AA23" s="6" t="str">
        <f aca="false">IF(S23="RP",T23," ")</f>
        <v> </v>
      </c>
      <c r="AB23" s="6" t="str">
        <f aca="false">IF(S23="DL",T23," ")</f>
        <v> </v>
      </c>
      <c r="AC23" s="6" t="str">
        <f aca="false">IF(S23="X",T23," ")</f>
        <v> </v>
      </c>
    </row>
    <row r="24" customFormat="false" ht="12.75" hidden="false" customHeight="false" outlineLevel="0" collapsed="false">
      <c r="E24" s="5" t="str">
        <f aca="false">IF(F24&lt;&gt;0,"Enter Code"," ")</f>
        <v> </v>
      </c>
      <c r="G24" s="6" t="str">
        <f aca="false">IF(E24="BC",F24," ")</f>
        <v> </v>
      </c>
      <c r="H24" s="6" t="str">
        <f aca="false">IF(E24="DR",F24," ")</f>
        <v> </v>
      </c>
      <c r="I24" s="6" t="str">
        <f aca="false">IF(E24="CR",F24," ")</f>
        <v> </v>
      </c>
      <c r="J24" s="6" t="str">
        <f aca="false">IF(E24="K",F24," ")</f>
        <v> </v>
      </c>
      <c r="K24" s="6" t="str">
        <f aca="false">IF(E24="RV",F24," ")</f>
        <v> </v>
      </c>
      <c r="L24" s="6" t="str">
        <f aca="false">IF(E24="DL",F24," ")</f>
        <v> </v>
      </c>
      <c r="M24" s="6" t="str">
        <f aca="false">IF(E24="X",F24," ")</f>
        <v> </v>
      </c>
      <c r="N24" s="39"/>
      <c r="S24" s="38" t="str">
        <f aca="false">IF(T24&lt;&gt;0,"Enter Code"," ")</f>
        <v> </v>
      </c>
      <c r="U24" s="6" t="str">
        <f aca="false">IF(S24="BC",T24," ")</f>
        <v> </v>
      </c>
      <c r="V24" s="6" t="str">
        <f aca="false">IF(S24="CR",T24," ")</f>
        <v> </v>
      </c>
      <c r="W24" s="6" t="str">
        <f aca="false">IF(S24="DR",T24," ")</f>
        <v> </v>
      </c>
      <c r="X24" s="6" t="str">
        <f aca="false">IF(S24="W",T24," ")</f>
        <v> </v>
      </c>
      <c r="Y24" s="6" t="str">
        <f aca="false">IF(S24="B",T24," ")</f>
        <v> </v>
      </c>
      <c r="Z24" s="6" t="str">
        <f aca="false">IF(S24="J",T24," ")</f>
        <v> </v>
      </c>
      <c r="AA24" s="6" t="str">
        <f aca="false">IF(S24="RP",T24," ")</f>
        <v> </v>
      </c>
      <c r="AB24" s="6" t="str">
        <f aca="false">IF(S24="DL",T24," ")</f>
        <v> </v>
      </c>
      <c r="AC24" s="6" t="str">
        <f aca="false">IF(S24="X",T24," ")</f>
        <v> </v>
      </c>
    </row>
    <row r="25" customFormat="false" ht="12.75" hidden="false" customHeight="false" outlineLevel="0" collapsed="false">
      <c r="E25" s="5" t="str">
        <f aca="false">IF(F25&lt;&gt;0,"Enter Code"," ")</f>
        <v> </v>
      </c>
      <c r="G25" s="6" t="str">
        <f aca="false">IF(E25="BC",F25," ")</f>
        <v> </v>
      </c>
      <c r="H25" s="6" t="str">
        <f aca="false">IF(E25="DR",F25," ")</f>
        <v> </v>
      </c>
      <c r="I25" s="6" t="str">
        <f aca="false">IF(E25="CR",F25," ")</f>
        <v> </v>
      </c>
      <c r="J25" s="6" t="str">
        <f aca="false">IF(E25="K",F25," ")</f>
        <v> </v>
      </c>
      <c r="K25" s="6" t="str">
        <f aca="false">IF(E25="RV",F25," ")</f>
        <v> </v>
      </c>
      <c r="L25" s="6" t="str">
        <f aca="false">IF(E25="DL",F25," ")</f>
        <v> </v>
      </c>
      <c r="M25" s="6" t="str">
        <f aca="false">IF(E25="X",F25," ")</f>
        <v> </v>
      </c>
      <c r="N25" s="39"/>
      <c r="S25" s="38" t="str">
        <f aca="false">IF(T25&lt;&gt;0,"Enter Code"," ")</f>
        <v> </v>
      </c>
      <c r="U25" s="6" t="str">
        <f aca="false">IF(S25="BC",T25," ")</f>
        <v> </v>
      </c>
      <c r="V25" s="6" t="str">
        <f aca="false">IF(S25="CR",T25," ")</f>
        <v> </v>
      </c>
      <c r="W25" s="6" t="str">
        <f aca="false">IF(S25="DR",T25," ")</f>
        <v> </v>
      </c>
      <c r="X25" s="6" t="str">
        <f aca="false">IF(S25="W",T25," ")</f>
        <v> </v>
      </c>
      <c r="Y25" s="6" t="str">
        <f aca="false">IF(S25="B",T25," ")</f>
        <v> </v>
      </c>
      <c r="Z25" s="6" t="str">
        <f aca="false">IF(S25="J",T25," ")</f>
        <v> </v>
      </c>
      <c r="AA25" s="6" t="str">
        <f aca="false">IF(S25="RP",T25," ")</f>
        <v> </v>
      </c>
      <c r="AB25" s="6" t="str">
        <f aca="false">IF(S25="DL",T25," ")</f>
        <v> </v>
      </c>
      <c r="AC25" s="6" t="str">
        <f aca="false">IF(S25="X",T25," ")</f>
        <v> </v>
      </c>
    </row>
    <row r="26" customFormat="false" ht="12.75" hidden="false" customHeight="false" outlineLevel="0" collapsed="false">
      <c r="E26" s="5" t="str">
        <f aca="false">IF(F26&lt;&gt;0,"Enter Code"," ")</f>
        <v> </v>
      </c>
      <c r="G26" s="6" t="str">
        <f aca="false">IF(E26="BC",F26," ")</f>
        <v> </v>
      </c>
      <c r="H26" s="6" t="str">
        <f aca="false">IF(E26="DR",F26," ")</f>
        <v> </v>
      </c>
      <c r="I26" s="6" t="str">
        <f aca="false">IF(E26="CR",F26," ")</f>
        <v> </v>
      </c>
      <c r="J26" s="6" t="str">
        <f aca="false">IF(E26="K",F26," ")</f>
        <v> </v>
      </c>
      <c r="K26" s="6" t="str">
        <f aca="false">IF(E26="RV",F26," ")</f>
        <v> </v>
      </c>
      <c r="L26" s="6" t="str">
        <f aca="false">IF(E26="DL",F26," ")</f>
        <v> </v>
      </c>
      <c r="M26" s="6" t="str">
        <f aca="false">IF(E26="X",F26," ")</f>
        <v> </v>
      </c>
      <c r="N26" s="39"/>
      <c r="S26" s="38" t="str">
        <f aca="false">IF(T26&lt;&gt;0,"Enter Code"," ")</f>
        <v> </v>
      </c>
      <c r="U26" s="6" t="str">
        <f aca="false">IF(S26="BC",T26," ")</f>
        <v> </v>
      </c>
      <c r="V26" s="6" t="str">
        <f aca="false">IF(S26="CR",T26," ")</f>
        <v> </v>
      </c>
      <c r="W26" s="6" t="str">
        <f aca="false">IF(S26="DR",T26," ")</f>
        <v> </v>
      </c>
      <c r="X26" s="6" t="str">
        <f aca="false">IF(S26="W",T26," ")</f>
        <v> </v>
      </c>
      <c r="Y26" s="6" t="str">
        <f aca="false">IF(S26="B",T26," ")</f>
        <v> </v>
      </c>
      <c r="Z26" s="6" t="str">
        <f aca="false">IF(S26="J",T26," ")</f>
        <v> </v>
      </c>
      <c r="AA26" s="6" t="str">
        <f aca="false">IF(S26="RP",T26," ")</f>
        <v> </v>
      </c>
      <c r="AB26" s="6" t="str">
        <f aca="false">IF(S26="DL",T26," ")</f>
        <v> </v>
      </c>
      <c r="AC26" s="6" t="str">
        <f aca="false">IF(S26="X",T26," ")</f>
        <v> </v>
      </c>
    </row>
    <row r="27" customFormat="false" ht="12.75" hidden="false" customHeight="false" outlineLevel="0" collapsed="false">
      <c r="E27" s="5" t="str">
        <f aca="false">IF(F27&lt;&gt;0,"Enter Code"," ")</f>
        <v> </v>
      </c>
      <c r="G27" s="6" t="str">
        <f aca="false">IF(E27="BC",F27," ")</f>
        <v> </v>
      </c>
      <c r="H27" s="6" t="str">
        <f aca="false">IF(E27="DR",F27," ")</f>
        <v> </v>
      </c>
      <c r="I27" s="6" t="str">
        <f aca="false">IF(E27="CR",F27," ")</f>
        <v> </v>
      </c>
      <c r="J27" s="6" t="str">
        <f aca="false">IF(E27="K",F27," ")</f>
        <v> </v>
      </c>
      <c r="K27" s="6" t="str">
        <f aca="false">IF(E27="RV",F27," ")</f>
        <v> </v>
      </c>
      <c r="L27" s="6" t="str">
        <f aca="false">IF(E27="DL",F27," ")</f>
        <v> </v>
      </c>
      <c r="M27" s="6" t="str">
        <f aca="false">IF(E27="X",F27," ")</f>
        <v> </v>
      </c>
      <c r="N27" s="39"/>
      <c r="S27" s="38" t="str">
        <f aca="false">IF(T27&lt;&gt;0,"Enter Code"," ")</f>
        <v> </v>
      </c>
      <c r="U27" s="6" t="str">
        <f aca="false">IF(S27="BC",T27," ")</f>
        <v> </v>
      </c>
      <c r="V27" s="6" t="str">
        <f aca="false">IF(S27="CR",T27," ")</f>
        <v> </v>
      </c>
      <c r="W27" s="6" t="str">
        <f aca="false">IF(S27="DR",T27," ")</f>
        <v> </v>
      </c>
      <c r="X27" s="6" t="str">
        <f aca="false">IF(S27="W",T27," ")</f>
        <v> </v>
      </c>
      <c r="Y27" s="6" t="str">
        <f aca="false">IF(S27="B",T27," ")</f>
        <v> </v>
      </c>
      <c r="Z27" s="6" t="str">
        <f aca="false">IF(S27="J",T27," ")</f>
        <v> </v>
      </c>
      <c r="AA27" s="6" t="str">
        <f aca="false">IF(S27="RP",T27," ")</f>
        <v> </v>
      </c>
      <c r="AB27" s="6" t="str">
        <f aca="false">IF(S27="DL",T27," ")</f>
        <v> </v>
      </c>
      <c r="AC27" s="6" t="str">
        <f aca="false">IF(S27="X",T27," ")</f>
        <v> </v>
      </c>
    </row>
    <row r="28" customFormat="false" ht="12.75" hidden="false" customHeight="false" outlineLevel="0" collapsed="false">
      <c r="E28" s="5" t="str">
        <f aca="false">IF(F28&lt;&gt;0,"Enter Code"," ")</f>
        <v> </v>
      </c>
      <c r="G28" s="6" t="str">
        <f aca="false">IF(E28="BC",F28," ")</f>
        <v> </v>
      </c>
      <c r="H28" s="6" t="str">
        <f aca="false">IF(E28="DR",F28," ")</f>
        <v> </v>
      </c>
      <c r="I28" s="6" t="str">
        <f aca="false">IF(E28="CR",F28," ")</f>
        <v> </v>
      </c>
      <c r="J28" s="6" t="str">
        <f aca="false">IF(E28="K",F28," ")</f>
        <v> </v>
      </c>
      <c r="K28" s="6" t="str">
        <f aca="false">IF(E28="RV",F28," ")</f>
        <v> </v>
      </c>
      <c r="L28" s="6" t="str">
        <f aca="false">IF(E28="DL",F28," ")</f>
        <v> </v>
      </c>
      <c r="M28" s="6" t="str">
        <f aca="false">IF(E28="X",F28," ")</f>
        <v> </v>
      </c>
      <c r="N28" s="39"/>
      <c r="S28" s="38" t="str">
        <f aca="false">IF(T28&lt;&gt;0,"Enter Code"," ")</f>
        <v> </v>
      </c>
      <c r="U28" s="6" t="str">
        <f aca="false">IF(S28="BC",T28," ")</f>
        <v> </v>
      </c>
      <c r="V28" s="6" t="str">
        <f aca="false">IF(S28="CR",T28," ")</f>
        <v> </v>
      </c>
      <c r="W28" s="6" t="str">
        <f aca="false">IF(S28="DR",T28," ")</f>
        <v> </v>
      </c>
      <c r="X28" s="6" t="str">
        <f aca="false">IF(S28="W",T28," ")</f>
        <v> </v>
      </c>
      <c r="Y28" s="6" t="str">
        <f aca="false">IF(S28="B",T28," ")</f>
        <v> </v>
      </c>
      <c r="Z28" s="6" t="str">
        <f aca="false">IF(S28="J",T28," ")</f>
        <v> </v>
      </c>
      <c r="AA28" s="6" t="str">
        <f aca="false">IF(S28="RP",T28," ")</f>
        <v> </v>
      </c>
      <c r="AB28" s="6" t="str">
        <f aca="false">IF(S28="DL",T28," ")</f>
        <v> </v>
      </c>
      <c r="AC28" s="6" t="str">
        <f aca="false">IF(S28="X",T28," ")</f>
        <v> </v>
      </c>
    </row>
    <row r="29" customFormat="false" ht="12.75" hidden="false" customHeight="false" outlineLevel="0" collapsed="false">
      <c r="E29" s="5" t="str">
        <f aca="false">IF(F29&lt;&gt;0,"Enter Code"," ")</f>
        <v> </v>
      </c>
      <c r="G29" s="6" t="str">
        <f aca="false">IF(E29="BC",F29," ")</f>
        <v> </v>
      </c>
      <c r="H29" s="6" t="str">
        <f aca="false">IF(E29="DR",F29," ")</f>
        <v> </v>
      </c>
      <c r="I29" s="6" t="str">
        <f aca="false">IF(E29="CR",F29," ")</f>
        <v> </v>
      </c>
      <c r="J29" s="6" t="str">
        <f aca="false">IF(E29="K",F29," ")</f>
        <v> </v>
      </c>
      <c r="K29" s="6" t="str">
        <f aca="false">IF(E29="RV",F29," ")</f>
        <v> </v>
      </c>
      <c r="L29" s="6" t="str">
        <f aca="false">IF(E29="DL",F29," ")</f>
        <v> </v>
      </c>
      <c r="M29" s="6" t="str">
        <f aca="false">IF(E29="X",F29," ")</f>
        <v> </v>
      </c>
      <c r="N29" s="39"/>
      <c r="S29" s="38" t="str">
        <f aca="false">IF(T29&lt;&gt;0,"Enter Code"," ")</f>
        <v> </v>
      </c>
      <c r="U29" s="6" t="str">
        <f aca="false">IF(S29="BC",T29," ")</f>
        <v> </v>
      </c>
      <c r="V29" s="6" t="str">
        <f aca="false">IF(S29="CR",T29," ")</f>
        <v> </v>
      </c>
      <c r="W29" s="6" t="str">
        <f aca="false">IF(S29="DR",T29," ")</f>
        <v> </v>
      </c>
      <c r="X29" s="6" t="str">
        <f aca="false">IF(S29="W",T29," ")</f>
        <v> </v>
      </c>
      <c r="Y29" s="6" t="str">
        <f aca="false">IF(S29="B",T29," ")</f>
        <v> </v>
      </c>
      <c r="Z29" s="6" t="str">
        <f aca="false">IF(S29="J",T29," ")</f>
        <v> </v>
      </c>
      <c r="AA29" s="6" t="str">
        <f aca="false">IF(S29="RP",T29," ")</f>
        <v> </v>
      </c>
      <c r="AB29" s="6" t="str">
        <f aca="false">IF(S29="DL",T29," ")</f>
        <v> </v>
      </c>
      <c r="AC29" s="6" t="str">
        <f aca="false">IF(S29="X",T29," ")</f>
        <v> </v>
      </c>
    </row>
    <row r="30" customFormat="false" ht="12.75" hidden="false" customHeight="false" outlineLevel="0" collapsed="false">
      <c r="E30" s="5" t="str">
        <f aca="false">IF(F30&lt;&gt;0,"Enter Code"," ")</f>
        <v> </v>
      </c>
      <c r="G30" s="6" t="str">
        <f aca="false">IF(E30="BC",F30," ")</f>
        <v> </v>
      </c>
      <c r="H30" s="6" t="str">
        <f aca="false">IF(E30="DR",F30," ")</f>
        <v> </v>
      </c>
      <c r="I30" s="6" t="str">
        <f aca="false">IF(E30="CR",F30," ")</f>
        <v> </v>
      </c>
      <c r="J30" s="6" t="str">
        <f aca="false">IF(E30="K",F30," ")</f>
        <v> </v>
      </c>
      <c r="K30" s="6" t="str">
        <f aca="false">IF(E30="RV",F30," ")</f>
        <v> </v>
      </c>
      <c r="L30" s="6" t="str">
        <f aca="false">IF(E30="DL",F30," ")</f>
        <v> </v>
      </c>
      <c r="M30" s="6" t="str">
        <f aca="false">IF(E30="X",F30," ")</f>
        <v> </v>
      </c>
      <c r="N30" s="39"/>
      <c r="S30" s="38" t="str">
        <f aca="false">IF(T30&lt;&gt;0,"Enter Code"," ")</f>
        <v> </v>
      </c>
      <c r="U30" s="6" t="str">
        <f aca="false">IF(S30="BC",T30," ")</f>
        <v> </v>
      </c>
      <c r="V30" s="6" t="str">
        <f aca="false">IF(S30="CR",T30," ")</f>
        <v> </v>
      </c>
      <c r="W30" s="6" t="str">
        <f aca="false">IF(S30="DR",T30," ")</f>
        <v> </v>
      </c>
      <c r="X30" s="6" t="str">
        <f aca="false">IF(S30="W",T30," ")</f>
        <v> </v>
      </c>
      <c r="Y30" s="6" t="str">
        <f aca="false">IF(S30="B",T30," ")</f>
        <v> </v>
      </c>
      <c r="Z30" s="6" t="str">
        <f aca="false">IF(S30="J",T30," ")</f>
        <v> </v>
      </c>
      <c r="AA30" s="6" t="str">
        <f aca="false">IF(S30="RP",T30," ")</f>
        <v> </v>
      </c>
      <c r="AB30" s="6" t="str">
        <f aca="false">IF(S30="DL",T30," ")</f>
        <v> </v>
      </c>
      <c r="AC30" s="6" t="str">
        <f aca="false">IF(S30="X",T30," ")</f>
        <v> </v>
      </c>
    </row>
    <row r="31" customFormat="false" ht="12.75" hidden="false" customHeight="false" outlineLevel="0" collapsed="false">
      <c r="E31" s="5" t="str">
        <f aca="false">IF(F31&lt;&gt;0,"Enter Code"," ")</f>
        <v> </v>
      </c>
      <c r="G31" s="6" t="str">
        <f aca="false">IF(E31="BC",F31," ")</f>
        <v> </v>
      </c>
      <c r="H31" s="6" t="str">
        <f aca="false">IF(E31="DR",F31," ")</f>
        <v> </v>
      </c>
      <c r="I31" s="6" t="str">
        <f aca="false">IF(E31="CR",F31," ")</f>
        <v> </v>
      </c>
      <c r="J31" s="6" t="str">
        <f aca="false">IF(E31="K",F31," ")</f>
        <v> </v>
      </c>
      <c r="K31" s="6" t="str">
        <f aca="false">IF(E31="RV",F31," ")</f>
        <v> </v>
      </c>
      <c r="L31" s="6" t="str">
        <f aca="false">IF(E31="DL",F31," ")</f>
        <v> </v>
      </c>
      <c r="M31" s="6" t="str">
        <f aca="false">IF(E31="X",F31," ")</f>
        <v> </v>
      </c>
      <c r="N31" s="39"/>
      <c r="S31" s="38" t="str">
        <f aca="false">IF(T31&lt;&gt;0,"Enter Code"," ")</f>
        <v> </v>
      </c>
      <c r="U31" s="6" t="str">
        <f aca="false">IF(S31="BC",T31," ")</f>
        <v> </v>
      </c>
      <c r="V31" s="6" t="str">
        <f aca="false">IF(S31="CR",T31," ")</f>
        <v> </v>
      </c>
      <c r="W31" s="6" t="str">
        <f aca="false">IF(S31="DR",T31," ")</f>
        <v> </v>
      </c>
      <c r="X31" s="6" t="str">
        <f aca="false">IF(S31="W",T31," ")</f>
        <v> </v>
      </c>
      <c r="Y31" s="6" t="str">
        <f aca="false">IF(S31="B",T31," ")</f>
        <v> </v>
      </c>
      <c r="Z31" s="6" t="str">
        <f aca="false">IF(S31="J",T31," ")</f>
        <v> </v>
      </c>
      <c r="AA31" s="6" t="str">
        <f aca="false">IF(S31="RP",T31," ")</f>
        <v> </v>
      </c>
      <c r="AB31" s="6" t="str">
        <f aca="false">IF(S31="DL",T31," ")</f>
        <v> </v>
      </c>
      <c r="AC31" s="6" t="str">
        <f aca="false">IF(S31="X",T31," ")</f>
        <v> </v>
      </c>
    </row>
    <row r="32" customFormat="false" ht="12.75" hidden="false" customHeight="false" outlineLevel="0" collapsed="false">
      <c r="E32" s="5" t="str">
        <f aca="false">IF(F32&lt;&gt;0,"Enter Code"," ")</f>
        <v> </v>
      </c>
      <c r="G32" s="6" t="str">
        <f aca="false">IF(E32="BC",F32," ")</f>
        <v> </v>
      </c>
      <c r="H32" s="6" t="str">
        <f aca="false">IF(E32="DR",F32," ")</f>
        <v> </v>
      </c>
      <c r="I32" s="6" t="str">
        <f aca="false">IF(E32="CR",F32," ")</f>
        <v> </v>
      </c>
      <c r="J32" s="6" t="str">
        <f aca="false">IF(E32="K",F32," ")</f>
        <v> </v>
      </c>
      <c r="K32" s="6" t="str">
        <f aca="false">IF(E32="RV",F32," ")</f>
        <v> </v>
      </c>
      <c r="L32" s="6" t="str">
        <f aca="false">IF(E32="DL",F32," ")</f>
        <v> </v>
      </c>
      <c r="M32" s="6" t="str">
        <f aca="false">IF(E32="X",F32," ")</f>
        <v> </v>
      </c>
      <c r="N32" s="39"/>
      <c r="S32" s="38" t="str">
        <f aca="false">IF(T32&lt;&gt;0,"Enter Code"," ")</f>
        <v> </v>
      </c>
      <c r="U32" s="6" t="str">
        <f aca="false">IF(S32="BC",T32," ")</f>
        <v> </v>
      </c>
      <c r="V32" s="6" t="str">
        <f aca="false">IF(S32="CR",T32," ")</f>
        <v> </v>
      </c>
      <c r="W32" s="6" t="str">
        <f aca="false">IF(S32="DR",T32," ")</f>
        <v> </v>
      </c>
      <c r="X32" s="6" t="str">
        <f aca="false">IF(S32="W",T32," ")</f>
        <v> </v>
      </c>
      <c r="Y32" s="6" t="str">
        <f aca="false">IF(S32="B",T32," ")</f>
        <v> </v>
      </c>
      <c r="Z32" s="6" t="str">
        <f aca="false">IF(S32="J",T32," ")</f>
        <v> </v>
      </c>
      <c r="AA32" s="6" t="str">
        <f aca="false">IF(S32="RP",T32," ")</f>
        <v> </v>
      </c>
      <c r="AB32" s="6" t="str">
        <f aca="false">IF(S32="DL",T32," ")</f>
        <v> </v>
      </c>
      <c r="AC32" s="6" t="str">
        <f aca="false">IF(S32="X",T32," ")</f>
        <v> </v>
      </c>
    </row>
    <row r="33" customFormat="false" ht="12.75" hidden="false" customHeight="false" outlineLevel="0" collapsed="false">
      <c r="E33" s="5" t="str">
        <f aca="false">IF(F33&lt;&gt;0,"Enter Code"," ")</f>
        <v> </v>
      </c>
      <c r="G33" s="6" t="str">
        <f aca="false">IF(E33="BC",F33," ")</f>
        <v> </v>
      </c>
      <c r="H33" s="6" t="str">
        <f aca="false">IF(E33="DR",F33," ")</f>
        <v> </v>
      </c>
      <c r="I33" s="6" t="str">
        <f aca="false">IF(E33="CR",F33," ")</f>
        <v> </v>
      </c>
      <c r="J33" s="6" t="str">
        <f aca="false">IF(E33="K",F33," ")</f>
        <v> </v>
      </c>
      <c r="K33" s="6" t="str">
        <f aca="false">IF(E33="RV",F33," ")</f>
        <v> </v>
      </c>
      <c r="L33" s="6" t="str">
        <f aca="false">IF(E33="DL",F33," ")</f>
        <v> </v>
      </c>
      <c r="M33" s="6" t="str">
        <f aca="false">IF(E33="X",F33," ")</f>
        <v> </v>
      </c>
      <c r="N33" s="39"/>
      <c r="S33" s="38" t="str">
        <f aca="false">IF(T33&lt;&gt;0,"Enter Code"," ")</f>
        <v> </v>
      </c>
      <c r="U33" s="6" t="str">
        <f aca="false">IF(S33="BC",T33," ")</f>
        <v> </v>
      </c>
      <c r="V33" s="6" t="str">
        <f aca="false">IF(S33="CR",T33," ")</f>
        <v> </v>
      </c>
      <c r="W33" s="6" t="str">
        <f aca="false">IF(S33="DR",T33," ")</f>
        <v> </v>
      </c>
      <c r="X33" s="6" t="str">
        <f aca="false">IF(S33="W",T33," ")</f>
        <v> </v>
      </c>
      <c r="Y33" s="6" t="str">
        <f aca="false">IF(S33="B",T33," ")</f>
        <v> </v>
      </c>
      <c r="Z33" s="6" t="str">
        <f aca="false">IF(S33="J",T33," ")</f>
        <v> </v>
      </c>
      <c r="AA33" s="6" t="str">
        <f aca="false">IF(S33="RP",T33," ")</f>
        <v> </v>
      </c>
      <c r="AB33" s="6" t="str">
        <f aca="false">IF(S33="DL",T33," ")</f>
        <v> </v>
      </c>
      <c r="AC33" s="6" t="str">
        <f aca="false">IF(S33="X",T33," ")</f>
        <v> </v>
      </c>
    </row>
    <row r="34" customFormat="false" ht="12.75" hidden="false" customHeight="false" outlineLevel="0" collapsed="false">
      <c r="E34" s="5" t="str">
        <f aca="false">IF(F34&lt;&gt;0,"Enter Code"," ")</f>
        <v> </v>
      </c>
      <c r="G34" s="6" t="str">
        <f aca="false">IF(E34="BC",F34," ")</f>
        <v> </v>
      </c>
      <c r="H34" s="6" t="str">
        <f aca="false">IF(E34="DR",F34," ")</f>
        <v> </v>
      </c>
      <c r="I34" s="6" t="str">
        <f aca="false">IF(E34="CR",F34," ")</f>
        <v> </v>
      </c>
      <c r="J34" s="6" t="str">
        <f aca="false">IF(E34="K",F34," ")</f>
        <v> </v>
      </c>
      <c r="K34" s="6" t="str">
        <f aca="false">IF(E34="RV",F34," ")</f>
        <v> </v>
      </c>
      <c r="L34" s="6" t="str">
        <f aca="false">IF(E34="DL",F34," ")</f>
        <v> </v>
      </c>
      <c r="M34" s="6" t="str">
        <f aca="false">IF(E34="X",F34," ")</f>
        <v> </v>
      </c>
      <c r="N34" s="39"/>
      <c r="S34" s="38" t="str">
        <f aca="false">IF(T34&lt;&gt;0,"Enter Code"," ")</f>
        <v> </v>
      </c>
      <c r="U34" s="6" t="str">
        <f aca="false">IF(S34="BC",T34," ")</f>
        <v> </v>
      </c>
      <c r="V34" s="6" t="str">
        <f aca="false">IF(S34="CR",T34," ")</f>
        <v> </v>
      </c>
      <c r="W34" s="6" t="str">
        <f aca="false">IF(S34="DR",T34," ")</f>
        <v> </v>
      </c>
      <c r="X34" s="6" t="str">
        <f aca="false">IF(S34="W",T34," ")</f>
        <v> </v>
      </c>
      <c r="Y34" s="6" t="str">
        <f aca="false">IF(S34="B",T34," ")</f>
        <v> </v>
      </c>
      <c r="Z34" s="6" t="str">
        <f aca="false">IF(S34="J",T34," ")</f>
        <v> </v>
      </c>
      <c r="AA34" s="6" t="str">
        <f aca="false">IF(S34="RP",T34," ")</f>
        <v> </v>
      </c>
      <c r="AB34" s="6" t="str">
        <f aca="false">IF(S34="DL",T34," ")</f>
        <v> </v>
      </c>
      <c r="AC34" s="6" t="str">
        <f aca="false">IF(S34="X",T34," ")</f>
        <v> </v>
      </c>
    </row>
    <row r="35" customFormat="false" ht="12.75" hidden="false" customHeight="false" outlineLevel="0" collapsed="false">
      <c r="E35" s="5" t="str">
        <f aca="false">IF(F35&lt;&gt;0,"Enter Code"," ")</f>
        <v> </v>
      </c>
      <c r="G35" s="6" t="str">
        <f aca="false">IF(E35="BC",F35," ")</f>
        <v> </v>
      </c>
      <c r="H35" s="6" t="str">
        <f aca="false">IF(E35="DR",F35," ")</f>
        <v> </v>
      </c>
      <c r="I35" s="6" t="str">
        <f aca="false">IF(E35="CR",F35," ")</f>
        <v> </v>
      </c>
      <c r="J35" s="6" t="str">
        <f aca="false">IF(E35="K",F35," ")</f>
        <v> </v>
      </c>
      <c r="K35" s="6" t="str">
        <f aca="false">IF(E35="RV",F35," ")</f>
        <v> </v>
      </c>
      <c r="L35" s="6" t="str">
        <f aca="false">IF(E35="DL",F35," ")</f>
        <v> </v>
      </c>
      <c r="M35" s="6" t="str">
        <f aca="false">IF(E35="X",F35," ")</f>
        <v> </v>
      </c>
      <c r="N35" s="39"/>
      <c r="S35" s="38" t="str">
        <f aca="false">IF(T35&lt;&gt;0,"Enter Code"," ")</f>
        <v> </v>
      </c>
      <c r="U35" s="6" t="str">
        <f aca="false">IF(S35="BC",T35," ")</f>
        <v> </v>
      </c>
      <c r="V35" s="6" t="str">
        <f aca="false">IF(S35="CR",T35," ")</f>
        <v> </v>
      </c>
      <c r="W35" s="6" t="str">
        <f aca="false">IF(S35="DR",T35," ")</f>
        <v> </v>
      </c>
      <c r="X35" s="6" t="str">
        <f aca="false">IF(S35="W",T35," ")</f>
        <v> </v>
      </c>
      <c r="Y35" s="6" t="str">
        <f aca="false">IF(S35="B",T35," ")</f>
        <v> </v>
      </c>
      <c r="Z35" s="6" t="str">
        <f aca="false">IF(S35="J",T35," ")</f>
        <v> </v>
      </c>
      <c r="AA35" s="6" t="str">
        <f aca="false">IF(S35="RP",T35," ")</f>
        <v> </v>
      </c>
      <c r="AB35" s="6" t="str">
        <f aca="false">IF(S35="DL",T35," ")</f>
        <v> </v>
      </c>
      <c r="AC35" s="6" t="str">
        <f aca="false">IF(S35="X",T35," ")</f>
        <v> </v>
      </c>
    </row>
    <row r="36" customFormat="false" ht="12.75" hidden="false" customHeight="false" outlineLevel="0" collapsed="false">
      <c r="E36" s="5" t="str">
        <f aca="false">IF(F36&lt;&gt;0,"Enter Code"," ")</f>
        <v> </v>
      </c>
      <c r="G36" s="6" t="str">
        <f aca="false">IF(E36="BC",F36," ")</f>
        <v> </v>
      </c>
      <c r="H36" s="6" t="str">
        <f aca="false">IF(E36="DR",F36," ")</f>
        <v> </v>
      </c>
      <c r="I36" s="6" t="str">
        <f aca="false">IF(E36="CR",F36," ")</f>
        <v> </v>
      </c>
      <c r="J36" s="6" t="str">
        <f aca="false">IF(E36="K",F36," ")</f>
        <v> </v>
      </c>
      <c r="K36" s="6" t="str">
        <f aca="false">IF(E36="RV",F36," ")</f>
        <v> </v>
      </c>
      <c r="L36" s="6" t="str">
        <f aca="false">IF(E36="DL",F36," ")</f>
        <v> </v>
      </c>
      <c r="M36" s="6" t="str">
        <f aca="false">IF(E36="X",F36," ")</f>
        <v> </v>
      </c>
      <c r="N36" s="39"/>
      <c r="S36" s="38" t="str">
        <f aca="false">IF(T36&lt;&gt;0,"Enter Code"," ")</f>
        <v> </v>
      </c>
      <c r="U36" s="6" t="str">
        <f aca="false">IF(S36="BC",T36," ")</f>
        <v> </v>
      </c>
      <c r="V36" s="6" t="str">
        <f aca="false">IF(S36="CR",T36," ")</f>
        <v> </v>
      </c>
      <c r="W36" s="6" t="str">
        <f aca="false">IF(S36="DR",T36," ")</f>
        <v> </v>
      </c>
      <c r="X36" s="6" t="str">
        <f aca="false">IF(S36="W",T36," ")</f>
        <v> </v>
      </c>
      <c r="Y36" s="6" t="str">
        <f aca="false">IF(S36="B",T36," ")</f>
        <v> </v>
      </c>
      <c r="Z36" s="6" t="str">
        <f aca="false">IF(S36="J",T36," ")</f>
        <v> </v>
      </c>
      <c r="AA36" s="6" t="str">
        <f aca="false">IF(S36="RP",T36," ")</f>
        <v> </v>
      </c>
      <c r="AB36" s="6" t="str">
        <f aca="false">IF(S36="DL",T36," ")</f>
        <v> </v>
      </c>
      <c r="AC36" s="6" t="str">
        <f aca="false">IF(S36="X",T36," ")</f>
        <v> </v>
      </c>
    </row>
    <row r="37" customFormat="false" ht="12.75" hidden="false" customHeight="false" outlineLevel="0" collapsed="false">
      <c r="E37" s="5" t="str">
        <f aca="false">IF(F37&lt;&gt;0,"Enter Code"," ")</f>
        <v> </v>
      </c>
      <c r="G37" s="6" t="str">
        <f aca="false">IF(E37="BC",F37," ")</f>
        <v> </v>
      </c>
      <c r="H37" s="6" t="str">
        <f aca="false">IF(E37="DR",F37," ")</f>
        <v> </v>
      </c>
      <c r="I37" s="6" t="str">
        <f aca="false">IF(E37="CR",F37," ")</f>
        <v> </v>
      </c>
      <c r="J37" s="6" t="str">
        <f aca="false">IF(E37="K",F37," ")</f>
        <v> </v>
      </c>
      <c r="K37" s="6" t="str">
        <f aca="false">IF(E37="RV",F37," ")</f>
        <v> </v>
      </c>
      <c r="L37" s="6" t="str">
        <f aca="false">IF(E37="DL",F37," ")</f>
        <v> </v>
      </c>
      <c r="M37" s="6" t="str">
        <f aca="false">IF(E37="X",F37," ")</f>
        <v> </v>
      </c>
      <c r="N37" s="39"/>
      <c r="S37" s="38" t="str">
        <f aca="false">IF(T37&lt;&gt;0,"Enter Code"," ")</f>
        <v> </v>
      </c>
      <c r="U37" s="6" t="str">
        <f aca="false">IF(S37="BC",T37," ")</f>
        <v> </v>
      </c>
      <c r="V37" s="6" t="str">
        <f aca="false">IF(S37="CR",T37," ")</f>
        <v> </v>
      </c>
      <c r="W37" s="6" t="str">
        <f aca="false">IF(S37="DR",T37," ")</f>
        <v> </v>
      </c>
      <c r="X37" s="6" t="str">
        <f aca="false">IF(S37="W",T37," ")</f>
        <v> </v>
      </c>
      <c r="Y37" s="6" t="str">
        <f aca="false">IF(S37="B",T37," ")</f>
        <v> </v>
      </c>
      <c r="Z37" s="6" t="str">
        <f aca="false">IF(S37="J",T37," ")</f>
        <v> </v>
      </c>
      <c r="AA37" s="6" t="str">
        <f aca="false">IF(S37="RP",T37," ")</f>
        <v> </v>
      </c>
      <c r="AB37" s="6" t="str">
        <f aca="false">IF(S37="DL",T37," ")</f>
        <v> </v>
      </c>
      <c r="AC37" s="6" t="str">
        <f aca="false">IF(S37="X",T37," ")</f>
        <v> </v>
      </c>
    </row>
    <row r="38" customFormat="false" ht="12.75" hidden="false" customHeight="false" outlineLevel="0" collapsed="false">
      <c r="E38" s="5" t="str">
        <f aca="false">IF(F38&lt;&gt;0,"Enter Code"," ")</f>
        <v> </v>
      </c>
      <c r="G38" s="6" t="str">
        <f aca="false">IF(E38="BC",F38," ")</f>
        <v> </v>
      </c>
      <c r="H38" s="6" t="str">
        <f aca="false">IF(E38="DR",F38," ")</f>
        <v> </v>
      </c>
      <c r="I38" s="6" t="str">
        <f aca="false">IF(E38="CR",F38," ")</f>
        <v> </v>
      </c>
      <c r="J38" s="6" t="str">
        <f aca="false">IF(E38="K",F38," ")</f>
        <v> </v>
      </c>
      <c r="K38" s="6" t="str">
        <f aca="false">IF(E38="RV",F38," ")</f>
        <v> </v>
      </c>
      <c r="L38" s="6" t="str">
        <f aca="false">IF(E38="DL",F38," ")</f>
        <v> </v>
      </c>
      <c r="M38" s="6" t="str">
        <f aca="false">IF(E38="X",F38," ")</f>
        <v> </v>
      </c>
      <c r="N38" s="39"/>
      <c r="S38" s="38" t="str">
        <f aca="false">IF(T38&lt;&gt;0,"Enter Code"," ")</f>
        <v> </v>
      </c>
      <c r="U38" s="6" t="str">
        <f aca="false">IF(S38="BC",T38," ")</f>
        <v> </v>
      </c>
      <c r="V38" s="6" t="str">
        <f aca="false">IF(S38="CR",T38," ")</f>
        <v> </v>
      </c>
      <c r="W38" s="6" t="str">
        <f aca="false">IF(S38="DR",T38," ")</f>
        <v> </v>
      </c>
      <c r="X38" s="6" t="str">
        <f aca="false">IF(S38="W",T38," ")</f>
        <v> </v>
      </c>
      <c r="Y38" s="6" t="str">
        <f aca="false">IF(S38="B",T38," ")</f>
        <v> </v>
      </c>
      <c r="Z38" s="6" t="str">
        <f aca="false">IF(S38="J",T38," ")</f>
        <v> </v>
      </c>
      <c r="AA38" s="6" t="str">
        <f aca="false">IF(S38="RP",T38," ")</f>
        <v> </v>
      </c>
      <c r="AB38" s="6" t="str">
        <f aca="false">IF(S38="DL",T38," ")</f>
        <v> </v>
      </c>
      <c r="AC38" s="6" t="str">
        <f aca="false">IF(S38="X",T38," ")</f>
        <v> </v>
      </c>
    </row>
    <row r="39" customFormat="false" ht="12.75" hidden="false" customHeight="false" outlineLevel="0" collapsed="false">
      <c r="E39" s="5" t="str">
        <f aca="false">IF(F39&lt;&gt;0,"Enter Code"," ")</f>
        <v> </v>
      </c>
      <c r="G39" s="6" t="str">
        <f aca="false">IF(E39="BC",F39," ")</f>
        <v> </v>
      </c>
      <c r="H39" s="6" t="str">
        <f aca="false">IF(E39="DR",F39," ")</f>
        <v> </v>
      </c>
      <c r="I39" s="6" t="str">
        <f aca="false">IF(E39="CR",F39," ")</f>
        <v> </v>
      </c>
      <c r="J39" s="6" t="str">
        <f aca="false">IF(E39="K",F39," ")</f>
        <v> </v>
      </c>
      <c r="K39" s="6" t="str">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
      </c>
      <c r="N39" s="39"/>
      <c r="S39" s="38" t="str">
        <f aca="false">IF(T39&lt;&gt;0,"Enter Code"," ")</f>
        <v> </v>
      </c>
      <c r="U39" s="6" t="str">
        <f aca="false">IF(S39="BC",T39," ")</f>
        <v> </v>
      </c>
      <c r="V39" s="6" t="str">
        <f aca="false">IF(S39="CR",T39," ")</f>
        <v> </v>
      </c>
      <c r="W39" s="6" t="str">
        <f aca="false">IF(S39="DR",T39," ")</f>
        <v> </v>
      </c>
      <c r="X39" s="6" t="str">
        <f aca="false">IF(S39="W",T39," ")</f>
        <v> </v>
      </c>
      <c r="Y39" s="6" t="str">
        <f aca="false">IF(S39="B",T39," ")</f>
        <v> </v>
      </c>
      <c r="Z39" s="6" t="str">
        <f aca="false">IF(S39="J",T39," ")</f>
        <v> </v>
      </c>
      <c r="AA39" s="6" t="str">
        <f aca="false">IF(S39="RP",T39," ")</f>
        <v> </v>
      </c>
      <c r="AB39" s="6" t="str">
        <f aca="false">IF(S39="DL",T39," ")</f>
        <v> </v>
      </c>
      <c r="AC39" s="6" t="str">
        <f aca="false">IF(S39="X",T39," ")</f>
        <v> </v>
      </c>
    </row>
    <row r="40" customFormat="false" ht="12.75" hidden="false" customHeight="false" outlineLevel="0" collapsed="false">
      <c r="E40" s="5" t="str">
        <f aca="false">IF(F40&lt;&gt;0,"Enter Code"," ")</f>
        <v> </v>
      </c>
      <c r="G40" s="6" t="str">
        <f aca="false">IF(E40="BC",F40," ")</f>
        <v> </v>
      </c>
      <c r="H40" s="6" t="str">
        <f aca="false">IF(E40="DR",F40," ")</f>
        <v> </v>
      </c>
      <c r="I40" s="6" t="str">
        <f aca="false">IF(E40="CR",F40," ")</f>
        <v> </v>
      </c>
      <c r="J40" s="6" t="str">
        <f aca="false">IF(E40="K",F40," ")</f>
        <v> </v>
      </c>
      <c r="K40" s="6" t="str">
        <f aca="false">IF(E40="RV",F40," ")</f>
        <v> </v>
      </c>
      <c r="L40" s="6" t="str">
        <f aca="false">IF(E40="DL",F40," ")</f>
        <v> </v>
      </c>
      <c r="M40" s="6" t="str">
        <f aca="false">IF(E40="X",F40," ")</f>
        <v> </v>
      </c>
      <c r="N40" s="39"/>
      <c r="S40" s="38" t="str">
        <f aca="false">IF(T40&lt;&gt;0,"Enter Code"," ")</f>
        <v> </v>
      </c>
      <c r="U40" s="6" t="str">
        <f aca="false">IF(S40="BC",T40," ")</f>
        <v> </v>
      </c>
      <c r="V40" s="6" t="str">
        <f aca="false">IF(S40="CR",T40," ")</f>
        <v> </v>
      </c>
      <c r="W40" s="6" t="str">
        <f aca="false">IF(S40="DR",T40," ")</f>
        <v> </v>
      </c>
      <c r="X40" s="6" t="str">
        <f aca="false">IF(S40="W",T40," ")</f>
        <v> </v>
      </c>
      <c r="Y40" s="6" t="str">
        <f aca="false">IF(S40="B",T40," ")</f>
        <v> </v>
      </c>
      <c r="Z40" s="6" t="str">
        <f aca="false">IF(S40="J",T40," ")</f>
        <v> </v>
      </c>
      <c r="AA40" s="6" t="str">
        <f aca="false">IF(S40="RP",T40," ")</f>
        <v> </v>
      </c>
      <c r="AB40" s="6" t="str">
        <f aca="false">IF(S40="DL",T40," ")</f>
        <v> </v>
      </c>
      <c r="AC40" s="6" t="str">
        <f aca="false">IF(S40="X",T40," ")</f>
        <v> </v>
      </c>
    </row>
    <row r="41" customFormat="false" ht="12.75" hidden="false" customHeight="false" outlineLevel="0" collapsed="false">
      <c r="E41" s="5" t="str">
        <f aca="false">IF(F41&lt;&gt;0,"Enter Code"," ")</f>
        <v> </v>
      </c>
      <c r="G41" s="6" t="str">
        <f aca="false">IF(E41="BC",F41," ")</f>
        <v> </v>
      </c>
      <c r="H41" s="6" t="str">
        <f aca="false">IF(E41="DR",F41," ")</f>
        <v> </v>
      </c>
      <c r="I41" s="6" t="str">
        <f aca="false">IF(E41="CR",F41," ")</f>
        <v> </v>
      </c>
      <c r="J41" s="6" t="str">
        <f aca="false">IF(E41="K",F41," ")</f>
        <v> </v>
      </c>
      <c r="K41" s="6" t="str">
        <f aca="false">IF(E41="RV",F41," ")</f>
        <v> </v>
      </c>
      <c r="L41" s="6" t="str">
        <f aca="false">IF(E41="DL",F41," ")</f>
        <v> </v>
      </c>
      <c r="M41" s="6" t="str">
        <f aca="false">IF(E41="X",F41," ")</f>
        <v> </v>
      </c>
      <c r="N41" s="39"/>
      <c r="S41" s="38" t="str">
        <f aca="false">IF(T41&lt;&gt;0,"Enter Code"," ")</f>
        <v> </v>
      </c>
      <c r="U41" s="6" t="str">
        <f aca="false">IF(S41="BC",T41," ")</f>
        <v> </v>
      </c>
      <c r="V41" s="6" t="str">
        <f aca="false">IF(S41="CR",T41," ")</f>
        <v> </v>
      </c>
      <c r="W41" s="6" t="str">
        <f aca="false">IF(S41="DR",T41," ")</f>
        <v> </v>
      </c>
      <c r="X41" s="6" t="str">
        <f aca="false">IF(S41="W",T41," ")</f>
        <v> </v>
      </c>
      <c r="Y41" s="6" t="str">
        <f aca="false">IF(S41="B",T41," ")</f>
        <v> </v>
      </c>
      <c r="Z41" s="6" t="str">
        <f aca="false">IF(S41="J",T41," ")</f>
        <v> </v>
      </c>
      <c r="AA41" s="6" t="str">
        <f aca="false">IF(S41="RP",T41," ")</f>
        <v> </v>
      </c>
      <c r="AB41" s="6" t="str">
        <f aca="false">IF(S41="DL",T41," ")</f>
        <v> </v>
      </c>
      <c r="AC41" s="6" t="str">
        <f aca="false">IF(S41="X",T41," ")</f>
        <v> </v>
      </c>
    </row>
    <row r="42" customFormat="false" ht="12.75" hidden="false" customHeight="false" outlineLevel="0" collapsed="false">
      <c r="E42" s="5" t="str">
        <f aca="false">IF(F42&lt;&gt;0,"Enter Code"," ")</f>
        <v> </v>
      </c>
      <c r="G42" s="6" t="str">
        <f aca="false">IF(E42="BC",F42," ")</f>
        <v> </v>
      </c>
      <c r="H42" s="6" t="str">
        <f aca="false">IF(E42="DR",F42," ")</f>
        <v> </v>
      </c>
      <c r="I42" s="6" t="str">
        <f aca="false">IF(E42="CR",F42," ")</f>
        <v> </v>
      </c>
      <c r="J42" s="6" t="str">
        <f aca="false">IF(E42="K",F42," ")</f>
        <v> </v>
      </c>
      <c r="K42" s="6" t="str">
        <f aca="false">IF(E42="RV",F42," ")</f>
        <v> </v>
      </c>
      <c r="L42" s="6" t="str">
        <f aca="false">IF(E42="DL",F42," ")</f>
        <v> </v>
      </c>
      <c r="M42" s="6" t="str">
        <f aca="false">IF(E42="X",F42," ")</f>
        <v> </v>
      </c>
      <c r="N42" s="39"/>
      <c r="S42" s="38" t="str">
        <f aca="false">IF(T42&lt;&gt;0,"Enter Code"," ")</f>
        <v> </v>
      </c>
      <c r="U42" s="6" t="str">
        <f aca="false">IF(S42="BC",T42," ")</f>
        <v> </v>
      </c>
      <c r="V42" s="6" t="str">
        <f aca="false">IF(S42="CR",T42," ")</f>
        <v> </v>
      </c>
      <c r="W42" s="6" t="str">
        <f aca="false">IF(S42="DR",T42," ")</f>
        <v> </v>
      </c>
      <c r="X42" s="6" t="str">
        <f aca="false">IF(S42="W",T42," ")</f>
        <v> </v>
      </c>
      <c r="Y42" s="6" t="str">
        <f aca="false">IF(S42="B",T42," ")</f>
        <v> </v>
      </c>
      <c r="Z42" s="6" t="str">
        <f aca="false">IF(S42="J",T42," ")</f>
        <v> </v>
      </c>
      <c r="AA42" s="6" t="str">
        <f aca="false">IF(S42="RP",T42," ")</f>
        <v> </v>
      </c>
      <c r="AB42" s="6" t="str">
        <f aca="false">IF(S42="DL",T42," ")</f>
        <v> </v>
      </c>
      <c r="AC42" s="6" t="str">
        <f aca="false">IF(S42="X",T42," ")</f>
        <v> </v>
      </c>
    </row>
    <row r="43" customFormat="false" ht="12.75" hidden="false" customHeight="false" outlineLevel="0" collapsed="false">
      <c r="E43" s="5" t="str">
        <f aca="false">IF(F43&lt;&gt;0,"Enter Code"," ")</f>
        <v> </v>
      </c>
      <c r="G43" s="6" t="str">
        <f aca="false">IF(E43="BC",F43," ")</f>
        <v> </v>
      </c>
      <c r="H43" s="6" t="str">
        <f aca="false">IF(E43="DR",F43," ")</f>
        <v> </v>
      </c>
      <c r="I43" s="6" t="str">
        <f aca="false">IF(E43="CR",F43," ")</f>
        <v> </v>
      </c>
      <c r="J43" s="6" t="str">
        <f aca="false">IF(E43="K",F43," ")</f>
        <v> </v>
      </c>
      <c r="K43" s="6" t="str">
        <f aca="false">IF(E43="RV",F43," ")</f>
        <v> </v>
      </c>
      <c r="L43" s="6" t="str">
        <f aca="false">IF(E43="DL",F43," ")</f>
        <v> </v>
      </c>
      <c r="M43" s="6" t="str">
        <f aca="false">IF(E43="X",F43," ")</f>
        <v> </v>
      </c>
      <c r="N43" s="39"/>
      <c r="S43" s="38" t="str">
        <f aca="false">IF(T43&lt;&gt;0,"Enter Code"," ")</f>
        <v> </v>
      </c>
      <c r="U43" s="6" t="str">
        <f aca="false">IF(S43="BC",T43," ")</f>
        <v> </v>
      </c>
      <c r="V43" s="6" t="str">
        <f aca="false">IF(S43="CR",T43," ")</f>
        <v> </v>
      </c>
      <c r="W43" s="6" t="str">
        <f aca="false">IF(S43="DR",T43," ")</f>
        <v> </v>
      </c>
      <c r="X43" s="6" t="str">
        <f aca="false">IF(S43="W",T43," ")</f>
        <v> </v>
      </c>
      <c r="Y43" s="6" t="str">
        <f aca="false">IF(S43="B",T43," ")</f>
        <v> </v>
      </c>
      <c r="Z43" s="6" t="str">
        <f aca="false">IF(S43="J",T43," ")</f>
        <v> </v>
      </c>
      <c r="AA43" s="6" t="str">
        <f aca="false">IF(S43="RP",T43," ")</f>
        <v> </v>
      </c>
      <c r="AB43" s="6" t="str">
        <f aca="false">IF(S43="DL",T43," ")</f>
        <v> </v>
      </c>
      <c r="AC43" s="6" t="str">
        <f aca="false">IF(S43="X",T43," ")</f>
        <v> </v>
      </c>
    </row>
    <row r="44" customFormat="false" ht="12.75" hidden="false" customHeight="false" outlineLevel="0" collapsed="false">
      <c r="E44" s="5" t="str">
        <f aca="false">IF(F44&lt;&gt;0,"Enter Code"," ")</f>
        <v> </v>
      </c>
      <c r="G44" s="6" t="str">
        <f aca="false">IF(E44="BC",F44," ")</f>
        <v> </v>
      </c>
      <c r="H44" s="6" t="str">
        <f aca="false">IF(E44="DR",F44," ")</f>
        <v> </v>
      </c>
      <c r="I44" s="6" t="str">
        <f aca="false">IF(E44="CR",F44," ")</f>
        <v> </v>
      </c>
      <c r="J44" s="6" t="str">
        <f aca="false">IF(E44="K",F44," ")</f>
        <v> </v>
      </c>
      <c r="K44" s="6" t="str">
        <f aca="false">IF(E44="RV",F44," ")</f>
        <v> </v>
      </c>
      <c r="L44" s="6" t="str">
        <f aca="false">IF(E44="DL",F44," ")</f>
        <v> </v>
      </c>
      <c r="M44" s="6" t="str">
        <f aca="false">IF(E44="X",F44," ")</f>
        <v> </v>
      </c>
      <c r="N44" s="39"/>
      <c r="S44" s="38" t="str">
        <f aca="false">IF(T44&lt;&gt;0,"Enter Code"," ")</f>
        <v> </v>
      </c>
      <c r="U44" s="6" t="str">
        <f aca="false">IF(S44="BC",T44," ")</f>
        <v> </v>
      </c>
      <c r="V44" s="6" t="str">
        <f aca="false">IF(S44="CR",T44," ")</f>
        <v> </v>
      </c>
      <c r="W44" s="6" t="str">
        <f aca="false">IF(S44="DR",T44," ")</f>
        <v> </v>
      </c>
      <c r="X44" s="6" t="str">
        <f aca="false">IF(S44="W",T44," ")</f>
        <v> </v>
      </c>
      <c r="Y44" s="6" t="str">
        <f aca="false">IF(S44="B",T44," ")</f>
        <v> </v>
      </c>
      <c r="Z44" s="6" t="str">
        <f aca="false">IF(S44="J",T44," ")</f>
        <v> </v>
      </c>
      <c r="AA44" s="6" t="str">
        <f aca="false">IF(S44="RP",T44," ")</f>
        <v> </v>
      </c>
      <c r="AB44" s="6" t="str">
        <f aca="false">IF(S44="DL",T44," ")</f>
        <v> </v>
      </c>
      <c r="AC44" s="6" t="str">
        <f aca="false">IF(S44="X",T44," ")</f>
        <v> </v>
      </c>
    </row>
    <row r="45" customFormat="false" ht="12.75" hidden="false" customHeight="false" outlineLevel="0" collapsed="false">
      <c r="E45" s="5" t="str">
        <f aca="false">IF(F45&lt;&gt;0,"Enter Code"," ")</f>
        <v> </v>
      </c>
      <c r="G45" s="6" t="str">
        <f aca="false">IF(E45="BC",F45," ")</f>
        <v> </v>
      </c>
      <c r="H45" s="6" t="str">
        <f aca="false">IF(E45="DR",F45," ")</f>
        <v> </v>
      </c>
      <c r="I45" s="6" t="str">
        <f aca="false">IF(E45="CR",F45," ")</f>
        <v> </v>
      </c>
      <c r="J45" s="6" t="str">
        <f aca="false">IF(E45="K",F45," ")</f>
        <v> </v>
      </c>
      <c r="K45" s="6" t="str">
        <f aca="false">IF(E45="RV",F45," ")</f>
        <v> </v>
      </c>
      <c r="L45" s="6" t="str">
        <f aca="false">IF(E45="DL",F45," ")</f>
        <v> </v>
      </c>
      <c r="M45" s="6" t="str">
        <f aca="false">IF(E45="X",F45," ")</f>
        <v> </v>
      </c>
      <c r="N45" s="39"/>
      <c r="S45" s="38" t="str">
        <f aca="false">IF(T45&lt;&gt;0,"Enter Code"," ")</f>
        <v> </v>
      </c>
      <c r="U45" s="6" t="str">
        <f aca="false">IF(S45="BC",T45," ")</f>
        <v> </v>
      </c>
      <c r="V45" s="6" t="str">
        <f aca="false">IF(S45="CR",T45," ")</f>
        <v> </v>
      </c>
      <c r="W45" s="6" t="str">
        <f aca="false">IF(S45="DR",T45," ")</f>
        <v> </v>
      </c>
      <c r="X45" s="6" t="str">
        <f aca="false">IF(S45="W",T45," ")</f>
        <v> </v>
      </c>
      <c r="Y45" s="6" t="str">
        <f aca="false">IF(S45="B",T45," ")</f>
        <v> </v>
      </c>
      <c r="Z45" s="6" t="str">
        <f aca="false">IF(S45="J",T45," ")</f>
        <v> </v>
      </c>
      <c r="AA45" s="6" t="str">
        <f aca="false">IF(S45="RP",T45," ")</f>
        <v> </v>
      </c>
      <c r="AB45" s="6" t="str">
        <f aca="false">IF(S45="DL",T45," ")</f>
        <v> </v>
      </c>
      <c r="AC45" s="6" t="str">
        <f aca="false">IF(S45="X",T45," ")</f>
        <v> </v>
      </c>
    </row>
    <row r="46" customFormat="false" ht="12.75" hidden="false" customHeight="false" outlineLevel="0" collapsed="false">
      <c r="E46" s="5" t="str">
        <f aca="false">IF(F46&lt;&gt;0,"Enter Code"," ")</f>
        <v> </v>
      </c>
      <c r="G46" s="6" t="str">
        <f aca="false">IF(E46="BC",F46," ")</f>
        <v> </v>
      </c>
      <c r="H46" s="6" t="str">
        <f aca="false">IF(E46="DR",F46," ")</f>
        <v> </v>
      </c>
      <c r="I46" s="6" t="str">
        <f aca="false">IF(E46="CR",F46," ")</f>
        <v> </v>
      </c>
      <c r="J46" s="6" t="str">
        <f aca="false">IF(E46="K",F46," ")</f>
        <v> </v>
      </c>
      <c r="K46" s="6" t="str">
        <f aca="false">IF(E46="RV",F46," ")</f>
        <v> </v>
      </c>
      <c r="L46" s="6" t="str">
        <f aca="false">IF(E46="DL",F46," ")</f>
        <v> </v>
      </c>
      <c r="M46" s="6" t="str">
        <f aca="false">IF(E46="X",F46," ")</f>
        <v> </v>
      </c>
      <c r="N46" s="39"/>
      <c r="S46" s="38" t="str">
        <f aca="false">IF(T46&lt;&gt;0,"Enter Code"," ")</f>
        <v> </v>
      </c>
      <c r="U46" s="6" t="str">
        <f aca="false">IF(S46="BC",T46," ")</f>
        <v> </v>
      </c>
      <c r="V46" s="6" t="str">
        <f aca="false">IF(S46="CR",T46," ")</f>
        <v> </v>
      </c>
      <c r="W46" s="6" t="str">
        <f aca="false">IF(S46="DR",T46," ")</f>
        <v> </v>
      </c>
      <c r="X46" s="6" t="str">
        <f aca="false">IF(S46="W",T46," ")</f>
        <v> </v>
      </c>
      <c r="Y46" s="6" t="str">
        <f aca="false">IF(S46="B",T46," ")</f>
        <v> </v>
      </c>
      <c r="Z46" s="6" t="str">
        <f aca="false">IF(S46="J",T46," ")</f>
        <v> </v>
      </c>
      <c r="AA46" s="6" t="str">
        <f aca="false">IF(S46="RP",T46," ")</f>
        <v> </v>
      </c>
      <c r="AB46" s="6" t="str">
        <f aca="false">IF(S46="DL",T46," ")</f>
        <v> </v>
      </c>
      <c r="AC46" s="6" t="str">
        <f aca="false">IF(S46="X",T46," ")</f>
        <v> </v>
      </c>
    </row>
    <row r="47" customFormat="false" ht="12.75" hidden="false" customHeight="false" outlineLevel="0" collapsed="false">
      <c r="E47" s="5" t="str">
        <f aca="false">IF(F47&lt;&gt;0,"Enter Code"," ")</f>
        <v> </v>
      </c>
      <c r="G47" s="6" t="str">
        <f aca="false">IF(E47="BC",F47," ")</f>
        <v> </v>
      </c>
      <c r="H47" s="6" t="str">
        <f aca="false">IF(E47="DR",F47," ")</f>
        <v> </v>
      </c>
      <c r="I47" s="6" t="str">
        <f aca="false">IF(E47="CR",F47," ")</f>
        <v> </v>
      </c>
      <c r="J47" s="6" t="str">
        <f aca="false">IF(E47="K",F47," ")</f>
        <v> </v>
      </c>
      <c r="K47" s="6" t="str">
        <f aca="false">IF(E47="RV",F47," ")</f>
        <v> </v>
      </c>
      <c r="L47" s="6" t="str">
        <f aca="false">IF(E47="DL",F47," ")</f>
        <v> </v>
      </c>
      <c r="M47" s="6" t="str">
        <f aca="false">IF(E47="X",F47," ")</f>
        <v> </v>
      </c>
      <c r="N47" s="39"/>
      <c r="S47" s="38" t="str">
        <f aca="false">IF(T47&lt;&gt;0,"Enter Code"," ")</f>
        <v> </v>
      </c>
      <c r="U47" s="6" t="str">
        <f aca="false">IF(S47="BC",T47," ")</f>
        <v> </v>
      </c>
      <c r="V47" s="6" t="str">
        <f aca="false">IF(S47="CR",T47," ")</f>
        <v> </v>
      </c>
      <c r="W47" s="6" t="str">
        <f aca="false">IF(S47="DR",T47," ")</f>
        <v> </v>
      </c>
      <c r="X47" s="6" t="str">
        <f aca="false">IF(S47="W",T47," ")</f>
        <v> </v>
      </c>
      <c r="Y47" s="6" t="str">
        <f aca="false">IF(S47="B",T47," ")</f>
        <v> </v>
      </c>
      <c r="Z47" s="6" t="str">
        <f aca="false">IF(S47="J",T47," ")</f>
        <v> </v>
      </c>
      <c r="AA47" s="6" t="str">
        <f aca="false">IF(S47="RP",T47," ")</f>
        <v> </v>
      </c>
      <c r="AB47" s="6" t="str">
        <f aca="false">IF(S47="DL",T47," ")</f>
        <v> </v>
      </c>
      <c r="AC47" s="6" t="str">
        <f aca="false">IF(S47="X",T47," ")</f>
        <v> </v>
      </c>
    </row>
    <row r="48" customFormat="false" ht="12.75" hidden="false" customHeight="false" outlineLevel="0" collapsed="false">
      <c r="E48" s="5" t="str">
        <f aca="false">IF(F48&lt;&gt;0,"Enter Code"," ")</f>
        <v> </v>
      </c>
      <c r="G48" s="6" t="str">
        <f aca="false">IF(E48="BC",F48," ")</f>
        <v> </v>
      </c>
      <c r="H48" s="6" t="str">
        <f aca="false">IF(E48="DR",F48," ")</f>
        <v> </v>
      </c>
      <c r="I48" s="6" t="str">
        <f aca="false">IF(E48="CR",F48," ")</f>
        <v> </v>
      </c>
      <c r="J48" s="6" t="str">
        <f aca="false">IF(E48="K",F48," ")</f>
        <v> </v>
      </c>
      <c r="K48" s="6" t="str">
        <f aca="false">IF(E48="RV",F48," ")</f>
        <v> </v>
      </c>
      <c r="L48" s="6" t="str">
        <f aca="false">IF(E48="DL",F48," ")</f>
        <v> </v>
      </c>
      <c r="M48" s="6" t="str">
        <f aca="false">IF(E48="X",F48," ")</f>
        <v> </v>
      </c>
      <c r="N48" s="39"/>
      <c r="S48" s="38" t="str">
        <f aca="false">IF(T48&lt;&gt;0,"Enter Code"," ")</f>
        <v> </v>
      </c>
      <c r="U48" s="6" t="str">
        <f aca="false">IF(S48="BC",T48," ")</f>
        <v> </v>
      </c>
      <c r="V48" s="6" t="str">
        <f aca="false">IF(S48="CR",T48," ")</f>
        <v> </v>
      </c>
      <c r="W48" s="6" t="str">
        <f aca="false">IF(S48="DR",T48," ")</f>
        <v> </v>
      </c>
      <c r="X48" s="6" t="str">
        <f aca="false">IF(S48="W",T48," ")</f>
        <v> </v>
      </c>
      <c r="Y48" s="6" t="str">
        <f aca="false">IF(S48="B",T48," ")</f>
        <v> </v>
      </c>
      <c r="Z48" s="6" t="str">
        <f aca="false">IF(S48="J",T48," ")</f>
        <v> </v>
      </c>
      <c r="AA48" s="6" t="str">
        <f aca="false">IF(S48="RP",T48," ")</f>
        <v> </v>
      </c>
      <c r="AB48" s="6" t="str">
        <f aca="false">IF(S48="DL",T48," ")</f>
        <v> </v>
      </c>
      <c r="AC48" s="6" t="str">
        <f aca="false">IF(S48="X",T48," ")</f>
        <v> </v>
      </c>
    </row>
    <row r="49" customFormat="false" ht="12.75" hidden="false" customHeight="false" outlineLevel="0" collapsed="false">
      <c r="E49" s="5" t="str">
        <f aca="false">IF(F49&lt;&gt;0,"Enter Code"," ")</f>
        <v> </v>
      </c>
      <c r="G49" s="6" t="str">
        <f aca="false">IF(E49="BC",F49," ")</f>
        <v> </v>
      </c>
      <c r="H49" s="6" t="str">
        <f aca="false">IF(E49="DR",F49," ")</f>
        <v> </v>
      </c>
      <c r="I49" s="6" t="str">
        <f aca="false">IF(E49="CR",F49," ")</f>
        <v> </v>
      </c>
      <c r="J49" s="6" t="str">
        <f aca="false">IF(E49="K",F49," ")</f>
        <v> </v>
      </c>
      <c r="K49" s="6" t="str">
        <f aca="false">IF(E49="RV",F49," ")</f>
        <v> </v>
      </c>
      <c r="L49" s="6" t="str">
        <f aca="false">IF(E49="DL",F49," ")</f>
        <v> </v>
      </c>
      <c r="M49" s="6" t="str">
        <f aca="false">IF(E49="X",F49," ")</f>
        <v> </v>
      </c>
      <c r="N49" s="39"/>
      <c r="S49" s="38" t="str">
        <f aca="false">IF(T49&lt;&gt;0,"Enter Code"," ")</f>
        <v> </v>
      </c>
      <c r="U49" s="6" t="str">
        <f aca="false">IF(S49="BC",T49," ")</f>
        <v> </v>
      </c>
      <c r="V49" s="6" t="str">
        <f aca="false">IF(S49="CR",T49," ")</f>
        <v> </v>
      </c>
      <c r="W49" s="6" t="str">
        <f aca="false">IF(S49="DR",T49," ")</f>
        <v> </v>
      </c>
      <c r="X49" s="6" t="str">
        <f aca="false">IF(S49="W",T49," ")</f>
        <v> </v>
      </c>
      <c r="Y49" s="6" t="str">
        <f aca="false">IF(S49="B",T49," ")</f>
        <v> </v>
      </c>
      <c r="Z49" s="6" t="str">
        <f aca="false">IF(S49="J",T49," ")</f>
        <v> </v>
      </c>
      <c r="AA49" s="6" t="str">
        <f aca="false">IF(S49="RP",T49," ")</f>
        <v> </v>
      </c>
      <c r="AB49" s="6" t="str">
        <f aca="false">IF(S49="DL",T49," ")</f>
        <v> </v>
      </c>
      <c r="AC49" s="6" t="str">
        <f aca="false">IF(S49="X",T49," ")</f>
        <v> </v>
      </c>
    </row>
    <row r="50" customFormat="false" ht="12.75" hidden="false" customHeight="false" outlineLevel="0" collapsed="false">
      <c r="E50" s="5" t="str">
        <f aca="false">IF(F50&lt;&gt;0,"Enter Code"," ")</f>
        <v> </v>
      </c>
      <c r="G50" s="6" t="str">
        <f aca="false">IF(E50="BC",F50," ")</f>
        <v> </v>
      </c>
      <c r="H50" s="6" t="str">
        <f aca="false">IF(E50="DR",F50," ")</f>
        <v> </v>
      </c>
      <c r="I50" s="6" t="str">
        <f aca="false">IF(E50="CR",F50," ")</f>
        <v> </v>
      </c>
      <c r="J50" s="6" t="str">
        <f aca="false">IF(E50="K",F50," ")</f>
        <v> </v>
      </c>
      <c r="K50" s="6" t="str">
        <f aca="false">IF(E50="RV",F50," ")</f>
        <v> </v>
      </c>
      <c r="L50" s="6" t="str">
        <f aca="false">IF(E50="DL",F50," ")</f>
        <v> </v>
      </c>
      <c r="M50" s="6" t="str">
        <f aca="false">IF(E50="X",F50," ")</f>
        <v> </v>
      </c>
      <c r="N50" s="39"/>
      <c r="S50" s="38" t="str">
        <f aca="false">IF(T50&lt;&gt;0,"Enter Code"," ")</f>
        <v> </v>
      </c>
      <c r="U50" s="6" t="str">
        <f aca="false">IF(S50="BC",T50," ")</f>
        <v> </v>
      </c>
      <c r="V50" s="6" t="str">
        <f aca="false">IF(S50="CR",T50," ")</f>
        <v> </v>
      </c>
      <c r="W50" s="6" t="str">
        <f aca="false">IF(S50="DR",T50," ")</f>
        <v> </v>
      </c>
      <c r="X50" s="6" t="str">
        <f aca="false">IF(S50="W",T50," ")</f>
        <v> </v>
      </c>
      <c r="Y50" s="6" t="str">
        <f aca="false">IF(S50="B",T50," ")</f>
        <v> </v>
      </c>
      <c r="Z50" s="6" t="str">
        <f aca="false">IF(S50="J",T50," ")</f>
        <v> </v>
      </c>
      <c r="AA50" s="6" t="str">
        <f aca="false">IF(S50="RP",T50," ")</f>
        <v> </v>
      </c>
      <c r="AB50" s="6" t="str">
        <f aca="false">IF(S50="DL",T50," ")</f>
        <v> </v>
      </c>
      <c r="AC50" s="6" t="str">
        <f aca="false">IF(S50="X",T50," ")</f>
        <v> </v>
      </c>
    </row>
    <row r="51" customFormat="false" ht="12.75" hidden="false" customHeight="false" outlineLevel="0" collapsed="false">
      <c r="E51" s="5" t="str">
        <f aca="false">IF(F51&lt;&gt;0,"Enter Code"," ")</f>
        <v> </v>
      </c>
      <c r="G51" s="6" t="str">
        <f aca="false">IF(E51="BC",F51," ")</f>
        <v> </v>
      </c>
      <c r="H51" s="6" t="str">
        <f aca="false">IF(E51="DR",F51," ")</f>
        <v> </v>
      </c>
      <c r="I51" s="6" t="str">
        <f aca="false">IF(E51="CR",F51," ")</f>
        <v> </v>
      </c>
      <c r="J51" s="6" t="str">
        <f aca="false">IF(E51="K",F51," ")</f>
        <v> </v>
      </c>
      <c r="K51" s="6" t="str">
        <f aca="false">IF(E51="RV",F51," ")</f>
        <v> </v>
      </c>
      <c r="L51" s="6" t="str">
        <f aca="false">IF(E51="DL",F51," ")</f>
        <v> </v>
      </c>
      <c r="M51" s="6" t="str">
        <f aca="false">IF(E51="X",F51," ")</f>
        <v> </v>
      </c>
      <c r="N51" s="39"/>
      <c r="S51" s="38" t="str">
        <f aca="false">IF(T51&lt;&gt;0,"Enter Code"," ")</f>
        <v> </v>
      </c>
      <c r="U51" s="6" t="str">
        <f aca="false">IF(S51="BC",T51," ")</f>
        <v> </v>
      </c>
      <c r="V51" s="6" t="str">
        <f aca="false">IF(S51="CR",T51," ")</f>
        <v> </v>
      </c>
      <c r="W51" s="6" t="str">
        <f aca="false">IF(S51="DR",T51," ")</f>
        <v> </v>
      </c>
      <c r="X51" s="6" t="str">
        <f aca="false">IF(S51="W",T51," ")</f>
        <v> </v>
      </c>
      <c r="Y51" s="6" t="str">
        <f aca="false">IF(S51="B",T51," ")</f>
        <v> </v>
      </c>
      <c r="Z51" s="6" t="str">
        <f aca="false">IF(S51="J",T51," ")</f>
        <v> </v>
      </c>
      <c r="AA51" s="6" t="str">
        <f aca="false">IF(S51="RP",T51," ")</f>
        <v> </v>
      </c>
      <c r="AB51" s="6" t="str">
        <f aca="false">IF(S51="DL",T51," ")</f>
        <v> </v>
      </c>
      <c r="AC51" s="6" t="str">
        <f aca="false">IF(S51="X",T51," ")</f>
        <v> </v>
      </c>
    </row>
    <row r="52" customFormat="false" ht="12.75" hidden="false" customHeight="false" outlineLevel="0" collapsed="false">
      <c r="E52" s="5" t="str">
        <f aca="false">IF(F52&lt;&gt;0,"Enter Code"," ")</f>
        <v> </v>
      </c>
      <c r="G52" s="6" t="str">
        <f aca="false">IF(E52="BC",F52," ")</f>
        <v> </v>
      </c>
      <c r="H52" s="6" t="str">
        <f aca="false">IF(E52="DR",F52," ")</f>
        <v> </v>
      </c>
      <c r="I52" s="6" t="str">
        <f aca="false">IF(E52="CR",F52," ")</f>
        <v> </v>
      </c>
      <c r="J52" s="6" t="str">
        <f aca="false">IF(E52="K",F52," ")</f>
        <v> </v>
      </c>
      <c r="K52" s="6" t="str">
        <f aca="false">IF(E52="RV",F52," ")</f>
        <v> </v>
      </c>
      <c r="L52" s="6" t="str">
        <f aca="false">IF(E52="DL",F52," ")</f>
        <v> </v>
      </c>
      <c r="M52" s="6" t="str">
        <f aca="false">IF(E52="X",F52," ")</f>
        <v> </v>
      </c>
      <c r="N52" s="39"/>
      <c r="S52" s="38" t="str">
        <f aca="false">IF(T52&lt;&gt;0,"Enter Code"," ")</f>
        <v> </v>
      </c>
      <c r="U52" s="6" t="str">
        <f aca="false">IF(S52="BC",T52," ")</f>
        <v> </v>
      </c>
      <c r="V52" s="6" t="str">
        <f aca="false">IF(S52="CR",T52," ")</f>
        <v> </v>
      </c>
      <c r="W52" s="6" t="str">
        <f aca="false">IF(S52="DR",T52," ")</f>
        <v> </v>
      </c>
      <c r="X52" s="6" t="str">
        <f aca="false">IF(S52="W",T52," ")</f>
        <v> </v>
      </c>
      <c r="Y52" s="6" t="str">
        <f aca="false">IF(S52="B",T52," ")</f>
        <v> </v>
      </c>
      <c r="Z52" s="6" t="str">
        <f aca="false">IF(S52="J",T52," ")</f>
        <v> </v>
      </c>
      <c r="AA52" s="6" t="str">
        <f aca="false">IF(S52="RP",T52," ")</f>
        <v> </v>
      </c>
      <c r="AB52" s="6" t="str">
        <f aca="false">IF(S52="DL",T52," ")</f>
        <v> </v>
      </c>
      <c r="AC52" s="6" t="str">
        <f aca="false">IF(S52="X",T52," ")</f>
        <v> </v>
      </c>
    </row>
    <row r="53" customFormat="false" ht="12.75" hidden="false" customHeight="false" outlineLevel="0" collapsed="false">
      <c r="E53" s="5" t="str">
        <f aca="false">IF(F53&lt;&gt;0,"Enter Code"," ")</f>
        <v> </v>
      </c>
      <c r="G53" s="6" t="str">
        <f aca="false">IF(E53="BC",F53," ")</f>
        <v> </v>
      </c>
      <c r="H53" s="6" t="str">
        <f aca="false">IF(E53="DR",F53," ")</f>
        <v> </v>
      </c>
      <c r="I53" s="6" t="str">
        <f aca="false">IF(E53="CR",F53," ")</f>
        <v> </v>
      </c>
      <c r="J53" s="6" t="str">
        <f aca="false">IF(E53="K",F53," ")</f>
        <v> </v>
      </c>
      <c r="K53" s="6" t="str">
        <f aca="false">IF(E53="RV",F53," ")</f>
        <v> </v>
      </c>
      <c r="L53" s="6" t="str">
        <f aca="false">IF(E53="DL",F53," ")</f>
        <v> </v>
      </c>
      <c r="M53" s="6" t="str">
        <f aca="false">IF(E53="X",F53," ")</f>
        <v> </v>
      </c>
      <c r="N53" s="39"/>
      <c r="S53" s="38" t="str">
        <f aca="false">IF(T53&lt;&gt;0,"Enter Code"," ")</f>
        <v> </v>
      </c>
      <c r="U53" s="6" t="str">
        <f aca="false">IF(S53="BC",T53," ")</f>
        <v> </v>
      </c>
      <c r="V53" s="6" t="str">
        <f aca="false">IF(S53="CR",T53," ")</f>
        <v> </v>
      </c>
      <c r="W53" s="6" t="str">
        <f aca="false">IF(S53="DR",T53," ")</f>
        <v> </v>
      </c>
      <c r="X53" s="6" t="str">
        <f aca="false">IF(S53="W",T53," ")</f>
        <v> </v>
      </c>
      <c r="Y53" s="6" t="str">
        <f aca="false">IF(S53="B",T53," ")</f>
        <v> </v>
      </c>
      <c r="Z53" s="6" t="str">
        <f aca="false">IF(S53="J",T53," ")</f>
        <v> </v>
      </c>
      <c r="AA53" s="6" t="str">
        <f aca="false">IF(S53="RP",T53," ")</f>
        <v> </v>
      </c>
      <c r="AB53" s="6" t="str">
        <f aca="false">IF(S53="DL",T53," ")</f>
        <v> </v>
      </c>
      <c r="AC53" s="6" t="str">
        <f aca="false">IF(S53="X",T53," ")</f>
        <v> </v>
      </c>
    </row>
    <row r="54" customFormat="false" ht="12.75" hidden="false" customHeight="false" outlineLevel="0" collapsed="false">
      <c r="E54" s="5" t="str">
        <f aca="false">IF(F54&lt;&gt;0,"Enter Code"," ")</f>
        <v> </v>
      </c>
      <c r="G54" s="6" t="str">
        <f aca="false">IF(E54="BC",F54," ")</f>
        <v> </v>
      </c>
      <c r="H54" s="6" t="str">
        <f aca="false">IF(E54="DR",F54," ")</f>
        <v> </v>
      </c>
      <c r="I54" s="6" t="str">
        <f aca="false">IF(E54="CR",F54," ")</f>
        <v> </v>
      </c>
      <c r="J54" s="6" t="str">
        <f aca="false">IF(E54="K",F54," ")</f>
        <v> </v>
      </c>
      <c r="K54" s="6" t="str">
        <f aca="false">IF(E54="RV",F54," ")</f>
        <v> </v>
      </c>
      <c r="L54" s="6" t="str">
        <f aca="false">IF(E54="DL",F54," ")</f>
        <v> </v>
      </c>
      <c r="M54" s="6" t="str">
        <f aca="false">IF(E54="X",F54," ")</f>
        <v> </v>
      </c>
      <c r="N54" s="39"/>
      <c r="S54" s="38" t="str">
        <f aca="false">IF(T54&lt;&gt;0,"Enter Code"," ")</f>
        <v> </v>
      </c>
      <c r="U54" s="6" t="str">
        <f aca="false">IF(S54="BC",T54," ")</f>
        <v> </v>
      </c>
      <c r="V54" s="6" t="str">
        <f aca="false">IF(S54="CR",T54," ")</f>
        <v> </v>
      </c>
      <c r="W54" s="6" t="str">
        <f aca="false">IF(S54="DR",T54," ")</f>
        <v> </v>
      </c>
      <c r="X54" s="6" t="str">
        <f aca="false">IF(S54="W",T54," ")</f>
        <v> </v>
      </c>
      <c r="Y54" s="6" t="str">
        <f aca="false">IF(S54="B",T54," ")</f>
        <v> </v>
      </c>
      <c r="Z54" s="6" t="str">
        <f aca="false">IF(S54="J",T54," ")</f>
        <v> </v>
      </c>
      <c r="AA54" s="6" t="str">
        <f aca="false">IF(S54="RP",T54," ")</f>
        <v> </v>
      </c>
      <c r="AB54" s="6" t="str">
        <f aca="false">IF(S54="DL",T54," ")</f>
        <v> </v>
      </c>
      <c r="AC54" s="6" t="str">
        <f aca="false">IF(S54="X",T54," ")</f>
        <v> </v>
      </c>
    </row>
    <row r="55" customFormat="false" ht="12.75" hidden="false" customHeight="false" outlineLevel="0" collapsed="false">
      <c r="E55" s="5" t="str">
        <f aca="false">IF(F55&lt;&gt;0,"Enter Code"," ")</f>
        <v> </v>
      </c>
      <c r="G55" s="6" t="str">
        <f aca="false">IF(E55="BC",F55," ")</f>
        <v> </v>
      </c>
      <c r="H55" s="6" t="str">
        <f aca="false">IF(E55="DR",F55," ")</f>
        <v> </v>
      </c>
      <c r="I55" s="6" t="str">
        <f aca="false">IF(E55="CR",F55," ")</f>
        <v> </v>
      </c>
      <c r="J55" s="6" t="str">
        <f aca="false">IF(E55="K",F55," ")</f>
        <v> </v>
      </c>
      <c r="K55" s="6" t="str">
        <f aca="false">IF(E55="RV",F55," ")</f>
        <v> </v>
      </c>
      <c r="L55" s="6" t="str">
        <f aca="false">IF(E55="DL",F55," ")</f>
        <v> </v>
      </c>
      <c r="M55" s="6" t="str">
        <f aca="false">IF(E55="X",F55," ")</f>
        <v> </v>
      </c>
      <c r="N55" s="39"/>
      <c r="S55" s="38" t="str">
        <f aca="false">IF(T55&lt;&gt;0,"Enter Code"," ")</f>
        <v> </v>
      </c>
      <c r="U55" s="6" t="str">
        <f aca="false">IF(S55="BC",T55," ")</f>
        <v> </v>
      </c>
      <c r="V55" s="6" t="str">
        <f aca="false">IF(S55="CR",T55," ")</f>
        <v> </v>
      </c>
      <c r="W55" s="6" t="str">
        <f aca="false">IF(S55="DR",T55," ")</f>
        <v> </v>
      </c>
      <c r="X55" s="6" t="str">
        <f aca="false">IF(S55="W",T55," ")</f>
        <v> </v>
      </c>
      <c r="Y55" s="6" t="str">
        <f aca="false">IF(S55="B",T55," ")</f>
        <v> </v>
      </c>
      <c r="Z55" s="6" t="str">
        <f aca="false">IF(S55="J",T55," ")</f>
        <v> </v>
      </c>
      <c r="AA55" s="6" t="str">
        <f aca="false">IF(S55="RP",T55," ")</f>
        <v> </v>
      </c>
      <c r="AB55" s="6" t="str">
        <f aca="false">IF(S55="DL",T55," ")</f>
        <v> </v>
      </c>
      <c r="AC55" s="6" t="str">
        <f aca="false">IF(S55="X",T55," ")</f>
        <v> </v>
      </c>
    </row>
    <row r="56" customFormat="false" ht="12.75" hidden="false" customHeight="false" outlineLevel="0" collapsed="false">
      <c r="E56" s="5" t="str">
        <f aca="false">IF(F56&lt;&gt;0,"Enter Code"," ")</f>
        <v> </v>
      </c>
      <c r="G56" s="6" t="str">
        <f aca="false">IF(E56="BC",F56," ")</f>
        <v> </v>
      </c>
      <c r="H56" s="6" t="str">
        <f aca="false">IF(E56="DR",F56," ")</f>
        <v> </v>
      </c>
      <c r="I56" s="6" t="str">
        <f aca="false">IF(E56="CR",F56," ")</f>
        <v> </v>
      </c>
      <c r="J56" s="6" t="str">
        <f aca="false">IF(E56="K",F56," ")</f>
        <v> </v>
      </c>
      <c r="K56" s="6" t="str">
        <f aca="false">IF(E56="RV",F56," ")</f>
        <v> </v>
      </c>
      <c r="L56" s="6" t="str">
        <f aca="false">IF(E56="DL",F56," ")</f>
        <v> </v>
      </c>
      <c r="M56" s="6" t="str">
        <f aca="false">IF(E56="X",F56," ")</f>
        <v> </v>
      </c>
      <c r="N56" s="39"/>
      <c r="S56" s="38" t="str">
        <f aca="false">IF(T56&lt;&gt;0,"Enter Code"," ")</f>
        <v> </v>
      </c>
      <c r="U56" s="6" t="str">
        <f aca="false">IF(S56="BC",T56," ")</f>
        <v> </v>
      </c>
      <c r="V56" s="6" t="str">
        <f aca="false">IF(S56="CR",T56," ")</f>
        <v> </v>
      </c>
      <c r="W56" s="6" t="str">
        <f aca="false">IF(S56="DR",T56," ")</f>
        <v> </v>
      </c>
      <c r="X56" s="6" t="str">
        <f aca="false">IF(S56="W",T56," ")</f>
        <v> </v>
      </c>
      <c r="Y56" s="6" t="str">
        <f aca="false">IF(S56="B",T56," ")</f>
        <v> </v>
      </c>
      <c r="Z56" s="6" t="str">
        <f aca="false">IF(S56="J",T56," ")</f>
        <v> </v>
      </c>
      <c r="AA56" s="6" t="str">
        <f aca="false">IF(S56="RP",T56," ")</f>
        <v> </v>
      </c>
      <c r="AB56" s="6" t="str">
        <f aca="false">IF(S56="DL",T56," ")</f>
        <v> </v>
      </c>
      <c r="AC56" s="6" t="str">
        <f aca="false">IF(S56="X",T56," ")</f>
        <v> </v>
      </c>
    </row>
    <row r="57" customFormat="false" ht="12.75" hidden="false" customHeight="false" outlineLevel="0" collapsed="false">
      <c r="E57" s="5" t="str">
        <f aca="false">IF(F57&lt;&gt;0,"Enter Code"," ")</f>
        <v> </v>
      </c>
      <c r="G57" s="6" t="str">
        <f aca="false">IF(E57="BC",F57," ")</f>
        <v> </v>
      </c>
      <c r="H57" s="6" t="str">
        <f aca="false">IF(E57="DR",F57," ")</f>
        <v> </v>
      </c>
      <c r="I57" s="6" t="str">
        <f aca="false">IF(E57="CR",F57," ")</f>
        <v> </v>
      </c>
      <c r="J57" s="6" t="str">
        <f aca="false">IF(E57="K",F57," ")</f>
        <v> </v>
      </c>
      <c r="K57" s="6" t="str">
        <f aca="false">IF(E57="RV",F57," ")</f>
        <v> </v>
      </c>
      <c r="L57" s="6" t="str">
        <f aca="false">IF(E57="DL",F57," ")</f>
        <v> </v>
      </c>
      <c r="M57" s="6" t="str">
        <f aca="false">IF(E57="X",F57," ")</f>
        <v> </v>
      </c>
      <c r="N57" s="39"/>
      <c r="S57" s="38" t="str">
        <f aca="false">IF(T57&lt;&gt;0,"Enter Code"," ")</f>
        <v> </v>
      </c>
      <c r="U57" s="6" t="str">
        <f aca="false">IF(S57="BC",T57," ")</f>
        <v> </v>
      </c>
      <c r="V57" s="6" t="str">
        <f aca="false">IF(S57="CR",T57," ")</f>
        <v> </v>
      </c>
      <c r="W57" s="6" t="str">
        <f aca="false">IF(S57="DR",T57," ")</f>
        <v> </v>
      </c>
      <c r="X57" s="6" t="str">
        <f aca="false">IF(S57="W",T57," ")</f>
        <v> </v>
      </c>
      <c r="Y57" s="6" t="str">
        <f aca="false">IF(S57="B",T57," ")</f>
        <v> </v>
      </c>
      <c r="Z57" s="6" t="str">
        <f aca="false">IF(S57="J",T57," ")</f>
        <v> </v>
      </c>
      <c r="AA57" s="6" t="str">
        <f aca="false">IF(S57="RP",T57," ")</f>
        <v> </v>
      </c>
      <c r="AB57" s="6" t="str">
        <f aca="false">IF(S57="DL",T57," ")</f>
        <v> </v>
      </c>
      <c r="AC57" s="6" t="str">
        <f aca="false">IF(S57="X",T57," ")</f>
        <v> </v>
      </c>
    </row>
    <row r="58" customFormat="false" ht="12.75" hidden="false" customHeight="false" outlineLevel="0" collapsed="false">
      <c r="E58" s="5" t="str">
        <f aca="false">IF(F58&lt;&gt;0,"Enter Code"," ")</f>
        <v> </v>
      </c>
      <c r="G58" s="6" t="str">
        <f aca="false">IF(E58="BC",F58," ")</f>
        <v> </v>
      </c>
      <c r="H58" s="6" t="str">
        <f aca="false">IF(E58="DR",F58," ")</f>
        <v> </v>
      </c>
      <c r="I58" s="6" t="str">
        <f aca="false">IF(E58="CR",F58," ")</f>
        <v> </v>
      </c>
      <c r="J58" s="6" t="str">
        <f aca="false">IF(E58="K",F58," ")</f>
        <v> </v>
      </c>
      <c r="K58" s="6" t="str">
        <f aca="false">IF(E58="RV",F58," ")</f>
        <v> </v>
      </c>
      <c r="L58" s="6" t="str">
        <f aca="false">IF(E58="DL",F58," ")</f>
        <v> </v>
      </c>
      <c r="M58" s="6" t="str">
        <f aca="false">IF(E58="X",F58," ")</f>
        <v> </v>
      </c>
      <c r="N58" s="39"/>
      <c r="S58" s="38" t="str">
        <f aca="false">IF(T58&lt;&gt;0,"Enter Code"," ")</f>
        <v> </v>
      </c>
      <c r="U58" s="6" t="str">
        <f aca="false">IF(S58="BC",T58," ")</f>
        <v> </v>
      </c>
      <c r="V58" s="6" t="str">
        <f aca="false">IF(S58="CR",T58," ")</f>
        <v> </v>
      </c>
      <c r="W58" s="6" t="str">
        <f aca="false">IF(S58="DR",T58," ")</f>
        <v> </v>
      </c>
      <c r="X58" s="6" t="str">
        <f aca="false">IF(S58="W",T58," ")</f>
        <v> </v>
      </c>
      <c r="Y58" s="6" t="str">
        <f aca="false">IF(S58="B",T58," ")</f>
        <v> </v>
      </c>
      <c r="Z58" s="6" t="str">
        <f aca="false">IF(S58="J",T58," ")</f>
        <v> </v>
      </c>
      <c r="AA58" s="6" t="str">
        <f aca="false">IF(S58="RP",T58," ")</f>
        <v> </v>
      </c>
      <c r="AB58" s="6" t="str">
        <f aca="false">IF(S58="DL",T58," ")</f>
        <v> </v>
      </c>
      <c r="AC58" s="6" t="str">
        <f aca="false">IF(S58="X",T58," ")</f>
        <v> </v>
      </c>
    </row>
    <row r="59" customFormat="false" ht="12.75" hidden="false" customHeight="false" outlineLevel="0" collapsed="false">
      <c r="E59" s="5" t="str">
        <f aca="false">IF(F59&lt;&gt;0,"Enter Code"," ")</f>
        <v> </v>
      </c>
      <c r="G59" s="6" t="str">
        <f aca="false">IF(E59="BC",F59," ")</f>
        <v> </v>
      </c>
      <c r="H59" s="6" t="str">
        <f aca="false">IF(E59="DR",F59," ")</f>
        <v> </v>
      </c>
      <c r="I59" s="6" t="str">
        <f aca="false">IF(E59="CR",F59," ")</f>
        <v> </v>
      </c>
      <c r="J59" s="6" t="str">
        <f aca="false">IF(E59="K",F59," ")</f>
        <v> </v>
      </c>
      <c r="K59" s="6" t="str">
        <f aca="false">IF(E59="RV",F59," ")</f>
        <v> </v>
      </c>
      <c r="L59" s="6" t="str">
        <f aca="false">IF(E59="DL",F59," ")</f>
        <v> </v>
      </c>
      <c r="M59" s="6" t="str">
        <f aca="false">IF(E59="X",F59," ")</f>
        <v> </v>
      </c>
      <c r="N59" s="39"/>
      <c r="S59" s="38" t="str">
        <f aca="false">IF(T59&lt;&gt;0,"Enter Code"," ")</f>
        <v> </v>
      </c>
      <c r="U59" s="6" t="str">
        <f aca="false">IF(S59="BC",T59," ")</f>
        <v> </v>
      </c>
      <c r="V59" s="6" t="str">
        <f aca="false">IF(S59="CR",T59," ")</f>
        <v> </v>
      </c>
      <c r="W59" s="6" t="str">
        <f aca="false">IF(S59="DR",T59," ")</f>
        <v> </v>
      </c>
      <c r="X59" s="6" t="str">
        <f aca="false">IF(S59="W",T59," ")</f>
        <v> </v>
      </c>
      <c r="Y59" s="6" t="str">
        <f aca="false">IF(S59="B",T59," ")</f>
        <v> </v>
      </c>
      <c r="Z59" s="6" t="str">
        <f aca="false">IF(S59="J",T59," ")</f>
        <v> </v>
      </c>
      <c r="AA59" s="6" t="str">
        <f aca="false">IF(S59="RP",T59," ")</f>
        <v> </v>
      </c>
      <c r="AB59" s="6" t="str">
        <f aca="false">IF(S59="DL",T59," ")</f>
        <v> </v>
      </c>
      <c r="AC59" s="6" t="str">
        <f aca="false">IF(S59="X",T59," ")</f>
        <v> </v>
      </c>
    </row>
    <row r="60" customFormat="false" ht="12.75" hidden="false" customHeight="false" outlineLevel="0" collapsed="false">
      <c r="E60" s="5" t="str">
        <f aca="false">IF(F60&lt;&gt;0,"Enter Code"," ")</f>
        <v> </v>
      </c>
      <c r="G60" s="6" t="str">
        <f aca="false">IF(E60="BC",F60," ")</f>
        <v> </v>
      </c>
      <c r="H60" s="6" t="str">
        <f aca="false">IF(E60="DR",F60," ")</f>
        <v> </v>
      </c>
      <c r="I60" s="6" t="str">
        <f aca="false">IF(E60="CR",F60," ")</f>
        <v> </v>
      </c>
      <c r="J60" s="6" t="str">
        <f aca="false">IF(E60="K",F60," ")</f>
        <v> </v>
      </c>
      <c r="K60" s="6" t="str">
        <f aca="false">IF(E60="RV",F60," ")</f>
        <v> </v>
      </c>
      <c r="L60" s="6" t="str">
        <f aca="false">IF(E60="DL",F60," ")</f>
        <v> </v>
      </c>
      <c r="M60" s="6" t="str">
        <f aca="false">IF(E60="X",F60," ")</f>
        <v> </v>
      </c>
      <c r="N60" s="39"/>
      <c r="S60" s="38" t="str">
        <f aca="false">IF(T60&lt;&gt;0,"Enter Code"," ")</f>
        <v> </v>
      </c>
      <c r="U60" s="6" t="str">
        <f aca="false">IF(S60="BC",T60," ")</f>
        <v> </v>
      </c>
      <c r="V60" s="6" t="str">
        <f aca="false">IF(S60="CR",T60," ")</f>
        <v> </v>
      </c>
      <c r="W60" s="6" t="str">
        <f aca="false">IF(S60="DR",T60," ")</f>
        <v> </v>
      </c>
      <c r="X60" s="6" t="str">
        <f aca="false">IF(S60="W",T60," ")</f>
        <v> </v>
      </c>
      <c r="Y60" s="6" t="str">
        <f aca="false">IF(S60="B",T60," ")</f>
        <v> </v>
      </c>
      <c r="Z60" s="6" t="str">
        <f aca="false">IF(S60="J",T60," ")</f>
        <v> </v>
      </c>
      <c r="AA60" s="6" t="str">
        <f aca="false">IF(S60="RP",T60," ")</f>
        <v> </v>
      </c>
      <c r="AB60" s="6" t="str">
        <f aca="false">IF(S60="DL",T60," ")</f>
        <v> </v>
      </c>
      <c r="AC60" s="6" t="str">
        <f aca="false">IF(S60="X",T60," ")</f>
        <v> </v>
      </c>
    </row>
    <row r="61" customFormat="false" ht="12.75" hidden="false" customHeight="false" outlineLevel="0" collapsed="false">
      <c r="E61" s="5" t="str">
        <f aca="false">IF(F61&lt;&gt;0,"Enter Code"," ")</f>
        <v> </v>
      </c>
      <c r="G61" s="6" t="str">
        <f aca="false">IF(E61="BC",F61," ")</f>
        <v> </v>
      </c>
      <c r="H61" s="6" t="str">
        <f aca="false">IF(E61="DR",F61," ")</f>
        <v> </v>
      </c>
      <c r="I61" s="6" t="str">
        <f aca="false">IF(E61="CR",F61," ")</f>
        <v> </v>
      </c>
      <c r="J61" s="6" t="str">
        <f aca="false">IF(E61="K",F61," ")</f>
        <v> </v>
      </c>
      <c r="K61" s="6" t="str">
        <f aca="false">IF(E61="RV",F61," ")</f>
        <v> </v>
      </c>
      <c r="L61" s="6" t="str">
        <f aca="false">IF(E61="DL",F61," ")</f>
        <v> </v>
      </c>
      <c r="M61" s="6" t="str">
        <f aca="false">IF(E61="X",F61," ")</f>
        <v> </v>
      </c>
      <c r="N61" s="39"/>
      <c r="S61" s="38" t="str">
        <f aca="false">IF(T61&lt;&gt;0,"Enter Code"," ")</f>
        <v> </v>
      </c>
      <c r="U61" s="6" t="str">
        <f aca="false">IF(S61="BC",T61," ")</f>
        <v> </v>
      </c>
      <c r="V61" s="6" t="str">
        <f aca="false">IF(S61="CR",T61," ")</f>
        <v> </v>
      </c>
      <c r="W61" s="6" t="str">
        <f aca="false">IF(S61="DR",T61," ")</f>
        <v> </v>
      </c>
      <c r="X61" s="6" t="str">
        <f aca="false">IF(S61="W",T61," ")</f>
        <v> </v>
      </c>
      <c r="Y61" s="6" t="str">
        <f aca="false">IF(S61="B",T61," ")</f>
        <v> </v>
      </c>
      <c r="Z61" s="6" t="str">
        <f aca="false">IF(S61="J",T61," ")</f>
        <v> </v>
      </c>
      <c r="AA61" s="6" t="str">
        <f aca="false">IF(S61="RP",T61," ")</f>
        <v> </v>
      </c>
      <c r="AB61" s="6" t="str">
        <f aca="false">IF(S61="DL",T61," ")</f>
        <v> </v>
      </c>
      <c r="AC61" s="6" t="str">
        <f aca="false">IF(S61="X",T61," ")</f>
        <v> </v>
      </c>
    </row>
    <row r="62" customFormat="false" ht="12.75" hidden="false" customHeight="false" outlineLevel="0" collapsed="false">
      <c r="E62" s="5" t="str">
        <f aca="false">IF(F62&lt;&gt;0,"Enter Code"," ")</f>
        <v> </v>
      </c>
      <c r="G62" s="6" t="str">
        <f aca="false">IF(E62="BC",F62," ")</f>
        <v> </v>
      </c>
      <c r="H62" s="6" t="str">
        <f aca="false">IF(E62="DR",F62," ")</f>
        <v> </v>
      </c>
      <c r="I62" s="6" t="str">
        <f aca="false">IF(E62="CR",F62," ")</f>
        <v> </v>
      </c>
      <c r="J62" s="6" t="str">
        <f aca="false">IF(E62="K",F62," ")</f>
        <v> </v>
      </c>
      <c r="K62" s="6" t="str">
        <f aca="false">IF(E62="RV",F62," ")</f>
        <v> </v>
      </c>
      <c r="L62" s="6" t="str">
        <f aca="false">IF(E62="DL",F62," ")</f>
        <v> </v>
      </c>
      <c r="M62" s="6" t="str">
        <f aca="false">IF(E62="X",F62," ")</f>
        <v> </v>
      </c>
      <c r="N62" s="39"/>
      <c r="S62" s="38" t="str">
        <f aca="false">IF(T62&lt;&gt;0,"Enter Code"," ")</f>
        <v> </v>
      </c>
      <c r="U62" s="6" t="str">
        <f aca="false">IF(S62="BC",T62," ")</f>
        <v> </v>
      </c>
      <c r="V62" s="6" t="str">
        <f aca="false">IF(S62="CR",T62," ")</f>
        <v> </v>
      </c>
      <c r="W62" s="6" t="str">
        <f aca="false">IF(S62="DR",T62," ")</f>
        <v> </v>
      </c>
      <c r="X62" s="6" t="str">
        <f aca="false">IF(S62="W",T62," ")</f>
        <v> </v>
      </c>
      <c r="Y62" s="6" t="str">
        <f aca="false">IF(S62="B",T62," ")</f>
        <v> </v>
      </c>
      <c r="Z62" s="6" t="str">
        <f aca="false">IF(S62="J",T62," ")</f>
        <v> </v>
      </c>
      <c r="AA62" s="6" t="str">
        <f aca="false">IF(S62="RP",T62," ")</f>
        <v> </v>
      </c>
      <c r="AB62" s="6" t="str">
        <f aca="false">IF(S62="DL",T62," ")</f>
        <v> </v>
      </c>
      <c r="AC62" s="6" t="str">
        <f aca="false">IF(S62="X",T62," ")</f>
        <v> </v>
      </c>
    </row>
    <row r="63" customFormat="false" ht="12.75" hidden="false" customHeight="false" outlineLevel="0" collapsed="false">
      <c r="E63" s="5" t="str">
        <f aca="false">IF(F63&lt;&gt;0,"Enter Code"," ")</f>
        <v> </v>
      </c>
      <c r="G63" s="6" t="str">
        <f aca="false">IF(E63="BC",F63," ")</f>
        <v> </v>
      </c>
      <c r="H63" s="6" t="str">
        <f aca="false">IF(E63="DR",F63," ")</f>
        <v> </v>
      </c>
      <c r="I63" s="6" t="str">
        <f aca="false">IF(E63="CR",F63," ")</f>
        <v> </v>
      </c>
      <c r="J63" s="6" t="str">
        <f aca="false">IF(E63="K",F63," ")</f>
        <v> </v>
      </c>
      <c r="K63" s="6" t="str">
        <f aca="false">IF(E63="RV",F63," ")</f>
        <v> </v>
      </c>
      <c r="L63" s="6" t="str">
        <f aca="false">IF(E63="DL",F63," ")</f>
        <v> </v>
      </c>
      <c r="M63" s="6" t="str">
        <f aca="false">IF(E63="X",F63," ")</f>
        <v> </v>
      </c>
      <c r="N63" s="39"/>
      <c r="S63" s="38" t="str">
        <f aca="false">IF(T63&lt;&gt;0,"Enter Code"," ")</f>
        <v> </v>
      </c>
      <c r="U63" s="6" t="str">
        <f aca="false">IF(S63="BC",T63," ")</f>
        <v> </v>
      </c>
      <c r="V63" s="6" t="str">
        <f aca="false">IF(S63="CR",T63," ")</f>
        <v> </v>
      </c>
      <c r="W63" s="6" t="str">
        <f aca="false">IF(S63="DR",T63," ")</f>
        <v> </v>
      </c>
      <c r="X63" s="6" t="str">
        <f aca="false">IF(S63="W",T63," ")</f>
        <v> </v>
      </c>
      <c r="Y63" s="6" t="str">
        <f aca="false">IF(S63="B",T63," ")</f>
        <v> </v>
      </c>
      <c r="Z63" s="6" t="str">
        <f aca="false">IF(S63="J",T63," ")</f>
        <v> </v>
      </c>
      <c r="AA63" s="6" t="str">
        <f aca="false">IF(S63="RP",T63," ")</f>
        <v> </v>
      </c>
      <c r="AB63" s="6" t="str">
        <f aca="false">IF(S63="DL",T63," ")</f>
        <v> </v>
      </c>
      <c r="AC63" s="6" t="str">
        <f aca="false">IF(S63="X",T63," ")</f>
        <v> </v>
      </c>
    </row>
    <row r="64" customFormat="false" ht="12.75" hidden="false" customHeight="false" outlineLevel="0" collapsed="false">
      <c r="E64" s="5" t="str">
        <f aca="false">IF(F64&lt;&gt;0,"Enter Code"," ")</f>
        <v> </v>
      </c>
      <c r="G64" s="6" t="str">
        <f aca="false">IF(E64="BC",F64," ")</f>
        <v> </v>
      </c>
      <c r="H64" s="6" t="str">
        <f aca="false">IF(E64="DR",F64," ")</f>
        <v> </v>
      </c>
      <c r="I64" s="6" t="str">
        <f aca="false">IF(E64="CR",F64," ")</f>
        <v> </v>
      </c>
      <c r="J64" s="6" t="str">
        <f aca="false">IF(E64="K",F64," ")</f>
        <v> </v>
      </c>
      <c r="K64" s="6" t="str">
        <f aca="false">IF(E64="RV",F64," ")</f>
        <v> </v>
      </c>
      <c r="L64" s="6" t="str">
        <f aca="false">IF(E64="DL",F64," ")</f>
        <v> </v>
      </c>
      <c r="M64" s="6" t="str">
        <f aca="false">IF(E64="X",F64," ")</f>
        <v> </v>
      </c>
      <c r="N64" s="39"/>
      <c r="S64" s="38" t="str">
        <f aca="false">IF(T64&lt;&gt;0,"Enter Code"," ")</f>
        <v> </v>
      </c>
      <c r="U64" s="6" t="str">
        <f aca="false">IF(S64="BC",T64," ")</f>
        <v> </v>
      </c>
      <c r="V64" s="6" t="str">
        <f aca="false">IF(S64="CR",T64," ")</f>
        <v> </v>
      </c>
      <c r="W64" s="6" t="str">
        <f aca="false">IF(S64="DR",T64," ")</f>
        <v> </v>
      </c>
      <c r="X64" s="6" t="str">
        <f aca="false">IF(S64="W",T64," ")</f>
        <v> </v>
      </c>
      <c r="Y64" s="6" t="str">
        <f aca="false">IF(S64="B",T64," ")</f>
        <v> </v>
      </c>
      <c r="Z64" s="6" t="str">
        <f aca="false">IF(S64="J",T64," ")</f>
        <v> </v>
      </c>
      <c r="AA64" s="6" t="str">
        <f aca="false">IF(S64="RP",T64," ")</f>
        <v> </v>
      </c>
      <c r="AB64" s="6" t="str">
        <f aca="false">IF(S64="DL",T64," ")</f>
        <v> </v>
      </c>
      <c r="AC64" s="6" t="str">
        <f aca="false">IF(S64="X",T64," ")</f>
        <v> </v>
      </c>
    </row>
    <row r="65" customFormat="false" ht="12.75" hidden="false" customHeight="false" outlineLevel="0" collapsed="false">
      <c r="E65" s="5" t="str">
        <f aca="false">IF(F65&lt;&gt;0,"Enter Code"," ")</f>
        <v> </v>
      </c>
      <c r="G65" s="6" t="str">
        <f aca="false">IF(E65="BC",F65," ")</f>
        <v> </v>
      </c>
      <c r="H65" s="6" t="str">
        <f aca="false">IF(E65="DR",F65," ")</f>
        <v> </v>
      </c>
      <c r="I65" s="6" t="str">
        <f aca="false">IF(E65="CR",F65," ")</f>
        <v> </v>
      </c>
      <c r="J65" s="6" t="str">
        <f aca="false">IF(E65="K",F65," ")</f>
        <v> </v>
      </c>
      <c r="K65" s="6" t="str">
        <f aca="false">IF(E65="RV",F65," ")</f>
        <v> </v>
      </c>
      <c r="L65" s="6" t="str">
        <f aca="false">IF(E65="DL",F65," ")</f>
        <v> </v>
      </c>
      <c r="M65" s="6" t="str">
        <f aca="false">IF(E65="X",F65," ")</f>
        <v> </v>
      </c>
      <c r="N65" s="39"/>
      <c r="S65" s="38" t="str">
        <f aca="false">IF(T65&lt;&gt;0,"Enter Code"," ")</f>
        <v> </v>
      </c>
      <c r="U65" s="6" t="str">
        <f aca="false">IF(S65="BC",T65," ")</f>
        <v> </v>
      </c>
      <c r="V65" s="6" t="str">
        <f aca="false">IF(S65="CR",T65," ")</f>
        <v> </v>
      </c>
      <c r="W65" s="6" t="str">
        <f aca="false">IF(S65="DR",T65," ")</f>
        <v> </v>
      </c>
      <c r="X65" s="6" t="str">
        <f aca="false">IF(S65="W",T65," ")</f>
        <v> </v>
      </c>
      <c r="Y65" s="6" t="str">
        <f aca="false">IF(S65="B",T65," ")</f>
        <v> </v>
      </c>
      <c r="Z65" s="6" t="str">
        <f aca="false">IF(S65="J",T65," ")</f>
        <v> </v>
      </c>
      <c r="AA65" s="6" t="str">
        <f aca="false">IF(S65="RP",T65," ")</f>
        <v> </v>
      </c>
      <c r="AB65" s="6" t="str">
        <f aca="false">IF(S65="DL",T65," ")</f>
        <v> </v>
      </c>
      <c r="AC65" s="6" t="str">
        <f aca="false">IF(S65="X",T65," ")</f>
        <v> </v>
      </c>
    </row>
    <row r="66" customFormat="false" ht="12.75" hidden="false" customHeight="false" outlineLevel="0" collapsed="false">
      <c r="E66" s="5" t="str">
        <f aca="false">IF(F66&lt;&gt;0,"Enter Code"," ")</f>
        <v> </v>
      </c>
      <c r="G66" s="6" t="str">
        <f aca="false">IF(E66="BC",F66," ")</f>
        <v> </v>
      </c>
      <c r="H66" s="6" t="str">
        <f aca="false">IF(E66="DR",F66," ")</f>
        <v> </v>
      </c>
      <c r="I66" s="6" t="str">
        <f aca="false">IF(E66="CR",F66," ")</f>
        <v> </v>
      </c>
      <c r="J66" s="6" t="str">
        <f aca="false">IF(E66="K",F66," ")</f>
        <v> </v>
      </c>
      <c r="K66" s="6" t="str">
        <f aca="false">IF(E66="RV",F66," ")</f>
        <v> </v>
      </c>
      <c r="L66" s="6" t="str">
        <f aca="false">IF(E66="DL",F66," ")</f>
        <v> </v>
      </c>
      <c r="M66" s="6" t="str">
        <f aca="false">IF(E66="X",F66," ")</f>
        <v> </v>
      </c>
      <c r="N66" s="39"/>
      <c r="S66" s="38" t="str">
        <f aca="false">IF(T66&lt;&gt;0,"Enter Code"," ")</f>
        <v> </v>
      </c>
      <c r="U66" s="6" t="str">
        <f aca="false">IF(S66="BC",T66," ")</f>
        <v> </v>
      </c>
      <c r="V66" s="6" t="str">
        <f aca="false">IF(S66="CR",T66," ")</f>
        <v> </v>
      </c>
      <c r="W66" s="6" t="str">
        <f aca="false">IF(S66="DR",T66," ")</f>
        <v> </v>
      </c>
      <c r="X66" s="6" t="str">
        <f aca="false">IF(S66="W",T66," ")</f>
        <v> </v>
      </c>
      <c r="Y66" s="6" t="str">
        <f aca="false">IF(S66="B",T66," ")</f>
        <v> </v>
      </c>
      <c r="Z66" s="6" t="str">
        <f aca="false">IF(S66="J",T66," ")</f>
        <v> </v>
      </c>
      <c r="AA66" s="6" t="str">
        <f aca="false">IF(S66="RP",T66," ")</f>
        <v> </v>
      </c>
      <c r="AB66" s="6" t="str">
        <f aca="false">IF(S66="DL",T66," ")</f>
        <v> </v>
      </c>
      <c r="AC66" s="6" t="str">
        <f aca="false">IF(S66="X",T66," ")</f>
        <v> </v>
      </c>
    </row>
    <row r="67" customFormat="false" ht="12.75" hidden="false" customHeight="false" outlineLevel="0" collapsed="false">
      <c r="E67" s="5" t="str">
        <f aca="false">IF(F67&lt;&gt;0,"Enter Code"," ")</f>
        <v> </v>
      </c>
      <c r="G67" s="6" t="str">
        <f aca="false">IF(E67="BC",F67," ")</f>
        <v> </v>
      </c>
      <c r="H67" s="6" t="str">
        <f aca="false">IF(E67="DR",F67," ")</f>
        <v> </v>
      </c>
      <c r="I67" s="6" t="str">
        <f aca="false">IF(E67="CR",F67," ")</f>
        <v> </v>
      </c>
      <c r="J67" s="6" t="str">
        <f aca="false">IF(E67="K",F67," ")</f>
        <v> </v>
      </c>
      <c r="K67" s="6" t="str">
        <f aca="false">IF(E67="RV",F67," ")</f>
        <v> </v>
      </c>
      <c r="L67" s="6" t="str">
        <f aca="false">IF(E67="DL",F67," ")</f>
        <v> </v>
      </c>
      <c r="M67" s="6" t="str">
        <f aca="false">IF(E67="X",F67," ")</f>
        <v> </v>
      </c>
      <c r="N67" s="39"/>
      <c r="S67" s="38" t="str">
        <f aca="false">IF(T67&lt;&gt;0,"Enter Code"," ")</f>
        <v> </v>
      </c>
      <c r="U67" s="6" t="str">
        <f aca="false">IF(S67="BC",T67," ")</f>
        <v> </v>
      </c>
      <c r="V67" s="6" t="str">
        <f aca="false">IF(S67="CR",T67," ")</f>
        <v> </v>
      </c>
      <c r="W67" s="6" t="str">
        <f aca="false">IF(S67="DR",T67," ")</f>
        <v> </v>
      </c>
      <c r="X67" s="6" t="str">
        <f aca="false">IF(S67="W",T67," ")</f>
        <v> </v>
      </c>
      <c r="Y67" s="6" t="str">
        <f aca="false">IF(S67="B",T67," ")</f>
        <v> </v>
      </c>
      <c r="Z67" s="6" t="str">
        <f aca="false">IF(S67="J",T67," ")</f>
        <v> </v>
      </c>
      <c r="AA67" s="6" t="str">
        <f aca="false">IF(S67="RP",T67," ")</f>
        <v> </v>
      </c>
      <c r="AB67" s="6" t="str">
        <f aca="false">IF(S67="DL",T67," ")</f>
        <v> </v>
      </c>
      <c r="AC67" s="6" t="str">
        <f aca="false">IF(S67="X",T67," ")</f>
        <v> </v>
      </c>
    </row>
    <row r="68" customFormat="false" ht="12.75" hidden="false" customHeight="false" outlineLevel="0" collapsed="false">
      <c r="E68" s="5" t="str">
        <f aca="false">IF(F68&lt;&gt;0,"Enter Code"," ")</f>
        <v> </v>
      </c>
      <c r="G68" s="6" t="str">
        <f aca="false">IF(E68="BC",F68," ")</f>
        <v> </v>
      </c>
      <c r="H68" s="6" t="str">
        <f aca="false">IF(E68="DR",F68," ")</f>
        <v> </v>
      </c>
      <c r="I68" s="6" t="str">
        <f aca="false">IF(E68="CR",F68," ")</f>
        <v> </v>
      </c>
      <c r="J68" s="6" t="str">
        <f aca="false">IF(E68="K",F68," ")</f>
        <v> </v>
      </c>
      <c r="K68" s="6" t="str">
        <f aca="false">IF(E68="RV",F68," ")</f>
        <v> </v>
      </c>
      <c r="L68" s="6" t="str">
        <f aca="false">IF(E68="DL",F68," ")</f>
        <v> </v>
      </c>
      <c r="M68" s="6" t="str">
        <f aca="false">IF(E68="X",F68," ")</f>
        <v> </v>
      </c>
      <c r="N68" s="39"/>
      <c r="S68" s="38" t="str">
        <f aca="false">IF(T68&lt;&gt;0,"Enter Code"," ")</f>
        <v> </v>
      </c>
      <c r="U68" s="6" t="str">
        <f aca="false">IF(S68="BC",T68," ")</f>
        <v> </v>
      </c>
      <c r="V68" s="6" t="str">
        <f aca="false">IF(S68="CR",T68," ")</f>
        <v> </v>
      </c>
      <c r="W68" s="6" t="str">
        <f aca="false">IF(S68="DR",T68," ")</f>
        <v> </v>
      </c>
      <c r="X68" s="6" t="str">
        <f aca="false">IF(S68="W",T68," ")</f>
        <v> </v>
      </c>
      <c r="Y68" s="6" t="str">
        <f aca="false">IF(S68="B",T68," ")</f>
        <v> </v>
      </c>
      <c r="Z68" s="6" t="str">
        <f aca="false">IF(S68="J",T68," ")</f>
        <v> </v>
      </c>
      <c r="AA68" s="6" t="str">
        <f aca="false">IF(S68="RP",T68," ")</f>
        <v> </v>
      </c>
      <c r="AB68" s="6" t="str">
        <f aca="false">IF(S68="DL",T68," ")</f>
        <v> </v>
      </c>
      <c r="AC68" s="6" t="str">
        <f aca="false">IF(S68="X",T68," ")</f>
        <v> </v>
      </c>
    </row>
    <row r="69" customFormat="false" ht="12.75" hidden="false" customHeight="false" outlineLevel="0" collapsed="false">
      <c r="E69" s="5" t="str">
        <f aca="false">IF(F69&lt;&gt;0,"Enter Code"," ")</f>
        <v> </v>
      </c>
      <c r="G69" s="6" t="str">
        <f aca="false">IF(E69="BC",F69," ")</f>
        <v> </v>
      </c>
      <c r="H69" s="6" t="str">
        <f aca="false">IF(E69="DR",F69," ")</f>
        <v> </v>
      </c>
      <c r="I69" s="6" t="str">
        <f aca="false">IF(E69="CR",F69," ")</f>
        <v> </v>
      </c>
      <c r="J69" s="6" t="str">
        <f aca="false">IF(E69="K",F69," ")</f>
        <v> </v>
      </c>
      <c r="K69" s="6" t="str">
        <f aca="false">IF(E69="RV",F69," ")</f>
        <v> </v>
      </c>
      <c r="L69" s="6" t="str">
        <f aca="false">IF(E69="DL",F69," ")</f>
        <v> </v>
      </c>
      <c r="M69" s="6" t="str">
        <f aca="false">IF(E69="X",F69," ")</f>
        <v> </v>
      </c>
      <c r="N69" s="39"/>
      <c r="S69" s="38" t="str">
        <f aca="false">IF(T69&lt;&gt;0,"Enter Code"," ")</f>
        <v> </v>
      </c>
      <c r="U69" s="6" t="str">
        <f aca="false">IF(S69="BC",T69," ")</f>
        <v> </v>
      </c>
      <c r="V69" s="6" t="str">
        <f aca="false">IF(S69="CR",T69," ")</f>
        <v> </v>
      </c>
      <c r="W69" s="6" t="str">
        <f aca="false">IF(S69="DR",T69," ")</f>
        <v> </v>
      </c>
      <c r="X69" s="6" t="str">
        <f aca="false">IF(S69="W",T69," ")</f>
        <v> </v>
      </c>
      <c r="Y69" s="6" t="str">
        <f aca="false">IF(S69="B",T69," ")</f>
        <v> </v>
      </c>
      <c r="Z69" s="6" t="str">
        <f aca="false">IF(S69="J",T69," ")</f>
        <v> </v>
      </c>
      <c r="AA69" s="6" t="str">
        <f aca="false">IF(S69="RP",T69," ")</f>
        <v> </v>
      </c>
      <c r="AB69" s="6" t="str">
        <f aca="false">IF(S69="DL",T69," ")</f>
        <v> </v>
      </c>
      <c r="AC69" s="6" t="str">
        <f aca="false">IF(S69="X",T69," ")</f>
        <v> </v>
      </c>
    </row>
    <row r="70" customFormat="false" ht="12.75" hidden="false" customHeight="false" outlineLevel="0" collapsed="false">
      <c r="E70" s="5" t="str">
        <f aca="false">IF(F70&lt;&gt;0,"Enter Code"," ")</f>
        <v> </v>
      </c>
      <c r="G70" s="6" t="str">
        <f aca="false">IF(E70="BC",F70," ")</f>
        <v> </v>
      </c>
      <c r="H70" s="6" t="str">
        <f aca="false">IF(E70="DR",F70," ")</f>
        <v> </v>
      </c>
      <c r="I70" s="6" t="str">
        <f aca="false">IF(E70="CR",F70," ")</f>
        <v> </v>
      </c>
      <c r="J70" s="6" t="str">
        <f aca="false">IF(E70="K",F70," ")</f>
        <v> </v>
      </c>
      <c r="K70" s="6" t="str">
        <f aca="false">IF(E70="RV",F70," ")</f>
        <v> </v>
      </c>
      <c r="L70" s="6" t="str">
        <f aca="false">IF(E70="DL",F70," ")</f>
        <v> </v>
      </c>
      <c r="M70" s="6" t="str">
        <f aca="false">IF(E70="X",F70," ")</f>
        <v> </v>
      </c>
      <c r="N70" s="39"/>
      <c r="S70" s="38" t="str">
        <f aca="false">IF(T70&lt;&gt;0,"Enter Code"," ")</f>
        <v> </v>
      </c>
      <c r="U70" s="6" t="str">
        <f aca="false">IF(S70="BC",T70," ")</f>
        <v> </v>
      </c>
      <c r="V70" s="6" t="str">
        <f aca="false">IF(S70="CR",T70," ")</f>
        <v> </v>
      </c>
      <c r="W70" s="6" t="str">
        <f aca="false">IF(S70="DR",T70," ")</f>
        <v> </v>
      </c>
      <c r="X70" s="6" t="str">
        <f aca="false">IF(S70="W",T70," ")</f>
        <v> </v>
      </c>
      <c r="Y70" s="6" t="str">
        <f aca="false">IF(S70="B",T70," ")</f>
        <v> </v>
      </c>
      <c r="Z70" s="6" t="str">
        <f aca="false">IF(S70="J",T70," ")</f>
        <v> </v>
      </c>
      <c r="AA70" s="6" t="str">
        <f aca="false">IF(S70="RP",T70," ")</f>
        <v> </v>
      </c>
      <c r="AB70" s="6" t="str">
        <f aca="false">IF(S70="DL",T70," ")</f>
        <v> </v>
      </c>
      <c r="AC70" s="6" t="str">
        <f aca="false">IF(S70="X",T70," ")</f>
        <v> </v>
      </c>
    </row>
    <row r="71" customFormat="false" ht="12.75" hidden="false" customHeight="false" outlineLevel="0" collapsed="false">
      <c r="E71" s="5" t="str">
        <f aca="false">IF(F71&lt;&gt;0,"Enter Code"," ")</f>
        <v> </v>
      </c>
      <c r="G71" s="6" t="str">
        <f aca="false">IF(E71="BC",F71," ")</f>
        <v> </v>
      </c>
      <c r="H71" s="6" t="str">
        <f aca="false">IF(E71="DR",F71," ")</f>
        <v> </v>
      </c>
      <c r="I71" s="6" t="str">
        <f aca="false">IF(E71="CR",F71," ")</f>
        <v> </v>
      </c>
      <c r="J71" s="6" t="str">
        <f aca="false">IF(E71="K",F71," ")</f>
        <v> </v>
      </c>
      <c r="K71" s="6" t="str">
        <f aca="false">IF(E71="RV",F71," ")</f>
        <v> </v>
      </c>
      <c r="L71" s="6" t="str">
        <f aca="false">IF(E71="DL",F71," ")</f>
        <v> </v>
      </c>
      <c r="M71" s="6" t="str">
        <f aca="false">IF(E71="X",F71," ")</f>
        <v> </v>
      </c>
      <c r="N71" s="39"/>
      <c r="S71" s="38" t="str">
        <f aca="false">IF(T71&lt;&gt;0,"Enter Code"," ")</f>
        <v> </v>
      </c>
      <c r="U71" s="6" t="str">
        <f aca="false">IF(S71="BC",T71," ")</f>
        <v> </v>
      </c>
      <c r="V71" s="6" t="str">
        <f aca="false">IF(S71="CR",T71," ")</f>
        <v> </v>
      </c>
      <c r="W71" s="6" t="str">
        <f aca="false">IF(S71="DR",T71," ")</f>
        <v> </v>
      </c>
      <c r="X71" s="6" t="str">
        <f aca="false">IF(S71="W",T71," ")</f>
        <v> </v>
      </c>
      <c r="Y71" s="6" t="str">
        <f aca="false">IF(S71="B",T71," ")</f>
        <v> </v>
      </c>
      <c r="Z71" s="6" t="str">
        <f aca="false">IF(S71="J",T71," ")</f>
        <v> </v>
      </c>
      <c r="AA71" s="6" t="str">
        <f aca="false">IF(S71="RP",T71," ")</f>
        <v> </v>
      </c>
      <c r="AB71" s="6" t="str">
        <f aca="false">IF(S71="DL",T71," ")</f>
        <v> </v>
      </c>
      <c r="AC71" s="6" t="str">
        <f aca="false">IF(S71="X",T71," ")</f>
        <v> </v>
      </c>
    </row>
    <row r="72" customFormat="false" ht="12.75" hidden="false" customHeight="false" outlineLevel="0" collapsed="false">
      <c r="E72" s="5" t="str">
        <f aca="false">IF(F72&lt;&gt;0,"Enter Code"," ")</f>
        <v> </v>
      </c>
      <c r="G72" s="6" t="str">
        <f aca="false">IF(E72="BC",F72," ")</f>
        <v> </v>
      </c>
      <c r="H72" s="6" t="str">
        <f aca="false">IF(E72="DR",F72," ")</f>
        <v> </v>
      </c>
      <c r="I72" s="6" t="str">
        <f aca="false">IF(E72="CR",F72," ")</f>
        <v> </v>
      </c>
      <c r="J72" s="6" t="str">
        <f aca="false">IF(E72="K",F72," ")</f>
        <v> </v>
      </c>
      <c r="K72" s="6" t="str">
        <f aca="false">IF(E72="RV",F72," ")</f>
        <v> </v>
      </c>
      <c r="L72" s="6" t="str">
        <f aca="false">IF(E72="DL",F72," ")</f>
        <v> </v>
      </c>
      <c r="M72" s="6" t="str">
        <f aca="false">IF(E72="X",F72," ")</f>
        <v> </v>
      </c>
      <c r="N72" s="39"/>
      <c r="S72" s="38" t="str">
        <f aca="false">IF(T72&lt;&gt;0,"Enter Code"," ")</f>
        <v> </v>
      </c>
      <c r="U72" s="6" t="str">
        <f aca="false">IF(S72="BC",T72," ")</f>
        <v> </v>
      </c>
      <c r="V72" s="6" t="str">
        <f aca="false">IF(S72="CR",T72," ")</f>
        <v> </v>
      </c>
      <c r="W72" s="6" t="str">
        <f aca="false">IF(S72="DR",T72," ")</f>
        <v> </v>
      </c>
      <c r="X72" s="6" t="str">
        <f aca="false">IF(S72="W",T72," ")</f>
        <v> </v>
      </c>
      <c r="Y72" s="6" t="str">
        <f aca="false">IF(S72="B",T72," ")</f>
        <v> </v>
      </c>
      <c r="Z72" s="6" t="str">
        <f aca="false">IF(S72="J",T72," ")</f>
        <v> </v>
      </c>
      <c r="AA72" s="6" t="str">
        <f aca="false">IF(S72="RP",T72," ")</f>
        <v> </v>
      </c>
      <c r="AB72" s="6" t="str">
        <f aca="false">IF(S72="DL",T72," ")</f>
        <v> </v>
      </c>
      <c r="AC72" s="6" t="str">
        <f aca="false">IF(S72="X",T72," ")</f>
        <v> </v>
      </c>
    </row>
    <row r="73" customFormat="false" ht="12.75" hidden="false" customHeight="false" outlineLevel="0" collapsed="false">
      <c r="E73" s="5" t="str">
        <f aca="false">IF(F73&lt;&gt;0,"Enter Code"," ")</f>
        <v> </v>
      </c>
      <c r="G73" s="6" t="str">
        <f aca="false">IF(E73="BC",F73," ")</f>
        <v> </v>
      </c>
      <c r="H73" s="6" t="str">
        <f aca="false">IF(E73="DR",F73," ")</f>
        <v> </v>
      </c>
      <c r="I73" s="6" t="str">
        <f aca="false">IF(E73="CR",F73," ")</f>
        <v> </v>
      </c>
      <c r="J73" s="6" t="str">
        <f aca="false">IF(E73="K",F73," ")</f>
        <v> </v>
      </c>
      <c r="K73" s="6" t="str">
        <f aca="false">IF(E73="RV",F73," ")</f>
        <v> </v>
      </c>
      <c r="L73" s="6" t="str">
        <f aca="false">IF(E73="DL",F73," ")</f>
        <v> </v>
      </c>
      <c r="M73" s="6" t="str">
        <f aca="false">IF(E73="X",F73," ")</f>
        <v> </v>
      </c>
      <c r="N73" s="39"/>
      <c r="S73" s="38" t="str">
        <f aca="false">IF(T73&lt;&gt;0,"Enter Code"," ")</f>
        <v> </v>
      </c>
      <c r="U73" s="6" t="str">
        <f aca="false">IF(S73="BC",T73," ")</f>
        <v> </v>
      </c>
      <c r="V73" s="6" t="str">
        <f aca="false">IF(S73="CR",T73," ")</f>
        <v> </v>
      </c>
      <c r="W73" s="6" t="str">
        <f aca="false">IF(S73="DR",T73," ")</f>
        <v> </v>
      </c>
      <c r="X73" s="6" t="str">
        <f aca="false">IF(S73="W",T73," ")</f>
        <v> </v>
      </c>
      <c r="Y73" s="6" t="str">
        <f aca="false">IF(S73="B",T73," ")</f>
        <v> </v>
      </c>
      <c r="Z73" s="6" t="str">
        <f aca="false">IF(S73="J",T73," ")</f>
        <v> </v>
      </c>
      <c r="AA73" s="6" t="str">
        <f aca="false">IF(S73="RP",T73," ")</f>
        <v> </v>
      </c>
      <c r="AB73" s="6" t="str">
        <f aca="false">IF(S73="DL",T73," ")</f>
        <v> </v>
      </c>
      <c r="AC73" s="6" t="str">
        <f aca="false">IF(S73="X",T73," ")</f>
        <v> </v>
      </c>
    </row>
    <row r="74" customFormat="false" ht="12.75" hidden="false" customHeight="false" outlineLevel="0" collapsed="false">
      <c r="E74" s="5" t="str">
        <f aca="false">IF(F74&lt;&gt;0,"Enter Code"," ")</f>
        <v> </v>
      </c>
      <c r="G74" s="6" t="str">
        <f aca="false">IF(E74="BC",F74," ")</f>
        <v> </v>
      </c>
      <c r="H74" s="6" t="str">
        <f aca="false">IF(E74="DR",F74," ")</f>
        <v> </v>
      </c>
      <c r="I74" s="6" t="str">
        <f aca="false">IF(E74="CR",F74," ")</f>
        <v> </v>
      </c>
      <c r="J74" s="6" t="str">
        <f aca="false">IF(E74="K",F74," ")</f>
        <v> </v>
      </c>
      <c r="K74" s="6" t="str">
        <f aca="false">IF(E74="RV",F74," ")</f>
        <v> </v>
      </c>
      <c r="L74" s="6" t="str">
        <f aca="false">IF(E74="DL",F74," ")</f>
        <v> </v>
      </c>
      <c r="M74" s="6" t="str">
        <f aca="false">IF(E74="X",F74," ")</f>
        <v> </v>
      </c>
      <c r="N74" s="39"/>
      <c r="S74" s="38" t="str">
        <f aca="false">IF(T74&lt;&gt;0,"Enter Code"," ")</f>
        <v> </v>
      </c>
      <c r="U74" s="6" t="str">
        <f aca="false">IF(S74="BC",T74," ")</f>
        <v> </v>
      </c>
      <c r="V74" s="6" t="str">
        <f aca="false">IF(S74="CR",T74," ")</f>
        <v> </v>
      </c>
      <c r="W74" s="6" t="str">
        <f aca="false">IF(S74="DR",T74," ")</f>
        <v> </v>
      </c>
      <c r="X74" s="6" t="str">
        <f aca="false">IF(S74="W",T74," ")</f>
        <v> </v>
      </c>
      <c r="Y74" s="6" t="str">
        <f aca="false">IF(S74="B",T74," ")</f>
        <v> </v>
      </c>
      <c r="Z74" s="6" t="str">
        <f aca="false">IF(S74="J",T74," ")</f>
        <v> </v>
      </c>
      <c r="AA74" s="6" t="str">
        <f aca="false">IF(S74="RP",T74," ")</f>
        <v> </v>
      </c>
      <c r="AB74" s="6" t="str">
        <f aca="false">IF(S74="DL",T74," ")</f>
        <v> </v>
      </c>
      <c r="AC74" s="6" t="str">
        <f aca="false">IF(S74="X",T74," ")</f>
        <v> </v>
      </c>
    </row>
    <row r="75" customFormat="false" ht="12.75" hidden="false" customHeight="false" outlineLevel="0" collapsed="false">
      <c r="E75" s="5" t="str">
        <f aca="false">IF(F75&lt;&gt;0,"Enter Code"," ")</f>
        <v> </v>
      </c>
      <c r="G75" s="6" t="str">
        <f aca="false">IF(E75="BC",F75," ")</f>
        <v> </v>
      </c>
      <c r="H75" s="6" t="str">
        <f aca="false">IF(E75="DR",F75," ")</f>
        <v> </v>
      </c>
      <c r="I75" s="6" t="str">
        <f aca="false">IF(E75="CR",F75," ")</f>
        <v> </v>
      </c>
      <c r="J75" s="6" t="str">
        <f aca="false">IF(E75="K",F75," ")</f>
        <v> </v>
      </c>
      <c r="K75" s="6" t="str">
        <f aca="false">IF(E75="RV",F75," ")</f>
        <v> </v>
      </c>
      <c r="L75" s="6" t="str">
        <f aca="false">IF(E75="DL",F75," ")</f>
        <v> </v>
      </c>
      <c r="M75" s="6" t="str">
        <f aca="false">IF(E75="X",F75," ")</f>
        <v> </v>
      </c>
      <c r="N75" s="39"/>
      <c r="S75" s="38" t="str">
        <f aca="false">IF(T75&lt;&gt;0,"Enter Code"," ")</f>
        <v> </v>
      </c>
      <c r="U75" s="6" t="str">
        <f aca="false">IF(S75="BC",T75," ")</f>
        <v> </v>
      </c>
      <c r="V75" s="6" t="str">
        <f aca="false">IF(S75="CR",T75," ")</f>
        <v> </v>
      </c>
      <c r="W75" s="6" t="str">
        <f aca="false">IF(S75="DR",T75," ")</f>
        <v> </v>
      </c>
      <c r="X75" s="6" t="str">
        <f aca="false">IF(S75="W",T75," ")</f>
        <v> </v>
      </c>
      <c r="Y75" s="6" t="str">
        <f aca="false">IF(S75="B",T75," ")</f>
        <v> </v>
      </c>
      <c r="Z75" s="6" t="str">
        <f aca="false">IF(S75="J",T75," ")</f>
        <v> </v>
      </c>
      <c r="AA75" s="6" t="str">
        <f aca="false">IF(S75="RP",T75," ")</f>
        <v> </v>
      </c>
      <c r="AB75" s="6" t="str">
        <f aca="false">IF(S75="DL",T75," ")</f>
        <v> </v>
      </c>
      <c r="AC75" s="6" t="str">
        <f aca="false">IF(S75="X",T75," ")</f>
        <v> </v>
      </c>
    </row>
    <row r="76" customFormat="false" ht="12.75" hidden="false" customHeight="false" outlineLevel="0" collapsed="false">
      <c r="E76" s="5" t="str">
        <f aca="false">IF(F76&lt;&gt;0,"Enter Code"," ")</f>
        <v> </v>
      </c>
      <c r="G76" s="6" t="str">
        <f aca="false">IF(E76="BC",F76," ")</f>
        <v> </v>
      </c>
      <c r="H76" s="6" t="str">
        <f aca="false">IF(E76="DR",F76," ")</f>
        <v> </v>
      </c>
      <c r="I76" s="6" t="str">
        <f aca="false">IF(E76="CR",F76," ")</f>
        <v> </v>
      </c>
      <c r="J76" s="6" t="str">
        <f aca="false">IF(E76="K",F76," ")</f>
        <v> </v>
      </c>
      <c r="K76" s="6" t="str">
        <f aca="false">IF(E76="RV",F76," ")</f>
        <v> </v>
      </c>
      <c r="L76" s="6" t="str">
        <f aca="false">IF(E76="DL",F76," ")</f>
        <v> </v>
      </c>
      <c r="M76" s="6" t="str">
        <f aca="false">IF(E76="X",F76," ")</f>
        <v> </v>
      </c>
      <c r="N76" s="39"/>
      <c r="S76" s="38" t="str">
        <f aca="false">IF(T76&lt;&gt;0,"Enter Code"," ")</f>
        <v> </v>
      </c>
      <c r="U76" s="6" t="str">
        <f aca="false">IF(S76="BC",T76," ")</f>
        <v> </v>
      </c>
      <c r="V76" s="6" t="str">
        <f aca="false">IF(S76="CR",T76," ")</f>
        <v> </v>
      </c>
      <c r="W76" s="6" t="str">
        <f aca="false">IF(S76="DR",T76," ")</f>
        <v> </v>
      </c>
      <c r="X76" s="6" t="str">
        <f aca="false">IF(S76="W",T76," ")</f>
        <v> </v>
      </c>
      <c r="Y76" s="6" t="str">
        <f aca="false">IF(S76="B",T76," ")</f>
        <v> </v>
      </c>
      <c r="Z76" s="6" t="str">
        <f aca="false">IF(S76="J",T76," ")</f>
        <v> </v>
      </c>
      <c r="AA76" s="6" t="str">
        <f aca="false">IF(S76="RP",T76," ")</f>
        <v> </v>
      </c>
      <c r="AB76" s="6" t="str">
        <f aca="false">IF(S76="DL",T76," ")</f>
        <v> </v>
      </c>
      <c r="AC76" s="6" t="str">
        <f aca="false">IF(S76="X",T76," ")</f>
        <v> </v>
      </c>
    </row>
    <row r="77" customFormat="false" ht="12.75" hidden="false" customHeight="false" outlineLevel="0" collapsed="false">
      <c r="E77" s="5" t="str">
        <f aca="false">IF(F77&lt;&gt;0,"Enter Code"," ")</f>
        <v> </v>
      </c>
      <c r="G77" s="6" t="str">
        <f aca="false">IF(E77="BC",F77," ")</f>
        <v> </v>
      </c>
      <c r="H77" s="6" t="str">
        <f aca="false">IF(E77="DR",F77," ")</f>
        <v> </v>
      </c>
      <c r="I77" s="6" t="str">
        <f aca="false">IF(E77="CR",F77," ")</f>
        <v> </v>
      </c>
      <c r="J77" s="6" t="str">
        <f aca="false">IF(E77="K",F77," ")</f>
        <v> </v>
      </c>
      <c r="K77" s="6" t="str">
        <f aca="false">IF(E77="RV",F77," ")</f>
        <v> </v>
      </c>
      <c r="L77" s="6" t="str">
        <f aca="false">IF(E77="DL",F77," ")</f>
        <v> </v>
      </c>
      <c r="M77" s="6" t="str">
        <f aca="false">IF(E77="X",F77," ")</f>
        <v> </v>
      </c>
      <c r="N77" s="39"/>
      <c r="S77" s="38" t="str">
        <f aca="false">IF(T77&lt;&gt;0,"Enter Code"," ")</f>
        <v> </v>
      </c>
      <c r="U77" s="6" t="str">
        <f aca="false">IF(S77="BC",T77," ")</f>
        <v> </v>
      </c>
      <c r="V77" s="6" t="str">
        <f aca="false">IF(S77="CR",T77," ")</f>
        <v> </v>
      </c>
      <c r="W77" s="6" t="str">
        <f aca="false">IF(S77="DR",T77," ")</f>
        <v> </v>
      </c>
      <c r="X77" s="6" t="str">
        <f aca="false">IF(S77="W",T77," ")</f>
        <v> </v>
      </c>
      <c r="Y77" s="6" t="str">
        <f aca="false">IF(S77="B",T77," ")</f>
        <v> </v>
      </c>
      <c r="Z77" s="6" t="str">
        <f aca="false">IF(S77="J",T77," ")</f>
        <v> </v>
      </c>
      <c r="AA77" s="6" t="str">
        <f aca="false">IF(S77="RP",T77," ")</f>
        <v> </v>
      </c>
      <c r="AB77" s="6" t="str">
        <f aca="false">IF(S77="DL",T77," ")</f>
        <v> </v>
      </c>
      <c r="AC77" s="6" t="str">
        <f aca="false">IF(S77="X",T77," ")</f>
        <v> </v>
      </c>
    </row>
    <row r="78" customFormat="false" ht="12.75" hidden="false" customHeight="false" outlineLevel="0" collapsed="false">
      <c r="E78" s="5" t="str">
        <f aca="false">IF(F78&lt;&gt;0,"Enter Code"," ")</f>
        <v> </v>
      </c>
      <c r="G78" s="6" t="str">
        <f aca="false">IF(E78="BC",F78," ")</f>
        <v> </v>
      </c>
      <c r="H78" s="6" t="str">
        <f aca="false">IF(E78="DR",F78," ")</f>
        <v> </v>
      </c>
      <c r="I78" s="6" t="str">
        <f aca="false">IF(E78="CR",F78," ")</f>
        <v> </v>
      </c>
      <c r="J78" s="6" t="str">
        <f aca="false">IF(E78="K",F78," ")</f>
        <v> </v>
      </c>
      <c r="K78" s="6" t="str">
        <f aca="false">IF(E78="RV",F78," ")</f>
        <v> </v>
      </c>
      <c r="L78" s="6" t="str">
        <f aca="false">IF(E78="DL",F78," ")</f>
        <v> </v>
      </c>
      <c r="M78" s="6" t="str">
        <f aca="false">IF(E78="X",F78," ")</f>
        <v> </v>
      </c>
      <c r="N78" s="39"/>
      <c r="S78" s="38" t="str">
        <f aca="false">IF(T78&lt;&gt;0,"Enter Code"," ")</f>
        <v> </v>
      </c>
      <c r="U78" s="6" t="str">
        <f aca="false">IF(S78="BC",T78," ")</f>
        <v> </v>
      </c>
      <c r="V78" s="6" t="str">
        <f aca="false">IF(S78="CR",T78," ")</f>
        <v> </v>
      </c>
      <c r="W78" s="6" t="str">
        <f aca="false">IF(S78="DR",T78," ")</f>
        <v> </v>
      </c>
      <c r="X78" s="6" t="str">
        <f aca="false">IF(S78="W",T78," ")</f>
        <v> </v>
      </c>
      <c r="Y78" s="6" t="str">
        <f aca="false">IF(S78="B",T78," ")</f>
        <v> </v>
      </c>
      <c r="Z78" s="6" t="str">
        <f aca="false">IF(S78="J",T78," ")</f>
        <v> </v>
      </c>
      <c r="AA78" s="6" t="str">
        <f aca="false">IF(S78="RP",T78," ")</f>
        <v> </v>
      </c>
      <c r="AB78" s="6" t="str">
        <f aca="false">IF(S78="DL",T78," ")</f>
        <v> </v>
      </c>
      <c r="AC78" s="6" t="str">
        <f aca="false">IF(S78="X",T78," ")</f>
        <v> </v>
      </c>
    </row>
    <row r="79" customFormat="false" ht="12.75" hidden="false" customHeight="false" outlineLevel="0" collapsed="false">
      <c r="E79" s="5" t="str">
        <f aca="false">IF(F79&lt;&gt;0,"Enter Code"," ")</f>
        <v> </v>
      </c>
      <c r="G79" s="6" t="str">
        <f aca="false">IF(E79="BC",F79," ")</f>
        <v> </v>
      </c>
      <c r="H79" s="6" t="str">
        <f aca="false">IF(E79="DR",F79," ")</f>
        <v> </v>
      </c>
      <c r="I79" s="6" t="str">
        <f aca="false">IF(E79="CR",F79," ")</f>
        <v> </v>
      </c>
      <c r="J79" s="6" t="str">
        <f aca="false">IF(E79="K",F79," ")</f>
        <v> </v>
      </c>
      <c r="K79" s="6" t="str">
        <f aca="false">IF(E79="RV",F79," ")</f>
        <v> </v>
      </c>
      <c r="L79" s="6" t="str">
        <f aca="false">IF(E79="DL",F79," ")</f>
        <v> </v>
      </c>
      <c r="M79" s="6" t="str">
        <f aca="false">IF(E79="X",F79," ")</f>
        <v> </v>
      </c>
      <c r="N79" s="39"/>
      <c r="S79" s="38" t="str">
        <f aca="false">IF(T79&lt;&gt;0,"Enter Code"," ")</f>
        <v> </v>
      </c>
      <c r="U79" s="6" t="str">
        <f aca="false">IF(S79="BC",T79," ")</f>
        <v> </v>
      </c>
      <c r="V79" s="6" t="str">
        <f aca="false">IF(S79="CR",T79," ")</f>
        <v> </v>
      </c>
      <c r="W79" s="6" t="str">
        <f aca="false">IF(S79="DR",T79," ")</f>
        <v> </v>
      </c>
      <c r="X79" s="6" t="str">
        <f aca="false">IF(S79="W",T79," ")</f>
        <v> </v>
      </c>
      <c r="Y79" s="6" t="str">
        <f aca="false">IF(S79="B",T79," ")</f>
        <v> </v>
      </c>
      <c r="Z79" s="6" t="str">
        <f aca="false">IF(S79="J",T79," ")</f>
        <v> </v>
      </c>
      <c r="AA79" s="6" t="str">
        <f aca="false">IF(S79="RP",T79," ")</f>
        <v> </v>
      </c>
      <c r="AB79" s="6" t="str">
        <f aca="false">IF(S79="DL",T79," ")</f>
        <v> </v>
      </c>
      <c r="AC79" s="6" t="str">
        <f aca="false">IF(S79="X",T79," ")</f>
        <v> </v>
      </c>
    </row>
    <row r="80" customFormat="false" ht="12.75" hidden="false" customHeight="false" outlineLevel="0" collapsed="false">
      <c r="E80" s="5" t="str">
        <f aca="false">IF(F80&lt;&gt;0,"Enter Code"," ")</f>
        <v> </v>
      </c>
      <c r="G80" s="6" t="str">
        <f aca="false">IF(E80="BC",F80," ")</f>
        <v> </v>
      </c>
      <c r="H80" s="6" t="str">
        <f aca="false">IF(E80="DR",F80," ")</f>
        <v> </v>
      </c>
      <c r="I80" s="6" t="str">
        <f aca="false">IF(E80="CR",F80," ")</f>
        <v> </v>
      </c>
      <c r="J80" s="6" t="str">
        <f aca="false">IF(E80="K",F80," ")</f>
        <v> </v>
      </c>
      <c r="K80" s="6" t="str">
        <f aca="false">IF(E80="RV",F80," ")</f>
        <v> </v>
      </c>
      <c r="L80" s="6" t="str">
        <f aca="false">IF(E80="DL",F80," ")</f>
        <v> </v>
      </c>
      <c r="M80" s="6" t="str">
        <f aca="false">IF(E80="X",F80," ")</f>
        <v> </v>
      </c>
      <c r="N80" s="39"/>
      <c r="S80" s="38" t="str">
        <f aca="false">IF(T80&lt;&gt;0,"Enter Code"," ")</f>
        <v> </v>
      </c>
      <c r="U80" s="6" t="str">
        <f aca="false">IF(S80="BC",T80," ")</f>
        <v> </v>
      </c>
      <c r="V80" s="6" t="str">
        <f aca="false">IF(S80="CR",T80," ")</f>
        <v> </v>
      </c>
      <c r="W80" s="6" t="str">
        <f aca="false">IF(S80="DR",T80," ")</f>
        <v> </v>
      </c>
      <c r="X80" s="6" t="str">
        <f aca="false">IF(S80="W",T80," ")</f>
        <v> </v>
      </c>
      <c r="Y80" s="6" t="str">
        <f aca="false">IF(S80="B",T80," ")</f>
        <v> </v>
      </c>
      <c r="Z80" s="6" t="str">
        <f aca="false">IF(S80="J",T80," ")</f>
        <v> </v>
      </c>
      <c r="AA80" s="6" t="str">
        <f aca="false">IF(S80="RP",T80," ")</f>
        <v> </v>
      </c>
      <c r="AB80" s="6" t="str">
        <f aca="false">IF(S80="DL",T80," ")</f>
        <v> </v>
      </c>
      <c r="AC80" s="6" t="str">
        <f aca="false">IF(S80="X",T80," ")</f>
        <v> </v>
      </c>
    </row>
    <row r="81" customFormat="false" ht="12.75" hidden="false" customHeight="false" outlineLevel="0" collapsed="false">
      <c r="E81" s="5" t="str">
        <f aca="false">IF(F81&lt;&gt;0,"Enter Code"," ")</f>
        <v> </v>
      </c>
      <c r="G81" s="6" t="str">
        <f aca="false">IF(E81="BC",F81," ")</f>
        <v> </v>
      </c>
      <c r="H81" s="6" t="str">
        <f aca="false">IF(E81="DR",F81," ")</f>
        <v> </v>
      </c>
      <c r="I81" s="6" t="str">
        <f aca="false">IF(E81="CR",F81," ")</f>
        <v> </v>
      </c>
      <c r="J81" s="6" t="str">
        <f aca="false">IF(E81="K",F81," ")</f>
        <v> </v>
      </c>
      <c r="K81" s="6" t="str">
        <f aca="false">IF(E81="RV",F81," ")</f>
        <v> </v>
      </c>
      <c r="L81" s="6" t="str">
        <f aca="false">IF(E81="DL",F81," ")</f>
        <v> </v>
      </c>
      <c r="M81" s="6" t="str">
        <f aca="false">IF(E81="X",F81," ")</f>
        <v> </v>
      </c>
      <c r="N81" s="39"/>
      <c r="S81" s="38" t="str">
        <f aca="false">IF(T81&lt;&gt;0,"Enter Code"," ")</f>
        <v> </v>
      </c>
      <c r="U81" s="6" t="str">
        <f aca="false">IF(S81="BC",T81," ")</f>
        <v> </v>
      </c>
      <c r="V81" s="6" t="str">
        <f aca="false">IF(S81="CR",T81," ")</f>
        <v> </v>
      </c>
      <c r="W81" s="6" t="str">
        <f aca="false">IF(S81="DR",T81," ")</f>
        <v> </v>
      </c>
      <c r="X81" s="6" t="str">
        <f aca="false">IF(S81="W",T81," ")</f>
        <v> </v>
      </c>
      <c r="Y81" s="6" t="str">
        <f aca="false">IF(S81="B",T81," ")</f>
        <v> </v>
      </c>
      <c r="Z81" s="6" t="str">
        <f aca="false">IF(S81="J",T81," ")</f>
        <v> </v>
      </c>
      <c r="AA81" s="6" t="str">
        <f aca="false">IF(S81="RP",T81," ")</f>
        <v> </v>
      </c>
      <c r="AB81" s="6" t="str">
        <f aca="false">IF(S81="DL",T81," ")</f>
        <v> </v>
      </c>
      <c r="AC81" s="6" t="str">
        <f aca="false">IF(S81="X",T81," ")</f>
        <v> </v>
      </c>
    </row>
    <row r="82" customFormat="false" ht="12.75" hidden="false" customHeight="false" outlineLevel="0" collapsed="false">
      <c r="E82" s="5" t="str">
        <f aca="false">IF(F82&lt;&gt;0,"Enter Code"," ")</f>
        <v> </v>
      </c>
      <c r="G82" s="6" t="str">
        <f aca="false">IF(E82="BC",F82," ")</f>
        <v> </v>
      </c>
      <c r="H82" s="6" t="str">
        <f aca="false">IF(E82="DR",F82," ")</f>
        <v> </v>
      </c>
      <c r="I82" s="6" t="str">
        <f aca="false">IF(E82="CR",F82," ")</f>
        <v> </v>
      </c>
      <c r="J82" s="6" t="str">
        <f aca="false">IF(E82="K",F82," ")</f>
        <v> </v>
      </c>
      <c r="K82" s="6" t="str">
        <f aca="false">IF(E82="RV",F82," ")</f>
        <v> </v>
      </c>
      <c r="L82" s="6" t="str">
        <f aca="false">IF(E82="DL",F82," ")</f>
        <v> </v>
      </c>
      <c r="M82" s="6" t="str">
        <f aca="false">IF(E82="X",F82," ")</f>
        <v> </v>
      </c>
      <c r="N82" s="39"/>
      <c r="S82" s="38" t="str">
        <f aca="false">IF(T82&lt;&gt;0,"Enter Code"," ")</f>
        <v> </v>
      </c>
      <c r="U82" s="6" t="str">
        <f aca="false">IF(S82="BC",T82," ")</f>
        <v> </v>
      </c>
      <c r="V82" s="6" t="str">
        <f aca="false">IF(S82="CR",T82," ")</f>
        <v> </v>
      </c>
      <c r="W82" s="6" t="str">
        <f aca="false">IF(S82="DR",T82," ")</f>
        <v> </v>
      </c>
      <c r="X82" s="6" t="str">
        <f aca="false">IF(S82="W",T82," ")</f>
        <v> </v>
      </c>
      <c r="Y82" s="6" t="str">
        <f aca="false">IF(S82="B",T82," ")</f>
        <v> </v>
      </c>
      <c r="Z82" s="6" t="str">
        <f aca="false">IF(S82="J",T82," ")</f>
        <v> </v>
      </c>
      <c r="AA82" s="6" t="str">
        <f aca="false">IF(S82="RP",T82," ")</f>
        <v> </v>
      </c>
      <c r="AB82" s="6" t="str">
        <f aca="false">IF(S82="DL",T82," ")</f>
        <v> </v>
      </c>
      <c r="AC82" s="6" t="str">
        <f aca="false">IF(S82="X",T82," ")</f>
        <v> </v>
      </c>
    </row>
    <row r="83" customFormat="false" ht="12.75" hidden="false" customHeight="false" outlineLevel="0" collapsed="false">
      <c r="E83" s="5" t="str">
        <f aca="false">IF(F83&lt;&gt;0,"Enter Code"," ")</f>
        <v> </v>
      </c>
      <c r="G83" s="6" t="str">
        <f aca="false">IF(E83="BC",F83," ")</f>
        <v> </v>
      </c>
      <c r="H83" s="6" t="str">
        <f aca="false">IF(E83="DR",F83," ")</f>
        <v> </v>
      </c>
      <c r="I83" s="6" t="str">
        <f aca="false">IF(E83="CR",F83," ")</f>
        <v> </v>
      </c>
      <c r="J83" s="6" t="str">
        <f aca="false">IF(E83="K",F83," ")</f>
        <v> </v>
      </c>
      <c r="K83" s="6" t="str">
        <f aca="false">IF(E83="RV",F83," ")</f>
        <v> </v>
      </c>
      <c r="L83" s="6" t="str">
        <f aca="false">IF(E83="DL",F83," ")</f>
        <v> </v>
      </c>
      <c r="M83" s="6" t="str">
        <f aca="false">IF(E83="X",F83," ")</f>
        <v> </v>
      </c>
      <c r="N83" s="39"/>
      <c r="S83" s="38" t="str">
        <f aca="false">IF(T83&lt;&gt;0,"Enter Code"," ")</f>
        <v> </v>
      </c>
      <c r="U83" s="6" t="str">
        <f aca="false">IF(S83="BC",T83," ")</f>
        <v> </v>
      </c>
      <c r="V83" s="6" t="str">
        <f aca="false">IF(S83="CR",T83," ")</f>
        <v> </v>
      </c>
      <c r="W83" s="6" t="str">
        <f aca="false">IF(S83="DR",T83," ")</f>
        <v> </v>
      </c>
      <c r="X83" s="6" t="str">
        <f aca="false">IF(S83="W",T83," ")</f>
        <v> </v>
      </c>
      <c r="Y83" s="6" t="str">
        <f aca="false">IF(S83="B",T83," ")</f>
        <v> </v>
      </c>
      <c r="Z83" s="6" t="str">
        <f aca="false">IF(S83="J",T83," ")</f>
        <v> </v>
      </c>
      <c r="AA83" s="6" t="str">
        <f aca="false">IF(S83="RP",T83," ")</f>
        <v> </v>
      </c>
      <c r="AB83" s="6" t="str">
        <f aca="false">IF(S83="DL",T83," ")</f>
        <v> </v>
      </c>
      <c r="AC83" s="6" t="str">
        <f aca="false">IF(S83="X",T83," ")</f>
        <v> </v>
      </c>
    </row>
    <row r="84" customFormat="false" ht="12.75" hidden="false" customHeight="false" outlineLevel="0" collapsed="false">
      <c r="E84" s="5" t="str">
        <f aca="false">IF(F84&lt;&gt;0,"Enter Code"," ")</f>
        <v> </v>
      </c>
      <c r="G84" s="6" t="str">
        <f aca="false">IF(E84="BC",F84," ")</f>
        <v> </v>
      </c>
      <c r="H84" s="6" t="str">
        <f aca="false">IF(E84="DR",F84," ")</f>
        <v> </v>
      </c>
      <c r="I84" s="6" t="str">
        <f aca="false">IF(E84="CR",F84," ")</f>
        <v> </v>
      </c>
      <c r="J84" s="6" t="str">
        <f aca="false">IF(E84="K",F84," ")</f>
        <v> </v>
      </c>
      <c r="K84" s="6" t="str">
        <f aca="false">IF(E84="RV",F84," ")</f>
        <v> </v>
      </c>
      <c r="L84" s="6" t="str">
        <f aca="false">IF(E84="DL",F84," ")</f>
        <v> </v>
      </c>
      <c r="M84" s="6" t="str">
        <f aca="false">IF(E84="X",F84," ")</f>
        <v> </v>
      </c>
      <c r="N84" s="39"/>
      <c r="S84" s="38" t="str">
        <f aca="false">IF(T84&lt;&gt;0,"Enter Code"," ")</f>
        <v> </v>
      </c>
      <c r="U84" s="6" t="str">
        <f aca="false">IF(S84="BC",T84," ")</f>
        <v> </v>
      </c>
      <c r="V84" s="6" t="str">
        <f aca="false">IF(S84="CR",T84," ")</f>
        <v> </v>
      </c>
      <c r="W84" s="6" t="str">
        <f aca="false">IF(S84="DR",T84," ")</f>
        <v> </v>
      </c>
      <c r="X84" s="6" t="str">
        <f aca="false">IF(S84="W",T84," ")</f>
        <v> </v>
      </c>
      <c r="Y84" s="6" t="str">
        <f aca="false">IF(S84="B",T84," ")</f>
        <v> </v>
      </c>
      <c r="Z84" s="6" t="str">
        <f aca="false">IF(S84="J",T84," ")</f>
        <v> </v>
      </c>
      <c r="AA84" s="6" t="str">
        <f aca="false">IF(S84="RP",T84," ")</f>
        <v> </v>
      </c>
      <c r="AB84" s="6" t="str">
        <f aca="false">IF(S84="DL",T84," ")</f>
        <v> </v>
      </c>
      <c r="AC84" s="6" t="str">
        <f aca="false">IF(S84="X",T84," ")</f>
        <v> </v>
      </c>
    </row>
    <row r="85" customFormat="false" ht="12.75" hidden="false" customHeight="false" outlineLevel="0" collapsed="false">
      <c r="E85" s="5" t="str">
        <f aca="false">IF(F85&lt;&gt;0,"Enter Code"," ")</f>
        <v> </v>
      </c>
      <c r="G85" s="6" t="str">
        <f aca="false">IF(E85="BC",F85," ")</f>
        <v> </v>
      </c>
      <c r="H85" s="6" t="str">
        <f aca="false">IF(E85="DR",F85," ")</f>
        <v> </v>
      </c>
      <c r="I85" s="6" t="str">
        <f aca="false">IF(E85="CR",F85," ")</f>
        <v> </v>
      </c>
      <c r="J85" s="6" t="str">
        <f aca="false">IF(E85="K",F85," ")</f>
        <v> </v>
      </c>
      <c r="K85" s="6" t="str">
        <f aca="false">IF(E85="RV",F85," ")</f>
        <v> </v>
      </c>
      <c r="L85" s="6" t="str">
        <f aca="false">IF(E85="DL",F85," ")</f>
        <v> </v>
      </c>
      <c r="M85" s="6" t="str">
        <f aca="false">IF(E85="X",F85," ")</f>
        <v> </v>
      </c>
      <c r="N85" s="39"/>
      <c r="S85" s="38" t="str">
        <f aca="false">IF(T85&lt;&gt;0,"Enter Code"," ")</f>
        <v> </v>
      </c>
      <c r="U85" s="6" t="str">
        <f aca="false">IF(S85="BC",T85," ")</f>
        <v> </v>
      </c>
      <c r="V85" s="6" t="str">
        <f aca="false">IF(S85="CR",T85," ")</f>
        <v> </v>
      </c>
      <c r="W85" s="6" t="str">
        <f aca="false">IF(S85="DR",T85," ")</f>
        <v> </v>
      </c>
      <c r="X85" s="6" t="str">
        <f aca="false">IF(S85="W",T85," ")</f>
        <v> </v>
      </c>
      <c r="Y85" s="6" t="str">
        <f aca="false">IF(S85="B",T85," ")</f>
        <v> </v>
      </c>
      <c r="Z85" s="6" t="str">
        <f aca="false">IF(S85="J",T85," ")</f>
        <v> </v>
      </c>
      <c r="AA85" s="6" t="str">
        <f aca="false">IF(S85="RP",T85," ")</f>
        <v> </v>
      </c>
      <c r="AB85" s="6" t="str">
        <f aca="false">IF(S85="DL",T85," ")</f>
        <v> </v>
      </c>
      <c r="AC85" s="6" t="str">
        <f aca="false">IF(S85="X",T85," ")</f>
        <v> </v>
      </c>
    </row>
    <row r="86" customFormat="false" ht="12.75" hidden="false" customHeight="false" outlineLevel="0" collapsed="false">
      <c r="E86" s="5" t="str">
        <f aca="false">IF(F86&lt;&gt;0,"Enter Code"," ")</f>
        <v> </v>
      </c>
      <c r="G86" s="6" t="str">
        <f aca="false">IF(E86="BC",F86," ")</f>
        <v> </v>
      </c>
      <c r="H86" s="6" t="str">
        <f aca="false">IF(E86="DR",F86," ")</f>
        <v> </v>
      </c>
      <c r="I86" s="6" t="str">
        <f aca="false">IF(E86="CR",F86," ")</f>
        <v> </v>
      </c>
      <c r="J86" s="6" t="str">
        <f aca="false">IF(E86="K",F86," ")</f>
        <v> </v>
      </c>
      <c r="K86" s="6" t="str">
        <f aca="false">IF(E86="RV",F86," ")</f>
        <v> </v>
      </c>
      <c r="L86" s="6" t="str">
        <f aca="false">IF(E86="DL",F86," ")</f>
        <v> </v>
      </c>
      <c r="M86" s="6" t="str">
        <f aca="false">IF(E86="X",F86," ")</f>
        <v> </v>
      </c>
      <c r="N86" s="39"/>
      <c r="S86" s="38" t="str">
        <f aca="false">IF(T86&lt;&gt;0,"Enter Code"," ")</f>
        <v> </v>
      </c>
      <c r="U86" s="6" t="str">
        <f aca="false">IF(S86="BC",T86," ")</f>
        <v> </v>
      </c>
      <c r="V86" s="6" t="str">
        <f aca="false">IF(S86="CR",T86," ")</f>
        <v> </v>
      </c>
      <c r="W86" s="6" t="str">
        <f aca="false">IF(S86="DR",T86," ")</f>
        <v> </v>
      </c>
      <c r="X86" s="6" t="str">
        <f aca="false">IF(S86="W",T86," ")</f>
        <v> </v>
      </c>
      <c r="Y86" s="6" t="str">
        <f aca="false">IF(S86="B",T86," ")</f>
        <v> </v>
      </c>
      <c r="Z86" s="6" t="str">
        <f aca="false">IF(S86="J",T86," ")</f>
        <v> </v>
      </c>
      <c r="AA86" s="6" t="str">
        <f aca="false">IF(S86="RP",T86," ")</f>
        <v> </v>
      </c>
      <c r="AB86" s="6" t="str">
        <f aca="false">IF(S86="DL",T86," ")</f>
        <v> </v>
      </c>
      <c r="AC86" s="6" t="str">
        <f aca="false">IF(S86="X",T86," ")</f>
        <v> </v>
      </c>
    </row>
    <row r="87" customFormat="false" ht="12.75" hidden="false" customHeight="false" outlineLevel="0" collapsed="false">
      <c r="E87" s="5" t="str">
        <f aca="false">IF(F87&lt;&gt;0,"Enter Code"," ")</f>
        <v> </v>
      </c>
      <c r="G87" s="6" t="str">
        <f aca="false">IF(E87="BC",F87," ")</f>
        <v> </v>
      </c>
      <c r="H87" s="6" t="str">
        <f aca="false">IF(E87="DR",F87," ")</f>
        <v> </v>
      </c>
      <c r="I87" s="6" t="str">
        <f aca="false">IF(E87="CR",F87," ")</f>
        <v> </v>
      </c>
      <c r="J87" s="6" t="str">
        <f aca="false">IF(E87="K",F87," ")</f>
        <v> </v>
      </c>
      <c r="K87" s="6" t="str">
        <f aca="false">IF(E87="RV",F87," ")</f>
        <v> </v>
      </c>
      <c r="L87" s="6" t="str">
        <f aca="false">IF(E87="DL",F87," ")</f>
        <v> </v>
      </c>
      <c r="M87" s="6" t="str">
        <f aca="false">IF(E87="X",F87," ")</f>
        <v> </v>
      </c>
      <c r="N87" s="39"/>
      <c r="S87" s="38" t="str">
        <f aca="false">IF(T87&lt;&gt;0,"Enter Code"," ")</f>
        <v> </v>
      </c>
      <c r="U87" s="6" t="str">
        <f aca="false">IF(S87="BC",T87," ")</f>
        <v> </v>
      </c>
      <c r="V87" s="6" t="str">
        <f aca="false">IF(S87="CR",T87," ")</f>
        <v> </v>
      </c>
      <c r="W87" s="6" t="str">
        <f aca="false">IF(S87="DR",T87," ")</f>
        <v> </v>
      </c>
      <c r="X87" s="6" t="str">
        <f aca="false">IF(S87="W",T87," ")</f>
        <v> </v>
      </c>
      <c r="Y87" s="6" t="str">
        <f aca="false">IF(S87="B",T87," ")</f>
        <v> </v>
      </c>
      <c r="Z87" s="6" t="str">
        <f aca="false">IF(S87="J",T87," ")</f>
        <v> </v>
      </c>
      <c r="AA87" s="6" t="str">
        <f aca="false">IF(S87="RP",T87," ")</f>
        <v> </v>
      </c>
      <c r="AB87" s="6" t="str">
        <f aca="false">IF(S87="DL",T87," ")</f>
        <v> </v>
      </c>
      <c r="AC87" s="6" t="str">
        <f aca="false">IF(S87="X",T87," ")</f>
        <v> </v>
      </c>
    </row>
    <row r="88" customFormat="false" ht="12.75" hidden="false" customHeight="false" outlineLevel="0" collapsed="false">
      <c r="E88" s="5" t="str">
        <f aca="false">IF(F88&lt;&gt;0,"Enter Code"," ")</f>
        <v> </v>
      </c>
      <c r="G88" s="6" t="str">
        <f aca="false">IF(E88="BC",F88," ")</f>
        <v> </v>
      </c>
      <c r="H88" s="6" t="str">
        <f aca="false">IF(E88="DR",F88," ")</f>
        <v> </v>
      </c>
      <c r="I88" s="6" t="str">
        <f aca="false">IF(E88="CR",F88," ")</f>
        <v> </v>
      </c>
      <c r="J88" s="6" t="str">
        <f aca="false">IF(E88="K",F88," ")</f>
        <v> </v>
      </c>
      <c r="K88" s="6" t="str">
        <f aca="false">IF(E88="RV",F88," ")</f>
        <v> </v>
      </c>
      <c r="L88" s="6" t="str">
        <f aca="false">IF(E88="DL",F88," ")</f>
        <v> </v>
      </c>
      <c r="M88" s="6" t="str">
        <f aca="false">IF(E88="X",F88," ")</f>
        <v> </v>
      </c>
      <c r="N88" s="39"/>
      <c r="S88" s="38" t="str">
        <f aca="false">IF(T88&lt;&gt;0,"Enter Code"," ")</f>
        <v> </v>
      </c>
      <c r="U88" s="6" t="str">
        <f aca="false">IF(S88="BC",T88," ")</f>
        <v> </v>
      </c>
      <c r="V88" s="6" t="str">
        <f aca="false">IF(S88="CR",T88," ")</f>
        <v> </v>
      </c>
      <c r="W88" s="6" t="str">
        <f aca="false">IF(S88="DR",T88," ")</f>
        <v> </v>
      </c>
      <c r="X88" s="6" t="str">
        <f aca="false">IF(S88="W",T88," ")</f>
        <v> </v>
      </c>
      <c r="Y88" s="6" t="str">
        <f aca="false">IF(S88="B",T88," ")</f>
        <v> </v>
      </c>
      <c r="Z88" s="6" t="str">
        <f aca="false">IF(S88="J",T88," ")</f>
        <v> </v>
      </c>
      <c r="AA88" s="6" t="str">
        <f aca="false">IF(S88="RP",T88," ")</f>
        <v> </v>
      </c>
      <c r="AB88" s="6" t="str">
        <f aca="false">IF(S88="DL",T88," ")</f>
        <v> </v>
      </c>
      <c r="AC88" s="6" t="str">
        <f aca="false">IF(S88="X",T88," ")</f>
        <v> </v>
      </c>
    </row>
    <row r="89" customFormat="false" ht="12.75" hidden="false" customHeight="false" outlineLevel="0" collapsed="false">
      <c r="E89" s="5" t="str">
        <f aca="false">IF(F89&lt;&gt;0,"Enter Code"," ")</f>
        <v> </v>
      </c>
      <c r="G89" s="6" t="str">
        <f aca="false">IF(E89="BC",F89," ")</f>
        <v> </v>
      </c>
      <c r="H89" s="6" t="str">
        <f aca="false">IF(E89="DR",F89," ")</f>
        <v> </v>
      </c>
      <c r="I89" s="6" t="str">
        <f aca="false">IF(E89="CR",F89," ")</f>
        <v> </v>
      </c>
      <c r="J89" s="6" t="str">
        <f aca="false">IF(E89="K",F89," ")</f>
        <v> </v>
      </c>
      <c r="K89" s="6" t="str">
        <f aca="false">IF(E89="RV",F89," ")</f>
        <v> </v>
      </c>
      <c r="L89" s="6" t="str">
        <f aca="false">IF(E89="DL",F89," ")</f>
        <v> </v>
      </c>
      <c r="M89" s="6" t="str">
        <f aca="false">IF(E89="X",F89," ")</f>
        <v> </v>
      </c>
      <c r="N89" s="39"/>
      <c r="S89" s="38" t="str">
        <f aca="false">IF(T89&lt;&gt;0,"Enter Code"," ")</f>
        <v> </v>
      </c>
      <c r="U89" s="6" t="str">
        <f aca="false">IF(S89="BC",T89," ")</f>
        <v> </v>
      </c>
      <c r="V89" s="6" t="str">
        <f aca="false">IF(S89="CR",T89," ")</f>
        <v> </v>
      </c>
      <c r="W89" s="6" t="str">
        <f aca="false">IF(S89="DR",T89," ")</f>
        <v> </v>
      </c>
      <c r="X89" s="6" t="str">
        <f aca="false">IF(S89="W",T89," ")</f>
        <v> </v>
      </c>
      <c r="Y89" s="6" t="str">
        <f aca="false">IF(S89="B",T89," ")</f>
        <v> </v>
      </c>
      <c r="Z89" s="6" t="str">
        <f aca="false">IF(S89="J",T89," ")</f>
        <v> </v>
      </c>
      <c r="AA89" s="6" t="str">
        <f aca="false">IF(S89="RP",T89," ")</f>
        <v> </v>
      </c>
      <c r="AB89" s="6" t="str">
        <f aca="false">IF(S89="DL",T89," ")</f>
        <v> </v>
      </c>
      <c r="AC89" s="6" t="str">
        <f aca="false">IF(S89="X",T89," ")</f>
        <v> </v>
      </c>
    </row>
    <row r="90" customFormat="false" ht="12.75" hidden="false" customHeight="false" outlineLevel="0" collapsed="false">
      <c r="E90" s="5" t="str">
        <f aca="false">IF(F90&lt;&gt;0,"Enter Code"," ")</f>
        <v> </v>
      </c>
      <c r="G90" s="6" t="str">
        <f aca="false">IF(E90="BC",F90," ")</f>
        <v> </v>
      </c>
      <c r="H90" s="6" t="str">
        <f aca="false">IF(E90="DR",F90," ")</f>
        <v> </v>
      </c>
      <c r="I90" s="6" t="str">
        <f aca="false">IF(E90="CR",F90," ")</f>
        <v> </v>
      </c>
      <c r="J90" s="6" t="str">
        <f aca="false">IF(E90="K",F90," ")</f>
        <v> </v>
      </c>
      <c r="K90" s="6" t="str">
        <f aca="false">IF(E90="RV",F90," ")</f>
        <v> </v>
      </c>
      <c r="L90" s="6" t="str">
        <f aca="false">IF(E90="DL",F90," ")</f>
        <v> </v>
      </c>
      <c r="M90" s="6" t="str">
        <f aca="false">IF(E90="X",F90," ")</f>
        <v> </v>
      </c>
      <c r="N90" s="39"/>
      <c r="S90" s="38" t="str">
        <f aca="false">IF(T90&lt;&gt;0,"Enter Code"," ")</f>
        <v> </v>
      </c>
      <c r="U90" s="6" t="str">
        <f aca="false">IF(S90="BC",T90," ")</f>
        <v> </v>
      </c>
      <c r="V90" s="6" t="str">
        <f aca="false">IF(S90="CR",T90," ")</f>
        <v> </v>
      </c>
      <c r="W90" s="6" t="str">
        <f aca="false">IF(S90="DR",T90," ")</f>
        <v> </v>
      </c>
      <c r="X90" s="6" t="str">
        <f aca="false">IF(S90="W",T90," ")</f>
        <v> </v>
      </c>
      <c r="Y90" s="6" t="str">
        <f aca="false">IF(S90="B",T90," ")</f>
        <v> </v>
      </c>
      <c r="Z90" s="6" t="str">
        <f aca="false">IF(S90="J",T90," ")</f>
        <v> </v>
      </c>
      <c r="AA90" s="6" t="str">
        <f aca="false">IF(S90="RP",T90," ")</f>
        <v> </v>
      </c>
      <c r="AB90" s="6" t="str">
        <f aca="false">IF(S90="DL",T90," ")</f>
        <v> </v>
      </c>
      <c r="AC90" s="6" t="str">
        <f aca="false">IF(S90="X",T90," ")</f>
        <v> </v>
      </c>
    </row>
    <row r="91" customFormat="false" ht="12.75" hidden="false" customHeight="false" outlineLevel="0" collapsed="false">
      <c r="E91" s="5" t="str">
        <f aca="false">IF(F91&lt;&gt;0,"Enter Code"," ")</f>
        <v> </v>
      </c>
      <c r="G91" s="6" t="str">
        <f aca="false">IF(E91="BC",F91," ")</f>
        <v> </v>
      </c>
      <c r="H91" s="6" t="str">
        <f aca="false">IF(E91="DR",F91," ")</f>
        <v> </v>
      </c>
      <c r="I91" s="6" t="str">
        <f aca="false">IF(E91="CR",F91," ")</f>
        <v> </v>
      </c>
      <c r="J91" s="6" t="str">
        <f aca="false">IF(E91="K",F91," ")</f>
        <v> </v>
      </c>
      <c r="K91" s="6" t="str">
        <f aca="false">IF(E91="RV",F91," ")</f>
        <v> </v>
      </c>
      <c r="L91" s="6" t="str">
        <f aca="false">IF(E91="DL",F91," ")</f>
        <v> </v>
      </c>
      <c r="M91" s="6" t="str">
        <f aca="false">IF(E91="X",F91," ")</f>
        <v> </v>
      </c>
      <c r="N91" s="39"/>
      <c r="S91" s="38" t="str">
        <f aca="false">IF(T91&lt;&gt;0,"Enter Code"," ")</f>
        <v> </v>
      </c>
      <c r="U91" s="6" t="str">
        <f aca="false">IF(S91="BC",T91," ")</f>
        <v> </v>
      </c>
      <c r="V91" s="6" t="str">
        <f aca="false">IF(S91="CR",T91," ")</f>
        <v> </v>
      </c>
      <c r="W91" s="6" t="str">
        <f aca="false">IF(S91="DR",T91," ")</f>
        <v> </v>
      </c>
      <c r="X91" s="6" t="str">
        <f aca="false">IF(S91="W",T91," ")</f>
        <v> </v>
      </c>
      <c r="Y91" s="6" t="str">
        <f aca="false">IF(S91="B",T91," ")</f>
        <v> </v>
      </c>
      <c r="Z91" s="6" t="str">
        <f aca="false">IF(S91="J",T91," ")</f>
        <v> </v>
      </c>
      <c r="AA91" s="6" t="str">
        <f aca="false">IF(S91="RP",T91," ")</f>
        <v> </v>
      </c>
      <c r="AB91" s="6" t="str">
        <f aca="false">IF(S91="DL",T91," ")</f>
        <v> </v>
      </c>
      <c r="AC91" s="6" t="str">
        <f aca="false">IF(S91="X",T91," ")</f>
        <v> </v>
      </c>
    </row>
    <row r="92" customFormat="false" ht="12.75" hidden="false" customHeight="false" outlineLevel="0" collapsed="false">
      <c r="E92" s="5" t="str">
        <f aca="false">IF(F92&lt;&gt;0,"Enter Code"," ")</f>
        <v> </v>
      </c>
      <c r="G92" s="6" t="str">
        <f aca="false">IF(E92="BC",F92," ")</f>
        <v> </v>
      </c>
      <c r="H92" s="6" t="str">
        <f aca="false">IF(E92="DR",F92," ")</f>
        <v> </v>
      </c>
      <c r="I92" s="6" t="str">
        <f aca="false">IF(E92="CR",F92," ")</f>
        <v> </v>
      </c>
      <c r="J92" s="6" t="str">
        <f aca="false">IF(E92="K",F92," ")</f>
        <v> </v>
      </c>
      <c r="K92" s="6" t="str">
        <f aca="false">IF(E92="RV",F92," ")</f>
        <v> </v>
      </c>
      <c r="L92" s="6" t="str">
        <f aca="false">IF(E92="DL",F92," ")</f>
        <v> </v>
      </c>
      <c r="M92" s="6" t="str">
        <f aca="false">IF(E92="X",F92," ")</f>
        <v> </v>
      </c>
      <c r="N92" s="39"/>
      <c r="S92" s="38" t="str">
        <f aca="false">IF(T92&lt;&gt;0,"Enter Code"," ")</f>
        <v> </v>
      </c>
      <c r="U92" s="6" t="str">
        <f aca="false">IF(S92="BC",T92," ")</f>
        <v> </v>
      </c>
      <c r="V92" s="6" t="str">
        <f aca="false">IF(S92="CR",T92," ")</f>
        <v> </v>
      </c>
      <c r="W92" s="6" t="str">
        <f aca="false">IF(S92="DR",T92," ")</f>
        <v> </v>
      </c>
      <c r="X92" s="6" t="str">
        <f aca="false">IF(S92="W",T92," ")</f>
        <v> </v>
      </c>
      <c r="Y92" s="6" t="str">
        <f aca="false">IF(S92="B",T92," ")</f>
        <v> </v>
      </c>
      <c r="Z92" s="6" t="str">
        <f aca="false">IF(S92="J",T92," ")</f>
        <v> </v>
      </c>
      <c r="AA92" s="6" t="str">
        <f aca="false">IF(S92="RP",T92," ")</f>
        <v> </v>
      </c>
      <c r="AB92" s="6" t="str">
        <f aca="false">IF(S92="DL",T92," ")</f>
        <v> </v>
      </c>
      <c r="AC92" s="6" t="str">
        <f aca="false">IF(S92="X",T92," ")</f>
        <v> </v>
      </c>
    </row>
    <row r="93" customFormat="false" ht="12.75" hidden="false" customHeight="false" outlineLevel="0" collapsed="false">
      <c r="E93" s="5" t="str">
        <f aca="false">IF(F93&lt;&gt;0,"Enter Code"," ")</f>
        <v> </v>
      </c>
      <c r="G93" s="6" t="str">
        <f aca="false">IF(E93="BC",F93," ")</f>
        <v> </v>
      </c>
      <c r="H93" s="6" t="str">
        <f aca="false">IF(E93="DR",F93," ")</f>
        <v> </v>
      </c>
      <c r="I93" s="6" t="str">
        <f aca="false">IF(E93="CR",F93," ")</f>
        <v> </v>
      </c>
      <c r="J93" s="6" t="str">
        <f aca="false">IF(E93="K",F93," ")</f>
        <v> </v>
      </c>
      <c r="K93" s="6" t="str">
        <f aca="false">IF(E93="RV",F93," ")</f>
        <v> </v>
      </c>
      <c r="L93" s="6" t="str">
        <f aca="false">IF(E93="DL",F93," ")</f>
        <v> </v>
      </c>
      <c r="M93" s="6" t="str">
        <f aca="false">IF(E93="X",F93," ")</f>
        <v> </v>
      </c>
      <c r="N93" s="39"/>
      <c r="S93" s="38" t="str">
        <f aca="false">IF(T93&lt;&gt;0,"Enter Code"," ")</f>
        <v> </v>
      </c>
      <c r="U93" s="6" t="str">
        <f aca="false">IF(S93="BC",T93," ")</f>
        <v> </v>
      </c>
      <c r="V93" s="6" t="str">
        <f aca="false">IF(S93="CR",T93," ")</f>
        <v> </v>
      </c>
      <c r="W93" s="6" t="str">
        <f aca="false">IF(S93="DR",T93," ")</f>
        <v> </v>
      </c>
      <c r="X93" s="6" t="str">
        <f aca="false">IF(S93="W",T93," ")</f>
        <v> </v>
      </c>
      <c r="Y93" s="6" t="str">
        <f aca="false">IF(S93="B",T93," ")</f>
        <v> </v>
      </c>
      <c r="Z93" s="6" t="str">
        <f aca="false">IF(S93="J",T93," ")</f>
        <v> </v>
      </c>
      <c r="AA93" s="6" t="str">
        <f aca="false">IF(S93="RP",T93," ")</f>
        <v> </v>
      </c>
      <c r="AB93" s="6" t="str">
        <f aca="false">IF(S93="DL",T93," ")</f>
        <v> </v>
      </c>
      <c r="AC93" s="6" t="str">
        <f aca="false">IF(S93="X",T93," ")</f>
        <v> </v>
      </c>
    </row>
    <row r="94" customFormat="false" ht="12.75" hidden="false" customHeight="false" outlineLevel="0" collapsed="false">
      <c r="E94" s="5" t="str">
        <f aca="false">IF(F94&lt;&gt;0,"Enter Code"," ")</f>
        <v> </v>
      </c>
      <c r="G94" s="6" t="str">
        <f aca="false">IF(E94="BC",F94," ")</f>
        <v> </v>
      </c>
      <c r="H94" s="6" t="str">
        <f aca="false">IF(E94="DR",F94," ")</f>
        <v> </v>
      </c>
      <c r="I94" s="6" t="str">
        <f aca="false">IF(E94="CR",F94," ")</f>
        <v> </v>
      </c>
      <c r="J94" s="6" t="str">
        <f aca="false">IF(E94="K",F94," ")</f>
        <v> </v>
      </c>
      <c r="K94" s="6" t="str">
        <f aca="false">IF(E94="RV",F94," ")</f>
        <v> </v>
      </c>
      <c r="L94" s="6" t="str">
        <f aca="false">IF(E94="DL",F94," ")</f>
        <v> </v>
      </c>
      <c r="M94" s="6" t="str">
        <f aca="false">IF(E94="X",F94," ")</f>
        <v> </v>
      </c>
      <c r="N94" s="39"/>
      <c r="S94" s="38" t="str">
        <f aca="false">IF(T94&lt;&gt;0,"Enter Code"," ")</f>
        <v> </v>
      </c>
      <c r="U94" s="6" t="str">
        <f aca="false">IF(S94="BC",T94," ")</f>
        <v> </v>
      </c>
      <c r="V94" s="6" t="str">
        <f aca="false">IF(S94="CR",T94," ")</f>
        <v> </v>
      </c>
      <c r="W94" s="6" t="str">
        <f aca="false">IF(S94="DR",T94," ")</f>
        <v> </v>
      </c>
      <c r="X94" s="6" t="str">
        <f aca="false">IF(S94="W",T94," ")</f>
        <v> </v>
      </c>
      <c r="Y94" s="6" t="str">
        <f aca="false">IF(S94="B",T94," ")</f>
        <v> </v>
      </c>
      <c r="Z94" s="6" t="str">
        <f aca="false">IF(S94="J",T94," ")</f>
        <v> </v>
      </c>
      <c r="AA94" s="6" t="str">
        <f aca="false">IF(S94="RP",T94," ")</f>
        <v> </v>
      </c>
      <c r="AB94" s="6" t="str">
        <f aca="false">IF(S94="DL",T94," ")</f>
        <v> </v>
      </c>
      <c r="AC94" s="6" t="str">
        <f aca="false">IF(S94="X",T94," ")</f>
        <v> </v>
      </c>
    </row>
    <row r="95" customFormat="false" ht="12.75" hidden="false" customHeight="false" outlineLevel="0" collapsed="false">
      <c r="E95" s="5" t="str">
        <f aca="false">IF(F95&lt;&gt;0,"Enter Code"," ")</f>
        <v> </v>
      </c>
      <c r="G95" s="6" t="str">
        <f aca="false">IF(E95="BC",F95," ")</f>
        <v> </v>
      </c>
      <c r="H95" s="6" t="str">
        <f aca="false">IF(E95="DR",F95," ")</f>
        <v> </v>
      </c>
      <c r="I95" s="6" t="str">
        <f aca="false">IF(E95="CR",F95," ")</f>
        <v> </v>
      </c>
      <c r="J95" s="6" t="str">
        <f aca="false">IF(E95="K",F95," ")</f>
        <v> </v>
      </c>
      <c r="K95" s="6" t="str">
        <f aca="false">IF(E95="RV",F95," ")</f>
        <v> </v>
      </c>
      <c r="L95" s="6" t="str">
        <f aca="false">IF(E95="DL",F95," ")</f>
        <v> </v>
      </c>
      <c r="M95" s="6" t="str">
        <f aca="false">IF(E95="X",F95," ")</f>
        <v> </v>
      </c>
      <c r="N95" s="39"/>
      <c r="S95" s="38" t="str">
        <f aca="false">IF(T95&lt;&gt;0,"Enter Code"," ")</f>
        <v> </v>
      </c>
      <c r="U95" s="6" t="str">
        <f aca="false">IF(S95="BC",T95," ")</f>
        <v> </v>
      </c>
      <c r="V95" s="6" t="str">
        <f aca="false">IF(S95="CR",T95," ")</f>
        <v> </v>
      </c>
      <c r="W95" s="6" t="str">
        <f aca="false">IF(S95="DR",T95," ")</f>
        <v> </v>
      </c>
      <c r="X95" s="6" t="str">
        <f aca="false">IF(S95="W",T95," ")</f>
        <v> </v>
      </c>
      <c r="Y95" s="6" t="str">
        <f aca="false">IF(S95="B",T95," ")</f>
        <v> </v>
      </c>
      <c r="Z95" s="6" t="str">
        <f aca="false">IF(S95="J",T95," ")</f>
        <v> </v>
      </c>
      <c r="AA95" s="6" t="str">
        <f aca="false">IF(S95="RP",T95," ")</f>
        <v> </v>
      </c>
      <c r="AB95" s="6" t="str">
        <f aca="false">IF(S95="DL",T95," ")</f>
        <v> </v>
      </c>
      <c r="AC95" s="6" t="str">
        <f aca="false">IF(S95="X",T95," ")</f>
        <v> </v>
      </c>
    </row>
    <row r="96" customFormat="false" ht="12.75" hidden="false" customHeight="false" outlineLevel="0" collapsed="false">
      <c r="E96" s="5" t="str">
        <f aca="false">IF(F96&lt;&gt;0,"Enter Code"," ")</f>
        <v> </v>
      </c>
      <c r="G96" s="6" t="str">
        <f aca="false">IF(E96="BC",F96," ")</f>
        <v> </v>
      </c>
      <c r="H96" s="6" t="str">
        <f aca="false">IF(E96="DR",F96," ")</f>
        <v> </v>
      </c>
      <c r="I96" s="6" t="str">
        <f aca="false">IF(E96="CR",F96," ")</f>
        <v> </v>
      </c>
      <c r="J96" s="6" t="str">
        <f aca="false">IF(E96="K",F96," ")</f>
        <v> </v>
      </c>
      <c r="K96" s="6" t="str">
        <f aca="false">IF(E96="RV",F96," ")</f>
        <v> </v>
      </c>
      <c r="L96" s="6" t="str">
        <f aca="false">IF(E96="DL",F96," ")</f>
        <v> </v>
      </c>
      <c r="M96" s="6" t="str">
        <f aca="false">IF(E96="X",F96," ")</f>
        <v> </v>
      </c>
      <c r="N96" s="39"/>
      <c r="S96" s="38" t="str">
        <f aca="false">IF(T96&lt;&gt;0,"Enter Code"," ")</f>
        <v> </v>
      </c>
      <c r="U96" s="6" t="str">
        <f aca="false">IF(S96="BC",T96," ")</f>
        <v> </v>
      </c>
      <c r="V96" s="6" t="str">
        <f aca="false">IF(S96="CR",T96," ")</f>
        <v> </v>
      </c>
      <c r="W96" s="6" t="str">
        <f aca="false">IF(S96="DR",T96," ")</f>
        <v> </v>
      </c>
      <c r="X96" s="6" t="str">
        <f aca="false">IF(S96="W",T96," ")</f>
        <v> </v>
      </c>
      <c r="Y96" s="6" t="str">
        <f aca="false">IF(S96="B",T96," ")</f>
        <v> </v>
      </c>
      <c r="Z96" s="6" t="str">
        <f aca="false">IF(S96="J",T96," ")</f>
        <v> </v>
      </c>
      <c r="AA96" s="6" t="str">
        <f aca="false">IF(S96="RP",T96," ")</f>
        <v> </v>
      </c>
      <c r="AB96" s="6" t="str">
        <f aca="false">IF(S96="DL",T96," ")</f>
        <v> </v>
      </c>
      <c r="AC96" s="6" t="str">
        <f aca="false">IF(S96="X",T96," ")</f>
        <v> </v>
      </c>
    </row>
    <row r="97" customFormat="false" ht="12.75" hidden="false" customHeight="false" outlineLevel="0" collapsed="false">
      <c r="E97" s="5" t="str">
        <f aca="false">IF(F97&lt;&gt;0,"Enter Code"," ")</f>
        <v> </v>
      </c>
      <c r="G97" s="6" t="str">
        <f aca="false">IF(E97="BC",F97," ")</f>
        <v> </v>
      </c>
      <c r="H97" s="6" t="str">
        <f aca="false">IF(E97="DR",F97," ")</f>
        <v> </v>
      </c>
      <c r="I97" s="6" t="str">
        <f aca="false">IF(E97="CR",F97," ")</f>
        <v> </v>
      </c>
      <c r="J97" s="6" t="str">
        <f aca="false">IF(E97="K",F97," ")</f>
        <v> </v>
      </c>
      <c r="K97" s="6" t="str">
        <f aca="false">IF(E97="RV",F97," ")</f>
        <v> </v>
      </c>
      <c r="L97" s="6" t="str">
        <f aca="false">IF(E97="DL",F97," ")</f>
        <v> </v>
      </c>
      <c r="M97" s="6" t="str">
        <f aca="false">IF(E97="X",F97," ")</f>
        <v> </v>
      </c>
      <c r="N97" s="39"/>
      <c r="S97" s="38" t="str">
        <f aca="false">IF(T97&lt;&gt;0,"Enter Code"," ")</f>
        <v> </v>
      </c>
      <c r="U97" s="6" t="str">
        <f aca="false">IF(S97="BC",T97," ")</f>
        <v> </v>
      </c>
      <c r="V97" s="6" t="str">
        <f aca="false">IF(S97="CR",T97," ")</f>
        <v> </v>
      </c>
      <c r="W97" s="6" t="str">
        <f aca="false">IF(S97="DR",T97," ")</f>
        <v> </v>
      </c>
      <c r="X97" s="6" t="str">
        <f aca="false">IF(S97="W",T97," ")</f>
        <v> </v>
      </c>
      <c r="Y97" s="6" t="str">
        <f aca="false">IF(S97="B",T97," ")</f>
        <v> </v>
      </c>
      <c r="Z97" s="6" t="str">
        <f aca="false">IF(S97="J",T97," ")</f>
        <v> </v>
      </c>
      <c r="AA97" s="6" t="str">
        <f aca="false">IF(S97="RP",T97," ")</f>
        <v> </v>
      </c>
      <c r="AB97" s="6" t="str">
        <f aca="false">IF(S97="DL",T97," ")</f>
        <v> </v>
      </c>
      <c r="AC97" s="6" t="str">
        <f aca="false">IF(S97="X",T97," ")</f>
        <v> </v>
      </c>
    </row>
    <row r="98" customFormat="false" ht="12.75" hidden="false" customHeight="false" outlineLevel="0" collapsed="false">
      <c r="E98" s="5" t="str">
        <f aca="false">IF(F98&lt;&gt;0,"Enter Code"," ")</f>
        <v> </v>
      </c>
      <c r="G98" s="6" t="str">
        <f aca="false">IF(E98="BC",F98," ")</f>
        <v> </v>
      </c>
      <c r="H98" s="6" t="str">
        <f aca="false">IF(E98="DR",F98," ")</f>
        <v> </v>
      </c>
      <c r="I98" s="6" t="str">
        <f aca="false">IF(E98="CR",F98," ")</f>
        <v> </v>
      </c>
      <c r="J98" s="6" t="str">
        <f aca="false">IF(E98="K",F98," ")</f>
        <v> </v>
      </c>
      <c r="K98" s="6" t="str">
        <f aca="false">IF(E98="RV",F98," ")</f>
        <v> </v>
      </c>
      <c r="L98" s="6" t="str">
        <f aca="false">IF(E98="DL",F98," ")</f>
        <v> </v>
      </c>
      <c r="M98" s="6" t="str">
        <f aca="false">IF(E98="X",F98," ")</f>
        <v> </v>
      </c>
      <c r="N98" s="39"/>
      <c r="S98" s="38" t="str">
        <f aca="false">IF(T98&lt;&gt;0,"Enter Code"," ")</f>
        <v> </v>
      </c>
      <c r="U98" s="6" t="str">
        <f aca="false">IF(S98="BC",T98," ")</f>
        <v> </v>
      </c>
      <c r="V98" s="6" t="str">
        <f aca="false">IF(S98="CR",T98," ")</f>
        <v> </v>
      </c>
      <c r="W98" s="6" t="str">
        <f aca="false">IF(S98="DR",T98," ")</f>
        <v> </v>
      </c>
      <c r="X98" s="6" t="str">
        <f aca="false">IF(S98="W",T98," ")</f>
        <v> </v>
      </c>
      <c r="Y98" s="6" t="str">
        <f aca="false">IF(S98="B",T98," ")</f>
        <v> </v>
      </c>
      <c r="Z98" s="6" t="str">
        <f aca="false">IF(S98="J",T98," ")</f>
        <v> </v>
      </c>
      <c r="AA98" s="6" t="str">
        <f aca="false">IF(S98="RP",T98," ")</f>
        <v> </v>
      </c>
      <c r="AB98" s="6" t="str">
        <f aca="false">IF(S98="DL",T98," ")</f>
        <v> </v>
      </c>
      <c r="AC98" s="6" t="str">
        <f aca="false">IF(S98="X",T98," ")</f>
        <v> </v>
      </c>
    </row>
    <row r="99" customFormat="false" ht="12.75" hidden="false" customHeight="false" outlineLevel="0" collapsed="false">
      <c r="E99" s="5" t="str">
        <f aca="false">IF(F99&lt;&gt;0,"Enter Code"," ")</f>
        <v> </v>
      </c>
      <c r="G99" s="6" t="str">
        <f aca="false">IF(E99="BC",F99," ")</f>
        <v> </v>
      </c>
      <c r="H99" s="6" t="str">
        <f aca="false">IF(E99="DR",F99," ")</f>
        <v> </v>
      </c>
      <c r="I99" s="6" t="str">
        <f aca="false">IF(E99="CR",F99," ")</f>
        <v> </v>
      </c>
      <c r="J99" s="6" t="str">
        <f aca="false">IF(E99="K",F99," ")</f>
        <v> </v>
      </c>
      <c r="K99" s="6" t="str">
        <f aca="false">IF(E99="RV",F99," ")</f>
        <v> </v>
      </c>
      <c r="L99" s="6" t="str">
        <f aca="false">IF(E99="DL",F99," ")</f>
        <v> </v>
      </c>
      <c r="M99" s="6" t="str">
        <f aca="false">IF(E99="X",F99," ")</f>
        <v> </v>
      </c>
      <c r="N99" s="39"/>
      <c r="S99" s="38" t="str">
        <f aca="false">IF(T99&lt;&gt;0,"Enter Code"," ")</f>
        <v> </v>
      </c>
      <c r="U99" s="6" t="str">
        <f aca="false">IF(S99="BC",T99," ")</f>
        <v> </v>
      </c>
      <c r="V99" s="6" t="str">
        <f aca="false">IF(S99="CR",T99," ")</f>
        <v> </v>
      </c>
      <c r="W99" s="6" t="str">
        <f aca="false">IF(S99="DR",T99," ")</f>
        <v> </v>
      </c>
      <c r="X99" s="6" t="str">
        <f aca="false">IF(S99="W",T99," ")</f>
        <v> </v>
      </c>
      <c r="Y99" s="6" t="str">
        <f aca="false">IF(S99="B",T99," ")</f>
        <v> </v>
      </c>
      <c r="Z99" s="6" t="str">
        <f aca="false">IF(S99="J",T99," ")</f>
        <v> </v>
      </c>
      <c r="AA99" s="6" t="str">
        <f aca="false">IF(S99="RP",T99," ")</f>
        <v> </v>
      </c>
      <c r="AB99" s="6" t="str">
        <f aca="false">IF(S99="DL",T99," ")</f>
        <v> </v>
      </c>
      <c r="AC99" s="6" t="str">
        <f aca="false">IF(S99="X",T99," ")</f>
        <v> </v>
      </c>
    </row>
    <row r="100" customFormat="false" ht="12.75" hidden="false" customHeight="false" outlineLevel="0" collapsed="false">
      <c r="E100" s="5" t="str">
        <f aca="false">IF(F100&lt;&gt;0,"Enter Code"," ")</f>
        <v> </v>
      </c>
      <c r="G100" s="6" t="str">
        <f aca="false">IF(E100="BC",F100," ")</f>
        <v> </v>
      </c>
      <c r="H100" s="6" t="str">
        <f aca="false">IF(E100="DR",F100," ")</f>
        <v> </v>
      </c>
      <c r="I100" s="6" t="str">
        <f aca="false">IF(E100="CR",F100," ")</f>
        <v> </v>
      </c>
      <c r="J100" s="6" t="str">
        <f aca="false">IF(E100="K",F100," ")</f>
        <v> </v>
      </c>
      <c r="K100" s="6" t="str">
        <f aca="false">IF(E100="RV",F100," ")</f>
        <v> </v>
      </c>
      <c r="L100" s="6" t="str">
        <f aca="false">IF(E100="DL",F100," ")</f>
        <v> </v>
      </c>
      <c r="M100" s="6" t="str">
        <f aca="false">IF(E100="X",F100," ")</f>
        <v> </v>
      </c>
      <c r="N100" s="39"/>
      <c r="S100" s="38" t="str">
        <f aca="false">IF(T100&lt;&gt;0,"Enter Code"," ")</f>
        <v> </v>
      </c>
      <c r="U100" s="6" t="str">
        <f aca="false">IF(S100="BC",T100," ")</f>
        <v> </v>
      </c>
      <c r="V100" s="6" t="str">
        <f aca="false">IF(S100="CR",T100," ")</f>
        <v> </v>
      </c>
      <c r="W100" s="6" t="str">
        <f aca="false">IF(S100="DR",T100," ")</f>
        <v> </v>
      </c>
      <c r="X100" s="6" t="str">
        <f aca="false">IF(S100="W",T100," ")</f>
        <v> </v>
      </c>
      <c r="Y100" s="6" t="str">
        <f aca="false">IF(S100="B",T100," ")</f>
        <v> </v>
      </c>
      <c r="Z100" s="6" t="str">
        <f aca="false">IF(S100="J",T100," ")</f>
        <v> </v>
      </c>
      <c r="AA100" s="6" t="str">
        <f aca="false">IF(S100="RP",T100," ")</f>
        <v> </v>
      </c>
      <c r="AB100" s="6" t="str">
        <f aca="false">IF(S100="DL",T100," ")</f>
        <v> </v>
      </c>
      <c r="AC100" s="6" t="str">
        <f aca="false">IF(S100="X",T100," ")</f>
        <v> </v>
      </c>
    </row>
    <row r="101" customFormat="false" ht="12.75" hidden="false" customHeight="false" outlineLevel="0" collapsed="false">
      <c r="E101" s="5" t="str">
        <f aca="false">IF(F101&lt;&gt;0,"Enter Code"," ")</f>
        <v> </v>
      </c>
      <c r="G101" s="6" t="str">
        <f aca="false">IF(E101="BC",F101," ")</f>
        <v> </v>
      </c>
      <c r="H101" s="6" t="str">
        <f aca="false">IF(E101="DR",F101," ")</f>
        <v> </v>
      </c>
      <c r="I101" s="6" t="str">
        <f aca="false">IF(E101="CR",F101," ")</f>
        <v> </v>
      </c>
      <c r="J101" s="6" t="str">
        <f aca="false">IF(E101="K",F101," ")</f>
        <v> </v>
      </c>
      <c r="K101" s="6" t="str">
        <f aca="false">IF(E101="RV",F101," ")</f>
        <v> </v>
      </c>
      <c r="L101" s="6" t="str">
        <f aca="false">IF(E101="DL",F101," ")</f>
        <v> </v>
      </c>
      <c r="M101" s="6" t="str">
        <f aca="false">IF(E101="X",F101," ")</f>
        <v> </v>
      </c>
      <c r="N101" s="39"/>
      <c r="S101" s="38" t="str">
        <f aca="false">IF(T101&lt;&gt;0,"Enter Code"," ")</f>
        <v> </v>
      </c>
      <c r="U101" s="6" t="str">
        <f aca="false">IF(S101="BC",T101," ")</f>
        <v> </v>
      </c>
      <c r="V101" s="6" t="str">
        <f aca="false">IF(S101="CR",T101," ")</f>
        <v> </v>
      </c>
      <c r="W101" s="6" t="str">
        <f aca="false">IF(S101="DR",T101," ")</f>
        <v> </v>
      </c>
      <c r="X101" s="6" t="str">
        <f aca="false">IF(S101="W",T101," ")</f>
        <v> </v>
      </c>
      <c r="Y101" s="6" t="str">
        <f aca="false">IF(S101="B",T101," ")</f>
        <v> </v>
      </c>
      <c r="Z101" s="6" t="str">
        <f aca="false">IF(S101="J",T101," ")</f>
        <v> </v>
      </c>
      <c r="AA101" s="6" t="str">
        <f aca="false">IF(S101="RP",T101," ")</f>
        <v> </v>
      </c>
      <c r="AB101" s="6" t="str">
        <f aca="false">IF(S101="DL",T101," ")</f>
        <v> </v>
      </c>
      <c r="AC101" s="6" t="str">
        <f aca="false">IF(S101="X",T101," ")</f>
        <v> </v>
      </c>
    </row>
    <row r="102" customFormat="false" ht="12.75" hidden="false" customHeight="false" outlineLevel="0" collapsed="false">
      <c r="E102" s="5" t="str">
        <f aca="false">IF(F102&lt;&gt;0,"Enter Code"," ")</f>
        <v> </v>
      </c>
      <c r="G102" s="6" t="str">
        <f aca="false">IF(E102="BC",F102," ")</f>
        <v> </v>
      </c>
      <c r="H102" s="6" t="str">
        <f aca="false">IF(E102="DR",F102," ")</f>
        <v> </v>
      </c>
      <c r="I102" s="6" t="str">
        <f aca="false">IF(E102="CR",F102," ")</f>
        <v> </v>
      </c>
      <c r="J102" s="6" t="str">
        <f aca="false">IF(E102="K",F102," ")</f>
        <v> </v>
      </c>
      <c r="K102" s="6" t="str">
        <f aca="false">IF(E102="RV",F102," ")</f>
        <v> </v>
      </c>
      <c r="L102" s="6" t="str">
        <f aca="false">IF(E102="DL",F102," ")</f>
        <v> </v>
      </c>
      <c r="M102" s="6" t="str">
        <f aca="false">IF(E102="X",F102," ")</f>
        <v> </v>
      </c>
      <c r="N102" s="39"/>
      <c r="S102" s="38" t="str">
        <f aca="false">IF(T102&lt;&gt;0,"Enter Code"," ")</f>
        <v> </v>
      </c>
      <c r="U102" s="6" t="str">
        <f aca="false">IF(S102="BC",T102," ")</f>
        <v> </v>
      </c>
      <c r="V102" s="6" t="str">
        <f aca="false">IF(S102="CR",T102," ")</f>
        <v> </v>
      </c>
      <c r="W102" s="6" t="str">
        <f aca="false">IF(S102="DR",T102," ")</f>
        <v> </v>
      </c>
      <c r="X102" s="6" t="str">
        <f aca="false">IF(S102="W",T102," ")</f>
        <v> </v>
      </c>
      <c r="Y102" s="6" t="str">
        <f aca="false">IF(S102="B",T102," ")</f>
        <v> </v>
      </c>
      <c r="Z102" s="6" t="str">
        <f aca="false">IF(S102="J",T102," ")</f>
        <v> </v>
      </c>
      <c r="AA102" s="6" t="str">
        <f aca="false">IF(S102="RP",T102," ")</f>
        <v> </v>
      </c>
      <c r="AB102" s="6" t="str">
        <f aca="false">IF(S102="DL",T102," ")</f>
        <v> </v>
      </c>
      <c r="AC102" s="6" t="str">
        <f aca="false">IF(S102="X",T102," ")</f>
        <v> </v>
      </c>
    </row>
    <row r="103" customFormat="false" ht="12.75" hidden="false" customHeight="false" outlineLevel="0" collapsed="false">
      <c r="E103" s="5" t="str">
        <f aca="false">IF(F103&lt;&gt;0,"Enter Code"," ")</f>
        <v> </v>
      </c>
      <c r="G103" s="6" t="str">
        <f aca="false">IF(E103="BC",F103," ")</f>
        <v> </v>
      </c>
      <c r="H103" s="6" t="str">
        <f aca="false">IF(E103="DR",F103," ")</f>
        <v> </v>
      </c>
      <c r="I103" s="6" t="str">
        <f aca="false">IF(E103="CR",F103," ")</f>
        <v> </v>
      </c>
      <c r="J103" s="6" t="str">
        <f aca="false">IF(E103="K",F103," ")</f>
        <v> </v>
      </c>
      <c r="K103" s="6" t="str">
        <f aca="false">IF(E103="RV",F103," ")</f>
        <v> </v>
      </c>
      <c r="L103" s="6" t="str">
        <f aca="false">IF(E103="DL",F103," ")</f>
        <v> </v>
      </c>
      <c r="M103" s="6" t="str">
        <f aca="false">IF(E103="X",F103," ")</f>
        <v> </v>
      </c>
      <c r="N103" s="39"/>
      <c r="S103" s="38" t="str">
        <f aca="false">IF(T103&lt;&gt;0,"Enter Code"," ")</f>
        <v> </v>
      </c>
      <c r="U103" s="6" t="str">
        <f aca="false">IF(S103="BC",T103," ")</f>
        <v> </v>
      </c>
      <c r="V103" s="6" t="str">
        <f aca="false">IF(S103="CR",T103," ")</f>
        <v> </v>
      </c>
      <c r="W103" s="6" t="str">
        <f aca="false">IF(S103="DR",T103," ")</f>
        <v> </v>
      </c>
      <c r="X103" s="6" t="str">
        <f aca="false">IF(S103="W",T103," ")</f>
        <v> </v>
      </c>
      <c r="Y103" s="6" t="str">
        <f aca="false">IF(S103="B",T103," ")</f>
        <v> </v>
      </c>
      <c r="Z103" s="6" t="str">
        <f aca="false">IF(S103="J",T103," ")</f>
        <v> </v>
      </c>
      <c r="AA103" s="6" t="str">
        <f aca="false">IF(S103="RP",T103," ")</f>
        <v> </v>
      </c>
      <c r="AB103" s="6" t="str">
        <f aca="false">IF(S103="DL",T103," ")</f>
        <v> </v>
      </c>
      <c r="AC103" s="6" t="str">
        <f aca="false">IF(S103="X",T103," ")</f>
        <v> </v>
      </c>
    </row>
    <row r="104" customFormat="false" ht="12.75" hidden="false" customHeight="false" outlineLevel="0" collapsed="false">
      <c r="E104" s="5" t="str">
        <f aca="false">IF(F104&lt;&gt;0,"Enter Code"," ")</f>
        <v> </v>
      </c>
      <c r="G104" s="6" t="str">
        <f aca="false">IF(E104="BC",F104," ")</f>
        <v> </v>
      </c>
      <c r="H104" s="6" t="str">
        <f aca="false">IF(E104="DR",F104," ")</f>
        <v> </v>
      </c>
      <c r="I104" s="6" t="str">
        <f aca="false">IF(E104="CR",F104," ")</f>
        <v> </v>
      </c>
      <c r="J104" s="6" t="str">
        <f aca="false">IF(E104="K",F104," ")</f>
        <v> </v>
      </c>
      <c r="K104" s="6" t="str">
        <f aca="false">IF(E104="RV",F104," ")</f>
        <v> </v>
      </c>
      <c r="L104" s="6" t="str">
        <f aca="false">IF(E104="DL",F104," ")</f>
        <v> </v>
      </c>
      <c r="M104" s="6" t="str">
        <f aca="false">IF(E104="X",F104," ")</f>
        <v> </v>
      </c>
      <c r="N104" s="39"/>
      <c r="S104" s="38" t="str">
        <f aca="false">IF(T104&lt;&gt;0,"Enter Code"," ")</f>
        <v> </v>
      </c>
      <c r="U104" s="6" t="str">
        <f aca="false">IF(S104="BC",T104," ")</f>
        <v> </v>
      </c>
      <c r="V104" s="6" t="str">
        <f aca="false">IF(S104="CR",T104," ")</f>
        <v> </v>
      </c>
      <c r="W104" s="6" t="str">
        <f aca="false">IF(S104="DR",T104," ")</f>
        <v> </v>
      </c>
      <c r="X104" s="6" t="str">
        <f aca="false">IF(S104="W",T104," ")</f>
        <v> </v>
      </c>
      <c r="Y104" s="6" t="str">
        <f aca="false">IF(S104="B",T104," ")</f>
        <v> </v>
      </c>
      <c r="Z104" s="6" t="str">
        <f aca="false">IF(S104="J",T104," ")</f>
        <v> </v>
      </c>
      <c r="AA104" s="6" t="str">
        <f aca="false">IF(S104="RP",T104," ")</f>
        <v> </v>
      </c>
      <c r="AB104" s="6" t="str">
        <f aca="false">IF(S104="DL",T104," ")</f>
        <v> </v>
      </c>
      <c r="AC104" s="6" t="str">
        <f aca="false">IF(S104="X",T104," ")</f>
        <v> </v>
      </c>
    </row>
    <row r="105" customFormat="false" ht="12.75" hidden="false" customHeight="false" outlineLevel="0" collapsed="false">
      <c r="E105" s="5" t="str">
        <f aca="false">IF(F105&lt;&gt;0,"Enter Code"," ")</f>
        <v> </v>
      </c>
      <c r="G105" s="6" t="str">
        <f aca="false">IF(E105="BC",F105," ")</f>
        <v> </v>
      </c>
      <c r="H105" s="6" t="str">
        <f aca="false">IF(E105="DR",F105," ")</f>
        <v> </v>
      </c>
      <c r="I105" s="6" t="str">
        <f aca="false">IF(E105="CR",F105," ")</f>
        <v> </v>
      </c>
      <c r="J105" s="6" t="str">
        <f aca="false">IF(E105="K",F105," ")</f>
        <v> </v>
      </c>
      <c r="K105" s="6" t="str">
        <f aca="false">IF(E105="RV",F105," ")</f>
        <v> </v>
      </c>
      <c r="L105" s="6" t="str">
        <f aca="false">IF(E105="DL",F105," ")</f>
        <v> </v>
      </c>
      <c r="M105" s="6" t="str">
        <f aca="false">IF(E105="X",F105," ")</f>
        <v> </v>
      </c>
      <c r="N105" s="39"/>
      <c r="S105" s="38" t="str">
        <f aca="false">IF(T105&lt;&gt;0,"Enter Code"," ")</f>
        <v> </v>
      </c>
      <c r="U105" s="6" t="str">
        <f aca="false">IF(S105="BC",T105," ")</f>
        <v> </v>
      </c>
      <c r="V105" s="6" t="str">
        <f aca="false">IF(S105="CR",T105," ")</f>
        <v> </v>
      </c>
      <c r="W105" s="6" t="str">
        <f aca="false">IF(S105="DR",T105," ")</f>
        <v> </v>
      </c>
      <c r="X105" s="6" t="str">
        <f aca="false">IF(S105="W",T105," ")</f>
        <v> </v>
      </c>
      <c r="Y105" s="6" t="str">
        <f aca="false">IF(S105="B",T105," ")</f>
        <v> </v>
      </c>
      <c r="Z105" s="6" t="str">
        <f aca="false">IF(S105="J",T105," ")</f>
        <v> </v>
      </c>
      <c r="AA105" s="6" t="str">
        <f aca="false">IF(S105="RP",T105," ")</f>
        <v> </v>
      </c>
      <c r="AB105" s="6" t="str">
        <f aca="false">IF(S105="DL",T105," ")</f>
        <v> </v>
      </c>
      <c r="AC105" s="6" t="str">
        <f aca="false">IF(S105="X",T105," ")</f>
        <v> </v>
      </c>
    </row>
    <row r="106" customFormat="false" ht="12.75" hidden="false" customHeight="false" outlineLevel="0" collapsed="false">
      <c r="E106" s="5" t="str">
        <f aca="false">IF(F106&lt;&gt;0,"Enter Code"," ")</f>
        <v> </v>
      </c>
      <c r="G106" s="6" t="str">
        <f aca="false">IF(E106="BC",F106," ")</f>
        <v> </v>
      </c>
      <c r="H106" s="6" t="str">
        <f aca="false">IF(E106="DR",F106," ")</f>
        <v> </v>
      </c>
      <c r="I106" s="6" t="str">
        <f aca="false">IF(E106="CR",F106," ")</f>
        <v> </v>
      </c>
      <c r="J106" s="6" t="str">
        <f aca="false">IF(E106="K",F106," ")</f>
        <v> </v>
      </c>
      <c r="K106" s="6" t="str">
        <f aca="false">IF(E106="RV",F106," ")</f>
        <v> </v>
      </c>
      <c r="L106" s="6" t="str">
        <f aca="false">IF(E106="DL",F106," ")</f>
        <v> </v>
      </c>
      <c r="M106" s="6" t="str">
        <f aca="false">IF(E106="X",F106," ")</f>
        <v> </v>
      </c>
      <c r="N106" s="39"/>
      <c r="S106" s="38" t="str">
        <f aca="false">IF(T106&lt;&gt;0,"Enter Code"," ")</f>
        <v> </v>
      </c>
      <c r="U106" s="6" t="str">
        <f aca="false">IF(S106="BC",T106," ")</f>
        <v> </v>
      </c>
      <c r="V106" s="6" t="str">
        <f aca="false">IF(S106="CR",T106," ")</f>
        <v> </v>
      </c>
      <c r="W106" s="6" t="str">
        <f aca="false">IF(S106="DR",T106," ")</f>
        <v> </v>
      </c>
      <c r="X106" s="6" t="str">
        <f aca="false">IF(S106="W",T106," ")</f>
        <v> </v>
      </c>
      <c r="Y106" s="6" t="str">
        <f aca="false">IF(S106="B",T106," ")</f>
        <v> </v>
      </c>
      <c r="Z106" s="6" t="str">
        <f aca="false">IF(S106="J",T106," ")</f>
        <v> </v>
      </c>
      <c r="AA106" s="6" t="str">
        <f aca="false">IF(S106="RP",T106," ")</f>
        <v> </v>
      </c>
      <c r="AB106" s="6" t="str">
        <f aca="false">IF(S106="DL",T106," ")</f>
        <v> </v>
      </c>
      <c r="AC106" s="6" t="str">
        <f aca="false">IF(S106="X",T106," ")</f>
        <v> </v>
      </c>
    </row>
    <row r="107" customFormat="false" ht="12.75" hidden="false" customHeight="false" outlineLevel="0" collapsed="false">
      <c r="E107" s="5" t="str">
        <f aca="false">IF(F107&lt;&gt;0,"Enter Code"," ")</f>
        <v> </v>
      </c>
      <c r="G107" s="6" t="str">
        <f aca="false">IF(E107="BC",F107," ")</f>
        <v> </v>
      </c>
      <c r="H107" s="6" t="str">
        <f aca="false">IF(E107="DR",F107," ")</f>
        <v> </v>
      </c>
      <c r="I107" s="6" t="str">
        <f aca="false">IF(E107="CR",F107," ")</f>
        <v> </v>
      </c>
      <c r="J107" s="6" t="str">
        <f aca="false">IF(E107="K",F107," ")</f>
        <v> </v>
      </c>
      <c r="K107" s="6" t="str">
        <f aca="false">IF(E107="RV",F107," ")</f>
        <v> </v>
      </c>
      <c r="L107" s="6" t="str">
        <f aca="false">IF(E107="DL",F107," ")</f>
        <v> </v>
      </c>
      <c r="M107" s="6" t="str">
        <f aca="false">IF(E107="X",F107," ")</f>
        <v> </v>
      </c>
      <c r="N107" s="39"/>
      <c r="S107" s="38" t="str">
        <f aca="false">IF(T107&lt;&gt;0,"Enter Code"," ")</f>
        <v> </v>
      </c>
      <c r="U107" s="6" t="str">
        <f aca="false">IF(S107="BC",T107," ")</f>
        <v> </v>
      </c>
      <c r="V107" s="6" t="str">
        <f aca="false">IF(S107="CR",T107," ")</f>
        <v> </v>
      </c>
      <c r="W107" s="6" t="str">
        <f aca="false">IF(S107="DR",T107," ")</f>
        <v> </v>
      </c>
      <c r="X107" s="6" t="str">
        <f aca="false">IF(S107="W",T107," ")</f>
        <v> </v>
      </c>
      <c r="Y107" s="6" t="str">
        <f aca="false">IF(S107="B",T107," ")</f>
        <v> </v>
      </c>
      <c r="Z107" s="6" t="str">
        <f aca="false">IF(S107="J",T107," ")</f>
        <v> </v>
      </c>
      <c r="AA107" s="6" t="str">
        <f aca="false">IF(S107="RP",T107," ")</f>
        <v> </v>
      </c>
      <c r="AB107" s="6" t="str">
        <f aca="false">IF(S107="DL",T107," ")</f>
        <v> </v>
      </c>
      <c r="AC107" s="6" t="str">
        <f aca="false">IF(S107="X",T107," ")</f>
        <v> </v>
      </c>
    </row>
    <row r="108" customFormat="false" ht="12.75" hidden="false" customHeight="false" outlineLevel="0" collapsed="false">
      <c r="E108" s="5" t="str">
        <f aca="false">IF(F108&lt;&gt;0,"Enter Code"," ")</f>
        <v> </v>
      </c>
      <c r="G108" s="6" t="str">
        <f aca="false">IF(E108="BC",F108," ")</f>
        <v> </v>
      </c>
      <c r="H108" s="6" t="str">
        <f aca="false">IF(E108="DR",F108," ")</f>
        <v> </v>
      </c>
      <c r="I108" s="6" t="str">
        <f aca="false">IF(E108="CR",F108," ")</f>
        <v> </v>
      </c>
      <c r="J108" s="6" t="str">
        <f aca="false">IF(E108="K",F108," ")</f>
        <v> </v>
      </c>
      <c r="K108" s="6" t="str">
        <f aca="false">IF(E108="RV",F108," ")</f>
        <v> </v>
      </c>
      <c r="L108" s="6" t="str">
        <f aca="false">IF(E108="DL",F108," ")</f>
        <v> </v>
      </c>
      <c r="M108" s="6" t="str">
        <f aca="false">IF(E108="X",F108," ")</f>
        <v> </v>
      </c>
      <c r="N108" s="39"/>
      <c r="S108" s="38" t="str">
        <f aca="false">IF(T108&lt;&gt;0,"Enter Code"," ")</f>
        <v> </v>
      </c>
      <c r="U108" s="6" t="str">
        <f aca="false">IF(S108="BC",T108," ")</f>
        <v> </v>
      </c>
      <c r="V108" s="6" t="str">
        <f aca="false">IF(S108="CR",T108," ")</f>
        <v> </v>
      </c>
      <c r="W108" s="6" t="str">
        <f aca="false">IF(S108="DR",T108," ")</f>
        <v> </v>
      </c>
      <c r="X108" s="6" t="str">
        <f aca="false">IF(S108="W",T108," ")</f>
        <v> </v>
      </c>
      <c r="Y108" s="6" t="str">
        <f aca="false">IF(S108="B",T108," ")</f>
        <v> </v>
      </c>
      <c r="Z108" s="6" t="str">
        <f aca="false">IF(S108="J",T108," ")</f>
        <v> </v>
      </c>
      <c r="AA108" s="6" t="str">
        <f aca="false">IF(S108="RP",T108," ")</f>
        <v> </v>
      </c>
      <c r="AB108" s="6" t="str">
        <f aca="false">IF(S108="DL",T108," ")</f>
        <v> </v>
      </c>
      <c r="AC108" s="6" t="str">
        <f aca="false">IF(S108="X",T108," ")</f>
        <v> </v>
      </c>
    </row>
    <row r="109" customFormat="false" ht="12.75" hidden="false" customHeight="false" outlineLevel="0" collapsed="false">
      <c r="E109" s="5" t="str">
        <f aca="false">IF(F109&lt;&gt;0,"Enter Code"," ")</f>
        <v> </v>
      </c>
      <c r="G109" s="6" t="str">
        <f aca="false">IF(E109="BC",F109," ")</f>
        <v> </v>
      </c>
      <c r="H109" s="6" t="str">
        <f aca="false">IF(E109="DR",F109," ")</f>
        <v> </v>
      </c>
      <c r="I109" s="6" t="str">
        <f aca="false">IF(E109="CR",F109," ")</f>
        <v> </v>
      </c>
      <c r="J109" s="6" t="str">
        <f aca="false">IF(E109="K",F109," ")</f>
        <v> </v>
      </c>
      <c r="K109" s="6" t="str">
        <f aca="false">IF(E109="RV",F109," ")</f>
        <v> </v>
      </c>
      <c r="L109" s="6" t="str">
        <f aca="false">IF(E109="DL",F109," ")</f>
        <v> </v>
      </c>
      <c r="M109" s="6" t="str">
        <f aca="false">IF(E109="X",F109," ")</f>
        <v> </v>
      </c>
      <c r="N109" s="39"/>
      <c r="S109" s="38" t="str">
        <f aca="false">IF(T109&lt;&gt;0,"Enter Code"," ")</f>
        <v> </v>
      </c>
      <c r="U109" s="6" t="str">
        <f aca="false">IF(S109="BC",T109," ")</f>
        <v> </v>
      </c>
      <c r="V109" s="6" t="str">
        <f aca="false">IF(S109="CR",T109," ")</f>
        <v> </v>
      </c>
      <c r="W109" s="6" t="str">
        <f aca="false">IF(S109="DR",T109," ")</f>
        <v> </v>
      </c>
      <c r="X109" s="6" t="str">
        <f aca="false">IF(S109="W",T109," ")</f>
        <v> </v>
      </c>
      <c r="Y109" s="6" t="str">
        <f aca="false">IF(S109="B",T109," ")</f>
        <v> </v>
      </c>
      <c r="Z109" s="6" t="str">
        <f aca="false">IF(S109="J",T109," ")</f>
        <v> </v>
      </c>
      <c r="AA109" s="6" t="str">
        <f aca="false">IF(S109="RP",T109," ")</f>
        <v> </v>
      </c>
      <c r="AB109" s="6" t="str">
        <f aca="false">IF(S109="DL",T109," ")</f>
        <v> </v>
      </c>
      <c r="AC109" s="6" t="str">
        <f aca="false">IF(S109="X",T109," ")</f>
        <v> </v>
      </c>
    </row>
    <row r="110" customFormat="false" ht="12.75" hidden="false" customHeight="false" outlineLevel="0" collapsed="false">
      <c r="E110" s="5" t="str">
        <f aca="false">IF(F110&lt;&gt;0,"Enter Code"," ")</f>
        <v> </v>
      </c>
      <c r="G110" s="6" t="str">
        <f aca="false">IF(E110="BC",F110," ")</f>
        <v> </v>
      </c>
      <c r="H110" s="6" t="str">
        <f aca="false">IF(E110="DR",F110," ")</f>
        <v> </v>
      </c>
      <c r="I110" s="6" t="str">
        <f aca="false">IF(E110="CR",F110," ")</f>
        <v> </v>
      </c>
      <c r="J110" s="6" t="str">
        <f aca="false">IF(E110="K",F110," ")</f>
        <v> </v>
      </c>
      <c r="K110" s="6" t="str">
        <f aca="false">IF(E110="RV",F110," ")</f>
        <v> </v>
      </c>
      <c r="L110" s="6" t="str">
        <f aca="false">IF(E110="DL",F110," ")</f>
        <v> </v>
      </c>
      <c r="M110" s="6" t="str">
        <f aca="false">IF(E110="X",F110," ")</f>
        <v> </v>
      </c>
      <c r="N110" s="39"/>
      <c r="S110" s="38" t="str">
        <f aca="false">IF(T110&lt;&gt;0,"Enter Code"," ")</f>
        <v> </v>
      </c>
      <c r="U110" s="6" t="str">
        <f aca="false">IF(S110="BC",T110," ")</f>
        <v> </v>
      </c>
      <c r="V110" s="6" t="str">
        <f aca="false">IF(S110="CR",T110," ")</f>
        <v> </v>
      </c>
      <c r="W110" s="6" t="str">
        <f aca="false">IF(S110="DR",T110," ")</f>
        <v> </v>
      </c>
      <c r="X110" s="6" t="str">
        <f aca="false">IF(S110="W",T110," ")</f>
        <v> </v>
      </c>
      <c r="Y110" s="6" t="str">
        <f aca="false">IF(S110="B",T110," ")</f>
        <v> </v>
      </c>
      <c r="Z110" s="6" t="str">
        <f aca="false">IF(S110="J",T110," ")</f>
        <v> </v>
      </c>
      <c r="AA110" s="6" t="str">
        <f aca="false">IF(S110="RP",T110," ")</f>
        <v> </v>
      </c>
      <c r="AB110" s="6" t="str">
        <f aca="false">IF(S110="DL",T110," ")</f>
        <v> </v>
      </c>
      <c r="AC110" s="6" t="str">
        <f aca="false">IF(S110="X",T110," ")</f>
        <v> </v>
      </c>
    </row>
    <row r="111" customFormat="false" ht="12.75" hidden="false" customHeight="false" outlineLevel="0" collapsed="false">
      <c r="E111" s="5" t="str">
        <f aca="false">IF(F111&lt;&gt;0,"Enter Code"," ")</f>
        <v> </v>
      </c>
      <c r="G111" s="6" t="str">
        <f aca="false">IF(E111="BC",F111," ")</f>
        <v> </v>
      </c>
      <c r="H111" s="6" t="str">
        <f aca="false">IF(E111="DR",F111," ")</f>
        <v> </v>
      </c>
      <c r="I111" s="6" t="str">
        <f aca="false">IF(E111="CR",F111," ")</f>
        <v> </v>
      </c>
      <c r="J111" s="6" t="str">
        <f aca="false">IF(E111="K",F111," ")</f>
        <v> </v>
      </c>
      <c r="K111" s="6" t="str">
        <f aca="false">IF(E111="RV",F111," ")</f>
        <v> </v>
      </c>
      <c r="L111" s="6" t="str">
        <f aca="false">IF(E111="DL",F111," ")</f>
        <v> </v>
      </c>
      <c r="M111" s="6" t="str">
        <f aca="false">IF(E111="X",F111," ")</f>
        <v> </v>
      </c>
      <c r="N111" s="39"/>
      <c r="S111" s="38" t="str">
        <f aca="false">IF(T111&lt;&gt;0,"Enter Code"," ")</f>
        <v> </v>
      </c>
      <c r="U111" s="6" t="str">
        <f aca="false">IF(S111="BC",T111," ")</f>
        <v> </v>
      </c>
      <c r="V111" s="6" t="str">
        <f aca="false">IF(S111="CR",T111," ")</f>
        <v> </v>
      </c>
      <c r="W111" s="6" t="str">
        <f aca="false">IF(S111="DR",T111," ")</f>
        <v> </v>
      </c>
      <c r="X111" s="6" t="str">
        <f aca="false">IF(S111="W",T111," ")</f>
        <v> </v>
      </c>
      <c r="Y111" s="6" t="str">
        <f aca="false">IF(S111="B",T111," ")</f>
        <v> </v>
      </c>
      <c r="Z111" s="6" t="str">
        <f aca="false">IF(S111="J",T111," ")</f>
        <v> </v>
      </c>
      <c r="AA111" s="6" t="str">
        <f aca="false">IF(S111="RP",T111," ")</f>
        <v> </v>
      </c>
      <c r="AB111" s="6" t="str">
        <f aca="false">IF(S111="DL",T111," ")</f>
        <v> </v>
      </c>
      <c r="AC111" s="6" t="str">
        <f aca="false">IF(S111="X",T111," ")</f>
        <v> </v>
      </c>
    </row>
    <row r="112" customFormat="false" ht="12.75" hidden="false" customHeight="false" outlineLevel="0" collapsed="false">
      <c r="E112" s="5" t="str">
        <f aca="false">IF(F112&lt;&gt;0,"Enter Code"," ")</f>
        <v> </v>
      </c>
      <c r="G112" s="6" t="str">
        <f aca="false">IF(E112="BC",F112," ")</f>
        <v> </v>
      </c>
      <c r="H112" s="6" t="str">
        <f aca="false">IF(E112="DR",F112," ")</f>
        <v> </v>
      </c>
      <c r="I112" s="6" t="str">
        <f aca="false">IF(E112="CR",F112," ")</f>
        <v> </v>
      </c>
      <c r="J112" s="6" t="str">
        <f aca="false">IF(E112="K",F112," ")</f>
        <v> </v>
      </c>
      <c r="K112" s="6" t="str">
        <f aca="false">IF(E112="RV",F112," ")</f>
        <v> </v>
      </c>
      <c r="L112" s="6" t="str">
        <f aca="false">IF(E112="DL",F112," ")</f>
        <v> </v>
      </c>
      <c r="M112" s="6" t="str">
        <f aca="false">IF(E112="X",F112," ")</f>
        <v> </v>
      </c>
      <c r="N112" s="39"/>
      <c r="S112" s="38" t="str">
        <f aca="false">IF(T112&lt;&gt;0,"Enter Code"," ")</f>
        <v> </v>
      </c>
      <c r="U112" s="6" t="str">
        <f aca="false">IF(S112="BC",T112," ")</f>
        <v> </v>
      </c>
      <c r="V112" s="6" t="str">
        <f aca="false">IF(S112="CR",T112," ")</f>
        <v> </v>
      </c>
      <c r="W112" s="6" t="str">
        <f aca="false">IF(S112="DR",T112," ")</f>
        <v> </v>
      </c>
      <c r="X112" s="6" t="str">
        <f aca="false">IF(S112="W",T112," ")</f>
        <v> </v>
      </c>
      <c r="Y112" s="6" t="str">
        <f aca="false">IF(S112="B",T112," ")</f>
        <v> </v>
      </c>
      <c r="Z112" s="6" t="str">
        <f aca="false">IF(S112="J",T112," ")</f>
        <v> </v>
      </c>
      <c r="AA112" s="6" t="str">
        <f aca="false">IF(S112="RP",T112," ")</f>
        <v> </v>
      </c>
      <c r="AB112" s="6" t="str">
        <f aca="false">IF(S112="DL",T112," ")</f>
        <v> </v>
      </c>
      <c r="AC112" s="6" t="str">
        <f aca="false">IF(S112="X",T112," ")</f>
        <v> </v>
      </c>
    </row>
    <row r="113" customFormat="false" ht="12.75" hidden="false" customHeight="false" outlineLevel="0" collapsed="false">
      <c r="E113" s="5" t="str">
        <f aca="false">IF(F113&lt;&gt;0,"Enter Code"," ")</f>
        <v> </v>
      </c>
      <c r="G113" s="6" t="str">
        <f aca="false">IF(E113="BC",F113," ")</f>
        <v> </v>
      </c>
      <c r="H113" s="6" t="str">
        <f aca="false">IF(E113="DR",F113," ")</f>
        <v> </v>
      </c>
      <c r="I113" s="6" t="str">
        <f aca="false">IF(E113="CR",F113," ")</f>
        <v> </v>
      </c>
      <c r="J113" s="6" t="str">
        <f aca="false">IF(E113="K",F113," ")</f>
        <v> </v>
      </c>
      <c r="K113" s="6" t="str">
        <f aca="false">IF(E113="RV",F113," ")</f>
        <v> </v>
      </c>
      <c r="L113" s="6" t="str">
        <f aca="false">IF(E113="DL",F113," ")</f>
        <v> </v>
      </c>
      <c r="M113" s="6" t="str">
        <f aca="false">IF(E113="X",F113," ")</f>
        <v> </v>
      </c>
      <c r="N113" s="39"/>
      <c r="S113" s="38" t="str">
        <f aca="false">IF(T113&lt;&gt;0,"Enter Code"," ")</f>
        <v> </v>
      </c>
      <c r="U113" s="6" t="str">
        <f aca="false">IF(S113="BC",T113," ")</f>
        <v> </v>
      </c>
      <c r="V113" s="6" t="str">
        <f aca="false">IF(S113="CR",T113," ")</f>
        <v> </v>
      </c>
      <c r="W113" s="6" t="str">
        <f aca="false">IF(S113="DR",T113," ")</f>
        <v> </v>
      </c>
      <c r="X113" s="6" t="str">
        <f aca="false">IF(S113="W",T113," ")</f>
        <v> </v>
      </c>
      <c r="Y113" s="6" t="str">
        <f aca="false">IF(S113="B",T113," ")</f>
        <v> </v>
      </c>
      <c r="Z113" s="6" t="str">
        <f aca="false">IF(S113="J",T113," ")</f>
        <v> </v>
      </c>
      <c r="AA113" s="6" t="str">
        <f aca="false">IF(S113="RP",T113," ")</f>
        <v> </v>
      </c>
      <c r="AB113" s="6" t="str">
        <f aca="false">IF(S113="DL",T113," ")</f>
        <v> </v>
      </c>
      <c r="AC113" s="6" t="str">
        <f aca="false">IF(S113="X",T113," ")</f>
        <v> </v>
      </c>
    </row>
    <row r="114" customFormat="false" ht="12.75" hidden="false" customHeight="false" outlineLevel="0" collapsed="false">
      <c r="E114" s="5" t="str">
        <f aca="false">IF(F114&lt;&gt;0,"Enter Code"," ")</f>
        <v> </v>
      </c>
      <c r="G114" s="6" t="str">
        <f aca="false">IF(E114="BC",F114," ")</f>
        <v> </v>
      </c>
      <c r="H114" s="6" t="str">
        <f aca="false">IF(E114="DR",F114," ")</f>
        <v> </v>
      </c>
      <c r="I114" s="6" t="str">
        <f aca="false">IF(E114="CR",F114," ")</f>
        <v> </v>
      </c>
      <c r="J114" s="6" t="str">
        <f aca="false">IF(E114="K",F114," ")</f>
        <v> </v>
      </c>
      <c r="K114" s="6" t="str">
        <f aca="false">IF(E114="RV",F114," ")</f>
        <v> </v>
      </c>
      <c r="L114" s="6" t="str">
        <f aca="false">IF(E114="DL",F114," ")</f>
        <v> </v>
      </c>
      <c r="M114" s="6" t="str">
        <f aca="false">IF(E114="X",F114," ")</f>
        <v> </v>
      </c>
      <c r="N114" s="39"/>
      <c r="S114" s="38" t="str">
        <f aca="false">IF(T114&lt;&gt;0,"Enter Code"," ")</f>
        <v> </v>
      </c>
      <c r="U114" s="6" t="str">
        <f aca="false">IF(S114="BC",T114," ")</f>
        <v> </v>
      </c>
      <c r="V114" s="6" t="str">
        <f aca="false">IF(S114="CR",T114," ")</f>
        <v> </v>
      </c>
      <c r="W114" s="6" t="str">
        <f aca="false">IF(S114="DR",T114," ")</f>
        <v> </v>
      </c>
      <c r="X114" s="6" t="str">
        <f aca="false">IF(S114="W",T114," ")</f>
        <v> </v>
      </c>
      <c r="Y114" s="6" t="str">
        <f aca="false">IF(S114="B",T114," ")</f>
        <v> </v>
      </c>
      <c r="Z114" s="6" t="str">
        <f aca="false">IF(S114="J",T114," ")</f>
        <v> </v>
      </c>
      <c r="AA114" s="6" t="str">
        <f aca="false">IF(S114="RP",T114," ")</f>
        <v> </v>
      </c>
      <c r="AB114" s="6" t="str">
        <f aca="false">IF(S114="DL",T114," ")</f>
        <v> </v>
      </c>
      <c r="AC114" s="6" t="str">
        <f aca="false">IF(S114="X",T114," ")</f>
        <v> </v>
      </c>
    </row>
    <row r="115" customFormat="false" ht="12.75" hidden="false" customHeight="false" outlineLevel="0" collapsed="false">
      <c r="E115" s="5" t="str">
        <f aca="false">IF(F115&lt;&gt;0,"Enter Code"," ")</f>
        <v> </v>
      </c>
      <c r="G115" s="6" t="str">
        <f aca="false">IF(E115="BC",F115," ")</f>
        <v> </v>
      </c>
      <c r="H115" s="6" t="str">
        <f aca="false">IF(E115="DR",F115," ")</f>
        <v> </v>
      </c>
      <c r="I115" s="6" t="str">
        <f aca="false">IF(E115="CR",F115," ")</f>
        <v> </v>
      </c>
      <c r="J115" s="6" t="str">
        <f aca="false">IF(E115="K",F115," ")</f>
        <v> </v>
      </c>
      <c r="K115" s="6" t="str">
        <f aca="false">IF(E115="RV",F115," ")</f>
        <v> </v>
      </c>
      <c r="L115" s="6" t="str">
        <f aca="false">IF(E115="DL",F115," ")</f>
        <v> </v>
      </c>
      <c r="M115" s="6" t="str">
        <f aca="false">IF(E115="X",F115," ")</f>
        <v> </v>
      </c>
      <c r="N115" s="39"/>
      <c r="S115" s="38" t="str">
        <f aca="false">IF(T115&lt;&gt;0,"Enter Code"," ")</f>
        <v> </v>
      </c>
      <c r="U115" s="6" t="str">
        <f aca="false">IF(S115="BC",T115," ")</f>
        <v> </v>
      </c>
      <c r="V115" s="6" t="str">
        <f aca="false">IF(S115="CR",T115," ")</f>
        <v> </v>
      </c>
      <c r="W115" s="6" t="str">
        <f aca="false">IF(S115="DR",T115," ")</f>
        <v> </v>
      </c>
      <c r="X115" s="6" t="str">
        <f aca="false">IF(S115="W",T115," ")</f>
        <v> </v>
      </c>
      <c r="Y115" s="6" t="str">
        <f aca="false">IF(S115="B",T115," ")</f>
        <v> </v>
      </c>
      <c r="Z115" s="6" t="str">
        <f aca="false">IF(S115="J",T115," ")</f>
        <v> </v>
      </c>
      <c r="AA115" s="6" t="str">
        <f aca="false">IF(S115="RP",T115," ")</f>
        <v> </v>
      </c>
      <c r="AB115" s="6" t="str">
        <f aca="false">IF(S115="DL",T115," ")</f>
        <v> </v>
      </c>
      <c r="AC115" s="6" t="str">
        <f aca="false">IF(S115="X",T115," ")</f>
        <v> </v>
      </c>
    </row>
    <row r="116" customFormat="false" ht="12.75" hidden="false" customHeight="false" outlineLevel="0" collapsed="false">
      <c r="E116" s="5" t="str">
        <f aca="false">IF(F116&lt;&gt;0,"Enter Code"," ")</f>
        <v> </v>
      </c>
      <c r="G116" s="6" t="str">
        <f aca="false">IF(E116="BC",F116," ")</f>
        <v> </v>
      </c>
      <c r="H116" s="6" t="str">
        <f aca="false">IF(E116="DR",F116," ")</f>
        <v> </v>
      </c>
      <c r="I116" s="6" t="str">
        <f aca="false">IF(E116="CR",F116," ")</f>
        <v> </v>
      </c>
      <c r="J116" s="6" t="str">
        <f aca="false">IF(E116="K",F116," ")</f>
        <v> </v>
      </c>
      <c r="K116" s="6" t="str">
        <f aca="false">IF(E116="RV",F116," ")</f>
        <v> </v>
      </c>
      <c r="L116" s="6" t="str">
        <f aca="false">IF(E116="DL",F116," ")</f>
        <v> </v>
      </c>
      <c r="M116" s="6" t="str">
        <f aca="false">IF(E116="X",F116," ")</f>
        <v> </v>
      </c>
      <c r="N116" s="39"/>
      <c r="S116" s="38" t="str">
        <f aca="false">IF(T116&lt;&gt;0,"Enter Code"," ")</f>
        <v> </v>
      </c>
      <c r="U116" s="6" t="str">
        <f aca="false">IF(S116="BC",T116," ")</f>
        <v> </v>
      </c>
      <c r="V116" s="6" t="str">
        <f aca="false">IF(S116="CR",T116," ")</f>
        <v> </v>
      </c>
      <c r="W116" s="6" t="str">
        <f aca="false">IF(S116="DR",T116," ")</f>
        <v> </v>
      </c>
      <c r="X116" s="6" t="str">
        <f aca="false">IF(S116="W",T116," ")</f>
        <v> </v>
      </c>
      <c r="Y116" s="6" t="str">
        <f aca="false">IF(S116="B",T116," ")</f>
        <v> </v>
      </c>
      <c r="Z116" s="6" t="str">
        <f aca="false">IF(S116="J",T116," ")</f>
        <v> </v>
      </c>
      <c r="AA116" s="6" t="str">
        <f aca="false">IF(S116="RP",T116," ")</f>
        <v> </v>
      </c>
      <c r="AB116" s="6" t="str">
        <f aca="false">IF(S116="DL",T116," ")</f>
        <v> </v>
      </c>
      <c r="AC116" s="6" t="str">
        <f aca="false">IF(S116="X",T116," ")</f>
        <v> </v>
      </c>
    </row>
    <row r="117" customFormat="false" ht="12.75" hidden="false" customHeight="false" outlineLevel="0" collapsed="false">
      <c r="E117" s="5" t="str">
        <f aca="false">IF(F117&lt;&gt;0,"Enter Code"," ")</f>
        <v> </v>
      </c>
      <c r="G117" s="6" t="str">
        <f aca="false">IF(E117="BC",F117," ")</f>
        <v> </v>
      </c>
      <c r="H117" s="6" t="str">
        <f aca="false">IF(E117="DR",F117," ")</f>
        <v> </v>
      </c>
      <c r="I117" s="6" t="str">
        <f aca="false">IF(E117="CR",F117," ")</f>
        <v> </v>
      </c>
      <c r="J117" s="6" t="str">
        <f aca="false">IF(E117="K",F117," ")</f>
        <v> </v>
      </c>
      <c r="K117" s="6" t="str">
        <f aca="false">IF(E117="RV",F117," ")</f>
        <v> </v>
      </c>
      <c r="L117" s="6" t="str">
        <f aca="false">IF(E117="DL",F117," ")</f>
        <v> </v>
      </c>
      <c r="M117" s="6" t="str">
        <f aca="false">IF(E117="X",F117," ")</f>
        <v> </v>
      </c>
      <c r="N117" s="39"/>
      <c r="S117" s="38" t="str">
        <f aca="false">IF(T117&lt;&gt;0,"Enter Code"," ")</f>
        <v> </v>
      </c>
      <c r="U117" s="6" t="str">
        <f aca="false">IF(S117="BC",T117," ")</f>
        <v> </v>
      </c>
      <c r="V117" s="6" t="str">
        <f aca="false">IF(S117="CR",T117," ")</f>
        <v> </v>
      </c>
      <c r="W117" s="6" t="str">
        <f aca="false">IF(S117="DR",T117," ")</f>
        <v> </v>
      </c>
      <c r="X117" s="6" t="str">
        <f aca="false">IF(S117="W",T117," ")</f>
        <v> </v>
      </c>
      <c r="Y117" s="6" t="str">
        <f aca="false">IF(S117="B",T117," ")</f>
        <v> </v>
      </c>
      <c r="Z117" s="6" t="str">
        <f aca="false">IF(S117="J",T117," ")</f>
        <v> </v>
      </c>
      <c r="AA117" s="6" t="str">
        <f aca="false">IF(S117="RP",T117," ")</f>
        <v> </v>
      </c>
      <c r="AB117" s="6" t="str">
        <f aca="false">IF(S117="DL",T117," ")</f>
        <v> </v>
      </c>
      <c r="AC117" s="6" t="str">
        <f aca="false">IF(S117="X",T117," ")</f>
        <v> </v>
      </c>
    </row>
    <row r="118" customFormat="false" ht="12.75" hidden="false" customHeight="false" outlineLevel="0" collapsed="false">
      <c r="E118" s="5" t="str">
        <f aca="false">IF(F118&lt;&gt;0,"Enter Code"," ")</f>
        <v> </v>
      </c>
      <c r="G118" s="6" t="str">
        <f aca="false">IF(E118="BC",F118," ")</f>
        <v> </v>
      </c>
      <c r="H118" s="6" t="str">
        <f aca="false">IF(E118="DR",F118," ")</f>
        <v> </v>
      </c>
      <c r="I118" s="6" t="str">
        <f aca="false">IF(E118="CR",F118," ")</f>
        <v> </v>
      </c>
      <c r="J118" s="6" t="str">
        <f aca="false">IF(E118="K",F118," ")</f>
        <v> </v>
      </c>
      <c r="K118" s="6" t="str">
        <f aca="false">IF(E118="RV",F118," ")</f>
        <v> </v>
      </c>
      <c r="L118" s="6" t="str">
        <f aca="false">IF(E118="DL",F118," ")</f>
        <v> </v>
      </c>
      <c r="M118" s="6" t="str">
        <f aca="false">IF(E118="X",F118," ")</f>
        <v> </v>
      </c>
      <c r="N118" s="39"/>
      <c r="S118" s="38" t="str">
        <f aca="false">IF(T118&lt;&gt;0,"Enter Code"," ")</f>
        <v> </v>
      </c>
      <c r="U118" s="6" t="str">
        <f aca="false">IF(S118="BC",T118," ")</f>
        <v> </v>
      </c>
      <c r="V118" s="6" t="str">
        <f aca="false">IF(S118="CR",T118," ")</f>
        <v> </v>
      </c>
      <c r="W118" s="6" t="str">
        <f aca="false">IF(S118="DR",T118," ")</f>
        <v> </v>
      </c>
      <c r="X118" s="6" t="str">
        <f aca="false">IF(S118="W",T118," ")</f>
        <v> </v>
      </c>
      <c r="Y118" s="6" t="str">
        <f aca="false">IF(S118="B",T118," ")</f>
        <v> </v>
      </c>
      <c r="Z118" s="6" t="str">
        <f aca="false">IF(S118="J",T118," ")</f>
        <v> </v>
      </c>
      <c r="AA118" s="6" t="str">
        <f aca="false">IF(S118="RP",T118," ")</f>
        <v> </v>
      </c>
      <c r="AB118" s="6" t="str">
        <f aca="false">IF(S118="DL",T118," ")</f>
        <v> </v>
      </c>
      <c r="AC118" s="6" t="str">
        <f aca="false">IF(S118="X",T118," ")</f>
        <v> </v>
      </c>
    </row>
    <row r="119" customFormat="false" ht="12.75" hidden="false" customHeight="false" outlineLevel="0" collapsed="false">
      <c r="E119" s="5" t="str">
        <f aca="false">IF(F119&lt;&gt;0,"Enter Code"," ")</f>
        <v> </v>
      </c>
      <c r="G119" s="6" t="str">
        <f aca="false">IF(E119="BC",F119," ")</f>
        <v> </v>
      </c>
      <c r="H119" s="6" t="str">
        <f aca="false">IF(E119="DR",F119," ")</f>
        <v> </v>
      </c>
      <c r="I119" s="6" t="str">
        <f aca="false">IF(E119="CR",F119," ")</f>
        <v> </v>
      </c>
      <c r="J119" s="6" t="str">
        <f aca="false">IF(E119="K",F119," ")</f>
        <v> </v>
      </c>
      <c r="K119" s="6" t="str">
        <f aca="false">IF(E119="RV",F119," ")</f>
        <v> </v>
      </c>
      <c r="L119" s="6" t="str">
        <f aca="false">IF(E119="DL",F119," ")</f>
        <v> </v>
      </c>
      <c r="M119" s="6" t="str">
        <f aca="false">IF(E119="X",F119," ")</f>
        <v> </v>
      </c>
      <c r="N119" s="39"/>
      <c r="S119" s="38" t="str">
        <f aca="false">IF(T119&lt;&gt;0,"Enter Code"," ")</f>
        <v> </v>
      </c>
      <c r="U119" s="6" t="str">
        <f aca="false">IF(S119="BC",T119," ")</f>
        <v> </v>
      </c>
      <c r="V119" s="6" t="str">
        <f aca="false">IF(S119="CR",T119," ")</f>
        <v> </v>
      </c>
      <c r="W119" s="6" t="str">
        <f aca="false">IF(S119="DR",T119," ")</f>
        <v> </v>
      </c>
      <c r="X119" s="6" t="str">
        <f aca="false">IF(S119="W",T119," ")</f>
        <v> </v>
      </c>
      <c r="Y119" s="6" t="str">
        <f aca="false">IF(S119="B",T119," ")</f>
        <v> </v>
      </c>
      <c r="Z119" s="6" t="str">
        <f aca="false">IF(S119="J",T119," ")</f>
        <v> </v>
      </c>
      <c r="AA119" s="6" t="str">
        <f aca="false">IF(S119="RP",T119," ")</f>
        <v> </v>
      </c>
      <c r="AB119" s="6" t="str">
        <f aca="false">IF(S119="DL",T119," ")</f>
        <v> </v>
      </c>
      <c r="AC119" s="6" t="str">
        <f aca="false">IF(S119="X",T119," ")</f>
        <v> </v>
      </c>
    </row>
    <row r="120" customFormat="false" ht="12.75" hidden="false" customHeight="false" outlineLevel="0" collapsed="false">
      <c r="E120" s="5" t="str">
        <f aca="false">IF(F120&lt;&gt;0,"Enter Code"," ")</f>
        <v> </v>
      </c>
      <c r="G120" s="6" t="str">
        <f aca="false">IF(E120="BC",F120," ")</f>
        <v> </v>
      </c>
      <c r="H120" s="6" t="str">
        <f aca="false">IF(E120="DR",F120," ")</f>
        <v> </v>
      </c>
      <c r="I120" s="6" t="str">
        <f aca="false">IF(E120="CR",F120," ")</f>
        <v> </v>
      </c>
      <c r="J120" s="6" t="str">
        <f aca="false">IF(E120="K",F120," ")</f>
        <v> </v>
      </c>
      <c r="K120" s="6" t="str">
        <f aca="false">IF(E120="RV",F120," ")</f>
        <v> </v>
      </c>
      <c r="L120" s="6" t="str">
        <f aca="false">IF(E120="DL",F120," ")</f>
        <v> </v>
      </c>
      <c r="M120" s="6" t="str">
        <f aca="false">IF(E120="X",F120," ")</f>
        <v> </v>
      </c>
      <c r="N120" s="39"/>
      <c r="S120" s="38" t="str">
        <f aca="false">IF(T120&lt;&gt;0,"Enter Code"," ")</f>
        <v> </v>
      </c>
      <c r="U120" s="6" t="str">
        <f aca="false">IF(S120="BC",T120," ")</f>
        <v> </v>
      </c>
      <c r="V120" s="6" t="str">
        <f aca="false">IF(S120="CR",T120," ")</f>
        <v> </v>
      </c>
      <c r="W120" s="6" t="str">
        <f aca="false">IF(S120="DR",T120," ")</f>
        <v> </v>
      </c>
      <c r="X120" s="6" t="str">
        <f aca="false">IF(S120="W",T120," ")</f>
        <v> </v>
      </c>
      <c r="Y120" s="6" t="str">
        <f aca="false">IF(S120="B",T120," ")</f>
        <v> </v>
      </c>
      <c r="Z120" s="6" t="str">
        <f aca="false">IF(S120="J",T120," ")</f>
        <v> </v>
      </c>
      <c r="AA120" s="6" t="str">
        <f aca="false">IF(S120="RP",T120," ")</f>
        <v> </v>
      </c>
      <c r="AB120" s="6" t="str">
        <f aca="false">IF(S120="DL",T120," ")</f>
        <v> </v>
      </c>
      <c r="AC120" s="6" t="str">
        <f aca="false">IF(S120="X",T120," ")</f>
        <v> </v>
      </c>
    </row>
    <row r="121" customFormat="false" ht="12.75" hidden="false" customHeight="false" outlineLevel="0" collapsed="false">
      <c r="E121" s="5" t="str">
        <f aca="false">IF(F121&lt;&gt;0,"Enter Code"," ")</f>
        <v> </v>
      </c>
      <c r="G121" s="6" t="str">
        <f aca="false">IF(E121="BC",F121," ")</f>
        <v> </v>
      </c>
      <c r="H121" s="6" t="str">
        <f aca="false">IF(E121="DR",F121," ")</f>
        <v> </v>
      </c>
      <c r="I121" s="6" t="str">
        <f aca="false">IF(E121="CR",F121," ")</f>
        <v> </v>
      </c>
      <c r="J121" s="6" t="str">
        <f aca="false">IF(E121="K",F121," ")</f>
        <v> </v>
      </c>
      <c r="K121" s="6" t="str">
        <f aca="false">IF(E121="RV",F121," ")</f>
        <v> </v>
      </c>
      <c r="L121" s="6" t="str">
        <f aca="false">IF(E121="DL",F121," ")</f>
        <v> </v>
      </c>
      <c r="M121" s="6" t="str">
        <f aca="false">IF(E121="X",F121," ")</f>
        <v> </v>
      </c>
      <c r="N121" s="39"/>
      <c r="S121" s="38" t="str">
        <f aca="false">IF(T121&lt;&gt;0,"Enter Code"," ")</f>
        <v> </v>
      </c>
      <c r="U121" s="6" t="str">
        <f aca="false">IF(S121="BC",T121," ")</f>
        <v> </v>
      </c>
      <c r="V121" s="6" t="str">
        <f aca="false">IF(S121="CR",T121," ")</f>
        <v> </v>
      </c>
      <c r="W121" s="6" t="str">
        <f aca="false">IF(S121="DR",T121," ")</f>
        <v> </v>
      </c>
      <c r="X121" s="6" t="str">
        <f aca="false">IF(S121="W",T121," ")</f>
        <v> </v>
      </c>
      <c r="Y121" s="6" t="str">
        <f aca="false">IF(S121="B",T121," ")</f>
        <v> </v>
      </c>
      <c r="Z121" s="6" t="str">
        <f aca="false">IF(S121="J",T121," ")</f>
        <v> </v>
      </c>
      <c r="AA121" s="6" t="str">
        <f aca="false">IF(S121="RP",T121," ")</f>
        <v> </v>
      </c>
      <c r="AB121" s="6" t="str">
        <f aca="false">IF(S121="DL",T121," ")</f>
        <v> </v>
      </c>
      <c r="AC121" s="6" t="str">
        <f aca="false">IF(S121="X",T121," ")</f>
        <v> </v>
      </c>
    </row>
    <row r="122" customFormat="false" ht="12.75" hidden="false" customHeight="false" outlineLevel="0" collapsed="false">
      <c r="E122" s="5" t="str">
        <f aca="false">IF(F122&lt;&gt;0,"Enter Code"," ")</f>
        <v> </v>
      </c>
      <c r="G122" s="6" t="str">
        <f aca="false">IF(E122="BC",F122," ")</f>
        <v> </v>
      </c>
      <c r="H122" s="6" t="str">
        <f aca="false">IF(E122="DR",F122," ")</f>
        <v> </v>
      </c>
      <c r="I122" s="6" t="str">
        <f aca="false">IF(E122="CR",F122," ")</f>
        <v> </v>
      </c>
      <c r="J122" s="6" t="str">
        <f aca="false">IF(E122="K",F122," ")</f>
        <v> </v>
      </c>
      <c r="K122" s="6" t="str">
        <f aca="false">IF(E122="RV",F122," ")</f>
        <v> </v>
      </c>
      <c r="L122" s="6" t="str">
        <f aca="false">IF(E122="DL",F122," ")</f>
        <v> </v>
      </c>
      <c r="M122" s="6" t="str">
        <f aca="false">IF(E122="X",F122," ")</f>
        <v> </v>
      </c>
      <c r="N122" s="39"/>
      <c r="S122" s="38" t="str">
        <f aca="false">IF(T122&lt;&gt;0,"Enter Code"," ")</f>
        <v> </v>
      </c>
      <c r="U122" s="6" t="str">
        <f aca="false">IF(S122="BC",T122," ")</f>
        <v> </v>
      </c>
      <c r="V122" s="6" t="str">
        <f aca="false">IF(S122="CR",T122," ")</f>
        <v> </v>
      </c>
      <c r="W122" s="6" t="str">
        <f aca="false">IF(S122="DR",T122," ")</f>
        <v> </v>
      </c>
      <c r="X122" s="6" t="str">
        <f aca="false">IF(S122="W",T122," ")</f>
        <v> </v>
      </c>
      <c r="Y122" s="6" t="str">
        <f aca="false">IF(S122="B",T122," ")</f>
        <v> </v>
      </c>
      <c r="Z122" s="6" t="str">
        <f aca="false">IF(S122="J",T122," ")</f>
        <v> </v>
      </c>
      <c r="AA122" s="6" t="str">
        <f aca="false">IF(S122="RP",T122," ")</f>
        <v> </v>
      </c>
      <c r="AB122" s="6" t="str">
        <f aca="false">IF(S122="DL",T122," ")</f>
        <v> </v>
      </c>
      <c r="AC122" s="6" t="str">
        <f aca="false">IF(S122="X",T122," ")</f>
        <v> </v>
      </c>
    </row>
    <row r="123" customFormat="false" ht="12.75" hidden="false" customHeight="false" outlineLevel="0" collapsed="false">
      <c r="E123" s="5" t="str">
        <f aca="false">IF(F123&lt;&gt;0,"Enter Code"," ")</f>
        <v> </v>
      </c>
      <c r="G123" s="6" t="str">
        <f aca="false">IF(E123="BC",F123," ")</f>
        <v> </v>
      </c>
      <c r="H123" s="6" t="str">
        <f aca="false">IF(E123="DR",F123," ")</f>
        <v> </v>
      </c>
      <c r="I123" s="6" t="str">
        <f aca="false">IF(E123="CR",F123," ")</f>
        <v> </v>
      </c>
      <c r="J123" s="6" t="str">
        <f aca="false">IF(E123="K",F123," ")</f>
        <v> </v>
      </c>
      <c r="K123" s="6" t="str">
        <f aca="false">IF(E123="RV",F123," ")</f>
        <v> </v>
      </c>
      <c r="L123" s="6" t="str">
        <f aca="false">IF(E123="DL",F123," ")</f>
        <v> </v>
      </c>
      <c r="M123" s="6" t="str">
        <f aca="false">IF(E123="X",F123," ")</f>
        <v> </v>
      </c>
      <c r="N123" s="39"/>
      <c r="S123" s="38" t="str">
        <f aca="false">IF(T123&lt;&gt;0,"Enter Code"," ")</f>
        <v> </v>
      </c>
      <c r="U123" s="6" t="str">
        <f aca="false">IF(S123="BC",T123," ")</f>
        <v> </v>
      </c>
      <c r="V123" s="6" t="str">
        <f aca="false">IF(S123="CR",T123," ")</f>
        <v> </v>
      </c>
      <c r="W123" s="6" t="str">
        <f aca="false">IF(S123="DR",T123," ")</f>
        <v> </v>
      </c>
      <c r="X123" s="6" t="str">
        <f aca="false">IF(S123="W",T123," ")</f>
        <v> </v>
      </c>
      <c r="Y123" s="6" t="str">
        <f aca="false">IF(S123="B",T123," ")</f>
        <v> </v>
      </c>
      <c r="Z123" s="6" t="str">
        <f aca="false">IF(S123="J",T123," ")</f>
        <v> </v>
      </c>
      <c r="AA123" s="6" t="str">
        <f aca="false">IF(S123="RP",T123," ")</f>
        <v> </v>
      </c>
      <c r="AB123" s="6" t="str">
        <f aca="false">IF(S123="DL",T123," ")</f>
        <v> </v>
      </c>
      <c r="AC123" s="6" t="str">
        <f aca="false">IF(S123="X",T123," ")</f>
        <v> </v>
      </c>
    </row>
    <row r="124" customFormat="false" ht="12.75" hidden="false" customHeight="false" outlineLevel="0" collapsed="false">
      <c r="E124" s="5" t="str">
        <f aca="false">IF(F124&lt;&gt;0,"Enter Code"," ")</f>
        <v> </v>
      </c>
      <c r="G124" s="6" t="str">
        <f aca="false">IF(E124="BC",F124," ")</f>
        <v> </v>
      </c>
      <c r="H124" s="6" t="str">
        <f aca="false">IF(E124="DR",F124," ")</f>
        <v> </v>
      </c>
      <c r="I124" s="6" t="str">
        <f aca="false">IF(E124="CR",F124," ")</f>
        <v> </v>
      </c>
      <c r="J124" s="6" t="str">
        <f aca="false">IF(E124="K",F124," ")</f>
        <v> </v>
      </c>
      <c r="K124" s="6" t="str">
        <f aca="false">IF(E124="RV",F124," ")</f>
        <v> </v>
      </c>
      <c r="L124" s="6" t="str">
        <f aca="false">IF(E124="DL",F124," ")</f>
        <v> </v>
      </c>
      <c r="M124" s="6" t="str">
        <f aca="false">IF(E124="X",F124," ")</f>
        <v> </v>
      </c>
      <c r="N124" s="39"/>
      <c r="S124" s="38" t="str">
        <f aca="false">IF(T124&lt;&gt;0,"Enter Code"," ")</f>
        <v> </v>
      </c>
      <c r="U124" s="6" t="str">
        <f aca="false">IF(S124="BC",T124," ")</f>
        <v> </v>
      </c>
      <c r="V124" s="6" t="str">
        <f aca="false">IF(S124="CR",T124," ")</f>
        <v> </v>
      </c>
      <c r="W124" s="6" t="str">
        <f aca="false">IF(S124="DR",T124," ")</f>
        <v> </v>
      </c>
      <c r="X124" s="6" t="str">
        <f aca="false">IF(S124="W",T124," ")</f>
        <v> </v>
      </c>
      <c r="Y124" s="6" t="str">
        <f aca="false">IF(S124="B",T124," ")</f>
        <v> </v>
      </c>
      <c r="Z124" s="6" t="str">
        <f aca="false">IF(S124="J",T124," ")</f>
        <v> </v>
      </c>
      <c r="AA124" s="6" t="str">
        <f aca="false">IF(S124="RP",T124," ")</f>
        <v> </v>
      </c>
      <c r="AB124" s="6" t="str">
        <f aca="false">IF(S124="DL",T124," ")</f>
        <v> </v>
      </c>
      <c r="AC124" s="6" t="str">
        <f aca="false">IF(S124="X",T124," ")</f>
        <v> </v>
      </c>
    </row>
    <row r="125" customFormat="false" ht="12.75" hidden="false" customHeight="false" outlineLevel="0" collapsed="false">
      <c r="E125" s="5" t="str">
        <f aca="false">IF(F125&lt;&gt;0,"Enter Code"," ")</f>
        <v> </v>
      </c>
      <c r="G125" s="6" t="str">
        <f aca="false">IF(E125="BC",F125," ")</f>
        <v> </v>
      </c>
      <c r="H125" s="6" t="str">
        <f aca="false">IF(E125="DR",F125," ")</f>
        <v> </v>
      </c>
      <c r="I125" s="6" t="str">
        <f aca="false">IF(E125="CR",F125," ")</f>
        <v> </v>
      </c>
      <c r="J125" s="6" t="str">
        <f aca="false">IF(E125="K",F125," ")</f>
        <v> </v>
      </c>
      <c r="K125" s="6" t="str">
        <f aca="false">IF(E125="RV",F125," ")</f>
        <v> </v>
      </c>
      <c r="L125" s="6" t="str">
        <f aca="false">IF(E125="DL",F125," ")</f>
        <v> </v>
      </c>
      <c r="M125" s="6" t="str">
        <f aca="false">IF(E125="X",F125," ")</f>
        <v> </v>
      </c>
      <c r="N125" s="39"/>
      <c r="S125" s="38" t="str">
        <f aca="false">IF(T125&lt;&gt;0,"Enter Code"," ")</f>
        <v> </v>
      </c>
      <c r="U125" s="6" t="str">
        <f aca="false">IF(S125="BC",T125," ")</f>
        <v> </v>
      </c>
      <c r="V125" s="6" t="str">
        <f aca="false">IF(S125="CR",T125," ")</f>
        <v> </v>
      </c>
      <c r="W125" s="6" t="str">
        <f aca="false">IF(S125="DR",T125," ")</f>
        <v> </v>
      </c>
      <c r="X125" s="6" t="str">
        <f aca="false">IF(S125="W",T125," ")</f>
        <v> </v>
      </c>
      <c r="Y125" s="6" t="str">
        <f aca="false">IF(S125="B",T125," ")</f>
        <v> </v>
      </c>
      <c r="Z125" s="6" t="str">
        <f aca="false">IF(S125="J",T125," ")</f>
        <v> </v>
      </c>
      <c r="AA125" s="6" t="str">
        <f aca="false">IF(S125="RP",T125," ")</f>
        <v> </v>
      </c>
      <c r="AB125" s="6" t="str">
        <f aca="false">IF(S125="DL",T125," ")</f>
        <v> </v>
      </c>
      <c r="AC125" s="6" t="str">
        <f aca="false">IF(S125="X",T125," ")</f>
        <v> </v>
      </c>
    </row>
    <row r="126" customFormat="false" ht="12.75" hidden="false" customHeight="false" outlineLevel="0" collapsed="false">
      <c r="E126" s="5" t="str">
        <f aca="false">IF(F126&lt;&gt;0,"Enter Code"," ")</f>
        <v> </v>
      </c>
      <c r="G126" s="6" t="str">
        <f aca="false">IF(E126="BC",F126," ")</f>
        <v> </v>
      </c>
      <c r="H126" s="6" t="str">
        <f aca="false">IF(E126="DR",F126," ")</f>
        <v> </v>
      </c>
      <c r="I126" s="6" t="str">
        <f aca="false">IF(E126="CR",F126," ")</f>
        <v> </v>
      </c>
      <c r="J126" s="6" t="str">
        <f aca="false">IF(E126="K",F126," ")</f>
        <v> </v>
      </c>
      <c r="K126" s="6" t="str">
        <f aca="false">IF(E126="RV",F126," ")</f>
        <v> </v>
      </c>
      <c r="L126" s="6" t="str">
        <f aca="false">IF(E126="DL",F126," ")</f>
        <v> </v>
      </c>
      <c r="M126" s="6" t="str">
        <f aca="false">IF(E126="X",F126," ")</f>
        <v> </v>
      </c>
      <c r="N126" s="39"/>
      <c r="S126" s="38" t="str">
        <f aca="false">IF(T126&lt;&gt;0,"Enter Code"," ")</f>
        <v> </v>
      </c>
      <c r="U126" s="6" t="str">
        <f aca="false">IF(S126="BC",T126," ")</f>
        <v> </v>
      </c>
      <c r="V126" s="6" t="str">
        <f aca="false">IF(S126="CR",T126," ")</f>
        <v> </v>
      </c>
      <c r="W126" s="6" t="str">
        <f aca="false">IF(S126="DR",T126," ")</f>
        <v> </v>
      </c>
      <c r="X126" s="6" t="str">
        <f aca="false">IF(S126="W",T126," ")</f>
        <v> </v>
      </c>
      <c r="Y126" s="6" t="str">
        <f aca="false">IF(S126="B",T126," ")</f>
        <v> </v>
      </c>
      <c r="Z126" s="6" t="str">
        <f aca="false">IF(S126="J",T126," ")</f>
        <v> </v>
      </c>
      <c r="AA126" s="6" t="str">
        <f aca="false">IF(S126="RP",T126," ")</f>
        <v> </v>
      </c>
      <c r="AB126" s="6" t="str">
        <f aca="false">IF(S126="DL",T126," ")</f>
        <v> </v>
      </c>
      <c r="AC126" s="6" t="str">
        <f aca="false">IF(S126="X",T126," ")</f>
        <v> </v>
      </c>
    </row>
    <row r="127" customFormat="false" ht="12.75" hidden="false" customHeight="false" outlineLevel="0" collapsed="false">
      <c r="E127" s="5" t="str">
        <f aca="false">IF(F127&lt;&gt;0,"Enter Code"," ")</f>
        <v> </v>
      </c>
      <c r="G127" s="6" t="str">
        <f aca="false">IF(E127="BC",F127," ")</f>
        <v> </v>
      </c>
      <c r="H127" s="6" t="str">
        <f aca="false">IF(E127="DR",F127," ")</f>
        <v> </v>
      </c>
      <c r="I127" s="6" t="str">
        <f aca="false">IF(E127="CR",F127," ")</f>
        <v> </v>
      </c>
      <c r="J127" s="6" t="str">
        <f aca="false">IF(E127="K",F127," ")</f>
        <v> </v>
      </c>
      <c r="K127" s="6" t="str">
        <f aca="false">IF(E127="RV",F127," ")</f>
        <v> </v>
      </c>
      <c r="L127" s="6" t="str">
        <f aca="false">IF(E127="DL",F127," ")</f>
        <v> </v>
      </c>
      <c r="M127" s="6" t="str">
        <f aca="false">IF(E127="X",F127," ")</f>
        <v> </v>
      </c>
      <c r="N127" s="39"/>
      <c r="S127" s="38" t="str">
        <f aca="false">IF(T127&lt;&gt;0,"Enter Code"," ")</f>
        <v> </v>
      </c>
      <c r="U127" s="6" t="str">
        <f aca="false">IF(S127="BC",T127," ")</f>
        <v> </v>
      </c>
      <c r="V127" s="6" t="str">
        <f aca="false">IF(S127="CR",T127," ")</f>
        <v> </v>
      </c>
      <c r="W127" s="6" t="str">
        <f aca="false">IF(S127="DR",T127," ")</f>
        <v> </v>
      </c>
      <c r="X127" s="6" t="str">
        <f aca="false">IF(S127="W",T127," ")</f>
        <v> </v>
      </c>
      <c r="Y127" s="6" t="str">
        <f aca="false">IF(S127="B",T127," ")</f>
        <v> </v>
      </c>
      <c r="Z127" s="6" t="str">
        <f aca="false">IF(S127="J",T127," ")</f>
        <v> </v>
      </c>
      <c r="AA127" s="6" t="str">
        <f aca="false">IF(S127="RP",T127," ")</f>
        <v> </v>
      </c>
      <c r="AB127" s="6" t="str">
        <f aca="false">IF(S127="DL",T127," ")</f>
        <v> </v>
      </c>
      <c r="AC127" s="6" t="str">
        <f aca="false">IF(S127="X",T127," ")</f>
        <v> </v>
      </c>
    </row>
    <row r="128" customFormat="false" ht="12.75" hidden="false" customHeight="false" outlineLevel="0" collapsed="false">
      <c r="E128" s="5" t="str">
        <f aca="false">IF(F128&lt;&gt;0,"Enter Code"," ")</f>
        <v> </v>
      </c>
      <c r="G128" s="6" t="str">
        <f aca="false">IF(E128="BC",F128," ")</f>
        <v> </v>
      </c>
      <c r="H128" s="6" t="str">
        <f aca="false">IF(E128="DR",F128," ")</f>
        <v> </v>
      </c>
      <c r="I128" s="6" t="str">
        <f aca="false">IF(E128="CR",F128," ")</f>
        <v> </v>
      </c>
      <c r="J128" s="6" t="str">
        <f aca="false">IF(E128="K",F128," ")</f>
        <v> </v>
      </c>
      <c r="K128" s="6" t="str">
        <f aca="false">IF(E128="RV",F128," ")</f>
        <v> </v>
      </c>
      <c r="L128" s="6" t="str">
        <f aca="false">IF(E128="DL",F128," ")</f>
        <v> </v>
      </c>
      <c r="M128" s="6" t="str">
        <f aca="false">IF(E128="X",F128," ")</f>
        <v> </v>
      </c>
      <c r="N128" s="39"/>
      <c r="S128" s="38" t="str">
        <f aca="false">IF(T128&lt;&gt;0,"Enter Code"," ")</f>
        <v> </v>
      </c>
      <c r="U128" s="6" t="str">
        <f aca="false">IF(S128="BC",T128," ")</f>
        <v> </v>
      </c>
      <c r="V128" s="6" t="str">
        <f aca="false">IF(S128="CR",T128," ")</f>
        <v> </v>
      </c>
      <c r="W128" s="6" t="str">
        <f aca="false">IF(S128="DR",T128," ")</f>
        <v> </v>
      </c>
      <c r="X128" s="6" t="str">
        <f aca="false">IF(S128="W",T128," ")</f>
        <v> </v>
      </c>
      <c r="Y128" s="6" t="str">
        <f aca="false">IF(S128="B",T128," ")</f>
        <v> </v>
      </c>
      <c r="Z128" s="6" t="str">
        <f aca="false">IF(S128="J",T128," ")</f>
        <v> </v>
      </c>
      <c r="AA128" s="6" t="str">
        <f aca="false">IF(S128="RP",T128," ")</f>
        <v> </v>
      </c>
      <c r="AB128" s="6" t="str">
        <f aca="false">IF(S128="DL",T128," ")</f>
        <v> </v>
      </c>
      <c r="AC128" s="6" t="str">
        <f aca="false">IF(S128="X",T128," ")</f>
        <v> </v>
      </c>
    </row>
    <row r="129" customFormat="false" ht="12.75" hidden="false" customHeight="false" outlineLevel="0" collapsed="false">
      <c r="E129" s="5" t="str">
        <f aca="false">IF(F129&lt;&gt;0,"Enter Code"," ")</f>
        <v> </v>
      </c>
      <c r="G129" s="6" t="str">
        <f aca="false">IF(E129="BC",F129," ")</f>
        <v> </v>
      </c>
      <c r="H129" s="6" t="str">
        <f aca="false">IF(E129="DR",F129," ")</f>
        <v> </v>
      </c>
      <c r="I129" s="6" t="str">
        <f aca="false">IF(E129="CR",F129," ")</f>
        <v> </v>
      </c>
      <c r="J129" s="6" t="str">
        <f aca="false">IF(E129="K",F129," ")</f>
        <v> </v>
      </c>
      <c r="K129" s="6" t="str">
        <f aca="false">IF(E129="RV",F129," ")</f>
        <v> </v>
      </c>
      <c r="L129" s="6" t="str">
        <f aca="false">IF(E129="DL",F129," ")</f>
        <v> </v>
      </c>
      <c r="M129" s="6" t="str">
        <f aca="false">IF(E129="X",F129," ")</f>
        <v> </v>
      </c>
      <c r="N129" s="39"/>
      <c r="S129" s="38" t="str">
        <f aca="false">IF(T129&lt;&gt;0,"Enter Code"," ")</f>
        <v> </v>
      </c>
      <c r="U129" s="6" t="str">
        <f aca="false">IF(S129="BC",T129," ")</f>
        <v> </v>
      </c>
      <c r="V129" s="6" t="str">
        <f aca="false">IF(S129="CR",T129," ")</f>
        <v> </v>
      </c>
      <c r="W129" s="6" t="str">
        <f aca="false">IF(S129="DR",T129," ")</f>
        <v> </v>
      </c>
      <c r="X129" s="6" t="str">
        <f aca="false">IF(S129="W",T129," ")</f>
        <v> </v>
      </c>
      <c r="Y129" s="6" t="str">
        <f aca="false">IF(S129="B",T129," ")</f>
        <v> </v>
      </c>
      <c r="Z129" s="6" t="str">
        <f aca="false">IF(S129="J",T129," ")</f>
        <v> </v>
      </c>
      <c r="AA129" s="6" t="str">
        <f aca="false">IF(S129="RP",T129," ")</f>
        <v> </v>
      </c>
      <c r="AB129" s="6" t="str">
        <f aca="false">IF(S129="DL",T129," ")</f>
        <v> </v>
      </c>
      <c r="AC129" s="6" t="str">
        <f aca="false">IF(S129="X",T129," ")</f>
        <v> </v>
      </c>
    </row>
    <row r="130" customFormat="false" ht="12.75" hidden="false" customHeight="false" outlineLevel="0" collapsed="false">
      <c r="E130" s="5" t="str">
        <f aca="false">IF(F130&lt;&gt;0,"Enter Code"," ")</f>
        <v> </v>
      </c>
      <c r="G130" s="6" t="str">
        <f aca="false">IF(E130="BC",F130," ")</f>
        <v> </v>
      </c>
      <c r="H130" s="6" t="str">
        <f aca="false">IF(E130="DR",F130," ")</f>
        <v> </v>
      </c>
      <c r="I130" s="6" t="str">
        <f aca="false">IF(E130="CR",F130," ")</f>
        <v> </v>
      </c>
      <c r="J130" s="6" t="str">
        <f aca="false">IF(E130="K",F130," ")</f>
        <v> </v>
      </c>
      <c r="K130" s="6" t="str">
        <f aca="false">IF(E130="RV",F130," ")</f>
        <v> </v>
      </c>
      <c r="L130" s="6" t="str">
        <f aca="false">IF(E130="DL",F130," ")</f>
        <v> </v>
      </c>
      <c r="M130" s="6" t="str">
        <f aca="false">IF(E130="X",F130," ")</f>
        <v> </v>
      </c>
      <c r="N130" s="39"/>
      <c r="S130" s="38" t="str">
        <f aca="false">IF(T130&lt;&gt;0,"Enter Code"," ")</f>
        <v> </v>
      </c>
      <c r="U130" s="6" t="str">
        <f aca="false">IF(S130="BC",T130," ")</f>
        <v> </v>
      </c>
      <c r="V130" s="6" t="str">
        <f aca="false">IF(S130="CR",T130," ")</f>
        <v> </v>
      </c>
      <c r="W130" s="6" t="str">
        <f aca="false">IF(S130="DR",T130," ")</f>
        <v> </v>
      </c>
      <c r="X130" s="6" t="str">
        <f aca="false">IF(S130="W",T130," ")</f>
        <v> </v>
      </c>
      <c r="Y130" s="6" t="str">
        <f aca="false">IF(S130="B",T130," ")</f>
        <v> </v>
      </c>
      <c r="Z130" s="6" t="str">
        <f aca="false">IF(S130="J",T130," ")</f>
        <v> </v>
      </c>
      <c r="AA130" s="6" t="str">
        <f aca="false">IF(S130="RP",T130," ")</f>
        <v> </v>
      </c>
      <c r="AB130" s="6" t="str">
        <f aca="false">IF(S130="DL",T130," ")</f>
        <v> </v>
      </c>
      <c r="AC130" s="6" t="str">
        <f aca="false">IF(S130="X",T130," ")</f>
        <v> </v>
      </c>
    </row>
    <row r="131" customFormat="false" ht="12.75" hidden="false" customHeight="false" outlineLevel="0" collapsed="false">
      <c r="E131" s="5" t="str">
        <f aca="false">IF(F131&lt;&gt;0,"Enter Code"," ")</f>
        <v> </v>
      </c>
      <c r="G131" s="6" t="str">
        <f aca="false">IF(E131="BC",F131," ")</f>
        <v> </v>
      </c>
      <c r="H131" s="6" t="str">
        <f aca="false">IF(E131="DR",F131," ")</f>
        <v> </v>
      </c>
      <c r="I131" s="6" t="str">
        <f aca="false">IF(E131="CR",F131," ")</f>
        <v> </v>
      </c>
      <c r="J131" s="6" t="str">
        <f aca="false">IF(E131="K",F131," ")</f>
        <v> </v>
      </c>
      <c r="K131" s="6" t="str">
        <f aca="false">IF(E131="RV",F131," ")</f>
        <v> </v>
      </c>
      <c r="L131" s="6" t="str">
        <f aca="false">IF(E131="DL",F131," ")</f>
        <v> </v>
      </c>
      <c r="M131" s="6" t="str">
        <f aca="false">IF(E131="X",F131," ")</f>
        <v> </v>
      </c>
      <c r="N131" s="39"/>
      <c r="S131" s="38" t="str">
        <f aca="false">IF(T131&lt;&gt;0,"Enter Code"," ")</f>
        <v> </v>
      </c>
      <c r="U131" s="6" t="str">
        <f aca="false">IF(S131="BC",T131," ")</f>
        <v> </v>
      </c>
      <c r="V131" s="6" t="str">
        <f aca="false">IF(S131="CR",T131," ")</f>
        <v> </v>
      </c>
      <c r="W131" s="6" t="str">
        <f aca="false">IF(S131="DR",T131," ")</f>
        <v> </v>
      </c>
      <c r="X131" s="6" t="str">
        <f aca="false">IF(S131="W",T131," ")</f>
        <v> </v>
      </c>
      <c r="Y131" s="6" t="str">
        <f aca="false">IF(S131="B",T131," ")</f>
        <v> </v>
      </c>
      <c r="Z131" s="6" t="str">
        <f aca="false">IF(S131="J",T131," ")</f>
        <v> </v>
      </c>
      <c r="AA131" s="6" t="str">
        <f aca="false">IF(S131="RP",T131," ")</f>
        <v> </v>
      </c>
      <c r="AB131" s="6" t="str">
        <f aca="false">IF(S131="DL",T131," ")</f>
        <v> </v>
      </c>
      <c r="AC131" s="6" t="str">
        <f aca="false">IF(S131="X",T131," ")</f>
        <v> </v>
      </c>
    </row>
    <row r="132" customFormat="false" ht="12.75" hidden="false" customHeight="false" outlineLevel="0" collapsed="false">
      <c r="E132" s="5" t="str">
        <f aca="false">IF(F132&lt;&gt;0,"Enter Code"," ")</f>
        <v> </v>
      </c>
      <c r="G132" s="6" t="str">
        <f aca="false">IF(E132="BC",F132," ")</f>
        <v> </v>
      </c>
      <c r="H132" s="6" t="str">
        <f aca="false">IF(E132="DR",F132," ")</f>
        <v> </v>
      </c>
      <c r="I132" s="6" t="str">
        <f aca="false">IF(E132="CR",F132," ")</f>
        <v> </v>
      </c>
      <c r="J132" s="6" t="str">
        <f aca="false">IF(E132="K",F132," ")</f>
        <v> </v>
      </c>
      <c r="K132" s="6" t="str">
        <f aca="false">IF(E132="RV",F132," ")</f>
        <v> </v>
      </c>
      <c r="L132" s="6" t="str">
        <f aca="false">IF(E132="DL",F132," ")</f>
        <v> </v>
      </c>
      <c r="M132" s="6" t="str">
        <f aca="false">IF(E132="X",F132," ")</f>
        <v> </v>
      </c>
      <c r="N132" s="39"/>
      <c r="S132" s="38" t="str">
        <f aca="false">IF(T132&lt;&gt;0,"Enter Code"," ")</f>
        <v> </v>
      </c>
      <c r="U132" s="6" t="str">
        <f aca="false">IF(S132="BC",T132," ")</f>
        <v> </v>
      </c>
      <c r="V132" s="6" t="str">
        <f aca="false">IF(S132="CR",T132," ")</f>
        <v> </v>
      </c>
      <c r="W132" s="6" t="str">
        <f aca="false">IF(S132="DR",T132," ")</f>
        <v> </v>
      </c>
      <c r="X132" s="6" t="str">
        <f aca="false">IF(S132="W",T132," ")</f>
        <v> </v>
      </c>
      <c r="Y132" s="6" t="str">
        <f aca="false">IF(S132="B",T132," ")</f>
        <v> </v>
      </c>
      <c r="Z132" s="6" t="str">
        <f aca="false">IF(S132="J",T132," ")</f>
        <v> </v>
      </c>
      <c r="AA132" s="6" t="str">
        <f aca="false">IF(S132="RP",T132," ")</f>
        <v> </v>
      </c>
      <c r="AB132" s="6" t="str">
        <f aca="false">IF(S132="DL",T132," ")</f>
        <v> </v>
      </c>
      <c r="AC132" s="6" t="str">
        <f aca="false">IF(S132="X",T132," ")</f>
        <v> </v>
      </c>
    </row>
    <row r="133" customFormat="false" ht="12.75" hidden="false" customHeight="false" outlineLevel="0" collapsed="false">
      <c r="E133" s="5" t="str">
        <f aca="false">IF(F133&lt;&gt;0,"Enter Code"," ")</f>
        <v> </v>
      </c>
      <c r="G133" s="6" t="str">
        <f aca="false">IF(E133="BC",F133," ")</f>
        <v> </v>
      </c>
      <c r="H133" s="6" t="str">
        <f aca="false">IF(E133="DR",F133," ")</f>
        <v> </v>
      </c>
      <c r="I133" s="6" t="str">
        <f aca="false">IF(E133="CR",F133," ")</f>
        <v> </v>
      </c>
      <c r="J133" s="6" t="str">
        <f aca="false">IF(E133="K",F133," ")</f>
        <v> </v>
      </c>
      <c r="K133" s="6" t="str">
        <f aca="false">IF(E133="RV",F133," ")</f>
        <v> </v>
      </c>
      <c r="L133" s="6" t="str">
        <f aca="false">IF(E133="DL",F133," ")</f>
        <v> </v>
      </c>
      <c r="M133" s="6" t="str">
        <f aca="false">IF(E133="X",F133," ")</f>
        <v> </v>
      </c>
      <c r="N133" s="39"/>
      <c r="S133" s="38" t="str">
        <f aca="false">IF(T133&lt;&gt;0,"Enter Code"," ")</f>
        <v> </v>
      </c>
      <c r="U133" s="6" t="str">
        <f aca="false">IF(S133="BC",T133," ")</f>
        <v> </v>
      </c>
      <c r="V133" s="6" t="str">
        <f aca="false">IF(S133="CR",T133," ")</f>
        <v> </v>
      </c>
      <c r="W133" s="6" t="str">
        <f aca="false">IF(S133="DR",T133," ")</f>
        <v> </v>
      </c>
      <c r="X133" s="6" t="str">
        <f aca="false">IF(S133="W",T133," ")</f>
        <v> </v>
      </c>
      <c r="Y133" s="6" t="str">
        <f aca="false">IF(S133="B",T133," ")</f>
        <v> </v>
      </c>
      <c r="Z133" s="6" t="str">
        <f aca="false">IF(S133="J",T133," ")</f>
        <v> </v>
      </c>
      <c r="AA133" s="6" t="str">
        <f aca="false">IF(S133="RP",T133," ")</f>
        <v> </v>
      </c>
      <c r="AB133" s="6" t="str">
        <f aca="false">IF(S133="DL",T133," ")</f>
        <v> </v>
      </c>
      <c r="AC133" s="6" t="str">
        <f aca="false">IF(S133="X",T133," ")</f>
        <v> </v>
      </c>
    </row>
    <row r="134" customFormat="false" ht="12.75" hidden="false" customHeight="false" outlineLevel="0" collapsed="false">
      <c r="E134" s="5" t="str">
        <f aca="false">IF(F134&lt;&gt;0,"Enter Code"," ")</f>
        <v> </v>
      </c>
      <c r="G134" s="6" t="str">
        <f aca="false">IF(E134="BC",F134," ")</f>
        <v> </v>
      </c>
      <c r="H134" s="6" t="str">
        <f aca="false">IF(E134="DR",F134," ")</f>
        <v> </v>
      </c>
      <c r="I134" s="6" t="str">
        <f aca="false">IF(E134="CR",F134," ")</f>
        <v> </v>
      </c>
      <c r="J134" s="6" t="str">
        <f aca="false">IF(E134="K",F134," ")</f>
        <v> </v>
      </c>
      <c r="K134" s="6" t="str">
        <f aca="false">IF(E134="RV",F134," ")</f>
        <v> </v>
      </c>
      <c r="L134" s="6" t="str">
        <f aca="false">IF(E134="DL",F134," ")</f>
        <v> </v>
      </c>
      <c r="M134" s="6" t="str">
        <f aca="false">IF(E134="X",F134," ")</f>
        <v> </v>
      </c>
      <c r="N134" s="39"/>
      <c r="S134" s="38" t="str">
        <f aca="false">IF(T134&lt;&gt;0,"Enter Code"," ")</f>
        <v> </v>
      </c>
      <c r="U134" s="6" t="str">
        <f aca="false">IF(S134="BC",T134," ")</f>
        <v> </v>
      </c>
      <c r="V134" s="6" t="str">
        <f aca="false">IF(S134="CR",T134," ")</f>
        <v> </v>
      </c>
      <c r="W134" s="6" t="str">
        <f aca="false">IF(S134="DR",T134," ")</f>
        <v> </v>
      </c>
      <c r="X134" s="6" t="str">
        <f aca="false">IF(S134="W",T134," ")</f>
        <v> </v>
      </c>
      <c r="Y134" s="6" t="str">
        <f aca="false">IF(S134="B",T134," ")</f>
        <v> </v>
      </c>
      <c r="Z134" s="6" t="str">
        <f aca="false">IF(S134="J",T134," ")</f>
        <v> </v>
      </c>
      <c r="AA134" s="6" t="str">
        <f aca="false">IF(S134="RP",T134," ")</f>
        <v> </v>
      </c>
      <c r="AB134" s="6" t="str">
        <f aca="false">IF(S134="DL",T134," ")</f>
        <v> </v>
      </c>
      <c r="AC134" s="6" t="str">
        <f aca="false">IF(S134="X",T134," ")</f>
        <v> </v>
      </c>
    </row>
    <row r="135" customFormat="false" ht="12.75" hidden="false" customHeight="false" outlineLevel="0" collapsed="false">
      <c r="E135" s="5" t="str">
        <f aca="false">IF(F135&lt;&gt;0,"Enter Code"," ")</f>
        <v> </v>
      </c>
      <c r="G135" s="6" t="str">
        <f aca="false">IF(E135="BC",F135," ")</f>
        <v> </v>
      </c>
      <c r="H135" s="6" t="str">
        <f aca="false">IF(E135="DR",F135," ")</f>
        <v> </v>
      </c>
      <c r="I135" s="6" t="str">
        <f aca="false">IF(E135="CR",F135," ")</f>
        <v> </v>
      </c>
      <c r="J135" s="6" t="str">
        <f aca="false">IF(E135="K",F135," ")</f>
        <v> </v>
      </c>
      <c r="K135" s="6" t="str">
        <f aca="false">IF(E135="RV",F135," ")</f>
        <v> </v>
      </c>
      <c r="L135" s="6" t="str">
        <f aca="false">IF(E135="DL",F135," ")</f>
        <v> </v>
      </c>
      <c r="M135" s="6" t="str">
        <f aca="false">IF(E135="X",F135," ")</f>
        <v> </v>
      </c>
      <c r="N135" s="39"/>
      <c r="S135" s="38" t="str">
        <f aca="false">IF(T135&lt;&gt;0,"Enter Code"," ")</f>
        <v> </v>
      </c>
      <c r="U135" s="6" t="str">
        <f aca="false">IF(S135="BC",T135," ")</f>
        <v> </v>
      </c>
      <c r="V135" s="6" t="str">
        <f aca="false">IF(S135="CR",T135," ")</f>
        <v> </v>
      </c>
      <c r="W135" s="6" t="str">
        <f aca="false">IF(S135="DR",T135," ")</f>
        <v> </v>
      </c>
      <c r="X135" s="6" t="str">
        <f aca="false">IF(S135="W",T135," ")</f>
        <v> </v>
      </c>
      <c r="Y135" s="6" t="str">
        <f aca="false">IF(S135="B",T135," ")</f>
        <v> </v>
      </c>
      <c r="Z135" s="6" t="str">
        <f aca="false">IF(S135="J",T135," ")</f>
        <v> </v>
      </c>
      <c r="AA135" s="6" t="str">
        <f aca="false">IF(S135="RP",T135," ")</f>
        <v> </v>
      </c>
      <c r="AB135" s="6" t="str">
        <f aca="false">IF(S135="DL",T135," ")</f>
        <v> </v>
      </c>
      <c r="AC135" s="6" t="str">
        <f aca="false">IF(S135="X",T135," ")</f>
        <v> </v>
      </c>
    </row>
    <row r="136" customFormat="false" ht="12.75" hidden="false" customHeight="false" outlineLevel="0" collapsed="false">
      <c r="E136" s="5" t="str">
        <f aca="false">IF(F136&lt;&gt;0,"Enter Code"," ")</f>
        <v> </v>
      </c>
      <c r="G136" s="6" t="str">
        <f aca="false">IF(E136="BC",F136," ")</f>
        <v> </v>
      </c>
      <c r="H136" s="6" t="str">
        <f aca="false">IF(E136="DR",F136," ")</f>
        <v> </v>
      </c>
      <c r="I136" s="6" t="str">
        <f aca="false">IF(E136="CR",F136," ")</f>
        <v> </v>
      </c>
      <c r="J136" s="6" t="str">
        <f aca="false">IF(E136="K",F136," ")</f>
        <v> </v>
      </c>
      <c r="K136" s="6" t="str">
        <f aca="false">IF(E136="RV",F136," ")</f>
        <v> </v>
      </c>
      <c r="L136" s="6" t="str">
        <f aca="false">IF(E136="DL",F136," ")</f>
        <v> </v>
      </c>
      <c r="M136" s="6" t="str">
        <f aca="false">IF(E136="X",F136," ")</f>
        <v> </v>
      </c>
      <c r="N136" s="39"/>
      <c r="S136" s="38" t="str">
        <f aca="false">IF(T136&lt;&gt;0,"Enter Code"," ")</f>
        <v> </v>
      </c>
      <c r="U136" s="6" t="str">
        <f aca="false">IF(S136="BC",T136," ")</f>
        <v> </v>
      </c>
      <c r="V136" s="6" t="str">
        <f aca="false">IF(S136="CR",T136," ")</f>
        <v> </v>
      </c>
      <c r="W136" s="6" t="str">
        <f aca="false">IF(S136="DR",T136," ")</f>
        <v> </v>
      </c>
      <c r="X136" s="6" t="str">
        <f aca="false">IF(S136="W",T136," ")</f>
        <v> </v>
      </c>
      <c r="Y136" s="6" t="str">
        <f aca="false">IF(S136="B",T136," ")</f>
        <v> </v>
      </c>
      <c r="Z136" s="6" t="str">
        <f aca="false">IF(S136="J",T136," ")</f>
        <v> </v>
      </c>
      <c r="AA136" s="6" t="str">
        <f aca="false">IF(S136="RP",T136," ")</f>
        <v> </v>
      </c>
      <c r="AB136" s="6" t="str">
        <f aca="false">IF(S136="DL",T136," ")</f>
        <v> </v>
      </c>
      <c r="AC136" s="6" t="str">
        <f aca="false">IF(S136="X",T136," ")</f>
        <v> </v>
      </c>
    </row>
    <row r="137" customFormat="false" ht="12.75" hidden="false" customHeight="false" outlineLevel="0" collapsed="false">
      <c r="E137" s="5" t="str">
        <f aca="false">IF(F137&lt;&gt;0,"Enter Code"," ")</f>
        <v> </v>
      </c>
      <c r="G137" s="6" t="str">
        <f aca="false">IF(E137="BC",F137," ")</f>
        <v> </v>
      </c>
      <c r="H137" s="6" t="str">
        <f aca="false">IF(E137="DR",F137," ")</f>
        <v> </v>
      </c>
      <c r="I137" s="6" t="str">
        <f aca="false">IF(E137="CR",F137," ")</f>
        <v> </v>
      </c>
      <c r="J137" s="6" t="str">
        <f aca="false">IF(E137="K",F137," ")</f>
        <v> </v>
      </c>
      <c r="K137" s="6" t="str">
        <f aca="false">IF(E137="RV",F137," ")</f>
        <v> </v>
      </c>
      <c r="L137" s="6" t="str">
        <f aca="false">IF(E137="DL",F137," ")</f>
        <v> </v>
      </c>
      <c r="M137" s="6" t="str">
        <f aca="false">IF(E137="X",F137," ")</f>
        <v> </v>
      </c>
      <c r="N137" s="39"/>
      <c r="S137" s="38" t="str">
        <f aca="false">IF(T137&lt;&gt;0,"Enter Code"," ")</f>
        <v> </v>
      </c>
      <c r="U137" s="6" t="str">
        <f aca="false">IF(S137="BC",T137," ")</f>
        <v> </v>
      </c>
      <c r="V137" s="6" t="str">
        <f aca="false">IF(S137="CR",T137," ")</f>
        <v> </v>
      </c>
      <c r="W137" s="6" t="str">
        <f aca="false">IF(S137="DR",T137," ")</f>
        <v> </v>
      </c>
      <c r="X137" s="6" t="str">
        <f aca="false">IF(S137="W",T137," ")</f>
        <v> </v>
      </c>
      <c r="Y137" s="6" t="str">
        <f aca="false">IF(S137="B",T137," ")</f>
        <v> </v>
      </c>
      <c r="Z137" s="6" t="str">
        <f aca="false">IF(S137="J",T137," ")</f>
        <v> </v>
      </c>
      <c r="AA137" s="6" t="str">
        <f aca="false">IF(S137="RP",T137," ")</f>
        <v> </v>
      </c>
      <c r="AB137" s="6" t="str">
        <f aca="false">IF(S137="DL",T137," ")</f>
        <v> </v>
      </c>
      <c r="AC137" s="6" t="str">
        <f aca="false">IF(S137="X",T137," ")</f>
        <v> </v>
      </c>
    </row>
    <row r="138" customFormat="false" ht="12.75" hidden="false" customHeight="false" outlineLevel="0" collapsed="false">
      <c r="E138" s="5" t="str">
        <f aca="false">IF(F138&lt;&gt;0,"Enter Code"," ")</f>
        <v> </v>
      </c>
      <c r="G138" s="6" t="str">
        <f aca="false">IF(E138="BC",F138," ")</f>
        <v> </v>
      </c>
      <c r="H138" s="6" t="str">
        <f aca="false">IF(E138="DR",F138," ")</f>
        <v> </v>
      </c>
      <c r="I138" s="6" t="str">
        <f aca="false">IF(E138="CR",F138," ")</f>
        <v> </v>
      </c>
      <c r="J138" s="6" t="str">
        <f aca="false">IF(E138="K",F138," ")</f>
        <v> </v>
      </c>
      <c r="K138" s="6" t="str">
        <f aca="false">IF(E138="RV",F138," ")</f>
        <v> </v>
      </c>
      <c r="L138" s="6" t="str">
        <f aca="false">IF(E138="DL",F138," ")</f>
        <v> </v>
      </c>
      <c r="M138" s="6" t="str">
        <f aca="false">IF(E138="X",F138," ")</f>
        <v> </v>
      </c>
      <c r="N138" s="39"/>
      <c r="S138" s="38" t="str">
        <f aca="false">IF(T138&lt;&gt;0,"Enter Code"," ")</f>
        <v> </v>
      </c>
      <c r="U138" s="6" t="str">
        <f aca="false">IF(S138="BC",T138," ")</f>
        <v> </v>
      </c>
      <c r="V138" s="6" t="str">
        <f aca="false">IF(S138="CR",T138," ")</f>
        <v> </v>
      </c>
      <c r="W138" s="6" t="str">
        <f aca="false">IF(S138="DR",T138," ")</f>
        <v> </v>
      </c>
      <c r="X138" s="6" t="str">
        <f aca="false">IF(S138="W",T138," ")</f>
        <v> </v>
      </c>
      <c r="Y138" s="6" t="str">
        <f aca="false">IF(S138="B",T138," ")</f>
        <v> </v>
      </c>
      <c r="Z138" s="6" t="str">
        <f aca="false">IF(S138="J",T138," ")</f>
        <v> </v>
      </c>
      <c r="AA138" s="6" t="str">
        <f aca="false">IF(S138="RP",T138," ")</f>
        <v> </v>
      </c>
      <c r="AB138" s="6" t="str">
        <f aca="false">IF(S138="DL",T138," ")</f>
        <v> </v>
      </c>
      <c r="AC138" s="6" t="str">
        <f aca="false">IF(S138="X",T138," ")</f>
        <v> </v>
      </c>
    </row>
    <row r="139" customFormat="false" ht="12.75" hidden="false" customHeight="false" outlineLevel="0" collapsed="false">
      <c r="E139" s="5" t="str">
        <f aca="false">IF(F139&lt;&gt;0,"Enter Code"," ")</f>
        <v> </v>
      </c>
      <c r="G139" s="6" t="str">
        <f aca="false">IF(E139="BC",F139," ")</f>
        <v> </v>
      </c>
      <c r="H139" s="6" t="str">
        <f aca="false">IF(E139="DR",F139," ")</f>
        <v> </v>
      </c>
      <c r="I139" s="6" t="str">
        <f aca="false">IF(E139="CR",F139," ")</f>
        <v> </v>
      </c>
      <c r="J139" s="6" t="str">
        <f aca="false">IF(E139="K",F139," ")</f>
        <v> </v>
      </c>
      <c r="K139" s="6" t="str">
        <f aca="false">IF(E139="RV",F139," ")</f>
        <v> </v>
      </c>
      <c r="L139" s="6" t="str">
        <f aca="false">IF(E139="DL",F139," ")</f>
        <v> </v>
      </c>
      <c r="M139" s="6" t="str">
        <f aca="false">IF(E139="X",F139," ")</f>
        <v> </v>
      </c>
      <c r="N139" s="39"/>
      <c r="S139" s="38" t="str">
        <f aca="false">IF(T139&lt;&gt;0,"Enter Code"," ")</f>
        <v> </v>
      </c>
      <c r="U139" s="6" t="str">
        <f aca="false">IF(S139="BC",T139," ")</f>
        <v> </v>
      </c>
      <c r="V139" s="6" t="str">
        <f aca="false">IF(S139="CR",T139," ")</f>
        <v> </v>
      </c>
      <c r="W139" s="6" t="str">
        <f aca="false">IF(S139="DR",T139," ")</f>
        <v> </v>
      </c>
      <c r="X139" s="6" t="str">
        <f aca="false">IF(S139="W",T139," ")</f>
        <v> </v>
      </c>
      <c r="Y139" s="6" t="str">
        <f aca="false">IF(S139="B",T139," ")</f>
        <v> </v>
      </c>
      <c r="Z139" s="6" t="str">
        <f aca="false">IF(S139="J",T139," ")</f>
        <v> </v>
      </c>
      <c r="AA139" s="6" t="str">
        <f aca="false">IF(S139="RP",T139," ")</f>
        <v> </v>
      </c>
      <c r="AB139" s="6" t="str">
        <f aca="false">IF(S139="DL",T139," ")</f>
        <v> </v>
      </c>
      <c r="AC139" s="6" t="str">
        <f aca="false">IF(S139="X",T139," ")</f>
        <v> </v>
      </c>
    </row>
    <row r="140" customFormat="false" ht="12.75" hidden="false" customHeight="false" outlineLevel="0" collapsed="false">
      <c r="E140" s="5" t="str">
        <f aca="false">IF(F140&lt;&gt;0,"Enter Code"," ")</f>
        <v> </v>
      </c>
      <c r="G140" s="6" t="str">
        <f aca="false">IF(E140="BC",F140," ")</f>
        <v> </v>
      </c>
      <c r="H140" s="6" t="str">
        <f aca="false">IF(E140="DR",F140," ")</f>
        <v> </v>
      </c>
      <c r="I140" s="6" t="str">
        <f aca="false">IF(E140="CR",F140," ")</f>
        <v> </v>
      </c>
      <c r="J140" s="6" t="str">
        <f aca="false">IF(E140="K",F140," ")</f>
        <v> </v>
      </c>
      <c r="K140" s="6" t="str">
        <f aca="false">IF(E140="RV",F140," ")</f>
        <v> </v>
      </c>
      <c r="L140" s="6" t="str">
        <f aca="false">IF(E140="DL",F140," ")</f>
        <v> </v>
      </c>
      <c r="M140" s="6" t="str">
        <f aca="false">IF(E140="X",F140," ")</f>
        <v> </v>
      </c>
      <c r="N140" s="39"/>
      <c r="S140" s="38" t="str">
        <f aca="false">IF(T140&lt;&gt;0,"Enter Code"," ")</f>
        <v> </v>
      </c>
      <c r="U140" s="6" t="str">
        <f aca="false">IF(S140="BC",T140," ")</f>
        <v> </v>
      </c>
      <c r="V140" s="6" t="str">
        <f aca="false">IF(S140="CR",T140," ")</f>
        <v> </v>
      </c>
      <c r="W140" s="6" t="str">
        <f aca="false">IF(S140="DR",T140," ")</f>
        <v> </v>
      </c>
      <c r="X140" s="6" t="str">
        <f aca="false">IF(S140="W",T140," ")</f>
        <v> </v>
      </c>
      <c r="Y140" s="6" t="str">
        <f aca="false">IF(S140="B",T140," ")</f>
        <v> </v>
      </c>
      <c r="Z140" s="6" t="str">
        <f aca="false">IF(S140="J",T140," ")</f>
        <v> </v>
      </c>
      <c r="AA140" s="6" t="str">
        <f aca="false">IF(S140="RP",T140," ")</f>
        <v> </v>
      </c>
      <c r="AB140" s="6" t="str">
        <f aca="false">IF(S140="DL",T140," ")</f>
        <v> </v>
      </c>
      <c r="AC140" s="6" t="str">
        <f aca="false">IF(S140="X",T140," ")</f>
        <v> </v>
      </c>
    </row>
    <row r="141" customFormat="false" ht="12.75" hidden="false" customHeight="false" outlineLevel="0" collapsed="false">
      <c r="E141" s="5" t="str">
        <f aca="false">IF(F141&lt;&gt;0,"Enter Code"," ")</f>
        <v> </v>
      </c>
      <c r="G141" s="6" t="str">
        <f aca="false">IF(E141="BC",F141," ")</f>
        <v> </v>
      </c>
      <c r="H141" s="6" t="str">
        <f aca="false">IF(E141="DR",F141," ")</f>
        <v> </v>
      </c>
      <c r="I141" s="6" t="str">
        <f aca="false">IF(E141="CR",F141," ")</f>
        <v> </v>
      </c>
      <c r="J141" s="6" t="str">
        <f aca="false">IF(E141="K",F141," ")</f>
        <v> </v>
      </c>
      <c r="K141" s="6" t="str">
        <f aca="false">IF(E141="RV",F141," ")</f>
        <v> </v>
      </c>
      <c r="L141" s="6" t="str">
        <f aca="false">IF(E141="DL",F141," ")</f>
        <v> </v>
      </c>
      <c r="M141" s="6" t="str">
        <f aca="false">IF(E141="X",F141," ")</f>
        <v> </v>
      </c>
      <c r="N141" s="39"/>
      <c r="S141" s="38" t="str">
        <f aca="false">IF(T141&lt;&gt;0,"Enter Code"," ")</f>
        <v> </v>
      </c>
      <c r="U141" s="6" t="str">
        <f aca="false">IF(S141="BC",T141," ")</f>
        <v> </v>
      </c>
      <c r="V141" s="6" t="str">
        <f aca="false">IF(S141="CR",T141," ")</f>
        <v> </v>
      </c>
      <c r="W141" s="6" t="str">
        <f aca="false">IF(S141="DR",T141," ")</f>
        <v> </v>
      </c>
      <c r="X141" s="6" t="str">
        <f aca="false">IF(S141="W",T141," ")</f>
        <v> </v>
      </c>
      <c r="Y141" s="6" t="str">
        <f aca="false">IF(S141="B",T141," ")</f>
        <v> </v>
      </c>
      <c r="Z141" s="6" t="str">
        <f aca="false">IF(S141="J",T141," ")</f>
        <v> </v>
      </c>
      <c r="AA141" s="6" t="str">
        <f aca="false">IF(S141="RP",T141," ")</f>
        <v> </v>
      </c>
      <c r="AB141" s="6" t="str">
        <f aca="false">IF(S141="DL",T141," ")</f>
        <v> </v>
      </c>
      <c r="AC141" s="6" t="str">
        <f aca="false">IF(S141="X",T141," ")</f>
        <v> </v>
      </c>
    </row>
    <row r="142" customFormat="false" ht="12.75" hidden="false" customHeight="false" outlineLevel="0" collapsed="false">
      <c r="E142" s="5" t="str">
        <f aca="false">IF(F142&lt;&gt;0,"Enter Code"," ")</f>
        <v> </v>
      </c>
      <c r="G142" s="6" t="str">
        <f aca="false">IF(E142="BC",F142," ")</f>
        <v> </v>
      </c>
      <c r="H142" s="6" t="str">
        <f aca="false">IF(E142="DR",F142," ")</f>
        <v> </v>
      </c>
      <c r="I142" s="6" t="str">
        <f aca="false">IF(E142="CR",F142," ")</f>
        <v> </v>
      </c>
      <c r="J142" s="6" t="str">
        <f aca="false">IF(E142="K",F142," ")</f>
        <v> </v>
      </c>
      <c r="K142" s="6" t="str">
        <f aca="false">IF(E142="RV",F142," ")</f>
        <v> </v>
      </c>
      <c r="L142" s="6" t="str">
        <f aca="false">IF(E142="DL",F142," ")</f>
        <v> </v>
      </c>
      <c r="M142" s="6" t="str">
        <f aca="false">IF(E142="X",F142," ")</f>
        <v> </v>
      </c>
      <c r="N142" s="39"/>
      <c r="S142" s="38" t="str">
        <f aca="false">IF(T142&lt;&gt;0,"Enter Code"," ")</f>
        <v> </v>
      </c>
      <c r="U142" s="6" t="str">
        <f aca="false">IF(S142="BC",T142," ")</f>
        <v> </v>
      </c>
      <c r="V142" s="6" t="str">
        <f aca="false">IF(S142="CR",T142," ")</f>
        <v> </v>
      </c>
      <c r="W142" s="6" t="str">
        <f aca="false">IF(S142="DR",T142," ")</f>
        <v> </v>
      </c>
      <c r="X142" s="6" t="str">
        <f aca="false">IF(S142="W",T142," ")</f>
        <v> </v>
      </c>
      <c r="Y142" s="6" t="str">
        <f aca="false">IF(S142="B",T142," ")</f>
        <v> </v>
      </c>
      <c r="Z142" s="6" t="str">
        <f aca="false">IF(S142="J",T142," ")</f>
        <v> </v>
      </c>
      <c r="AA142" s="6" t="str">
        <f aca="false">IF(S142="RP",T142," ")</f>
        <v> </v>
      </c>
      <c r="AB142" s="6" t="str">
        <f aca="false">IF(S142="DL",T142," ")</f>
        <v> </v>
      </c>
      <c r="AC142" s="6" t="str">
        <f aca="false">IF(S142="X",T142," ")</f>
        <v> </v>
      </c>
    </row>
    <row r="143" customFormat="false" ht="12.75" hidden="false" customHeight="false" outlineLevel="0" collapsed="false">
      <c r="E143" s="5" t="str">
        <f aca="false">IF(F143&lt;&gt;0,"Enter Code"," ")</f>
        <v> </v>
      </c>
      <c r="G143" s="6" t="str">
        <f aca="false">IF(E143="BC",F143," ")</f>
        <v> </v>
      </c>
      <c r="H143" s="6" t="str">
        <f aca="false">IF(E143="DR",F143," ")</f>
        <v> </v>
      </c>
      <c r="I143" s="6" t="str">
        <f aca="false">IF(E143="CR",F143," ")</f>
        <v> </v>
      </c>
      <c r="J143" s="6" t="str">
        <f aca="false">IF(E143="K",F143," ")</f>
        <v> </v>
      </c>
      <c r="K143" s="6" t="str">
        <f aca="false">IF(E143="RV",F143," ")</f>
        <v> </v>
      </c>
      <c r="L143" s="6" t="str">
        <f aca="false">IF(E143="DL",F143," ")</f>
        <v> </v>
      </c>
      <c r="M143" s="6" t="str">
        <f aca="false">IF(E143="X",F143," ")</f>
        <v> </v>
      </c>
      <c r="N143" s="39"/>
      <c r="S143" s="38" t="str">
        <f aca="false">IF(T143&lt;&gt;0,"Enter Code"," ")</f>
        <v> </v>
      </c>
      <c r="U143" s="6" t="str">
        <f aca="false">IF(S143="BC",T143," ")</f>
        <v> </v>
      </c>
      <c r="V143" s="6" t="str">
        <f aca="false">IF(S143="CR",T143," ")</f>
        <v> </v>
      </c>
      <c r="W143" s="6" t="str">
        <f aca="false">IF(S143="DR",T143," ")</f>
        <v> </v>
      </c>
      <c r="X143" s="6" t="str">
        <f aca="false">IF(S143="W",T143," ")</f>
        <v> </v>
      </c>
      <c r="Y143" s="6" t="str">
        <f aca="false">IF(S143="B",T143," ")</f>
        <v> </v>
      </c>
      <c r="Z143" s="6" t="str">
        <f aca="false">IF(S143="J",T143," ")</f>
        <v> </v>
      </c>
      <c r="AA143" s="6" t="str">
        <f aca="false">IF(S143="RP",T143," ")</f>
        <v> </v>
      </c>
      <c r="AB143" s="6" t="str">
        <f aca="false">IF(S143="DL",T143," ")</f>
        <v> </v>
      </c>
      <c r="AC143" s="6" t="str">
        <f aca="false">IF(S143="X",T143," ")</f>
        <v> </v>
      </c>
    </row>
    <row r="144" customFormat="false" ht="12.75" hidden="false" customHeight="false" outlineLevel="0" collapsed="false">
      <c r="E144" s="5" t="str">
        <f aca="false">IF(F144&lt;&gt;0,"Enter Code"," ")</f>
        <v> </v>
      </c>
      <c r="G144" s="6" t="str">
        <f aca="false">IF(E144="BC",F144," ")</f>
        <v> </v>
      </c>
      <c r="H144" s="6" t="str">
        <f aca="false">IF(E144="DR",F144," ")</f>
        <v> </v>
      </c>
      <c r="I144" s="6" t="str">
        <f aca="false">IF(E144="CR",F144," ")</f>
        <v> </v>
      </c>
      <c r="J144" s="6" t="str">
        <f aca="false">IF(E144="K",F144," ")</f>
        <v> </v>
      </c>
      <c r="K144" s="6" t="str">
        <f aca="false">IF(E144="RV",F144," ")</f>
        <v> </v>
      </c>
      <c r="L144" s="6" t="str">
        <f aca="false">IF(E144="DL",F144," ")</f>
        <v> </v>
      </c>
      <c r="M144" s="6" t="str">
        <f aca="false">IF(E144="X",F144," ")</f>
        <v> </v>
      </c>
      <c r="N144" s="39"/>
      <c r="S144" s="38" t="str">
        <f aca="false">IF(T144&lt;&gt;0,"Enter Code"," ")</f>
        <v> </v>
      </c>
      <c r="U144" s="6" t="str">
        <f aca="false">IF(S144="BC",T144," ")</f>
        <v> </v>
      </c>
      <c r="V144" s="6" t="str">
        <f aca="false">IF(S144="CR",T144," ")</f>
        <v> </v>
      </c>
      <c r="W144" s="6" t="str">
        <f aca="false">IF(S144="DR",T144," ")</f>
        <v> </v>
      </c>
      <c r="X144" s="6" t="str">
        <f aca="false">IF(S144="W",T144," ")</f>
        <v> </v>
      </c>
      <c r="Y144" s="6" t="str">
        <f aca="false">IF(S144="B",T144," ")</f>
        <v> </v>
      </c>
      <c r="Z144" s="6" t="str">
        <f aca="false">IF(S144="J",T144," ")</f>
        <v> </v>
      </c>
      <c r="AA144" s="6" t="str">
        <f aca="false">IF(S144="RP",T144," ")</f>
        <v> </v>
      </c>
      <c r="AB144" s="6" t="str">
        <f aca="false">IF(S144="DL",T144," ")</f>
        <v> </v>
      </c>
      <c r="AC144" s="6" t="str">
        <f aca="false">IF(S144="X",T144," ")</f>
        <v> </v>
      </c>
    </row>
    <row r="145" customFormat="false" ht="12.75" hidden="false" customHeight="false" outlineLevel="0" collapsed="false">
      <c r="E145" s="5" t="str">
        <f aca="false">IF(F145&lt;&gt;0,"Enter Code"," ")</f>
        <v> </v>
      </c>
      <c r="G145" s="6" t="str">
        <f aca="false">IF(E145="BC",F145," ")</f>
        <v> </v>
      </c>
      <c r="H145" s="6" t="str">
        <f aca="false">IF(E145="DR",F145," ")</f>
        <v> </v>
      </c>
      <c r="I145" s="6" t="str">
        <f aca="false">IF(E145="CR",F145," ")</f>
        <v> </v>
      </c>
      <c r="J145" s="6" t="str">
        <f aca="false">IF(E145="K",F145," ")</f>
        <v> </v>
      </c>
      <c r="K145" s="6" t="str">
        <f aca="false">IF(E145="RV",F145," ")</f>
        <v> </v>
      </c>
      <c r="L145" s="6" t="str">
        <f aca="false">IF(E145="DL",F145," ")</f>
        <v> </v>
      </c>
      <c r="M145" s="6" t="str">
        <f aca="false">IF(E145="X",F145," ")</f>
        <v> </v>
      </c>
      <c r="N145" s="39"/>
      <c r="S145" s="38" t="str">
        <f aca="false">IF(T145&lt;&gt;0,"Enter Code"," ")</f>
        <v> </v>
      </c>
      <c r="U145" s="6" t="str">
        <f aca="false">IF(S145="BC",T145," ")</f>
        <v> </v>
      </c>
      <c r="V145" s="6" t="str">
        <f aca="false">IF(S145="CR",T145," ")</f>
        <v> </v>
      </c>
      <c r="W145" s="6" t="str">
        <f aca="false">IF(S145="DR",T145," ")</f>
        <v> </v>
      </c>
      <c r="X145" s="6" t="str">
        <f aca="false">IF(S145="W",T145," ")</f>
        <v> </v>
      </c>
      <c r="Y145" s="6" t="str">
        <f aca="false">IF(S145="B",T145," ")</f>
        <v> </v>
      </c>
      <c r="Z145" s="6" t="str">
        <f aca="false">IF(S145="J",T145," ")</f>
        <v> </v>
      </c>
      <c r="AA145" s="6" t="str">
        <f aca="false">IF(S145="RP",T145," ")</f>
        <v> </v>
      </c>
      <c r="AB145" s="6" t="str">
        <f aca="false">IF(S145="DL",T145," ")</f>
        <v> </v>
      </c>
      <c r="AC145" s="6" t="str">
        <f aca="false">IF(S145="X",T145," ")</f>
        <v> </v>
      </c>
    </row>
    <row r="146" customFormat="false" ht="12.75" hidden="false" customHeight="false" outlineLevel="0" collapsed="false">
      <c r="E146" s="5" t="str">
        <f aca="false">IF(F146&lt;&gt;0,"Enter Code"," ")</f>
        <v> </v>
      </c>
      <c r="G146" s="6" t="str">
        <f aca="false">IF(E146="BC",F146," ")</f>
        <v> </v>
      </c>
      <c r="H146" s="6" t="str">
        <f aca="false">IF(E146="DR",F146," ")</f>
        <v> </v>
      </c>
      <c r="I146" s="6" t="str">
        <f aca="false">IF(E146="CR",F146," ")</f>
        <v> </v>
      </c>
      <c r="J146" s="6" t="str">
        <f aca="false">IF(E146="K",F146," ")</f>
        <v> </v>
      </c>
      <c r="K146" s="6" t="str">
        <f aca="false">IF(E146="RV",F146," ")</f>
        <v> </v>
      </c>
      <c r="L146" s="6" t="str">
        <f aca="false">IF(E146="DL",F146," ")</f>
        <v> </v>
      </c>
      <c r="M146" s="6" t="str">
        <f aca="false">IF(E146="X",F146," ")</f>
        <v> </v>
      </c>
      <c r="N146" s="39"/>
      <c r="S146" s="38" t="str">
        <f aca="false">IF(T146&lt;&gt;0,"Enter Code"," ")</f>
        <v> </v>
      </c>
      <c r="U146" s="6" t="str">
        <f aca="false">IF(S146="BC",T146," ")</f>
        <v> </v>
      </c>
      <c r="V146" s="6" t="str">
        <f aca="false">IF(S146="CR",T146," ")</f>
        <v> </v>
      </c>
      <c r="W146" s="6" t="str">
        <f aca="false">IF(S146="DR",T146," ")</f>
        <v> </v>
      </c>
      <c r="X146" s="6" t="str">
        <f aca="false">IF(S146="W",T146," ")</f>
        <v> </v>
      </c>
      <c r="Y146" s="6" t="str">
        <f aca="false">IF(S146="B",T146," ")</f>
        <v> </v>
      </c>
      <c r="Z146" s="6" t="str">
        <f aca="false">IF(S146="J",T146," ")</f>
        <v> </v>
      </c>
      <c r="AA146" s="6" t="str">
        <f aca="false">IF(S146="RP",T146," ")</f>
        <v> </v>
      </c>
      <c r="AB146" s="6" t="str">
        <f aca="false">IF(S146="DL",T146," ")</f>
        <v> </v>
      </c>
      <c r="AC146" s="6" t="str">
        <f aca="false">IF(S146="X",T146," ")</f>
        <v> </v>
      </c>
    </row>
    <row r="147" customFormat="false" ht="12.75" hidden="false" customHeight="false" outlineLevel="0" collapsed="false">
      <c r="E147" s="5" t="str">
        <f aca="false">IF(F147&lt;&gt;0,"Enter Code"," ")</f>
        <v> </v>
      </c>
      <c r="G147" s="6" t="str">
        <f aca="false">IF(E147="BC",F147," ")</f>
        <v> </v>
      </c>
      <c r="H147" s="6" t="str">
        <f aca="false">IF(E147="DR",F147," ")</f>
        <v> </v>
      </c>
      <c r="I147" s="6" t="str">
        <f aca="false">IF(E147="CR",F147," ")</f>
        <v> </v>
      </c>
      <c r="J147" s="6" t="str">
        <f aca="false">IF(E147="K",F147," ")</f>
        <v> </v>
      </c>
      <c r="K147" s="6" t="str">
        <f aca="false">IF(E147="RV",F147," ")</f>
        <v> </v>
      </c>
      <c r="L147" s="6" t="str">
        <f aca="false">IF(E147="DL",F147," ")</f>
        <v> </v>
      </c>
      <c r="M147" s="6" t="str">
        <f aca="false">IF(E147="X",F147," ")</f>
        <v> </v>
      </c>
      <c r="N147" s="39"/>
      <c r="S147" s="38" t="str">
        <f aca="false">IF(T147&lt;&gt;0,"Enter Code"," ")</f>
        <v> </v>
      </c>
      <c r="U147" s="6" t="str">
        <f aca="false">IF(S147="BC",T147," ")</f>
        <v> </v>
      </c>
      <c r="V147" s="6" t="str">
        <f aca="false">IF(S147="CR",T147," ")</f>
        <v> </v>
      </c>
      <c r="W147" s="6" t="str">
        <f aca="false">IF(S147="DR",T147," ")</f>
        <v> </v>
      </c>
      <c r="X147" s="6" t="str">
        <f aca="false">IF(S147="W",T147," ")</f>
        <v> </v>
      </c>
      <c r="Y147" s="6" t="str">
        <f aca="false">IF(S147="B",T147," ")</f>
        <v> </v>
      </c>
      <c r="Z147" s="6" t="str">
        <f aca="false">IF(S147="J",T147," ")</f>
        <v> </v>
      </c>
      <c r="AA147" s="6" t="str">
        <f aca="false">IF(S147="RP",T147," ")</f>
        <v> </v>
      </c>
      <c r="AB147" s="6" t="str">
        <f aca="false">IF(S147="DL",T147," ")</f>
        <v> </v>
      </c>
      <c r="AC147" s="6" t="str">
        <f aca="false">IF(S147="X",T147," ")</f>
        <v> </v>
      </c>
    </row>
    <row r="148" customFormat="false" ht="12.75" hidden="false" customHeight="false" outlineLevel="0" collapsed="false">
      <c r="E148" s="5" t="str">
        <f aca="false">IF(F148&lt;&gt;0,"Enter Code"," ")</f>
        <v> </v>
      </c>
      <c r="G148" s="6" t="str">
        <f aca="false">IF(E148="BC",F148," ")</f>
        <v> </v>
      </c>
      <c r="H148" s="6" t="str">
        <f aca="false">IF(E148="DR",F148," ")</f>
        <v> </v>
      </c>
      <c r="I148" s="6" t="str">
        <f aca="false">IF(E148="CR",F148," ")</f>
        <v> </v>
      </c>
      <c r="J148" s="6" t="str">
        <f aca="false">IF(E148="K",F148," ")</f>
        <v> </v>
      </c>
      <c r="K148" s="6" t="str">
        <f aca="false">IF(E148="RV",F148," ")</f>
        <v> </v>
      </c>
      <c r="L148" s="6" t="str">
        <f aca="false">IF(E148="DL",F148," ")</f>
        <v> </v>
      </c>
      <c r="M148" s="6" t="str">
        <f aca="false">IF(E148="X",F148," ")</f>
        <v> </v>
      </c>
      <c r="N148" s="39"/>
      <c r="S148" s="38" t="str">
        <f aca="false">IF(T148&lt;&gt;0,"Enter Code"," ")</f>
        <v> </v>
      </c>
      <c r="U148" s="6" t="str">
        <f aca="false">IF(S148="BC",T148," ")</f>
        <v> </v>
      </c>
      <c r="V148" s="6" t="str">
        <f aca="false">IF(S148="CR",T148," ")</f>
        <v> </v>
      </c>
      <c r="W148" s="6" t="str">
        <f aca="false">IF(S148="DR",T148," ")</f>
        <v> </v>
      </c>
      <c r="X148" s="6" t="str">
        <f aca="false">IF(S148="W",T148," ")</f>
        <v> </v>
      </c>
      <c r="Y148" s="6" t="str">
        <f aca="false">IF(S148="B",T148," ")</f>
        <v> </v>
      </c>
      <c r="Z148" s="6" t="str">
        <f aca="false">IF(S148="J",T148," ")</f>
        <v> </v>
      </c>
      <c r="AA148" s="6" t="str">
        <f aca="false">IF(S148="RP",T148," ")</f>
        <v> </v>
      </c>
      <c r="AB148" s="6" t="str">
        <f aca="false">IF(S148="DL",T148," ")</f>
        <v> </v>
      </c>
      <c r="AC148" s="6" t="str">
        <f aca="false">IF(S148="X",T148," ")</f>
        <v> </v>
      </c>
    </row>
    <row r="149" customFormat="false" ht="12.75" hidden="false" customHeight="false" outlineLevel="0" collapsed="false">
      <c r="E149" s="5" t="str">
        <f aca="false">IF(F149&lt;&gt;0,"Enter Code"," ")</f>
        <v> </v>
      </c>
      <c r="G149" s="6" t="str">
        <f aca="false">IF(E149="BC",F149," ")</f>
        <v> </v>
      </c>
      <c r="H149" s="6" t="str">
        <f aca="false">IF(E149="DR",F149," ")</f>
        <v> </v>
      </c>
      <c r="I149" s="6" t="str">
        <f aca="false">IF(E149="CR",F149," ")</f>
        <v> </v>
      </c>
      <c r="J149" s="6" t="str">
        <f aca="false">IF(E149="K",F149," ")</f>
        <v> </v>
      </c>
      <c r="K149" s="6" t="str">
        <f aca="false">IF(E149="RV",F149," ")</f>
        <v> </v>
      </c>
      <c r="L149" s="6" t="str">
        <f aca="false">IF(E149="DL",F149," ")</f>
        <v> </v>
      </c>
      <c r="M149" s="6" t="str">
        <f aca="false">IF(E149="X",F149," ")</f>
        <v> </v>
      </c>
      <c r="N149" s="39"/>
      <c r="S149" s="38" t="str">
        <f aca="false">IF(T149&lt;&gt;0,"Enter Code"," ")</f>
        <v> </v>
      </c>
      <c r="U149" s="6" t="str">
        <f aca="false">IF(S149="BC",T149," ")</f>
        <v> </v>
      </c>
      <c r="V149" s="6" t="str">
        <f aca="false">IF(S149="CR",T149," ")</f>
        <v> </v>
      </c>
      <c r="W149" s="6" t="str">
        <f aca="false">IF(S149="DR",T149," ")</f>
        <v> </v>
      </c>
      <c r="X149" s="6" t="str">
        <f aca="false">IF(S149="W",T149," ")</f>
        <v> </v>
      </c>
      <c r="Y149" s="6" t="str">
        <f aca="false">IF(S149="B",T149," ")</f>
        <v> </v>
      </c>
      <c r="Z149" s="6" t="str">
        <f aca="false">IF(S149="J",T149," ")</f>
        <v> </v>
      </c>
      <c r="AA149" s="6" t="str">
        <f aca="false">IF(S149="RP",T149," ")</f>
        <v> </v>
      </c>
      <c r="AB149" s="6" t="str">
        <f aca="false">IF(S149="DL",T149," ")</f>
        <v> </v>
      </c>
      <c r="AC149" s="6" t="str">
        <f aca="false">IF(S149="X",T149," ")</f>
        <v> </v>
      </c>
    </row>
    <row r="150" customFormat="false" ht="12.75" hidden="false" customHeight="false" outlineLevel="0" collapsed="false">
      <c r="E150" s="5" t="str">
        <f aca="false">IF(F150&lt;&gt;0,"Enter Code"," ")</f>
        <v> </v>
      </c>
      <c r="G150" s="6" t="str">
        <f aca="false">IF(E150="BC",F150," ")</f>
        <v> </v>
      </c>
      <c r="H150" s="6" t="str">
        <f aca="false">IF(E150="DR",F150," ")</f>
        <v> </v>
      </c>
      <c r="I150" s="6" t="str">
        <f aca="false">IF(E150="CR",F150," ")</f>
        <v> </v>
      </c>
      <c r="J150" s="6" t="str">
        <f aca="false">IF(E150="K",F150," ")</f>
        <v> </v>
      </c>
      <c r="K150" s="6" t="str">
        <f aca="false">IF(E150="RV",F150," ")</f>
        <v> </v>
      </c>
      <c r="L150" s="6" t="str">
        <f aca="false">IF(E150="DL",F150," ")</f>
        <v> </v>
      </c>
      <c r="M150" s="6" t="str">
        <f aca="false">IF(E150="X",F150," ")</f>
        <v> </v>
      </c>
      <c r="N150" s="39"/>
      <c r="S150" s="38" t="str">
        <f aca="false">IF(T150&lt;&gt;0,"Enter Code"," ")</f>
        <v> </v>
      </c>
      <c r="U150" s="6" t="str">
        <f aca="false">IF(S150="BC",T150," ")</f>
        <v> </v>
      </c>
      <c r="V150" s="6" t="str">
        <f aca="false">IF(S150="CR",T150," ")</f>
        <v> </v>
      </c>
      <c r="W150" s="6" t="str">
        <f aca="false">IF(S150="DR",T150," ")</f>
        <v> </v>
      </c>
      <c r="X150" s="6" t="str">
        <f aca="false">IF(S150="W",T150," ")</f>
        <v> </v>
      </c>
      <c r="Y150" s="6" t="str">
        <f aca="false">IF(S150="B",T150," ")</f>
        <v> </v>
      </c>
      <c r="Z150" s="6" t="str">
        <f aca="false">IF(S150="J",T150," ")</f>
        <v> </v>
      </c>
      <c r="AA150" s="6" t="str">
        <f aca="false">IF(S150="RP",T150," ")</f>
        <v> </v>
      </c>
      <c r="AB150" s="6" t="str">
        <f aca="false">IF(S150="DL",T150," ")</f>
        <v> </v>
      </c>
      <c r="AC150" s="6" t="str">
        <f aca="false">IF(S150="X",T150," ")</f>
        <v> </v>
      </c>
    </row>
    <row r="151" customFormat="false" ht="12.75" hidden="false" customHeight="false" outlineLevel="0" collapsed="false">
      <c r="E151" s="5" t="str">
        <f aca="false">IF(F151&lt;&gt;0,"Enter Code"," ")</f>
        <v> </v>
      </c>
      <c r="G151" s="6" t="str">
        <f aca="false">IF(E151="BC",F151," ")</f>
        <v> </v>
      </c>
      <c r="H151" s="6" t="str">
        <f aca="false">IF(E151="DR",F151," ")</f>
        <v> </v>
      </c>
      <c r="I151" s="6" t="str">
        <f aca="false">IF(E151="CR",F151," ")</f>
        <v> </v>
      </c>
      <c r="J151" s="6" t="str">
        <f aca="false">IF(E151="K",F151," ")</f>
        <v> </v>
      </c>
      <c r="K151" s="6" t="str">
        <f aca="false">IF(E151="RV",F151," ")</f>
        <v> </v>
      </c>
      <c r="L151" s="6" t="str">
        <f aca="false">IF(E151="DL",F151," ")</f>
        <v> </v>
      </c>
      <c r="M151" s="6" t="str">
        <f aca="false">IF(E151="X",F151," ")</f>
        <v> </v>
      </c>
      <c r="N151" s="39"/>
      <c r="S151" s="38" t="str">
        <f aca="false">IF(T151&lt;&gt;0,"Enter Code"," ")</f>
        <v> </v>
      </c>
      <c r="U151" s="6" t="str">
        <f aca="false">IF(S151="BC",T151," ")</f>
        <v> </v>
      </c>
      <c r="V151" s="6" t="str">
        <f aca="false">IF(S151="CR",T151," ")</f>
        <v> </v>
      </c>
      <c r="W151" s="6" t="str">
        <f aca="false">IF(S151="DR",T151," ")</f>
        <v> </v>
      </c>
      <c r="X151" s="6" t="str">
        <f aca="false">IF(S151="W",T151," ")</f>
        <v> </v>
      </c>
      <c r="Y151" s="6" t="str">
        <f aca="false">IF(S151="B",T151," ")</f>
        <v> </v>
      </c>
      <c r="Z151" s="6" t="str">
        <f aca="false">IF(S151="J",T151," ")</f>
        <v> </v>
      </c>
      <c r="AA151" s="6" t="str">
        <f aca="false">IF(S151="RP",T151," ")</f>
        <v> </v>
      </c>
      <c r="AB151" s="6" t="str">
        <f aca="false">IF(S151="DL",T151," ")</f>
        <v> </v>
      </c>
      <c r="AC151" s="6" t="str">
        <f aca="false">IF(S151="X",T151," ")</f>
        <v> </v>
      </c>
    </row>
    <row r="152" customFormat="false" ht="12.75" hidden="false" customHeight="false" outlineLevel="0" collapsed="false">
      <c r="E152" s="5" t="str">
        <f aca="false">IF(F152&lt;&gt;0,"Enter Code"," ")</f>
        <v> </v>
      </c>
      <c r="G152" s="6" t="str">
        <f aca="false">IF(E152="BC",F152," ")</f>
        <v> </v>
      </c>
      <c r="H152" s="6" t="str">
        <f aca="false">IF(E152="DR",F152," ")</f>
        <v> </v>
      </c>
      <c r="I152" s="6" t="str">
        <f aca="false">IF(E152="CR",F152," ")</f>
        <v> </v>
      </c>
      <c r="J152" s="6" t="str">
        <f aca="false">IF(E152="K",F152," ")</f>
        <v> </v>
      </c>
      <c r="K152" s="6" t="str">
        <f aca="false">IF(E152="RV",F152," ")</f>
        <v> </v>
      </c>
      <c r="L152" s="6" t="str">
        <f aca="false">IF(E152="DL",F152," ")</f>
        <v> </v>
      </c>
      <c r="M152" s="6" t="str">
        <f aca="false">IF(E152="X",F152," ")</f>
        <v> </v>
      </c>
      <c r="N152" s="39"/>
      <c r="S152" s="38" t="str">
        <f aca="false">IF(T152&lt;&gt;0,"Enter Code"," ")</f>
        <v> </v>
      </c>
      <c r="U152" s="6" t="str">
        <f aca="false">IF(S152="BC",T152," ")</f>
        <v> </v>
      </c>
      <c r="V152" s="6" t="str">
        <f aca="false">IF(S152="CR",T152," ")</f>
        <v> </v>
      </c>
      <c r="W152" s="6" t="str">
        <f aca="false">IF(S152="DR",T152," ")</f>
        <v> </v>
      </c>
      <c r="X152" s="6" t="str">
        <f aca="false">IF(S152="W",T152," ")</f>
        <v> </v>
      </c>
      <c r="Y152" s="6" t="str">
        <f aca="false">IF(S152="B",T152," ")</f>
        <v> </v>
      </c>
      <c r="Z152" s="6" t="str">
        <f aca="false">IF(S152="J",T152," ")</f>
        <v> </v>
      </c>
      <c r="AA152" s="6" t="str">
        <f aca="false">IF(S152="RP",T152," ")</f>
        <v> </v>
      </c>
      <c r="AB152" s="6" t="str">
        <f aca="false">IF(S152="DL",T152," ")</f>
        <v> </v>
      </c>
      <c r="AC152" s="6" t="str">
        <f aca="false">IF(S152="X",T152," ")</f>
        <v> </v>
      </c>
    </row>
    <row r="153" customFormat="false" ht="12.75" hidden="false" customHeight="false" outlineLevel="0" collapsed="false">
      <c r="E153" s="5" t="str">
        <f aca="false">IF(F153&lt;&gt;0,"Enter Code"," ")</f>
        <v> </v>
      </c>
      <c r="G153" s="6" t="str">
        <f aca="false">IF(E153="BC",F153," ")</f>
        <v> </v>
      </c>
      <c r="H153" s="6" t="str">
        <f aca="false">IF(E153="DR",F153," ")</f>
        <v> </v>
      </c>
      <c r="I153" s="6" t="str">
        <f aca="false">IF(E153="CR",F153," ")</f>
        <v> </v>
      </c>
      <c r="J153" s="6" t="str">
        <f aca="false">IF(E153="K",F153," ")</f>
        <v> </v>
      </c>
      <c r="K153" s="6" t="str">
        <f aca="false">IF(E153="RV",F153," ")</f>
        <v> </v>
      </c>
      <c r="L153" s="6" t="str">
        <f aca="false">IF(E153="DL",F153," ")</f>
        <v> </v>
      </c>
      <c r="M153" s="6" t="str">
        <f aca="false">IF(E153="X",F153," ")</f>
        <v> </v>
      </c>
      <c r="N153" s="39"/>
      <c r="S153" s="38" t="str">
        <f aca="false">IF(T153&lt;&gt;0,"Enter Code"," ")</f>
        <v> </v>
      </c>
      <c r="U153" s="6" t="str">
        <f aca="false">IF(S153="BC",T153," ")</f>
        <v> </v>
      </c>
      <c r="V153" s="6" t="str">
        <f aca="false">IF(S153="CR",T153," ")</f>
        <v> </v>
      </c>
      <c r="W153" s="6" t="str">
        <f aca="false">IF(S153="DR",T153," ")</f>
        <v> </v>
      </c>
      <c r="X153" s="6" t="str">
        <f aca="false">IF(S153="W",T153," ")</f>
        <v> </v>
      </c>
      <c r="Y153" s="6" t="str">
        <f aca="false">IF(S153="B",T153," ")</f>
        <v> </v>
      </c>
      <c r="Z153" s="6" t="str">
        <f aca="false">IF(S153="J",T153," ")</f>
        <v> </v>
      </c>
      <c r="AA153" s="6" t="str">
        <f aca="false">IF(S153="RP",T153," ")</f>
        <v> </v>
      </c>
      <c r="AB153" s="6" t="str">
        <f aca="false">IF(S153="DL",T153," ")</f>
        <v> </v>
      </c>
      <c r="AC153" s="6" t="str">
        <f aca="false">IF(S153="X",T153," ")</f>
        <v> </v>
      </c>
    </row>
    <row r="154" customFormat="false" ht="12.75" hidden="false" customHeight="false" outlineLevel="0" collapsed="false">
      <c r="E154" s="5" t="str">
        <f aca="false">IF(F154&lt;&gt;0,"Enter Code"," ")</f>
        <v> </v>
      </c>
      <c r="G154" s="6" t="str">
        <f aca="false">IF(E154="BC",F154," ")</f>
        <v> </v>
      </c>
      <c r="H154" s="6" t="str">
        <f aca="false">IF(E154="DR",F154," ")</f>
        <v> </v>
      </c>
      <c r="I154" s="6" t="str">
        <f aca="false">IF(E154="CR",F154," ")</f>
        <v> </v>
      </c>
      <c r="J154" s="6" t="str">
        <f aca="false">IF(E154="K",F154," ")</f>
        <v> </v>
      </c>
      <c r="K154" s="6" t="str">
        <f aca="false">IF(E154="RV",F154," ")</f>
        <v> </v>
      </c>
      <c r="L154" s="6" t="str">
        <f aca="false">IF(E154="DL",F154," ")</f>
        <v> </v>
      </c>
      <c r="M154" s="6" t="str">
        <f aca="false">IF(E154="X",F154," ")</f>
        <v> </v>
      </c>
      <c r="N154" s="39"/>
      <c r="S154" s="38" t="str">
        <f aca="false">IF(T154&lt;&gt;0,"Enter Code"," ")</f>
        <v> </v>
      </c>
      <c r="U154" s="6" t="str">
        <f aca="false">IF(S154="BC",T154," ")</f>
        <v> </v>
      </c>
      <c r="V154" s="6" t="str">
        <f aca="false">IF(S154="CR",T154," ")</f>
        <v> </v>
      </c>
      <c r="W154" s="6" t="str">
        <f aca="false">IF(S154="DR",T154," ")</f>
        <v> </v>
      </c>
      <c r="X154" s="6" t="str">
        <f aca="false">IF(S154="W",T154," ")</f>
        <v> </v>
      </c>
      <c r="Y154" s="6" t="str">
        <f aca="false">IF(S154="B",T154," ")</f>
        <v> </v>
      </c>
      <c r="Z154" s="6" t="str">
        <f aca="false">IF(S154="J",T154," ")</f>
        <v> </v>
      </c>
      <c r="AA154" s="6" t="str">
        <f aca="false">IF(S154="RP",T154," ")</f>
        <v> </v>
      </c>
      <c r="AB154" s="6" t="str">
        <f aca="false">IF(S154="DL",T154," ")</f>
        <v> </v>
      </c>
      <c r="AC154" s="6" t="str">
        <f aca="false">IF(S154="X",T154," ")</f>
        <v> </v>
      </c>
    </row>
    <row r="155" customFormat="false" ht="12.75" hidden="false" customHeight="false" outlineLevel="0" collapsed="false">
      <c r="E155" s="5" t="str">
        <f aca="false">IF(F155&lt;&gt;0,"Enter Code"," ")</f>
        <v> </v>
      </c>
      <c r="G155" s="6" t="str">
        <f aca="false">IF(E155="BC",F155," ")</f>
        <v> </v>
      </c>
      <c r="H155" s="6" t="str">
        <f aca="false">IF(E155="DR",F155," ")</f>
        <v> </v>
      </c>
      <c r="I155" s="6" t="str">
        <f aca="false">IF(E155="CR",F155," ")</f>
        <v> </v>
      </c>
      <c r="J155" s="6" t="str">
        <f aca="false">IF(E155="K",F155," ")</f>
        <v> </v>
      </c>
      <c r="K155" s="6" t="str">
        <f aca="false">IF(E155="RV",F155," ")</f>
        <v> </v>
      </c>
      <c r="L155" s="6" t="str">
        <f aca="false">IF(E155="DL",F155," ")</f>
        <v> </v>
      </c>
      <c r="M155" s="6" t="str">
        <f aca="false">IF(E155="X",F155," ")</f>
        <v> </v>
      </c>
      <c r="N155" s="39"/>
      <c r="S155" s="38" t="str">
        <f aca="false">IF(T155&lt;&gt;0,"Enter Code"," ")</f>
        <v> </v>
      </c>
      <c r="U155" s="6" t="str">
        <f aca="false">IF(S155="BC",T155," ")</f>
        <v> </v>
      </c>
      <c r="V155" s="6" t="str">
        <f aca="false">IF(S155="CR",T155," ")</f>
        <v> </v>
      </c>
      <c r="W155" s="6" t="str">
        <f aca="false">IF(S155="DR",T155," ")</f>
        <v> </v>
      </c>
      <c r="X155" s="6" t="str">
        <f aca="false">IF(S155="W",T155," ")</f>
        <v> </v>
      </c>
      <c r="Y155" s="6" t="str">
        <f aca="false">IF(S155="B",T155," ")</f>
        <v> </v>
      </c>
      <c r="Z155" s="6" t="str">
        <f aca="false">IF(S155="J",T155," ")</f>
        <v> </v>
      </c>
      <c r="AA155" s="6" t="str">
        <f aca="false">IF(S155="RP",T155," ")</f>
        <v> </v>
      </c>
      <c r="AB155" s="6" t="str">
        <f aca="false">IF(S155="DL",T155," ")</f>
        <v> </v>
      </c>
      <c r="AC155" s="6" t="str">
        <f aca="false">IF(S155="X",T155," ")</f>
        <v> </v>
      </c>
    </row>
    <row r="156" customFormat="false" ht="12.75" hidden="false" customHeight="false" outlineLevel="0" collapsed="false">
      <c r="E156" s="5" t="str">
        <f aca="false">IF(F156&lt;&gt;0,"Enter Code"," ")</f>
        <v> </v>
      </c>
      <c r="G156" s="6" t="str">
        <f aca="false">IF(E156="BC",F156," ")</f>
        <v> </v>
      </c>
      <c r="H156" s="6" t="str">
        <f aca="false">IF(E156="DR",F156," ")</f>
        <v> </v>
      </c>
      <c r="I156" s="6" t="str">
        <f aca="false">IF(E156="CR",F156," ")</f>
        <v> </v>
      </c>
      <c r="J156" s="6" t="str">
        <f aca="false">IF(E156="K",F156," ")</f>
        <v> </v>
      </c>
      <c r="K156" s="6" t="str">
        <f aca="false">IF(E156="RV",F156," ")</f>
        <v> </v>
      </c>
      <c r="L156" s="6" t="str">
        <f aca="false">IF(E156="DL",F156," ")</f>
        <v> </v>
      </c>
      <c r="M156" s="6" t="str">
        <f aca="false">IF(E156="X",F156," ")</f>
        <v> </v>
      </c>
      <c r="N156" s="39"/>
      <c r="S156" s="38" t="str">
        <f aca="false">IF(T156&lt;&gt;0,"Enter Code"," ")</f>
        <v> </v>
      </c>
      <c r="U156" s="6" t="str">
        <f aca="false">IF(S156="BC",T156," ")</f>
        <v> </v>
      </c>
      <c r="V156" s="6" t="str">
        <f aca="false">IF(S156="CR",T156," ")</f>
        <v> </v>
      </c>
      <c r="W156" s="6" t="str">
        <f aca="false">IF(S156="DR",T156," ")</f>
        <v> </v>
      </c>
      <c r="X156" s="6" t="str">
        <f aca="false">IF(S156="W",T156," ")</f>
        <v> </v>
      </c>
      <c r="Y156" s="6" t="str">
        <f aca="false">IF(S156="B",T156," ")</f>
        <v> </v>
      </c>
      <c r="Z156" s="6" t="str">
        <f aca="false">IF(S156="J",T156," ")</f>
        <v> </v>
      </c>
      <c r="AA156" s="6" t="str">
        <f aca="false">IF(S156="RP",T156," ")</f>
        <v> </v>
      </c>
      <c r="AB156" s="6" t="str">
        <f aca="false">IF(S156="DL",T156," ")</f>
        <v> </v>
      </c>
      <c r="AC156" s="6" t="str">
        <f aca="false">IF(S156="X",T156," ")</f>
        <v> </v>
      </c>
    </row>
    <row r="157" customFormat="false" ht="12.75" hidden="false" customHeight="false" outlineLevel="0" collapsed="false">
      <c r="E157" s="5" t="str">
        <f aca="false">IF(F157&lt;&gt;0,"Enter Code"," ")</f>
        <v> </v>
      </c>
      <c r="G157" s="6" t="str">
        <f aca="false">IF(E157="BC",F157," ")</f>
        <v> </v>
      </c>
      <c r="H157" s="6" t="str">
        <f aca="false">IF(E157="DR",F157," ")</f>
        <v> </v>
      </c>
      <c r="I157" s="6" t="str">
        <f aca="false">IF(E157="CR",F157," ")</f>
        <v> </v>
      </c>
      <c r="J157" s="6" t="str">
        <f aca="false">IF(E157="K",F157," ")</f>
        <v> </v>
      </c>
      <c r="K157" s="6" t="str">
        <f aca="false">IF(E157="RV",F157," ")</f>
        <v> </v>
      </c>
      <c r="L157" s="6" t="str">
        <f aca="false">IF(E157="DL",F157," ")</f>
        <v> </v>
      </c>
      <c r="M157" s="6" t="str">
        <f aca="false">IF(E157="X",F157," ")</f>
        <v> </v>
      </c>
      <c r="N157" s="39"/>
      <c r="S157" s="38" t="str">
        <f aca="false">IF(T157&lt;&gt;0,"Enter Code"," ")</f>
        <v> </v>
      </c>
      <c r="U157" s="6" t="str">
        <f aca="false">IF(S157="BC",T157," ")</f>
        <v> </v>
      </c>
      <c r="V157" s="6" t="str">
        <f aca="false">IF(S157="CR",T157," ")</f>
        <v> </v>
      </c>
      <c r="W157" s="6" t="str">
        <f aca="false">IF(S157="DR",T157," ")</f>
        <v> </v>
      </c>
      <c r="X157" s="6" t="str">
        <f aca="false">IF(S157="W",T157," ")</f>
        <v> </v>
      </c>
      <c r="Y157" s="6" t="str">
        <f aca="false">IF(S157="B",T157," ")</f>
        <v> </v>
      </c>
      <c r="Z157" s="6" t="str">
        <f aca="false">IF(S157="J",T157," ")</f>
        <v> </v>
      </c>
      <c r="AA157" s="6" t="str">
        <f aca="false">IF(S157="RP",T157," ")</f>
        <v> </v>
      </c>
      <c r="AB157" s="6" t="str">
        <f aca="false">IF(S157="DL",T157," ")</f>
        <v> </v>
      </c>
      <c r="AC157" s="6" t="str">
        <f aca="false">IF(S157="X",T157," ")</f>
        <v> </v>
      </c>
    </row>
    <row r="158" customFormat="false" ht="12.75" hidden="false" customHeight="false" outlineLevel="0" collapsed="false">
      <c r="E158" s="5" t="str">
        <f aca="false">IF(F158&lt;&gt;0,"Enter Code"," ")</f>
        <v> </v>
      </c>
      <c r="G158" s="6" t="str">
        <f aca="false">IF(E158="BC",F158," ")</f>
        <v> </v>
      </c>
      <c r="H158" s="6" t="str">
        <f aca="false">IF(E158="DR",F158," ")</f>
        <v> </v>
      </c>
      <c r="I158" s="6" t="str">
        <f aca="false">IF(E158="CR",F158," ")</f>
        <v> </v>
      </c>
      <c r="J158" s="6" t="str">
        <f aca="false">IF(E158="K",F158," ")</f>
        <v> </v>
      </c>
      <c r="K158" s="6" t="str">
        <f aca="false">IF(E158="RV",F158," ")</f>
        <v> </v>
      </c>
      <c r="L158" s="6" t="str">
        <f aca="false">IF(E158="DL",F158," ")</f>
        <v> </v>
      </c>
      <c r="M158" s="6" t="str">
        <f aca="false">IF(E158="X",F158," ")</f>
        <v> </v>
      </c>
      <c r="N158" s="39"/>
      <c r="S158" s="38" t="str">
        <f aca="false">IF(T158&lt;&gt;0,"Enter Code"," ")</f>
        <v> </v>
      </c>
      <c r="U158" s="6" t="str">
        <f aca="false">IF(S158="BC",T158," ")</f>
        <v> </v>
      </c>
      <c r="V158" s="6" t="str">
        <f aca="false">IF(S158="CR",T158," ")</f>
        <v> </v>
      </c>
      <c r="W158" s="6" t="str">
        <f aca="false">IF(S158="DR",T158," ")</f>
        <v> </v>
      </c>
      <c r="X158" s="6" t="str">
        <f aca="false">IF(S158="W",T158," ")</f>
        <v> </v>
      </c>
      <c r="Y158" s="6" t="str">
        <f aca="false">IF(S158="B",T158," ")</f>
        <v> </v>
      </c>
      <c r="Z158" s="6" t="str">
        <f aca="false">IF(S158="J",T158," ")</f>
        <v> </v>
      </c>
      <c r="AA158" s="6" t="str">
        <f aca="false">IF(S158="RP",T158," ")</f>
        <v> </v>
      </c>
      <c r="AB158" s="6" t="str">
        <f aca="false">IF(S158="DL",T158," ")</f>
        <v> </v>
      </c>
      <c r="AC158" s="6" t="str">
        <f aca="false">IF(S158="X",T158," ")</f>
        <v> </v>
      </c>
    </row>
    <row r="159" customFormat="false" ht="12.75" hidden="false" customHeight="false" outlineLevel="0" collapsed="false">
      <c r="E159" s="5" t="str">
        <f aca="false">IF(F159&lt;&gt;0,"Enter Code"," ")</f>
        <v> </v>
      </c>
      <c r="G159" s="6" t="str">
        <f aca="false">IF(E159="BC",F159," ")</f>
        <v> </v>
      </c>
      <c r="H159" s="6" t="str">
        <f aca="false">IF(E159="DR",F159," ")</f>
        <v> </v>
      </c>
      <c r="I159" s="6" t="str">
        <f aca="false">IF(E159="CR",F159," ")</f>
        <v> </v>
      </c>
      <c r="J159" s="6" t="str">
        <f aca="false">IF(E159="K",F159," ")</f>
        <v> </v>
      </c>
      <c r="K159" s="6" t="str">
        <f aca="false">IF(E159="RV",F159," ")</f>
        <v> </v>
      </c>
      <c r="L159" s="6" t="str">
        <f aca="false">IF(E159="DL",F159," ")</f>
        <v> </v>
      </c>
      <c r="M159" s="6" t="str">
        <f aca="false">IF(E159="X",F159," ")</f>
        <v> </v>
      </c>
      <c r="N159" s="39"/>
      <c r="S159" s="38" t="str">
        <f aca="false">IF(T159&lt;&gt;0,"Enter Code"," ")</f>
        <v> </v>
      </c>
      <c r="U159" s="6" t="str">
        <f aca="false">IF(S159="BC",T159," ")</f>
        <v> </v>
      </c>
      <c r="V159" s="6" t="str">
        <f aca="false">IF(S159="CR",T159," ")</f>
        <v> </v>
      </c>
      <c r="W159" s="6" t="str">
        <f aca="false">IF(S159="DR",T159," ")</f>
        <v> </v>
      </c>
      <c r="X159" s="6" t="str">
        <f aca="false">IF(S159="W",T159," ")</f>
        <v> </v>
      </c>
      <c r="Y159" s="6" t="str">
        <f aca="false">IF(S159="B",T159," ")</f>
        <v> </v>
      </c>
      <c r="Z159" s="6" t="str">
        <f aca="false">IF(S159="J",T159," ")</f>
        <v> </v>
      </c>
      <c r="AA159" s="6" t="str">
        <f aca="false">IF(S159="RP",T159," ")</f>
        <v> </v>
      </c>
      <c r="AB159" s="6" t="str">
        <f aca="false">IF(S159="DL",T159," ")</f>
        <v> </v>
      </c>
      <c r="AC159" s="6" t="str">
        <f aca="false">IF(S159="X",T159," ")</f>
        <v> </v>
      </c>
    </row>
    <row r="160" customFormat="false" ht="12.75" hidden="false" customHeight="false" outlineLevel="0" collapsed="false">
      <c r="E160" s="5" t="str">
        <f aca="false">IF(F160&lt;&gt;0,"Enter Code"," ")</f>
        <v> </v>
      </c>
      <c r="G160" s="6" t="str">
        <f aca="false">IF(E160="BC",F160," ")</f>
        <v> </v>
      </c>
      <c r="H160" s="6" t="str">
        <f aca="false">IF(E160="DR",F160," ")</f>
        <v> </v>
      </c>
      <c r="I160" s="6" t="str">
        <f aca="false">IF(E160="CR",F160," ")</f>
        <v> </v>
      </c>
      <c r="J160" s="6" t="str">
        <f aca="false">IF(E160="K",F160," ")</f>
        <v> </v>
      </c>
      <c r="K160" s="6" t="str">
        <f aca="false">IF(E160="RV",F160," ")</f>
        <v> </v>
      </c>
      <c r="L160" s="6" t="str">
        <f aca="false">IF(E160="DL",F160," ")</f>
        <v> </v>
      </c>
      <c r="M160" s="6" t="str">
        <f aca="false">IF(E160="X",F160," ")</f>
        <v> </v>
      </c>
      <c r="N160" s="39"/>
      <c r="S160" s="38" t="str">
        <f aca="false">IF(T160&lt;&gt;0,"Enter Code"," ")</f>
        <v> </v>
      </c>
      <c r="U160" s="6" t="str">
        <f aca="false">IF(S160="BC",T160," ")</f>
        <v> </v>
      </c>
      <c r="V160" s="6" t="str">
        <f aca="false">IF(S160="CR",T160," ")</f>
        <v> </v>
      </c>
      <c r="W160" s="6" t="str">
        <f aca="false">IF(S160="DR",T160," ")</f>
        <v> </v>
      </c>
      <c r="X160" s="6" t="str">
        <f aca="false">IF(S160="W",T160," ")</f>
        <v> </v>
      </c>
      <c r="Y160" s="6" t="str">
        <f aca="false">IF(S160="B",T160," ")</f>
        <v> </v>
      </c>
      <c r="Z160" s="6" t="str">
        <f aca="false">IF(S160="J",T160," ")</f>
        <v> </v>
      </c>
      <c r="AA160" s="6" t="str">
        <f aca="false">IF(S160="RP",T160," ")</f>
        <v> </v>
      </c>
      <c r="AB160" s="6" t="str">
        <f aca="false">IF(S160="DL",T160," ")</f>
        <v> </v>
      </c>
      <c r="AC160" s="6" t="str">
        <f aca="false">IF(S160="X",T160," ")</f>
        <v> </v>
      </c>
    </row>
    <row r="161" customFormat="false" ht="12.75" hidden="false" customHeight="false" outlineLevel="0" collapsed="false">
      <c r="E161" s="5" t="str">
        <f aca="false">IF(F161&lt;&gt;0,"Enter Code"," ")</f>
        <v> </v>
      </c>
      <c r="G161" s="6" t="str">
        <f aca="false">IF(E161="BC",F161," ")</f>
        <v> </v>
      </c>
      <c r="H161" s="6" t="str">
        <f aca="false">IF(E161="DR",F161," ")</f>
        <v> </v>
      </c>
      <c r="I161" s="6" t="str">
        <f aca="false">IF(E161="CR",F161," ")</f>
        <v> </v>
      </c>
      <c r="J161" s="6" t="str">
        <f aca="false">IF(E161="K",F161," ")</f>
        <v> </v>
      </c>
      <c r="K161" s="6" t="str">
        <f aca="false">IF(E161="RV",F161," ")</f>
        <v> </v>
      </c>
      <c r="L161" s="6" t="str">
        <f aca="false">IF(E161="DL",F161," ")</f>
        <v> </v>
      </c>
      <c r="M161" s="6" t="str">
        <f aca="false">IF(E161="X",F161," ")</f>
        <v> </v>
      </c>
      <c r="N161" s="39"/>
      <c r="S161" s="38" t="str">
        <f aca="false">IF(T161&lt;&gt;0,"Enter Code"," ")</f>
        <v> </v>
      </c>
      <c r="U161" s="6" t="str">
        <f aca="false">IF(S161="BC",T161," ")</f>
        <v> </v>
      </c>
      <c r="V161" s="6" t="str">
        <f aca="false">IF(S161="CR",T161," ")</f>
        <v> </v>
      </c>
      <c r="W161" s="6" t="str">
        <f aca="false">IF(S161="DR",T161," ")</f>
        <v> </v>
      </c>
      <c r="X161" s="6" t="str">
        <f aca="false">IF(S161="W",T161," ")</f>
        <v> </v>
      </c>
      <c r="Y161" s="6" t="str">
        <f aca="false">IF(S161="B",T161," ")</f>
        <v> </v>
      </c>
      <c r="Z161" s="6" t="str">
        <f aca="false">IF(S161="J",T161," ")</f>
        <v> </v>
      </c>
      <c r="AA161" s="6" t="str">
        <f aca="false">IF(S161="RP",T161," ")</f>
        <v> </v>
      </c>
      <c r="AB161" s="6" t="str">
        <f aca="false">IF(S161="DL",T161," ")</f>
        <v> </v>
      </c>
      <c r="AC161" s="6" t="str">
        <f aca="false">IF(S161="X",T161," ")</f>
        <v> </v>
      </c>
    </row>
    <row r="162" customFormat="false" ht="12.75" hidden="false" customHeight="false" outlineLevel="0" collapsed="false">
      <c r="E162" s="5" t="str">
        <f aca="false">IF(F162&lt;&gt;0,"Enter Code"," ")</f>
        <v> </v>
      </c>
      <c r="G162" s="6" t="str">
        <f aca="false">IF(E162="BC",F162," ")</f>
        <v> </v>
      </c>
      <c r="H162" s="6" t="str">
        <f aca="false">IF(E162="DR",F162," ")</f>
        <v> </v>
      </c>
      <c r="I162" s="6" t="str">
        <f aca="false">IF(E162="CR",F162," ")</f>
        <v> </v>
      </c>
      <c r="J162" s="6" t="str">
        <f aca="false">IF(E162="K",F162," ")</f>
        <v> </v>
      </c>
      <c r="K162" s="6" t="str">
        <f aca="false">IF(E162="RV",F162," ")</f>
        <v> </v>
      </c>
      <c r="L162" s="6" t="str">
        <f aca="false">IF(E162="DL",F162," ")</f>
        <v> </v>
      </c>
      <c r="M162" s="6" t="str">
        <f aca="false">IF(E162="X",F162," ")</f>
        <v> </v>
      </c>
      <c r="N162" s="39"/>
      <c r="S162" s="38" t="str">
        <f aca="false">IF(T162&lt;&gt;0,"Enter Code"," ")</f>
        <v> </v>
      </c>
      <c r="U162" s="6" t="str">
        <f aca="false">IF(S162="BC",T162," ")</f>
        <v> </v>
      </c>
      <c r="V162" s="6" t="str">
        <f aca="false">IF(S162="CR",T162," ")</f>
        <v> </v>
      </c>
      <c r="W162" s="6" t="str">
        <f aca="false">IF(S162="DR",T162," ")</f>
        <v> </v>
      </c>
      <c r="X162" s="6" t="str">
        <f aca="false">IF(S162="W",T162," ")</f>
        <v> </v>
      </c>
      <c r="Y162" s="6" t="str">
        <f aca="false">IF(S162="B",T162," ")</f>
        <v> </v>
      </c>
      <c r="Z162" s="6" t="str">
        <f aca="false">IF(S162="J",T162," ")</f>
        <v> </v>
      </c>
      <c r="AA162" s="6" t="str">
        <f aca="false">IF(S162="RP",T162," ")</f>
        <v> </v>
      </c>
      <c r="AB162" s="6" t="str">
        <f aca="false">IF(S162="DL",T162," ")</f>
        <v> </v>
      </c>
      <c r="AC162" s="6" t="str">
        <f aca="false">IF(S162="X",T162," ")</f>
        <v> </v>
      </c>
    </row>
    <row r="163" customFormat="false" ht="12.75" hidden="false" customHeight="false" outlineLevel="0" collapsed="false">
      <c r="E163" s="5" t="str">
        <f aca="false">IF(F163&lt;&gt;0,"Enter Code"," ")</f>
        <v> </v>
      </c>
      <c r="G163" s="6" t="str">
        <f aca="false">IF(E163="BC",F163," ")</f>
        <v> </v>
      </c>
      <c r="H163" s="6" t="str">
        <f aca="false">IF(E163="DR",F163," ")</f>
        <v> </v>
      </c>
      <c r="I163" s="6" t="str">
        <f aca="false">IF(E163="CR",F163," ")</f>
        <v> </v>
      </c>
      <c r="J163" s="6" t="str">
        <f aca="false">IF(E163="K",F163," ")</f>
        <v> </v>
      </c>
      <c r="K163" s="6" t="str">
        <f aca="false">IF(E163="RV",F163," ")</f>
        <v> </v>
      </c>
      <c r="L163" s="6" t="str">
        <f aca="false">IF(E163="DL",F163," ")</f>
        <v> </v>
      </c>
      <c r="M163" s="6" t="str">
        <f aca="false">IF(E163="X",F163," ")</f>
        <v> </v>
      </c>
      <c r="N163" s="39"/>
      <c r="S163" s="38" t="str">
        <f aca="false">IF(T163&lt;&gt;0,"Enter Code"," ")</f>
        <v> </v>
      </c>
      <c r="U163" s="6" t="str">
        <f aca="false">IF(S163="BC",T163," ")</f>
        <v> </v>
      </c>
      <c r="V163" s="6" t="str">
        <f aca="false">IF(S163="CR",T163," ")</f>
        <v> </v>
      </c>
      <c r="W163" s="6" t="str">
        <f aca="false">IF(S163="DR",T163," ")</f>
        <v> </v>
      </c>
      <c r="X163" s="6" t="str">
        <f aca="false">IF(S163="W",T163," ")</f>
        <v> </v>
      </c>
      <c r="Y163" s="6" t="str">
        <f aca="false">IF(S163="B",T163," ")</f>
        <v> </v>
      </c>
      <c r="Z163" s="6" t="str">
        <f aca="false">IF(S163="J",T163," ")</f>
        <v> </v>
      </c>
      <c r="AA163" s="6" t="str">
        <f aca="false">IF(S163="RP",T163," ")</f>
        <v> </v>
      </c>
      <c r="AB163" s="6" t="str">
        <f aca="false">IF(S163="DL",T163," ")</f>
        <v> </v>
      </c>
      <c r="AC163" s="6" t="str">
        <f aca="false">IF(S163="X",T163," ")</f>
        <v> </v>
      </c>
    </row>
    <row r="164" customFormat="false" ht="12.75" hidden="false" customHeight="false" outlineLevel="0" collapsed="false">
      <c r="E164" s="5" t="str">
        <f aca="false">IF(F164&lt;&gt;0,"Enter Code"," ")</f>
        <v> </v>
      </c>
      <c r="G164" s="6" t="str">
        <f aca="false">IF(E164="BC",F164," ")</f>
        <v> </v>
      </c>
      <c r="H164" s="6" t="str">
        <f aca="false">IF(E164="DR",F164," ")</f>
        <v> </v>
      </c>
      <c r="I164" s="6" t="str">
        <f aca="false">IF(E164="CR",F164," ")</f>
        <v> </v>
      </c>
      <c r="J164" s="6" t="str">
        <f aca="false">IF(E164="K",F164," ")</f>
        <v> </v>
      </c>
      <c r="K164" s="6" t="str">
        <f aca="false">IF(E164="RV",F164," ")</f>
        <v> </v>
      </c>
      <c r="L164" s="6" t="str">
        <f aca="false">IF(E164="DL",F164," ")</f>
        <v> </v>
      </c>
      <c r="M164" s="6" t="str">
        <f aca="false">IF(E164="X",F164," ")</f>
        <v> </v>
      </c>
      <c r="N164" s="39"/>
      <c r="S164" s="38" t="str">
        <f aca="false">IF(T164&lt;&gt;0,"Enter Code"," ")</f>
        <v> </v>
      </c>
      <c r="U164" s="6" t="str">
        <f aca="false">IF(S164="BC",T164," ")</f>
        <v> </v>
      </c>
      <c r="V164" s="6" t="str">
        <f aca="false">IF(S164="CR",T164," ")</f>
        <v> </v>
      </c>
      <c r="W164" s="6" t="str">
        <f aca="false">IF(S164="DR",T164," ")</f>
        <v> </v>
      </c>
      <c r="X164" s="6" t="str">
        <f aca="false">IF(S164="W",T164," ")</f>
        <v> </v>
      </c>
      <c r="Y164" s="6" t="str">
        <f aca="false">IF(S164="B",T164," ")</f>
        <v> </v>
      </c>
      <c r="Z164" s="6" t="str">
        <f aca="false">IF(S164="J",T164," ")</f>
        <v> </v>
      </c>
      <c r="AA164" s="6" t="str">
        <f aca="false">IF(S164="RP",T164," ")</f>
        <v> </v>
      </c>
      <c r="AB164" s="6" t="str">
        <f aca="false">IF(S164="DL",T164," ")</f>
        <v> </v>
      </c>
      <c r="AC164" s="6" t="str">
        <f aca="false">IF(S164="X",T164," ")</f>
        <v> </v>
      </c>
    </row>
    <row r="165" customFormat="false" ht="12.75" hidden="false" customHeight="false" outlineLevel="0" collapsed="false">
      <c r="E165" s="5" t="str">
        <f aca="false">IF(F165&lt;&gt;0,"Enter Code"," ")</f>
        <v> </v>
      </c>
      <c r="G165" s="6" t="str">
        <f aca="false">IF(E165="BC",F165," ")</f>
        <v> </v>
      </c>
      <c r="H165" s="6" t="str">
        <f aca="false">IF(E165="DR",F165," ")</f>
        <v> </v>
      </c>
      <c r="I165" s="6" t="str">
        <f aca="false">IF(E165="CR",F165," ")</f>
        <v> </v>
      </c>
      <c r="J165" s="6" t="str">
        <f aca="false">IF(E165="K",F165," ")</f>
        <v> </v>
      </c>
      <c r="K165" s="6" t="str">
        <f aca="false">IF(E165="RV",F165," ")</f>
        <v> </v>
      </c>
      <c r="L165" s="6" t="str">
        <f aca="false">IF(E165="DL",F165," ")</f>
        <v> </v>
      </c>
      <c r="M165" s="6" t="str">
        <f aca="false">IF(E165="X",F165," ")</f>
        <v> </v>
      </c>
      <c r="N165" s="39"/>
      <c r="S165" s="38" t="str">
        <f aca="false">IF(T165&lt;&gt;0,"Enter Code"," ")</f>
        <v> </v>
      </c>
      <c r="U165" s="6" t="str">
        <f aca="false">IF(S165="BC",T165," ")</f>
        <v> </v>
      </c>
      <c r="V165" s="6" t="str">
        <f aca="false">IF(S165="CR",T165," ")</f>
        <v> </v>
      </c>
      <c r="W165" s="6" t="str">
        <f aca="false">IF(S165="DR",T165," ")</f>
        <v> </v>
      </c>
      <c r="X165" s="6" t="str">
        <f aca="false">IF(S165="W",T165," ")</f>
        <v> </v>
      </c>
      <c r="Y165" s="6" t="str">
        <f aca="false">IF(S165="B",T165," ")</f>
        <v> </v>
      </c>
      <c r="Z165" s="6" t="str">
        <f aca="false">IF(S165="J",T165," ")</f>
        <v> </v>
      </c>
      <c r="AA165" s="6" t="str">
        <f aca="false">IF(S165="RP",T165," ")</f>
        <v> </v>
      </c>
      <c r="AB165" s="6" t="str">
        <f aca="false">IF(S165="DL",T165," ")</f>
        <v> </v>
      </c>
      <c r="AC165" s="6" t="str">
        <f aca="false">IF(S165="X",T165," ")</f>
        <v> </v>
      </c>
    </row>
    <row r="166" customFormat="false" ht="12.75" hidden="false" customHeight="false" outlineLevel="0" collapsed="false">
      <c r="E166" s="5" t="str">
        <f aca="false">IF(F166&lt;&gt;0,"Enter Code"," ")</f>
        <v> </v>
      </c>
      <c r="G166" s="6" t="str">
        <f aca="false">IF(E166="BC",F166," ")</f>
        <v> </v>
      </c>
      <c r="H166" s="6" t="str">
        <f aca="false">IF(E166="DR",F166," ")</f>
        <v> </v>
      </c>
      <c r="I166" s="6" t="str">
        <f aca="false">IF(E166="CR",F166," ")</f>
        <v> </v>
      </c>
      <c r="J166" s="6" t="str">
        <f aca="false">IF(E166="K",F166," ")</f>
        <v> </v>
      </c>
      <c r="K166" s="6" t="str">
        <f aca="false">IF(E166="RV",F166," ")</f>
        <v> </v>
      </c>
      <c r="L166" s="6" t="str">
        <f aca="false">IF(E166="DL",F166," ")</f>
        <v> </v>
      </c>
      <c r="M166" s="6" t="str">
        <f aca="false">IF(E166="X",F166," ")</f>
        <v> </v>
      </c>
      <c r="N166" s="39"/>
      <c r="S166" s="38" t="str">
        <f aca="false">IF(T166&lt;&gt;0,"Enter Code"," ")</f>
        <v> </v>
      </c>
      <c r="U166" s="6" t="str">
        <f aca="false">IF(S166="BC",T166," ")</f>
        <v> </v>
      </c>
      <c r="V166" s="6" t="str">
        <f aca="false">IF(S166="CR",T166," ")</f>
        <v> </v>
      </c>
      <c r="W166" s="6" t="str">
        <f aca="false">IF(S166="DR",T166," ")</f>
        <v> </v>
      </c>
      <c r="X166" s="6" t="str">
        <f aca="false">IF(S166="W",T166," ")</f>
        <v> </v>
      </c>
      <c r="Y166" s="6" t="str">
        <f aca="false">IF(S166="B",T166," ")</f>
        <v> </v>
      </c>
      <c r="Z166" s="6" t="str">
        <f aca="false">IF(S166="J",T166," ")</f>
        <v> </v>
      </c>
      <c r="AA166" s="6" t="str">
        <f aca="false">IF(S166="RP",T166," ")</f>
        <v> </v>
      </c>
      <c r="AB166" s="6" t="str">
        <f aca="false">IF(S166="DL",T166," ")</f>
        <v> </v>
      </c>
      <c r="AC166" s="6" t="str">
        <f aca="false">IF(S166="X",T166," ")</f>
        <v> </v>
      </c>
    </row>
    <row r="167" customFormat="false" ht="12.75" hidden="false" customHeight="false" outlineLevel="0" collapsed="false">
      <c r="E167" s="5" t="str">
        <f aca="false">IF(F167&lt;&gt;0,"Enter Code"," ")</f>
        <v> </v>
      </c>
      <c r="G167" s="6" t="str">
        <f aca="false">IF(E167="BC",F167," ")</f>
        <v> </v>
      </c>
      <c r="H167" s="6" t="str">
        <f aca="false">IF(E167="DR",F167," ")</f>
        <v> </v>
      </c>
      <c r="I167" s="6" t="str">
        <f aca="false">IF(E167="CR",F167," ")</f>
        <v> </v>
      </c>
      <c r="J167" s="6" t="str">
        <f aca="false">IF(E167="K",F167," ")</f>
        <v> </v>
      </c>
      <c r="K167" s="6" t="str">
        <f aca="false">IF(E167="RV",F167," ")</f>
        <v> </v>
      </c>
      <c r="L167" s="6" t="str">
        <f aca="false">IF(E167="DL",F167," ")</f>
        <v> </v>
      </c>
      <c r="M167" s="6" t="str">
        <f aca="false">IF(E167="X",F167," ")</f>
        <v> </v>
      </c>
      <c r="N167" s="39"/>
      <c r="S167" s="38" t="str">
        <f aca="false">IF(T167&lt;&gt;0,"Enter Code"," ")</f>
        <v> </v>
      </c>
      <c r="U167" s="6" t="str">
        <f aca="false">IF(S167="BC",T167," ")</f>
        <v> </v>
      </c>
      <c r="V167" s="6" t="str">
        <f aca="false">IF(S167="CR",T167," ")</f>
        <v> </v>
      </c>
      <c r="W167" s="6" t="str">
        <f aca="false">IF(S167="DR",T167," ")</f>
        <v> </v>
      </c>
      <c r="X167" s="6" t="str">
        <f aca="false">IF(S167="W",T167," ")</f>
        <v> </v>
      </c>
      <c r="Y167" s="6" t="str">
        <f aca="false">IF(S167="B",T167," ")</f>
        <v> </v>
      </c>
      <c r="Z167" s="6" t="str">
        <f aca="false">IF(S167="J",T167," ")</f>
        <v> </v>
      </c>
      <c r="AA167" s="6" t="str">
        <f aca="false">IF(S167="RP",T167," ")</f>
        <v> </v>
      </c>
      <c r="AB167" s="6" t="str">
        <f aca="false">IF(S167="DL",T167," ")</f>
        <v> </v>
      </c>
      <c r="AC167" s="6" t="str">
        <f aca="false">IF(S167="X",T167," ")</f>
        <v> </v>
      </c>
    </row>
    <row r="168" customFormat="false" ht="12.75" hidden="false" customHeight="false" outlineLevel="0" collapsed="false">
      <c r="E168" s="5" t="str">
        <f aca="false">IF(F168&lt;&gt;0,"Enter Code"," ")</f>
        <v> </v>
      </c>
      <c r="G168" s="6" t="str">
        <f aca="false">IF(E168="BC",F168," ")</f>
        <v> </v>
      </c>
      <c r="H168" s="6" t="str">
        <f aca="false">IF(E168="DR",F168," ")</f>
        <v> </v>
      </c>
      <c r="I168" s="6" t="str">
        <f aca="false">IF(E168="CR",F168," ")</f>
        <v> </v>
      </c>
      <c r="J168" s="6" t="str">
        <f aca="false">IF(E168="K",F168," ")</f>
        <v> </v>
      </c>
      <c r="K168" s="6" t="str">
        <f aca="false">IF(E168="RV",F168," ")</f>
        <v> </v>
      </c>
      <c r="L168" s="6" t="str">
        <f aca="false">IF(E168="DL",F168," ")</f>
        <v> </v>
      </c>
      <c r="M168" s="6" t="str">
        <f aca="false">IF(E168="X",F168," ")</f>
        <v> </v>
      </c>
      <c r="N168" s="39"/>
      <c r="S168" s="38" t="str">
        <f aca="false">IF(T168&lt;&gt;0,"Enter Code"," ")</f>
        <v> </v>
      </c>
      <c r="U168" s="6" t="str">
        <f aca="false">IF(S168="BC",T168," ")</f>
        <v> </v>
      </c>
      <c r="V168" s="6" t="str">
        <f aca="false">IF(S168="CR",T168," ")</f>
        <v> </v>
      </c>
      <c r="W168" s="6" t="str">
        <f aca="false">IF(S168="DR",T168," ")</f>
        <v> </v>
      </c>
      <c r="X168" s="6" t="str">
        <f aca="false">IF(S168="W",T168," ")</f>
        <v> </v>
      </c>
      <c r="Y168" s="6" t="str">
        <f aca="false">IF(S168="B",T168," ")</f>
        <v> </v>
      </c>
      <c r="Z168" s="6" t="str">
        <f aca="false">IF(S168="J",T168," ")</f>
        <v> </v>
      </c>
      <c r="AA168" s="6" t="str">
        <f aca="false">IF(S168="RP",T168," ")</f>
        <v> </v>
      </c>
      <c r="AB168" s="6" t="str">
        <f aca="false">IF(S168="DL",T168," ")</f>
        <v> </v>
      </c>
      <c r="AC168" s="6" t="str">
        <f aca="false">IF(S168="X",T168," ")</f>
        <v> </v>
      </c>
    </row>
    <row r="169" customFormat="false" ht="12.75" hidden="false" customHeight="false" outlineLevel="0" collapsed="false">
      <c r="E169" s="5" t="str">
        <f aca="false">IF(F169&lt;&gt;0,"Enter Code"," ")</f>
        <v> </v>
      </c>
      <c r="G169" s="6" t="str">
        <f aca="false">IF(E169="BC",F169," ")</f>
        <v> </v>
      </c>
      <c r="H169" s="6" t="str">
        <f aca="false">IF(E169="DR",F169," ")</f>
        <v> </v>
      </c>
      <c r="I169" s="6" t="str">
        <f aca="false">IF(E169="CR",F169," ")</f>
        <v> </v>
      </c>
      <c r="J169" s="6" t="str">
        <f aca="false">IF(E169="K",F169," ")</f>
        <v> </v>
      </c>
      <c r="K169" s="6" t="str">
        <f aca="false">IF(E169="RV",F169," ")</f>
        <v> </v>
      </c>
      <c r="L169" s="6" t="str">
        <f aca="false">IF(E169="DL",F169," ")</f>
        <v> </v>
      </c>
      <c r="M169" s="6" t="str">
        <f aca="false">IF(E169="X",F169," ")</f>
        <v> </v>
      </c>
      <c r="N169" s="39"/>
      <c r="S169" s="38" t="str">
        <f aca="false">IF(T169&lt;&gt;0,"Enter Code"," ")</f>
        <v> </v>
      </c>
      <c r="U169" s="6" t="str">
        <f aca="false">IF(S169="BC",T169," ")</f>
        <v> </v>
      </c>
      <c r="V169" s="6" t="str">
        <f aca="false">IF(S169="CR",T169," ")</f>
        <v> </v>
      </c>
      <c r="W169" s="6" t="str">
        <f aca="false">IF(S169="DR",T169," ")</f>
        <v> </v>
      </c>
      <c r="X169" s="6" t="str">
        <f aca="false">IF(S169="W",T169," ")</f>
        <v> </v>
      </c>
      <c r="Y169" s="6" t="str">
        <f aca="false">IF(S169="B",T169," ")</f>
        <v> </v>
      </c>
      <c r="Z169" s="6" t="str">
        <f aca="false">IF(S169="J",T169," ")</f>
        <v> </v>
      </c>
      <c r="AA169" s="6" t="str">
        <f aca="false">IF(S169="RP",T169," ")</f>
        <v> </v>
      </c>
      <c r="AB169" s="6" t="str">
        <f aca="false">IF(S169="DL",T169," ")</f>
        <v> </v>
      </c>
      <c r="AC169" s="6" t="str">
        <f aca="false">IF(S169="X",T169," ")</f>
        <v> </v>
      </c>
    </row>
    <row r="170" customFormat="false" ht="12.75" hidden="false" customHeight="false" outlineLevel="0" collapsed="false">
      <c r="E170" s="5" t="str">
        <f aca="false">IF(F170&lt;&gt;0,"Enter Code"," ")</f>
        <v> </v>
      </c>
      <c r="G170" s="6" t="str">
        <f aca="false">IF(E170="BC",F170," ")</f>
        <v> </v>
      </c>
      <c r="H170" s="6" t="str">
        <f aca="false">IF(E170="DR",F170," ")</f>
        <v> </v>
      </c>
      <c r="I170" s="6" t="str">
        <f aca="false">IF(E170="CR",F170," ")</f>
        <v> </v>
      </c>
      <c r="J170" s="6" t="str">
        <f aca="false">IF(E170="K",F170," ")</f>
        <v> </v>
      </c>
      <c r="K170" s="6" t="str">
        <f aca="false">IF(E170="RV",F170," ")</f>
        <v> </v>
      </c>
      <c r="L170" s="6" t="str">
        <f aca="false">IF(E170="DL",F170," ")</f>
        <v> </v>
      </c>
      <c r="M170" s="6" t="str">
        <f aca="false">IF(E170="X",F170," ")</f>
        <v> </v>
      </c>
      <c r="N170" s="39"/>
      <c r="S170" s="38" t="str">
        <f aca="false">IF(T170&lt;&gt;0,"Enter Code"," ")</f>
        <v> </v>
      </c>
      <c r="U170" s="6" t="str">
        <f aca="false">IF(S170="BC",T170," ")</f>
        <v> </v>
      </c>
      <c r="V170" s="6" t="str">
        <f aca="false">IF(S170="CR",T170," ")</f>
        <v> </v>
      </c>
      <c r="W170" s="6" t="str">
        <f aca="false">IF(S170="DR",T170," ")</f>
        <v> </v>
      </c>
      <c r="X170" s="6" t="str">
        <f aca="false">IF(S170="W",T170," ")</f>
        <v> </v>
      </c>
      <c r="Y170" s="6" t="str">
        <f aca="false">IF(S170="B",T170," ")</f>
        <v> </v>
      </c>
      <c r="Z170" s="6" t="str">
        <f aca="false">IF(S170="J",T170," ")</f>
        <v> </v>
      </c>
      <c r="AA170" s="6" t="str">
        <f aca="false">IF(S170="RP",T170," ")</f>
        <v> </v>
      </c>
      <c r="AB170" s="6" t="str">
        <f aca="false">IF(S170="DL",T170," ")</f>
        <v> </v>
      </c>
      <c r="AC170" s="6" t="str">
        <f aca="false">IF(S170="X",T170," ")</f>
        <v> </v>
      </c>
    </row>
    <row r="171" customFormat="false" ht="12.75" hidden="false" customHeight="false" outlineLevel="0" collapsed="false">
      <c r="E171" s="5" t="str">
        <f aca="false">IF(F171&lt;&gt;0,"Enter Code"," ")</f>
        <v> </v>
      </c>
      <c r="G171" s="6" t="str">
        <f aca="false">IF(E171="BC",F171," ")</f>
        <v> </v>
      </c>
      <c r="H171" s="6" t="str">
        <f aca="false">IF(E171="DR",F171," ")</f>
        <v> </v>
      </c>
      <c r="I171" s="6" t="str">
        <f aca="false">IF(E171="CR",F171," ")</f>
        <v> </v>
      </c>
      <c r="J171" s="6" t="str">
        <f aca="false">IF(E171="K",F171," ")</f>
        <v> </v>
      </c>
      <c r="K171" s="6" t="str">
        <f aca="false">IF(E171="RV",F171," ")</f>
        <v> </v>
      </c>
      <c r="L171" s="6" t="str">
        <f aca="false">IF(E171="DL",F171," ")</f>
        <v> </v>
      </c>
      <c r="M171" s="6" t="str">
        <f aca="false">IF(E171="X",F171," ")</f>
        <v> </v>
      </c>
      <c r="N171" s="39"/>
      <c r="S171" s="38" t="str">
        <f aca="false">IF(T171&lt;&gt;0,"Enter Code"," ")</f>
        <v> </v>
      </c>
      <c r="U171" s="6" t="str">
        <f aca="false">IF(S171="BC",T171," ")</f>
        <v> </v>
      </c>
      <c r="V171" s="6" t="str">
        <f aca="false">IF(S171="CR",T171," ")</f>
        <v> </v>
      </c>
      <c r="W171" s="6" t="str">
        <f aca="false">IF(S171="DR",T171," ")</f>
        <v> </v>
      </c>
      <c r="X171" s="6" t="str">
        <f aca="false">IF(S171="W",T171," ")</f>
        <v> </v>
      </c>
      <c r="Y171" s="6" t="str">
        <f aca="false">IF(S171="B",T171," ")</f>
        <v> </v>
      </c>
      <c r="Z171" s="6" t="str">
        <f aca="false">IF(S171="J",T171," ")</f>
        <v> </v>
      </c>
      <c r="AA171" s="6" t="str">
        <f aca="false">IF(S171="RP",T171," ")</f>
        <v> </v>
      </c>
      <c r="AB171" s="6" t="str">
        <f aca="false">IF(S171="DL",T171," ")</f>
        <v> </v>
      </c>
      <c r="AC171" s="6" t="str">
        <f aca="false">IF(S171="X",T171," ")</f>
        <v> </v>
      </c>
    </row>
    <row r="172" customFormat="false" ht="12.75" hidden="false" customHeight="false" outlineLevel="0" collapsed="false">
      <c r="E172" s="5" t="str">
        <f aca="false">IF(F172&lt;&gt;0,"Enter Code"," ")</f>
        <v> </v>
      </c>
      <c r="G172" s="6" t="str">
        <f aca="false">IF(E172="BC",F172," ")</f>
        <v> </v>
      </c>
      <c r="H172" s="6" t="str">
        <f aca="false">IF(E172="DR",F172," ")</f>
        <v> </v>
      </c>
      <c r="I172" s="6" t="str">
        <f aca="false">IF(E172="CR",F172," ")</f>
        <v> </v>
      </c>
      <c r="J172" s="6" t="str">
        <f aca="false">IF(E172="K",F172," ")</f>
        <v> </v>
      </c>
      <c r="K172" s="6" t="str">
        <f aca="false">IF(E172="RV",F172," ")</f>
        <v> </v>
      </c>
      <c r="L172" s="6" t="str">
        <f aca="false">IF(E172="DL",F172," ")</f>
        <v> </v>
      </c>
      <c r="M172" s="6" t="str">
        <f aca="false">IF(E172="X",F172," ")</f>
        <v> </v>
      </c>
      <c r="N172" s="39"/>
      <c r="S172" s="38" t="str">
        <f aca="false">IF(T172&lt;&gt;0,"Enter Code"," ")</f>
        <v> </v>
      </c>
      <c r="U172" s="6" t="str">
        <f aca="false">IF(S172="BC",T172," ")</f>
        <v> </v>
      </c>
      <c r="V172" s="6" t="str">
        <f aca="false">IF(S172="CR",T172," ")</f>
        <v> </v>
      </c>
      <c r="W172" s="6" t="str">
        <f aca="false">IF(S172="DR",T172," ")</f>
        <v> </v>
      </c>
      <c r="X172" s="6" t="str">
        <f aca="false">IF(S172="W",T172," ")</f>
        <v> </v>
      </c>
      <c r="Y172" s="6" t="str">
        <f aca="false">IF(S172="B",T172," ")</f>
        <v> </v>
      </c>
      <c r="Z172" s="6" t="str">
        <f aca="false">IF(S172="J",T172," ")</f>
        <v> </v>
      </c>
      <c r="AA172" s="6" t="str">
        <f aca="false">IF(S172="RP",T172," ")</f>
        <v> </v>
      </c>
      <c r="AB172" s="6" t="str">
        <f aca="false">IF(S172="DL",T172," ")</f>
        <v> </v>
      </c>
      <c r="AC172" s="6" t="str">
        <f aca="false">IF(S172="X",T172," ")</f>
        <v> </v>
      </c>
    </row>
    <row r="173" customFormat="false" ht="12.75" hidden="false" customHeight="false" outlineLevel="0" collapsed="false">
      <c r="E173" s="5" t="str">
        <f aca="false">IF(F173&lt;&gt;0,"Enter Code"," ")</f>
        <v> </v>
      </c>
      <c r="G173" s="6" t="str">
        <f aca="false">IF(E173="BC",F173," ")</f>
        <v> </v>
      </c>
      <c r="H173" s="6" t="str">
        <f aca="false">IF(E173="DR",F173," ")</f>
        <v> </v>
      </c>
      <c r="I173" s="6" t="str">
        <f aca="false">IF(E173="CR",F173," ")</f>
        <v> </v>
      </c>
      <c r="J173" s="6" t="str">
        <f aca="false">IF(E173="K",F173," ")</f>
        <v> </v>
      </c>
      <c r="K173" s="6" t="str">
        <f aca="false">IF(E173="RV",F173," ")</f>
        <v> </v>
      </c>
      <c r="L173" s="6" t="str">
        <f aca="false">IF(E173="DL",F173," ")</f>
        <v> </v>
      </c>
      <c r="M173" s="6" t="str">
        <f aca="false">IF(E173="X",F173," ")</f>
        <v> </v>
      </c>
      <c r="N173" s="39"/>
      <c r="S173" s="38" t="str">
        <f aca="false">IF(T173&lt;&gt;0,"Enter Code"," ")</f>
        <v> </v>
      </c>
      <c r="U173" s="6" t="str">
        <f aca="false">IF(S173="BC",T173," ")</f>
        <v> </v>
      </c>
      <c r="V173" s="6" t="str">
        <f aca="false">IF(S173="CR",T173," ")</f>
        <v> </v>
      </c>
      <c r="W173" s="6" t="str">
        <f aca="false">IF(S173="DR",T173," ")</f>
        <v> </v>
      </c>
      <c r="X173" s="6" t="str">
        <f aca="false">IF(S173="W",T173," ")</f>
        <v> </v>
      </c>
      <c r="Y173" s="6" t="str">
        <f aca="false">IF(S173="B",T173," ")</f>
        <v> </v>
      </c>
      <c r="Z173" s="6" t="str">
        <f aca="false">IF(S173="J",T173," ")</f>
        <v> </v>
      </c>
      <c r="AA173" s="6" t="str">
        <f aca="false">IF(S173="RP",T173," ")</f>
        <v> </v>
      </c>
      <c r="AB173" s="6" t="str">
        <f aca="false">IF(S173="DL",T173," ")</f>
        <v> </v>
      </c>
      <c r="AC173" s="6" t="str">
        <f aca="false">IF(S173="X",T173," ")</f>
        <v> </v>
      </c>
    </row>
    <row r="174" customFormat="false" ht="12.75" hidden="false" customHeight="false" outlineLevel="0" collapsed="false">
      <c r="E174" s="5" t="str">
        <f aca="false">IF(F174&lt;&gt;0,"Enter Code"," ")</f>
        <v> </v>
      </c>
      <c r="G174" s="6" t="str">
        <f aca="false">IF(E174="BC",F174," ")</f>
        <v> </v>
      </c>
      <c r="H174" s="6" t="str">
        <f aca="false">IF(E174="DR",F174," ")</f>
        <v> </v>
      </c>
      <c r="I174" s="6" t="str">
        <f aca="false">IF(E174="CR",F174," ")</f>
        <v> </v>
      </c>
      <c r="J174" s="6" t="str">
        <f aca="false">IF(E174="K",F174," ")</f>
        <v> </v>
      </c>
      <c r="K174" s="6" t="str">
        <f aca="false">IF(E174="RV",F174," ")</f>
        <v> </v>
      </c>
      <c r="L174" s="6" t="str">
        <f aca="false">IF(E174="DL",F174," ")</f>
        <v> </v>
      </c>
      <c r="M174" s="6" t="str">
        <f aca="false">IF(E174="X",F174," ")</f>
        <v> </v>
      </c>
      <c r="N174" s="37"/>
      <c r="S174" s="38" t="str">
        <f aca="false">IF(T174&lt;&gt;0,"Enter Code"," ")</f>
        <v> </v>
      </c>
      <c r="U174" s="6" t="str">
        <f aca="false">IF(S174="BC",T174," ")</f>
        <v> </v>
      </c>
      <c r="V174" s="6" t="str">
        <f aca="false">IF(S174="CR",T174," ")</f>
        <v> </v>
      </c>
      <c r="W174" s="6" t="str">
        <f aca="false">IF(S174="DR",T174," ")</f>
        <v> </v>
      </c>
      <c r="X174" s="6" t="str">
        <f aca="false">IF(S174="W",T174," ")</f>
        <v> </v>
      </c>
      <c r="Y174" s="6" t="str">
        <f aca="false">IF(S174="B",T174," ")</f>
        <v> </v>
      </c>
      <c r="Z174" s="6" t="str">
        <f aca="false">IF(S174="J",T174," ")</f>
        <v> </v>
      </c>
      <c r="AA174" s="6" t="str">
        <f aca="false">IF(S174="RP",T174," ")</f>
        <v> </v>
      </c>
      <c r="AB174" s="6" t="str">
        <f aca="false">IF(S174="DL",T174," ")</f>
        <v> </v>
      </c>
      <c r="AC174" s="6" t="str">
        <f aca="false">IF(S174="X",T174," ")</f>
        <v> </v>
      </c>
    </row>
    <row r="175" customFormat="false" ht="12.75" hidden="false" customHeight="false" outlineLevel="0" collapsed="false">
      <c r="E175" s="5" t="str">
        <f aca="false">IF(F175&lt;&gt;0,"Enter Code"," ")</f>
        <v> </v>
      </c>
      <c r="G175" s="6" t="str">
        <f aca="false">IF(E175="BC",F175," ")</f>
        <v> </v>
      </c>
      <c r="H175" s="6" t="str">
        <f aca="false">IF(E175="DR",F175," ")</f>
        <v> </v>
      </c>
      <c r="I175" s="6" t="str">
        <f aca="false">IF(E175="CR",F175," ")</f>
        <v> </v>
      </c>
      <c r="J175" s="6" t="str">
        <f aca="false">IF(E175="K",F175," ")</f>
        <v> </v>
      </c>
      <c r="K175" s="6" t="str">
        <f aca="false">IF(E175="RV",F175," ")</f>
        <v> </v>
      </c>
      <c r="L175" s="6" t="str">
        <f aca="false">IF(E175="DL",F175," ")</f>
        <v> </v>
      </c>
      <c r="M175" s="6" t="str">
        <f aca="false">IF(E175="X",F175," ")</f>
        <v> </v>
      </c>
      <c r="N175" s="40"/>
      <c r="S175" s="38" t="str">
        <f aca="false">IF(T175&lt;&gt;0,"Enter Code"," ")</f>
        <v> </v>
      </c>
      <c r="U175" s="6" t="str">
        <f aca="false">IF(S175="BC",T175," ")</f>
        <v> </v>
      </c>
      <c r="V175" s="6" t="str">
        <f aca="false">IF(S175="CR",T175," ")</f>
        <v> </v>
      </c>
      <c r="W175" s="6" t="str">
        <f aca="false">IF(S175="DR",T175," ")</f>
        <v> </v>
      </c>
      <c r="X175" s="6" t="str">
        <f aca="false">IF(S175="W",T175," ")</f>
        <v> </v>
      </c>
      <c r="Y175" s="6" t="str">
        <f aca="false">IF(S175="B",T175," ")</f>
        <v> </v>
      </c>
      <c r="Z175" s="6" t="str">
        <f aca="false">IF(S175="J",T175," ")</f>
        <v> </v>
      </c>
      <c r="AA175" s="6" t="str">
        <f aca="false">IF(S175="RP",T175," ")</f>
        <v> </v>
      </c>
      <c r="AB175" s="6" t="str">
        <f aca="false">IF(S175="DL",T175," ")</f>
        <v> </v>
      </c>
      <c r="AC175" s="6" t="str">
        <f aca="false">IF(S175="X",T175," ")</f>
        <v> </v>
      </c>
    </row>
    <row r="176" customFormat="false" ht="12.75" hidden="false" customHeight="false" outlineLevel="0" collapsed="false">
      <c r="E176" s="5" t="str">
        <f aca="false">IF(F176&lt;&gt;0,"Enter Code"," ")</f>
        <v> </v>
      </c>
      <c r="G176" s="6" t="str">
        <f aca="false">IF(E176="BC",F176," ")</f>
        <v> </v>
      </c>
      <c r="H176" s="6" t="str">
        <f aca="false">IF(E176="DR",F176," ")</f>
        <v> </v>
      </c>
      <c r="I176" s="6" t="str">
        <f aca="false">IF(E176="CR",F176," ")</f>
        <v> </v>
      </c>
      <c r="J176" s="6" t="str">
        <f aca="false">IF(E176="K",F176," ")</f>
        <v> </v>
      </c>
      <c r="K176" s="6" t="str">
        <f aca="false">IF(E176="RV",F176," ")</f>
        <v> </v>
      </c>
      <c r="L176" s="6" t="str">
        <f aca="false">IF(E176="DL",F176," ")</f>
        <v> </v>
      </c>
      <c r="M176" s="6" t="str">
        <f aca="false">IF(E176="X",F176," ")</f>
        <v> </v>
      </c>
      <c r="N176" s="39"/>
      <c r="S176" s="38" t="str">
        <f aca="false">IF(T176&lt;&gt;0,"Enter Code"," ")</f>
        <v> </v>
      </c>
      <c r="U176" s="6" t="str">
        <f aca="false">IF(S176="BC",T176," ")</f>
        <v> </v>
      </c>
      <c r="V176" s="6" t="str">
        <f aca="false">IF(S176="CR",T176," ")</f>
        <v> </v>
      </c>
      <c r="W176" s="6" t="str">
        <f aca="false">IF(S176="DR",T176," ")</f>
        <v> </v>
      </c>
      <c r="X176" s="6" t="str">
        <f aca="false">IF(S176="W",T176," ")</f>
        <v> </v>
      </c>
      <c r="Y176" s="6" t="str">
        <f aca="false">IF(S176="B",T176," ")</f>
        <v> </v>
      </c>
      <c r="Z176" s="6" t="str">
        <f aca="false">IF(S176="J",T176," ")</f>
        <v> </v>
      </c>
      <c r="AA176" s="6" t="str">
        <f aca="false">IF(S176="RP",T176," ")</f>
        <v> </v>
      </c>
      <c r="AB176" s="6" t="str">
        <f aca="false">IF(S176="DL",T176," ")</f>
        <v> </v>
      </c>
      <c r="AC176" s="6" t="str">
        <f aca="false">IF(S176="X",T176," ")</f>
        <v> </v>
      </c>
    </row>
    <row r="177" customFormat="false" ht="12.75" hidden="false" customHeight="false" outlineLevel="0" collapsed="false">
      <c r="E177" s="5" t="str">
        <f aca="false">IF(F177&lt;&gt;0,"Enter Code"," ")</f>
        <v> </v>
      </c>
      <c r="G177" s="6" t="str">
        <f aca="false">IF(E177="BC",F177," ")</f>
        <v> </v>
      </c>
      <c r="H177" s="6" t="str">
        <f aca="false">IF(E177="DR",F177," ")</f>
        <v> </v>
      </c>
      <c r="I177" s="6" t="str">
        <f aca="false">IF(E177="CR",F177," ")</f>
        <v> </v>
      </c>
      <c r="J177" s="6" t="str">
        <f aca="false">IF(E177="K",F177," ")</f>
        <v> </v>
      </c>
      <c r="K177" s="6" t="str">
        <f aca="false">IF(E177="RV",F177," ")</f>
        <v> </v>
      </c>
      <c r="L177" s="6" t="str">
        <f aca="false">IF(E177="DL",F177," ")</f>
        <v> </v>
      </c>
      <c r="M177" s="6" t="str">
        <f aca="false">IF(E177="X",F177," ")</f>
        <v> </v>
      </c>
      <c r="N177" s="39"/>
      <c r="S177" s="38" t="str">
        <f aca="false">IF(T177&lt;&gt;0,"Enter Code"," ")</f>
        <v> </v>
      </c>
      <c r="U177" s="6" t="str">
        <f aca="false">IF(S177="BC",T177," ")</f>
        <v> </v>
      </c>
      <c r="V177" s="6" t="str">
        <f aca="false">IF(S177="CR",T177," ")</f>
        <v> </v>
      </c>
      <c r="W177" s="6" t="str">
        <f aca="false">IF(S177="DR",T177," ")</f>
        <v> </v>
      </c>
      <c r="X177" s="6" t="str">
        <f aca="false">IF(S177="W",T177," ")</f>
        <v> </v>
      </c>
      <c r="Y177" s="6" t="str">
        <f aca="false">IF(S177="B",T177," ")</f>
        <v> </v>
      </c>
      <c r="Z177" s="6" t="str">
        <f aca="false">IF(S177="J",T177," ")</f>
        <v> </v>
      </c>
      <c r="AA177" s="6" t="str">
        <f aca="false">IF(S177="RP",T177," ")</f>
        <v> </v>
      </c>
      <c r="AB177" s="6" t="str">
        <f aca="false">IF(S177="DL",T177," ")</f>
        <v> </v>
      </c>
      <c r="AC177" s="6" t="str">
        <f aca="false">IF(S177="X",T177," ")</f>
        <v> </v>
      </c>
    </row>
    <row r="178" customFormat="false" ht="12.75" hidden="false" customHeight="false" outlineLevel="0" collapsed="false">
      <c r="E178" s="5" t="str">
        <f aca="false">IF(F178&lt;&gt;0,"Enter Code"," ")</f>
        <v> </v>
      </c>
      <c r="G178" s="6" t="str">
        <f aca="false">IF(E178="BC",F178," ")</f>
        <v> </v>
      </c>
      <c r="H178" s="6" t="str">
        <f aca="false">IF(E178="DR",F178," ")</f>
        <v> </v>
      </c>
      <c r="I178" s="6" t="str">
        <f aca="false">IF(E178="CR",F178," ")</f>
        <v> </v>
      </c>
      <c r="J178" s="6" t="str">
        <f aca="false">IF(E178="K",F178," ")</f>
        <v> </v>
      </c>
      <c r="K178" s="6" t="str">
        <f aca="false">IF(E178="RV",F178," ")</f>
        <v> </v>
      </c>
      <c r="L178" s="6" t="str">
        <f aca="false">IF(E178="DL",F178," ")</f>
        <v> </v>
      </c>
      <c r="M178" s="6" t="str">
        <f aca="false">IF(E178="X",F178," ")</f>
        <v> </v>
      </c>
      <c r="N178" s="39"/>
      <c r="S178" s="38" t="str">
        <f aca="false">IF(T178&lt;&gt;0,"Enter Code"," ")</f>
        <v> </v>
      </c>
      <c r="U178" s="6" t="str">
        <f aca="false">IF(S178="BC",T178," ")</f>
        <v> </v>
      </c>
      <c r="V178" s="6" t="str">
        <f aca="false">IF(S178="CR",T178," ")</f>
        <v> </v>
      </c>
      <c r="W178" s="6" t="str">
        <f aca="false">IF(S178="DR",T178," ")</f>
        <v> </v>
      </c>
      <c r="X178" s="6" t="str">
        <f aca="false">IF(S178="W",T178," ")</f>
        <v> </v>
      </c>
      <c r="Y178" s="6" t="str">
        <f aca="false">IF(S178="B",T178," ")</f>
        <v> </v>
      </c>
      <c r="Z178" s="6" t="str">
        <f aca="false">IF(S178="J",T178," ")</f>
        <v> </v>
      </c>
      <c r="AA178" s="6" t="str">
        <f aca="false">IF(S178="RP",T178," ")</f>
        <v> </v>
      </c>
      <c r="AB178" s="6" t="str">
        <f aca="false">IF(S178="DL",T178," ")</f>
        <v> </v>
      </c>
      <c r="AC178" s="6" t="str">
        <f aca="false">IF(S178="X",T178," ")</f>
        <v> </v>
      </c>
    </row>
    <row r="179" customFormat="false" ht="12.75" hidden="false" customHeight="false" outlineLevel="0" collapsed="false">
      <c r="E179" s="5" t="str">
        <f aca="false">IF(F179&lt;&gt;0,"Enter Code"," ")</f>
        <v> </v>
      </c>
      <c r="G179" s="6" t="str">
        <f aca="false">IF(E179="BC",F179," ")</f>
        <v> </v>
      </c>
      <c r="H179" s="6" t="str">
        <f aca="false">IF(E179="DR",F179," ")</f>
        <v> </v>
      </c>
      <c r="I179" s="6" t="str">
        <f aca="false">IF(E179="CR",F179," ")</f>
        <v> </v>
      </c>
      <c r="J179" s="6" t="str">
        <f aca="false">IF(E179="K",F179," ")</f>
        <v> </v>
      </c>
      <c r="K179" s="6" t="str">
        <f aca="false">IF(E179="RV",F179," ")</f>
        <v> </v>
      </c>
      <c r="L179" s="6" t="str">
        <f aca="false">IF(E179="DL",F179," ")</f>
        <v> </v>
      </c>
      <c r="M179" s="6" t="str">
        <f aca="false">IF(E179="X",F179," ")</f>
        <v> </v>
      </c>
      <c r="N179" s="39"/>
      <c r="S179" s="38" t="str">
        <f aca="false">IF(T179&lt;&gt;0,"Enter Code"," ")</f>
        <v> </v>
      </c>
      <c r="U179" s="6" t="str">
        <f aca="false">IF(S179="BC",T179," ")</f>
        <v> </v>
      </c>
      <c r="V179" s="6" t="str">
        <f aca="false">IF(S179="CR",T179," ")</f>
        <v> </v>
      </c>
      <c r="W179" s="6" t="str">
        <f aca="false">IF(S179="DR",T179," ")</f>
        <v> </v>
      </c>
      <c r="X179" s="6" t="str">
        <f aca="false">IF(S179="W",T179," ")</f>
        <v> </v>
      </c>
      <c r="Y179" s="6" t="str">
        <f aca="false">IF(S179="B",T179," ")</f>
        <v> </v>
      </c>
      <c r="Z179" s="6" t="str">
        <f aca="false">IF(S179="J",T179," ")</f>
        <v> </v>
      </c>
      <c r="AA179" s="6" t="str">
        <f aca="false">IF(S179="RP",T179," ")</f>
        <v> </v>
      </c>
      <c r="AB179" s="6" t="str">
        <f aca="false">IF(S179="DL",T179," ")</f>
        <v> </v>
      </c>
      <c r="AC179" s="6" t="str">
        <f aca="false">IF(S179="X",T179," ")</f>
        <v> </v>
      </c>
    </row>
    <row r="180" customFormat="false" ht="12.75" hidden="false" customHeight="false" outlineLevel="0" collapsed="false">
      <c r="E180" s="5" t="str">
        <f aca="false">IF(F180&lt;&gt;0,"Enter Code"," ")</f>
        <v> </v>
      </c>
      <c r="G180" s="6" t="str">
        <f aca="false">IF(E180="BC",F180," ")</f>
        <v> </v>
      </c>
      <c r="H180" s="6" t="str">
        <f aca="false">IF(E180="DR",F180," ")</f>
        <v> </v>
      </c>
      <c r="I180" s="6" t="str">
        <f aca="false">IF(E180="CR",F180," ")</f>
        <v> </v>
      </c>
      <c r="J180" s="6" t="str">
        <f aca="false">IF(E180="K",F180," ")</f>
        <v> </v>
      </c>
      <c r="K180" s="6" t="str">
        <f aca="false">IF(E180="RV",F180," ")</f>
        <v> </v>
      </c>
      <c r="L180" s="6" t="str">
        <f aca="false">IF(E180="DL",F180," ")</f>
        <v> </v>
      </c>
      <c r="M180" s="6" t="str">
        <f aca="false">IF(E180="X",F180," ")</f>
        <v> </v>
      </c>
      <c r="N180" s="39"/>
      <c r="S180" s="38" t="str">
        <f aca="false">IF(T180&lt;&gt;0,"Enter Code"," ")</f>
        <v> </v>
      </c>
      <c r="U180" s="6" t="str">
        <f aca="false">IF(S180="BC",T180," ")</f>
        <v> </v>
      </c>
      <c r="V180" s="6" t="str">
        <f aca="false">IF(S180="CR",T180," ")</f>
        <v> </v>
      </c>
      <c r="W180" s="6" t="str">
        <f aca="false">IF(S180="DR",T180," ")</f>
        <v> </v>
      </c>
      <c r="X180" s="6" t="str">
        <f aca="false">IF(S180="W",T180," ")</f>
        <v> </v>
      </c>
      <c r="Y180" s="6" t="str">
        <f aca="false">IF(S180="B",T180," ")</f>
        <v> </v>
      </c>
      <c r="Z180" s="6" t="str">
        <f aca="false">IF(S180="J",T180," ")</f>
        <v> </v>
      </c>
      <c r="AA180" s="6" t="str">
        <f aca="false">IF(S180="RP",T180," ")</f>
        <v> </v>
      </c>
      <c r="AB180" s="6" t="str">
        <f aca="false">IF(S180="DL",T180," ")</f>
        <v> </v>
      </c>
      <c r="AC180" s="6" t="str">
        <f aca="false">IF(S180="X",T180," ")</f>
        <v> </v>
      </c>
    </row>
    <row r="181" customFormat="false" ht="12.75" hidden="false" customHeight="false" outlineLevel="0" collapsed="false">
      <c r="E181" s="5" t="str">
        <f aca="false">IF(F181&lt;&gt;0,"Enter Code"," ")</f>
        <v> </v>
      </c>
      <c r="G181" s="6" t="str">
        <f aca="false">IF(E181="BC",F181," ")</f>
        <v> </v>
      </c>
      <c r="H181" s="6" t="str">
        <f aca="false">IF(E181="DR",F181," ")</f>
        <v> </v>
      </c>
      <c r="I181" s="6" t="str">
        <f aca="false">IF(E181="CR",F181," ")</f>
        <v> </v>
      </c>
      <c r="J181" s="6" t="str">
        <f aca="false">IF(E181="K",F181," ")</f>
        <v> </v>
      </c>
      <c r="K181" s="6" t="str">
        <f aca="false">IF(E181="RV",F181," ")</f>
        <v> </v>
      </c>
      <c r="L181" s="6" t="str">
        <f aca="false">IF(E181="DL",F181," ")</f>
        <v> </v>
      </c>
      <c r="M181" s="6" t="str">
        <f aca="false">IF(E181="X",F181," ")</f>
        <v> </v>
      </c>
      <c r="N181" s="39"/>
      <c r="S181" s="38" t="str">
        <f aca="false">IF(T181&lt;&gt;0,"Enter Code"," ")</f>
        <v> </v>
      </c>
      <c r="U181" s="6" t="str">
        <f aca="false">IF(S181="BC",T181," ")</f>
        <v> </v>
      </c>
      <c r="V181" s="6" t="str">
        <f aca="false">IF(S181="CR",T181," ")</f>
        <v> </v>
      </c>
      <c r="W181" s="6" t="str">
        <f aca="false">IF(S181="DR",T181," ")</f>
        <v> </v>
      </c>
      <c r="X181" s="6" t="str">
        <f aca="false">IF(S181="W",T181," ")</f>
        <v> </v>
      </c>
      <c r="Y181" s="6" t="str">
        <f aca="false">IF(S181="B",T181," ")</f>
        <v> </v>
      </c>
      <c r="Z181" s="6" t="str">
        <f aca="false">IF(S181="J",T181," ")</f>
        <v> </v>
      </c>
      <c r="AA181" s="6" t="str">
        <f aca="false">IF(S181="RP",T181," ")</f>
        <v> </v>
      </c>
      <c r="AB181" s="6" t="str">
        <f aca="false">IF(S181="DL",T181," ")</f>
        <v> </v>
      </c>
      <c r="AC181" s="6" t="str">
        <f aca="false">IF(S181="X",T181," ")</f>
        <v> </v>
      </c>
    </row>
    <row r="182" customFormat="false" ht="12.75" hidden="false" customHeight="false" outlineLevel="0" collapsed="false">
      <c r="E182" s="5" t="str">
        <f aca="false">IF(F182&lt;&gt;0,"Enter Code"," ")</f>
        <v> </v>
      </c>
      <c r="G182" s="6" t="str">
        <f aca="false">IF(E182="BC",F182," ")</f>
        <v> </v>
      </c>
      <c r="H182" s="6" t="str">
        <f aca="false">IF(E182="DR",F182," ")</f>
        <v> </v>
      </c>
      <c r="I182" s="6" t="str">
        <f aca="false">IF(E182="CR",F182," ")</f>
        <v> </v>
      </c>
      <c r="J182" s="6" t="str">
        <f aca="false">IF(E182="K",F182," ")</f>
        <v> </v>
      </c>
      <c r="K182" s="6" t="str">
        <f aca="false">IF(E182="RV",F182," ")</f>
        <v> </v>
      </c>
      <c r="L182" s="6" t="str">
        <f aca="false">IF(E182="DL",F182," ")</f>
        <v> </v>
      </c>
      <c r="M182" s="6" t="str">
        <f aca="false">IF(E182="X",F182," ")</f>
        <v> </v>
      </c>
      <c r="N182" s="39"/>
      <c r="S182" s="38" t="str">
        <f aca="false">IF(T182&lt;&gt;0,"Enter Code"," ")</f>
        <v> </v>
      </c>
      <c r="U182" s="6" t="str">
        <f aca="false">IF(S182="BC",T182," ")</f>
        <v> </v>
      </c>
      <c r="V182" s="6" t="str">
        <f aca="false">IF(S182="CR",T182," ")</f>
        <v> </v>
      </c>
      <c r="W182" s="6" t="str">
        <f aca="false">IF(S182="DR",T182," ")</f>
        <v> </v>
      </c>
      <c r="X182" s="6" t="str">
        <f aca="false">IF(S182="W",T182," ")</f>
        <v> </v>
      </c>
      <c r="Y182" s="6" t="str">
        <f aca="false">IF(S182="B",T182," ")</f>
        <v> </v>
      </c>
      <c r="Z182" s="6" t="str">
        <f aca="false">IF(S182="J",T182," ")</f>
        <v> </v>
      </c>
      <c r="AA182" s="6" t="str">
        <f aca="false">IF(S182="RP",T182," ")</f>
        <v> </v>
      </c>
      <c r="AB182" s="6" t="str">
        <f aca="false">IF(S182="DL",T182," ")</f>
        <v> </v>
      </c>
      <c r="AC182" s="6" t="str">
        <f aca="false">IF(S182="X",T182," ")</f>
        <v> </v>
      </c>
    </row>
    <row r="183" customFormat="false" ht="12.75" hidden="false" customHeight="false" outlineLevel="0" collapsed="false">
      <c r="E183" s="5" t="str">
        <f aca="false">IF(F183&lt;&gt;0,"Enter Code"," ")</f>
        <v> </v>
      </c>
      <c r="G183" s="6" t="str">
        <f aca="false">IF(E183="BC",F183," ")</f>
        <v> </v>
      </c>
      <c r="H183" s="6" t="str">
        <f aca="false">IF(E183="DR",F183," ")</f>
        <v> </v>
      </c>
      <c r="I183" s="6" t="str">
        <f aca="false">IF(E183="CR",F183," ")</f>
        <v> </v>
      </c>
      <c r="J183" s="6" t="str">
        <f aca="false">IF(E183="K",F183," ")</f>
        <v> </v>
      </c>
      <c r="K183" s="6" t="str">
        <f aca="false">IF(E183="RV",F183," ")</f>
        <v> </v>
      </c>
      <c r="L183" s="6" t="str">
        <f aca="false">IF(E183="DL",F183," ")</f>
        <v> </v>
      </c>
      <c r="M183" s="6" t="str">
        <f aca="false">IF(E183="X",F183," ")</f>
        <v> </v>
      </c>
      <c r="N183" s="39"/>
      <c r="S183" s="38" t="str">
        <f aca="false">IF(T183&lt;&gt;0,"Enter Code"," ")</f>
        <v> </v>
      </c>
      <c r="U183" s="6" t="str">
        <f aca="false">IF(S183="BC",T183," ")</f>
        <v> </v>
      </c>
      <c r="V183" s="6" t="str">
        <f aca="false">IF(S183="CR",T183," ")</f>
        <v> </v>
      </c>
      <c r="W183" s="6" t="str">
        <f aca="false">IF(S183="DR",T183," ")</f>
        <v> </v>
      </c>
      <c r="X183" s="6" t="str">
        <f aca="false">IF(S183="W",T183," ")</f>
        <v> </v>
      </c>
      <c r="Y183" s="6" t="str">
        <f aca="false">IF(S183="B",T183," ")</f>
        <v> </v>
      </c>
      <c r="Z183" s="6" t="str">
        <f aca="false">IF(S183="J",T183," ")</f>
        <v> </v>
      </c>
      <c r="AA183" s="6" t="str">
        <f aca="false">IF(S183="RP",T183," ")</f>
        <v> </v>
      </c>
      <c r="AB183" s="6" t="str">
        <f aca="false">IF(S183="DL",T183," ")</f>
        <v> </v>
      </c>
      <c r="AC183" s="6" t="str">
        <f aca="false">IF(S183="X",T183," ")</f>
        <v> </v>
      </c>
    </row>
    <row r="184" customFormat="false" ht="12.75" hidden="false" customHeight="false" outlineLevel="0" collapsed="false">
      <c r="E184" s="5" t="str">
        <f aca="false">IF(F184&lt;&gt;0,"Enter Code"," ")</f>
        <v> </v>
      </c>
      <c r="G184" s="6" t="str">
        <f aca="false">IF(E184="BC",F184," ")</f>
        <v> </v>
      </c>
      <c r="H184" s="6" t="str">
        <f aca="false">IF(E184="DR",F184," ")</f>
        <v> </v>
      </c>
      <c r="I184" s="6" t="str">
        <f aca="false">IF(E184="CR",F184," ")</f>
        <v> </v>
      </c>
      <c r="J184" s="6" t="str">
        <f aca="false">IF(E184="K",F184," ")</f>
        <v> </v>
      </c>
      <c r="K184" s="6" t="str">
        <f aca="false">IF(E184="RV",F184," ")</f>
        <v> </v>
      </c>
      <c r="L184" s="6" t="str">
        <f aca="false">IF(E184="DL",F184," ")</f>
        <v> </v>
      </c>
      <c r="M184" s="6" t="str">
        <f aca="false">IF(E184="X",F184," ")</f>
        <v> </v>
      </c>
      <c r="N184" s="39"/>
      <c r="S184" s="38" t="str">
        <f aca="false">IF(T184&lt;&gt;0,"Enter Code"," ")</f>
        <v> </v>
      </c>
      <c r="U184" s="6" t="str">
        <f aca="false">IF(S184="BC",T184," ")</f>
        <v> </v>
      </c>
      <c r="V184" s="6" t="str">
        <f aca="false">IF(S184="CR",T184," ")</f>
        <v> </v>
      </c>
      <c r="W184" s="6" t="str">
        <f aca="false">IF(S184="DR",T184," ")</f>
        <v> </v>
      </c>
      <c r="X184" s="6" t="str">
        <f aca="false">IF(S184="W",T184," ")</f>
        <v> </v>
      </c>
      <c r="Y184" s="6" t="str">
        <f aca="false">IF(S184="B",T184," ")</f>
        <v> </v>
      </c>
      <c r="Z184" s="6" t="str">
        <f aca="false">IF(S184="J",T184," ")</f>
        <v> </v>
      </c>
      <c r="AA184" s="6" t="str">
        <f aca="false">IF(S184="RP",T184," ")</f>
        <v> </v>
      </c>
      <c r="AB184" s="6" t="str">
        <f aca="false">IF(S184="DL",T184," ")</f>
        <v> </v>
      </c>
      <c r="AC184" s="6" t="str">
        <f aca="false">IF(S184="X",T184," ")</f>
        <v> </v>
      </c>
    </row>
    <row r="185" customFormat="false" ht="12.75" hidden="false" customHeight="false" outlineLevel="0" collapsed="false">
      <c r="E185" s="5" t="str">
        <f aca="false">IF(F185&lt;&gt;0,"Enter Code"," ")</f>
        <v> </v>
      </c>
      <c r="G185" s="6" t="str">
        <f aca="false">IF(E185="BC",F185," ")</f>
        <v> </v>
      </c>
      <c r="H185" s="6" t="str">
        <f aca="false">IF(E185="DR",F185," ")</f>
        <v> </v>
      </c>
      <c r="I185" s="6" t="str">
        <f aca="false">IF(E185="CR",F185," ")</f>
        <v> </v>
      </c>
      <c r="J185" s="6" t="str">
        <f aca="false">IF(E185="K",F185," ")</f>
        <v> </v>
      </c>
      <c r="K185" s="6" t="str">
        <f aca="false">IF(E185="RV",F185," ")</f>
        <v> </v>
      </c>
      <c r="L185" s="6" t="str">
        <f aca="false">IF(E185="DL",F185," ")</f>
        <v> </v>
      </c>
      <c r="M185" s="6" t="str">
        <f aca="false">IF(E185="X",F185," ")</f>
        <v> </v>
      </c>
      <c r="N185" s="39"/>
      <c r="S185" s="38" t="str">
        <f aca="false">IF(T185&lt;&gt;0,"Enter Code"," ")</f>
        <v> </v>
      </c>
      <c r="U185" s="6" t="str">
        <f aca="false">IF(S185="BC",T185," ")</f>
        <v> </v>
      </c>
      <c r="V185" s="6" t="str">
        <f aca="false">IF(S185="CR",T185," ")</f>
        <v> </v>
      </c>
      <c r="W185" s="6" t="str">
        <f aca="false">IF(S185="DR",T185," ")</f>
        <v> </v>
      </c>
      <c r="X185" s="6" t="str">
        <f aca="false">IF(S185="W",T185," ")</f>
        <v> </v>
      </c>
      <c r="Y185" s="6" t="str">
        <f aca="false">IF(S185="B",T185," ")</f>
        <v> </v>
      </c>
      <c r="Z185" s="6" t="str">
        <f aca="false">IF(S185="J",T185," ")</f>
        <v> </v>
      </c>
      <c r="AA185" s="6" t="str">
        <f aca="false">IF(S185="RP",T185," ")</f>
        <v> </v>
      </c>
      <c r="AB185" s="6" t="str">
        <f aca="false">IF(S185="DL",T185," ")</f>
        <v> </v>
      </c>
      <c r="AC185" s="6" t="str">
        <f aca="false">IF(S185="X",T185," ")</f>
        <v> </v>
      </c>
    </row>
    <row r="186" customFormat="false" ht="12.75" hidden="false" customHeight="false" outlineLevel="0" collapsed="false">
      <c r="E186" s="5" t="str">
        <f aca="false">IF(F186&lt;&gt;0,"Enter Code"," ")</f>
        <v> </v>
      </c>
      <c r="G186" s="6" t="str">
        <f aca="false">IF(E186="BC",F186," ")</f>
        <v> </v>
      </c>
      <c r="H186" s="6" t="str">
        <f aca="false">IF(E186="DR",F186," ")</f>
        <v> </v>
      </c>
      <c r="I186" s="6" t="str">
        <f aca="false">IF(E186="CR",F186," ")</f>
        <v> </v>
      </c>
      <c r="J186" s="6" t="str">
        <f aca="false">IF(E186="K",F186," ")</f>
        <v> </v>
      </c>
      <c r="K186" s="6" t="str">
        <f aca="false">IF(E186="RV",F186," ")</f>
        <v> </v>
      </c>
      <c r="L186" s="6" t="str">
        <f aca="false">IF(E186="DL",F186," ")</f>
        <v> </v>
      </c>
      <c r="M186" s="6" t="str">
        <f aca="false">IF(E186="X",F186," ")</f>
        <v> </v>
      </c>
      <c r="N186" s="39"/>
      <c r="S186" s="38" t="str">
        <f aca="false">IF(T186&lt;&gt;0,"Enter Code"," ")</f>
        <v> </v>
      </c>
      <c r="U186" s="6" t="str">
        <f aca="false">IF(S186="BC",T186," ")</f>
        <v> </v>
      </c>
      <c r="V186" s="6" t="str">
        <f aca="false">IF(S186="CR",T186," ")</f>
        <v> </v>
      </c>
      <c r="W186" s="6" t="str">
        <f aca="false">IF(S186="DR",T186," ")</f>
        <v> </v>
      </c>
      <c r="X186" s="6" t="str">
        <f aca="false">IF(S186="W",T186," ")</f>
        <v> </v>
      </c>
      <c r="Y186" s="6" t="str">
        <f aca="false">IF(S186="B",T186," ")</f>
        <v> </v>
      </c>
      <c r="Z186" s="6" t="str">
        <f aca="false">IF(S186="J",T186," ")</f>
        <v> </v>
      </c>
      <c r="AA186" s="6" t="str">
        <f aca="false">IF(S186="RP",T186," ")</f>
        <v> </v>
      </c>
      <c r="AB186" s="6" t="str">
        <f aca="false">IF(S186="DL",T186," ")</f>
        <v> </v>
      </c>
      <c r="AC186" s="6" t="str">
        <f aca="false">IF(S186="X",T186," ")</f>
        <v> </v>
      </c>
    </row>
    <row r="187" customFormat="false" ht="12.75" hidden="false" customHeight="false" outlineLevel="0" collapsed="false">
      <c r="E187" s="5" t="str">
        <f aca="false">IF(F187&lt;&gt;0,"Enter Code"," ")</f>
        <v> </v>
      </c>
      <c r="G187" s="6" t="str">
        <f aca="false">IF(E187="BC",F187," ")</f>
        <v> </v>
      </c>
      <c r="H187" s="6" t="str">
        <f aca="false">IF(E187="DR",F187," ")</f>
        <v> </v>
      </c>
      <c r="I187" s="6" t="str">
        <f aca="false">IF(E187="CR",F187," ")</f>
        <v> </v>
      </c>
      <c r="J187" s="6" t="str">
        <f aca="false">IF(E187="K",F187," ")</f>
        <v> </v>
      </c>
      <c r="K187" s="6" t="str">
        <f aca="false">IF(E187="RV",F187," ")</f>
        <v> </v>
      </c>
      <c r="L187" s="6" t="str">
        <f aca="false">IF(E187="DL",F187," ")</f>
        <v> </v>
      </c>
      <c r="M187" s="6" t="str">
        <f aca="false">IF(E187="X",F187," ")</f>
        <v> </v>
      </c>
      <c r="N187" s="39"/>
      <c r="S187" s="38" t="str">
        <f aca="false">IF(T187&lt;&gt;0,"Enter Code"," ")</f>
        <v> </v>
      </c>
      <c r="U187" s="6" t="str">
        <f aca="false">IF(S187="BC",T187," ")</f>
        <v> </v>
      </c>
      <c r="V187" s="6" t="str">
        <f aca="false">IF(S187="CR",T187," ")</f>
        <v> </v>
      </c>
      <c r="W187" s="6" t="str">
        <f aca="false">IF(S187="DR",T187," ")</f>
        <v> </v>
      </c>
      <c r="X187" s="6" t="str">
        <f aca="false">IF(S187="W",T187," ")</f>
        <v> </v>
      </c>
      <c r="Y187" s="6" t="str">
        <f aca="false">IF(S187="B",T187," ")</f>
        <v> </v>
      </c>
      <c r="Z187" s="6" t="str">
        <f aca="false">IF(S187="J",T187," ")</f>
        <v> </v>
      </c>
      <c r="AA187" s="6" t="str">
        <f aca="false">IF(S187="RP",T187," ")</f>
        <v> </v>
      </c>
      <c r="AB187" s="6" t="str">
        <f aca="false">IF(S187="DL",T187," ")</f>
        <v> </v>
      </c>
      <c r="AC187" s="6" t="str">
        <f aca="false">IF(S187="X",T187," ")</f>
        <v> </v>
      </c>
    </row>
    <row r="188" customFormat="false" ht="12.75" hidden="false" customHeight="false" outlineLevel="0" collapsed="false">
      <c r="E188" s="5" t="str">
        <f aca="false">IF(F188&lt;&gt;0,"Enter Code"," ")</f>
        <v> </v>
      </c>
      <c r="G188" s="6" t="str">
        <f aca="false">IF(E188="BC",F188," ")</f>
        <v> </v>
      </c>
      <c r="H188" s="6" t="str">
        <f aca="false">IF(E188="DR",F188," ")</f>
        <v> </v>
      </c>
      <c r="I188" s="6" t="str">
        <f aca="false">IF(E188="CR",F188," ")</f>
        <v> </v>
      </c>
      <c r="J188" s="6" t="str">
        <f aca="false">IF(E188="K",F188," ")</f>
        <v> </v>
      </c>
      <c r="K188" s="6" t="str">
        <f aca="false">IF(E188="RV",F188," ")</f>
        <v> </v>
      </c>
      <c r="L188" s="6" t="str">
        <f aca="false">IF(E188="DL",F188," ")</f>
        <v> </v>
      </c>
      <c r="M188" s="6" t="str">
        <f aca="false">IF(E188="X",F188," ")</f>
        <v> </v>
      </c>
      <c r="N188" s="39"/>
      <c r="S188" s="38" t="str">
        <f aca="false">IF(T188&lt;&gt;0,"Enter Code"," ")</f>
        <v> </v>
      </c>
      <c r="U188" s="6" t="str">
        <f aca="false">IF(S188="BC",T188," ")</f>
        <v> </v>
      </c>
      <c r="V188" s="6" t="str">
        <f aca="false">IF(S188="CR",T188," ")</f>
        <v> </v>
      </c>
      <c r="W188" s="6" t="str">
        <f aca="false">IF(S188="DR",T188," ")</f>
        <v> </v>
      </c>
      <c r="X188" s="6" t="str">
        <f aca="false">IF(S188="W",T188," ")</f>
        <v> </v>
      </c>
      <c r="Y188" s="6" t="str">
        <f aca="false">IF(S188="B",T188," ")</f>
        <v> </v>
      </c>
      <c r="Z188" s="6" t="str">
        <f aca="false">IF(S188="J",T188," ")</f>
        <v> </v>
      </c>
      <c r="AA188" s="6" t="str">
        <f aca="false">IF(S188="RP",T188," ")</f>
        <v> </v>
      </c>
      <c r="AB188" s="6" t="str">
        <f aca="false">IF(S188="DL",T188," ")</f>
        <v> </v>
      </c>
      <c r="AC188" s="6" t="str">
        <f aca="false">IF(S188="X",T188," ")</f>
        <v> </v>
      </c>
    </row>
    <row r="189" customFormat="false" ht="12.75" hidden="false" customHeight="false" outlineLevel="0" collapsed="false">
      <c r="E189" s="5" t="str">
        <f aca="false">IF(F189&lt;&gt;0,"Enter Code"," ")</f>
        <v> </v>
      </c>
      <c r="G189" s="6" t="str">
        <f aca="false">IF(E189="BC",F189," ")</f>
        <v> </v>
      </c>
      <c r="H189" s="6" t="str">
        <f aca="false">IF(E189="DR",F189," ")</f>
        <v> </v>
      </c>
      <c r="I189" s="6" t="str">
        <f aca="false">IF(E189="CR",F189," ")</f>
        <v> </v>
      </c>
      <c r="J189" s="6" t="str">
        <f aca="false">IF(E189="K",F189," ")</f>
        <v> </v>
      </c>
      <c r="K189" s="6" t="str">
        <f aca="false">IF(E189="RV",F189," ")</f>
        <v> </v>
      </c>
      <c r="L189" s="6" t="str">
        <f aca="false">IF(E189="DL",F189," ")</f>
        <v> </v>
      </c>
      <c r="M189" s="6" t="str">
        <f aca="false">IF(E189="X",F189," ")</f>
        <v> </v>
      </c>
      <c r="N189" s="39"/>
      <c r="S189" s="38" t="str">
        <f aca="false">IF(T189&lt;&gt;0,"Enter Code"," ")</f>
        <v> </v>
      </c>
      <c r="U189" s="6" t="str">
        <f aca="false">IF(S189="BC",T189," ")</f>
        <v> </v>
      </c>
      <c r="V189" s="6" t="str">
        <f aca="false">IF(S189="CR",T189," ")</f>
        <v> </v>
      </c>
      <c r="W189" s="6" t="str">
        <f aca="false">IF(S189="DR",T189," ")</f>
        <v> </v>
      </c>
      <c r="X189" s="6" t="str">
        <f aca="false">IF(S189="W",T189," ")</f>
        <v> </v>
      </c>
      <c r="Y189" s="6" t="str">
        <f aca="false">IF(S189="B",T189," ")</f>
        <v> </v>
      </c>
      <c r="Z189" s="6" t="str">
        <f aca="false">IF(S189="J",T189," ")</f>
        <v> </v>
      </c>
      <c r="AA189" s="6" t="str">
        <f aca="false">IF(S189="RP",T189," ")</f>
        <v> </v>
      </c>
      <c r="AB189" s="6" t="str">
        <f aca="false">IF(S189="DL",T189," ")</f>
        <v> </v>
      </c>
      <c r="AC189" s="6" t="str">
        <f aca="false">IF(S189="X",T189," ")</f>
        <v> </v>
      </c>
    </row>
    <row r="190" customFormat="false" ht="12.75" hidden="false" customHeight="false" outlineLevel="0" collapsed="false">
      <c r="E190" s="5" t="str">
        <f aca="false">IF(F190&lt;&gt;0,"Enter Code"," ")</f>
        <v> </v>
      </c>
      <c r="G190" s="6" t="str">
        <f aca="false">IF(E190="BC",F190," ")</f>
        <v> </v>
      </c>
      <c r="H190" s="6" t="str">
        <f aca="false">IF(E190="DR",F190," ")</f>
        <v> </v>
      </c>
      <c r="I190" s="6" t="str">
        <f aca="false">IF(E190="CR",F190," ")</f>
        <v> </v>
      </c>
      <c r="J190" s="6" t="str">
        <f aca="false">IF(E190="K",F190," ")</f>
        <v> </v>
      </c>
      <c r="K190" s="6" t="str">
        <f aca="false">IF(E190="RV",F190," ")</f>
        <v> </v>
      </c>
      <c r="L190" s="6" t="str">
        <f aca="false">IF(E190="DL",F190," ")</f>
        <v> </v>
      </c>
      <c r="M190" s="6" t="str">
        <f aca="false">IF(E190="X",F190," ")</f>
        <v> </v>
      </c>
      <c r="N190" s="39"/>
      <c r="S190" s="38" t="str">
        <f aca="false">IF(T190&lt;&gt;0,"Enter Code"," ")</f>
        <v> </v>
      </c>
      <c r="U190" s="6" t="str">
        <f aca="false">IF(S190="BC",T190," ")</f>
        <v> </v>
      </c>
      <c r="V190" s="6" t="str">
        <f aca="false">IF(S190="CR",T190," ")</f>
        <v> </v>
      </c>
      <c r="W190" s="6" t="str">
        <f aca="false">IF(S190="DR",T190," ")</f>
        <v> </v>
      </c>
      <c r="X190" s="6" t="str">
        <f aca="false">IF(S190="W",T190," ")</f>
        <v> </v>
      </c>
      <c r="Y190" s="6" t="str">
        <f aca="false">IF(S190="B",T190," ")</f>
        <v> </v>
      </c>
      <c r="Z190" s="6" t="str">
        <f aca="false">IF(S190="J",T190," ")</f>
        <v> </v>
      </c>
      <c r="AA190" s="6" t="str">
        <f aca="false">IF(S190="RP",T190," ")</f>
        <v> </v>
      </c>
      <c r="AB190" s="6" t="str">
        <f aca="false">IF(S190="DL",T190," ")</f>
        <v> </v>
      </c>
      <c r="AC190" s="6" t="str">
        <f aca="false">IF(S190="X",T190," ")</f>
        <v> </v>
      </c>
    </row>
    <row r="191" customFormat="false" ht="12.75" hidden="false" customHeight="false" outlineLevel="0" collapsed="false">
      <c r="E191" s="5" t="str">
        <f aca="false">IF(F191&lt;&gt;0,"Enter Code"," ")</f>
        <v> </v>
      </c>
      <c r="G191" s="6" t="str">
        <f aca="false">IF(E191="BC",F191," ")</f>
        <v> </v>
      </c>
      <c r="H191" s="6" t="str">
        <f aca="false">IF(E191="DR",F191," ")</f>
        <v> </v>
      </c>
      <c r="I191" s="6" t="str">
        <f aca="false">IF(E191="CR",F191," ")</f>
        <v> </v>
      </c>
      <c r="J191" s="6" t="str">
        <f aca="false">IF(E191="K",F191," ")</f>
        <v> </v>
      </c>
      <c r="K191" s="6" t="str">
        <f aca="false">IF(E191="RV",F191," ")</f>
        <v> </v>
      </c>
      <c r="L191" s="6" t="str">
        <f aca="false">IF(E191="DL",F191," ")</f>
        <v> </v>
      </c>
      <c r="M191" s="6" t="str">
        <f aca="false">IF(E191="X",F191," ")</f>
        <v> </v>
      </c>
      <c r="N191" s="39"/>
      <c r="S191" s="38" t="str">
        <f aca="false">IF(T191&lt;&gt;0,"Enter Code"," ")</f>
        <v> </v>
      </c>
      <c r="U191" s="6" t="str">
        <f aca="false">IF(S191="BC",T191," ")</f>
        <v> </v>
      </c>
      <c r="V191" s="6" t="str">
        <f aca="false">IF(S191="CR",T191," ")</f>
        <v> </v>
      </c>
      <c r="W191" s="6" t="str">
        <f aca="false">IF(S191="DR",T191," ")</f>
        <v> </v>
      </c>
      <c r="X191" s="6" t="str">
        <f aca="false">IF(S191="W",T191," ")</f>
        <v> </v>
      </c>
      <c r="Y191" s="6" t="str">
        <f aca="false">IF(S191="B",T191," ")</f>
        <v> </v>
      </c>
      <c r="Z191" s="6" t="str">
        <f aca="false">IF(S191="J",T191," ")</f>
        <v> </v>
      </c>
      <c r="AA191" s="6" t="str">
        <f aca="false">IF(S191="RP",T191," ")</f>
        <v> </v>
      </c>
      <c r="AB191" s="6" t="str">
        <f aca="false">IF(S191="DL",T191," ")</f>
        <v> </v>
      </c>
      <c r="AC191" s="6" t="str">
        <f aca="false">IF(S191="X",T191," ")</f>
        <v> </v>
      </c>
    </row>
    <row r="192" customFormat="false" ht="12.75" hidden="false" customHeight="false" outlineLevel="0" collapsed="false">
      <c r="E192" s="5" t="str">
        <f aca="false">IF(F192&lt;&gt;0,"Enter Code"," ")</f>
        <v> </v>
      </c>
      <c r="G192" s="6" t="str">
        <f aca="false">IF(E192="BC",F192," ")</f>
        <v> </v>
      </c>
      <c r="H192" s="6" t="str">
        <f aca="false">IF(E192="DR",F192," ")</f>
        <v> </v>
      </c>
      <c r="I192" s="6" t="str">
        <f aca="false">IF(E192="CR",F192," ")</f>
        <v> </v>
      </c>
      <c r="J192" s="6" t="str">
        <f aca="false">IF(E192="K",F192," ")</f>
        <v> </v>
      </c>
      <c r="K192" s="6" t="str">
        <f aca="false">IF(E192="RV",F192," ")</f>
        <v> </v>
      </c>
      <c r="L192" s="6" t="str">
        <f aca="false">IF(E192="DL",F192," ")</f>
        <v> </v>
      </c>
      <c r="M192" s="6" t="str">
        <f aca="false">IF(E192="X",F192," ")</f>
        <v> </v>
      </c>
      <c r="N192" s="39"/>
      <c r="S192" s="38" t="str">
        <f aca="false">IF(T192&lt;&gt;0,"Enter Code"," ")</f>
        <v> </v>
      </c>
      <c r="U192" s="6" t="str">
        <f aca="false">IF(S192="BC",T192," ")</f>
        <v> </v>
      </c>
      <c r="V192" s="6" t="str">
        <f aca="false">IF(S192="CR",T192," ")</f>
        <v> </v>
      </c>
      <c r="W192" s="6" t="str">
        <f aca="false">IF(S192="DR",T192," ")</f>
        <v> </v>
      </c>
      <c r="X192" s="6" t="str">
        <f aca="false">IF(S192="W",T192," ")</f>
        <v> </v>
      </c>
      <c r="Y192" s="6" t="str">
        <f aca="false">IF(S192="B",T192," ")</f>
        <v> </v>
      </c>
      <c r="Z192" s="6" t="str">
        <f aca="false">IF(S192="J",T192," ")</f>
        <v> </v>
      </c>
      <c r="AA192" s="6" t="str">
        <f aca="false">IF(S192="RP",T192," ")</f>
        <v> </v>
      </c>
      <c r="AB192" s="6" t="str">
        <f aca="false">IF(S192="DL",T192," ")</f>
        <v> </v>
      </c>
      <c r="AC192" s="6" t="str">
        <f aca="false">IF(S192="X",T192," ")</f>
        <v> </v>
      </c>
    </row>
    <row r="193" customFormat="false" ht="12.75" hidden="false" customHeight="false" outlineLevel="0" collapsed="false">
      <c r="E193" s="5" t="str">
        <f aca="false">IF(F193&lt;&gt;0,"Enter Code"," ")</f>
        <v> </v>
      </c>
      <c r="G193" s="6" t="str">
        <f aca="false">IF(E193="BC",F193," ")</f>
        <v> </v>
      </c>
      <c r="H193" s="6" t="str">
        <f aca="false">IF(E193="DR",F193," ")</f>
        <v> </v>
      </c>
      <c r="I193" s="6" t="str">
        <f aca="false">IF(E193="CR",F193," ")</f>
        <v> </v>
      </c>
      <c r="J193" s="6" t="str">
        <f aca="false">IF(E193="K",F193," ")</f>
        <v> </v>
      </c>
      <c r="K193" s="6" t="str">
        <f aca="false">IF(E193="RV",F193," ")</f>
        <v> </v>
      </c>
      <c r="L193" s="6" t="str">
        <f aca="false">IF(E193="DL",F193," ")</f>
        <v> </v>
      </c>
      <c r="M193" s="6" t="str">
        <f aca="false">IF(E193="X",F193," ")</f>
        <v> </v>
      </c>
      <c r="N193" s="39"/>
      <c r="S193" s="38" t="str">
        <f aca="false">IF(T193&lt;&gt;0,"Enter Code"," ")</f>
        <v> </v>
      </c>
      <c r="U193" s="6" t="str">
        <f aca="false">IF(S193="BC",T193," ")</f>
        <v> </v>
      </c>
      <c r="V193" s="6" t="str">
        <f aca="false">IF(S193="CR",T193," ")</f>
        <v> </v>
      </c>
      <c r="W193" s="6" t="str">
        <f aca="false">IF(S193="DR",T193," ")</f>
        <v> </v>
      </c>
      <c r="X193" s="6" t="str">
        <f aca="false">IF(S193="W",T193," ")</f>
        <v> </v>
      </c>
      <c r="Y193" s="6" t="str">
        <f aca="false">IF(S193="B",T193," ")</f>
        <v> </v>
      </c>
      <c r="Z193" s="6" t="str">
        <f aca="false">IF(S193="J",T193," ")</f>
        <v> </v>
      </c>
      <c r="AA193" s="6" t="str">
        <f aca="false">IF(S193="RP",T193," ")</f>
        <v> </v>
      </c>
      <c r="AB193" s="6" t="str">
        <f aca="false">IF(S193="DL",T193," ")</f>
        <v> </v>
      </c>
      <c r="AC193" s="6" t="str">
        <f aca="false">IF(S193="X",T193," ")</f>
        <v> </v>
      </c>
    </row>
    <row r="194" customFormat="false" ht="12.75" hidden="false" customHeight="false" outlineLevel="0" collapsed="false">
      <c r="E194" s="5" t="str">
        <f aca="false">IF(F194&lt;&gt;0,"Enter Code"," ")</f>
        <v> </v>
      </c>
      <c r="G194" s="6" t="str">
        <f aca="false">IF(E194="BC",F194," ")</f>
        <v> </v>
      </c>
      <c r="H194" s="6" t="str">
        <f aca="false">IF(E194="DR",F194," ")</f>
        <v> </v>
      </c>
      <c r="I194" s="6" t="str">
        <f aca="false">IF(E194="CR",F194," ")</f>
        <v> </v>
      </c>
      <c r="J194" s="6" t="str">
        <f aca="false">IF(E194="K",F194," ")</f>
        <v> </v>
      </c>
      <c r="K194" s="6" t="str">
        <f aca="false">IF(E194="RV",F194," ")</f>
        <v> </v>
      </c>
      <c r="L194" s="6" t="str">
        <f aca="false">IF(E194="DL",F194," ")</f>
        <v> </v>
      </c>
      <c r="M194" s="6" t="str">
        <f aca="false">IF(E194="X",F194," ")</f>
        <v> </v>
      </c>
      <c r="N194" s="39"/>
      <c r="S194" s="38" t="str">
        <f aca="false">IF(T194&lt;&gt;0,"Enter Code"," ")</f>
        <v> </v>
      </c>
      <c r="U194" s="6" t="str">
        <f aca="false">IF(S194="BC",T194," ")</f>
        <v> </v>
      </c>
      <c r="V194" s="6" t="str">
        <f aca="false">IF(S194="CR",T194," ")</f>
        <v> </v>
      </c>
      <c r="W194" s="6" t="str">
        <f aca="false">IF(S194="DR",T194," ")</f>
        <v> </v>
      </c>
      <c r="X194" s="6" t="str">
        <f aca="false">IF(S194="W",T194," ")</f>
        <v> </v>
      </c>
      <c r="Y194" s="6" t="str">
        <f aca="false">IF(S194="B",T194," ")</f>
        <v> </v>
      </c>
      <c r="Z194" s="6" t="str">
        <f aca="false">IF(S194="J",T194," ")</f>
        <v> </v>
      </c>
      <c r="AA194" s="6" t="str">
        <f aca="false">IF(S194="RP",T194," ")</f>
        <v> </v>
      </c>
      <c r="AB194" s="6" t="str">
        <f aca="false">IF(S194="DL",T194," ")</f>
        <v> </v>
      </c>
      <c r="AC194" s="6" t="str">
        <f aca="false">IF(S194="X",T194," ")</f>
        <v> </v>
      </c>
    </row>
    <row r="195" customFormat="false" ht="12.75" hidden="false" customHeight="false" outlineLevel="0" collapsed="false">
      <c r="E195" s="5" t="str">
        <f aca="false">IF(F195&lt;&gt;0,"Enter Code"," ")</f>
        <v> </v>
      </c>
      <c r="G195" s="6" t="str">
        <f aca="false">IF(E195="BC",F195," ")</f>
        <v> </v>
      </c>
      <c r="H195" s="6" t="str">
        <f aca="false">IF(E195="DR",F195," ")</f>
        <v> </v>
      </c>
      <c r="I195" s="6" t="str">
        <f aca="false">IF(E195="CR",F195," ")</f>
        <v> </v>
      </c>
      <c r="J195" s="6" t="str">
        <f aca="false">IF(E195="K",F195," ")</f>
        <v> </v>
      </c>
      <c r="K195" s="6" t="str">
        <f aca="false">IF(E195="RV",F195," ")</f>
        <v> </v>
      </c>
      <c r="L195" s="6" t="str">
        <f aca="false">IF(E195="DL",F195," ")</f>
        <v> </v>
      </c>
      <c r="M195" s="6" t="str">
        <f aca="false">IF(E195="X",F195," ")</f>
        <v> </v>
      </c>
      <c r="N195" s="39"/>
      <c r="S195" s="38" t="str">
        <f aca="false">IF(T195&lt;&gt;0,"Enter Code"," ")</f>
        <v> </v>
      </c>
      <c r="U195" s="6" t="str">
        <f aca="false">IF(S195="BC",T195," ")</f>
        <v> </v>
      </c>
      <c r="V195" s="6" t="str">
        <f aca="false">IF(S195="CR",T195," ")</f>
        <v> </v>
      </c>
      <c r="W195" s="6" t="str">
        <f aca="false">IF(S195="DR",T195," ")</f>
        <v> </v>
      </c>
      <c r="X195" s="6" t="str">
        <f aca="false">IF(S195="W",T195," ")</f>
        <v> </v>
      </c>
      <c r="Y195" s="6" t="str">
        <f aca="false">IF(S195="B",T195," ")</f>
        <v> </v>
      </c>
      <c r="Z195" s="6" t="str">
        <f aca="false">IF(S195="J",T195," ")</f>
        <v> </v>
      </c>
      <c r="AA195" s="6" t="str">
        <f aca="false">IF(S195="RP",T195," ")</f>
        <v> </v>
      </c>
      <c r="AB195" s="6" t="str">
        <f aca="false">IF(S195="DL",T195," ")</f>
        <v> </v>
      </c>
      <c r="AC195" s="6" t="str">
        <f aca="false">IF(S195="X",T195," ")</f>
        <v> </v>
      </c>
    </row>
    <row r="196" customFormat="false" ht="12.75" hidden="false" customHeight="false" outlineLevel="0" collapsed="false">
      <c r="E196" s="5" t="str">
        <f aca="false">IF(F196&lt;&gt;0,"Enter Code"," ")</f>
        <v> </v>
      </c>
      <c r="G196" s="6" t="str">
        <f aca="false">IF(E196="BC",F196," ")</f>
        <v> </v>
      </c>
      <c r="H196" s="6" t="str">
        <f aca="false">IF(E196="DR",F196," ")</f>
        <v> </v>
      </c>
      <c r="I196" s="6" t="str">
        <f aca="false">IF(E196="CR",F196," ")</f>
        <v> </v>
      </c>
      <c r="J196" s="6" t="str">
        <f aca="false">IF(E196="K",F196," ")</f>
        <v> </v>
      </c>
      <c r="K196" s="6" t="str">
        <f aca="false">IF(E196="RV",F196," ")</f>
        <v> </v>
      </c>
      <c r="L196" s="6" t="str">
        <f aca="false">IF(E196="DL",F196," ")</f>
        <v> </v>
      </c>
      <c r="M196" s="6" t="str">
        <f aca="false">IF(E196="X",F196," ")</f>
        <v> </v>
      </c>
      <c r="N196" s="39"/>
      <c r="S196" s="38" t="str">
        <f aca="false">IF(T196&lt;&gt;0,"Enter Code"," ")</f>
        <v> </v>
      </c>
      <c r="U196" s="6" t="str">
        <f aca="false">IF(S196="BC",T196," ")</f>
        <v> </v>
      </c>
      <c r="V196" s="6" t="str">
        <f aca="false">IF(S196="CR",T196," ")</f>
        <v> </v>
      </c>
      <c r="W196" s="6" t="str">
        <f aca="false">IF(S196="DR",T196," ")</f>
        <v> </v>
      </c>
      <c r="X196" s="6" t="str">
        <f aca="false">IF(S196="W",T196," ")</f>
        <v> </v>
      </c>
      <c r="Y196" s="6" t="str">
        <f aca="false">IF(S196="B",T196," ")</f>
        <v> </v>
      </c>
      <c r="Z196" s="6" t="str">
        <f aca="false">IF(S196="J",T196," ")</f>
        <v> </v>
      </c>
      <c r="AA196" s="6" t="str">
        <f aca="false">IF(S196="RP",T196," ")</f>
        <v> </v>
      </c>
      <c r="AB196" s="6" t="str">
        <f aca="false">IF(S196="DL",T196," ")</f>
        <v> </v>
      </c>
      <c r="AC196" s="6" t="str">
        <f aca="false">IF(S196="X",T196," ")</f>
        <v> </v>
      </c>
    </row>
    <row r="197" customFormat="false" ht="12.75" hidden="false" customHeight="false" outlineLevel="0" collapsed="false">
      <c r="E197" s="5" t="str">
        <f aca="false">IF(F197&lt;&gt;0,"Enter Code"," ")</f>
        <v> </v>
      </c>
      <c r="G197" s="6" t="str">
        <f aca="false">IF(E197="BC",F197," ")</f>
        <v> </v>
      </c>
      <c r="H197" s="6" t="str">
        <f aca="false">IF(E197="DR",F197," ")</f>
        <v> </v>
      </c>
      <c r="I197" s="6" t="str">
        <f aca="false">IF(E197="CR",F197," ")</f>
        <v> </v>
      </c>
      <c r="J197" s="6" t="str">
        <f aca="false">IF(E197="K",F197," ")</f>
        <v> </v>
      </c>
      <c r="K197" s="6" t="str">
        <f aca="false">IF(E197="RV",F197," ")</f>
        <v> </v>
      </c>
      <c r="L197" s="6" t="str">
        <f aca="false">IF(E197="DL",F197," ")</f>
        <v> </v>
      </c>
      <c r="M197" s="6" t="str">
        <f aca="false">IF(E197="X",F197," ")</f>
        <v> </v>
      </c>
      <c r="N197" s="39"/>
      <c r="S197" s="38" t="str">
        <f aca="false">IF(T197&lt;&gt;0,"Enter Code"," ")</f>
        <v> </v>
      </c>
      <c r="U197" s="6" t="str">
        <f aca="false">IF(S197="BC",T197," ")</f>
        <v> </v>
      </c>
      <c r="V197" s="6" t="str">
        <f aca="false">IF(S197="CR",T197," ")</f>
        <v> </v>
      </c>
      <c r="W197" s="6" t="str">
        <f aca="false">IF(S197="DR",T197," ")</f>
        <v> </v>
      </c>
      <c r="X197" s="6" t="str">
        <f aca="false">IF(S197="W",T197," ")</f>
        <v> </v>
      </c>
      <c r="Y197" s="6" t="str">
        <f aca="false">IF(S197="B",T197," ")</f>
        <v> </v>
      </c>
      <c r="Z197" s="6" t="str">
        <f aca="false">IF(S197="J",T197," ")</f>
        <v> </v>
      </c>
      <c r="AA197" s="6" t="str">
        <f aca="false">IF(S197="RP",T197," ")</f>
        <v> </v>
      </c>
      <c r="AB197" s="6" t="str">
        <f aca="false">IF(S197="DL",T197," ")</f>
        <v> </v>
      </c>
      <c r="AC197" s="6" t="str">
        <f aca="false">IF(S197="X",T197," ")</f>
        <v> </v>
      </c>
    </row>
    <row r="198" customFormat="false" ht="12.75" hidden="false" customHeight="false" outlineLevel="0" collapsed="false">
      <c r="E198" s="5" t="str">
        <f aca="false">IF(F198&lt;&gt;0,"Enter Code"," ")</f>
        <v> </v>
      </c>
      <c r="G198" s="6" t="str">
        <f aca="false">IF(E198="BC",F198," ")</f>
        <v> </v>
      </c>
      <c r="H198" s="6" t="str">
        <f aca="false">IF(E198="DR",F198," ")</f>
        <v> </v>
      </c>
      <c r="I198" s="6" t="str">
        <f aca="false">IF(E198="CR",F198," ")</f>
        <v> </v>
      </c>
      <c r="J198" s="6" t="str">
        <f aca="false">IF(E198="K",F198," ")</f>
        <v> </v>
      </c>
      <c r="K198" s="6" t="str">
        <f aca="false">IF(E198="RV",F198," ")</f>
        <v> </v>
      </c>
      <c r="L198" s="6" t="str">
        <f aca="false">IF(E198="DL",F198," ")</f>
        <v> </v>
      </c>
      <c r="M198" s="6" t="str">
        <f aca="false">IF(E198="X",F198," ")</f>
        <v> </v>
      </c>
      <c r="N198" s="39"/>
      <c r="S198" s="38" t="str">
        <f aca="false">IF(T198&lt;&gt;0,"Enter Code"," ")</f>
        <v> </v>
      </c>
      <c r="U198" s="6" t="str">
        <f aca="false">IF(S198="BC",T198," ")</f>
        <v> </v>
      </c>
      <c r="V198" s="6" t="str">
        <f aca="false">IF(S198="CR",T198," ")</f>
        <v> </v>
      </c>
      <c r="W198" s="6" t="str">
        <f aca="false">IF(S198="DR",T198," ")</f>
        <v> </v>
      </c>
      <c r="X198" s="6" t="str">
        <f aca="false">IF(S198="W",T198," ")</f>
        <v> </v>
      </c>
      <c r="Y198" s="6" t="str">
        <f aca="false">IF(S198="B",T198," ")</f>
        <v> </v>
      </c>
      <c r="Z198" s="6" t="str">
        <f aca="false">IF(S198="J",T198," ")</f>
        <v> </v>
      </c>
      <c r="AA198" s="6" t="str">
        <f aca="false">IF(S198="RP",T198," ")</f>
        <v> </v>
      </c>
      <c r="AB198" s="6" t="str">
        <f aca="false">IF(S198="DL",T198," ")</f>
        <v> </v>
      </c>
      <c r="AC198" s="6" t="str">
        <f aca="false">IF(S198="X",T198," ")</f>
        <v> </v>
      </c>
    </row>
    <row r="199" customFormat="false" ht="12.75" hidden="false" customHeight="false" outlineLevel="0" collapsed="false">
      <c r="E199" s="5" t="str">
        <f aca="false">IF(F199&lt;&gt;0,"Enter Code"," ")</f>
        <v> </v>
      </c>
      <c r="G199" s="6" t="str">
        <f aca="false">IF(E199="BC",F199," ")</f>
        <v> </v>
      </c>
      <c r="H199" s="6" t="str">
        <f aca="false">IF(E199="DR",F199," ")</f>
        <v> </v>
      </c>
      <c r="I199" s="6" t="str">
        <f aca="false">IF(E199="CR",F199," ")</f>
        <v> </v>
      </c>
      <c r="J199" s="6" t="str">
        <f aca="false">IF(E199="K",F199," ")</f>
        <v> </v>
      </c>
      <c r="K199" s="6" t="str">
        <f aca="false">IF(E199="RV",F199," ")</f>
        <v> </v>
      </c>
      <c r="L199" s="6" t="str">
        <f aca="false">IF(E199="DL",F199," ")</f>
        <v> </v>
      </c>
      <c r="M199" s="6" t="str">
        <f aca="false">IF(E199="X",F199," ")</f>
        <v> </v>
      </c>
      <c r="N199" s="39"/>
      <c r="S199" s="38" t="str">
        <f aca="false">IF(T199&lt;&gt;0,"Enter Code"," ")</f>
        <v> </v>
      </c>
      <c r="U199" s="6" t="str">
        <f aca="false">IF(S199="BC",T199," ")</f>
        <v> </v>
      </c>
      <c r="V199" s="6" t="str">
        <f aca="false">IF(S199="CR",T199," ")</f>
        <v> </v>
      </c>
      <c r="W199" s="6" t="str">
        <f aca="false">IF(S199="DR",T199," ")</f>
        <v> </v>
      </c>
      <c r="X199" s="6" t="str">
        <f aca="false">IF(S199="W",T199," ")</f>
        <v> </v>
      </c>
      <c r="Y199" s="6" t="str">
        <f aca="false">IF(S199="B",T199," ")</f>
        <v> </v>
      </c>
      <c r="Z199" s="6" t="str">
        <f aca="false">IF(S199="J",T199," ")</f>
        <v> </v>
      </c>
      <c r="AA199" s="6" t="str">
        <f aca="false">IF(S199="RP",T199," ")</f>
        <v> </v>
      </c>
      <c r="AB199" s="6" t="str">
        <f aca="false">IF(S199="DL",T199," ")</f>
        <v> </v>
      </c>
      <c r="AC199" s="6" t="str">
        <f aca="false">IF(S199="X",T199," ")</f>
        <v> </v>
      </c>
    </row>
    <row r="200" customFormat="false" ht="12.75" hidden="false" customHeight="false" outlineLevel="0" collapsed="false">
      <c r="A200" s="41"/>
      <c r="B200" s="42"/>
      <c r="C200" s="43"/>
      <c r="D200" s="44"/>
      <c r="E200" s="45" t="str">
        <f aca="false">IF(F200&lt;&gt;0,"Enter Code"," ")</f>
        <v> </v>
      </c>
      <c r="F200" s="46"/>
      <c r="G200" s="46" t="str">
        <f aca="false">IF(E200="BC",F200," ")</f>
        <v> </v>
      </c>
      <c r="H200" s="46" t="str">
        <f aca="false">IF(E200="DR",F200," ")</f>
        <v> </v>
      </c>
      <c r="I200" s="46" t="str">
        <f aca="false">IF(E200="CR",F200," ")</f>
        <v> </v>
      </c>
      <c r="J200" s="46" t="str">
        <f aca="false">IF(E200="K",F200," ")</f>
        <v> </v>
      </c>
      <c r="K200" s="46" t="str">
        <f aca="false">IF(E200="RV",F200," ")</f>
        <v> </v>
      </c>
      <c r="L200" s="46" t="str">
        <f aca="false">IF(E200="DL",F200," ")</f>
        <v> </v>
      </c>
      <c r="M200" s="46" t="str">
        <f aca="false">IF(E200="X",F200," ")</f>
        <v> </v>
      </c>
      <c r="N200" s="40"/>
      <c r="O200" s="41"/>
      <c r="P200" s="44"/>
      <c r="Q200" s="43"/>
      <c r="R200" s="43"/>
      <c r="S200" s="47" t="str">
        <f aca="false">IF(T200&lt;&gt;0,"Enter Code"," ")</f>
        <v> </v>
      </c>
      <c r="T200" s="46"/>
      <c r="U200" s="46" t="str">
        <f aca="false">IF(S200="BC",T200," ")</f>
        <v> </v>
      </c>
      <c r="V200" s="46" t="str">
        <f aca="false">IF(S200="CR",T200," ")</f>
        <v> </v>
      </c>
      <c r="W200" s="46" t="str">
        <f aca="false">IF(S200="DR",T200," ")</f>
        <v> </v>
      </c>
      <c r="X200" s="46" t="str">
        <f aca="false">IF(S200="W",T200," ")</f>
        <v> </v>
      </c>
      <c r="Y200" s="46" t="str">
        <f aca="false">IF(S200="B",T200," ")</f>
        <v> </v>
      </c>
      <c r="Z200" s="46" t="str">
        <f aca="false">IF(S200="J",T200," ")</f>
        <v> </v>
      </c>
      <c r="AA200" s="46" t="str">
        <f aca="false">IF(S200="RP",T200," ")</f>
        <v> </v>
      </c>
      <c r="AB200" s="46" t="str">
        <f aca="false">IF(S200="DL",T200," ")</f>
        <v> </v>
      </c>
      <c r="AC200" s="46" t="str">
        <f aca="false">IF(S200="X",T200," ")</f>
        <v> </v>
      </c>
    </row>
  </sheetData>
  <mergeCells count="31">
    <mergeCell ref="N1:N5"/>
    <mergeCell ref="O1:P1"/>
    <mergeCell ref="D2:D5"/>
    <mergeCell ref="E2:E5"/>
    <mergeCell ref="F2:F5"/>
    <mergeCell ref="G2:M2"/>
    <mergeCell ref="O2:P2"/>
    <mergeCell ref="Q2:Q5"/>
    <mergeCell ref="R2:R5"/>
    <mergeCell ref="S2:S5"/>
    <mergeCell ref="T2:T5"/>
    <mergeCell ref="U2:AC2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B4:C4"/>
    <mergeCell ref="O4:O5"/>
    <mergeCell ref="P4:P5"/>
  </mergeCells>
  <dataValidations count="5">
    <dataValidation allowBlank="true" errorStyle="stop" operator="between" prompt="This amount indicates the receipts and payments entered do not agree with the BANK STATEMENT.&#10;&#10;CHECK THE AMOUNTS ENTERED AGAINST THE BANK STATEMENT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M&#10;&#10;CHECK ENTRY CODE LETTERS or ANY MANUAL ENTRIES IN COL G to M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t T does not agree with the analysis of that total in columns U to AC&#10;&#10;CHECK ENTRY CODE LETTERS or ANY MANUAL ENTRIES IN COL U to AC" promptTitle="ERROR ALERT" showDropDown="false" showErrorMessage="true" showInputMessage="true" sqref="S1" type="none">
      <formula1>0</formula1>
      <formula2>0</formula2>
    </dataValidation>
    <dataValidation allowBlank="true" errorStyle="stop" operator="between" showDropDown="false" showErrorMessage="true" showInputMessage="false" sqref="S6:S200" type="list">
      <formula1>$U$5:$AC$5</formula1>
      <formula2>0</formula2>
    </dataValidation>
    <dataValidation allowBlank="true" errorStyle="stop" operator="between" showDropDown="false" showErrorMessage="true" showInputMessage="false" sqref="E6:E200" type="list">
      <formula1>$G$5:$M$5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DIY Accounting Limited</dc:creator>
  <dc:description>Copyright (C) 2006-2026 DIY Accounting Limited. Licensed under the PolyForm Internal Use License 1.0.0 with an additional grant for accountants.</dc:description>
  <dc:language>en-GB</dc:language>
  <cp:lastModifiedBy>DIY Accounting Limited</cp:lastModifiedBy>
  <cp:lastPrinted>2007-03-03T16:28:32Z</cp:lastPrinted>
  <dcterms:modified xsi:type="dcterms:W3CDTF">2025-04-03T22:50:29Z</dcterms:modified>
  <cp:revision>0</cp:revision>
  <dc:subject/>
  <dc:title>Self employed bank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