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<sst xmlns="http://schemas.openxmlformats.org/spreadsheetml/2006/main" count="1180" uniqueCount="236">
  <si>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</si>
  <si>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</si>
  <si>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</si>
  <si>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</si>
  <si>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</si>
  <si>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</si>
  <si>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</si>
  <si>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</si>
  <si>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</si>
  <si>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</si>
  <si>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</si>
  <si>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</si>
  <si>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</si>
  <si>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</si>
  <si>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</si>
  <si>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</si>
  <si>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</si>
  <si>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</si>
  <si>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</si>
  <si>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</si>
  <si>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</si>
  <si>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</si>
  <si>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</si>
  <si>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</si>
  <si>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</si>
  <si>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</si>
  <si>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</si>
  <si>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</si>
  <si>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</si>
  <si>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</si>
  <si>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</si>
  <si>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</si>
  <si>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</si>
  <si>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</si>
  <si>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</si>
  <si>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</si>
  <si>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</si>
  <si>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</si>
  <si>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</si>
  <si>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</si>
  <si>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</si>
  <si>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</si>
  <si>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</si>
  <si>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</si>
  <si>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</si>
  <si>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</si>
  <si>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</si>
  <si>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</si>
  <si>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</si>
  <si>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</si>
  <si>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</si>
  <si>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</si>
  <si>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</si>
  <si>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</si>
  <si>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</si>
  <si>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</si>
  <si>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</si>
  <si>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</si>
  <si>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</si>
  <si>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</si>
  <si>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</si>
  <si>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</si>
  <si>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</si>
  <si>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</si>
  <si>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</si>
  <si>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</si>
  <si>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</si>
  <si>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</si>
  <si>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</si>
  <si>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</si>
  <si>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</si>
  <si>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</si>
  <si>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</si>
  <si>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</si>
  <si>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</si>
  <si>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</si>
  <si>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</si>
  <si>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</si>
  <si>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</si>
  <si>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</si>
  <si>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</si>
  <si>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</si>
  <si>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</si>
  <si>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</si>
  <si>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</si>
  <si>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</si>
  <si>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</si>
  <si>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</si>
  <si>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</si>
  <si>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</si>
  <si>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</si>
  <si>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</si>
  <si>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</si>
  <si>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</si>
  <si>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</si>
  <si>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</si>
  <si>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</si>
  <si>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</si>
  <si>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</si>
  <si>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</si>
  <si>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</si>
  <si>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</si>
  <si>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</si>
  <si>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</si>
  <si>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</si>
  <si>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</si>
  <si>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</si>
  <si>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</si>
  <si>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</si>
  <si>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</si>
  <si>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</si>
  <si>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</si>
  <si>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</si>
  <si>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</si>
  <si>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</si>
  <si>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</si>
  <si>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</si>
  <si>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</si>
  <si>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Proprietor</t>
  </si>
  <si>
    <t xml:space="preserve">BNK-DV-001</t>
  </si>
  <si>
    <t xml:space="preserve">Quarterly drawings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</si>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</sst>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46122</v>
      </c>
      <c r="B6" s="2" t="s">
        <v>43</v>
      </c>
      <c r="C6" s="3" t="s">
        <v>44</v>
      </c>
      <c r="D6" s="4" t="s">
        <v>45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46113</v>
      </c>
      <c r="P6" s="4" t="s">
        <v>46</v>
      </c>
      <c r="Q6" s="3" t="s">
        <v>47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46127</v>
      </c>
      <c r="B7" s="2" t="s">
        <v>49</v>
      </c>
      <c r="C7" s="3" t="s">
        <v>50</v>
      </c>
      <c r="D7" s="4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46113</v>
      </c>
      <c r="P7" s="4" t="s">
        <v>51</v>
      </c>
      <c r="Q7" s="3" t="s">
        <v>52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46132</v>
      </c>
      <c r="B8" s="2" t="s">
        <v>43</v>
      </c>
      <c r="C8" s="3" t="s">
        <v>54</v>
      </c>
      <c r="D8" s="4" t="s">
        <v>55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46117</v>
      </c>
      <c r="P8" s="4" t="s">
        <v>56</v>
      </c>
      <c r="Q8" s="3" t="s">
        <v>57</v>
      </c>
      <c r="R8" s="3" t="s">
        <v>58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46137</v>
      </c>
      <c r="B9" s="2" t="s">
        <v>59</v>
      </c>
      <c r="C9" s="3" t="s">
        <v>60</v>
      </c>
      <c r="D9" s="4" t="s">
        <v>55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46131</v>
      </c>
      <c r="P9" s="4" t="s">
        <v>61</v>
      </c>
      <c r="Q9" s="3" t="s">
        <v>62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46137</v>
      </c>
      <c r="B10" s="2" t="s">
        <v>64</v>
      </c>
      <c r="C10" s="3" t="s">
        <v>65</v>
      </c>
      <c r="D10" s="4" t="s">
        <v>45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46140</v>
      </c>
      <c r="P10" s="4" t="s">
        <v>66</v>
      </c>
      <c r="Q10" s="3" t="s">
        <v>67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46140</v>
      </c>
      <c r="B11" s="2" t="s">
        <v>69</v>
      </c>
      <c r="C11" s="3" t="s">
        <v>70</v>
      </c>
      <c r="D11" s="4" t="s">
        <v>71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46142</v>
      </c>
      <c r="P11" s="4" t="s">
        <v>72</v>
      </c>
      <c r="Q11" s="3" t="s">
        <v>73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46142</v>
      </c>
      <c r="P12" s="4" t="s">
        <v>75</v>
      </c>
      <c r="Q12" s="3" t="s">
        <v>76</v>
      </c>
      <c r="R12" s="3" t="s">
        <v>77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46162</v>
      </c>
      <c r="B6" s="2" t="s">
        <v>43</v>
      </c>
      <c r="C6" s="3" t="s">
        <v>78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46143</v>
      </c>
      <c r="P6" s="4" t="s">
        <v>46</v>
      </c>
      <c r="Q6" s="3" t="s">
        <v>79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46167</v>
      </c>
      <c r="B7" s="2" t="s">
        <v>59</v>
      </c>
      <c r="C7" s="3" t="s">
        <v>80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46143</v>
      </c>
      <c r="P7" s="4" t="s">
        <v>51</v>
      </c>
      <c r="Q7" s="3" t="s">
        <v>81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46170</v>
      </c>
      <c r="B8" s="2" t="s">
        <v>69</v>
      </c>
      <c r="C8" s="3" t="s">
        <v>82</v>
      </c>
      <c r="D8" s="4" t="s">
        <v>71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46147</v>
      </c>
      <c r="P8" s="4" t="s">
        <v>56</v>
      </c>
      <c r="Q8" s="3" t="s">
        <v>83</v>
      </c>
      <c r="R8" s="3" t="s">
        <v>58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46161</v>
      </c>
      <c r="P9" s="4" t="s">
        <v>61</v>
      </c>
      <c r="Q9" s="3" t="s">
        <v>84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46167</v>
      </c>
      <c r="P10" s="4" t="s">
        <v>85</v>
      </c>
      <c r="Q10" s="3" t="s">
        <v>86</v>
      </c>
      <c r="R10" s="3" t="s">
        <v>87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46170</v>
      </c>
      <c r="P11" s="4" t="s">
        <v>66</v>
      </c>
      <c r="Q11" s="3" t="s">
        <v>88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46173</v>
      </c>
      <c r="P12" s="4" t="s">
        <v>72</v>
      </c>
      <c r="Q12" s="3" t="s">
        <v>89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46149</v>
      </c>
      <c r="P13" s="4" t="s">
        <v>61</v>
      </c>
      <c r="Q13" s="3" t="s">
        <v>90</v>
      </c>
      <c r="R13" s="3" t="s">
        <v>91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27675.2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100</v>
      </c>
    </row>
    <row r="2" customFormat="false" ht="15" hidden="false" customHeight="true" outlineLevel="0" collapsed="false">
      <c r="A2" s="17" t="n">
        <f aca="false">A1+F1-T1</f>
        <v>82969.4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82969.4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46193</v>
      </c>
      <c r="B6" s="2" t="s">
        <v>43</v>
      </c>
      <c r="C6" s="3" t="s">
        <v>92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46174</v>
      </c>
      <c r="P6" s="4" t="s">
        <v>46</v>
      </c>
      <c r="Q6" s="3" t="s">
        <v>93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46198</v>
      </c>
      <c r="B7" s="2" t="s">
        <v>59</v>
      </c>
      <c r="C7" s="3" t="s">
        <v>94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46174</v>
      </c>
      <c r="P7" s="4" t="s">
        <v>51</v>
      </c>
      <c r="Q7" s="3" t="s">
        <v>95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46201</v>
      </c>
      <c r="B8" s="2" t="s">
        <v>69</v>
      </c>
      <c r="C8" s="3" t="s">
        <v>96</v>
      </c>
      <c r="D8" s="4" t="s">
        <v>71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46178</v>
      </c>
      <c r="P8" s="4" t="s">
        <v>56</v>
      </c>
      <c r="Q8" s="3" t="s">
        <v>97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46183</v>
      </c>
      <c r="P9" s="4" t="s">
        <v>98</v>
      </c>
      <c r="Q9" s="3" t="s">
        <v>99</v>
      </c>
      <c r="R9" s="3" t="s">
        <v>100</v>
      </c>
      <c r="S9" s="38" t="s">
        <v>38</v>
      </c>
      <c r="T9" s="6" t="n">
        <v>100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100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46192</v>
      </c>
      <c r="P10" s="4" t="s">
        <v>61</v>
      </c>
      <c r="Q10" s="3" t="s">
        <v>101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46201</v>
      </c>
      <c r="P11" s="4" t="s">
        <v>66</v>
      </c>
      <c r="Q11" s="3" t="s">
        <v>102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46203</v>
      </c>
      <c r="P12" s="4" t="s">
        <v>103</v>
      </c>
      <c r="Q12" s="3" t="s">
        <v>104</v>
      </c>
      <c r="R12" s="3" t="s">
        <v>105</v>
      </c>
      <c r="S12" s="38" t="s">
        <v>40</v>
      </c>
      <c r="T12" s="6" t="n">
        <v>250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250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46203</v>
      </c>
      <c r="P13" s="4" t="s">
        <v>72</v>
      </c>
      <c r="Q13" s="3" t="s">
        <v>106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46174</v>
      </c>
      <c r="P14" s="4" t="s">
        <v>107</v>
      </c>
      <c r="Q14" s="3" t="s">
        <v>108</v>
      </c>
      <c r="R14" s="3" t="s">
        <v>109</v>
      </c>
      <c r="S14" s="38" t="s">
        <v>40</v>
      </c>
      <c r="T14" s="6" t="n">
        <v>2000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n">
        <f aca="false">IF(S14="B",T14," ")</f>
        <v>2000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46174</v>
      </c>
      <c r="P15" s="4" t="s">
        <v>107</v>
      </c>
      <c r="Q15" s="3" t="s">
        <v>110</v>
      </c>
      <c r="R15" s="3" t="s">
        <v>111</v>
      </c>
      <c r="S15" s="38" t="s">
        <v>34</v>
      </c>
      <c r="T15" s="6" t="n">
        <v>13000</v>
      </c>
      <c r="U15" s="6" t="str">
        <f aca="false">IF(S15="BC",T15," ")</f>
        <v> </v>
      </c>
      <c r="V15" s="6" t="n">
        <f aca="false">IF(S15="CR",T15," ")</f>
        <v>13000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82969.4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100304.2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100304.2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46223</v>
      </c>
      <c r="B6" s="2" t="s">
        <v>43</v>
      </c>
      <c r="C6" s="3" t="s">
        <v>112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46204</v>
      </c>
      <c r="P6" s="4" t="s">
        <v>46</v>
      </c>
      <c r="Q6" s="3" t="s">
        <v>113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46228</v>
      </c>
      <c r="B7" s="2" t="s">
        <v>59</v>
      </c>
      <c r="C7" s="3" t="s">
        <v>114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46204</v>
      </c>
      <c r="P7" s="4" t="s">
        <v>51</v>
      </c>
      <c r="Q7" s="3" t="s">
        <v>115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46231</v>
      </c>
      <c r="B8" s="2" t="s">
        <v>69</v>
      </c>
      <c r="C8" s="3" t="s">
        <v>116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46208</v>
      </c>
      <c r="P8" s="4" t="s">
        <v>56</v>
      </c>
      <c r="Q8" s="3" t="s">
        <v>117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46218</v>
      </c>
      <c r="P9" s="4" t="s">
        <v>118</v>
      </c>
      <c r="Q9" s="3" t="s">
        <v>119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46222</v>
      </c>
      <c r="P10" s="4" t="s">
        <v>61</v>
      </c>
      <c r="Q10" s="3" t="s">
        <v>121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46222</v>
      </c>
      <c r="P11" s="4" t="s">
        <v>61</v>
      </c>
      <c r="Q11" s="3" t="s">
        <v>122</v>
      </c>
      <c r="R11" s="3" t="s">
        <v>123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46231</v>
      </c>
      <c r="P12" s="4" t="s">
        <v>66</v>
      </c>
      <c r="Q12" s="3" t="s">
        <v>124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46234</v>
      </c>
      <c r="P13" s="4" t="s">
        <v>72</v>
      </c>
      <c r="Q13" s="3" t="s">
        <v>125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46234</v>
      </c>
      <c r="P14" s="4" t="s">
        <v>75</v>
      </c>
      <c r="Q14" s="3" t="s">
        <v>126</v>
      </c>
      <c r="R14" s="3" t="s">
        <v>77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100304.2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112590.83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112590.83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46239</v>
      </c>
      <c r="B6" s="2" t="s">
        <v>127</v>
      </c>
      <c r="C6" s="3" t="s">
        <v>128</v>
      </c>
      <c r="D6" s="4" t="s">
        <v>129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46241</v>
      </c>
      <c r="P6" s="4" t="s">
        <v>61</v>
      </c>
      <c r="Q6" s="3" t="s">
        <v>130</v>
      </c>
      <c r="R6" s="3" t="s">
        <v>131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46254</v>
      </c>
      <c r="B7" s="2" t="s">
        <v>43</v>
      </c>
      <c r="C7" s="3" t="s">
        <v>132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46235</v>
      </c>
      <c r="P7" s="4" t="s">
        <v>46</v>
      </c>
      <c r="Q7" s="3" t="s">
        <v>133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46259</v>
      </c>
      <c r="B8" s="2" t="s">
        <v>59</v>
      </c>
      <c r="C8" s="3" t="s">
        <v>134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46235</v>
      </c>
      <c r="P8" s="4" t="s">
        <v>51</v>
      </c>
      <c r="Q8" s="3" t="s">
        <v>135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46262</v>
      </c>
      <c r="B9" s="2" t="s">
        <v>69</v>
      </c>
      <c r="C9" s="3" t="s">
        <v>136</v>
      </c>
      <c r="D9" s="4" t="s">
        <v>71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46239</v>
      </c>
      <c r="P9" s="4" t="s">
        <v>56</v>
      </c>
      <c r="Q9" s="3" t="s">
        <v>137</v>
      </c>
      <c r="R9" s="3" t="s">
        <v>58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46253</v>
      </c>
      <c r="P10" s="4" t="s">
        <v>61</v>
      </c>
      <c r="Q10" s="3" t="s">
        <v>138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46262</v>
      </c>
      <c r="P11" s="4" t="s">
        <v>66</v>
      </c>
      <c r="Q11" s="3" t="s">
        <v>139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46265</v>
      </c>
      <c r="P12" s="4" t="s">
        <v>72</v>
      </c>
      <c r="Q12" s="3" t="s">
        <v>140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112590.83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126117.63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126117.63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46285</v>
      </c>
      <c r="B6" s="2" t="s">
        <v>43</v>
      </c>
      <c r="C6" s="3" t="s">
        <v>141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46266</v>
      </c>
      <c r="P6" s="4" t="s">
        <v>46</v>
      </c>
      <c r="Q6" s="3" t="s">
        <v>142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46290</v>
      </c>
      <c r="B7" s="2" t="s">
        <v>59</v>
      </c>
      <c r="C7" s="3" t="s">
        <v>143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46266</v>
      </c>
      <c r="P7" s="4" t="s">
        <v>51</v>
      </c>
      <c r="Q7" s="3" t="s">
        <v>144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46293</v>
      </c>
      <c r="B8" s="2" t="s">
        <v>69</v>
      </c>
      <c r="C8" s="3" t="s">
        <v>145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46270</v>
      </c>
      <c r="P8" s="4" t="s">
        <v>56</v>
      </c>
      <c r="Q8" s="3" t="s">
        <v>146</v>
      </c>
      <c r="R8" s="3" t="s">
        <v>58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46284</v>
      </c>
      <c r="P9" s="4" t="s">
        <v>61</v>
      </c>
      <c r="Q9" s="3" t="s">
        <v>147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46293</v>
      </c>
      <c r="P10" s="4" t="s">
        <v>66</v>
      </c>
      <c r="Q10" s="3" t="s">
        <v>148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46295</v>
      </c>
      <c r="P11" s="4" t="s">
        <v>103</v>
      </c>
      <c r="Q11" s="3" t="s">
        <v>149</v>
      </c>
      <c r="R11" s="3" t="s">
        <v>105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46295</v>
      </c>
      <c r="P12" s="4" t="s">
        <v>72</v>
      </c>
      <c r="Q12" s="3" t="s">
        <v>150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46266</v>
      </c>
      <c r="P13" s="4" t="s">
        <v>107</v>
      </c>
      <c r="Q13" s="3" t="s">
        <v>151</v>
      </c>
      <c r="R13" s="3" t="s">
        <v>152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46266</v>
      </c>
      <c r="P14" s="4" t="s">
        <v>107</v>
      </c>
      <c r="Q14" s="3" t="s">
        <v>153</v>
      </c>
      <c r="R14" s="3" t="s">
        <v>154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126117.63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119852.43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119852.43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46310</v>
      </c>
      <c r="B6" s="2" t="s">
        <v>155</v>
      </c>
      <c r="C6" s="3" t="s">
        <v>156</v>
      </c>
      <c r="D6" s="4" t="s">
        <v>157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46296</v>
      </c>
      <c r="P6" s="4" t="s">
        <v>46</v>
      </c>
      <c r="Q6" s="3" t="s">
        <v>158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46315</v>
      </c>
      <c r="B7" s="2" t="s">
        <v>43</v>
      </c>
      <c r="C7" s="3" t="s">
        <v>159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46296</v>
      </c>
      <c r="P7" s="4" t="s">
        <v>51</v>
      </c>
      <c r="Q7" s="3" t="s">
        <v>160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46320</v>
      </c>
      <c r="B8" s="2" t="s">
        <v>59</v>
      </c>
      <c r="C8" s="3" t="s">
        <v>161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46296</v>
      </c>
      <c r="P8" s="4" t="s">
        <v>61</v>
      </c>
      <c r="Q8" s="3" t="s">
        <v>162</v>
      </c>
      <c r="R8" s="3" t="s">
        <v>163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46323</v>
      </c>
      <c r="B9" s="2" t="s">
        <v>69</v>
      </c>
      <c r="C9" s="3" t="s">
        <v>164</v>
      </c>
      <c r="D9" s="4" t="s">
        <v>71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46300</v>
      </c>
      <c r="P9" s="4" t="s">
        <v>56</v>
      </c>
      <c r="Q9" s="3" t="s">
        <v>165</v>
      </c>
      <c r="R9" s="3" t="s">
        <v>58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46310</v>
      </c>
      <c r="P10" s="4" t="s">
        <v>118</v>
      </c>
      <c r="Q10" s="3" t="s">
        <v>166</v>
      </c>
      <c r="R10" s="3" t="s">
        <v>120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46314</v>
      </c>
      <c r="P11" s="4" t="s">
        <v>61</v>
      </c>
      <c r="Q11" s="3" t="s">
        <v>167</v>
      </c>
      <c r="R11" s="3" t="s">
        <v>63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46320</v>
      </c>
      <c r="P12" s="4" t="s">
        <v>168</v>
      </c>
      <c r="Q12" s="3" t="s">
        <v>169</v>
      </c>
      <c r="R12" s="3" t="s">
        <v>170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46323</v>
      </c>
      <c r="P13" s="4" t="s">
        <v>66</v>
      </c>
      <c r="Q13" s="3" t="s">
        <v>171</v>
      </c>
      <c r="R13" s="3" t="s">
        <v>68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46326</v>
      </c>
      <c r="P14" s="4" t="s">
        <v>72</v>
      </c>
      <c r="Q14" s="3" t="s">
        <v>172</v>
      </c>
      <c r="R14" s="3" t="s">
        <v>74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46326</v>
      </c>
      <c r="P15" s="4" t="s">
        <v>75</v>
      </c>
      <c r="Q15" s="3" t="s">
        <v>173</v>
      </c>
      <c r="R15" s="3" t="s">
        <v>77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119852.43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128465.73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128465.73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46346</v>
      </c>
      <c r="B6" s="2" t="s">
        <v>43</v>
      </c>
      <c r="C6" s="3" t="s">
        <v>174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46333</v>
      </c>
      <c r="P6" s="4" t="s">
        <v>61</v>
      </c>
      <c r="Q6" s="3" t="s">
        <v>175</v>
      </c>
      <c r="R6" s="3" t="s">
        <v>176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46351</v>
      </c>
      <c r="B7" s="2" t="s">
        <v>59</v>
      </c>
      <c r="C7" s="3" t="s">
        <v>177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46327</v>
      </c>
      <c r="P7" s="4" t="s">
        <v>46</v>
      </c>
      <c r="Q7" s="3" t="s">
        <v>178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46354</v>
      </c>
      <c r="B8" s="2" t="s">
        <v>69</v>
      </c>
      <c r="C8" s="3" t="s">
        <v>179</v>
      </c>
      <c r="D8" s="4" t="s">
        <v>71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46327</v>
      </c>
      <c r="P8" s="4" t="s">
        <v>51</v>
      </c>
      <c r="Q8" s="3" t="s">
        <v>180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46331</v>
      </c>
      <c r="P9" s="4" t="s">
        <v>56</v>
      </c>
      <c r="Q9" s="3" t="s">
        <v>181</v>
      </c>
      <c r="R9" s="3" t="s">
        <v>58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46345</v>
      </c>
      <c r="P10" s="4" t="s">
        <v>61</v>
      </c>
      <c r="Q10" s="3" t="s">
        <v>182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46351</v>
      </c>
      <c r="P11" s="4" t="s">
        <v>85</v>
      </c>
      <c r="Q11" s="3" t="s">
        <v>183</v>
      </c>
      <c r="R11" s="3" t="s">
        <v>87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46354</v>
      </c>
      <c r="P12" s="4" t="s">
        <v>66</v>
      </c>
      <c r="Q12" s="3" t="s">
        <v>184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46356</v>
      </c>
      <c r="P13" s="4" t="s">
        <v>72</v>
      </c>
      <c r="Q13" s="3" t="s">
        <v>185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128465.73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147973.53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147973.53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46376</v>
      </c>
      <c r="B6" s="2" t="s">
        <v>43</v>
      </c>
      <c r="C6" s="3" t="s">
        <v>186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46357</v>
      </c>
      <c r="P6" s="4" t="s">
        <v>46</v>
      </c>
      <c r="Q6" s="3" t="s">
        <v>187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46381</v>
      </c>
      <c r="B7" s="2" t="s">
        <v>59</v>
      </c>
      <c r="C7" s="3" t="s">
        <v>188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46357</v>
      </c>
      <c r="P7" s="4" t="s">
        <v>51</v>
      </c>
      <c r="Q7" s="3" t="s">
        <v>189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46384</v>
      </c>
      <c r="B8" s="2" t="s">
        <v>69</v>
      </c>
      <c r="C8" s="3" t="s">
        <v>190</v>
      </c>
      <c r="D8" s="4" t="s">
        <v>71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46361</v>
      </c>
      <c r="P8" s="4" t="s">
        <v>56</v>
      </c>
      <c r="Q8" s="3" t="s">
        <v>191</v>
      </c>
      <c r="R8" s="3" t="s">
        <v>58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46375</v>
      </c>
      <c r="P9" s="4" t="s">
        <v>61</v>
      </c>
      <c r="Q9" s="3" t="s">
        <v>192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46375</v>
      </c>
      <c r="P10" s="4" t="s">
        <v>61</v>
      </c>
      <c r="Q10" s="3" t="s">
        <v>193</v>
      </c>
      <c r="R10" s="3" t="s">
        <v>123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46384</v>
      </c>
      <c r="P11" s="4" t="s">
        <v>66</v>
      </c>
      <c r="Q11" s="3" t="s">
        <v>194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46387</v>
      </c>
      <c r="P12" s="4" t="s">
        <v>103</v>
      </c>
      <c r="Q12" s="3" t="s">
        <v>195</v>
      </c>
      <c r="R12" s="3" t="s">
        <v>105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46387</v>
      </c>
      <c r="P13" s="4" t="s">
        <v>72</v>
      </c>
      <c r="Q13" s="3" t="s">
        <v>196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147973.53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172788.33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172788.33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46402</v>
      </c>
      <c r="B6" s="2" t="s">
        <v>197</v>
      </c>
      <c r="C6" s="3" t="s">
        <v>198</v>
      </c>
      <c r="D6" s="4" t="s">
        <v>199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46388</v>
      </c>
      <c r="P6" s="4" t="s">
        <v>46</v>
      </c>
      <c r="Q6" s="3" t="s">
        <v>200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46407</v>
      </c>
      <c r="B7" s="2" t="s">
        <v>43</v>
      </c>
      <c r="C7" s="3" t="s">
        <v>201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46388</v>
      </c>
      <c r="P7" s="4" t="s">
        <v>51</v>
      </c>
      <c r="Q7" s="3" t="s">
        <v>202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46412</v>
      </c>
      <c r="B8" s="2" t="s">
        <v>59</v>
      </c>
      <c r="C8" s="3" t="s">
        <v>203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46392</v>
      </c>
      <c r="P8" s="4" t="s">
        <v>56</v>
      </c>
      <c r="Q8" s="3" t="s">
        <v>204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46415</v>
      </c>
      <c r="B9" s="2" t="s">
        <v>69</v>
      </c>
      <c r="C9" s="3" t="s">
        <v>205</v>
      </c>
      <c r="D9" s="4" t="s">
        <v>71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46402</v>
      </c>
      <c r="P9" s="4" t="s">
        <v>118</v>
      </c>
      <c r="Q9" s="3" t="s">
        <v>206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46406</v>
      </c>
      <c r="P10" s="4" t="s">
        <v>61</v>
      </c>
      <c r="Q10" s="3" t="s">
        <v>207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46415</v>
      </c>
      <c r="P11" s="4" t="s">
        <v>66</v>
      </c>
      <c r="Q11" s="3" t="s">
        <v>208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46418</v>
      </c>
      <c r="P12" s="4" t="s">
        <v>72</v>
      </c>
      <c r="Q12" s="3" t="s">
        <v>209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46418</v>
      </c>
      <c r="P13" s="4" t="s">
        <v>75</v>
      </c>
      <c r="Q13" s="3" t="s">
        <v>210</v>
      </c>
      <c r="R13" s="3" t="s">
        <v>77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172788.33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183505.63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183505.63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46438</v>
      </c>
      <c r="B6" s="2" t="s">
        <v>43</v>
      </c>
      <c r="C6" s="3" t="s">
        <v>211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46425</v>
      </c>
      <c r="P6" s="4" t="s">
        <v>61</v>
      </c>
      <c r="Q6" s="3" t="s">
        <v>212</v>
      </c>
      <c r="R6" s="3" t="s">
        <v>213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46443</v>
      </c>
      <c r="B7" s="2" t="s">
        <v>59</v>
      </c>
      <c r="C7" s="3" t="s">
        <v>214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46419</v>
      </c>
      <c r="P7" s="4" t="s">
        <v>46</v>
      </c>
      <c r="Q7" s="3" t="s">
        <v>215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46446</v>
      </c>
      <c r="B8" s="2" t="s">
        <v>69</v>
      </c>
      <c r="C8" s="3" t="s">
        <v>216</v>
      </c>
      <c r="D8" s="4" t="s">
        <v>71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46419</v>
      </c>
      <c r="P8" s="4" t="s">
        <v>51</v>
      </c>
      <c r="Q8" s="3" t="s">
        <v>217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46423</v>
      </c>
      <c r="P9" s="4" t="s">
        <v>56</v>
      </c>
      <c r="Q9" s="3" t="s">
        <v>218</v>
      </c>
      <c r="R9" s="3" t="s">
        <v>58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46437</v>
      </c>
      <c r="P10" s="4" t="s">
        <v>61</v>
      </c>
      <c r="Q10" s="3" t="s">
        <v>219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46446</v>
      </c>
      <c r="P11" s="4" t="s">
        <v>72</v>
      </c>
      <c r="Q11" s="3" t="s">
        <v>220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46446</v>
      </c>
      <c r="P12" s="4" t="s">
        <v>66</v>
      </c>
      <c r="Q12" s="3" t="s">
        <v>221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183505.63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181215.43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181215.43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46466</v>
      </c>
      <c r="B6" s="2" t="s">
        <v>43</v>
      </c>
      <c r="C6" s="3" t="s">
        <v>222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46447</v>
      </c>
      <c r="P6" s="4" t="s">
        <v>46</v>
      </c>
      <c r="Q6" s="3" t="s">
        <v>223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46471</v>
      </c>
      <c r="B7" s="2" t="s">
        <v>59</v>
      </c>
      <c r="C7" s="3" t="s">
        <v>224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46447</v>
      </c>
      <c r="P7" s="4" t="s">
        <v>51</v>
      </c>
      <c r="Q7" s="3" t="s">
        <v>225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46474</v>
      </c>
      <c r="B8" s="2" t="s">
        <v>69</v>
      </c>
      <c r="C8" s="3" t="s">
        <v>226</v>
      </c>
      <c r="D8" s="4" t="s">
        <v>71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46451</v>
      </c>
      <c r="P8" s="4" t="s">
        <v>56</v>
      </c>
      <c r="Q8" s="3" t="s">
        <v>227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46461</v>
      </c>
      <c r="P9" s="4" t="s">
        <v>228</v>
      </c>
      <c r="Q9" s="3" t="s">
        <v>229</v>
      </c>
      <c r="R9" s="3" t="s">
        <v>230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46465</v>
      </c>
      <c r="P10" s="4" t="s">
        <v>61</v>
      </c>
      <c r="Q10" s="3" t="s">
        <v>231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46474</v>
      </c>
      <c r="P11" s="4" t="s">
        <v>66</v>
      </c>
      <c r="Q11" s="3" t="s">
        <v>232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46477</v>
      </c>
      <c r="P12" s="4" t="s">
        <v>103</v>
      </c>
      <c r="Q12" s="3" t="s">
        <v>233</v>
      </c>
      <c r="R12" s="3" t="s">
        <v>105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46477</v>
      </c>
      <c r="P13" s="4" t="s">
        <v>72</v>
      </c>
      <c r="Q13" s="3" t="s">
        <v>234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46477</v>
      </c>
      <c r="P14" s="4" t="s">
        <v>118</v>
      </c>
      <c r="Q14" s="3" t="s">
        <v>235</v>
      </c>
      <c r="R14" s="3" t="s">
        <v>120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