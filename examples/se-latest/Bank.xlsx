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Apr!$A$1:$AA$75</definedName>
    <definedName function="false" hidden="false" localSheetId="0" name="_xlnm.Print_Titles" vbProcedure="false">Apr!$1:$5</definedName>
    <definedName function="false" hidden="false" localSheetId="4" name="_xlnm.Print_Area" vbProcedure="false">Aug!$A$1:$AA$75</definedName>
    <definedName function="false" hidden="false" localSheetId="4" name="_xlnm.Print_Titles" vbProcedure="false">Aug!$1:$5</definedName>
    <definedName function="false" hidden="false" localSheetId="8" name="_xlnm.Print_Area" vbProcedure="false">Dec!$A$1:$AA$75</definedName>
    <definedName function="false" hidden="false" localSheetId="8" name="_xlnm.Print_Titles" vbProcedure="false">Dec!$1:$5</definedName>
    <definedName function="false" hidden="false" localSheetId="10" name="_xlnm.Print_Area" vbProcedure="false">Feb!$A$1:$AA$75</definedName>
    <definedName function="false" hidden="false" localSheetId="10" name="_xlnm.Print_Titles" vbProcedure="false">Feb!$1:$5</definedName>
    <definedName function="false" hidden="false" localSheetId="9" name="_xlnm.Print_Area" vbProcedure="false">Jan!$A$1:$AA$75</definedName>
    <definedName function="false" hidden="false" localSheetId="9" name="_xlnm.Print_Titles" vbProcedure="false">Jan!$1:$5</definedName>
    <definedName function="false" hidden="false" localSheetId="3" name="_xlnm.Print_Area" vbProcedure="false">Jul!$A$1:$AA$75</definedName>
    <definedName function="false" hidden="false" localSheetId="3" name="_xlnm.Print_Titles" vbProcedure="false">Jul!$1:$5</definedName>
    <definedName function="false" hidden="false" localSheetId="2" name="_xlnm.Print_Area" vbProcedure="false">Jun!$A$1:$AA$75</definedName>
    <definedName function="false" hidden="false" localSheetId="2" name="_xlnm.Print_Titles" vbProcedure="false">Jun!$1:$5</definedName>
    <definedName function="false" hidden="false" localSheetId="11" name="_xlnm.Print_Area" vbProcedure="false">Mar!$A$1:$AA$75</definedName>
    <definedName function="false" hidden="false" localSheetId="11" name="_xlnm.Print_Titles" vbProcedure="false">Mar!$1:$5</definedName>
    <definedName function="false" hidden="false" localSheetId="1" name="_xlnm.Print_Area" vbProcedure="false">May!$A$1:$AA$75</definedName>
    <definedName function="false" hidden="false" localSheetId="1" name="_xlnm.Print_Titles" vbProcedure="false">May!$1:$5</definedName>
    <definedName function="false" hidden="false" localSheetId="7" name="_xlnm.Print_Area" vbProcedure="false">Nov!$A$1:$AA$75</definedName>
    <definedName function="false" hidden="false" localSheetId="7" name="_xlnm.Print_Titles" vbProcedure="false">Nov!$1:$5</definedName>
    <definedName function="false" hidden="false" localSheetId="6" name="_xlnm.Print_Area" vbProcedure="false">Oct!$A$1:$AA$75</definedName>
    <definedName function="false" hidden="false" localSheetId="6" name="_xlnm.Print_Titles" vbProcedure="false">Oct!$1:$5</definedName>
    <definedName function="false" hidden="false" localSheetId="5" name="_xlnm.Print_Area" vbProcedure="false">Sep!$A$1:$AA$75</definedName>
    <definedName function="false" hidden="false" localSheetId="5" name="_xlnm.Print_Titles" vbProcedure="false">Sep!$1:$5</definedName>
    <definedName function="false" hidden="false" localSheetId="0" name="_xlnm_Print_Area" vbProcedure="false">Apr!$A$1:$AA$75</definedName>
    <definedName function="false" hidden="false" localSheetId="0" name="_xlnm_Print_Titles" vbProcedure="false">Apr!$1:$5</definedName>
    <definedName function="false" hidden="false" localSheetId="1" name="_xlnm_Print_Area" vbProcedure="false">May!$A$1:$AA$75</definedName>
    <definedName function="false" hidden="false" localSheetId="1" name="_xlnm_Print_Titles" vbProcedure="false">May!$1:$5</definedName>
    <definedName function="false" hidden="false" localSheetId="2" name="_xlnm_Print_Area" vbProcedure="false">Jun!$A$1:$AA$75</definedName>
    <definedName function="false" hidden="false" localSheetId="2" name="_xlnm_Print_Titles" vbProcedure="false">Jun!$1:$5</definedName>
    <definedName function="false" hidden="false" localSheetId="3" name="_xlnm_Print_Area" vbProcedure="false">Jul!$A$1:$AA$75</definedName>
    <definedName function="false" hidden="false" localSheetId="3" name="_xlnm_Print_Titles" vbProcedure="false">Jul!$1:$5</definedName>
    <definedName function="false" hidden="false" localSheetId="4" name="_xlnm_Print_Area" vbProcedure="false">Aug!$A$1:$AA$75</definedName>
    <definedName function="false" hidden="false" localSheetId="4" name="_xlnm_Print_Titles" vbProcedure="false">Aug!$1:$5</definedName>
    <definedName function="false" hidden="false" localSheetId="5" name="_xlnm_Print_Area" vbProcedure="false">Sep!$A$1:$AA$75</definedName>
    <definedName function="false" hidden="false" localSheetId="5" name="_xlnm_Print_Titles" vbProcedure="false">Sep!$1:$5</definedName>
    <definedName function="false" hidden="false" localSheetId="6" name="_xlnm_Print_Area" vbProcedure="false">Oct!$A$1:$AA$75</definedName>
    <definedName function="false" hidden="false" localSheetId="6" name="_xlnm_Print_Titles" vbProcedure="false">Oct!$1:$5</definedName>
    <definedName function="false" hidden="false" localSheetId="7" name="_xlnm_Print_Area" vbProcedure="false">Nov!$A$1:$AA$75</definedName>
    <definedName function="false" hidden="false" localSheetId="7" name="_xlnm_Print_Titles" vbProcedure="false">Nov!$1:$5</definedName>
    <definedName function="false" hidden="false" localSheetId="8" name="_xlnm_Print_Area" vbProcedure="false">Dec!$A$1:$AA$75</definedName>
    <definedName function="false" hidden="false" localSheetId="8" name="_xlnm_Print_Titles" vbProcedure="false">Dec!$1:$5</definedName>
    <definedName function="false" hidden="false" localSheetId="9" name="_xlnm_Print_Area" vbProcedure="false">Jan!$A$1:$AA$75</definedName>
    <definedName function="false" hidden="false" localSheetId="9" name="_xlnm_Print_Titles" vbProcedure="false">Jan!$1:$5</definedName>
    <definedName function="false" hidden="false" localSheetId="10" name="_xlnm_Print_Area" vbProcedure="false">Feb!$A$1:$AA$75</definedName>
    <definedName function="false" hidden="false" localSheetId="10" name="_xlnm_Print_Titles" vbProcedure="false">Feb!$1:$5</definedName>
    <definedName function="false" hidden="false" localSheetId="11" name="_xlnm_Print_Area" vbProcedure="false">Mar!$A$1:$AA$75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<sst xmlns="http://schemas.openxmlformats.org/spreadsheetml/2006/main" count="1176" uniqueCount="233">
  <si>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</si>
  <si>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</si>
  <si>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</si>
  <si>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</si>
  <si>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</si>
  <si>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ENTER BANK RECEIPTS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</si>
  <si>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</si>
  <si>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</si>
  <si>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</si>
  <si>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ENTER BANK PAYMENT</t>
  </si>
  <si>
    <t xml:space="preserve">CURRENT ACCOUNT STATEMENT PAYMENTS</t>
  </si>
  <si>
    <t xml:space="preserve">&lt;  Statement Bank Balance</t>
  </si>
  <si>
    <t xml:space="preserve">Cash paid into Bank</t>
  </si>
  <si>
    <t xml:space="preserve">Amount Received Debtors</t>
  </si>
  <si>
    <t xml:space="preserve">Amount Received Creditors</t>
  </si>
  <si>
    <t xml:space="preserve">Bank Interest Received</t>
  </si>
  <si>
    <t xml:space="preserve">HMRC   Refunded</t>
  </si>
  <si>
    <t xml:space="preserve">Capital Introduced</t>
  </si>
  <si>
    <t xml:space="preserve">Bank Contra items</t>
  </si>
  <si>
    <t xml:space="preserve">Cash Withdrawn from Bank</t>
  </si>
  <si>
    <t xml:space="preserve">Amount Paid Creditors</t>
  </si>
  <si>
    <t xml:space="preserve">Amount Paid Debtors</t>
  </si>
  <si>
    <t xml:space="preserve">Net        Wages      Paid</t>
  </si>
  <si>
    <t xml:space="preserve">HP Interest Leasing &amp; Bank Charges</t>
  </si>
  <si>
    <t xml:space="preserve">Bank Loan &amp; Overdraft Interest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</si>
  <si>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</si>
  <si>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</si>
  <si>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</si>
  <si>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</si>
  <si>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</si>
  <si>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</si>
  <si>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</si>
  <si>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BC</t>
  </si>
  <si>
    <t xml:space="preserve">DR</t>
  </si>
  <si>
    <t xml:space="preserve">CR</t>
  </si>
  <si>
    <t xml:space="preserve">K</t>
  </si>
  <si>
    <t xml:space="preserve">RV</t>
  </si>
  <si>
    <t xml:space="preserve">DL</t>
  </si>
  <si>
    <t xml:space="preserve">X</t>
  </si>
  <si>
    <t xml:space="preserve">W</t>
  </si>
  <si>
    <t xml:space="preserve">B</t>
  </si>
  <si>
    <t xml:space="preserve">J</t>
  </si>
  <si>
    <t xml:space="preserve">RP</t>
  </si>
  <si>
    <t xml:space="preserve">Acme Corp</t>
  </si>
  <si>
    <t xml:space="preserve">BNK-DR-037</t>
  </si>
  <si>
    <t xml:space="preserve">Opening debtor receipt</t>
  </si>
  <si>
    <t xml:space="preserve">WorkSpace Ltd</t>
  </si>
  <si>
    <t xml:space="preserve">BNK-CR-001</t>
  </si>
  <si>
    <t xml:space="preserve">Office rent payment</t>
  </si>
  <si>
    <t xml:space="preserve">Beta Systems</t>
  </si>
  <si>
    <t xml:space="preserve">BNK-DR-038</t>
  </si>
  <si>
    <t xml:space="preserve">Director</t>
  </si>
  <si>
    <t xml:space="preserve">BNK-DL-001</t>
  </si>
  <si>
    <t xml:space="preserve">Directors loan repayment</t>
  </si>
  <si>
    <t xml:space="preserve">BNK-DR-001</t>
  </si>
  <si>
    <t xml:space="preserve">Customer receipt</t>
  </si>
  <si>
    <t xml:space="preserve">Various suppliers</t>
  </si>
  <si>
    <t xml:space="preserve">BNK-CR-MISC-001</t>
  </si>
  <si>
    <t xml:space="preserve">Aggregate supplier payments</t>
  </si>
  <si>
    <t xml:space="preserve">TechStart Ltd</t>
  </si>
  <si>
    <t xml:space="preserve">BNK-DR-013</t>
  </si>
  <si>
    <t xml:space="preserve">HMRC</t>
  </si>
  <si>
    <t xml:space="preserve">BNK-RP-001</t>
  </si>
  <si>
    <t xml:space="preserve">Monthly PAYE/NI payment</t>
  </si>
  <si>
    <t xml:space="preserve">Gamma Ltd</t>
  </si>
  <si>
    <t xml:space="preserve">BNK-DR-039</t>
  </si>
  <si>
    <t xml:space="preserve">Payroll</t>
  </si>
  <si>
    <t xml:space="preserve">BNK-W-001</t>
  </si>
  <si>
    <t xml:space="preserve">Monthly net wages (all staff)</t>
  </si>
  <si>
    <t xml:space="preserve">Various customers</t>
  </si>
  <si>
    <t xml:space="preserve">BNK-DR-025</t>
  </si>
  <si>
    <t xml:space="preserve">Aggregate customer receipts</t>
  </si>
  <si>
    <t xml:space="preserve">Smith &amp; Co</t>
  </si>
  <si>
    <t xml:space="preserve">BNK-CR-013</t>
  </si>
  <si>
    <t xml:space="preserve">Accountancy fee payment</t>
  </si>
  <si>
    <t xml:space="preserve">Credit card payment</t>
  </si>
  <si>
    <t xml:space="preserve">BNK-X-CC-001</t>
  </si>
  <si>
    <t xml:space="preserve">Pay credit card balance</t>
  </si>
  <si>
    <t xml:space="preserve">BNK-DR-002</t>
  </si>
  <si>
    <t xml:space="preserve">BNK-CR-002</t>
  </si>
  <si>
    <t xml:space="preserve">BNK-DR-014</t>
  </si>
  <si>
    <t xml:space="preserve">BNK-DL-002</t>
  </si>
  <si>
    <t xml:space="preserve">BNK-DR-026</t>
  </si>
  <si>
    <t xml:space="preserve">BNK-CR-MISC-002</t>
  </si>
  <si>
    <t xml:space="preserve">BNK-RP-002</t>
  </si>
  <si>
    <t xml:space="preserve">HSBC</t>
  </si>
  <si>
    <t xml:space="preserve">BNK-B-001</t>
  </si>
  <si>
    <t xml:space="preserve">Bank charges</t>
  </si>
  <si>
    <t xml:space="preserve">BNK-W-002</t>
  </si>
  <si>
    <t xml:space="preserve">BNK-CR-014</t>
  </si>
  <si>
    <t xml:space="preserve">BNK-RV-VAT-000</t>
  </si>
  <si>
    <t xml:space="preserve">VAT payment, prior year fourth quarter</t>
  </si>
  <si>
    <t xml:space="preserve">BNK-DR-003</t>
  </si>
  <si>
    <t xml:space="preserve">BNK-CR-003</t>
  </si>
  <si>
    <t xml:space="preserve">BNK-DR-015</t>
  </si>
  <si>
    <t xml:space="preserve">BNK-DL-003</t>
  </si>
  <si>
    <t xml:space="preserve">BNK-DR-027</t>
  </si>
  <si>
    <t xml:space="preserve">BNK-CR-MISC-003</t>
  </si>
  <si>
    <t xml:space="preserve">BNK-RP-003</t>
  </si>
  <si>
    <t xml:space="preserve">BNK-W-003</t>
  </si>
  <si>
    <t xml:space="preserve">Directors loan interest</t>
  </si>
  <si>
    <t xml:space="preserve">BNK-B-INT-001</t>
  </si>
  <si>
    <t xml:space="preserve">Quarterly loan interest payment</t>
  </si>
  <si>
    <t xml:space="preserve">BNK-CR-015</t>
  </si>
  <si>
    <t xml:space="preserve">Close Brothers Asset Finance</t>
  </si>
  <si>
    <t xml:space="preserve">BNK-HP-INT-001</t>
  </si>
  <si>
    <t xml:space="preserve">HP-2025-01 admin charges and interest</t>
  </si>
  <si>
    <t xml:space="preserve">BNK-HP-CAP-001</t>
  </si>
  <si>
    <t xml:space="preserve">HP-2025-01 capital repayment</t>
  </si>
  <si>
    <t xml:space="preserve">BNK-DR-004</t>
  </si>
  <si>
    <t xml:space="preserve">BNK-CR-004</t>
  </si>
  <si>
    <t xml:space="preserve">BNK-DR-016</t>
  </si>
  <si>
    <t xml:space="preserve">BNK-DL-004</t>
  </si>
  <si>
    <t xml:space="preserve">BNK-DR-028</t>
  </si>
  <si>
    <t xml:space="preserve">BNK-CR-MISC-004</t>
  </si>
  <si>
    <t xml:space="preserve">Proprietor</t>
  </si>
  <si>
    <t xml:space="preserve">BNK-DV-001</t>
  </si>
  <si>
    <t xml:space="preserve">Quarterly drawings payment</t>
  </si>
  <si>
    <t xml:space="preserve">BNK-RP-004</t>
  </si>
  <si>
    <t xml:space="preserve">BNK-RC-CIS-001</t>
  </si>
  <si>
    <t xml:space="preserve">CIS deduction remittance</t>
  </si>
  <si>
    <t xml:space="preserve">BNK-W-004</t>
  </si>
  <si>
    <t xml:space="preserve">BNK-CR-016</t>
  </si>
  <si>
    <t xml:space="preserve">BNK-X-CC-002</t>
  </si>
  <si>
    <t xml:space="preserve">Innovate UK</t>
  </si>
  <si>
    <t xml:space="preserve">BNK-RV-001</t>
  </si>
  <si>
    <t xml:space="preserve">Grant received</t>
  </si>
  <si>
    <t xml:space="preserve">BNK-RV-VAT-001</t>
  </si>
  <si>
    <t xml:space="preserve">VAT payment Q1 Apr-Jun</t>
  </si>
  <si>
    <t xml:space="preserve">BNK-DR-005</t>
  </si>
  <si>
    <t xml:space="preserve">BNK-CR-005</t>
  </si>
  <si>
    <t xml:space="preserve">BNK-DR-017</t>
  </si>
  <si>
    <t xml:space="preserve">BNK-DL-005</t>
  </si>
  <si>
    <t xml:space="preserve">BNK-DR-029</t>
  </si>
  <si>
    <t xml:space="preserve">BNK-CR-MISC-005</t>
  </si>
  <si>
    <t xml:space="preserve">BNK-RP-005</t>
  </si>
  <si>
    <t xml:space="preserve">BNK-W-005</t>
  </si>
  <si>
    <t xml:space="preserve">BNK-CR-017</t>
  </si>
  <si>
    <t xml:space="preserve">BNK-DR-006</t>
  </si>
  <si>
    <t xml:space="preserve">BNK-CR-006</t>
  </si>
  <si>
    <t xml:space="preserve">BNK-DR-018</t>
  </si>
  <si>
    <t xml:space="preserve">BNK-DL-006</t>
  </si>
  <si>
    <t xml:space="preserve">BNK-DR-030</t>
  </si>
  <si>
    <t xml:space="preserve">BNK-CR-MISC-006</t>
  </si>
  <si>
    <t xml:space="preserve">BNK-RP-006</t>
  </si>
  <si>
    <t xml:space="preserve">BNK-W-006</t>
  </si>
  <si>
    <t xml:space="preserve">BNK-B-INT-002</t>
  </si>
  <si>
    <t xml:space="preserve">BNK-CR-018</t>
  </si>
  <si>
    <t xml:space="preserve">BNK-HP-INT-002</t>
  </si>
  <si>
    <t xml:space="preserve">HP-2025-02 admin charges and interest</t>
  </si>
  <si>
    <t xml:space="preserve">BNK-HP-CAP-002</t>
  </si>
  <si>
    <t xml:space="preserve">HP-2025-02 capital repayment</t>
  </si>
  <si>
    <t xml:space="preserve">Private buyer</t>
  </si>
  <si>
    <t xml:space="preserve">BNK-DR-040</t>
  </si>
  <si>
    <t xml:space="preserve">Van sale proceeds</t>
  </si>
  <si>
    <t xml:space="preserve">BNK-CR-007</t>
  </si>
  <si>
    <t xml:space="preserve">BNK-DR-007</t>
  </si>
  <si>
    <t xml:space="preserve">BNK-DL-007</t>
  </si>
  <si>
    <t xml:space="preserve">BNK-DR-019</t>
  </si>
  <si>
    <t xml:space="preserve">BNK-RT-CT-001</t>
  </si>
  <si>
    <t xml:space="preserve">Corporation Tax prior year</t>
  </si>
  <si>
    <t xml:space="preserve">BNK-DR-031</t>
  </si>
  <si>
    <t xml:space="preserve">BNK-CR-MISC-007</t>
  </si>
  <si>
    <t xml:space="preserve">BNK-DV-002</t>
  </si>
  <si>
    <t xml:space="preserve">BNK-RP-007</t>
  </si>
  <si>
    <t xml:space="preserve">Ford</t>
  </si>
  <si>
    <t xml:space="preserve">BNK-CR-FA-001</t>
  </si>
  <si>
    <t xml:space="preserve">Ford Transit Custom purchase</t>
  </si>
  <si>
    <t xml:space="preserve">BNK-W-007</t>
  </si>
  <si>
    <t xml:space="preserve">BNK-CR-019</t>
  </si>
  <si>
    <t xml:space="preserve">BNK-X-CC-003</t>
  </si>
  <si>
    <t xml:space="preserve">BNK-DR-008</t>
  </si>
  <si>
    <t xml:space="preserve">BNK-RV-VAT-002</t>
  </si>
  <si>
    <t xml:space="preserve">VAT payment Q2 Jul-Sep</t>
  </si>
  <si>
    <t xml:space="preserve">BNK-DR-020</t>
  </si>
  <si>
    <t xml:space="preserve">BNK-CR-008</t>
  </si>
  <si>
    <t xml:space="preserve">BNK-DR-032</t>
  </si>
  <si>
    <t xml:space="preserve">BNK-DL-008</t>
  </si>
  <si>
    <t xml:space="preserve">BNK-CR-MISC-008</t>
  </si>
  <si>
    <t xml:space="preserve">BNK-RP-008</t>
  </si>
  <si>
    <t xml:space="preserve">BNK-B-002</t>
  </si>
  <si>
    <t xml:space="preserve">BNK-W-008</t>
  </si>
  <si>
    <t xml:space="preserve">BNK-CR-020</t>
  </si>
  <si>
    <t xml:space="preserve">BNK-DR-009</t>
  </si>
  <si>
    <t xml:space="preserve">BNK-CR-009</t>
  </si>
  <si>
    <t xml:space="preserve">BNK-DR-021</t>
  </si>
  <si>
    <t xml:space="preserve">BNK-DL-009</t>
  </si>
  <si>
    <t xml:space="preserve">BNK-DR-033</t>
  </si>
  <si>
    <t xml:space="preserve">BNK-CR-MISC-009</t>
  </si>
  <si>
    <t xml:space="preserve">BNK-RP-009</t>
  </si>
  <si>
    <t xml:space="preserve">BNK-RC-CIS-002</t>
  </si>
  <si>
    <t xml:space="preserve">BNK-W-009</t>
  </si>
  <si>
    <t xml:space="preserve">BNK-B-INT-003</t>
  </si>
  <si>
    <t xml:space="preserve">BNK-CR-021</t>
  </si>
  <si>
    <t xml:space="preserve">Director loan</t>
  </si>
  <si>
    <t xml:space="preserve">BNK-DL-IN-001</t>
  </si>
  <si>
    <t xml:space="preserve">Directors loan advance</t>
  </si>
  <si>
    <t xml:space="preserve">BNK-CR-010</t>
  </si>
  <si>
    <t xml:space="preserve">BNK-DR-010</t>
  </si>
  <si>
    <t xml:space="preserve">BNK-DL-010</t>
  </si>
  <si>
    <t xml:space="preserve">BNK-DR-022</t>
  </si>
  <si>
    <t xml:space="preserve">BNK-CR-MISC-010</t>
  </si>
  <si>
    <t xml:space="preserve">BNK-DR-034</t>
  </si>
  <si>
    <t xml:space="preserve">BNK-DV-003</t>
  </si>
  <si>
    <t xml:space="preserve">BNK-RP-010</t>
  </si>
  <si>
    <t xml:space="preserve">BNK-W-010</t>
  </si>
  <si>
    <t xml:space="preserve">BNK-CR-022</t>
  </si>
  <si>
    <t xml:space="preserve">BNK-X-CC-004</t>
  </si>
  <si>
    <t xml:space="preserve">BNK-DR-011</t>
  </si>
  <si>
    <t xml:space="preserve">BNK-RV-VAT-003</t>
  </si>
  <si>
    <t xml:space="preserve">VAT payment Q3 Oct-Dec</t>
  </si>
  <si>
    <t xml:space="preserve">BNK-DR-023</t>
  </si>
  <si>
    <t xml:space="preserve">BNK-CR-011</t>
  </si>
  <si>
    <t xml:space="preserve">BNK-DR-035</t>
  </si>
  <si>
    <t xml:space="preserve">BNK-DL-011</t>
  </si>
  <si>
    <t xml:space="preserve">BNK-CR-MISC-011</t>
  </si>
  <si>
    <t xml:space="preserve">BNK-RP-011</t>
  </si>
  <si>
    <t xml:space="preserve">BNK-CR-023</t>
  </si>
  <si>
    <t xml:space="preserve">BNK-W-011</t>
  </si>
  <si>
    <t xml:space="preserve">BNK-DR-012</t>
  </si>
  <si>
    <t xml:space="preserve">BNK-CR-012</t>
  </si>
  <si>
    <t xml:space="preserve">BNK-DR-024</t>
  </si>
  <si>
    <t xml:space="preserve">BNK-DL-012</t>
  </si>
  <si>
    <t xml:space="preserve">BNK-DR-036</t>
  </si>
  <si>
    <t xml:space="preserve">BNK-CR-MISC-012</t>
  </si>
  <si>
    <t xml:space="preserve">Internal transfer</t>
  </si>
  <si>
    <t xml:space="preserve">BNK-X-001</t>
  </si>
  <si>
    <t xml:space="preserve">Transfer to savings account</t>
  </si>
  <si>
    <t xml:space="preserve">BNK-RP-012</t>
  </si>
  <si>
    <t xml:space="preserve">BNK-W-012</t>
  </si>
  <si>
    <t xml:space="preserve">BNK-B-INT-004</t>
  </si>
  <si>
    <t xml:space="preserve">BNK-CR-024</t>
  </si>
  <si>
    <t xml:space="preserve">BNK-DV-004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</si>
</sst>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7">
          <cell r="B17">
            <v>46482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7" t="n">
        <v>25000</v>
      </c>
      <c r="B1" s="8" t="s">
        <v>0</v>
      </c>
      <c r="C1" s="9" t="n">
        <f aca="false">[1]Admin!$B$4</f>
        <v>46118</v>
      </c>
      <c r="D1" s="10" t="s">
        <v>1</v>
      </c>
      <c r="E1" s="11" t="n">
        <f aca="false">F1-SUM(G1:M1)</f>
        <v>0</v>
      </c>
      <c r="F1" s="12" t="n">
        <f aca="false">SUM(F6:F200)</f>
        <v>44200</v>
      </c>
      <c r="G1" s="12" t="n">
        <f aca="false">SUM(G6:G200)</f>
        <v>0</v>
      </c>
      <c r="H1" s="12" t="n">
        <f aca="false">SUM(H6:H200)</f>
        <v>44200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12525.2</v>
      </c>
      <c r="U1" s="12" t="n">
        <f aca="false">SUM(U6:U200)</f>
        <v>0</v>
      </c>
      <c r="V1" s="12" t="n">
        <f aca="false">SUM(V6:V200)</f>
        <v>3700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56674.8</v>
      </c>
      <c r="B2" s="18" t="s">
        <v>2</v>
      </c>
      <c r="C2" s="9" t="n">
        <f aca="false">[1]Admin!$B$5</f>
        <v>46142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46142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56674.8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45757</v>
      </c>
      <c r="B6" s="2" t="s">
        <v>43</v>
      </c>
      <c r="C6" s="3" t="s">
        <v>44</v>
      </c>
      <c r="D6" s="4" t="s">
        <v>45</v>
      </c>
      <c r="E6" s="5" t="s">
        <v>33</v>
      </c>
      <c r="F6" s="6" t="n">
        <v>7200</v>
      </c>
      <c r="G6" s="6" t="str">
        <f aca="false">IF(E6="BC",F6," ")</f>
        <v> </v>
      </c>
      <c r="H6" s="6" t="n">
        <f aca="false">IF(E6="DR",F6," ")</f>
        <v>7200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45748</v>
      </c>
      <c r="P6" s="4" t="s">
        <v>46</v>
      </c>
      <c r="Q6" s="3" t="s">
        <v>47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45762</v>
      </c>
      <c r="B7" s="2" t="s">
        <v>49</v>
      </c>
      <c r="C7" s="3" t="s">
        <v>50</v>
      </c>
      <c r="D7" s="4" t="s">
        <v>45</v>
      </c>
      <c r="E7" s="5" t="s">
        <v>33</v>
      </c>
      <c r="F7" s="6" t="n">
        <v>1200</v>
      </c>
      <c r="G7" s="6" t="str">
        <f aca="false">IF(E7="BC",F7," ")</f>
        <v> </v>
      </c>
      <c r="H7" s="6" t="n">
        <f aca="false">IF(E7="DR",F7," ")</f>
        <v>1200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45748</v>
      </c>
      <c r="P7" s="4" t="s">
        <v>51</v>
      </c>
      <c r="Q7" s="3" t="s">
        <v>52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45767</v>
      </c>
      <c r="B8" s="2" t="s">
        <v>43</v>
      </c>
      <c r="C8" s="3" t="s">
        <v>54</v>
      </c>
      <c r="D8" s="4" t="s">
        <v>55</v>
      </c>
      <c r="E8" s="5" t="s">
        <v>33</v>
      </c>
      <c r="F8" s="6" t="n">
        <v>8000</v>
      </c>
      <c r="G8" s="6" t="str">
        <f aca="false">IF(E8="BC",F8," ")</f>
        <v> </v>
      </c>
      <c r="H8" s="6" t="n">
        <f aca="false">IF(E8="DR",F8," ")</f>
        <v>8000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45752</v>
      </c>
      <c r="P8" s="4" t="s">
        <v>56</v>
      </c>
      <c r="Q8" s="3" t="s">
        <v>57</v>
      </c>
      <c r="R8" s="3" t="s">
        <v>58</v>
      </c>
      <c r="S8" s="38" t="s">
        <v>34</v>
      </c>
      <c r="T8" s="6" t="n">
        <v>2200</v>
      </c>
      <c r="U8" s="6" t="str">
        <f aca="false">IF(S8="BC",T8," ")</f>
        <v> </v>
      </c>
      <c r="V8" s="6" t="n">
        <f aca="false">IF(S8="CR",T8," ")</f>
        <v>2200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45772</v>
      </c>
      <c r="B9" s="2" t="s">
        <v>59</v>
      </c>
      <c r="C9" s="3" t="s">
        <v>60</v>
      </c>
      <c r="D9" s="4" t="s">
        <v>55</v>
      </c>
      <c r="E9" s="5" t="s">
        <v>33</v>
      </c>
      <c r="F9" s="6" t="n">
        <v>2400</v>
      </c>
      <c r="G9" s="6" t="str">
        <f aca="false">IF(E9="BC",F9," ")</f>
        <v> </v>
      </c>
      <c r="H9" s="6" t="n">
        <f aca="false">IF(E9="DR",F9," ")</f>
        <v>2400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45766</v>
      </c>
      <c r="P9" s="4" t="s">
        <v>61</v>
      </c>
      <c r="Q9" s="3" t="s">
        <v>62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45772</v>
      </c>
      <c r="B10" s="2" t="s">
        <v>64</v>
      </c>
      <c r="C10" s="3" t="s">
        <v>65</v>
      </c>
      <c r="D10" s="4" t="s">
        <v>45</v>
      </c>
      <c r="E10" s="5" t="s">
        <v>33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45775</v>
      </c>
      <c r="P10" s="4" t="s">
        <v>66</v>
      </c>
      <c r="Q10" s="3" t="s">
        <v>67</v>
      </c>
      <c r="R10" s="3" t="s">
        <v>68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45775</v>
      </c>
      <c r="B11" s="2" t="s">
        <v>69</v>
      </c>
      <c r="C11" s="3" t="s">
        <v>70</v>
      </c>
      <c r="D11" s="4" t="s">
        <v>71</v>
      </c>
      <c r="E11" s="5" t="s">
        <v>33</v>
      </c>
      <c r="F11" s="6" t="n">
        <v>23000</v>
      </c>
      <c r="G11" s="6" t="str">
        <f aca="false">IF(E11="BC",F11," ")</f>
        <v> </v>
      </c>
      <c r="H11" s="6" t="n">
        <f aca="false">IF(E11="DR",F11," ")</f>
        <v>23000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45777</v>
      </c>
      <c r="P11" s="4" t="s">
        <v>72</v>
      </c>
      <c r="Q11" s="3" t="s">
        <v>73</v>
      </c>
      <c r="R11" s="3" t="s">
        <v>74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45777</v>
      </c>
      <c r="P12" s="4" t="s">
        <v>75</v>
      </c>
      <c r="Q12" s="3" t="s">
        <v>76</v>
      </c>
      <c r="R12" s="3" t="s">
        <v>77</v>
      </c>
      <c r="S12" s="38" t="s">
        <v>38</v>
      </c>
      <c r="T12" s="6" t="n">
        <v>500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n">
        <f aca="false">IF(S12="X",T12," ")</f>
        <v>500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showDropDown="false" showErrorMessage="true" showInputMessage="false" sqref="E6:E200" type="list">
      <formula1>$G$5:$M$5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Apr!A2</f>
        <v>56674.8</v>
      </c>
      <c r="B1" s="8" t="s">
        <v>0</v>
      </c>
      <c r="C1" s="9" t="n">
        <f aca="false">Apr!C2</f>
        <v>46142</v>
      </c>
      <c r="D1" s="10" t="s">
        <v>1</v>
      </c>
      <c r="E1" s="11" t="n">
        <f aca="false">F1-SUM(G1:M1)</f>
        <v>0</v>
      </c>
      <c r="F1" s="12" t="n">
        <f aca="false">SUM(F6:F200)</f>
        <v>32920</v>
      </c>
      <c r="G1" s="12" t="n">
        <f aca="false">SUM(G6:G200)</f>
        <v>0</v>
      </c>
      <c r="H1" s="12" t="n">
        <f aca="false">SUM(H6:H200)</f>
        <v>32920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14150.2</v>
      </c>
      <c r="U1" s="12" t="n">
        <f aca="false">SUM(U6:U200)</f>
        <v>0</v>
      </c>
      <c r="V1" s="12" t="n">
        <f aca="false">SUM(V6:V200)</f>
        <v>4300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3173.2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75444.6</v>
      </c>
      <c r="B2" s="18" t="s">
        <v>2</v>
      </c>
      <c r="C2" s="9" t="n">
        <f aca="false">[1]Admin!$B$6</f>
        <v>46173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46173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75444.6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45797</v>
      </c>
      <c r="B6" s="2" t="s">
        <v>43</v>
      </c>
      <c r="C6" s="3" t="s">
        <v>78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45778</v>
      </c>
      <c r="P6" s="4" t="s">
        <v>46</v>
      </c>
      <c r="Q6" s="3" t="s">
        <v>79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45802</v>
      </c>
      <c r="B7" s="2" t="s">
        <v>59</v>
      </c>
      <c r="C7" s="3" t="s">
        <v>80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45778</v>
      </c>
      <c r="P7" s="4" t="s">
        <v>51</v>
      </c>
      <c r="Q7" s="3" t="s">
        <v>81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45805</v>
      </c>
      <c r="B8" s="2" t="s">
        <v>69</v>
      </c>
      <c r="C8" s="3" t="s">
        <v>82</v>
      </c>
      <c r="D8" s="4" t="s">
        <v>71</v>
      </c>
      <c r="E8" s="5" t="s">
        <v>33</v>
      </c>
      <c r="F8" s="6" t="n">
        <v>22520</v>
      </c>
      <c r="G8" s="6" t="str">
        <f aca="false">IF(E8="BC",F8," ")</f>
        <v> </v>
      </c>
      <c r="H8" s="6" t="n">
        <f aca="false">IF(E8="DR",F8," ")</f>
        <v>22520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45782</v>
      </c>
      <c r="P8" s="4" t="s">
        <v>56</v>
      </c>
      <c r="Q8" s="3" t="s">
        <v>83</v>
      </c>
      <c r="R8" s="3" t="s">
        <v>58</v>
      </c>
      <c r="S8" s="38" t="s">
        <v>34</v>
      </c>
      <c r="T8" s="6" t="n">
        <v>2800</v>
      </c>
      <c r="U8" s="6" t="str">
        <f aca="false">IF(S8="BC",T8," ")</f>
        <v> </v>
      </c>
      <c r="V8" s="6" t="n">
        <f aca="false">IF(S8="CR",T8," ")</f>
        <v>2800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45796</v>
      </c>
      <c r="P9" s="4" t="s">
        <v>61</v>
      </c>
      <c r="Q9" s="3" t="s">
        <v>84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45802</v>
      </c>
      <c r="P10" s="4" t="s">
        <v>85</v>
      </c>
      <c r="Q10" s="3" t="s">
        <v>86</v>
      </c>
      <c r="R10" s="3" t="s">
        <v>87</v>
      </c>
      <c r="S10" s="38" t="s">
        <v>40</v>
      </c>
      <c r="T10" s="6" t="n">
        <v>25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n">
        <f aca="false">IF(S10="B",T10," ")</f>
        <v>25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45805</v>
      </c>
      <c r="P11" s="4" t="s">
        <v>66</v>
      </c>
      <c r="Q11" s="3" t="s">
        <v>88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45808</v>
      </c>
      <c r="P12" s="4" t="s">
        <v>72</v>
      </c>
      <c r="Q12" s="3" t="s">
        <v>89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45784</v>
      </c>
      <c r="P13" s="4" t="s">
        <v>61</v>
      </c>
      <c r="Q13" s="3" t="s">
        <v>90</v>
      </c>
      <c r="R13" s="3" t="s">
        <v>91</v>
      </c>
      <c r="S13" s="38" t="s">
        <v>42</v>
      </c>
      <c r="T13" s="6" t="n">
        <v>1500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n">
        <f aca="false">IF(S13="RP",T13," ")</f>
        <v>1500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May!A2</f>
        <v>75444.6</v>
      </c>
      <c r="B1" s="8" t="s">
        <v>0</v>
      </c>
      <c r="C1" s="9" t="n">
        <f aca="false">May!C2</f>
        <v>46173</v>
      </c>
      <c r="D1" s="10" t="s">
        <v>1</v>
      </c>
      <c r="E1" s="11" t="n">
        <f aca="false">F1-SUM(G1:M1)</f>
        <v>0</v>
      </c>
      <c r="F1" s="12" t="n">
        <f aca="false">SUM(F6:F200)</f>
        <v>35200</v>
      </c>
      <c r="G1" s="12" t="n">
        <f aca="false">SUM(G6:G200)</f>
        <v>0</v>
      </c>
      <c r="H1" s="12" t="n">
        <f aca="false">SUM(H6:H200)</f>
        <v>35200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27575.2</v>
      </c>
      <c r="U1" s="12" t="n">
        <f aca="false">SUM(U6:U200)</f>
        <v>0</v>
      </c>
      <c r="V1" s="12" t="n">
        <f aca="false">SUM(V6:V200)</f>
        <v>17000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2250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83069.4</v>
      </c>
      <c r="B2" s="18" t="s">
        <v>2</v>
      </c>
      <c r="C2" s="9" t="n">
        <f aca="false">[1]Admin!$B$7</f>
        <v>46203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46203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83069.4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45828</v>
      </c>
      <c r="B6" s="2" t="s">
        <v>43</v>
      </c>
      <c r="C6" s="3" t="s">
        <v>92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45809</v>
      </c>
      <c r="P6" s="4" t="s">
        <v>46</v>
      </c>
      <c r="Q6" s="3" t="s">
        <v>93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45833</v>
      </c>
      <c r="B7" s="2" t="s">
        <v>59</v>
      </c>
      <c r="C7" s="3" t="s">
        <v>94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45809</v>
      </c>
      <c r="P7" s="4" t="s">
        <v>51</v>
      </c>
      <c r="Q7" s="3" t="s">
        <v>95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45836</v>
      </c>
      <c r="B8" s="2" t="s">
        <v>69</v>
      </c>
      <c r="C8" s="3" t="s">
        <v>96</v>
      </c>
      <c r="D8" s="4" t="s">
        <v>71</v>
      </c>
      <c r="E8" s="5" t="s">
        <v>33</v>
      </c>
      <c r="F8" s="6" t="n">
        <v>24800</v>
      </c>
      <c r="G8" s="6" t="str">
        <f aca="false">IF(E8="BC",F8," ")</f>
        <v> </v>
      </c>
      <c r="H8" s="6" t="n">
        <f aca="false">IF(E8="DR",F8," ")</f>
        <v>24800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45813</v>
      </c>
      <c r="P8" s="4" t="s">
        <v>56</v>
      </c>
      <c r="Q8" s="3" t="s">
        <v>97</v>
      </c>
      <c r="R8" s="3" t="s">
        <v>58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45827</v>
      </c>
      <c r="P9" s="4" t="s">
        <v>61</v>
      </c>
      <c r="Q9" s="3" t="s">
        <v>98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45836</v>
      </c>
      <c r="P10" s="4" t="s">
        <v>66</v>
      </c>
      <c r="Q10" s="3" t="s">
        <v>99</v>
      </c>
      <c r="R10" s="3" t="s">
        <v>68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45838</v>
      </c>
      <c r="P11" s="4" t="s">
        <v>100</v>
      </c>
      <c r="Q11" s="3" t="s">
        <v>101</v>
      </c>
      <c r="R11" s="3" t="s">
        <v>102</v>
      </c>
      <c r="S11" s="38" t="s">
        <v>40</v>
      </c>
      <c r="T11" s="6" t="n">
        <v>250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250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45838</v>
      </c>
      <c r="P12" s="4" t="s">
        <v>72</v>
      </c>
      <c r="Q12" s="3" t="s">
        <v>103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45809</v>
      </c>
      <c r="P13" s="4" t="s">
        <v>104</v>
      </c>
      <c r="Q13" s="3" t="s">
        <v>105</v>
      </c>
      <c r="R13" s="3" t="s">
        <v>106</v>
      </c>
      <c r="S13" s="38" t="s">
        <v>40</v>
      </c>
      <c r="T13" s="6" t="n">
        <v>2000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n">
        <f aca="false">IF(S13="B",T13," ")</f>
        <v>2000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45809</v>
      </c>
      <c r="P14" s="4" t="s">
        <v>104</v>
      </c>
      <c r="Q14" s="3" t="s">
        <v>107</v>
      </c>
      <c r="R14" s="3" t="s">
        <v>108</v>
      </c>
      <c r="S14" s="38" t="s">
        <v>34</v>
      </c>
      <c r="T14" s="6" t="n">
        <v>13000</v>
      </c>
      <c r="U14" s="6" t="str">
        <f aca="false">IF(S14="BC",T14," ")</f>
        <v> </v>
      </c>
      <c r="V14" s="6" t="n">
        <f aca="false">IF(S14="CR",T14," ")</f>
        <v>13000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Jun!A2</f>
        <v>83069.4</v>
      </c>
      <c r="B1" s="8" t="s">
        <v>0</v>
      </c>
      <c r="C1" s="9" t="n">
        <f aca="false">Jun!C2</f>
        <v>46203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16425.2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2673.2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100404.2</v>
      </c>
      <c r="B2" s="18" t="s">
        <v>2</v>
      </c>
      <c r="C2" s="9" t="n">
        <f aca="false">[1]Admin!$B$8</f>
        <v>46234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46234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100404.2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45858</v>
      </c>
      <c r="B6" s="2" t="s">
        <v>43</v>
      </c>
      <c r="C6" s="3" t="s">
        <v>109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45839</v>
      </c>
      <c r="P6" s="4" t="s">
        <v>46</v>
      </c>
      <c r="Q6" s="3" t="s">
        <v>110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45863</v>
      </c>
      <c r="B7" s="2" t="s">
        <v>59</v>
      </c>
      <c r="C7" s="3" t="s">
        <v>111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45839</v>
      </c>
      <c r="P7" s="4" t="s">
        <v>51</v>
      </c>
      <c r="Q7" s="3" t="s">
        <v>112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45866</v>
      </c>
      <c r="B8" s="2" t="s">
        <v>69</v>
      </c>
      <c r="C8" s="3" t="s">
        <v>113</v>
      </c>
      <c r="D8" s="4" t="s">
        <v>71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45843</v>
      </c>
      <c r="P8" s="4" t="s">
        <v>56</v>
      </c>
      <c r="Q8" s="3" t="s">
        <v>114</v>
      </c>
      <c r="R8" s="3" t="s">
        <v>58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45853</v>
      </c>
      <c r="P9" s="4" t="s">
        <v>115</v>
      </c>
      <c r="Q9" s="3" t="s">
        <v>116</v>
      </c>
      <c r="R9" s="3" t="s">
        <v>117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45857</v>
      </c>
      <c r="P10" s="4" t="s">
        <v>61</v>
      </c>
      <c r="Q10" s="3" t="s">
        <v>118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45857</v>
      </c>
      <c r="P11" s="4" t="s">
        <v>61</v>
      </c>
      <c r="Q11" s="3" t="s">
        <v>119</v>
      </c>
      <c r="R11" s="3" t="s">
        <v>120</v>
      </c>
      <c r="S11" s="38" t="s">
        <v>42</v>
      </c>
      <c r="T11" s="6" t="n">
        <v>1000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1000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45866</v>
      </c>
      <c r="P12" s="4" t="s">
        <v>66</v>
      </c>
      <c r="Q12" s="3" t="s">
        <v>121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45869</v>
      </c>
      <c r="P13" s="4" t="s">
        <v>72</v>
      </c>
      <c r="Q13" s="3" t="s">
        <v>122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45869</v>
      </c>
      <c r="P14" s="4" t="s">
        <v>75</v>
      </c>
      <c r="Q14" s="3" t="s">
        <v>123</v>
      </c>
      <c r="R14" s="3" t="s">
        <v>77</v>
      </c>
      <c r="S14" s="38" t="s">
        <v>38</v>
      </c>
      <c r="T14" s="6" t="n">
        <v>300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n">
        <f aca="false">IF(S14="X",T14," ")</f>
        <v>300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Jul!A2</f>
        <v>100404.2</v>
      </c>
      <c r="B1" s="8" t="s">
        <v>0</v>
      </c>
      <c r="C1" s="9" t="n">
        <f aca="false">Jul!C2</f>
        <v>46234</v>
      </c>
      <c r="D1" s="10" t="s">
        <v>1</v>
      </c>
      <c r="E1" s="11" t="n">
        <f aca="false">F1-SUM(G1:M1)</f>
        <v>0</v>
      </c>
      <c r="F1" s="12" t="n">
        <f aca="false">SUM(F6:F200)</f>
        <v>38520</v>
      </c>
      <c r="G1" s="12" t="n">
        <f aca="false">SUM(G6:G200)</f>
        <v>0</v>
      </c>
      <c r="H1" s="12" t="n">
        <f aca="false">SUM(H6:H200)</f>
        <v>38520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26233.37</v>
      </c>
      <c r="U1" s="12" t="n">
        <f aca="false">SUM(U6:U200)</f>
        <v>0</v>
      </c>
      <c r="V1" s="12" t="n">
        <f aca="false">SUM(V6:V200)</f>
        <v>4100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15481.37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112690.83</v>
      </c>
      <c r="B2" s="18" t="s">
        <v>2</v>
      </c>
      <c r="C2" s="9" t="n">
        <f aca="false">[1]Admin!$B$9</f>
        <v>46265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46265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112690.83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45874</v>
      </c>
      <c r="B6" s="2" t="s">
        <v>124</v>
      </c>
      <c r="C6" s="3" t="s">
        <v>125</v>
      </c>
      <c r="D6" s="4" t="s">
        <v>126</v>
      </c>
      <c r="E6" s="5" t="s">
        <v>33</v>
      </c>
      <c r="F6" s="6" t="n">
        <v>2500</v>
      </c>
      <c r="G6" s="6" t="str">
        <f aca="false">IF(E6="BC",F6," ")</f>
        <v> </v>
      </c>
      <c r="H6" s="6" t="n">
        <f aca="false">IF(E6="DR",F6," ")</f>
        <v>2500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45876</v>
      </c>
      <c r="P6" s="4" t="s">
        <v>61</v>
      </c>
      <c r="Q6" s="3" t="s">
        <v>127</v>
      </c>
      <c r="R6" s="3" t="s">
        <v>128</v>
      </c>
      <c r="S6" s="38" t="s">
        <v>42</v>
      </c>
      <c r="T6" s="6" t="n">
        <v>13808.17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13808.17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45889</v>
      </c>
      <c r="B7" s="2" t="s">
        <v>43</v>
      </c>
      <c r="C7" s="3" t="s">
        <v>129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45870</v>
      </c>
      <c r="P7" s="4" t="s">
        <v>46</v>
      </c>
      <c r="Q7" s="3" t="s">
        <v>130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45894</v>
      </c>
      <c r="B8" s="2" t="s">
        <v>59</v>
      </c>
      <c r="C8" s="3" t="s">
        <v>131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45870</v>
      </c>
      <c r="P8" s="4" t="s">
        <v>51</v>
      </c>
      <c r="Q8" s="3" t="s">
        <v>132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45897</v>
      </c>
      <c r="B9" s="2" t="s">
        <v>69</v>
      </c>
      <c r="C9" s="3" t="s">
        <v>133</v>
      </c>
      <c r="D9" s="4" t="s">
        <v>71</v>
      </c>
      <c r="E9" s="5" t="s">
        <v>33</v>
      </c>
      <c r="F9" s="6" t="n">
        <v>25620</v>
      </c>
      <c r="G9" s="6" t="str">
        <f aca="false">IF(E9="BC",F9," ")</f>
        <v> </v>
      </c>
      <c r="H9" s="6" t="n">
        <f aca="false">IF(E9="DR",F9," ")</f>
        <v>25620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45874</v>
      </c>
      <c r="P9" s="4" t="s">
        <v>56</v>
      </c>
      <c r="Q9" s="3" t="s">
        <v>134</v>
      </c>
      <c r="R9" s="3" t="s">
        <v>58</v>
      </c>
      <c r="S9" s="38" t="s">
        <v>34</v>
      </c>
      <c r="T9" s="6" t="n">
        <v>2600</v>
      </c>
      <c r="U9" s="6" t="str">
        <f aca="false">IF(S9="BC",T9," ")</f>
        <v> </v>
      </c>
      <c r="V9" s="6" t="n">
        <f aca="false">IF(S9="CR",T9," ")</f>
        <v>2600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45888</v>
      </c>
      <c r="P10" s="4" t="s">
        <v>61</v>
      </c>
      <c r="Q10" s="3" t="s">
        <v>135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45897</v>
      </c>
      <c r="P11" s="4" t="s">
        <v>66</v>
      </c>
      <c r="Q11" s="3" t="s">
        <v>136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45900</v>
      </c>
      <c r="P12" s="4" t="s">
        <v>72</v>
      </c>
      <c r="Q12" s="3" t="s">
        <v>137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Aug!A2</f>
        <v>112690.83</v>
      </c>
      <c r="B1" s="8" t="s">
        <v>0</v>
      </c>
      <c r="C1" s="9" t="n">
        <f aca="false">Aug!C2</f>
        <v>46265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20233.2</v>
      </c>
      <c r="U1" s="12" t="n">
        <f aca="false">SUM(U6:U200)</f>
        <v>0</v>
      </c>
      <c r="V1" s="12" t="n">
        <f aca="false">SUM(V6:V200)</f>
        <v>10600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1308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126217.63</v>
      </c>
      <c r="B2" s="18" t="s">
        <v>2</v>
      </c>
      <c r="C2" s="9" t="n">
        <f aca="false">[1]Admin!$B$10</f>
        <v>46295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46295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126217.63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45920</v>
      </c>
      <c r="B6" s="2" t="s">
        <v>43</v>
      </c>
      <c r="C6" s="3" t="s">
        <v>138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45901</v>
      </c>
      <c r="P6" s="4" t="s">
        <v>46</v>
      </c>
      <c r="Q6" s="3" t="s">
        <v>139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45925</v>
      </c>
      <c r="B7" s="2" t="s">
        <v>59</v>
      </c>
      <c r="C7" s="3" t="s">
        <v>140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45901</v>
      </c>
      <c r="P7" s="4" t="s">
        <v>51</v>
      </c>
      <c r="Q7" s="3" t="s">
        <v>141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45928</v>
      </c>
      <c r="B8" s="2" t="s">
        <v>69</v>
      </c>
      <c r="C8" s="3" t="s">
        <v>142</v>
      </c>
      <c r="D8" s="4" t="s">
        <v>71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45905</v>
      </c>
      <c r="P8" s="4" t="s">
        <v>56</v>
      </c>
      <c r="Q8" s="3" t="s">
        <v>143</v>
      </c>
      <c r="R8" s="3" t="s">
        <v>58</v>
      </c>
      <c r="S8" s="38" t="s">
        <v>34</v>
      </c>
      <c r="T8" s="6" t="n">
        <v>2100</v>
      </c>
      <c r="U8" s="6" t="str">
        <f aca="false">IF(S8="BC",T8," ")</f>
        <v> </v>
      </c>
      <c r="V8" s="6" t="n">
        <f aca="false">IF(S8="CR",T8," ")</f>
        <v>2100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45919</v>
      </c>
      <c r="P9" s="4" t="s">
        <v>61</v>
      </c>
      <c r="Q9" s="3" t="s">
        <v>144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45928</v>
      </c>
      <c r="P10" s="4" t="s">
        <v>66</v>
      </c>
      <c r="Q10" s="3" t="s">
        <v>145</v>
      </c>
      <c r="R10" s="3" t="s">
        <v>68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45930</v>
      </c>
      <c r="P11" s="4" t="s">
        <v>100</v>
      </c>
      <c r="Q11" s="3" t="s">
        <v>146</v>
      </c>
      <c r="R11" s="3" t="s">
        <v>102</v>
      </c>
      <c r="S11" s="38" t="s">
        <v>40</v>
      </c>
      <c r="T11" s="6" t="n">
        <v>208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208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45930</v>
      </c>
      <c r="P12" s="4" t="s">
        <v>72</v>
      </c>
      <c r="Q12" s="3" t="s">
        <v>147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45901</v>
      </c>
      <c r="P13" s="4" t="s">
        <v>104</v>
      </c>
      <c r="Q13" s="3" t="s">
        <v>148</v>
      </c>
      <c r="R13" s="3" t="s">
        <v>149</v>
      </c>
      <c r="S13" s="38" t="s">
        <v>40</v>
      </c>
      <c r="T13" s="6" t="n">
        <v>1100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n">
        <f aca="false">IF(S13="B",T13," ")</f>
        <v>1100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45901</v>
      </c>
      <c r="P14" s="4" t="s">
        <v>104</v>
      </c>
      <c r="Q14" s="3" t="s">
        <v>150</v>
      </c>
      <c r="R14" s="3" t="s">
        <v>151</v>
      </c>
      <c r="S14" s="38" t="s">
        <v>34</v>
      </c>
      <c r="T14" s="6" t="n">
        <v>7000</v>
      </c>
      <c r="U14" s="6" t="str">
        <f aca="false">IF(S14="BC",T14," ")</f>
        <v> </v>
      </c>
      <c r="V14" s="6" t="n">
        <f aca="false">IF(S14="CR",T14," ")</f>
        <v>7000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Sep!A2</f>
        <v>126217.63</v>
      </c>
      <c r="B1" s="8" t="s">
        <v>0</v>
      </c>
      <c r="C1" s="9" t="n">
        <f aca="false">Sep!C2</f>
        <v>46295</v>
      </c>
      <c r="D1" s="10" t="s">
        <v>1</v>
      </c>
      <c r="E1" s="11" t="n">
        <f aca="false">F1-SUM(G1:M1)</f>
        <v>0</v>
      </c>
      <c r="F1" s="12" t="n">
        <f aca="false">SUM(F6:F200)</f>
        <v>50560</v>
      </c>
      <c r="G1" s="12" t="n">
        <f aca="false">SUM(G6:G200)</f>
        <v>0</v>
      </c>
      <c r="H1" s="12" t="n">
        <f aca="false">SUM(H6:H200)</f>
        <v>50560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56825.2</v>
      </c>
      <c r="U1" s="12" t="n">
        <f aca="false">SUM(U6:U200)</f>
        <v>0</v>
      </c>
      <c r="V1" s="12" t="n">
        <f aca="false">SUM(V6:V200)</f>
        <v>40500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6173.2</v>
      </c>
      <c r="AB1" s="12" t="n">
        <f aca="false">SUM(AB6:AB200)</f>
        <v>4000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119952.43</v>
      </c>
      <c r="B2" s="18" t="s">
        <v>2</v>
      </c>
      <c r="C2" s="9" t="n">
        <f aca="false">[1]Admin!$B$11</f>
        <v>46326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46326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119952.43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45945</v>
      </c>
      <c r="B6" s="2" t="s">
        <v>152</v>
      </c>
      <c r="C6" s="3" t="s">
        <v>153</v>
      </c>
      <c r="D6" s="4" t="s">
        <v>154</v>
      </c>
      <c r="E6" s="5" t="s">
        <v>33</v>
      </c>
      <c r="F6" s="6" t="n">
        <v>15000</v>
      </c>
      <c r="G6" s="6" t="str">
        <f aca="false">IF(E6="BC",F6," ")</f>
        <v> </v>
      </c>
      <c r="H6" s="6" t="n">
        <f aca="false">IF(E6="DR",F6," ")</f>
        <v>15000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45931</v>
      </c>
      <c r="P6" s="4" t="s">
        <v>46</v>
      </c>
      <c r="Q6" s="3" t="s">
        <v>155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45950</v>
      </c>
      <c r="B7" s="2" t="s">
        <v>43</v>
      </c>
      <c r="C7" s="3" t="s">
        <v>156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45931</v>
      </c>
      <c r="P7" s="4" t="s">
        <v>51</v>
      </c>
      <c r="Q7" s="3" t="s">
        <v>157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45955</v>
      </c>
      <c r="B8" s="2" t="s">
        <v>59</v>
      </c>
      <c r="C8" s="3" t="s">
        <v>158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45931</v>
      </c>
      <c r="P8" s="4" t="s">
        <v>61</v>
      </c>
      <c r="Q8" s="3" t="s">
        <v>159</v>
      </c>
      <c r="R8" s="3" t="s">
        <v>160</v>
      </c>
      <c r="S8" s="38" t="s">
        <v>42</v>
      </c>
      <c r="T8" s="6" t="n">
        <v>4500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n">
        <f aca="false">IF(S8="RP",T8," ")</f>
        <v>4500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45958</v>
      </c>
      <c r="B9" s="2" t="s">
        <v>69</v>
      </c>
      <c r="C9" s="3" t="s">
        <v>161</v>
      </c>
      <c r="D9" s="4" t="s">
        <v>71</v>
      </c>
      <c r="E9" s="5" t="s">
        <v>33</v>
      </c>
      <c r="F9" s="6" t="n">
        <v>25160</v>
      </c>
      <c r="G9" s="6" t="str">
        <f aca="false">IF(E9="BC",F9," ")</f>
        <v> </v>
      </c>
      <c r="H9" s="6" t="n">
        <f aca="false">IF(E9="DR",F9," ")</f>
        <v>25160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45935</v>
      </c>
      <c r="P9" s="4" t="s">
        <v>56</v>
      </c>
      <c r="Q9" s="3" t="s">
        <v>162</v>
      </c>
      <c r="R9" s="3" t="s">
        <v>58</v>
      </c>
      <c r="S9" s="38" t="s">
        <v>34</v>
      </c>
      <c r="T9" s="6" t="n">
        <v>3000</v>
      </c>
      <c r="U9" s="6" t="str">
        <f aca="false">IF(S9="BC",T9," ")</f>
        <v> </v>
      </c>
      <c r="V9" s="6" t="n">
        <f aca="false">IF(S9="CR",T9," ")</f>
        <v>3000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45945</v>
      </c>
      <c r="P10" s="4" t="s">
        <v>115</v>
      </c>
      <c r="Q10" s="3" t="s">
        <v>163</v>
      </c>
      <c r="R10" s="3" t="s">
        <v>117</v>
      </c>
      <c r="S10" s="38" t="s">
        <v>37</v>
      </c>
      <c r="T10" s="6" t="n">
        <v>3000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n">
        <f aca="false">IF(S10="DL",T10," ")</f>
        <v>3000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45949</v>
      </c>
      <c r="P11" s="4" t="s">
        <v>61</v>
      </c>
      <c r="Q11" s="3" t="s">
        <v>164</v>
      </c>
      <c r="R11" s="3" t="s">
        <v>63</v>
      </c>
      <c r="S11" s="38" t="s">
        <v>42</v>
      </c>
      <c r="T11" s="6" t="n">
        <v>1673.2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1673.2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45955</v>
      </c>
      <c r="P12" s="4" t="s">
        <v>165</v>
      </c>
      <c r="Q12" s="3" t="s">
        <v>166</v>
      </c>
      <c r="R12" s="3" t="s">
        <v>167</v>
      </c>
      <c r="S12" s="38" t="s">
        <v>34</v>
      </c>
      <c r="T12" s="6" t="n">
        <v>36000</v>
      </c>
      <c r="U12" s="6" t="str">
        <f aca="false">IF(S12="BC",T12," ")</f>
        <v> </v>
      </c>
      <c r="V12" s="6" t="n">
        <f aca="false">IF(S12="CR",T12," ")</f>
        <v>36000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45958</v>
      </c>
      <c r="P13" s="4" t="s">
        <v>66</v>
      </c>
      <c r="Q13" s="3" t="s">
        <v>168</v>
      </c>
      <c r="R13" s="3" t="s">
        <v>68</v>
      </c>
      <c r="S13" s="38" t="s">
        <v>39</v>
      </c>
      <c r="T13" s="6" t="n">
        <v>5652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n">
        <f aca="false">IF(S13="W",T13," ")</f>
        <v>5652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45961</v>
      </c>
      <c r="P14" s="4" t="s">
        <v>72</v>
      </c>
      <c r="Q14" s="3" t="s">
        <v>169</v>
      </c>
      <c r="R14" s="3" t="s">
        <v>74</v>
      </c>
      <c r="S14" s="38" t="s">
        <v>34</v>
      </c>
      <c r="T14" s="6" t="n">
        <v>300</v>
      </c>
      <c r="U14" s="6" t="str">
        <f aca="false">IF(S14="BC",T14," ")</f>
        <v> </v>
      </c>
      <c r="V14" s="6" t="n">
        <f aca="false">IF(S14="CR",T14," ")</f>
        <v>300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O15" s="1" t="n">
        <v>45961</v>
      </c>
      <c r="P15" s="4" t="s">
        <v>75</v>
      </c>
      <c r="Q15" s="3" t="s">
        <v>170</v>
      </c>
      <c r="R15" s="3" t="s">
        <v>77</v>
      </c>
      <c r="S15" s="38" t="s">
        <v>38</v>
      </c>
      <c r="T15" s="6" t="n">
        <v>500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n">
        <f aca="false">IF(S15="X",T15," ")</f>
        <v>500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Oct!A2</f>
        <v>119952.43</v>
      </c>
      <c r="B1" s="8" t="s">
        <v>0</v>
      </c>
      <c r="C1" s="9" t="n">
        <f aca="false">Oct!C2</f>
        <v>46326</v>
      </c>
      <c r="D1" s="10" t="s">
        <v>1</v>
      </c>
      <c r="E1" s="11" t="n">
        <f aca="false">F1-SUM(G1:M1)</f>
        <v>0</v>
      </c>
      <c r="F1" s="12" t="n">
        <f aca="false">SUM(F6:F200)</f>
        <v>35320</v>
      </c>
      <c r="G1" s="12" t="n">
        <f aca="false">SUM(G6:G200)</f>
        <v>0</v>
      </c>
      <c r="H1" s="12" t="n">
        <f aca="false">SUM(H6:H200)</f>
        <v>35320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26706.7</v>
      </c>
      <c r="U1" s="12" t="n">
        <f aca="false">SUM(U6:U200)</f>
        <v>0</v>
      </c>
      <c r="V1" s="12" t="n">
        <f aca="false">SUM(V6:V200)</f>
        <v>3900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16129.7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128565.73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46356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128565.73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45981</v>
      </c>
      <c r="B6" s="2" t="s">
        <v>43</v>
      </c>
      <c r="C6" s="3" t="s">
        <v>171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45968</v>
      </c>
      <c r="P6" s="4" t="s">
        <v>61</v>
      </c>
      <c r="Q6" s="3" t="s">
        <v>172</v>
      </c>
      <c r="R6" s="3" t="s">
        <v>173</v>
      </c>
      <c r="S6" s="38" t="s">
        <v>42</v>
      </c>
      <c r="T6" s="6" t="n">
        <v>14456.5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14456.5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45986</v>
      </c>
      <c r="B7" s="2" t="s">
        <v>59</v>
      </c>
      <c r="C7" s="3" t="s">
        <v>174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45962</v>
      </c>
      <c r="P7" s="4" t="s">
        <v>46</v>
      </c>
      <c r="Q7" s="3" t="s">
        <v>175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45989</v>
      </c>
      <c r="B8" s="2" t="s">
        <v>69</v>
      </c>
      <c r="C8" s="3" t="s">
        <v>176</v>
      </c>
      <c r="D8" s="4" t="s">
        <v>71</v>
      </c>
      <c r="E8" s="5" t="s">
        <v>33</v>
      </c>
      <c r="F8" s="6" t="n">
        <v>24920</v>
      </c>
      <c r="G8" s="6" t="str">
        <f aca="false">IF(E8="BC",F8," ")</f>
        <v> </v>
      </c>
      <c r="H8" s="6" t="n">
        <f aca="false">IF(E8="DR",F8," ")</f>
        <v>24920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45962</v>
      </c>
      <c r="P8" s="4" t="s">
        <v>51</v>
      </c>
      <c r="Q8" s="3" t="s">
        <v>177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45966</v>
      </c>
      <c r="P9" s="4" t="s">
        <v>56</v>
      </c>
      <c r="Q9" s="3" t="s">
        <v>178</v>
      </c>
      <c r="R9" s="3" t="s">
        <v>58</v>
      </c>
      <c r="S9" s="38" t="s">
        <v>34</v>
      </c>
      <c r="T9" s="6" t="n">
        <v>2400</v>
      </c>
      <c r="U9" s="6" t="str">
        <f aca="false">IF(S9="BC",T9," ")</f>
        <v> </v>
      </c>
      <c r="V9" s="6" t="n">
        <f aca="false">IF(S9="CR",T9," ")</f>
        <v>2400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45980</v>
      </c>
      <c r="P10" s="4" t="s">
        <v>61</v>
      </c>
      <c r="Q10" s="3" t="s">
        <v>179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45986</v>
      </c>
      <c r="P11" s="4" t="s">
        <v>85</v>
      </c>
      <c r="Q11" s="3" t="s">
        <v>180</v>
      </c>
      <c r="R11" s="3" t="s">
        <v>87</v>
      </c>
      <c r="S11" s="38" t="s">
        <v>40</v>
      </c>
      <c r="T11" s="6" t="n">
        <v>25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25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45989</v>
      </c>
      <c r="P12" s="4" t="s">
        <v>66</v>
      </c>
      <c r="Q12" s="3" t="s">
        <v>181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45991</v>
      </c>
      <c r="P13" s="4" t="s">
        <v>72</v>
      </c>
      <c r="Q13" s="3" t="s">
        <v>182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Nov!A2</f>
        <v>128565.73</v>
      </c>
      <c r="B1" s="8" t="s">
        <v>0</v>
      </c>
      <c r="C1" s="9" t="n">
        <f aca="false">Nov!C2</f>
        <v>46356</v>
      </c>
      <c r="D1" s="10" t="s">
        <v>1</v>
      </c>
      <c r="E1" s="11" t="n">
        <f aca="false">F1-SUM(G1:M1)</f>
        <v>0</v>
      </c>
      <c r="F1" s="12" t="n">
        <f aca="false">SUM(F6:F200)</f>
        <v>32800</v>
      </c>
      <c r="G1" s="12" t="n">
        <f aca="false">SUM(G6:G200)</f>
        <v>0</v>
      </c>
      <c r="H1" s="12" t="n">
        <f aca="false">SUM(H6:H200)</f>
        <v>32800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13292.2</v>
      </c>
      <c r="U1" s="12" t="n">
        <f aca="false">SUM(U6:U200)</f>
        <v>0</v>
      </c>
      <c r="V1" s="12" t="n">
        <f aca="false">SUM(V6:V200)</f>
        <v>4200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167</v>
      </c>
      <c r="Z1" s="12" t="n">
        <f aca="false">SUM(Z6:Z200)</f>
        <v>0</v>
      </c>
      <c r="AA1" s="12" t="n">
        <f aca="false">SUM(AA6:AA200)</f>
        <v>2273.2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148073.53</v>
      </c>
      <c r="B2" s="18" t="s">
        <v>2</v>
      </c>
      <c r="C2" s="9" t="n">
        <f aca="false">[1]Admin!$B$13</f>
        <v>46387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46387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148073.53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46011</v>
      </c>
      <c r="B6" s="2" t="s">
        <v>43</v>
      </c>
      <c r="C6" s="3" t="s">
        <v>183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45992</v>
      </c>
      <c r="P6" s="4" t="s">
        <v>46</v>
      </c>
      <c r="Q6" s="3" t="s">
        <v>184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46016</v>
      </c>
      <c r="B7" s="2" t="s">
        <v>59</v>
      </c>
      <c r="C7" s="3" t="s">
        <v>185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45992</v>
      </c>
      <c r="P7" s="4" t="s">
        <v>51</v>
      </c>
      <c r="Q7" s="3" t="s">
        <v>186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46019</v>
      </c>
      <c r="B8" s="2" t="s">
        <v>69</v>
      </c>
      <c r="C8" s="3" t="s">
        <v>187</v>
      </c>
      <c r="D8" s="4" t="s">
        <v>71</v>
      </c>
      <c r="E8" s="5" t="s">
        <v>33</v>
      </c>
      <c r="F8" s="6" t="n">
        <v>22400</v>
      </c>
      <c r="G8" s="6" t="str">
        <f aca="false">IF(E8="BC",F8," ")</f>
        <v> </v>
      </c>
      <c r="H8" s="6" t="n">
        <f aca="false">IF(E8="DR",F8," ")</f>
        <v>22400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45996</v>
      </c>
      <c r="P8" s="4" t="s">
        <v>56</v>
      </c>
      <c r="Q8" s="3" t="s">
        <v>188</v>
      </c>
      <c r="R8" s="3" t="s">
        <v>58</v>
      </c>
      <c r="S8" s="38" t="s">
        <v>34</v>
      </c>
      <c r="T8" s="6" t="n">
        <v>2700</v>
      </c>
      <c r="U8" s="6" t="str">
        <f aca="false">IF(S8="BC",T8," ")</f>
        <v> </v>
      </c>
      <c r="V8" s="6" t="n">
        <f aca="false">IF(S8="CR",T8," ")</f>
        <v>2700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46010</v>
      </c>
      <c r="P9" s="4" t="s">
        <v>61</v>
      </c>
      <c r="Q9" s="3" t="s">
        <v>189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46010</v>
      </c>
      <c r="P10" s="4" t="s">
        <v>61</v>
      </c>
      <c r="Q10" s="3" t="s">
        <v>190</v>
      </c>
      <c r="R10" s="3" t="s">
        <v>120</v>
      </c>
      <c r="S10" s="38" t="s">
        <v>42</v>
      </c>
      <c r="T10" s="6" t="n">
        <v>600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600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46019</v>
      </c>
      <c r="P11" s="4" t="s">
        <v>66</v>
      </c>
      <c r="Q11" s="3" t="s">
        <v>191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46022</v>
      </c>
      <c r="P12" s="4" t="s">
        <v>100</v>
      </c>
      <c r="Q12" s="3" t="s">
        <v>192</v>
      </c>
      <c r="R12" s="3" t="s">
        <v>102</v>
      </c>
      <c r="S12" s="38" t="s">
        <v>40</v>
      </c>
      <c r="T12" s="6" t="n">
        <v>167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167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46022</v>
      </c>
      <c r="P13" s="4" t="s">
        <v>72</v>
      </c>
      <c r="Q13" s="3" t="s">
        <v>193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Dec!A2</f>
        <v>148073.53</v>
      </c>
      <c r="B1" s="8" t="s">
        <v>0</v>
      </c>
      <c r="C1" s="9" t="n">
        <f aca="false">Dec!C2</f>
        <v>46387</v>
      </c>
      <c r="D1" s="10" t="s">
        <v>1</v>
      </c>
      <c r="E1" s="11" t="n">
        <f aca="false">F1-SUM(G1:M1)</f>
        <v>0</v>
      </c>
      <c r="F1" s="12" t="n">
        <f aca="false">SUM(F6:F200)</f>
        <v>40440</v>
      </c>
      <c r="G1" s="12" t="n">
        <f aca="false">SUM(G6:G200)</f>
        <v>0</v>
      </c>
      <c r="H1" s="12" t="n">
        <f aca="false">SUM(H6:H200)</f>
        <v>35440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5000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15625.2</v>
      </c>
      <c r="U1" s="12" t="n">
        <f aca="false">SUM(U6:U200)</f>
        <v>0</v>
      </c>
      <c r="V1" s="12" t="n">
        <f aca="false">SUM(V6:V200)</f>
        <v>4000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172888.33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46418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172888.33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46037</v>
      </c>
      <c r="B6" s="2" t="s">
        <v>194</v>
      </c>
      <c r="C6" s="3" t="s">
        <v>195</v>
      </c>
      <c r="D6" s="4" t="s">
        <v>196</v>
      </c>
      <c r="E6" s="5" t="s">
        <v>37</v>
      </c>
      <c r="F6" s="6" t="n">
        <v>5000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n">
        <f aca="false">IF(E6="DL",F6," ")</f>
        <v>5000</v>
      </c>
      <c r="M6" s="6" t="str">
        <f aca="false">IF(E6="X",F6," ")</f>
        <v> </v>
      </c>
      <c r="N6" s="37"/>
      <c r="O6" s="1" t="n">
        <v>46023</v>
      </c>
      <c r="P6" s="4" t="s">
        <v>46</v>
      </c>
      <c r="Q6" s="3" t="s">
        <v>197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46042</v>
      </c>
      <c r="B7" s="2" t="s">
        <v>43</v>
      </c>
      <c r="C7" s="3" t="s">
        <v>198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46023</v>
      </c>
      <c r="P7" s="4" t="s">
        <v>51</v>
      </c>
      <c r="Q7" s="3" t="s">
        <v>199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46047</v>
      </c>
      <c r="B8" s="2" t="s">
        <v>59</v>
      </c>
      <c r="C8" s="3" t="s">
        <v>200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46027</v>
      </c>
      <c r="P8" s="4" t="s">
        <v>56</v>
      </c>
      <c r="Q8" s="3" t="s">
        <v>201</v>
      </c>
      <c r="R8" s="3" t="s">
        <v>58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46050</v>
      </c>
      <c r="B9" s="2" t="s">
        <v>69</v>
      </c>
      <c r="C9" s="3" t="s">
        <v>202</v>
      </c>
      <c r="D9" s="4" t="s">
        <v>71</v>
      </c>
      <c r="E9" s="5" t="s">
        <v>33</v>
      </c>
      <c r="F9" s="6" t="n">
        <v>25040</v>
      </c>
      <c r="G9" s="6" t="str">
        <f aca="false">IF(E9="BC",F9," ")</f>
        <v> </v>
      </c>
      <c r="H9" s="6" t="n">
        <f aca="false">IF(E9="DR",F9," ")</f>
        <v>25040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46037</v>
      </c>
      <c r="P9" s="4" t="s">
        <v>115</v>
      </c>
      <c r="Q9" s="3" t="s">
        <v>203</v>
      </c>
      <c r="R9" s="3" t="s">
        <v>117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46041</v>
      </c>
      <c r="P10" s="4" t="s">
        <v>61</v>
      </c>
      <c r="Q10" s="3" t="s">
        <v>204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46050</v>
      </c>
      <c r="P11" s="4" t="s">
        <v>66</v>
      </c>
      <c r="Q11" s="3" t="s">
        <v>205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46053</v>
      </c>
      <c r="P12" s="4" t="s">
        <v>72</v>
      </c>
      <c r="Q12" s="3" t="s">
        <v>206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46053</v>
      </c>
      <c r="P13" s="4" t="s">
        <v>75</v>
      </c>
      <c r="Q13" s="3" t="s">
        <v>207</v>
      </c>
      <c r="R13" s="3" t="s">
        <v>77</v>
      </c>
      <c r="S13" s="38" t="s">
        <v>38</v>
      </c>
      <c r="T13" s="6" t="n">
        <v>300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n">
        <f aca="false">IF(S13="X",T13," ")</f>
        <v>300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Jan!A2</f>
        <v>172888.33</v>
      </c>
      <c r="B1" s="8" t="s">
        <v>0</v>
      </c>
      <c r="C1" s="9" t="n">
        <f aca="false">Jan!C2</f>
        <v>46418</v>
      </c>
      <c r="D1" s="10" t="s">
        <v>1</v>
      </c>
      <c r="E1" s="11" t="n">
        <f aca="false">F1-SUM(G1:M1)</f>
        <v>0</v>
      </c>
      <c r="F1" s="12" t="n">
        <f aca="false">SUM(F6:F200)</f>
        <v>34360</v>
      </c>
      <c r="G1" s="12" t="n">
        <f aca="false">SUM(G6:G200)</f>
        <v>0</v>
      </c>
      <c r="H1" s="12" t="n">
        <f aca="false">SUM(H6:H200)</f>
        <v>34360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23642.7</v>
      </c>
      <c r="U1" s="12" t="n">
        <f aca="false">SUM(U6:U200)</f>
        <v>0</v>
      </c>
      <c r="V1" s="12" t="n">
        <f aca="false">SUM(V6:V200)</f>
        <v>4400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12590.7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183605.63</v>
      </c>
      <c r="B2" s="18" t="s">
        <v>2</v>
      </c>
      <c r="C2" s="9" t="n">
        <f aca="false">[1]Admin!$B$15</f>
        <v>46446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46446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183605.63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46073</v>
      </c>
      <c r="B6" s="2" t="s">
        <v>43</v>
      </c>
      <c r="C6" s="3" t="s">
        <v>208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46060</v>
      </c>
      <c r="P6" s="4" t="s">
        <v>61</v>
      </c>
      <c r="Q6" s="3" t="s">
        <v>209</v>
      </c>
      <c r="R6" s="3" t="s">
        <v>210</v>
      </c>
      <c r="S6" s="38" t="s">
        <v>42</v>
      </c>
      <c r="T6" s="6" t="n">
        <v>10917.5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10917.5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46078</v>
      </c>
      <c r="B7" s="2" t="s">
        <v>59</v>
      </c>
      <c r="C7" s="3" t="s">
        <v>211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46054</v>
      </c>
      <c r="P7" s="4" t="s">
        <v>46</v>
      </c>
      <c r="Q7" s="3" t="s">
        <v>212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46081</v>
      </c>
      <c r="B8" s="2" t="s">
        <v>69</v>
      </c>
      <c r="C8" s="3" t="s">
        <v>213</v>
      </c>
      <c r="D8" s="4" t="s">
        <v>71</v>
      </c>
      <c r="E8" s="5" t="s">
        <v>33</v>
      </c>
      <c r="F8" s="6" t="n">
        <v>23960</v>
      </c>
      <c r="G8" s="6" t="str">
        <f aca="false">IF(E8="BC",F8," ")</f>
        <v> </v>
      </c>
      <c r="H8" s="6" t="n">
        <f aca="false">IF(E8="DR",F8," ")</f>
        <v>23960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46054</v>
      </c>
      <c r="P8" s="4" t="s">
        <v>51</v>
      </c>
      <c r="Q8" s="3" t="s">
        <v>214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46058</v>
      </c>
      <c r="P9" s="4" t="s">
        <v>56</v>
      </c>
      <c r="Q9" s="3" t="s">
        <v>215</v>
      </c>
      <c r="R9" s="3" t="s">
        <v>58</v>
      </c>
      <c r="S9" s="38" t="s">
        <v>34</v>
      </c>
      <c r="T9" s="6" t="n">
        <v>2900</v>
      </c>
      <c r="U9" s="6" t="str">
        <f aca="false">IF(S9="BC",T9," ")</f>
        <v> </v>
      </c>
      <c r="V9" s="6" t="n">
        <f aca="false">IF(S9="CR",T9," ")</f>
        <v>2900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46072</v>
      </c>
      <c r="P10" s="4" t="s">
        <v>61</v>
      </c>
      <c r="Q10" s="3" t="s">
        <v>216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46081</v>
      </c>
      <c r="P11" s="4" t="s">
        <v>72</v>
      </c>
      <c r="Q11" s="3" t="s">
        <v>217</v>
      </c>
      <c r="R11" s="3" t="s">
        <v>74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46081</v>
      </c>
      <c r="P12" s="4" t="s">
        <v>66</v>
      </c>
      <c r="Q12" s="3" t="s">
        <v>218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3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Feb!A2</f>
        <v>183605.63</v>
      </c>
      <c r="B1" s="8" t="s">
        <v>0</v>
      </c>
      <c r="C1" s="9" t="n">
        <f aca="false">Feb!C2</f>
        <v>46446</v>
      </c>
      <c r="D1" s="10" t="s">
        <v>1</v>
      </c>
      <c r="E1" s="11" t="n">
        <f aca="false">F1-SUM(G1:M1)</f>
        <v>0</v>
      </c>
      <c r="F1" s="12" t="n">
        <f aca="false">SUM(F6:F200)</f>
        <v>20960</v>
      </c>
      <c r="G1" s="12" t="n">
        <f aca="false">SUM(G6:G200)</f>
        <v>0</v>
      </c>
      <c r="H1" s="12" t="n">
        <f aca="false">SUM(H6:H200)</f>
        <v>20960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23250.2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125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7000</v>
      </c>
      <c r="AC1" s="12" t="n">
        <f aca="false">SUM(AC6:AC200)</f>
        <v>5000</v>
      </c>
    </row>
    <row r="2" customFormat="false" ht="15" hidden="false" customHeight="true" outlineLevel="0" collapsed="false">
      <c r="A2" s="17" t="n">
        <f aca="false">A1+F1-T1</f>
        <v>181315.43</v>
      </c>
      <c r="B2" s="18" t="s">
        <v>2</v>
      </c>
      <c r="C2" s="9" t="n">
        <f aca="false">[1]Admin!$B$17</f>
        <v>46482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46482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181315.43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46101</v>
      </c>
      <c r="B6" s="2" t="s">
        <v>43</v>
      </c>
      <c r="C6" s="3" t="s">
        <v>219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46082</v>
      </c>
      <c r="P6" s="4" t="s">
        <v>46</v>
      </c>
      <c r="Q6" s="3" t="s">
        <v>220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46106</v>
      </c>
      <c r="B7" s="2" t="s">
        <v>59</v>
      </c>
      <c r="C7" s="3" t="s">
        <v>221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46082</v>
      </c>
      <c r="P7" s="4" t="s">
        <v>51</v>
      </c>
      <c r="Q7" s="3" t="s">
        <v>222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46109</v>
      </c>
      <c r="B8" s="2" t="s">
        <v>69</v>
      </c>
      <c r="C8" s="3" t="s">
        <v>223</v>
      </c>
      <c r="D8" s="4" t="s">
        <v>71</v>
      </c>
      <c r="E8" s="5" t="s">
        <v>33</v>
      </c>
      <c r="F8" s="6" t="n">
        <v>10560</v>
      </c>
      <c r="G8" s="6" t="str">
        <f aca="false">IF(E8="BC",F8," ")</f>
        <v> </v>
      </c>
      <c r="H8" s="6" t="n">
        <f aca="false">IF(E8="DR",F8," ")</f>
        <v>10560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46086</v>
      </c>
      <c r="P8" s="4" t="s">
        <v>56</v>
      </c>
      <c r="Q8" s="3" t="s">
        <v>224</v>
      </c>
      <c r="R8" s="3" t="s">
        <v>58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46096</v>
      </c>
      <c r="P9" s="4" t="s">
        <v>225</v>
      </c>
      <c r="Q9" s="3" t="s">
        <v>226</v>
      </c>
      <c r="R9" s="3" t="s">
        <v>227</v>
      </c>
      <c r="S9" s="38" t="s">
        <v>38</v>
      </c>
      <c r="T9" s="6" t="n">
        <v>5000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n">
        <f aca="false">IF(S9="X",T9," ")</f>
        <v>5000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46100</v>
      </c>
      <c r="P10" s="4" t="s">
        <v>61</v>
      </c>
      <c r="Q10" s="3" t="s">
        <v>228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46109</v>
      </c>
      <c r="P11" s="4" t="s">
        <v>66</v>
      </c>
      <c r="Q11" s="3" t="s">
        <v>229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46112</v>
      </c>
      <c r="P12" s="4" t="s">
        <v>100</v>
      </c>
      <c r="Q12" s="3" t="s">
        <v>230</v>
      </c>
      <c r="R12" s="3" t="s">
        <v>102</v>
      </c>
      <c r="S12" s="38" t="s">
        <v>40</v>
      </c>
      <c r="T12" s="6" t="n">
        <v>125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125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46112</v>
      </c>
      <c r="P13" s="4" t="s">
        <v>72</v>
      </c>
      <c r="Q13" s="3" t="s">
        <v>231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46112</v>
      </c>
      <c r="P14" s="4" t="s">
        <v>115</v>
      </c>
      <c r="Q14" s="3" t="s">
        <v>232</v>
      </c>
      <c r="R14" s="3" t="s">
        <v>117</v>
      </c>
      <c r="S14" s="38" t="s">
        <v>37</v>
      </c>
      <c r="T14" s="6" t="n">
        <v>6000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n">
        <f aca="false">IF(S14="DL",T14," ")</f>
        <v>6000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 Cartwright</dc:creator>
  <dc:description/>
  <dc:language>en-US</dc:language>
  <cp:lastModifiedBy>Cartwright, Antony</cp:lastModifiedBy>
  <cp:lastPrinted>2007-03-03T16:28:32Z</cp:lastPrinted>
  <dcterms:modified xsi:type="dcterms:W3CDTF">2025-04-03T22:50:29Z</dcterms:modified>
  <cp:revision>0</cp:revision>
  <dc:subject/>
  <dc:title>Self employed bank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