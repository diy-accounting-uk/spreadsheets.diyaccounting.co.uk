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<sst xmlns="http://schemas.openxmlformats.org/spreadsheetml/2006/main" count="1180" uniqueCount="236">
  <si>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</si>
  <si>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</si>
  <si>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</si>
  <si>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</si>
  <si>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</si>
  <si>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</si>
  <si>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</si>
  <si>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</si>
  <si>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</si>
  <si>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</si>
  <si>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</si>
  <si>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</si>
  <si>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</si>
  <si>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</si>
  <si>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</si>
  <si>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</si>
  <si>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</si>
  <si>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</si>
  <si>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</si>
  <si>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</si>
  <si>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</si>
  <si>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</si>
  <si>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</si>
  <si>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</si>
  <si>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</si>
  <si>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</si>
  <si>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</si>
  <si>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</si>
  <si>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</si>
  <si>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</si>
  <si>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</si>
  <si>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</si>
  <si>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</si>
  <si>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</si>
  <si>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</si>
  <si>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</si>
  <si>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</si>
  <si>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</si>
  <si>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</si>
  <si>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</si>
  <si>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</si>
  <si>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</si>
  <si>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</si>
  <si>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Acme Corp</t>
  </si>
  <si>
    <t xml:space="preserve">BNK-DR-037</t>
  </si>
  <si>
    <t xml:space="preserve">Opening debtor receipt</t>
  </si>
  <si>
    <t xml:space="preserve">WorkSpace Ltd</t>
  </si>
  <si>
    <t xml:space="preserve">BNK-CR-001</t>
  </si>
  <si>
    <t xml:space="preserve">Office rent payment</t>
  </si>
  <si>
    <t xml:space="preserve">Beta Systems</t>
  </si>
  <si>
    <t xml:space="preserve">BNK-DR-038</t>
  </si>
  <si>
    <t xml:space="preserve">Director</t>
  </si>
  <si>
    <t xml:space="preserve">BNK-DL-001</t>
  </si>
  <si>
    <t xml:space="preserve">Directors loan repayment</t>
  </si>
  <si>
    <t xml:space="preserve">BNK-DR-001</t>
  </si>
  <si>
    <t xml:space="preserve">Customer receipt</t>
  </si>
  <si>
    <t xml:space="preserve">Various suppliers</t>
  </si>
  <si>
    <t xml:space="preserve">BNK-CR-MISC-001</t>
  </si>
  <si>
    <t xml:space="preserve">Aggregate supplier payments</t>
  </si>
  <si>
    <t xml:space="preserve">TechStart Ltd</t>
  </si>
  <si>
    <t xml:space="preserve">BNK-DR-013</t>
  </si>
  <si>
    <t xml:space="preserve">HMRC</t>
  </si>
  <si>
    <t xml:space="preserve">BNK-RP-001</t>
  </si>
  <si>
    <t xml:space="preserve">Monthly PAYE/NI payment</t>
  </si>
  <si>
    <t xml:space="preserve">Gamma Ltd</t>
  </si>
  <si>
    <t xml:space="preserve">BNK-DR-039</t>
  </si>
  <si>
    <t xml:space="preserve">Payroll</t>
  </si>
  <si>
    <t xml:space="preserve">BNK-W-001</t>
  </si>
  <si>
    <t xml:space="preserve">Monthly net wages (all staff)</t>
  </si>
  <si>
    <t xml:space="preserve">Various customers</t>
  </si>
  <si>
    <t xml:space="preserve">BNK-DR-025</t>
  </si>
  <si>
    <t xml:space="preserve">Aggregate customer receipts</t>
  </si>
  <si>
    <t xml:space="preserve">Smith &amp; Co</t>
  </si>
  <si>
    <t xml:space="preserve">BNK-CR-013</t>
  </si>
  <si>
    <t xml:space="preserve">Accountancy fee payment</t>
  </si>
  <si>
    <t xml:space="preserve">Credit card payment</t>
  </si>
  <si>
    <t xml:space="preserve">BNK-X-CC-001</t>
  </si>
  <si>
    <t xml:space="preserve">Pay credit card balance</t>
  </si>
  <si>
    <t xml:space="preserve">BNK-DR-002</t>
  </si>
  <si>
    <t xml:space="preserve">BNK-CR-002</t>
  </si>
  <si>
    <t xml:space="preserve">BNK-DR-014</t>
  </si>
  <si>
    <t xml:space="preserve">BNK-DL-002</t>
  </si>
  <si>
    <t xml:space="preserve">BNK-DR-026</t>
  </si>
  <si>
    <t xml:space="preserve">BNK-CR-MISC-002</t>
  </si>
  <si>
    <t xml:space="preserve">BNK-RP-002</t>
  </si>
  <si>
    <t xml:space="preserve">HSBC</t>
  </si>
  <si>
    <t xml:space="preserve">BNK-B-001</t>
  </si>
  <si>
    <t xml:space="preserve">Bank charges</t>
  </si>
  <si>
    <t xml:space="preserve">BNK-W-002</t>
  </si>
  <si>
    <t xml:space="preserve">BNK-CR-014</t>
  </si>
  <si>
    <t xml:space="preserve">BNK-RV-VAT-000</t>
  </si>
  <si>
    <t xml:space="preserve">VAT payment, prior year fourth quarter</t>
  </si>
  <si>
    <t xml:space="preserve">BNK-DR-003</t>
  </si>
  <si>
    <t xml:space="preserve">BNK-CR-003</t>
  </si>
  <si>
    <t xml:space="preserve">BNK-DR-015</t>
  </si>
  <si>
    <t xml:space="preserve">BNK-DL-003</t>
  </si>
  <si>
    <t xml:space="preserve">BNK-DR-027</t>
  </si>
  <si>
    <t xml:space="preserve">BNK-CR-MISC-003</t>
  </si>
  <si>
    <t xml:space="preserve">Cash top-up</t>
  </si>
  <si>
    <t xml:space="preserve">BNK-BC-001</t>
  </si>
  <si>
    <t xml:space="preserve">Transfer to cash float</t>
  </si>
  <si>
    <t xml:space="preserve">BNK-RP-003</t>
  </si>
  <si>
    <t xml:space="preserve">BNK-W-003</t>
  </si>
  <si>
    <t xml:space="preserve">Directors loan interest</t>
  </si>
  <si>
    <t xml:space="preserve">BNK-B-INT-001</t>
  </si>
  <si>
    <t xml:space="preserve">Quarterly loan interest payment</t>
  </si>
  <si>
    <t xml:space="preserve">BNK-CR-015</t>
  </si>
  <si>
    <t xml:space="preserve">Close Brothers Asset Finance</t>
  </si>
  <si>
    <t xml:space="preserve">BNK-HP-INT-001</t>
  </si>
  <si>
    <t xml:space="preserve">HP-2025-01 admin charges and interest</t>
  </si>
  <si>
    <t xml:space="preserve">BNK-HP-CAP-001</t>
  </si>
  <si>
    <t xml:space="preserve">HP-2025-01 capital repayment</t>
  </si>
  <si>
    <t xml:space="preserve">BNK-DR-004</t>
  </si>
  <si>
    <t xml:space="preserve">BNK-CR-004</t>
  </si>
  <si>
    <t xml:space="preserve">BNK-DR-016</t>
  </si>
  <si>
    <t xml:space="preserve">BNK-DL-004</t>
  </si>
  <si>
    <t xml:space="preserve">BNK-DR-028</t>
  </si>
  <si>
    <t xml:space="preserve">BNK-CR-MISC-004</t>
  </si>
  <si>
    <t xml:space="preserve">Proprietor</t>
  </si>
  <si>
    <t xml:space="preserve">BNK-DV-001</t>
  </si>
  <si>
    <t xml:space="preserve">Quarterly drawings payment</t>
  </si>
  <si>
    <t xml:space="preserve">BNK-RP-004</t>
  </si>
  <si>
    <t xml:space="preserve">BNK-RC-CIS-001</t>
  </si>
  <si>
    <t xml:space="preserve">CIS deduction remittance</t>
  </si>
  <si>
    <t xml:space="preserve">BNK-W-004</t>
  </si>
  <si>
    <t xml:space="preserve">BNK-CR-016</t>
  </si>
  <si>
    <t xml:space="preserve">BNK-X-CC-002</t>
  </si>
  <si>
    <t xml:space="preserve">Innovate UK</t>
  </si>
  <si>
    <t xml:space="preserve">BNK-RV-001</t>
  </si>
  <si>
    <t xml:space="preserve">Grant received</t>
  </si>
  <si>
    <t xml:space="preserve">BNK-RV-VAT-001</t>
  </si>
  <si>
    <t xml:space="preserve">VAT payment Q1 Apr-Jun</t>
  </si>
  <si>
    <t xml:space="preserve">BNK-DR-005</t>
  </si>
  <si>
    <t xml:space="preserve">BNK-CR-005</t>
  </si>
  <si>
    <t xml:space="preserve">BNK-DR-017</t>
  </si>
  <si>
    <t xml:space="preserve">BNK-DL-005</t>
  </si>
  <si>
    <t xml:space="preserve">BNK-DR-029</t>
  </si>
  <si>
    <t xml:space="preserve">BNK-CR-MISC-005</t>
  </si>
  <si>
    <t xml:space="preserve">BNK-RP-005</t>
  </si>
  <si>
    <t xml:space="preserve">BNK-W-005</t>
  </si>
  <si>
    <t xml:space="preserve">BNK-CR-017</t>
  </si>
  <si>
    <t xml:space="preserve">BNK-DR-006</t>
  </si>
  <si>
    <t xml:space="preserve">BNK-CR-006</t>
  </si>
  <si>
    <t xml:space="preserve">BNK-DR-018</t>
  </si>
  <si>
    <t xml:space="preserve">BNK-DL-006</t>
  </si>
  <si>
    <t xml:space="preserve">BNK-DR-030</t>
  </si>
  <si>
    <t xml:space="preserve">BNK-CR-MISC-006</t>
  </si>
  <si>
    <t xml:space="preserve">BNK-RP-006</t>
  </si>
  <si>
    <t xml:space="preserve">BNK-W-006</t>
  </si>
  <si>
    <t xml:space="preserve">BNK-B-INT-002</t>
  </si>
  <si>
    <t xml:space="preserve">BNK-CR-018</t>
  </si>
  <si>
    <t xml:space="preserve">BNK-HP-INT-002</t>
  </si>
  <si>
    <t xml:space="preserve">HP-2025-02 admin charges and interest</t>
  </si>
  <si>
    <t xml:space="preserve">BNK-HP-CAP-002</t>
  </si>
  <si>
    <t xml:space="preserve">HP-2025-02 capital repayment</t>
  </si>
  <si>
    <t xml:space="preserve">Private buyer</t>
  </si>
  <si>
    <t xml:space="preserve">BNK-DR-040</t>
  </si>
  <si>
    <t xml:space="preserve">Van sale proceeds</t>
  </si>
  <si>
    <t xml:space="preserve">BNK-CR-007</t>
  </si>
  <si>
    <t xml:space="preserve">BNK-DR-007</t>
  </si>
  <si>
    <t xml:space="preserve">BNK-DL-007</t>
  </si>
  <si>
    <t xml:space="preserve">BNK-DR-019</t>
  </si>
  <si>
    <t xml:space="preserve">BNK-RT-CT-001</t>
  </si>
  <si>
    <t xml:space="preserve">Corporation Tax prior year</t>
  </si>
  <si>
    <t xml:space="preserve">BNK-DR-031</t>
  </si>
  <si>
    <t xml:space="preserve">BNK-CR-MISC-007</t>
  </si>
  <si>
    <t xml:space="preserve">BNK-DV-002</t>
  </si>
  <si>
    <t xml:space="preserve">BNK-RP-007</t>
  </si>
  <si>
    <t xml:space="preserve">Ford</t>
  </si>
  <si>
    <t xml:space="preserve">BNK-CR-FA-001</t>
  </si>
  <si>
    <t xml:space="preserve">Ford Transit Custom purchase</t>
  </si>
  <si>
    <t xml:space="preserve">BNK-W-007</t>
  </si>
  <si>
    <t xml:space="preserve">BNK-CR-019</t>
  </si>
  <si>
    <t xml:space="preserve">BNK-X-CC-003</t>
  </si>
  <si>
    <t xml:space="preserve">BNK-DR-008</t>
  </si>
  <si>
    <t xml:space="preserve">BNK-RV-VAT-002</t>
  </si>
  <si>
    <t xml:space="preserve">VAT payment Q2 Jul-Sep</t>
  </si>
  <si>
    <t xml:space="preserve">BNK-DR-020</t>
  </si>
  <si>
    <t xml:space="preserve">BNK-CR-008</t>
  </si>
  <si>
    <t xml:space="preserve">BNK-DR-032</t>
  </si>
  <si>
    <t xml:space="preserve">BNK-DL-008</t>
  </si>
  <si>
    <t xml:space="preserve">BNK-CR-MISC-008</t>
  </si>
  <si>
    <t xml:space="preserve">BNK-RP-008</t>
  </si>
  <si>
    <t xml:space="preserve">BNK-B-002</t>
  </si>
  <si>
    <t xml:space="preserve">BNK-W-008</t>
  </si>
  <si>
    <t xml:space="preserve">BNK-CR-020</t>
  </si>
  <si>
    <t xml:space="preserve">BNK-DR-009</t>
  </si>
  <si>
    <t xml:space="preserve">BNK-CR-009</t>
  </si>
  <si>
    <t xml:space="preserve">BNK-DR-021</t>
  </si>
  <si>
    <t xml:space="preserve">BNK-DL-009</t>
  </si>
  <si>
    <t xml:space="preserve">BNK-DR-033</t>
  </si>
  <si>
    <t xml:space="preserve">BNK-CR-MISC-009</t>
  </si>
  <si>
    <t xml:space="preserve">BNK-RP-009</t>
  </si>
  <si>
    <t xml:space="preserve">BNK-RC-CIS-002</t>
  </si>
  <si>
    <t xml:space="preserve">BNK-W-009</t>
  </si>
  <si>
    <t xml:space="preserve">BNK-B-INT-003</t>
  </si>
  <si>
    <t xml:space="preserve">BNK-CR-021</t>
  </si>
  <si>
    <t xml:space="preserve">Director loan</t>
  </si>
  <si>
    <t xml:space="preserve">BNK-DL-IN-001</t>
  </si>
  <si>
    <t xml:space="preserve">Directors loan advance</t>
  </si>
  <si>
    <t xml:space="preserve">BNK-CR-010</t>
  </si>
  <si>
    <t xml:space="preserve">BNK-DR-010</t>
  </si>
  <si>
    <t xml:space="preserve">BNK-DL-010</t>
  </si>
  <si>
    <t xml:space="preserve">BNK-DR-022</t>
  </si>
  <si>
    <t xml:space="preserve">BNK-CR-MISC-010</t>
  </si>
  <si>
    <t xml:space="preserve">BNK-DR-034</t>
  </si>
  <si>
    <t xml:space="preserve">BNK-DV-003</t>
  </si>
  <si>
    <t xml:space="preserve">BNK-RP-010</t>
  </si>
  <si>
    <t xml:space="preserve">BNK-W-010</t>
  </si>
  <si>
    <t xml:space="preserve">BNK-CR-022</t>
  </si>
  <si>
    <t xml:space="preserve">BNK-X-CC-004</t>
  </si>
  <si>
    <t xml:space="preserve">BNK-DR-011</t>
  </si>
  <si>
    <t xml:space="preserve">BNK-RV-VAT-003</t>
  </si>
  <si>
    <t xml:space="preserve">VAT payment Q3 Oct-Dec</t>
  </si>
  <si>
    <t xml:space="preserve">BNK-DR-023</t>
  </si>
  <si>
    <t xml:space="preserve">BNK-CR-011</t>
  </si>
  <si>
    <t xml:space="preserve">BNK-DR-035</t>
  </si>
  <si>
    <t xml:space="preserve">BNK-DL-011</t>
  </si>
  <si>
    <t xml:space="preserve">BNK-CR-MISC-011</t>
  </si>
  <si>
    <t xml:space="preserve">BNK-RP-011</t>
  </si>
  <si>
    <t xml:space="preserve">BNK-CR-023</t>
  </si>
  <si>
    <t xml:space="preserve">BNK-W-011</t>
  </si>
  <si>
    <t xml:space="preserve">BNK-DR-012</t>
  </si>
  <si>
    <t xml:space="preserve">BNK-CR-012</t>
  </si>
  <si>
    <t xml:space="preserve">BNK-DR-024</t>
  </si>
  <si>
    <t xml:space="preserve">BNK-DL-012</t>
  </si>
  <si>
    <t xml:space="preserve">BNK-DR-036</t>
  </si>
  <si>
    <t xml:space="preserve">BNK-CR-MISC-012</t>
  </si>
  <si>
    <t xml:space="preserve">Internal transfer</t>
  </si>
  <si>
    <t xml:space="preserve">BNK-X-001</t>
  </si>
  <si>
    <t xml:space="preserve">Transfer to savings account</t>
  </si>
  <si>
    <t xml:space="preserve">BNK-RP-012</t>
  </si>
  <si>
    <t xml:space="preserve">BNK-W-012</t>
  </si>
  <si>
    <t xml:space="preserve">BNK-B-INT-004</t>
  </si>
  <si>
    <t xml:space="preserve">BNK-CR-024</t>
  </si>
  <si>
    <t xml:space="preserve">BNK-DV-004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</si>
</sst>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6b0d490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F1-SUM(G1:M1)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44200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12525.2</v>
      </c>
      <c r="U1" s="12" t="n">
        <f aca="false">SUM(U6:U200)</f>
        <v>0</v>
      </c>
      <c r="V1" s="12" t="n">
        <f aca="false">SUM(V6:V200)</f>
        <v>3700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56674.8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56674.8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46122</v>
      </c>
      <c r="B6" s="2" t="s">
        <v>43</v>
      </c>
      <c r="C6" s="3" t="s">
        <v>44</v>
      </c>
      <c r="D6" s="4" t="s">
        <v>45</v>
      </c>
      <c r="E6" s="5" t="s">
        <v>33</v>
      </c>
      <c r="F6" s="6" t="n">
        <v>7200</v>
      </c>
      <c r="G6" s="6" t="str">
        <f aca="false">IF(E6="BC",F6," ")</f>
        <v> </v>
      </c>
      <c r="H6" s="6" t="n">
        <f aca="false">IF(E6="DR",F6," ")</f>
        <v>7200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46113</v>
      </c>
      <c r="P6" s="4" t="s">
        <v>46</v>
      </c>
      <c r="Q6" s="3" t="s">
        <v>47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46127</v>
      </c>
      <c r="B7" s="2" t="s">
        <v>49</v>
      </c>
      <c r="C7" s="3" t="s">
        <v>50</v>
      </c>
      <c r="D7" s="4" t="s">
        <v>45</v>
      </c>
      <c r="E7" s="5" t="s">
        <v>33</v>
      </c>
      <c r="F7" s="6" t="n">
        <v>1200</v>
      </c>
      <c r="G7" s="6" t="str">
        <f aca="false">IF(E7="BC",F7," ")</f>
        <v> </v>
      </c>
      <c r="H7" s="6" t="n">
        <f aca="false">IF(E7="DR",F7," ")</f>
        <v>1200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46113</v>
      </c>
      <c r="P7" s="4" t="s">
        <v>51</v>
      </c>
      <c r="Q7" s="3" t="s">
        <v>52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46132</v>
      </c>
      <c r="B8" s="2" t="s">
        <v>43</v>
      </c>
      <c r="C8" s="3" t="s">
        <v>54</v>
      </c>
      <c r="D8" s="4" t="s">
        <v>55</v>
      </c>
      <c r="E8" s="5" t="s">
        <v>33</v>
      </c>
      <c r="F8" s="6" t="n">
        <v>8000</v>
      </c>
      <c r="G8" s="6" t="str">
        <f aca="false">IF(E8="BC",F8," ")</f>
        <v> </v>
      </c>
      <c r="H8" s="6" t="n">
        <f aca="false">IF(E8="DR",F8," ")</f>
        <v>8000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46117</v>
      </c>
      <c r="P8" s="4" t="s">
        <v>56</v>
      </c>
      <c r="Q8" s="3" t="s">
        <v>57</v>
      </c>
      <c r="R8" s="3" t="s">
        <v>58</v>
      </c>
      <c r="S8" s="38" t="s">
        <v>34</v>
      </c>
      <c r="T8" s="6" t="n">
        <v>2200</v>
      </c>
      <c r="U8" s="6" t="str">
        <f aca="false">IF(S8="BC",T8," ")</f>
        <v> </v>
      </c>
      <c r="V8" s="6" t="n">
        <f aca="false">IF(S8="CR",T8," ")</f>
        <v>2200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46137</v>
      </c>
      <c r="B9" s="2" t="s">
        <v>59</v>
      </c>
      <c r="C9" s="3" t="s">
        <v>60</v>
      </c>
      <c r="D9" s="4" t="s">
        <v>55</v>
      </c>
      <c r="E9" s="5" t="s">
        <v>33</v>
      </c>
      <c r="F9" s="6" t="n">
        <v>2400</v>
      </c>
      <c r="G9" s="6" t="str">
        <f aca="false">IF(E9="BC",F9," ")</f>
        <v> </v>
      </c>
      <c r="H9" s="6" t="n">
        <f aca="false">IF(E9="DR",F9," ")</f>
        <v>2400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46131</v>
      </c>
      <c r="P9" s="4" t="s">
        <v>61</v>
      </c>
      <c r="Q9" s="3" t="s">
        <v>62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46137</v>
      </c>
      <c r="B10" s="2" t="s">
        <v>64</v>
      </c>
      <c r="C10" s="3" t="s">
        <v>65</v>
      </c>
      <c r="D10" s="4" t="s">
        <v>45</v>
      </c>
      <c r="E10" s="5" t="s">
        <v>33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46140</v>
      </c>
      <c r="P10" s="4" t="s">
        <v>66</v>
      </c>
      <c r="Q10" s="3" t="s">
        <v>67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46140</v>
      </c>
      <c r="B11" s="2" t="s">
        <v>69</v>
      </c>
      <c r="C11" s="3" t="s">
        <v>70</v>
      </c>
      <c r="D11" s="4" t="s">
        <v>71</v>
      </c>
      <c r="E11" s="5" t="s">
        <v>33</v>
      </c>
      <c r="F11" s="6" t="n">
        <v>23000</v>
      </c>
      <c r="G11" s="6" t="str">
        <f aca="false">IF(E11="BC",F11," ")</f>
        <v> </v>
      </c>
      <c r="H11" s="6" t="n">
        <f aca="false">IF(E11="DR",F11," ")</f>
        <v>23000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46142</v>
      </c>
      <c r="P11" s="4" t="s">
        <v>72</v>
      </c>
      <c r="Q11" s="3" t="s">
        <v>73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46142</v>
      </c>
      <c r="P12" s="4" t="s">
        <v>75</v>
      </c>
      <c r="Q12" s="3" t="s">
        <v>76</v>
      </c>
      <c r="R12" s="3" t="s">
        <v>77</v>
      </c>
      <c r="S12" s="38" t="s">
        <v>38</v>
      </c>
      <c r="T12" s="6" t="n">
        <v>500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n">
        <f aca="false">IF(S12="X",T12," ")</f>
        <v>500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Apr!A2</f>
        <v>56674.8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F1-SUM(G1:M1)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32920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14150.2</v>
      </c>
      <c r="U1" s="12" t="n">
        <f aca="false">SUM(U6:U200)</f>
        <v>0</v>
      </c>
      <c r="V1" s="12" t="n">
        <f aca="false">SUM(V6:V200)</f>
        <v>4300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3173.2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75444.6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75444.6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46162</v>
      </c>
      <c r="B6" s="2" t="s">
        <v>43</v>
      </c>
      <c r="C6" s="3" t="s">
        <v>78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46143</v>
      </c>
      <c r="P6" s="4" t="s">
        <v>46</v>
      </c>
      <c r="Q6" s="3" t="s">
        <v>79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46167</v>
      </c>
      <c r="B7" s="2" t="s">
        <v>59</v>
      </c>
      <c r="C7" s="3" t="s">
        <v>80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46143</v>
      </c>
      <c r="P7" s="4" t="s">
        <v>51</v>
      </c>
      <c r="Q7" s="3" t="s">
        <v>81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46170</v>
      </c>
      <c r="B8" s="2" t="s">
        <v>69</v>
      </c>
      <c r="C8" s="3" t="s">
        <v>82</v>
      </c>
      <c r="D8" s="4" t="s">
        <v>71</v>
      </c>
      <c r="E8" s="5" t="s">
        <v>33</v>
      </c>
      <c r="F8" s="6" t="n">
        <v>22520</v>
      </c>
      <c r="G8" s="6" t="str">
        <f aca="false">IF(E8="BC",F8," ")</f>
        <v> </v>
      </c>
      <c r="H8" s="6" t="n">
        <f aca="false">IF(E8="DR",F8," ")</f>
        <v>22520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46147</v>
      </c>
      <c r="P8" s="4" t="s">
        <v>56</v>
      </c>
      <c r="Q8" s="3" t="s">
        <v>83</v>
      </c>
      <c r="R8" s="3" t="s">
        <v>58</v>
      </c>
      <c r="S8" s="38" t="s">
        <v>34</v>
      </c>
      <c r="T8" s="6" t="n">
        <v>2800</v>
      </c>
      <c r="U8" s="6" t="str">
        <f aca="false">IF(S8="BC",T8," ")</f>
        <v> </v>
      </c>
      <c r="V8" s="6" t="n">
        <f aca="false">IF(S8="CR",T8," ")</f>
        <v>2800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46161</v>
      </c>
      <c r="P9" s="4" t="s">
        <v>61</v>
      </c>
      <c r="Q9" s="3" t="s">
        <v>84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46167</v>
      </c>
      <c r="P10" s="4" t="s">
        <v>85</v>
      </c>
      <c r="Q10" s="3" t="s">
        <v>86</v>
      </c>
      <c r="R10" s="3" t="s">
        <v>87</v>
      </c>
      <c r="S10" s="38" t="s">
        <v>40</v>
      </c>
      <c r="T10" s="6" t="n">
        <v>25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n">
        <f aca="false">IF(S10="B",T10," ")</f>
        <v>25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46170</v>
      </c>
      <c r="P11" s="4" t="s">
        <v>66</v>
      </c>
      <c r="Q11" s="3" t="s">
        <v>88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46173</v>
      </c>
      <c r="P12" s="4" t="s">
        <v>72</v>
      </c>
      <c r="Q12" s="3" t="s">
        <v>89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46149</v>
      </c>
      <c r="P13" s="4" t="s">
        <v>61</v>
      </c>
      <c r="Q13" s="3" t="s">
        <v>90</v>
      </c>
      <c r="R13" s="3" t="s">
        <v>91</v>
      </c>
      <c r="S13" s="38" t="s">
        <v>42</v>
      </c>
      <c r="T13" s="6" t="n">
        <v>1500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n">
        <f aca="false">IF(S13="RP",T13," ")</f>
        <v>1500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May!A2</f>
        <v>75444.6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F1-SUM(G1:M1)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35200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27675.2</v>
      </c>
      <c r="U1" s="12" t="n">
        <f aca="false">SUM(U6:U200)</f>
        <v>0</v>
      </c>
      <c r="V1" s="12" t="n">
        <f aca="false">SUM(V6:V200)</f>
        <v>17000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2250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100</v>
      </c>
    </row>
    <row r="2" customFormat="false" ht="15" hidden="false" customHeight="true" outlineLevel="0" collapsed="false">
      <c r="A2" s="17" t="n">
        <f aca="false">A1+F1-T1</f>
        <v>82969.4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82969.4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46193</v>
      </c>
      <c r="B6" s="2" t="s">
        <v>43</v>
      </c>
      <c r="C6" s="3" t="s">
        <v>92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46174</v>
      </c>
      <c r="P6" s="4" t="s">
        <v>46</v>
      </c>
      <c r="Q6" s="3" t="s">
        <v>93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46198</v>
      </c>
      <c r="B7" s="2" t="s">
        <v>59</v>
      </c>
      <c r="C7" s="3" t="s">
        <v>94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46174</v>
      </c>
      <c r="P7" s="4" t="s">
        <v>51</v>
      </c>
      <c r="Q7" s="3" t="s">
        <v>95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46201</v>
      </c>
      <c r="B8" s="2" t="s">
        <v>69</v>
      </c>
      <c r="C8" s="3" t="s">
        <v>96</v>
      </c>
      <c r="D8" s="4" t="s">
        <v>71</v>
      </c>
      <c r="E8" s="5" t="s">
        <v>33</v>
      </c>
      <c r="F8" s="6" t="n">
        <v>24800</v>
      </c>
      <c r="G8" s="6" t="str">
        <f aca="false">IF(E8="BC",F8," ")</f>
        <v> </v>
      </c>
      <c r="H8" s="6" t="n">
        <f aca="false">IF(E8="DR",F8," ")</f>
        <v>24800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46178</v>
      </c>
      <c r="P8" s="4" t="s">
        <v>56</v>
      </c>
      <c r="Q8" s="3" t="s">
        <v>97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46183</v>
      </c>
      <c r="P9" s="4" t="s">
        <v>98</v>
      </c>
      <c r="Q9" s="3" t="s">
        <v>99</v>
      </c>
      <c r="R9" s="3" t="s">
        <v>100</v>
      </c>
      <c r="S9" s="38" t="s">
        <v>38</v>
      </c>
      <c r="T9" s="6" t="n">
        <v>100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100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46192</v>
      </c>
      <c r="P10" s="4" t="s">
        <v>61</v>
      </c>
      <c r="Q10" s="3" t="s">
        <v>101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46201</v>
      </c>
      <c r="P11" s="4" t="s">
        <v>66</v>
      </c>
      <c r="Q11" s="3" t="s">
        <v>102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46203</v>
      </c>
      <c r="P12" s="4" t="s">
        <v>103</v>
      </c>
      <c r="Q12" s="3" t="s">
        <v>104</v>
      </c>
      <c r="R12" s="3" t="s">
        <v>105</v>
      </c>
      <c r="S12" s="38" t="s">
        <v>40</v>
      </c>
      <c r="T12" s="6" t="n">
        <v>250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250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46203</v>
      </c>
      <c r="P13" s="4" t="s">
        <v>72</v>
      </c>
      <c r="Q13" s="3" t="s">
        <v>106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46174</v>
      </c>
      <c r="P14" s="4" t="s">
        <v>107</v>
      </c>
      <c r="Q14" s="3" t="s">
        <v>108</v>
      </c>
      <c r="R14" s="3" t="s">
        <v>109</v>
      </c>
      <c r="S14" s="38" t="s">
        <v>40</v>
      </c>
      <c r="T14" s="6" t="n">
        <v>2000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n">
        <f aca="false">IF(S14="B",T14," ")</f>
        <v>2000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46174</v>
      </c>
      <c r="P15" s="4" t="s">
        <v>107</v>
      </c>
      <c r="Q15" s="3" t="s">
        <v>110</v>
      </c>
      <c r="R15" s="3" t="s">
        <v>111</v>
      </c>
      <c r="S15" s="38" t="s">
        <v>34</v>
      </c>
      <c r="T15" s="6" t="n">
        <v>13000</v>
      </c>
      <c r="U15" s="6" t="str">
        <f aca="false">IF(S15="BC",T15," ")</f>
        <v> </v>
      </c>
      <c r="V15" s="6" t="n">
        <f aca="false">IF(S15="CR",T15," ")</f>
        <v>13000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Jun!A2</f>
        <v>82969.4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16425.2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2673.2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100304.2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100304.2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46223</v>
      </c>
      <c r="B6" s="2" t="s">
        <v>43</v>
      </c>
      <c r="C6" s="3" t="s">
        <v>112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46204</v>
      </c>
      <c r="P6" s="4" t="s">
        <v>46</v>
      </c>
      <c r="Q6" s="3" t="s">
        <v>113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46228</v>
      </c>
      <c r="B7" s="2" t="s">
        <v>59</v>
      </c>
      <c r="C7" s="3" t="s">
        <v>114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46204</v>
      </c>
      <c r="P7" s="4" t="s">
        <v>51</v>
      </c>
      <c r="Q7" s="3" t="s">
        <v>115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46231</v>
      </c>
      <c r="B8" s="2" t="s">
        <v>69</v>
      </c>
      <c r="C8" s="3" t="s">
        <v>116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46208</v>
      </c>
      <c r="P8" s="4" t="s">
        <v>56</v>
      </c>
      <c r="Q8" s="3" t="s">
        <v>117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46218</v>
      </c>
      <c r="P9" s="4" t="s">
        <v>118</v>
      </c>
      <c r="Q9" s="3" t="s">
        <v>119</v>
      </c>
      <c r="R9" s="3" t="s">
        <v>120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46222</v>
      </c>
      <c r="P10" s="4" t="s">
        <v>61</v>
      </c>
      <c r="Q10" s="3" t="s">
        <v>121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46222</v>
      </c>
      <c r="P11" s="4" t="s">
        <v>61</v>
      </c>
      <c r="Q11" s="3" t="s">
        <v>122</v>
      </c>
      <c r="R11" s="3" t="s">
        <v>123</v>
      </c>
      <c r="S11" s="38" t="s">
        <v>42</v>
      </c>
      <c r="T11" s="6" t="n">
        <v>1000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1000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46231</v>
      </c>
      <c r="P12" s="4" t="s">
        <v>66</v>
      </c>
      <c r="Q12" s="3" t="s">
        <v>124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46234</v>
      </c>
      <c r="P13" s="4" t="s">
        <v>72</v>
      </c>
      <c r="Q13" s="3" t="s">
        <v>125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46234</v>
      </c>
      <c r="P14" s="4" t="s">
        <v>75</v>
      </c>
      <c r="Q14" s="3" t="s">
        <v>126</v>
      </c>
      <c r="R14" s="3" t="s">
        <v>77</v>
      </c>
      <c r="S14" s="38" t="s">
        <v>38</v>
      </c>
      <c r="T14" s="6" t="n">
        <v>300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n">
        <f aca="false">IF(S14="X",T14," ")</f>
        <v>300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Jul!A2</f>
        <v>100304.2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F1-SUM(G1:M1)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38520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26233.37</v>
      </c>
      <c r="U1" s="12" t="n">
        <f aca="false">SUM(U6:U200)</f>
        <v>0</v>
      </c>
      <c r="V1" s="12" t="n">
        <f aca="false">SUM(V6:V200)</f>
        <v>4100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15481.37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112590.83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112590.83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46239</v>
      </c>
      <c r="B6" s="2" t="s">
        <v>127</v>
      </c>
      <c r="C6" s="3" t="s">
        <v>128</v>
      </c>
      <c r="D6" s="4" t="s">
        <v>129</v>
      </c>
      <c r="E6" s="5" t="s">
        <v>33</v>
      </c>
      <c r="F6" s="6" t="n">
        <v>2500</v>
      </c>
      <c r="G6" s="6" t="str">
        <f aca="false">IF(E6="BC",F6," ")</f>
        <v> </v>
      </c>
      <c r="H6" s="6" t="n">
        <f aca="false">IF(E6="DR",F6," ")</f>
        <v>2500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46241</v>
      </c>
      <c r="P6" s="4" t="s">
        <v>61</v>
      </c>
      <c r="Q6" s="3" t="s">
        <v>130</v>
      </c>
      <c r="R6" s="3" t="s">
        <v>131</v>
      </c>
      <c r="S6" s="38" t="s">
        <v>42</v>
      </c>
      <c r="T6" s="6" t="n">
        <v>13808.17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13808.17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46254</v>
      </c>
      <c r="B7" s="2" t="s">
        <v>43</v>
      </c>
      <c r="C7" s="3" t="s">
        <v>132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46235</v>
      </c>
      <c r="P7" s="4" t="s">
        <v>46</v>
      </c>
      <c r="Q7" s="3" t="s">
        <v>133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46259</v>
      </c>
      <c r="B8" s="2" t="s">
        <v>59</v>
      </c>
      <c r="C8" s="3" t="s">
        <v>134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46235</v>
      </c>
      <c r="P8" s="4" t="s">
        <v>51</v>
      </c>
      <c r="Q8" s="3" t="s">
        <v>135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46262</v>
      </c>
      <c r="B9" s="2" t="s">
        <v>69</v>
      </c>
      <c r="C9" s="3" t="s">
        <v>136</v>
      </c>
      <c r="D9" s="4" t="s">
        <v>71</v>
      </c>
      <c r="E9" s="5" t="s">
        <v>33</v>
      </c>
      <c r="F9" s="6" t="n">
        <v>25620</v>
      </c>
      <c r="G9" s="6" t="str">
        <f aca="false">IF(E9="BC",F9," ")</f>
        <v> </v>
      </c>
      <c r="H9" s="6" t="n">
        <f aca="false">IF(E9="DR",F9," ")</f>
        <v>25620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46239</v>
      </c>
      <c r="P9" s="4" t="s">
        <v>56</v>
      </c>
      <c r="Q9" s="3" t="s">
        <v>137</v>
      </c>
      <c r="R9" s="3" t="s">
        <v>58</v>
      </c>
      <c r="S9" s="38" t="s">
        <v>34</v>
      </c>
      <c r="T9" s="6" t="n">
        <v>2600</v>
      </c>
      <c r="U9" s="6" t="str">
        <f aca="false">IF(S9="BC",T9," ")</f>
        <v> </v>
      </c>
      <c r="V9" s="6" t="n">
        <f aca="false">IF(S9="CR",T9," ")</f>
        <v>2600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46253</v>
      </c>
      <c r="P10" s="4" t="s">
        <v>61</v>
      </c>
      <c r="Q10" s="3" t="s">
        <v>138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46262</v>
      </c>
      <c r="P11" s="4" t="s">
        <v>66</v>
      </c>
      <c r="Q11" s="3" t="s">
        <v>139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46265</v>
      </c>
      <c r="P12" s="4" t="s">
        <v>72</v>
      </c>
      <c r="Q12" s="3" t="s">
        <v>140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Aug!A2</f>
        <v>112590.83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20233.2</v>
      </c>
      <c r="U1" s="12" t="n">
        <f aca="false">SUM(U6:U200)</f>
        <v>0</v>
      </c>
      <c r="V1" s="12" t="n">
        <f aca="false">SUM(V6:V200)</f>
        <v>10600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1308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126117.63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126117.63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46285</v>
      </c>
      <c r="B6" s="2" t="s">
        <v>43</v>
      </c>
      <c r="C6" s="3" t="s">
        <v>141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46266</v>
      </c>
      <c r="P6" s="4" t="s">
        <v>46</v>
      </c>
      <c r="Q6" s="3" t="s">
        <v>142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46290</v>
      </c>
      <c r="B7" s="2" t="s">
        <v>59</v>
      </c>
      <c r="C7" s="3" t="s">
        <v>143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46266</v>
      </c>
      <c r="P7" s="4" t="s">
        <v>51</v>
      </c>
      <c r="Q7" s="3" t="s">
        <v>144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46293</v>
      </c>
      <c r="B8" s="2" t="s">
        <v>69</v>
      </c>
      <c r="C8" s="3" t="s">
        <v>145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46270</v>
      </c>
      <c r="P8" s="4" t="s">
        <v>56</v>
      </c>
      <c r="Q8" s="3" t="s">
        <v>146</v>
      </c>
      <c r="R8" s="3" t="s">
        <v>58</v>
      </c>
      <c r="S8" s="38" t="s">
        <v>34</v>
      </c>
      <c r="T8" s="6" t="n">
        <v>2100</v>
      </c>
      <c r="U8" s="6" t="str">
        <f aca="false">IF(S8="BC",T8," ")</f>
        <v> </v>
      </c>
      <c r="V8" s="6" t="n">
        <f aca="false">IF(S8="CR",T8," ")</f>
        <v>2100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46284</v>
      </c>
      <c r="P9" s="4" t="s">
        <v>61</v>
      </c>
      <c r="Q9" s="3" t="s">
        <v>147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46293</v>
      </c>
      <c r="P10" s="4" t="s">
        <v>66</v>
      </c>
      <c r="Q10" s="3" t="s">
        <v>148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46295</v>
      </c>
      <c r="P11" s="4" t="s">
        <v>103</v>
      </c>
      <c r="Q11" s="3" t="s">
        <v>149</v>
      </c>
      <c r="R11" s="3" t="s">
        <v>105</v>
      </c>
      <c r="S11" s="38" t="s">
        <v>40</v>
      </c>
      <c r="T11" s="6" t="n">
        <v>208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208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46295</v>
      </c>
      <c r="P12" s="4" t="s">
        <v>72</v>
      </c>
      <c r="Q12" s="3" t="s">
        <v>150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46266</v>
      </c>
      <c r="P13" s="4" t="s">
        <v>107</v>
      </c>
      <c r="Q13" s="3" t="s">
        <v>151</v>
      </c>
      <c r="R13" s="3" t="s">
        <v>152</v>
      </c>
      <c r="S13" s="38" t="s">
        <v>40</v>
      </c>
      <c r="T13" s="6" t="n">
        <v>1100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n">
        <f aca="false">IF(S13="B",T13," ")</f>
        <v>1100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46266</v>
      </c>
      <c r="P14" s="4" t="s">
        <v>107</v>
      </c>
      <c r="Q14" s="3" t="s">
        <v>153</v>
      </c>
      <c r="R14" s="3" t="s">
        <v>154</v>
      </c>
      <c r="S14" s="38" t="s">
        <v>34</v>
      </c>
      <c r="T14" s="6" t="n">
        <v>7000</v>
      </c>
      <c r="U14" s="6" t="str">
        <f aca="false">IF(S14="BC",T14," ")</f>
        <v> </v>
      </c>
      <c r="V14" s="6" t="n">
        <f aca="false">IF(S14="CR",T14," ")</f>
        <v>7000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Sep!A2</f>
        <v>126117.63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F1-SUM(G1:M1)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50560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56825.2</v>
      </c>
      <c r="U1" s="12" t="n">
        <f aca="false">SUM(U6:U200)</f>
        <v>0</v>
      </c>
      <c r="V1" s="12" t="n">
        <f aca="false">SUM(V6:V200)</f>
        <v>40500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6173.2</v>
      </c>
      <c r="AB1" s="12" t="n">
        <f aca="false">SUM(AB6:AB200)</f>
        <v>4000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119852.43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119852.43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46310</v>
      </c>
      <c r="B6" s="2" t="s">
        <v>155</v>
      </c>
      <c r="C6" s="3" t="s">
        <v>156</v>
      </c>
      <c r="D6" s="4" t="s">
        <v>157</v>
      </c>
      <c r="E6" s="5" t="s">
        <v>33</v>
      </c>
      <c r="F6" s="6" t="n">
        <v>15000</v>
      </c>
      <c r="G6" s="6" t="str">
        <f aca="false">IF(E6="BC",F6," ")</f>
        <v> </v>
      </c>
      <c r="H6" s="6" t="n">
        <f aca="false">IF(E6="DR",F6," ")</f>
        <v>15000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46296</v>
      </c>
      <c r="P6" s="4" t="s">
        <v>46</v>
      </c>
      <c r="Q6" s="3" t="s">
        <v>158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46315</v>
      </c>
      <c r="B7" s="2" t="s">
        <v>43</v>
      </c>
      <c r="C7" s="3" t="s">
        <v>159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46296</v>
      </c>
      <c r="P7" s="4" t="s">
        <v>51</v>
      </c>
      <c r="Q7" s="3" t="s">
        <v>160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46320</v>
      </c>
      <c r="B8" s="2" t="s">
        <v>59</v>
      </c>
      <c r="C8" s="3" t="s">
        <v>161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46296</v>
      </c>
      <c r="P8" s="4" t="s">
        <v>61</v>
      </c>
      <c r="Q8" s="3" t="s">
        <v>162</v>
      </c>
      <c r="R8" s="3" t="s">
        <v>163</v>
      </c>
      <c r="S8" s="38" t="s">
        <v>42</v>
      </c>
      <c r="T8" s="6" t="n">
        <v>4500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4500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46323</v>
      </c>
      <c r="B9" s="2" t="s">
        <v>69</v>
      </c>
      <c r="C9" s="3" t="s">
        <v>164</v>
      </c>
      <c r="D9" s="4" t="s">
        <v>71</v>
      </c>
      <c r="E9" s="5" t="s">
        <v>33</v>
      </c>
      <c r="F9" s="6" t="n">
        <v>25160</v>
      </c>
      <c r="G9" s="6" t="str">
        <f aca="false">IF(E9="BC",F9," ")</f>
        <v> </v>
      </c>
      <c r="H9" s="6" t="n">
        <f aca="false">IF(E9="DR",F9," ")</f>
        <v>25160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46300</v>
      </c>
      <c r="P9" s="4" t="s">
        <v>56</v>
      </c>
      <c r="Q9" s="3" t="s">
        <v>165</v>
      </c>
      <c r="R9" s="3" t="s">
        <v>58</v>
      </c>
      <c r="S9" s="38" t="s">
        <v>34</v>
      </c>
      <c r="T9" s="6" t="n">
        <v>3000</v>
      </c>
      <c r="U9" s="6" t="str">
        <f aca="false">IF(S9="BC",T9," ")</f>
        <v> </v>
      </c>
      <c r="V9" s="6" t="n">
        <f aca="false">IF(S9="CR",T9," ")</f>
        <v>3000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46310</v>
      </c>
      <c r="P10" s="4" t="s">
        <v>118</v>
      </c>
      <c r="Q10" s="3" t="s">
        <v>166</v>
      </c>
      <c r="R10" s="3" t="s">
        <v>120</v>
      </c>
      <c r="S10" s="38" t="s">
        <v>37</v>
      </c>
      <c r="T10" s="6" t="n">
        <v>3000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n">
        <f aca="false">IF(S10="DL",T10," ")</f>
        <v>3000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46314</v>
      </c>
      <c r="P11" s="4" t="s">
        <v>61</v>
      </c>
      <c r="Q11" s="3" t="s">
        <v>167</v>
      </c>
      <c r="R11" s="3" t="s">
        <v>63</v>
      </c>
      <c r="S11" s="38" t="s">
        <v>42</v>
      </c>
      <c r="T11" s="6" t="n">
        <v>1673.2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1673.2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46320</v>
      </c>
      <c r="P12" s="4" t="s">
        <v>168</v>
      </c>
      <c r="Q12" s="3" t="s">
        <v>169</v>
      </c>
      <c r="R12" s="3" t="s">
        <v>170</v>
      </c>
      <c r="S12" s="38" t="s">
        <v>34</v>
      </c>
      <c r="T12" s="6" t="n">
        <v>36000</v>
      </c>
      <c r="U12" s="6" t="str">
        <f aca="false">IF(S12="BC",T12," ")</f>
        <v> </v>
      </c>
      <c r="V12" s="6" t="n">
        <f aca="false">IF(S12="CR",T12," ")</f>
        <v>36000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46323</v>
      </c>
      <c r="P13" s="4" t="s">
        <v>66</v>
      </c>
      <c r="Q13" s="3" t="s">
        <v>171</v>
      </c>
      <c r="R13" s="3" t="s">
        <v>68</v>
      </c>
      <c r="S13" s="38" t="s">
        <v>39</v>
      </c>
      <c r="T13" s="6" t="n">
        <v>5652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n">
        <f aca="false">IF(S13="W",T13," ")</f>
        <v>5652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46326</v>
      </c>
      <c r="P14" s="4" t="s">
        <v>72</v>
      </c>
      <c r="Q14" s="3" t="s">
        <v>172</v>
      </c>
      <c r="R14" s="3" t="s">
        <v>74</v>
      </c>
      <c r="S14" s="38" t="s">
        <v>34</v>
      </c>
      <c r="T14" s="6" t="n">
        <v>300</v>
      </c>
      <c r="U14" s="6" t="str">
        <f aca="false">IF(S14="BC",T14," ")</f>
        <v> </v>
      </c>
      <c r="V14" s="6" t="n">
        <f aca="false">IF(S14="CR",T14," ")</f>
        <v>300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46326</v>
      </c>
      <c r="P15" s="4" t="s">
        <v>75</v>
      </c>
      <c r="Q15" s="3" t="s">
        <v>173</v>
      </c>
      <c r="R15" s="3" t="s">
        <v>77</v>
      </c>
      <c r="S15" s="38" t="s">
        <v>38</v>
      </c>
      <c r="T15" s="6" t="n">
        <v>500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n">
        <f aca="false">IF(S15="X",T15," ")</f>
        <v>500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Oct!A2</f>
        <v>119852.43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F1-SUM(G1:M1)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35320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26706.7</v>
      </c>
      <c r="U1" s="12" t="n">
        <f aca="false">SUM(U6:U200)</f>
        <v>0</v>
      </c>
      <c r="V1" s="12" t="n">
        <f aca="false">SUM(V6:V200)</f>
        <v>3900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16129.7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128465.73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128465.73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46346</v>
      </c>
      <c r="B6" s="2" t="s">
        <v>43</v>
      </c>
      <c r="C6" s="3" t="s">
        <v>174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46333</v>
      </c>
      <c r="P6" s="4" t="s">
        <v>61</v>
      </c>
      <c r="Q6" s="3" t="s">
        <v>175</v>
      </c>
      <c r="R6" s="3" t="s">
        <v>176</v>
      </c>
      <c r="S6" s="38" t="s">
        <v>42</v>
      </c>
      <c r="T6" s="6" t="n">
        <v>14456.5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14456.5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46351</v>
      </c>
      <c r="B7" s="2" t="s">
        <v>59</v>
      </c>
      <c r="C7" s="3" t="s">
        <v>177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46327</v>
      </c>
      <c r="P7" s="4" t="s">
        <v>46</v>
      </c>
      <c r="Q7" s="3" t="s">
        <v>178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46354</v>
      </c>
      <c r="B8" s="2" t="s">
        <v>69</v>
      </c>
      <c r="C8" s="3" t="s">
        <v>179</v>
      </c>
      <c r="D8" s="4" t="s">
        <v>71</v>
      </c>
      <c r="E8" s="5" t="s">
        <v>33</v>
      </c>
      <c r="F8" s="6" t="n">
        <v>24920</v>
      </c>
      <c r="G8" s="6" t="str">
        <f aca="false">IF(E8="BC",F8," ")</f>
        <v> </v>
      </c>
      <c r="H8" s="6" t="n">
        <f aca="false">IF(E8="DR",F8," ")</f>
        <v>24920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46327</v>
      </c>
      <c r="P8" s="4" t="s">
        <v>51</v>
      </c>
      <c r="Q8" s="3" t="s">
        <v>180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46331</v>
      </c>
      <c r="P9" s="4" t="s">
        <v>56</v>
      </c>
      <c r="Q9" s="3" t="s">
        <v>181</v>
      </c>
      <c r="R9" s="3" t="s">
        <v>58</v>
      </c>
      <c r="S9" s="38" t="s">
        <v>34</v>
      </c>
      <c r="T9" s="6" t="n">
        <v>2400</v>
      </c>
      <c r="U9" s="6" t="str">
        <f aca="false">IF(S9="BC",T9," ")</f>
        <v> </v>
      </c>
      <c r="V9" s="6" t="n">
        <f aca="false">IF(S9="CR",T9," ")</f>
        <v>2400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46345</v>
      </c>
      <c r="P10" s="4" t="s">
        <v>61</v>
      </c>
      <c r="Q10" s="3" t="s">
        <v>182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46351</v>
      </c>
      <c r="P11" s="4" t="s">
        <v>85</v>
      </c>
      <c r="Q11" s="3" t="s">
        <v>183</v>
      </c>
      <c r="R11" s="3" t="s">
        <v>87</v>
      </c>
      <c r="S11" s="38" t="s">
        <v>40</v>
      </c>
      <c r="T11" s="6" t="n">
        <v>25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46354</v>
      </c>
      <c r="P12" s="4" t="s">
        <v>66</v>
      </c>
      <c r="Q12" s="3" t="s">
        <v>184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46356</v>
      </c>
      <c r="P13" s="4" t="s">
        <v>72</v>
      </c>
      <c r="Q13" s="3" t="s">
        <v>185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Nov!A2</f>
        <v>128465.73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F1-SUM(G1:M1)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32800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13292.2</v>
      </c>
      <c r="U1" s="12" t="n">
        <f aca="false">SUM(U6:U200)</f>
        <v>0</v>
      </c>
      <c r="V1" s="12" t="n">
        <f aca="false">SUM(V6:V200)</f>
        <v>4200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167</v>
      </c>
      <c r="Z1" s="12" t="n">
        <f aca="false">SUM(Z6:Z200)</f>
        <v>0</v>
      </c>
      <c r="AA1" s="12" t="n">
        <f aca="false">SUM(AA6:AA200)</f>
        <v>2273.2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147973.53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147973.53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46376</v>
      </c>
      <c r="B6" s="2" t="s">
        <v>43</v>
      </c>
      <c r="C6" s="3" t="s">
        <v>186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46357</v>
      </c>
      <c r="P6" s="4" t="s">
        <v>46</v>
      </c>
      <c r="Q6" s="3" t="s">
        <v>187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46381</v>
      </c>
      <c r="B7" s="2" t="s">
        <v>59</v>
      </c>
      <c r="C7" s="3" t="s">
        <v>188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46357</v>
      </c>
      <c r="P7" s="4" t="s">
        <v>51</v>
      </c>
      <c r="Q7" s="3" t="s">
        <v>189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46384</v>
      </c>
      <c r="B8" s="2" t="s">
        <v>69</v>
      </c>
      <c r="C8" s="3" t="s">
        <v>190</v>
      </c>
      <c r="D8" s="4" t="s">
        <v>71</v>
      </c>
      <c r="E8" s="5" t="s">
        <v>33</v>
      </c>
      <c r="F8" s="6" t="n">
        <v>22400</v>
      </c>
      <c r="G8" s="6" t="str">
        <f aca="false">IF(E8="BC",F8," ")</f>
        <v> </v>
      </c>
      <c r="H8" s="6" t="n">
        <f aca="false">IF(E8="DR",F8," ")</f>
        <v>22400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46361</v>
      </c>
      <c r="P8" s="4" t="s">
        <v>56</v>
      </c>
      <c r="Q8" s="3" t="s">
        <v>191</v>
      </c>
      <c r="R8" s="3" t="s">
        <v>58</v>
      </c>
      <c r="S8" s="38" t="s">
        <v>34</v>
      </c>
      <c r="T8" s="6" t="n">
        <v>2700</v>
      </c>
      <c r="U8" s="6" t="str">
        <f aca="false">IF(S8="BC",T8," ")</f>
        <v> </v>
      </c>
      <c r="V8" s="6" t="n">
        <f aca="false">IF(S8="CR",T8," ")</f>
        <v>2700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46375</v>
      </c>
      <c r="P9" s="4" t="s">
        <v>61</v>
      </c>
      <c r="Q9" s="3" t="s">
        <v>192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46375</v>
      </c>
      <c r="P10" s="4" t="s">
        <v>61</v>
      </c>
      <c r="Q10" s="3" t="s">
        <v>193</v>
      </c>
      <c r="R10" s="3" t="s">
        <v>123</v>
      </c>
      <c r="S10" s="38" t="s">
        <v>42</v>
      </c>
      <c r="T10" s="6" t="n">
        <v>600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600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46384</v>
      </c>
      <c r="P11" s="4" t="s">
        <v>66</v>
      </c>
      <c r="Q11" s="3" t="s">
        <v>194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46387</v>
      </c>
      <c r="P12" s="4" t="s">
        <v>103</v>
      </c>
      <c r="Q12" s="3" t="s">
        <v>195</v>
      </c>
      <c r="R12" s="3" t="s">
        <v>105</v>
      </c>
      <c r="S12" s="38" t="s">
        <v>40</v>
      </c>
      <c r="T12" s="6" t="n">
        <v>167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167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46387</v>
      </c>
      <c r="P13" s="4" t="s">
        <v>72</v>
      </c>
      <c r="Q13" s="3" t="s">
        <v>196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Dec!A2</f>
        <v>147973.53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F1-SUM(G1:M1)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35440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5000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15625.2</v>
      </c>
      <c r="U1" s="12" t="n">
        <f aca="false">SUM(U6:U200)</f>
        <v>0</v>
      </c>
      <c r="V1" s="12" t="n">
        <f aca="false">SUM(V6:V200)</f>
        <v>4000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172788.33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172788.33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46402</v>
      </c>
      <c r="B6" s="2" t="s">
        <v>197</v>
      </c>
      <c r="C6" s="3" t="s">
        <v>198</v>
      </c>
      <c r="D6" s="4" t="s">
        <v>199</v>
      </c>
      <c r="E6" s="5" t="s">
        <v>37</v>
      </c>
      <c r="F6" s="6" t="n">
        <v>5000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n">
        <f aca="false">IF(E6="DL",F6," ")</f>
        <v>5000</v>
      </c>
      <c r="M6" s="6" t="str">
        <f aca="false">IF(E6="X",F6," ")</f>
        <v> </v>
      </c>
      <c r="N6" s="37"/>
      <c r="O6" s="1" t="n">
        <v>46388</v>
      </c>
      <c r="P6" s="4" t="s">
        <v>46</v>
      </c>
      <c r="Q6" s="3" t="s">
        <v>200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46407</v>
      </c>
      <c r="B7" s="2" t="s">
        <v>43</v>
      </c>
      <c r="C7" s="3" t="s">
        <v>201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46388</v>
      </c>
      <c r="P7" s="4" t="s">
        <v>51</v>
      </c>
      <c r="Q7" s="3" t="s">
        <v>202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46412</v>
      </c>
      <c r="B8" s="2" t="s">
        <v>59</v>
      </c>
      <c r="C8" s="3" t="s">
        <v>203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46392</v>
      </c>
      <c r="P8" s="4" t="s">
        <v>56</v>
      </c>
      <c r="Q8" s="3" t="s">
        <v>204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46415</v>
      </c>
      <c r="B9" s="2" t="s">
        <v>69</v>
      </c>
      <c r="C9" s="3" t="s">
        <v>205</v>
      </c>
      <c r="D9" s="4" t="s">
        <v>71</v>
      </c>
      <c r="E9" s="5" t="s">
        <v>33</v>
      </c>
      <c r="F9" s="6" t="n">
        <v>25040</v>
      </c>
      <c r="G9" s="6" t="str">
        <f aca="false">IF(E9="BC",F9," ")</f>
        <v> </v>
      </c>
      <c r="H9" s="6" t="n">
        <f aca="false">IF(E9="DR",F9," ")</f>
        <v>25040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46402</v>
      </c>
      <c r="P9" s="4" t="s">
        <v>118</v>
      </c>
      <c r="Q9" s="3" t="s">
        <v>206</v>
      </c>
      <c r="R9" s="3" t="s">
        <v>120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46406</v>
      </c>
      <c r="P10" s="4" t="s">
        <v>61</v>
      </c>
      <c r="Q10" s="3" t="s">
        <v>207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46415</v>
      </c>
      <c r="P11" s="4" t="s">
        <v>66</v>
      </c>
      <c r="Q11" s="3" t="s">
        <v>208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46418</v>
      </c>
      <c r="P12" s="4" t="s">
        <v>72</v>
      </c>
      <c r="Q12" s="3" t="s">
        <v>209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46418</v>
      </c>
      <c r="P13" s="4" t="s">
        <v>75</v>
      </c>
      <c r="Q13" s="3" t="s">
        <v>210</v>
      </c>
      <c r="R13" s="3" t="s">
        <v>77</v>
      </c>
      <c r="S13" s="38" t="s">
        <v>38</v>
      </c>
      <c r="T13" s="6" t="n">
        <v>300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n">
        <f aca="false">IF(S13="X",T13," ")</f>
        <v>300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Jan!A2</f>
        <v>172788.33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F1-SUM(G1:M1)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34360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23642.7</v>
      </c>
      <c r="U1" s="12" t="n">
        <f aca="false">SUM(U6:U200)</f>
        <v>0</v>
      </c>
      <c r="V1" s="12" t="n">
        <f aca="false">SUM(V6:V200)</f>
        <v>4400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12590.7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183505.63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183505.63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46438</v>
      </c>
      <c r="B6" s="2" t="s">
        <v>43</v>
      </c>
      <c r="C6" s="3" t="s">
        <v>211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46425</v>
      </c>
      <c r="P6" s="4" t="s">
        <v>61</v>
      </c>
      <c r="Q6" s="3" t="s">
        <v>212</v>
      </c>
      <c r="R6" s="3" t="s">
        <v>213</v>
      </c>
      <c r="S6" s="38" t="s">
        <v>42</v>
      </c>
      <c r="T6" s="6" t="n">
        <v>10917.5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10917.5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46443</v>
      </c>
      <c r="B7" s="2" t="s">
        <v>59</v>
      </c>
      <c r="C7" s="3" t="s">
        <v>214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46419</v>
      </c>
      <c r="P7" s="4" t="s">
        <v>46</v>
      </c>
      <c r="Q7" s="3" t="s">
        <v>215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46446</v>
      </c>
      <c r="B8" s="2" t="s">
        <v>69</v>
      </c>
      <c r="C8" s="3" t="s">
        <v>216</v>
      </c>
      <c r="D8" s="4" t="s">
        <v>71</v>
      </c>
      <c r="E8" s="5" t="s">
        <v>33</v>
      </c>
      <c r="F8" s="6" t="n">
        <v>23960</v>
      </c>
      <c r="G8" s="6" t="str">
        <f aca="false">IF(E8="BC",F8," ")</f>
        <v> </v>
      </c>
      <c r="H8" s="6" t="n">
        <f aca="false">IF(E8="DR",F8," ")</f>
        <v>23960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46419</v>
      </c>
      <c r="P8" s="4" t="s">
        <v>51</v>
      </c>
      <c r="Q8" s="3" t="s">
        <v>217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46423</v>
      </c>
      <c r="P9" s="4" t="s">
        <v>56</v>
      </c>
      <c r="Q9" s="3" t="s">
        <v>218</v>
      </c>
      <c r="R9" s="3" t="s">
        <v>58</v>
      </c>
      <c r="S9" s="38" t="s">
        <v>34</v>
      </c>
      <c r="T9" s="6" t="n">
        <v>2900</v>
      </c>
      <c r="U9" s="6" t="str">
        <f aca="false">IF(S9="BC",T9," ")</f>
        <v> </v>
      </c>
      <c r="V9" s="6" t="n">
        <f aca="false">IF(S9="CR",T9," ")</f>
        <v>2900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46437</v>
      </c>
      <c r="P10" s="4" t="s">
        <v>61</v>
      </c>
      <c r="Q10" s="3" t="s">
        <v>219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46446</v>
      </c>
      <c r="P11" s="4" t="s">
        <v>72</v>
      </c>
      <c r="Q11" s="3" t="s">
        <v>220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46446</v>
      </c>
      <c r="P12" s="4" t="s">
        <v>66</v>
      </c>
      <c r="Q12" s="3" t="s">
        <v>221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Feb!A2</f>
        <v>183505.63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F1-SUM(G1:M1)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20960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23250.2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125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7000</v>
      </c>
      <c r="AC1" s="12" t="n">
        <f aca="false">SUM(AC6:AC200)</f>
        <v>5000</v>
      </c>
    </row>
    <row r="2" customFormat="false" ht="15" hidden="false" customHeight="true" outlineLevel="0" collapsed="false">
      <c r="A2" s="17" t="n">
        <f aca="false">A1+F1-T1</f>
        <v>181215.43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181215.43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46466</v>
      </c>
      <c r="B6" s="2" t="s">
        <v>43</v>
      </c>
      <c r="C6" s="3" t="s">
        <v>222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46447</v>
      </c>
      <c r="P6" s="4" t="s">
        <v>46</v>
      </c>
      <c r="Q6" s="3" t="s">
        <v>223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46471</v>
      </c>
      <c r="B7" s="2" t="s">
        <v>59</v>
      </c>
      <c r="C7" s="3" t="s">
        <v>224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46447</v>
      </c>
      <c r="P7" s="4" t="s">
        <v>51</v>
      </c>
      <c r="Q7" s="3" t="s">
        <v>225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46474</v>
      </c>
      <c r="B8" s="2" t="s">
        <v>69</v>
      </c>
      <c r="C8" s="3" t="s">
        <v>226</v>
      </c>
      <c r="D8" s="4" t="s">
        <v>71</v>
      </c>
      <c r="E8" s="5" t="s">
        <v>33</v>
      </c>
      <c r="F8" s="6" t="n">
        <v>10560</v>
      </c>
      <c r="G8" s="6" t="str">
        <f aca="false">IF(E8="BC",F8," ")</f>
        <v> </v>
      </c>
      <c r="H8" s="6" t="n">
        <f aca="false">IF(E8="DR",F8," ")</f>
        <v>10560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46451</v>
      </c>
      <c r="P8" s="4" t="s">
        <v>56</v>
      </c>
      <c r="Q8" s="3" t="s">
        <v>227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46461</v>
      </c>
      <c r="P9" s="4" t="s">
        <v>228</v>
      </c>
      <c r="Q9" s="3" t="s">
        <v>229</v>
      </c>
      <c r="R9" s="3" t="s">
        <v>230</v>
      </c>
      <c r="S9" s="38" t="s">
        <v>38</v>
      </c>
      <c r="T9" s="6" t="n">
        <v>5000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5000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46465</v>
      </c>
      <c r="P10" s="4" t="s">
        <v>61</v>
      </c>
      <c r="Q10" s="3" t="s">
        <v>231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46474</v>
      </c>
      <c r="P11" s="4" t="s">
        <v>66</v>
      </c>
      <c r="Q11" s="3" t="s">
        <v>232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46477</v>
      </c>
      <c r="P12" s="4" t="s">
        <v>103</v>
      </c>
      <c r="Q12" s="3" t="s">
        <v>233</v>
      </c>
      <c r="R12" s="3" t="s">
        <v>105</v>
      </c>
      <c r="S12" s="38" t="s">
        <v>40</v>
      </c>
      <c r="T12" s="6" t="n">
        <v>125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125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46477</v>
      </c>
      <c r="P13" s="4" t="s">
        <v>72</v>
      </c>
      <c r="Q13" s="3" t="s">
        <v>234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46477</v>
      </c>
      <c r="P14" s="4" t="s">
        <v>118</v>
      </c>
      <c r="Q14" s="3" t="s">
        <v>235</v>
      </c>
      <c r="R14" s="3" t="s">
        <v>120</v>
      </c>
      <c r="S14" s="38" t="s">
        <v>37</v>
      </c>
      <c r="T14" s="6" t="n">
        <v>6000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n">
        <f aca="false">IF(S14="DL",T14," ")</f>
        <v>6000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