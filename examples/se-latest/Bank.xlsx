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<sst xmlns="http://schemas.openxmlformats.org/spreadsheetml/2006/main" count="886" uniqueCount="63">
  <si>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</si>
  <si>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</si>
  <si>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</si>
  <si>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</si>
  <si>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</si>
  <si>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</si>
  <si>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</si>
  <si>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</si>
  <si>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</si>
  <si>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</si>
  <si>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</si>
  <si>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</si>
  <si>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</si>
  <si>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</si>
  <si>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</si>
  <si>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</si>
  <si>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</si>
  <si>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</si>
  <si>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</si>
  <si>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</si>
  <si>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</si>
  <si>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</si>
  <si>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</si>
  <si>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</si>
  <si>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</si>
  <si>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</si>
  <si>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</si>
  <si>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</si>
  <si>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</si>
  <si>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</si>
  <si>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</si>
  <si>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</si>
  <si>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</si>
  <si>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</si>
  <si>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</si>
  <si>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</si>
  <si>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</si>
  <si>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</si>
  <si>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</si>
  <si>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</si>
  <si>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</si>
  <si>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</si>
  <si>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</si>
  <si>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</si>
  <si>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WorkSpace Ltd</t>
  </si>
  <si>
    <t xml:space="preserve">Beta Systems</t>
  </si>
  <si>
    <t xml:space="preserve">Director</t>
  </si>
  <si>
    <t xml:space="preserve">Various suppliers</t>
  </si>
  <si>
    <t xml:space="preserve">TechStart Ltd</t>
  </si>
  <si>
    <t xml:space="preserve">HMRC</t>
  </si>
  <si>
    <t xml:space="preserve">Gamma Ltd</t>
  </si>
  <si>
    <t xml:space="preserve">Payroll</t>
  </si>
  <si>
    <t xml:space="preserve">Various customers</t>
  </si>
  <si>
    <t xml:space="preserve">Smith &amp; Co</t>
  </si>
  <si>
    <t xml:space="preserve">Credit card payment</t>
  </si>
  <si>
    <t xml:space="preserve">HSBC</t>
  </si>
  <si>
    <t xml:space="preserve">Directors loan interest</t>
  </si>
  <si>
    <t xml:space="preserve">Proprietor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</si>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</sst>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15153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4301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54047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54047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45757</v>
      </c>
      <c r="B6" s="2" t="s">
        <v>43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45748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45762</v>
      </c>
      <c r="B7" s="2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45748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45767</v>
      </c>
      <c r="B8" s="2" t="s">
        <v>43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45752</v>
      </c>
      <c r="P8" s="4" t="s">
        <v>47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45772</v>
      </c>
      <c r="B9" s="2" t="s">
        <v>48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45766</v>
      </c>
      <c r="P9" s="4" t="s">
        <v>49</v>
      </c>
      <c r="S9" s="38" t="s">
        <v>42</v>
      </c>
      <c r="T9" s="6" t="n">
        <v>1501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1501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45772</v>
      </c>
      <c r="B10" s="2" t="s">
        <v>50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45775</v>
      </c>
      <c r="P10" s="4" t="s">
        <v>51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45775</v>
      </c>
      <c r="B11" s="2" t="s">
        <v>52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45777</v>
      </c>
      <c r="P11" s="4" t="s">
        <v>53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45777</v>
      </c>
      <c r="P12" s="4" t="s">
        <v>54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46113</v>
      </c>
      <c r="P13" s="4" t="s">
        <v>49</v>
      </c>
      <c r="S13" s="38" t="s">
        <v>42</v>
      </c>
      <c r="T13" s="6" t="n">
        <v>2800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2800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54047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12478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1501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74489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74489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45797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45778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45802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45778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45805</v>
      </c>
      <c r="B8" s="2" t="s">
        <v>52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45782</v>
      </c>
      <c r="P8" s="4" t="s">
        <v>47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45796</v>
      </c>
      <c r="P9" s="4" t="s">
        <v>49</v>
      </c>
      <c r="S9" s="38" t="s">
        <v>42</v>
      </c>
      <c r="T9" s="6" t="n">
        <v>1501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1501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45802</v>
      </c>
      <c r="P10" s="4" t="s">
        <v>55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45805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45808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74489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12403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250</v>
      </c>
      <c r="Z1" s="12" t="n">
        <f aca="false">SUM(Z6:Z200)</f>
        <v>0</v>
      </c>
      <c r="AA1" s="12" t="n">
        <f aca="false">SUM(AA6:AA200)</f>
        <v>1501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97286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97286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45828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45809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45833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45809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45836</v>
      </c>
      <c r="B8" s="2" t="s">
        <v>52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45813</v>
      </c>
      <c r="P8" s="4" t="s">
        <v>47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45827</v>
      </c>
      <c r="P9" s="4" t="s">
        <v>49</v>
      </c>
      <c r="S9" s="38" t="s">
        <v>42</v>
      </c>
      <c r="T9" s="6" t="n">
        <v>1501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1501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45836</v>
      </c>
      <c r="P10" s="4" t="s">
        <v>51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45838</v>
      </c>
      <c r="P11" s="4" t="s">
        <v>56</v>
      </c>
      <c r="S11" s="38" t="s">
        <v>40</v>
      </c>
      <c r="T11" s="6" t="n">
        <v>250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250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45838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97286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20053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6301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110993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110993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45858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45839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45863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45839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45866</v>
      </c>
      <c r="B8" s="2" t="s">
        <v>52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45843</v>
      </c>
      <c r="P8" s="4" t="s">
        <v>47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45845</v>
      </c>
      <c r="P9" s="4" t="s">
        <v>49</v>
      </c>
      <c r="S9" s="38" t="s">
        <v>42</v>
      </c>
      <c r="T9" s="6" t="n">
        <v>3800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3800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45853</v>
      </c>
      <c r="P10" s="4" t="s">
        <v>57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45857</v>
      </c>
      <c r="P11" s="4" t="s">
        <v>49</v>
      </c>
      <c r="S11" s="38" t="s">
        <v>42</v>
      </c>
      <c r="T11" s="6" t="n">
        <v>1501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1501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45857</v>
      </c>
      <c r="P12" s="4" t="s">
        <v>49</v>
      </c>
      <c r="S12" s="38" t="s">
        <v>42</v>
      </c>
      <c r="T12" s="6" t="n">
        <v>1000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n">
        <f aca="false">IF(S12="RP",T12," ")</f>
        <v>1000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45866</v>
      </c>
      <c r="P13" s="4" t="s">
        <v>51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45869</v>
      </c>
      <c r="P14" s="4" t="s">
        <v>53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45869</v>
      </c>
      <c r="P15" s="4" t="s">
        <v>54</v>
      </c>
      <c r="S15" s="38" t="s">
        <v>38</v>
      </c>
      <c r="T15" s="6" t="n">
        <v>300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300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110993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36020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2500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12253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1501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137260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137260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45874</v>
      </c>
      <c r="B6" s="2" t="s">
        <v>58</v>
      </c>
      <c r="E6" s="5" t="s">
        <v>36</v>
      </c>
      <c r="F6" s="6" t="n">
        <v>2500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n">
        <f aca="false">IF(E6="RV",F6," ")</f>
        <v>2500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45870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45889</v>
      </c>
      <c r="B7" s="2" t="s">
        <v>43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45870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45894</v>
      </c>
      <c r="B8" s="2" t="s">
        <v>48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45874</v>
      </c>
      <c r="P8" s="4" t="s">
        <v>47</v>
      </c>
      <c r="S8" s="38" t="s">
        <v>34</v>
      </c>
      <c r="T8" s="6" t="n">
        <v>2600</v>
      </c>
      <c r="U8" s="6" t="str">
        <f aca="false">IF(S8="BC",T8," ")</f>
        <v> </v>
      </c>
      <c r="V8" s="6" t="n">
        <f aca="false">IF(S8="CR",T8," ")</f>
        <v>2600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45897</v>
      </c>
      <c r="B9" s="2" t="s">
        <v>52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45888</v>
      </c>
      <c r="P9" s="4" t="s">
        <v>49</v>
      </c>
      <c r="S9" s="38" t="s">
        <v>42</v>
      </c>
      <c r="T9" s="6" t="n">
        <v>1501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1501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45897</v>
      </c>
      <c r="P10" s="4" t="s">
        <v>51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45900</v>
      </c>
      <c r="P11" s="4" t="s">
        <v>53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137260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11961</v>
      </c>
      <c r="U1" s="12" t="n">
        <f aca="false">SUM(U6:U200)</f>
        <v>0</v>
      </c>
      <c r="V1" s="12" t="n">
        <f aca="false">SUM(V6:V200)</f>
        <v>3600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208</v>
      </c>
      <c r="Z1" s="12" t="n">
        <f aca="false">SUM(Z6:Z200)</f>
        <v>0</v>
      </c>
      <c r="AA1" s="12" t="n">
        <f aca="false">SUM(AA6:AA200)</f>
        <v>1501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159059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159059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45920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45901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45925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45901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45928</v>
      </c>
      <c r="B8" s="2" t="s">
        <v>52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45905</v>
      </c>
      <c r="P8" s="4" t="s">
        <v>47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45919</v>
      </c>
      <c r="P9" s="4" t="s">
        <v>49</v>
      </c>
      <c r="S9" s="38" t="s">
        <v>42</v>
      </c>
      <c r="T9" s="6" t="n">
        <v>1501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1501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45928</v>
      </c>
      <c r="P10" s="4" t="s">
        <v>51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45930</v>
      </c>
      <c r="P11" s="4" t="s">
        <v>56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45930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159059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59853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9201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149766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149766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45945</v>
      </c>
      <c r="B6" s="2" t="s">
        <v>59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45931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45950</v>
      </c>
      <c r="B7" s="2" t="s">
        <v>43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45931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45955</v>
      </c>
      <c r="B8" s="2" t="s">
        <v>48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45931</v>
      </c>
      <c r="P8" s="4" t="s">
        <v>49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45958</v>
      </c>
      <c r="B9" s="2" t="s">
        <v>52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45935</v>
      </c>
      <c r="P9" s="4" t="s">
        <v>47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45937</v>
      </c>
      <c r="P10" s="4" t="s">
        <v>49</v>
      </c>
      <c r="S10" s="38" t="s">
        <v>42</v>
      </c>
      <c r="T10" s="6" t="n">
        <v>3200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3200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45945</v>
      </c>
      <c r="P11" s="4" t="s">
        <v>57</v>
      </c>
      <c r="S11" s="38" t="s">
        <v>37</v>
      </c>
      <c r="T11" s="6" t="n">
        <v>3000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n">
        <f aca="false">IF(S11="DL",T11," ")</f>
        <v>3000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45949</v>
      </c>
      <c r="P12" s="4" t="s">
        <v>49</v>
      </c>
      <c r="S12" s="38" t="s">
        <v>42</v>
      </c>
      <c r="T12" s="6" t="n">
        <v>1501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n">
        <f aca="false">IF(S12="RP",T12," ")</f>
        <v>1501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45955</v>
      </c>
      <c r="P13" s="4" t="s">
        <v>60</v>
      </c>
      <c r="S13" s="38" t="s">
        <v>34</v>
      </c>
      <c r="T13" s="6" t="n">
        <v>36000</v>
      </c>
      <c r="U13" s="6" t="str">
        <f aca="false">IF(S13="BC",T13," ")</f>
        <v> </v>
      </c>
      <c r="V13" s="6" t="n">
        <f aca="false">IF(S13="CR",T13," ")</f>
        <v>36000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45958</v>
      </c>
      <c r="P14" s="4" t="s">
        <v>51</v>
      </c>
      <c r="S14" s="38" t="s">
        <v>39</v>
      </c>
      <c r="T14" s="6" t="n">
        <v>5652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n">
        <f aca="false">IF(S14="W",T14," ")</f>
        <v>5652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45961</v>
      </c>
      <c r="P15" s="4" t="s">
        <v>53</v>
      </c>
      <c r="S15" s="38" t="s">
        <v>34</v>
      </c>
      <c r="T15" s="6" t="n">
        <v>300</v>
      </c>
      <c r="U15" s="6" t="str">
        <f aca="false">IF(S15="BC",T15," ")</f>
        <v> </v>
      </c>
      <c r="V15" s="6" t="n">
        <f aca="false">IF(S15="CR",T15," ")</f>
        <v>300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O16" s="1" t="n">
        <v>45961</v>
      </c>
      <c r="P16" s="4" t="s">
        <v>54</v>
      </c>
      <c r="S16" s="38" t="s">
        <v>38</v>
      </c>
      <c r="T16" s="6" t="n">
        <v>500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n">
        <f aca="false">IF(S16="X",T16," ")</f>
        <v>500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149766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12078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1501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173008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173008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45981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45962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45986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45962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45989</v>
      </c>
      <c r="B8" s="2" t="s">
        <v>52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45966</v>
      </c>
      <c r="P8" s="4" t="s">
        <v>47</v>
      </c>
      <c r="S8" s="38" t="s">
        <v>34</v>
      </c>
      <c r="T8" s="6" t="n">
        <v>2400</v>
      </c>
      <c r="U8" s="6" t="str">
        <f aca="false">IF(S8="BC",T8," ")</f>
        <v> </v>
      </c>
      <c r="V8" s="6" t="n">
        <f aca="false">IF(S8="CR",T8," ")</f>
        <v>2400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45980</v>
      </c>
      <c r="P9" s="4" t="s">
        <v>49</v>
      </c>
      <c r="S9" s="38" t="s">
        <v>42</v>
      </c>
      <c r="T9" s="6" t="n">
        <v>1501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1501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45986</v>
      </c>
      <c r="P10" s="4" t="s">
        <v>55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45989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45991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173008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13120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2101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192688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192688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46011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45992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46016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45992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46019</v>
      </c>
      <c r="B8" s="2" t="s">
        <v>52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45996</v>
      </c>
      <c r="P8" s="4" t="s">
        <v>47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46010</v>
      </c>
      <c r="P9" s="4" t="s">
        <v>49</v>
      </c>
      <c r="S9" s="38" t="s">
        <v>42</v>
      </c>
      <c r="T9" s="6" t="n">
        <v>1501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1501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46010</v>
      </c>
      <c r="P10" s="4" t="s">
        <v>49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46019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46022</v>
      </c>
      <c r="P12" s="4" t="s">
        <v>56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46022</v>
      </c>
      <c r="P13" s="4" t="s">
        <v>53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192688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41940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1500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15453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1501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219175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219175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46029</v>
      </c>
      <c r="B6" s="2" t="s">
        <v>49</v>
      </c>
      <c r="E6" s="5" t="s">
        <v>36</v>
      </c>
      <c r="F6" s="6" t="n">
        <v>1500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n">
        <f aca="false">IF(E6="RV",F6," ")</f>
        <v>1500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46023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46037</v>
      </c>
      <c r="B7" s="2" t="s">
        <v>61</v>
      </c>
      <c r="E7" s="5" t="s">
        <v>37</v>
      </c>
      <c r="F7" s="6" t="n">
        <v>5000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5000</v>
      </c>
      <c r="M7" s="6" t="str">
        <f aca="false">IF(E7="X",F7," ")</f>
        <v> </v>
      </c>
      <c r="N7" s="39"/>
      <c r="O7" s="1" t="n">
        <v>46023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46042</v>
      </c>
      <c r="B8" s="2" t="s">
        <v>43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46027</v>
      </c>
      <c r="P8" s="4" t="s">
        <v>47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46047</v>
      </c>
      <c r="B9" s="2" t="s">
        <v>48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46037</v>
      </c>
      <c r="P9" s="4" t="s">
        <v>57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46050</v>
      </c>
      <c r="B10" s="2" t="s">
        <v>52</v>
      </c>
      <c r="E10" s="5" t="s">
        <v>33</v>
      </c>
      <c r="F10" s="6" t="n">
        <v>25040</v>
      </c>
      <c r="G10" s="6" t="str">
        <f aca="false">IF(E10="BC",F10," ")</f>
        <v> </v>
      </c>
      <c r="H10" s="6" t="n">
        <f aca="false">IF(E10="DR",F10," ")</f>
        <v>25040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46041</v>
      </c>
      <c r="P10" s="4" t="s">
        <v>49</v>
      </c>
      <c r="S10" s="38" t="s">
        <v>42</v>
      </c>
      <c r="T10" s="6" t="n">
        <v>1501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1501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46050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46053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46053</v>
      </c>
      <c r="P13" s="4" t="s">
        <v>54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219175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12553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1501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240982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240982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46073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46054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46078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46054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46081</v>
      </c>
      <c r="B8" s="2" t="s">
        <v>52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46058</v>
      </c>
      <c r="P8" s="4" t="s">
        <v>47</v>
      </c>
      <c r="S8" s="38" t="s">
        <v>34</v>
      </c>
      <c r="T8" s="6" t="n">
        <v>2900</v>
      </c>
      <c r="U8" s="6" t="str">
        <f aca="false">IF(S8="BC",T8," ")</f>
        <v> </v>
      </c>
      <c r="V8" s="6" t="n">
        <f aca="false">IF(S8="CR",T8," ")</f>
        <v>2900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46072</v>
      </c>
      <c r="P9" s="4" t="s">
        <v>49</v>
      </c>
      <c r="S9" s="38" t="s">
        <v>42</v>
      </c>
      <c r="T9" s="6" t="n">
        <v>1501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1501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46081</v>
      </c>
      <c r="P10" s="4" t="s">
        <v>53</v>
      </c>
      <c r="S10" s="38" t="s">
        <v>34</v>
      </c>
      <c r="T10" s="6" t="n">
        <v>300</v>
      </c>
      <c r="U10" s="6" t="str">
        <f aca="false">IF(S10="BC",T10," ")</f>
        <v> </v>
      </c>
      <c r="V10" s="6" t="n">
        <f aca="false">IF(S10="CR",T10," ")</f>
        <v>300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46081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240982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23078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1501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238864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238864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46101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46082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46106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46082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46109</v>
      </c>
      <c r="B8" s="2" t="s">
        <v>52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46086</v>
      </c>
      <c r="P8" s="4" t="s">
        <v>47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46096</v>
      </c>
      <c r="P9" s="4" t="s">
        <v>62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46100</v>
      </c>
      <c r="P10" s="4" t="s">
        <v>49</v>
      </c>
      <c r="S10" s="38" t="s">
        <v>42</v>
      </c>
      <c r="T10" s="6" t="n">
        <v>1501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1501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46109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46112</v>
      </c>
      <c r="P12" s="4" t="s">
        <v>56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46112</v>
      </c>
      <c r="P13" s="4" t="s">
        <v>53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46112</v>
      </c>
      <c r="P14" s="4" t="s">
        <v>57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