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<sst xmlns="http://schemas.openxmlformats.org/spreadsheetml/2006/main" count="894" uniqueCount="64">
  <si>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</si>
  <si>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</si>
  <si>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</si>
  <si>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</si>
  <si>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</si>
  <si>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</si>
  <si>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</si>
  <si>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</si>
  <si>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</si>
  <si>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</si>
  <si>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</si>
  <si>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</si>
  <si>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</si>
  <si>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</si>
  <si>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</si>
  <si>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</si>
  <si>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</si>
  <si>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</si>
  <si>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</si>
  <si>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</si>
  <si>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</si>
  <si>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</si>
  <si>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</si>
  <si>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</si>
  <si>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</si>
  <si>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</si>
  <si>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</si>
  <si>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</si>
  <si>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</si>
  <si>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</si>
  <si>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</si>
  <si>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</si>
  <si>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</si>
  <si>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</si>
  <si>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</si>
  <si>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</si>
  <si>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</si>
  <si>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</si>
  <si>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</si>
  <si>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</si>
  <si>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</si>
  <si>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</si>
  <si>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</si>
  <si>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</si>
  <si>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WorkSpace Ltd</t>
  </si>
  <si>
    <t xml:space="preserve">Beta Systems</t>
  </si>
  <si>
    <t xml:space="preserve">Director</t>
  </si>
  <si>
    <t xml:space="preserve">Various suppliers</t>
  </si>
  <si>
    <t xml:space="preserve">TechStart Ltd</t>
  </si>
  <si>
    <t xml:space="preserve">HMRC</t>
  </si>
  <si>
    <t xml:space="preserve">Gamma Ltd</t>
  </si>
  <si>
    <t xml:space="preserve">Payroll</t>
  </si>
  <si>
    <t xml:space="preserve">Various customers</t>
  </si>
  <si>
    <t xml:space="preserve">Smith &amp; Co</t>
  </si>
  <si>
    <t xml:space="preserve">Credit card payment</t>
  </si>
  <si>
    <t xml:space="preserve">HSBC</t>
  </si>
  <si>
    <t xml:space="preserve">Directors loan interest</t>
  </si>
  <si>
    <t xml:space="preserve">Close Brothers Asset Finance</t>
  </si>
  <si>
    <t xml:space="preserve">Proprietor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</si>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</sst>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45757</v>
      </c>
      <c r="B6" s="2" t="s">
        <v>43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45748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45762</v>
      </c>
      <c r="B7" s="2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45748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45767</v>
      </c>
      <c r="B8" s="2" t="s">
        <v>43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45752</v>
      </c>
      <c r="P8" s="4" t="s">
        <v>47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45772</v>
      </c>
      <c r="B9" s="2" t="s">
        <v>48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45766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45772</v>
      </c>
      <c r="B10" s="2" t="s">
        <v>50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45775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45775</v>
      </c>
      <c r="B11" s="2" t="s">
        <v>52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45777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45777</v>
      </c>
      <c r="P12" s="4" t="s">
        <v>54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45797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45778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45802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45778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45805</v>
      </c>
      <c r="B8" s="2" t="s">
        <v>52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45782</v>
      </c>
      <c r="P8" s="4" t="s">
        <v>47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45796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45802</v>
      </c>
      <c r="P10" s="4" t="s">
        <v>55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45805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45808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45784</v>
      </c>
      <c r="P13" s="4" t="s">
        <v>49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27575.2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83069.4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83069.4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45828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45809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45809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45836</v>
      </c>
      <c r="B8" s="2" t="s">
        <v>52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45813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45827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45836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45838</v>
      </c>
      <c r="P11" s="4" t="s">
        <v>56</v>
      </c>
      <c r="S11" s="38" t="s">
        <v>40</v>
      </c>
      <c r="T11" s="6" t="n">
        <v>250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250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45838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45809</v>
      </c>
      <c r="P13" s="4" t="s">
        <v>57</v>
      </c>
      <c r="S13" s="38" t="s">
        <v>40</v>
      </c>
      <c r="T13" s="6" t="n">
        <v>2000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2000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45809</v>
      </c>
      <c r="P14" s="4" t="s">
        <v>57</v>
      </c>
      <c r="S14" s="38" t="s">
        <v>34</v>
      </c>
      <c r="T14" s="6" t="n">
        <v>13000</v>
      </c>
      <c r="U14" s="6" t="str">
        <f aca="false">IF(S14="BC",T14," ")</f>
        <v> </v>
      </c>
      <c r="V14" s="6" t="n">
        <f aca="false">IF(S14="CR",T14," ")</f>
        <v>13000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83069.4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100404.2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100404.2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45858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45839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45863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45839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45866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45843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45853</v>
      </c>
      <c r="P9" s="4" t="s">
        <v>58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45857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45857</v>
      </c>
      <c r="P11" s="4" t="s">
        <v>49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45866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45869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45869</v>
      </c>
      <c r="P14" s="4" t="s">
        <v>54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100404.2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112690.83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112690.83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45874</v>
      </c>
      <c r="B6" s="2" t="s">
        <v>59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45876</v>
      </c>
      <c r="P6" s="4" t="s">
        <v>49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45889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45870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45894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45870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45897</v>
      </c>
      <c r="B9" s="2" t="s">
        <v>52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45874</v>
      </c>
      <c r="P9" s="4" t="s">
        <v>47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45888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45897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45900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112690.83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126217.63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126217.63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45920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45901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45925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45901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45928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45905</v>
      </c>
      <c r="P8" s="4" t="s">
        <v>47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45919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45928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45930</v>
      </c>
      <c r="P11" s="4" t="s">
        <v>56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45930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45901</v>
      </c>
      <c r="P13" s="4" t="s">
        <v>57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45901</v>
      </c>
      <c r="P14" s="4" t="s">
        <v>57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126217.63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119952.43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119952.43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45945</v>
      </c>
      <c r="B6" s="2" t="s">
        <v>60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45931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45950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45931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45955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45931</v>
      </c>
      <c r="P8" s="4" t="s">
        <v>49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45958</v>
      </c>
      <c r="B9" s="2" t="s">
        <v>52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45935</v>
      </c>
      <c r="P9" s="4" t="s">
        <v>47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45945</v>
      </c>
      <c r="P10" s="4" t="s">
        <v>58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45949</v>
      </c>
      <c r="P11" s="4" t="s">
        <v>49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45955</v>
      </c>
      <c r="P12" s="4" t="s">
        <v>61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45958</v>
      </c>
      <c r="P13" s="4" t="s">
        <v>51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45961</v>
      </c>
      <c r="P14" s="4" t="s">
        <v>53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45961</v>
      </c>
      <c r="P15" s="4" t="s">
        <v>54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119952.43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128565.73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128565.73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45981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45968</v>
      </c>
      <c r="P6" s="4" t="s">
        <v>49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45986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45962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45989</v>
      </c>
      <c r="B8" s="2" t="s">
        <v>52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45962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45966</v>
      </c>
      <c r="P9" s="4" t="s">
        <v>47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45980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45986</v>
      </c>
      <c r="P11" s="4" t="s">
        <v>55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45989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45991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128565.73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148073.53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148073.53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46011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45992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46016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45992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46019</v>
      </c>
      <c r="B8" s="2" t="s">
        <v>52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45996</v>
      </c>
      <c r="P8" s="4" t="s">
        <v>47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46010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46010</v>
      </c>
      <c r="P10" s="4" t="s">
        <v>49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46019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46022</v>
      </c>
      <c r="P12" s="4" t="s">
        <v>56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46022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148073.53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172888.33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172888.33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46037</v>
      </c>
      <c r="B6" s="2" t="s">
        <v>62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46023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46042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46023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46047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46027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46050</v>
      </c>
      <c r="B9" s="2" t="s">
        <v>52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46037</v>
      </c>
      <c r="P9" s="4" t="s">
        <v>58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46041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46050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46053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46053</v>
      </c>
      <c r="P13" s="4" t="s">
        <v>54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172888.33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183605.63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183605.63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46073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46060</v>
      </c>
      <c r="P6" s="4" t="s">
        <v>49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46078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46054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46081</v>
      </c>
      <c r="B8" s="2" t="s">
        <v>52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46054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46058</v>
      </c>
      <c r="P9" s="4" t="s">
        <v>47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46072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46081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46081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183605.63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181315.43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181315.43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46101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46082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46106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46082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46109</v>
      </c>
      <c r="B8" s="2" t="s">
        <v>52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46086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46096</v>
      </c>
      <c r="P9" s="4" t="s">
        <v>63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46100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46109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46112</v>
      </c>
      <c r="P12" s="4" t="s">
        <v>56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46112</v>
      </c>
      <c r="P14" s="4" t="s">
        <v>58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