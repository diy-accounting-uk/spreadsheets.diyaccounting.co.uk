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<sst xmlns="http://schemas.openxmlformats.org/spreadsheetml/2006/main" count="886" uniqueCount="63">
  <si>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</si>
  <si>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</si>
  <si>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</si>
  <si>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</si>
  <si>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</si>
  <si>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</si>
  <si>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</si>
  <si>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</si>
  <si>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</si>
  <si>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</si>
  <si>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</si>
  <si>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</si>
  <si>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</si>
  <si>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</si>
  <si>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</si>
  <si>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</si>
  <si>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</si>
  <si>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</si>
  <si>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</si>
  <si>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</si>
  <si>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</si>
  <si>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</si>
  <si>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</si>
  <si>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</si>
  <si>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</si>
  <si>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</si>
  <si>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</si>
  <si>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</si>
  <si>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</si>
  <si>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</si>
  <si>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</si>
  <si>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</si>
  <si>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</si>
  <si>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</si>
  <si>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</si>
  <si>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</si>
  <si>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</si>
  <si>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</si>
  <si>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</si>
  <si>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</si>
  <si>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</si>
  <si>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</si>
  <si>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</si>
  <si>
    <t xml:space="preserve">Acme Corp</t>
  </si>
  <si>
    <t xml:space="preserve">WorkSpace Ltd</t>
  </si>
  <si>
    <t xml:space="preserve">Beta Systems</t>
  </si>
  <si>
    <t xml:space="preserve">Director</t>
  </si>
  <si>
    <t xml:space="preserve">Various suppliers</t>
  </si>
  <si>
    <t xml:space="preserve">TechStart Ltd</t>
  </si>
  <si>
    <t xml:space="preserve">HMRC</t>
  </si>
  <si>
    <t xml:space="preserve">Gamma Ltd</t>
  </si>
  <si>
    <t xml:space="preserve">Payroll</t>
  </si>
  <si>
    <t xml:space="preserve">Various customers</t>
  </si>
  <si>
    <t xml:space="preserve">Smith &amp; Co</t>
  </si>
  <si>
    <t xml:space="preserve">Credit card payment</t>
  </si>
  <si>
    <t xml:space="preserve">HSBC</t>
  </si>
  <si>
    <t xml:space="preserve">Directors loan interest</t>
  </si>
  <si>
    <t xml:space="preserve">Proprietor</t>
  </si>
  <si>
    <t xml:space="preserve">Innovate UK</t>
  </si>
  <si>
    <t xml:space="preserve">Private buyer</t>
  </si>
  <si>
    <t xml:space="preserve">Ford</t>
  </si>
  <si>
    <t xml:space="preserve">Director loan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</si>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</sst>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F1-SUM(G1:M1)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44200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12525.2</v>
      </c>
      <c r="U1" s="12" t="n">
        <f aca="false">SUM(U6:U200)</f>
        <v>0</v>
      </c>
      <c r="V1" s="12" t="n">
        <f aca="false">SUM(V6:V200)</f>
        <v>3700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56674.8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56674.8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45757</v>
      </c>
      <c r="B6" s="2" t="s">
        <v>43</v>
      </c>
      <c r="E6" s="5" t="s">
        <v>33</v>
      </c>
      <c r="F6" s="6" t="n">
        <v>7200</v>
      </c>
      <c r="G6" s="6" t="str">
        <f aca="false">IF(E6="BC",F6," ")</f>
        <v> </v>
      </c>
      <c r="H6" s="6" t="n">
        <f aca="false">IF(E6="DR",F6," ")</f>
        <v>7200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45748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45762</v>
      </c>
      <c r="B7" s="2" t="s">
        <v>45</v>
      </c>
      <c r="E7" s="5" t="s">
        <v>33</v>
      </c>
      <c r="F7" s="6" t="n">
        <v>1200</v>
      </c>
      <c r="G7" s="6" t="str">
        <f aca="false">IF(E7="BC",F7," ")</f>
        <v> </v>
      </c>
      <c r="H7" s="6" t="n">
        <f aca="false">IF(E7="DR",F7," ")</f>
        <v>1200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45748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45767</v>
      </c>
      <c r="B8" s="2" t="s">
        <v>43</v>
      </c>
      <c r="E8" s="5" t="s">
        <v>33</v>
      </c>
      <c r="F8" s="6" t="n">
        <v>8000</v>
      </c>
      <c r="G8" s="6" t="str">
        <f aca="false">IF(E8="BC",F8," ")</f>
        <v> </v>
      </c>
      <c r="H8" s="6" t="n">
        <f aca="false">IF(E8="DR",F8," ")</f>
        <v>8000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45752</v>
      </c>
      <c r="P8" s="4" t="s">
        <v>47</v>
      </c>
      <c r="S8" s="38" t="s">
        <v>34</v>
      </c>
      <c r="T8" s="6" t="n">
        <v>2200</v>
      </c>
      <c r="U8" s="6" t="str">
        <f aca="false">IF(S8="BC",T8," ")</f>
        <v> </v>
      </c>
      <c r="V8" s="6" t="n">
        <f aca="false">IF(S8="CR",T8," ")</f>
        <v>2200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45772</v>
      </c>
      <c r="B9" s="2" t="s">
        <v>48</v>
      </c>
      <c r="E9" s="5" t="s">
        <v>33</v>
      </c>
      <c r="F9" s="6" t="n">
        <v>2400</v>
      </c>
      <c r="G9" s="6" t="str">
        <f aca="false">IF(E9="BC",F9," ")</f>
        <v> </v>
      </c>
      <c r="H9" s="6" t="n">
        <f aca="false">IF(E9="DR",F9," ")</f>
        <v>2400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45766</v>
      </c>
      <c r="P9" s="4" t="s">
        <v>49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45772</v>
      </c>
      <c r="B10" s="2" t="s">
        <v>50</v>
      </c>
      <c r="E10" s="5" t="s">
        <v>33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45775</v>
      </c>
      <c r="P10" s="4" t="s">
        <v>51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45775</v>
      </c>
      <c r="B11" s="2" t="s">
        <v>52</v>
      </c>
      <c r="E11" s="5" t="s">
        <v>33</v>
      </c>
      <c r="F11" s="6" t="n">
        <v>23000</v>
      </c>
      <c r="G11" s="6" t="str">
        <f aca="false">IF(E11="BC",F11," ")</f>
        <v> </v>
      </c>
      <c r="H11" s="6" t="n">
        <f aca="false">IF(E11="DR",F11," ")</f>
        <v>23000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45777</v>
      </c>
      <c r="P11" s="4" t="s">
        <v>53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45777</v>
      </c>
      <c r="P12" s="4" t="s">
        <v>54</v>
      </c>
      <c r="S12" s="38" t="s">
        <v>38</v>
      </c>
      <c r="T12" s="6" t="n">
        <v>500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n">
        <f aca="false">IF(S12="X",T12," ")</f>
        <v>500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Apr!A2</f>
        <v>56674.8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F1-SUM(G1:M1)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32920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14150.2</v>
      </c>
      <c r="U1" s="12" t="n">
        <f aca="false">SUM(U6:U200)</f>
        <v>0</v>
      </c>
      <c r="V1" s="12" t="n">
        <f aca="false">SUM(V6:V200)</f>
        <v>4300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3173.2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75444.6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75444.6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45797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45778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45802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45778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45805</v>
      </c>
      <c r="B8" s="2" t="s">
        <v>52</v>
      </c>
      <c r="E8" s="5" t="s">
        <v>33</v>
      </c>
      <c r="F8" s="6" t="n">
        <v>22520</v>
      </c>
      <c r="G8" s="6" t="str">
        <f aca="false">IF(E8="BC",F8," ")</f>
        <v> </v>
      </c>
      <c r="H8" s="6" t="n">
        <f aca="false">IF(E8="DR",F8," ")</f>
        <v>22520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45782</v>
      </c>
      <c r="P8" s="4" t="s">
        <v>47</v>
      </c>
      <c r="S8" s="38" t="s">
        <v>34</v>
      </c>
      <c r="T8" s="6" t="n">
        <v>2800</v>
      </c>
      <c r="U8" s="6" t="str">
        <f aca="false">IF(S8="BC",T8," ")</f>
        <v> </v>
      </c>
      <c r="V8" s="6" t="n">
        <f aca="false">IF(S8="CR",T8," ")</f>
        <v>2800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45796</v>
      </c>
      <c r="P9" s="4" t="s">
        <v>49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45802</v>
      </c>
      <c r="P10" s="4" t="s">
        <v>55</v>
      </c>
      <c r="S10" s="38" t="s">
        <v>40</v>
      </c>
      <c r="T10" s="6" t="n">
        <v>25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n">
        <f aca="false">IF(S10="B",T10," ")</f>
        <v>25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45805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45808</v>
      </c>
      <c r="P12" s="4" t="s">
        <v>53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45784</v>
      </c>
      <c r="P13" s="4" t="s">
        <v>49</v>
      </c>
      <c r="S13" s="38" t="s">
        <v>42</v>
      </c>
      <c r="T13" s="6" t="n">
        <v>1500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n">
        <f aca="false">IF(S13="RP",T13," ")</f>
        <v>1500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May!A2</f>
        <v>75444.6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F1-SUM(G1:M1)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35200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12575.2</v>
      </c>
      <c r="U1" s="12" t="n">
        <f aca="false">SUM(U6:U200)</f>
        <v>0</v>
      </c>
      <c r="V1" s="12" t="n">
        <f aca="false">SUM(V6:V200)</f>
        <v>4000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98069.4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98069.4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45828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45809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45833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45809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45836</v>
      </c>
      <c r="B8" s="2" t="s">
        <v>52</v>
      </c>
      <c r="E8" s="5" t="s">
        <v>33</v>
      </c>
      <c r="F8" s="6" t="n">
        <v>24800</v>
      </c>
      <c r="G8" s="6" t="str">
        <f aca="false">IF(E8="BC",F8," ")</f>
        <v> </v>
      </c>
      <c r="H8" s="6" t="n">
        <f aca="false">IF(E8="DR",F8," ")</f>
        <v>24800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45813</v>
      </c>
      <c r="P8" s="4" t="s">
        <v>47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45827</v>
      </c>
      <c r="P9" s="4" t="s">
        <v>49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45836</v>
      </c>
      <c r="P10" s="4" t="s">
        <v>51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45838</v>
      </c>
      <c r="P11" s="4" t="s">
        <v>56</v>
      </c>
      <c r="S11" s="38" t="s">
        <v>40</v>
      </c>
      <c r="T11" s="6" t="n">
        <v>250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250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45838</v>
      </c>
      <c r="P12" s="4" t="s">
        <v>53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Jun!A2</f>
        <v>98069.4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16425.2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2673.2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115404.2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115404.2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45858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45839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45863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45839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45866</v>
      </c>
      <c r="B8" s="2" t="s">
        <v>52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45843</v>
      </c>
      <c r="P8" s="4" t="s">
        <v>47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45853</v>
      </c>
      <c r="P9" s="4" t="s">
        <v>57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45857</v>
      </c>
      <c r="P10" s="4" t="s">
        <v>49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45857</v>
      </c>
      <c r="P11" s="4" t="s">
        <v>49</v>
      </c>
      <c r="S11" s="38" t="s">
        <v>42</v>
      </c>
      <c r="T11" s="6" t="n">
        <v>1000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1000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45866</v>
      </c>
      <c r="P12" s="4" t="s">
        <v>51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45869</v>
      </c>
      <c r="P13" s="4" t="s">
        <v>53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45869</v>
      </c>
      <c r="P14" s="4" t="s">
        <v>54</v>
      </c>
      <c r="S14" s="38" t="s">
        <v>38</v>
      </c>
      <c r="T14" s="6" t="n">
        <v>300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n">
        <f aca="false">IF(S14="X",T14," ")</f>
        <v>300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Jul!A2</f>
        <v>115404.2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F1-SUM(G1:M1)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36020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2500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26233.37</v>
      </c>
      <c r="U1" s="12" t="n">
        <f aca="false">SUM(U6:U200)</f>
        <v>0</v>
      </c>
      <c r="V1" s="12" t="n">
        <f aca="false">SUM(V6:V200)</f>
        <v>4100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15481.37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127690.83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127690.83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45874</v>
      </c>
      <c r="B6" s="2" t="s">
        <v>58</v>
      </c>
      <c r="E6" s="5" t="s">
        <v>36</v>
      </c>
      <c r="F6" s="6" t="n">
        <v>2500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n">
        <f aca="false">IF(E6="RV",F6," ")</f>
        <v>2500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45876</v>
      </c>
      <c r="P6" s="4" t="s">
        <v>49</v>
      </c>
      <c r="S6" s="38" t="s">
        <v>42</v>
      </c>
      <c r="T6" s="6" t="n">
        <v>13808.17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13808.17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45889</v>
      </c>
      <c r="B7" s="2" t="s">
        <v>43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45870</v>
      </c>
      <c r="P7" s="4" t="s">
        <v>44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45894</v>
      </c>
      <c r="B8" s="2" t="s">
        <v>48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45870</v>
      </c>
      <c r="P8" s="4" t="s">
        <v>46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45897</v>
      </c>
      <c r="B9" s="2" t="s">
        <v>52</v>
      </c>
      <c r="E9" s="5" t="s">
        <v>33</v>
      </c>
      <c r="F9" s="6" t="n">
        <v>25620</v>
      </c>
      <c r="G9" s="6" t="str">
        <f aca="false">IF(E9="BC",F9," ")</f>
        <v> </v>
      </c>
      <c r="H9" s="6" t="n">
        <f aca="false">IF(E9="DR",F9," ")</f>
        <v>25620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45874</v>
      </c>
      <c r="P9" s="4" t="s">
        <v>47</v>
      </c>
      <c r="S9" s="38" t="s">
        <v>34</v>
      </c>
      <c r="T9" s="6" t="n">
        <v>2600</v>
      </c>
      <c r="U9" s="6" t="str">
        <f aca="false">IF(S9="BC",T9," ")</f>
        <v> </v>
      </c>
      <c r="V9" s="6" t="n">
        <f aca="false">IF(S9="CR",T9," ")</f>
        <v>2600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45888</v>
      </c>
      <c r="P10" s="4" t="s">
        <v>49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45897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45900</v>
      </c>
      <c r="P12" s="4" t="s">
        <v>53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Aug!A2</f>
        <v>127690.83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12133.2</v>
      </c>
      <c r="U1" s="12" t="n">
        <f aca="false">SUM(U6:U200)</f>
        <v>0</v>
      </c>
      <c r="V1" s="12" t="n">
        <f aca="false">SUM(V6:V200)</f>
        <v>3600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208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149317.63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149317.63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45920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45901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45925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45901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45928</v>
      </c>
      <c r="B8" s="2" t="s">
        <v>52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45905</v>
      </c>
      <c r="P8" s="4" t="s">
        <v>47</v>
      </c>
      <c r="S8" s="38" t="s">
        <v>34</v>
      </c>
      <c r="T8" s="6" t="n">
        <v>2100</v>
      </c>
      <c r="U8" s="6" t="str">
        <f aca="false">IF(S8="BC",T8," ")</f>
        <v> </v>
      </c>
      <c r="V8" s="6" t="n">
        <f aca="false">IF(S8="CR",T8," ")</f>
        <v>2100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45919</v>
      </c>
      <c r="P9" s="4" t="s">
        <v>49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45928</v>
      </c>
      <c r="P10" s="4" t="s">
        <v>51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45930</v>
      </c>
      <c r="P11" s="4" t="s">
        <v>56</v>
      </c>
      <c r="S11" s="38" t="s">
        <v>40</v>
      </c>
      <c r="T11" s="6" t="n">
        <v>208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208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45930</v>
      </c>
      <c r="P12" s="4" t="s">
        <v>53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Sep!A2</f>
        <v>149317.63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F1-SUM(G1:M1)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50560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56825.2</v>
      </c>
      <c r="U1" s="12" t="n">
        <f aca="false">SUM(U6:U200)</f>
        <v>0</v>
      </c>
      <c r="V1" s="12" t="n">
        <f aca="false">SUM(V6:V200)</f>
        <v>40500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6173.2</v>
      </c>
      <c r="AB1" s="12" t="n">
        <f aca="false">SUM(AB6:AB200)</f>
        <v>4000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143052.43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143052.43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45945</v>
      </c>
      <c r="B6" s="2" t="s">
        <v>59</v>
      </c>
      <c r="E6" s="5" t="s">
        <v>33</v>
      </c>
      <c r="F6" s="6" t="n">
        <v>15000</v>
      </c>
      <c r="G6" s="6" t="str">
        <f aca="false">IF(E6="BC",F6," ")</f>
        <v> </v>
      </c>
      <c r="H6" s="6" t="n">
        <f aca="false">IF(E6="DR",F6," ")</f>
        <v>15000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45931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45950</v>
      </c>
      <c r="B7" s="2" t="s">
        <v>43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45931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45955</v>
      </c>
      <c r="B8" s="2" t="s">
        <v>48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45931</v>
      </c>
      <c r="P8" s="4" t="s">
        <v>49</v>
      </c>
      <c r="S8" s="38" t="s">
        <v>42</v>
      </c>
      <c r="T8" s="6" t="n">
        <v>4500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4500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45958</v>
      </c>
      <c r="B9" s="2" t="s">
        <v>52</v>
      </c>
      <c r="E9" s="5" t="s">
        <v>33</v>
      </c>
      <c r="F9" s="6" t="n">
        <v>25160</v>
      </c>
      <c r="G9" s="6" t="str">
        <f aca="false">IF(E9="BC",F9," ")</f>
        <v> </v>
      </c>
      <c r="H9" s="6" t="n">
        <f aca="false">IF(E9="DR",F9," ")</f>
        <v>25160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45935</v>
      </c>
      <c r="P9" s="4" t="s">
        <v>47</v>
      </c>
      <c r="S9" s="38" t="s">
        <v>34</v>
      </c>
      <c r="T9" s="6" t="n">
        <v>3000</v>
      </c>
      <c r="U9" s="6" t="str">
        <f aca="false">IF(S9="BC",T9," ")</f>
        <v> </v>
      </c>
      <c r="V9" s="6" t="n">
        <f aca="false">IF(S9="CR",T9," ")</f>
        <v>3000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45945</v>
      </c>
      <c r="P10" s="4" t="s">
        <v>57</v>
      </c>
      <c r="S10" s="38" t="s">
        <v>37</v>
      </c>
      <c r="T10" s="6" t="n">
        <v>3000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n">
        <f aca="false">IF(S10="DL",T10," ")</f>
        <v>3000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45949</v>
      </c>
      <c r="P11" s="4" t="s">
        <v>49</v>
      </c>
      <c r="S11" s="38" t="s">
        <v>42</v>
      </c>
      <c r="T11" s="6" t="n">
        <v>1673.2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1673.2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45955</v>
      </c>
      <c r="P12" s="4" t="s">
        <v>60</v>
      </c>
      <c r="S12" s="38" t="s">
        <v>34</v>
      </c>
      <c r="T12" s="6" t="n">
        <v>36000</v>
      </c>
      <c r="U12" s="6" t="str">
        <f aca="false">IF(S12="BC",T12," ")</f>
        <v> </v>
      </c>
      <c r="V12" s="6" t="n">
        <f aca="false">IF(S12="CR",T12," ")</f>
        <v>36000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45958</v>
      </c>
      <c r="P13" s="4" t="s">
        <v>51</v>
      </c>
      <c r="S13" s="38" t="s">
        <v>39</v>
      </c>
      <c r="T13" s="6" t="n">
        <v>5652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n">
        <f aca="false">IF(S13="W",T13," ")</f>
        <v>5652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45961</v>
      </c>
      <c r="P14" s="4" t="s">
        <v>53</v>
      </c>
      <c r="S14" s="38" t="s">
        <v>34</v>
      </c>
      <c r="T14" s="6" t="n">
        <v>300</v>
      </c>
      <c r="U14" s="6" t="str">
        <f aca="false">IF(S14="BC",T14," ")</f>
        <v> </v>
      </c>
      <c r="V14" s="6" t="n">
        <f aca="false">IF(S14="CR",T14," ")</f>
        <v>300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45961</v>
      </c>
      <c r="P15" s="4" t="s">
        <v>54</v>
      </c>
      <c r="S15" s="38" t="s">
        <v>38</v>
      </c>
      <c r="T15" s="6" t="n">
        <v>500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n">
        <f aca="false">IF(S15="X",T15," ")</f>
        <v>500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Oct!A2</f>
        <v>143052.43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F1-SUM(G1:M1)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35320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26706.7</v>
      </c>
      <c r="U1" s="12" t="n">
        <f aca="false">SUM(U6:U200)</f>
        <v>0</v>
      </c>
      <c r="V1" s="12" t="n">
        <f aca="false">SUM(V6:V200)</f>
        <v>3900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16129.7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151665.73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151665.73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45981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45968</v>
      </c>
      <c r="P6" s="4" t="s">
        <v>49</v>
      </c>
      <c r="S6" s="38" t="s">
        <v>42</v>
      </c>
      <c r="T6" s="6" t="n">
        <v>14456.5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14456.5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45986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45962</v>
      </c>
      <c r="P7" s="4" t="s">
        <v>44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45989</v>
      </c>
      <c r="B8" s="2" t="s">
        <v>52</v>
      </c>
      <c r="E8" s="5" t="s">
        <v>33</v>
      </c>
      <c r="F8" s="6" t="n">
        <v>24920</v>
      </c>
      <c r="G8" s="6" t="str">
        <f aca="false">IF(E8="BC",F8," ")</f>
        <v> </v>
      </c>
      <c r="H8" s="6" t="n">
        <f aca="false">IF(E8="DR",F8," ")</f>
        <v>24920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45962</v>
      </c>
      <c r="P8" s="4" t="s">
        <v>46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45966</v>
      </c>
      <c r="P9" s="4" t="s">
        <v>47</v>
      </c>
      <c r="S9" s="38" t="s">
        <v>34</v>
      </c>
      <c r="T9" s="6" t="n">
        <v>2400</v>
      </c>
      <c r="U9" s="6" t="str">
        <f aca="false">IF(S9="BC",T9," ")</f>
        <v> </v>
      </c>
      <c r="V9" s="6" t="n">
        <f aca="false">IF(S9="CR",T9," ")</f>
        <v>2400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45980</v>
      </c>
      <c r="P10" s="4" t="s">
        <v>49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45986</v>
      </c>
      <c r="P11" s="4" t="s">
        <v>55</v>
      </c>
      <c r="S11" s="38" t="s">
        <v>40</v>
      </c>
      <c r="T11" s="6" t="n">
        <v>25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25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45989</v>
      </c>
      <c r="P12" s="4" t="s">
        <v>51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45991</v>
      </c>
      <c r="P13" s="4" t="s">
        <v>53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Nov!A2</f>
        <v>151665.73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F1-SUM(G1:M1)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32800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13292.2</v>
      </c>
      <c r="U1" s="12" t="n">
        <f aca="false">SUM(U6:U200)</f>
        <v>0</v>
      </c>
      <c r="V1" s="12" t="n">
        <f aca="false">SUM(V6:V200)</f>
        <v>4200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167</v>
      </c>
      <c r="Z1" s="12" t="n">
        <f aca="false">SUM(Z6:Z200)</f>
        <v>0</v>
      </c>
      <c r="AA1" s="12" t="n">
        <f aca="false">SUM(AA6:AA200)</f>
        <v>2273.2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171173.53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171173.53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46011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45992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46016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45992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46019</v>
      </c>
      <c r="B8" s="2" t="s">
        <v>52</v>
      </c>
      <c r="E8" s="5" t="s">
        <v>33</v>
      </c>
      <c r="F8" s="6" t="n">
        <v>22400</v>
      </c>
      <c r="G8" s="6" t="str">
        <f aca="false">IF(E8="BC",F8," ")</f>
        <v> </v>
      </c>
      <c r="H8" s="6" t="n">
        <f aca="false">IF(E8="DR",F8," ")</f>
        <v>22400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45996</v>
      </c>
      <c r="P8" s="4" t="s">
        <v>47</v>
      </c>
      <c r="S8" s="38" t="s">
        <v>34</v>
      </c>
      <c r="T8" s="6" t="n">
        <v>2700</v>
      </c>
      <c r="U8" s="6" t="str">
        <f aca="false">IF(S8="BC",T8," ")</f>
        <v> </v>
      </c>
      <c r="V8" s="6" t="n">
        <f aca="false">IF(S8="CR",T8," ")</f>
        <v>2700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46010</v>
      </c>
      <c r="P9" s="4" t="s">
        <v>49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46010</v>
      </c>
      <c r="P10" s="4" t="s">
        <v>49</v>
      </c>
      <c r="S10" s="38" t="s">
        <v>42</v>
      </c>
      <c r="T10" s="6" t="n">
        <v>600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600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46019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46022</v>
      </c>
      <c r="P12" s="4" t="s">
        <v>56</v>
      </c>
      <c r="S12" s="38" t="s">
        <v>40</v>
      </c>
      <c r="T12" s="6" t="n">
        <v>167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167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46022</v>
      </c>
      <c r="P13" s="4" t="s">
        <v>53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Dec!A2</f>
        <v>171173.53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F1-SUM(G1:M1)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35440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5000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15625.2</v>
      </c>
      <c r="U1" s="12" t="n">
        <f aca="false">SUM(U6:U200)</f>
        <v>0</v>
      </c>
      <c r="V1" s="12" t="n">
        <f aca="false">SUM(V6:V200)</f>
        <v>4000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195988.33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195988.33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46037</v>
      </c>
      <c r="B6" s="2" t="s">
        <v>61</v>
      </c>
      <c r="E6" s="5" t="s">
        <v>37</v>
      </c>
      <c r="F6" s="6" t="n">
        <v>5000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n">
        <f aca="false">IF(E6="DL",F6," ")</f>
        <v>5000</v>
      </c>
      <c r="M6" s="6" t="str">
        <f aca="false">IF(E6="X",F6," ")</f>
        <v> </v>
      </c>
      <c r="N6" s="37"/>
      <c r="O6" s="1" t="n">
        <v>46023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46042</v>
      </c>
      <c r="B7" s="2" t="s">
        <v>43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46023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46047</v>
      </c>
      <c r="B8" s="2" t="s">
        <v>48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46027</v>
      </c>
      <c r="P8" s="4" t="s">
        <v>47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46050</v>
      </c>
      <c r="B9" s="2" t="s">
        <v>52</v>
      </c>
      <c r="E9" s="5" t="s">
        <v>33</v>
      </c>
      <c r="F9" s="6" t="n">
        <v>25040</v>
      </c>
      <c r="G9" s="6" t="str">
        <f aca="false">IF(E9="BC",F9," ")</f>
        <v> </v>
      </c>
      <c r="H9" s="6" t="n">
        <f aca="false">IF(E9="DR",F9," ")</f>
        <v>25040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46037</v>
      </c>
      <c r="P9" s="4" t="s">
        <v>57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46041</v>
      </c>
      <c r="P10" s="4" t="s">
        <v>49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46050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46053</v>
      </c>
      <c r="P12" s="4" t="s">
        <v>53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46053</v>
      </c>
      <c r="P13" s="4" t="s">
        <v>54</v>
      </c>
      <c r="S13" s="38" t="s">
        <v>38</v>
      </c>
      <c r="T13" s="6" t="n">
        <v>300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n">
        <f aca="false">IF(S13="X",T13," ")</f>
        <v>300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Jan!A2</f>
        <v>195988.33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F1-SUM(G1:M1)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34360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23642.7</v>
      </c>
      <c r="U1" s="12" t="n">
        <f aca="false">SUM(U6:U200)</f>
        <v>0</v>
      </c>
      <c r="V1" s="12" t="n">
        <f aca="false">SUM(V6:V200)</f>
        <v>4400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12590.7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206705.63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206705.63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46073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46060</v>
      </c>
      <c r="P6" s="4" t="s">
        <v>49</v>
      </c>
      <c r="S6" s="38" t="s">
        <v>42</v>
      </c>
      <c r="T6" s="6" t="n">
        <v>10917.5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10917.5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46078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46054</v>
      </c>
      <c r="P7" s="4" t="s">
        <v>44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46081</v>
      </c>
      <c r="B8" s="2" t="s">
        <v>52</v>
      </c>
      <c r="E8" s="5" t="s">
        <v>33</v>
      </c>
      <c r="F8" s="6" t="n">
        <v>23960</v>
      </c>
      <c r="G8" s="6" t="str">
        <f aca="false">IF(E8="BC",F8," ")</f>
        <v> </v>
      </c>
      <c r="H8" s="6" t="n">
        <f aca="false">IF(E8="DR",F8," ")</f>
        <v>23960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46054</v>
      </c>
      <c r="P8" s="4" t="s">
        <v>46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46058</v>
      </c>
      <c r="P9" s="4" t="s">
        <v>47</v>
      </c>
      <c r="S9" s="38" t="s">
        <v>34</v>
      </c>
      <c r="T9" s="6" t="n">
        <v>2900</v>
      </c>
      <c r="U9" s="6" t="str">
        <f aca="false">IF(S9="BC",T9," ")</f>
        <v> </v>
      </c>
      <c r="V9" s="6" t="n">
        <f aca="false">IF(S9="CR",T9," ")</f>
        <v>2900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46072</v>
      </c>
      <c r="P10" s="4" t="s">
        <v>49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46081</v>
      </c>
      <c r="P11" s="4" t="s">
        <v>53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46081</v>
      </c>
      <c r="P12" s="4" t="s">
        <v>51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Feb!A2</f>
        <v>206705.63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F1-SUM(G1:M1)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20960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23250.2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125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7000</v>
      </c>
      <c r="AC1" s="12" t="n">
        <f aca="false">SUM(AC6:AC200)</f>
        <v>5000</v>
      </c>
    </row>
    <row r="2" customFormat="false" ht="15" hidden="false" customHeight="true" outlineLevel="0" collapsed="false">
      <c r="A2" s="17" t="n">
        <f aca="false">A1+F1-T1</f>
        <v>204415.43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204415.43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A6" s="1" t="n">
        <v>46101</v>
      </c>
      <c r="B6" s="2" t="s">
        <v>43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46082</v>
      </c>
      <c r="P6" s="4" t="s">
        <v>44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46106</v>
      </c>
      <c r="B7" s="2" t="s">
        <v>48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46082</v>
      </c>
      <c r="P7" s="4" t="s">
        <v>46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46109</v>
      </c>
      <c r="B8" s="2" t="s">
        <v>52</v>
      </c>
      <c r="E8" s="5" t="s">
        <v>33</v>
      </c>
      <c r="F8" s="6" t="n">
        <v>10560</v>
      </c>
      <c r="G8" s="6" t="str">
        <f aca="false">IF(E8="BC",F8," ")</f>
        <v> </v>
      </c>
      <c r="H8" s="6" t="n">
        <f aca="false">IF(E8="DR",F8," ")</f>
        <v>10560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46086</v>
      </c>
      <c r="P8" s="4" t="s">
        <v>47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46096</v>
      </c>
      <c r="P9" s="4" t="s">
        <v>62</v>
      </c>
      <c r="S9" s="38" t="s">
        <v>38</v>
      </c>
      <c r="T9" s="6" t="n">
        <v>5000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5000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46100</v>
      </c>
      <c r="P10" s="4" t="s">
        <v>49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46109</v>
      </c>
      <c r="P11" s="4" t="s">
        <v>51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46112</v>
      </c>
      <c r="P12" s="4" t="s">
        <v>56</v>
      </c>
      <c r="S12" s="38" t="s">
        <v>40</v>
      </c>
      <c r="T12" s="6" t="n">
        <v>125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125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46112</v>
      </c>
      <c r="P13" s="4" t="s">
        <v>53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46112</v>
      </c>
      <c r="P14" s="4" t="s">
        <v>57</v>
      </c>
      <c r="S14" s="38" t="s">
        <v>37</v>
      </c>
      <c r="T14" s="6" t="n">
        <v>6000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n">
        <f aca="false">IF(S14="DL",T14," ")</f>
        <v>6000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