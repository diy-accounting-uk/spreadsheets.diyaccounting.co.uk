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<sst xmlns="http://schemas.openxmlformats.org/spreadsheetml/2006/main" count="885" uniqueCount="64">
  <si>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</si>
  <si>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</si>
  <si>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</si>
  <si>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</si>
  <si>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</si>
  <si>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</si>
  <si>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</si>
  <si>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</si>
  <si>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</si>
  <si>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</si>
  <si>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</si>
  <si>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</si>
  <si>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</si>
  <si>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</si>
  <si>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</si>
  <si>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</si>
  <si>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</si>
  <si>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</si>
  <si>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</si>
  <si>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</si>
  <si>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</si>
  <si>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</si>
  <si>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</si>
  <si>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</si>
  <si>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</si>
  <si>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</si>
  <si>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</si>
  <si>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</si>
  <si>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</si>
  <si>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</si>
  <si>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</si>
  <si>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</si>
  <si>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</si>
  <si>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</si>
  <si>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</si>
  <si>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</si>
  <si>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</si>
  <si>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</si>
  <si>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</si>
  <si>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</si>
  <si>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</si>
  <si>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</si>
  <si>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WorkSpace Ltd</t>
  </si>
  <si>
    <t xml:space="preserve">HMRC</t>
  </si>
  <si>
    <t xml:space="preserve">Director</t>
  </si>
  <si>
    <t xml:space="preserve">Payroll</t>
  </si>
  <si>
    <t xml:space="preserve">Various suppliers</t>
  </si>
  <si>
    <t xml:space="preserve">Acme Corp</t>
  </si>
  <si>
    <t xml:space="preserve">Beta Systems</t>
  </si>
  <si>
    <t xml:space="preserve">TechStart Ltd</t>
  </si>
  <si>
    <t xml:space="preserve">Gamma Ltd</t>
  </si>
  <si>
    <t xml:space="preserve">Various customers</t>
  </si>
  <si>
    <t xml:space="preserve">Smith &amp; Co</t>
  </si>
  <si>
    <t xml:space="preserve">Credit card payment</t>
  </si>
  <si>
    <t xml:space="preserve">&lt;  Opening Bank Balance</t>
  </si>
  <si>
    <t xml:space="preserve">HSBC</t>
  </si>
  <si>
    <t xml:space="preserve">Directors loan interest</t>
  </si>
  <si>
    <t xml:space="preserve">Dividend</t>
  </si>
  <si>
    <t xml:space="preserve">DV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</si>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</sst>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C1" s="8" t="n">
        <f aca="false">[1]Admin!$B$4</f>
        <v>45753</v>
      </c>
      <c r="D1" s="9" t="s">
        <v>0</v>
      </c>
      <c r="E1" s="10" t="n">
        <f aca="false">F1-SUM(G1:M1)</f>
        <v>0</v>
      </c>
      <c r="F1" s="11" t="n">
        <f aca="false">SUM(F6:F200)</f>
        <v>29600</v>
      </c>
      <c r="G1" s="11" t="n">
        <f aca="false">SUM(G6:G200)</f>
        <v>0</v>
      </c>
      <c r="H1" s="11" t="n">
        <f aca="false">SUM(H6:H200)</f>
        <v>24400</v>
      </c>
      <c r="I1" s="11" t="n">
        <f aca="false">SUM(I6:I200)</f>
        <v>3700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9953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4301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44647</v>
      </c>
      <c r="B2" s="17" t="s">
        <v>1</v>
      </c>
      <c r="C2" s="8" t="n">
        <f aca="false">[1]Admin!$B$5</f>
        <v>45777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45777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44647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45748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45766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45748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45775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45752</v>
      </c>
      <c r="B8" s="2" t="s">
        <v>46</v>
      </c>
      <c r="E8" s="5" t="s">
        <v>33</v>
      </c>
      <c r="F8" s="6" t="n">
        <v>2200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2200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46113</v>
      </c>
      <c r="Q8" s="3" t="s">
        <v>43</v>
      </c>
      <c r="S8" s="37" t="s">
        <v>41</v>
      </c>
      <c r="T8" s="6" t="n">
        <v>2800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2800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45757</v>
      </c>
      <c r="B9" s="2" t="s">
        <v>47</v>
      </c>
      <c r="E9" s="5" t="s">
        <v>32</v>
      </c>
      <c r="F9" s="6" t="n">
        <v>7200</v>
      </c>
      <c r="G9" s="6" t="str">
        <f aca="false">IF(E9="BC",F9," ")</f>
        <v> </v>
      </c>
      <c r="H9" s="6" t="n">
        <f aca="false">IF(E9="DR",F9," ")</f>
        <v>7200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45762</v>
      </c>
      <c r="B10" s="2" t="s">
        <v>48</v>
      </c>
      <c r="E10" s="5" t="s">
        <v>32</v>
      </c>
      <c r="F10" s="6" t="n">
        <v>1200</v>
      </c>
      <c r="G10" s="6" t="str">
        <f aca="false">IF(E10="BC",F10," ")</f>
        <v> </v>
      </c>
      <c r="H10" s="6" t="n">
        <f aca="false">IF(E10="DR",F10," ")</f>
        <v>1200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45767</v>
      </c>
      <c r="B11" s="2" t="s">
        <v>47</v>
      </c>
      <c r="E11" s="5" t="s">
        <v>32</v>
      </c>
      <c r="F11" s="6" t="n">
        <v>8000</v>
      </c>
      <c r="G11" s="6" t="str">
        <f aca="false">IF(E11="BC",F11," ")</f>
        <v> </v>
      </c>
      <c r="H11" s="6" t="n">
        <f aca="false">IF(E11="DR",F11," ")</f>
        <v>8000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45772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45772</v>
      </c>
      <c r="B13" s="2" t="s">
        <v>50</v>
      </c>
      <c r="E13" s="5" t="s">
        <v>32</v>
      </c>
      <c r="F13" s="6" t="n">
        <v>2400</v>
      </c>
      <c r="G13" s="6" t="str">
        <f aca="false">IF(E13="BC",F13," ")</f>
        <v> </v>
      </c>
      <c r="H13" s="6" t="n">
        <f aca="false">IF(E13="DR",F13," ")</f>
        <v>2400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45775</v>
      </c>
      <c r="B14" s="2" t="s">
        <v>51</v>
      </c>
      <c r="E14" s="5" t="s">
        <v>32</v>
      </c>
      <c r="F14" s="6" t="n">
        <v>3200</v>
      </c>
      <c r="G14" s="6" t="str">
        <f aca="false">IF(E14="BC",F14," ")</f>
        <v> </v>
      </c>
      <c r="H14" s="6" t="n">
        <f aca="false">IF(E14="DR",F14," ")</f>
        <v>3200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45777</v>
      </c>
      <c r="B15" s="2" t="s">
        <v>52</v>
      </c>
      <c r="E15" s="5" t="s">
        <v>33</v>
      </c>
      <c r="F15" s="6" t="n">
        <v>300</v>
      </c>
      <c r="G15" s="6" t="str">
        <f aca="false">IF(E15="BC",F15," ")</f>
        <v> </v>
      </c>
      <c r="H15" s="6" t="str">
        <f aca="false">IF(E15="DR",F15," ")</f>
        <v> </v>
      </c>
      <c r="I15" s="6" t="n">
        <f aca="false">IF(E15="CR",F15," ")</f>
        <v>300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A16" s="1" t="n">
        <v>45777</v>
      </c>
      <c r="B16" s="2" t="s">
        <v>53</v>
      </c>
      <c r="E16" s="5" t="s">
        <v>37</v>
      </c>
      <c r="F16" s="6" t="n">
        <v>500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n">
        <f aca="false">IF(E16="X",F16," ")</f>
        <v>500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Apr!A2</f>
        <v>44647</v>
      </c>
      <c r="B1" s="48" t="s">
        <v>54</v>
      </c>
      <c r="C1" s="8" t="n">
        <f aca="false">Apr!C2</f>
        <v>45777</v>
      </c>
      <c r="D1" s="9" t="s">
        <v>0</v>
      </c>
      <c r="E1" s="10" t="n">
        <f aca="false">F1-SUM(G1:M1)</f>
        <v>0</v>
      </c>
      <c r="F1" s="11" t="n">
        <f aca="false">SUM(F6:F200)</f>
        <v>19500</v>
      </c>
      <c r="G1" s="11" t="n">
        <f aca="false">SUM(G6:G200)</f>
        <v>0</v>
      </c>
      <c r="H1" s="11" t="n">
        <f aca="false">SUM(H6:H200)</f>
        <v>14200</v>
      </c>
      <c r="I1" s="11" t="n">
        <f aca="false">SUM(I6:I200)</f>
        <v>4300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56969</v>
      </c>
      <c r="B2" s="17" t="s">
        <v>1</v>
      </c>
      <c r="C2" s="8" t="n">
        <f aca="false">[1]Admin!$B$6</f>
        <v>45808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45808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56969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45778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45796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45778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45802</v>
      </c>
      <c r="Q7" s="3" t="s">
        <v>55</v>
      </c>
      <c r="S7" s="37" t="s">
        <v>39</v>
      </c>
      <c r="T7" s="6" t="n">
        <v>25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n">
        <f aca="false">IF(S7="B",T7," ")</f>
        <v>25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45782</v>
      </c>
      <c r="B8" s="2" t="s">
        <v>46</v>
      </c>
      <c r="E8" s="5" t="s">
        <v>33</v>
      </c>
      <c r="F8" s="6" t="n">
        <v>2800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2800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45805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45797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45802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45805</v>
      </c>
      <c r="B11" s="2" t="s">
        <v>51</v>
      </c>
      <c r="E11" s="5" t="s">
        <v>32</v>
      </c>
      <c r="F11" s="6" t="n">
        <v>3800</v>
      </c>
      <c r="G11" s="6" t="str">
        <f aca="false">IF(E11="BC",F11," ")</f>
        <v> </v>
      </c>
      <c r="H11" s="6" t="n">
        <f aca="false">IF(E11="DR",F11," ")</f>
        <v>3800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45808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May!A2</f>
        <v>56969</v>
      </c>
      <c r="B1" s="48" t="s">
        <v>54</v>
      </c>
      <c r="C1" s="8" t="n">
        <f aca="false">May!C2</f>
        <v>45808</v>
      </c>
      <c r="D1" s="9" t="s">
        <v>0</v>
      </c>
      <c r="E1" s="10" t="n">
        <f aca="false">F1-SUM(G1:M1)</f>
        <v>0</v>
      </c>
      <c r="F1" s="11" t="n">
        <f aca="false">SUM(F6:F200)</f>
        <v>19900</v>
      </c>
      <c r="G1" s="11" t="n">
        <f aca="false">SUM(G6:G200)</f>
        <v>0</v>
      </c>
      <c r="H1" s="11" t="n">
        <f aca="false">SUM(H6:H200)</f>
        <v>14900</v>
      </c>
      <c r="I1" s="11" t="n">
        <f aca="false">SUM(I6:I200)</f>
        <v>4000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7403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69466</v>
      </c>
      <c r="B2" s="17" t="s">
        <v>1</v>
      </c>
      <c r="C2" s="8" t="n">
        <f aca="false">[1]Admin!$B$7</f>
        <v>45838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45838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69466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45809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45827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45809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45836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45813</v>
      </c>
      <c r="B8" s="2" t="s">
        <v>46</v>
      </c>
      <c r="E8" s="5" t="s">
        <v>33</v>
      </c>
      <c r="F8" s="6" t="n">
        <v>2500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2500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45838</v>
      </c>
      <c r="Q8" s="3" t="s">
        <v>56</v>
      </c>
      <c r="S8" s="37" t="s">
        <v>39</v>
      </c>
      <c r="T8" s="6" t="n">
        <v>250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250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45828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45833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45836</v>
      </c>
      <c r="B11" s="2" t="s">
        <v>51</v>
      </c>
      <c r="E11" s="5" t="s">
        <v>32</v>
      </c>
      <c r="F11" s="6" t="n">
        <v>4500</v>
      </c>
      <c r="G11" s="6" t="str">
        <f aca="false">IF(E11="BC",F11," ")</f>
        <v> </v>
      </c>
      <c r="H11" s="6" t="n">
        <f aca="false">IF(E11="DR",F11," ")</f>
        <v>4500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45838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Jun!A2</f>
        <v>69466</v>
      </c>
      <c r="B1" s="48" t="s">
        <v>54</v>
      </c>
      <c r="C1" s="8" t="n">
        <f aca="false">Jun!C2</f>
        <v>45838</v>
      </c>
      <c r="D1" s="9" t="s">
        <v>0</v>
      </c>
      <c r="E1" s="10" t="n">
        <f aca="false">F1-SUM(G1:M1)</f>
        <v>0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14000</v>
      </c>
      <c r="I1" s="11" t="n">
        <f aca="false">SUM(I6:I200)</f>
        <v>3800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300</v>
      </c>
      <c r="N1" s="12"/>
      <c r="O1" s="13" t="str">
        <f aca="false">IF(S1=0," ","Check all payment code letters entered")</f>
        <v>Check all payment code letters entered</v>
      </c>
      <c r="P1" s="13"/>
      <c r="Q1" s="14"/>
      <c r="R1" s="15" t="s">
        <v>0</v>
      </c>
      <c r="S1" s="10" t="n">
        <f aca="false">T1-SUM(U1:AC1)</f>
        <v>3000</v>
      </c>
      <c r="T1" s="11" t="n">
        <f aca="false">SUM(T6:T200)</f>
        <v>14953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6301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73613</v>
      </c>
      <c r="B2" s="17" t="s">
        <v>1</v>
      </c>
      <c r="C2" s="8" t="n">
        <f aca="false">[1]Admin!$B$8</f>
        <v>45869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45869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73613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45839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45845</v>
      </c>
      <c r="Q6" s="3" t="s">
        <v>43</v>
      </c>
      <c r="S6" s="37" t="s">
        <v>41</v>
      </c>
      <c r="T6" s="6" t="n">
        <v>3800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3800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45839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45853</v>
      </c>
      <c r="Q7" s="3" t="s">
        <v>57</v>
      </c>
      <c r="S7" s="37" t="s">
        <v>58</v>
      </c>
      <c r="T7" s="6" t="n">
        <v>3000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45843</v>
      </c>
      <c r="B8" s="2" t="s">
        <v>46</v>
      </c>
      <c r="E8" s="5" t="s">
        <v>33</v>
      </c>
      <c r="F8" s="6" t="n">
        <v>2300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2300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45857</v>
      </c>
      <c r="Q8" s="3" t="s">
        <v>43</v>
      </c>
      <c r="S8" s="37" t="s">
        <v>41</v>
      </c>
      <c r="T8" s="6" t="n">
        <v>1501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1501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45858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45857</v>
      </c>
      <c r="Q9" s="3" t="s">
        <v>43</v>
      </c>
      <c r="S9" s="37" t="s">
        <v>41</v>
      </c>
      <c r="T9" s="6" t="n">
        <v>1000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1000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45863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P10" s="4" t="n">
        <v>45866</v>
      </c>
      <c r="Q10" s="3" t="s">
        <v>45</v>
      </c>
      <c r="S10" s="37" t="s">
        <v>38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45866</v>
      </c>
      <c r="B11" s="2" t="s">
        <v>51</v>
      </c>
      <c r="E11" s="5" t="s">
        <v>32</v>
      </c>
      <c r="F11" s="6" t="n">
        <v>3600</v>
      </c>
      <c r="G11" s="6" t="str">
        <f aca="false">IF(E11="BC",F11," ")</f>
        <v> </v>
      </c>
      <c r="H11" s="6" t="n">
        <f aca="false">IF(E11="DR",F11," ")</f>
        <v>3600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45869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45869</v>
      </c>
      <c r="B13" s="2" t="s">
        <v>53</v>
      </c>
      <c r="E13" s="5" t="s">
        <v>37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n">
        <f aca="false">IF(E13="X",F13," ")</f>
        <v>300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Jul!A2</f>
        <v>73613</v>
      </c>
      <c r="B1" s="48" t="s">
        <v>54</v>
      </c>
      <c r="C1" s="8" t="n">
        <f aca="false">Jul!C2</f>
        <v>45869</v>
      </c>
      <c r="D1" s="9" t="s">
        <v>0</v>
      </c>
      <c r="E1" s="10" t="n">
        <f aca="false">F1-SUM(G1:M1)</f>
        <v>0</v>
      </c>
      <c r="F1" s="11" t="n">
        <f aca="false">SUM(F6:F200)</f>
        <v>22200</v>
      </c>
      <c r="G1" s="11" t="n">
        <f aca="false">SUM(G6:G200)</f>
        <v>0</v>
      </c>
      <c r="H1" s="11" t="n">
        <f aca="false">SUM(H6:H200)</f>
        <v>14600</v>
      </c>
      <c r="I1" s="11" t="n">
        <f aca="false">SUM(I6:I200)</f>
        <v>4100</v>
      </c>
      <c r="J1" s="11" t="n">
        <f aca="false">SUM(J6:J200)</f>
        <v>0</v>
      </c>
      <c r="K1" s="11" t="n">
        <f aca="false">SUM(K6:K200)</f>
        <v>2500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88660</v>
      </c>
      <c r="B2" s="17" t="s">
        <v>1</v>
      </c>
      <c r="C2" s="8" t="n">
        <f aca="false">[1]Admin!$B$9</f>
        <v>45900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45900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88660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45870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45888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45870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45897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45874</v>
      </c>
      <c r="B8" s="2" t="s">
        <v>46</v>
      </c>
      <c r="E8" s="5" t="s">
        <v>33</v>
      </c>
      <c r="F8" s="6" t="n">
        <v>2600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2600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45874</v>
      </c>
      <c r="B9" s="2" t="s">
        <v>59</v>
      </c>
      <c r="E9" s="5" t="s">
        <v>35</v>
      </c>
      <c r="F9" s="6" t="n">
        <v>2500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n">
        <f aca="false">IF(E9="RV",F9," ")</f>
        <v>2500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45889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45894</v>
      </c>
      <c r="B11" s="2" t="s">
        <v>49</v>
      </c>
      <c r="E11" s="5" t="s">
        <v>32</v>
      </c>
      <c r="F11" s="6" t="n">
        <v>2400</v>
      </c>
      <c r="G11" s="6" t="str">
        <f aca="false">IF(E11="BC",F11," ")</f>
        <v> </v>
      </c>
      <c r="H11" s="6" t="n">
        <f aca="false">IF(E11="DR",F11," ")</f>
        <v>2400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45897</v>
      </c>
      <c r="B12" s="2" t="s">
        <v>51</v>
      </c>
      <c r="E12" s="5" t="s">
        <v>32</v>
      </c>
      <c r="F12" s="6" t="n">
        <v>4200</v>
      </c>
      <c r="G12" s="6" t="str">
        <f aca="false">IF(E12="BC",F12," ")</f>
        <v> </v>
      </c>
      <c r="H12" s="6" t="n">
        <f aca="false">IF(E12="DR",F12," ")</f>
        <v>4200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45900</v>
      </c>
      <c r="B13" s="2" t="s">
        <v>52</v>
      </c>
      <c r="E13" s="5" t="s">
        <v>33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n">
        <f aca="false">IF(E13="CR",F13," ")</f>
        <v>300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Aug!A2</f>
        <v>88660</v>
      </c>
      <c r="B1" s="48" t="s">
        <v>54</v>
      </c>
      <c r="C1" s="8" t="n">
        <f aca="false">Aug!C2</f>
        <v>45900</v>
      </c>
      <c r="D1" s="9" t="s">
        <v>0</v>
      </c>
      <c r="E1" s="10" t="n">
        <f aca="false">F1-SUM(G1:M1)</f>
        <v>0</v>
      </c>
      <c r="F1" s="11" t="n">
        <f aca="false">SUM(F6:F200)</f>
        <v>18000</v>
      </c>
      <c r="G1" s="11" t="n">
        <f aca="false">SUM(G6:G200)</f>
        <v>0</v>
      </c>
      <c r="H1" s="11" t="n">
        <f aca="false">SUM(H6:H200)</f>
        <v>13400</v>
      </c>
      <c r="I1" s="11" t="n">
        <f aca="false">SUM(I6:I200)</f>
        <v>3600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7361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208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99299</v>
      </c>
      <c r="B2" s="17" t="s">
        <v>1</v>
      </c>
      <c r="C2" s="8" t="n">
        <f aca="false">[1]Admin!$B$10</f>
        <v>45930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45930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99299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45901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45919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45901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45928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45905</v>
      </c>
      <c r="B8" s="2" t="s">
        <v>46</v>
      </c>
      <c r="E8" s="5" t="s">
        <v>33</v>
      </c>
      <c r="F8" s="6" t="n">
        <v>2100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2100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45930</v>
      </c>
      <c r="Q8" s="3" t="s">
        <v>56</v>
      </c>
      <c r="S8" s="37" t="s">
        <v>39</v>
      </c>
      <c r="T8" s="6" t="n">
        <v>208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208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45920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45925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45928</v>
      </c>
      <c r="B11" s="2" t="s">
        <v>51</v>
      </c>
      <c r="E11" s="5" t="s">
        <v>32</v>
      </c>
      <c r="F11" s="6" t="n">
        <v>3000</v>
      </c>
      <c r="G11" s="6" t="str">
        <f aca="false">IF(E11="BC",F11," ")</f>
        <v> </v>
      </c>
      <c r="H11" s="6" t="n">
        <f aca="false">IF(E11="DR",F11," ")</f>
        <v>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45930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Sep!A2</f>
        <v>99299</v>
      </c>
      <c r="B1" s="48" t="s">
        <v>54</v>
      </c>
      <c r="C1" s="8" t="n">
        <f aca="false">Sep!C2</f>
        <v>45930</v>
      </c>
      <c r="D1" s="9" t="s">
        <v>0</v>
      </c>
      <c r="E1" s="10" t="n">
        <f aca="false">F1-SUM(G1:M1)</f>
        <v>0</v>
      </c>
      <c r="F1" s="11" t="n">
        <f aca="false">SUM(F6:F200)</f>
        <v>72400</v>
      </c>
      <c r="G1" s="11" t="n">
        <f aca="false">SUM(G6:G200)</f>
        <v>0</v>
      </c>
      <c r="H1" s="11" t="n">
        <f aca="false">SUM(H6:H200)</f>
        <v>30400</v>
      </c>
      <c r="I1" s="11" t="n">
        <f aca="false">SUM(I6:I200)</f>
        <v>40500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</v>
      </c>
      <c r="N1" s="12"/>
      <c r="O1" s="13" t="str">
        <f aca="false">IF(S1=0," ","Check all payment code letters entered")</f>
        <v>Check all payment code letters entered</v>
      </c>
      <c r="P1" s="13"/>
      <c r="Q1" s="14"/>
      <c r="R1" s="15" t="s">
        <v>0</v>
      </c>
      <c r="S1" s="10" t="n">
        <f aca="false">T1-SUM(U1:AC1)</f>
        <v>3000</v>
      </c>
      <c r="T1" s="11" t="n">
        <f aca="false">SUM(T6:T200)</f>
        <v>17853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9201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153846</v>
      </c>
      <c r="B2" s="17" t="s">
        <v>1</v>
      </c>
      <c r="C2" s="8" t="n">
        <f aca="false">[1]Admin!$B$11</f>
        <v>45961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45961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153846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45931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45931</v>
      </c>
      <c r="Q6" s="3" t="s">
        <v>43</v>
      </c>
      <c r="S6" s="37" t="s">
        <v>41</v>
      </c>
      <c r="T6" s="6" t="n">
        <v>4500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4500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45931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45937</v>
      </c>
      <c r="Q7" s="3" t="s">
        <v>43</v>
      </c>
      <c r="S7" s="37" t="s">
        <v>41</v>
      </c>
      <c r="T7" s="6" t="n">
        <v>3200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3200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45935</v>
      </c>
      <c r="B8" s="2" t="s">
        <v>46</v>
      </c>
      <c r="E8" s="5" t="s">
        <v>33</v>
      </c>
      <c r="F8" s="6" t="n">
        <v>3000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3000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45945</v>
      </c>
      <c r="Q8" s="3" t="s">
        <v>57</v>
      </c>
      <c r="S8" s="37" t="s">
        <v>58</v>
      </c>
      <c r="T8" s="6" t="n">
        <v>3000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45945</v>
      </c>
      <c r="B9" s="2" t="s">
        <v>60</v>
      </c>
      <c r="E9" s="5" t="s">
        <v>32</v>
      </c>
      <c r="F9" s="6" t="n">
        <v>15000</v>
      </c>
      <c r="G9" s="6" t="str">
        <f aca="false">IF(E9="BC",F9," ")</f>
        <v> </v>
      </c>
      <c r="H9" s="6" t="n">
        <f aca="false">IF(E9="DR",F9," ")</f>
        <v>15000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45949</v>
      </c>
      <c r="Q9" s="3" t="s">
        <v>43</v>
      </c>
      <c r="S9" s="37" t="s">
        <v>41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45950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P10" s="4" t="n">
        <v>45958</v>
      </c>
      <c r="Q10" s="3" t="s">
        <v>45</v>
      </c>
      <c r="S10" s="37" t="s">
        <v>38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45955</v>
      </c>
      <c r="B11" s="2" t="s">
        <v>61</v>
      </c>
      <c r="E11" s="5" t="s">
        <v>33</v>
      </c>
      <c r="F11" s="6" t="n">
        <v>36000</v>
      </c>
      <c r="G11" s="6" t="str">
        <f aca="false">IF(E11="BC",F11," ")</f>
        <v> </v>
      </c>
      <c r="H11" s="6" t="str">
        <f aca="false">IF(E11="DR",F11," ")</f>
        <v> </v>
      </c>
      <c r="I11" s="6" t="n">
        <f aca="false">IF(E11="CR",F11," ")</f>
        <v>36000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45955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45958</v>
      </c>
      <c r="B13" s="2" t="s">
        <v>51</v>
      </c>
      <c r="E13" s="5" t="s">
        <v>32</v>
      </c>
      <c r="F13" s="6" t="n">
        <v>5000</v>
      </c>
      <c r="G13" s="6" t="str">
        <f aca="false">IF(E13="BC",F13," ")</f>
        <v> </v>
      </c>
      <c r="H13" s="6" t="n">
        <f aca="false">IF(E13="DR",F13," ")</f>
        <v>5000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45961</v>
      </c>
      <c r="B14" s="2" t="s">
        <v>52</v>
      </c>
      <c r="E14" s="5" t="s">
        <v>33</v>
      </c>
      <c r="F14" s="6" t="n">
        <v>300</v>
      </c>
      <c r="G14" s="6" t="str">
        <f aca="false">IF(E14="BC",F14," ")</f>
        <v> </v>
      </c>
      <c r="H14" s="6" t="str">
        <f aca="false">IF(E14="DR",F14," ")</f>
        <v> </v>
      </c>
      <c r="I14" s="6" t="n">
        <f aca="false">IF(E14="CR",F14," ")</f>
        <v>300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45961</v>
      </c>
      <c r="B15" s="2" t="s">
        <v>53</v>
      </c>
      <c r="E15" s="5" t="s">
        <v>37</v>
      </c>
      <c r="F15" s="6" t="n">
        <v>500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n">
        <f aca="false">IF(E15="X",F15," ")</f>
        <v>500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Oct!A2</f>
        <v>153846</v>
      </c>
      <c r="B1" s="48" t="s">
        <v>54</v>
      </c>
      <c r="C1" s="8" t="n">
        <f aca="false">Oct!C2</f>
        <v>45961</v>
      </c>
      <c r="D1" s="9" t="s">
        <v>0</v>
      </c>
      <c r="E1" s="10" t="n">
        <f aca="false">F1-SUM(G1:M1)</f>
        <v>0</v>
      </c>
      <c r="F1" s="11" t="n">
        <f aca="false">SUM(F6:F200)</f>
        <v>19400</v>
      </c>
      <c r="G1" s="11" t="n">
        <f aca="false">SUM(G6:G200)</f>
        <v>0</v>
      </c>
      <c r="H1" s="11" t="n">
        <f aca="false">SUM(H6:H200)</f>
        <v>14500</v>
      </c>
      <c r="I1" s="11" t="n">
        <f aca="false">SUM(I6:I200)</f>
        <v>3900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166068</v>
      </c>
      <c r="B2" s="17" t="s">
        <v>1</v>
      </c>
      <c r="C2" s="8" t="n">
        <f aca="false">[1]Admin!$B$12</f>
        <v>45991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45991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166068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45962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45980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45962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45986</v>
      </c>
      <c r="Q7" s="3" t="s">
        <v>55</v>
      </c>
      <c r="S7" s="37" t="s">
        <v>39</v>
      </c>
      <c r="T7" s="6" t="n">
        <v>25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n">
        <f aca="false">IF(S7="B",T7," ")</f>
        <v>25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45966</v>
      </c>
      <c r="B8" s="2" t="s">
        <v>46</v>
      </c>
      <c r="E8" s="5" t="s">
        <v>33</v>
      </c>
      <c r="F8" s="6" t="n">
        <v>2400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2400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45989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45981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45986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45989</v>
      </c>
      <c r="B11" s="2" t="s">
        <v>51</v>
      </c>
      <c r="E11" s="5" t="s">
        <v>32</v>
      </c>
      <c r="F11" s="6" t="n">
        <v>4100</v>
      </c>
      <c r="G11" s="6" t="str">
        <f aca="false">IF(E11="BC",F11," ")</f>
        <v> </v>
      </c>
      <c r="H11" s="6" t="n">
        <f aca="false">IF(E11="DR",F11," ")</f>
        <v>4100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45991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Nov!A2</f>
        <v>166068</v>
      </c>
      <c r="B1" s="48" t="s">
        <v>54</v>
      </c>
      <c r="C1" s="8" t="n">
        <f aca="false">Nov!C2</f>
        <v>45991</v>
      </c>
      <c r="D1" s="9" t="s">
        <v>0</v>
      </c>
      <c r="E1" s="10" t="n">
        <f aca="false">F1-SUM(G1:M1)</f>
        <v>0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13900</v>
      </c>
      <c r="I1" s="11" t="n">
        <f aca="false">SUM(I6:I200)</f>
        <v>4200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7920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167</v>
      </c>
      <c r="Z1" s="11" t="n">
        <f aca="false">SUM(Z6:Z200)</f>
        <v>0</v>
      </c>
      <c r="AA1" s="11" t="n">
        <f aca="false">SUM(AA6:AA200)</f>
        <v>2101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177248</v>
      </c>
      <c r="B2" s="17" t="s">
        <v>1</v>
      </c>
      <c r="C2" s="8" t="n">
        <f aca="false">[1]Admin!$B$13</f>
        <v>46022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46022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177248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45992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46010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45992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46010</v>
      </c>
      <c r="Q7" s="3" t="s">
        <v>43</v>
      </c>
      <c r="S7" s="37" t="s">
        <v>41</v>
      </c>
      <c r="T7" s="6" t="n">
        <v>600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600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45996</v>
      </c>
      <c r="B8" s="2" t="s">
        <v>46</v>
      </c>
      <c r="E8" s="5" t="s">
        <v>33</v>
      </c>
      <c r="F8" s="6" t="n">
        <v>2700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2700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46019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46011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46022</v>
      </c>
      <c r="Q9" s="3" t="s">
        <v>56</v>
      </c>
      <c r="S9" s="37" t="s">
        <v>39</v>
      </c>
      <c r="T9" s="6" t="n">
        <v>167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n">
        <f aca="false">IF(S9="B",T9," ")</f>
        <v>167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46016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46019</v>
      </c>
      <c r="B11" s="2" t="s">
        <v>51</v>
      </c>
      <c r="E11" s="5" t="s">
        <v>32</v>
      </c>
      <c r="F11" s="6" t="n">
        <v>3500</v>
      </c>
      <c r="G11" s="6" t="str">
        <f aca="false">IF(E11="BC",F11," ")</f>
        <v> </v>
      </c>
      <c r="H11" s="6" t="n">
        <f aca="false">IF(E11="DR",F11," ")</f>
        <v>3500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46022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Dec!A2</f>
        <v>177248</v>
      </c>
      <c r="B1" s="48" t="s">
        <v>54</v>
      </c>
      <c r="C1" s="8" t="n">
        <f aca="false">Dec!C2</f>
        <v>46022</v>
      </c>
      <c r="D1" s="9" t="s">
        <v>0</v>
      </c>
      <c r="E1" s="10" t="n">
        <f aca="false">F1-SUM(G1:M1)</f>
        <v>0</v>
      </c>
      <c r="F1" s="11" t="n">
        <f aca="false">SUM(F6:F200)</f>
        <v>27000</v>
      </c>
      <c r="G1" s="11" t="n">
        <f aca="false">SUM(G6:G200)</f>
        <v>0</v>
      </c>
      <c r="H1" s="11" t="n">
        <f aca="false">SUM(H6:H200)</f>
        <v>15200</v>
      </c>
      <c r="I1" s="11" t="n">
        <f aca="false">SUM(I6:I200)</f>
        <v>4000</v>
      </c>
      <c r="J1" s="11" t="n">
        <f aca="false">SUM(J6:J200)</f>
        <v>0</v>
      </c>
      <c r="K1" s="11" t="n">
        <f aca="false">SUM(K6:K200)</f>
        <v>1500</v>
      </c>
      <c r="L1" s="11" t="n">
        <f aca="false">SUM(L6:L200)</f>
        <v>6000</v>
      </c>
      <c r="M1" s="11" t="n">
        <f aca="false">SUM(M6:M200)</f>
        <v>300</v>
      </c>
      <c r="N1" s="12"/>
      <c r="O1" s="13" t="str">
        <f aca="false">IF(S1=0," ","Check all payment code letters entered")</f>
        <v>Check all payment code letters entered</v>
      </c>
      <c r="P1" s="13"/>
      <c r="Q1" s="14"/>
      <c r="R1" s="15" t="s">
        <v>0</v>
      </c>
      <c r="S1" s="10" t="n">
        <f aca="false">T1-SUM(U1:AC1)</f>
        <v>3000</v>
      </c>
      <c r="T1" s="11" t="n">
        <f aca="false">SUM(T6:T200)</f>
        <v>10153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194095</v>
      </c>
      <c r="B2" s="17" t="s">
        <v>1</v>
      </c>
      <c r="C2" s="8" t="n">
        <f aca="false">[1]Admin!$B$14</f>
        <v>46053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46053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194095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46023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46037</v>
      </c>
      <c r="Q6" s="3" t="s">
        <v>57</v>
      </c>
      <c r="S6" s="37" t="s">
        <v>58</v>
      </c>
      <c r="T6" s="6" t="n">
        <v>3000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46023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46041</v>
      </c>
      <c r="Q7" s="3" t="s">
        <v>43</v>
      </c>
      <c r="S7" s="37" t="s">
        <v>41</v>
      </c>
      <c r="T7" s="6" t="n">
        <v>1501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1501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46027</v>
      </c>
      <c r="B8" s="2" t="s">
        <v>46</v>
      </c>
      <c r="E8" s="5" t="s">
        <v>33</v>
      </c>
      <c r="F8" s="6" t="n">
        <v>2500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2500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46050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46029</v>
      </c>
      <c r="B9" s="2" t="s">
        <v>43</v>
      </c>
      <c r="E9" s="5" t="s">
        <v>35</v>
      </c>
      <c r="F9" s="6" t="n">
        <v>1500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n">
        <f aca="false">IF(E9="RV",F9," ")</f>
        <v>1500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46037</v>
      </c>
      <c r="B10" s="2" t="s">
        <v>62</v>
      </c>
      <c r="E10" s="5" t="s">
        <v>36</v>
      </c>
      <c r="F10" s="6" t="n">
        <v>5000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n">
        <f aca="false">IF(E10="DL",F10," ")</f>
        <v>5000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46042</v>
      </c>
      <c r="B11" s="2" t="s">
        <v>47</v>
      </c>
      <c r="E11" s="5" t="s">
        <v>32</v>
      </c>
      <c r="F11" s="6" t="n">
        <v>8000</v>
      </c>
      <c r="G11" s="6" t="str">
        <f aca="false">IF(E11="BC",F11," ")</f>
        <v> </v>
      </c>
      <c r="H11" s="6" t="n">
        <f aca="false">IF(E11="DR",F11," ")</f>
        <v>8000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46047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46050</v>
      </c>
      <c r="B13" s="2" t="s">
        <v>51</v>
      </c>
      <c r="E13" s="5" t="s">
        <v>32</v>
      </c>
      <c r="F13" s="6" t="n">
        <v>4800</v>
      </c>
      <c r="G13" s="6" t="str">
        <f aca="false">IF(E13="BC",F13," ")</f>
        <v> </v>
      </c>
      <c r="H13" s="6" t="n">
        <f aca="false">IF(E13="DR",F13," ")</f>
        <v>4800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46053</v>
      </c>
      <c r="B14" s="2" t="s">
        <v>52</v>
      </c>
      <c r="E14" s="5" t="s">
        <v>33</v>
      </c>
      <c r="F14" s="6" t="n">
        <v>300</v>
      </c>
      <c r="G14" s="6" t="str">
        <f aca="false">IF(E14="BC",F14," ")</f>
        <v> </v>
      </c>
      <c r="H14" s="6" t="str">
        <f aca="false">IF(E14="DR",F14," ")</f>
        <v> </v>
      </c>
      <c r="I14" s="6" t="n">
        <f aca="false">IF(E14="CR",F14," ")</f>
        <v>300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46053</v>
      </c>
      <c r="B15" s="2" t="s">
        <v>53</v>
      </c>
      <c r="E15" s="5" t="s">
        <v>37</v>
      </c>
      <c r="F15" s="6" t="n">
        <v>300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n">
        <f aca="false">IF(E15="X",F15," ")</f>
        <v>300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Jan!A2</f>
        <v>194095</v>
      </c>
      <c r="B1" s="48" t="s">
        <v>54</v>
      </c>
      <c r="C1" s="8" t="n">
        <f aca="false">Jan!C2</f>
        <v>46053</v>
      </c>
      <c r="D1" s="9" t="s">
        <v>0</v>
      </c>
      <c r="E1" s="10" t="n">
        <f aca="false">F1-SUM(G1:M1)</f>
        <v>0</v>
      </c>
      <c r="F1" s="11" t="n">
        <f aca="false">SUM(F6:F200)</f>
        <v>19700</v>
      </c>
      <c r="G1" s="11" t="n">
        <f aca="false">SUM(G6:G200)</f>
        <v>0</v>
      </c>
      <c r="H1" s="11" t="n">
        <f aca="false">SUM(H6:H200)</f>
        <v>14300</v>
      </c>
      <c r="I1" s="11" t="n">
        <f aca="false">SUM(I6:I200)</f>
        <v>4400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206642</v>
      </c>
      <c r="B2" s="17" t="s">
        <v>1</v>
      </c>
      <c r="C2" s="8" t="n">
        <f aca="false">[1]Admin!$B$15</f>
        <v>46081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46081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206642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46054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46072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46054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46081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46058</v>
      </c>
      <c r="B8" s="2" t="s">
        <v>46</v>
      </c>
      <c r="E8" s="5" t="s">
        <v>33</v>
      </c>
      <c r="F8" s="6" t="n">
        <v>2900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2900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46073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46078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46081</v>
      </c>
      <c r="B11" s="2" t="s">
        <v>52</v>
      </c>
      <c r="E11" s="5" t="s">
        <v>33</v>
      </c>
      <c r="F11" s="6" t="n">
        <v>300</v>
      </c>
      <c r="G11" s="6" t="str">
        <f aca="false">IF(E11="BC",F11," ")</f>
        <v> </v>
      </c>
      <c r="H11" s="6" t="str">
        <f aca="false">IF(E11="DR",F11," ")</f>
        <v> </v>
      </c>
      <c r="I11" s="6" t="n">
        <f aca="false">IF(E11="CR",F11," ")</f>
        <v>300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46081</v>
      </c>
      <c r="B12" s="2" t="s">
        <v>51</v>
      </c>
      <c r="E12" s="5" t="s">
        <v>32</v>
      </c>
      <c r="F12" s="6" t="n">
        <v>3900</v>
      </c>
      <c r="G12" s="6" t="str">
        <f aca="false">IF(E12="BC",F12," ")</f>
        <v> </v>
      </c>
      <c r="H12" s="6" t="n">
        <f aca="false">IF(E12="DR",F12," ")</f>
        <v>3900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Feb!A2</f>
        <v>206642</v>
      </c>
      <c r="B1" s="48" t="s">
        <v>54</v>
      </c>
      <c r="C1" s="8" t="n">
        <f aca="false">Feb!C2</f>
        <v>46081</v>
      </c>
      <c r="D1" s="9" t="s">
        <v>0</v>
      </c>
      <c r="E1" s="10" t="n">
        <f aca="false">F1-SUM(G1:M1)</f>
        <v>0</v>
      </c>
      <c r="F1" s="11" t="n">
        <f aca="false">SUM(F6:F200)</f>
        <v>24600</v>
      </c>
      <c r="G1" s="11" t="n">
        <f aca="false">SUM(G6:G200)</f>
        <v>0</v>
      </c>
      <c r="H1" s="11" t="n">
        <f aca="false">SUM(H6:H200)</f>
        <v>14800</v>
      </c>
      <c r="I1" s="11" t="n">
        <f aca="false">SUM(I6:I200)</f>
        <v>3800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5000</v>
      </c>
      <c r="N1" s="12"/>
      <c r="O1" s="13" t="str">
        <f aca="false">IF(S1=0," ","Check all payment code letters entered")</f>
        <v>Check all payment code letters entered</v>
      </c>
      <c r="P1" s="13"/>
      <c r="Q1" s="14"/>
      <c r="R1" s="15" t="s">
        <v>0</v>
      </c>
      <c r="S1" s="10" t="n">
        <f aca="false">T1-SUM(U1:AC1)</f>
        <v>6000</v>
      </c>
      <c r="T1" s="11" t="n">
        <f aca="false">SUM(T6:T200)</f>
        <v>13278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125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217964</v>
      </c>
      <c r="B2" s="17" t="s">
        <v>1</v>
      </c>
      <c r="C2" s="8" t="n">
        <f aca="false">[1]Admin!$B$17</f>
        <v>46117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46117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217964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46082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46100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46082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46109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46086</v>
      </c>
      <c r="B8" s="2" t="s">
        <v>46</v>
      </c>
      <c r="E8" s="5" t="s">
        <v>33</v>
      </c>
      <c r="F8" s="6" t="n">
        <v>2300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2300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46112</v>
      </c>
      <c r="Q8" s="3" t="s">
        <v>56</v>
      </c>
      <c r="S8" s="37" t="s">
        <v>39</v>
      </c>
      <c r="T8" s="6" t="n">
        <v>125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125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46096</v>
      </c>
      <c r="B9" s="2" t="s">
        <v>63</v>
      </c>
      <c r="E9" s="5" t="s">
        <v>37</v>
      </c>
      <c r="F9" s="6" t="n">
        <v>5000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n">
        <f aca="false">IF(E9="X",F9," ")</f>
        <v>5000</v>
      </c>
      <c r="N9" s="38"/>
      <c r="P9" s="4" t="n">
        <v>46112</v>
      </c>
      <c r="Q9" s="3" t="s">
        <v>57</v>
      </c>
      <c r="S9" s="37" t="s">
        <v>58</v>
      </c>
      <c r="T9" s="6" t="n">
        <v>6000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46101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46106</v>
      </c>
      <c r="B11" s="2" t="s">
        <v>49</v>
      </c>
      <c r="E11" s="5" t="s">
        <v>32</v>
      </c>
      <c r="F11" s="6" t="n">
        <v>2400</v>
      </c>
      <c r="G11" s="6" t="str">
        <f aca="false">IF(E11="BC",F11," ")</f>
        <v> </v>
      </c>
      <c r="H11" s="6" t="n">
        <f aca="false">IF(E11="DR",F11," ")</f>
        <v>2400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46109</v>
      </c>
      <c r="B12" s="2" t="s">
        <v>51</v>
      </c>
      <c r="E12" s="5" t="s">
        <v>32</v>
      </c>
      <c r="F12" s="6" t="n">
        <v>4400</v>
      </c>
      <c r="G12" s="6" t="str">
        <f aca="false">IF(E12="BC",F12," ")</f>
        <v> </v>
      </c>
      <c r="H12" s="6" t="n">
        <f aca="false">IF(E12="DR",F12," ")</f>
        <v>4400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46112</v>
      </c>
      <c r="B13" s="2" t="s">
        <v>52</v>
      </c>
      <c r="E13" s="5" t="s">
        <v>33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n">
        <f aca="false">IF(E13="CR",F13," ")</f>
        <v>300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