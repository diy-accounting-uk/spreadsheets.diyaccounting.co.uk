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pr" sheetId="1" state="visible" r:id="rId3"/>
    <sheet name="May" sheetId="2" state="visible" r:id="rId4"/>
    <sheet name="Jun" sheetId="3" state="visible" r:id="rId5"/>
    <sheet name="Jul" sheetId="4" state="visible" r:id="rId6"/>
    <sheet name="Aug" sheetId="5" state="visible" r:id="rId7"/>
    <sheet name="Sep" sheetId="6" state="visible" r:id="rId8"/>
    <sheet name="Oct" sheetId="7" state="visible" r:id="rId9"/>
    <sheet name="Nov" sheetId="8" state="visible" r:id="rId10"/>
    <sheet name="Dec" sheetId="9" state="visible" r:id="rId11"/>
    <sheet name="Jan" sheetId="10" state="visible" r:id="rId12"/>
    <sheet name="Feb" sheetId="11" state="visible" r:id="rId13"/>
    <sheet name="Mar" sheetId="12" state="visible" r:id="rId14"/>
  </sheets>
  <externalReferences>
    <externalReference r:id="rId15"/>
  </externalReferences>
  <definedNames>
    <definedName function="false" hidden="false" localSheetId="0" name="_xlnm.Print_Area" vbProcedure="false">Apr!$A$1:$AA$75</definedName>
    <definedName function="false" hidden="false" localSheetId="0" name="_xlnm.Print_Titles" vbProcedure="false">Apr!$1:$5</definedName>
    <definedName function="false" hidden="false" localSheetId="4" name="_xlnm.Print_Area" vbProcedure="false">Aug!$A$1:$AA$75</definedName>
    <definedName function="false" hidden="false" localSheetId="4" name="_xlnm.Print_Titles" vbProcedure="false">Aug!$1:$5</definedName>
    <definedName function="false" hidden="false" localSheetId="8" name="_xlnm.Print_Area" vbProcedure="false">Dec!$A$1:$AA$75</definedName>
    <definedName function="false" hidden="false" localSheetId="8" name="_xlnm.Print_Titles" vbProcedure="false">Dec!$1:$5</definedName>
    <definedName function="false" hidden="false" localSheetId="10" name="_xlnm.Print_Area" vbProcedure="false">Feb!$A$1:$AA$75</definedName>
    <definedName function="false" hidden="false" localSheetId="10" name="_xlnm.Print_Titles" vbProcedure="false">Feb!$1:$5</definedName>
    <definedName function="false" hidden="false" localSheetId="9" name="_xlnm.Print_Area" vbProcedure="false">Jan!$A$1:$AA$75</definedName>
    <definedName function="false" hidden="false" localSheetId="9" name="_xlnm.Print_Titles" vbProcedure="false">Jan!$1:$5</definedName>
    <definedName function="false" hidden="false" localSheetId="3" name="_xlnm.Print_Area" vbProcedure="false">Jul!$A$1:$AA$75</definedName>
    <definedName function="false" hidden="false" localSheetId="3" name="_xlnm.Print_Titles" vbProcedure="false">Jul!$1:$5</definedName>
    <definedName function="false" hidden="false" localSheetId="2" name="_xlnm.Print_Area" vbProcedure="false">Jun!$A$1:$AA$75</definedName>
    <definedName function="false" hidden="false" localSheetId="2" name="_xlnm.Print_Titles" vbProcedure="false">Jun!$1:$5</definedName>
    <definedName function="false" hidden="false" localSheetId="11" name="_xlnm.Print_Area" vbProcedure="false">Mar!$A$1:$AA$75</definedName>
    <definedName function="false" hidden="false" localSheetId="11" name="_xlnm.Print_Titles" vbProcedure="false">Mar!$1:$5</definedName>
    <definedName function="false" hidden="false" localSheetId="1" name="_xlnm.Print_Area" vbProcedure="false">May!$A$1:$AA$75</definedName>
    <definedName function="false" hidden="false" localSheetId="1" name="_xlnm.Print_Titles" vbProcedure="false">May!$1:$5</definedName>
    <definedName function="false" hidden="false" localSheetId="7" name="_xlnm.Print_Area" vbProcedure="false">Nov!$A$1:$AA$75</definedName>
    <definedName function="false" hidden="false" localSheetId="7" name="_xlnm.Print_Titles" vbProcedure="false">Nov!$1:$5</definedName>
    <definedName function="false" hidden="false" localSheetId="6" name="_xlnm.Print_Area" vbProcedure="false">Oct!$A$1:$AA$75</definedName>
    <definedName function="false" hidden="false" localSheetId="6" name="_xlnm.Print_Titles" vbProcedure="false">Oct!$1:$5</definedName>
    <definedName function="false" hidden="false" localSheetId="5" name="_xlnm.Print_Area" vbProcedure="false">Sep!$A$1:$AA$75</definedName>
    <definedName function="false" hidden="false" localSheetId="5" name="_xlnm.Print_Titles" vbProcedure="false">Sep!$1:$5</definedName>
    <definedName function="false" hidden="false" localSheetId="0" name="_xlnm_Print_Area" vbProcedure="false">Apr!$A$1:$AA$75</definedName>
    <definedName function="false" hidden="false" localSheetId="0" name="_xlnm_Print_Titles" vbProcedure="false">Apr!$1:$5</definedName>
    <definedName function="false" hidden="false" localSheetId="1" name="_xlnm_Print_Area" vbProcedure="false">May!$A$1:$AA$75</definedName>
    <definedName function="false" hidden="false" localSheetId="1" name="_xlnm_Print_Titles" vbProcedure="false">May!$1:$5</definedName>
    <definedName function="false" hidden="false" localSheetId="2" name="_xlnm_Print_Area" vbProcedure="false">Jun!$A$1:$AA$75</definedName>
    <definedName function="false" hidden="false" localSheetId="2" name="_xlnm_Print_Titles" vbProcedure="false">Jun!$1:$5</definedName>
    <definedName function="false" hidden="false" localSheetId="3" name="_xlnm_Print_Area" vbProcedure="false">Jul!$A$1:$AA$75</definedName>
    <definedName function="false" hidden="false" localSheetId="3" name="_xlnm_Print_Titles" vbProcedure="false">Jul!$1:$5</definedName>
    <definedName function="false" hidden="false" localSheetId="4" name="_xlnm_Print_Area" vbProcedure="false">Aug!$A$1:$AA$75</definedName>
    <definedName function="false" hidden="false" localSheetId="4" name="_xlnm_Print_Titles" vbProcedure="false">Aug!$1:$5</definedName>
    <definedName function="false" hidden="false" localSheetId="5" name="_xlnm_Print_Area" vbProcedure="false">Sep!$A$1:$AA$75</definedName>
    <definedName function="false" hidden="false" localSheetId="5" name="_xlnm_Print_Titles" vbProcedure="false">Sep!$1:$5</definedName>
    <definedName function="false" hidden="false" localSheetId="6" name="_xlnm_Print_Area" vbProcedure="false">Oct!$A$1:$AA$75</definedName>
    <definedName function="false" hidden="false" localSheetId="6" name="_xlnm_Print_Titles" vbProcedure="false">Oct!$1:$5</definedName>
    <definedName function="false" hidden="false" localSheetId="7" name="_xlnm_Print_Area" vbProcedure="false">Nov!$A$1:$AA$75</definedName>
    <definedName function="false" hidden="false" localSheetId="7" name="_xlnm_Print_Titles" vbProcedure="false">Nov!$1:$5</definedName>
    <definedName function="false" hidden="false" localSheetId="8" name="_xlnm_Print_Area" vbProcedure="false">Dec!$A$1:$AA$75</definedName>
    <definedName function="false" hidden="false" localSheetId="8" name="_xlnm_Print_Titles" vbProcedure="false">Dec!$1:$5</definedName>
    <definedName function="false" hidden="false" localSheetId="9" name="_xlnm_Print_Area" vbProcedure="false">Jan!$A$1:$AA$75</definedName>
    <definedName function="false" hidden="false" localSheetId="9" name="_xlnm_Print_Titles" vbProcedure="false">Jan!$1:$5</definedName>
    <definedName function="false" hidden="false" localSheetId="10" name="_xlnm_Print_Area" vbProcedure="false">Feb!$A$1:$AA$75</definedName>
    <definedName function="false" hidden="false" localSheetId="10" name="_xlnm_Print_Titles" vbProcedure="false">Feb!$1:$5</definedName>
    <definedName function="false" hidden="false" localSheetId="11" name="_xlnm_Print_Area" vbProcedure="false">Mar!$A$1:$AA$75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<sst xmlns="http://schemas.openxmlformats.org/spreadsheetml/2006/main" count="1180" uniqueCount="236">
  <si>
    <t xml:space="preserve">&lt;  Opening Bank Balance</t>
  </si>
  <si>
    <t xml:space="preserve">Totals &gt;</t>
  </si>
  <si>
    <t xml:space="preserve">&lt;  Closing Bank Balance</t>
  </si>
  <si>
    <t xml:space="preserve">Deposit   Bank     Reference</t>
  </si>
  <si>
    <t xml:space="preserve">Enter Code Letters</t>
  </si>
  <si>
    <t xml:space="preserve">ENTER BANK RECEIPTS</t>
  </si>
  <si>
    <t xml:space="preserve">CURRENT ACCOUNT STATEMENT RECEIPTS</t>
  </si>
  <si>
    <t xml:space="preserve">Enter Purchase Invoice No.</t>
  </si>
  <si>
    <t xml:space="preserve">Cheque number  Direct Debit</t>
  </si>
  <si>
    <t xml:space="preserve">ENTER BANK PAYMENT</t>
  </si>
  <si>
    <t xml:space="preserve">CURRENT ACCOUNT STATEMENT PAYMENTS</t>
  </si>
  <si>
    <t xml:space="preserve">&lt;  Statement Bank Balance</t>
  </si>
  <si>
    <t xml:space="preserve">Cash paid into Bank</t>
  </si>
  <si>
    <t xml:space="preserve">Amount Received Debtors</t>
  </si>
  <si>
    <t xml:space="preserve">Amount Received Creditors</t>
  </si>
  <si>
    <t xml:space="preserve">Bank Interest Received</t>
  </si>
  <si>
    <t xml:space="preserve">HMRC   Refunded</t>
  </si>
  <si>
    <t xml:space="preserve">Capital Introduced</t>
  </si>
  <si>
    <t xml:space="preserve">Bank Contra items</t>
  </si>
  <si>
    <t xml:space="preserve">Cash Withdrawn from Bank</t>
  </si>
  <si>
    <t xml:space="preserve">Amount Paid Creditors</t>
  </si>
  <si>
    <t xml:space="preserve">Amount Paid Debtors</t>
  </si>
  <si>
    <t xml:space="preserve">Net        Wages      Paid</t>
  </si>
  <si>
    <t xml:space="preserve">HP Interest Leasing &amp; Bank Charges</t>
  </si>
  <si>
    <t xml:space="preserve">Bank Loan &amp; Overdraft Interest</t>
  </si>
  <si>
    <t xml:space="preserve">HMRC Payments</t>
  </si>
  <si>
    <t xml:space="preserve">Drawings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</si>
  <si>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</si>
  <si>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</si>
  <si>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</si>
  <si>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</si>
  <si>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</si>
  <si>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BC</t>
  </si>
  <si>
    <t xml:space="preserve">DR</t>
  </si>
  <si>
    <t xml:space="preserve">CR</t>
  </si>
  <si>
    <t xml:space="preserve">K</t>
  </si>
  <si>
    <t xml:space="preserve">RV</t>
  </si>
  <si>
    <t xml:space="preserve">DL</t>
  </si>
  <si>
    <t xml:space="preserve">X</t>
  </si>
  <si>
    <t xml:space="preserve">W</t>
  </si>
  <si>
    <t xml:space="preserve">B</t>
  </si>
  <si>
    <t xml:space="preserve">J</t>
  </si>
  <si>
    <t xml:space="preserve">RP</t>
  </si>
  <si>
    <t xml:space="preserve">Acme Corp</t>
  </si>
  <si>
    <t xml:space="preserve">BNK-DR-037</t>
  </si>
  <si>
    <t xml:space="preserve">Opening debtor receipt</t>
  </si>
  <si>
    <t xml:space="preserve">WorkSpace Ltd</t>
  </si>
  <si>
    <t xml:space="preserve">BNK-CR-001</t>
  </si>
  <si>
    <t xml:space="preserve">Office rent payment</t>
  </si>
  <si>
    <t xml:space="preserve">Beta Systems</t>
  </si>
  <si>
    <t xml:space="preserve">BNK-DR-038</t>
  </si>
  <si>
    <t xml:space="preserve">Director</t>
  </si>
  <si>
    <t xml:space="preserve">BNK-DL-001</t>
  </si>
  <si>
    <t xml:space="preserve">Directors loan repayment</t>
  </si>
  <si>
    <t xml:space="preserve">BNK-DR-001</t>
  </si>
  <si>
    <t xml:space="preserve">Customer receipt</t>
  </si>
  <si>
    <t xml:space="preserve">Various suppliers</t>
  </si>
  <si>
    <t xml:space="preserve">BNK-CR-MISC-001</t>
  </si>
  <si>
    <t xml:space="preserve">Aggregate supplier payments</t>
  </si>
  <si>
    <t xml:space="preserve">TechStart Ltd</t>
  </si>
  <si>
    <t xml:space="preserve">BNK-DR-013</t>
  </si>
  <si>
    <t xml:space="preserve">HMRC</t>
  </si>
  <si>
    <t xml:space="preserve">BNK-RP-001</t>
  </si>
  <si>
    <t xml:space="preserve">Monthly PAYE/NI payment</t>
  </si>
  <si>
    <t xml:space="preserve">Gamma Ltd</t>
  </si>
  <si>
    <t xml:space="preserve">BNK-DR-039</t>
  </si>
  <si>
    <t xml:space="preserve">Payroll</t>
  </si>
  <si>
    <t xml:space="preserve">BNK-W-001</t>
  </si>
  <si>
    <t xml:space="preserve">Monthly net wages (all staff)</t>
  </si>
  <si>
    <t xml:space="preserve">Various customers</t>
  </si>
  <si>
    <t xml:space="preserve">BNK-DR-025</t>
  </si>
  <si>
    <t xml:space="preserve">Aggregate customer receipts</t>
  </si>
  <si>
    <t xml:space="preserve">Smith &amp; Co</t>
  </si>
  <si>
    <t xml:space="preserve">BNK-CR-013</t>
  </si>
  <si>
    <t xml:space="preserve">Accountancy fee payment</t>
  </si>
  <si>
    <t xml:space="preserve">Credit card payment</t>
  </si>
  <si>
    <t xml:space="preserve">BNK-X-CC-001</t>
  </si>
  <si>
    <t xml:space="preserve">Pay credit card balance</t>
  </si>
  <si>
    <t xml:space="preserve">BNK-DR-002</t>
  </si>
  <si>
    <t xml:space="preserve">BNK-CR-002</t>
  </si>
  <si>
    <t xml:space="preserve">BNK-DR-014</t>
  </si>
  <si>
    <t xml:space="preserve">BNK-DL-002</t>
  </si>
  <si>
    <t xml:space="preserve">BNK-DR-026</t>
  </si>
  <si>
    <t xml:space="preserve">BNK-CR-MISC-002</t>
  </si>
  <si>
    <t xml:space="preserve">BNK-RP-002</t>
  </si>
  <si>
    <t xml:space="preserve">HSBC</t>
  </si>
  <si>
    <t xml:space="preserve">BNK-B-001</t>
  </si>
  <si>
    <t xml:space="preserve">Bank charges</t>
  </si>
  <si>
    <t xml:space="preserve">BNK-W-002</t>
  </si>
  <si>
    <t xml:space="preserve">BNK-CR-014</t>
  </si>
  <si>
    <t xml:space="preserve">BNK-RV-VAT-000</t>
  </si>
  <si>
    <t xml:space="preserve">VAT payment, prior year fourth quarter</t>
  </si>
  <si>
    <t xml:space="preserve">BNK-DR-003</t>
  </si>
  <si>
    <t xml:space="preserve">BNK-CR-003</t>
  </si>
  <si>
    <t xml:space="preserve">BNK-DR-015</t>
  </si>
  <si>
    <t xml:space="preserve">BNK-DL-003</t>
  </si>
  <si>
    <t xml:space="preserve">BNK-DR-027</t>
  </si>
  <si>
    <t xml:space="preserve">BNK-CR-MISC-003</t>
  </si>
  <si>
    <t xml:space="preserve">Cash top-up</t>
  </si>
  <si>
    <t xml:space="preserve">BNK-BC-001</t>
  </si>
  <si>
    <t xml:space="preserve">Transfer to cash float</t>
  </si>
  <si>
    <t xml:space="preserve">BNK-RP-003</t>
  </si>
  <si>
    <t xml:space="preserve">BNK-W-003</t>
  </si>
  <si>
    <t xml:space="preserve">Directors loan interest</t>
  </si>
  <si>
    <t xml:space="preserve">BNK-B-INT-001</t>
  </si>
  <si>
    <t xml:space="preserve">Quarterly loan interest payment</t>
  </si>
  <si>
    <t xml:space="preserve">BNK-CR-015</t>
  </si>
  <si>
    <t xml:space="preserve">Close Brothers Asset Finance</t>
  </si>
  <si>
    <t xml:space="preserve">BNK-HP-INT-001</t>
  </si>
  <si>
    <t xml:space="preserve">HP-2025-01 admin charges and interest</t>
  </si>
  <si>
    <t xml:space="preserve">BNK-HP-CAP-001</t>
  </si>
  <si>
    <t xml:space="preserve">HP-2025-01 capital repayment</t>
  </si>
  <si>
    <t xml:space="preserve">BNK-DR-004</t>
  </si>
  <si>
    <t xml:space="preserve">BNK-CR-004</t>
  </si>
  <si>
    <t xml:space="preserve">BNK-DR-016</t>
  </si>
  <si>
    <t xml:space="preserve">BNK-DL-004</t>
  </si>
  <si>
    <t xml:space="preserve">BNK-DR-028</t>
  </si>
  <si>
    <t xml:space="preserve">BNK-CR-MISC-004</t>
  </si>
  <si>
    <t xml:space="preserve">Proprietor</t>
  </si>
  <si>
    <t xml:space="preserve">BNK-DV-001</t>
  </si>
  <si>
    <t xml:space="preserve">Quarterly drawings payment</t>
  </si>
  <si>
    <t xml:space="preserve">BNK-RP-004</t>
  </si>
  <si>
    <t xml:space="preserve">BNK-RC-CIS-001</t>
  </si>
  <si>
    <t xml:space="preserve">CIS deduction remittance</t>
  </si>
  <si>
    <t xml:space="preserve">BNK-W-004</t>
  </si>
  <si>
    <t xml:space="preserve">BNK-CR-016</t>
  </si>
  <si>
    <t xml:space="preserve">BNK-X-CC-002</t>
  </si>
  <si>
    <t xml:space="preserve">Innovate UK</t>
  </si>
  <si>
    <t xml:space="preserve">BNK-RV-001</t>
  </si>
  <si>
    <t xml:space="preserve">Grant received</t>
  </si>
  <si>
    <t xml:space="preserve">BNK-RV-VAT-001</t>
  </si>
  <si>
    <t xml:space="preserve">VAT payment Q1 Apr-Jun</t>
  </si>
  <si>
    <t xml:space="preserve">BNK-DR-005</t>
  </si>
  <si>
    <t xml:space="preserve">BNK-CR-005</t>
  </si>
  <si>
    <t xml:space="preserve">BNK-DR-017</t>
  </si>
  <si>
    <t xml:space="preserve">BNK-DL-005</t>
  </si>
  <si>
    <t xml:space="preserve">BNK-DR-029</t>
  </si>
  <si>
    <t xml:space="preserve">BNK-CR-MISC-005</t>
  </si>
  <si>
    <t xml:space="preserve">BNK-RP-005</t>
  </si>
  <si>
    <t xml:space="preserve">BNK-W-005</t>
  </si>
  <si>
    <t xml:space="preserve">BNK-CR-017</t>
  </si>
  <si>
    <t xml:space="preserve">BNK-DR-006</t>
  </si>
  <si>
    <t xml:space="preserve">BNK-CR-006</t>
  </si>
  <si>
    <t xml:space="preserve">BNK-DR-018</t>
  </si>
  <si>
    <t xml:space="preserve">BNK-DL-006</t>
  </si>
  <si>
    <t xml:space="preserve">BNK-DR-030</t>
  </si>
  <si>
    <t xml:space="preserve">BNK-CR-MISC-006</t>
  </si>
  <si>
    <t xml:space="preserve">BNK-RP-006</t>
  </si>
  <si>
    <t xml:space="preserve">BNK-W-006</t>
  </si>
  <si>
    <t xml:space="preserve">BNK-B-INT-002</t>
  </si>
  <si>
    <t xml:space="preserve">BNK-CR-018</t>
  </si>
  <si>
    <t xml:space="preserve">BNK-HP-INT-002</t>
  </si>
  <si>
    <t xml:space="preserve">HP-2025-02 admin charges and interest</t>
  </si>
  <si>
    <t xml:space="preserve">BNK-HP-CAP-002</t>
  </si>
  <si>
    <t xml:space="preserve">HP-2025-02 capital repayment</t>
  </si>
  <si>
    <t xml:space="preserve">Private buyer</t>
  </si>
  <si>
    <t xml:space="preserve">BNK-DR-040</t>
  </si>
  <si>
    <t xml:space="preserve">Van sale proceeds</t>
  </si>
  <si>
    <t xml:space="preserve">BNK-CR-007</t>
  </si>
  <si>
    <t xml:space="preserve">BNK-DR-007</t>
  </si>
  <si>
    <t xml:space="preserve">BNK-DL-007</t>
  </si>
  <si>
    <t xml:space="preserve">BNK-DR-019</t>
  </si>
  <si>
    <t xml:space="preserve">BNK-RT-CT-001</t>
  </si>
  <si>
    <t xml:space="preserve">Corporation Tax prior year</t>
  </si>
  <si>
    <t xml:space="preserve">BNK-DR-031</t>
  </si>
  <si>
    <t xml:space="preserve">BNK-CR-MISC-007</t>
  </si>
  <si>
    <t xml:space="preserve">BNK-DV-002</t>
  </si>
  <si>
    <t xml:space="preserve">BNK-RP-007</t>
  </si>
  <si>
    <t xml:space="preserve">Ford</t>
  </si>
  <si>
    <t xml:space="preserve">BNK-CR-FA-001</t>
  </si>
  <si>
    <t xml:space="preserve">Ford Transit Custom purchase</t>
  </si>
  <si>
    <t xml:space="preserve">BNK-W-007</t>
  </si>
  <si>
    <t xml:space="preserve">BNK-CR-019</t>
  </si>
  <si>
    <t xml:space="preserve">BNK-X-CC-003</t>
  </si>
  <si>
    <t xml:space="preserve">BNK-DR-008</t>
  </si>
  <si>
    <t xml:space="preserve">BNK-RV-VAT-002</t>
  </si>
  <si>
    <t xml:space="preserve">VAT payment Q2 Jul-Sep</t>
  </si>
  <si>
    <t xml:space="preserve">BNK-DR-020</t>
  </si>
  <si>
    <t xml:space="preserve">BNK-CR-008</t>
  </si>
  <si>
    <t xml:space="preserve">BNK-DR-032</t>
  </si>
  <si>
    <t xml:space="preserve">BNK-DL-008</t>
  </si>
  <si>
    <t xml:space="preserve">BNK-CR-MISC-008</t>
  </si>
  <si>
    <t xml:space="preserve">BNK-RP-008</t>
  </si>
  <si>
    <t xml:space="preserve">BNK-B-002</t>
  </si>
  <si>
    <t xml:space="preserve">BNK-W-008</t>
  </si>
  <si>
    <t xml:space="preserve">BNK-CR-020</t>
  </si>
  <si>
    <t xml:space="preserve">BNK-DR-009</t>
  </si>
  <si>
    <t xml:space="preserve">BNK-CR-009</t>
  </si>
  <si>
    <t xml:space="preserve">BNK-DR-021</t>
  </si>
  <si>
    <t xml:space="preserve">BNK-DL-009</t>
  </si>
  <si>
    <t xml:space="preserve">BNK-DR-033</t>
  </si>
  <si>
    <t xml:space="preserve">BNK-CR-MISC-009</t>
  </si>
  <si>
    <t xml:space="preserve">BNK-RP-009</t>
  </si>
  <si>
    <t xml:space="preserve">BNK-RC-CIS-002</t>
  </si>
  <si>
    <t xml:space="preserve">BNK-W-009</t>
  </si>
  <si>
    <t xml:space="preserve">BNK-B-INT-003</t>
  </si>
  <si>
    <t xml:space="preserve">BNK-CR-021</t>
  </si>
  <si>
    <t xml:space="preserve">Director loan</t>
  </si>
  <si>
    <t xml:space="preserve">BNK-DL-IN-001</t>
  </si>
  <si>
    <t xml:space="preserve">Directors loan advance</t>
  </si>
  <si>
    <t xml:space="preserve">BNK-CR-010</t>
  </si>
  <si>
    <t xml:space="preserve">BNK-DR-010</t>
  </si>
  <si>
    <t xml:space="preserve">BNK-DL-010</t>
  </si>
  <si>
    <t xml:space="preserve">BNK-DR-022</t>
  </si>
  <si>
    <t xml:space="preserve">BNK-CR-MISC-010</t>
  </si>
  <si>
    <t xml:space="preserve">BNK-DR-034</t>
  </si>
  <si>
    <t xml:space="preserve">BNK-DV-003</t>
  </si>
  <si>
    <t xml:space="preserve">BNK-RP-010</t>
  </si>
  <si>
    <t xml:space="preserve">BNK-W-010</t>
  </si>
  <si>
    <t xml:space="preserve">BNK-CR-022</t>
  </si>
  <si>
    <t xml:space="preserve">BNK-X-CC-004</t>
  </si>
  <si>
    <t xml:space="preserve">BNK-DR-011</t>
  </si>
  <si>
    <t xml:space="preserve">BNK-RV-VAT-003</t>
  </si>
  <si>
    <t xml:space="preserve">VAT payment Q3 Oct-Dec</t>
  </si>
  <si>
    <t xml:space="preserve">BNK-DR-023</t>
  </si>
  <si>
    <t xml:space="preserve">BNK-CR-011</t>
  </si>
  <si>
    <t xml:space="preserve">BNK-DR-035</t>
  </si>
  <si>
    <t xml:space="preserve">BNK-DL-011</t>
  </si>
  <si>
    <t xml:space="preserve">BNK-CR-MISC-011</t>
  </si>
  <si>
    <t xml:space="preserve">BNK-RP-011</t>
  </si>
  <si>
    <t xml:space="preserve">BNK-CR-023</t>
  </si>
  <si>
    <t xml:space="preserve">BNK-W-011</t>
  </si>
  <si>
    <t xml:space="preserve">BNK-DR-012</t>
  </si>
  <si>
    <t xml:space="preserve">BNK-CR-012</t>
  </si>
  <si>
    <t xml:space="preserve">BNK-DR-024</t>
  </si>
  <si>
    <t xml:space="preserve">BNK-DL-012</t>
  </si>
  <si>
    <t xml:space="preserve">BNK-DR-036</t>
  </si>
  <si>
    <t xml:space="preserve">BNK-CR-MISC-012</t>
  </si>
  <si>
    <t xml:space="preserve">Internal transfer</t>
  </si>
  <si>
    <t xml:space="preserve">BNK-X-001</t>
  </si>
  <si>
    <t xml:space="preserve">Transfer to savings account</t>
  </si>
  <si>
    <t xml:space="preserve">BNK-RP-012</t>
  </si>
  <si>
    <t xml:space="preserve">BNK-W-012</t>
  </si>
  <si>
    <t xml:space="preserve">BNK-B-INT-004</t>
  </si>
  <si>
    <t xml:space="preserve">BNK-CR-024</t>
  </si>
  <si>
    <t xml:space="preserve">BNK-DV-004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</si>
</sst>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8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10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6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7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6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6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3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2347b8ca/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4">
          <cell r="B4">
            <v>46118</v>
          </cell>
        </row>
        <row r="5">
          <cell r="B5">
            <v>46142</v>
          </cell>
        </row>
        <row r="6">
          <cell r="B6">
            <v>46173</v>
          </cell>
        </row>
        <row r="7">
          <cell r="B7">
            <v>46203</v>
          </cell>
        </row>
        <row r="8">
          <cell r="B8">
            <v>46234</v>
          </cell>
        </row>
        <row r="9">
          <cell r="B9">
            <v>46265</v>
          </cell>
        </row>
        <row r="10">
          <cell r="B10">
            <v>46295</v>
          </cell>
        </row>
        <row r="11">
          <cell r="B11">
            <v>46326</v>
          </cell>
        </row>
        <row r="12">
          <cell r="B12">
            <v>46356</v>
          </cell>
        </row>
        <row r="13">
          <cell r="B13">
            <v>46387</v>
          </cell>
        </row>
        <row r="14">
          <cell r="B14">
            <v>46418</v>
          </cell>
        </row>
        <row r="15">
          <cell r="B15">
            <v>46446</v>
          </cell>
        </row>
        <row r="17">
          <cell r="B17">
            <v>46482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7" t="n">
        <v>25000</v>
      </c>
      <c r="B1" s="8" t="s">
        <v>0</v>
      </c>
      <c r="C1" s="9" t="n">
        <f aca="false">[1]Admin!$B$4</f>
        <v>46118</v>
      </c>
      <c r="D1" s="10" t="s">
        <v>1</v>
      </c>
      <c r="E1" s="11" t="n">
        <f aca="false">F1-SUM(G1:M1)</f>
        <v>0</v>
      </c>
      <c r="F1" s="12" t="n">
        <f aca="false">SUM(F6:F200)</f>
        <v>44200</v>
      </c>
      <c r="G1" s="12" t="n">
        <f aca="false">SUM(G6:G200)</f>
        <v>0</v>
      </c>
      <c r="H1" s="12" t="n">
        <f aca="false">SUM(H6:H200)</f>
        <v>44200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12525.2</v>
      </c>
      <c r="U1" s="12" t="n">
        <f aca="false">SUM(U6:U200)</f>
        <v>0</v>
      </c>
      <c r="V1" s="12" t="n">
        <f aca="false">SUM(V6:V200)</f>
        <v>3700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1673.2</v>
      </c>
      <c r="AB1" s="12" t="n">
        <f aca="false">SUM(AB6:AB200)</f>
        <v>1000</v>
      </c>
      <c r="AC1" s="12" t="n">
        <f aca="false">SUM(AC6:AC200)</f>
        <v>500</v>
      </c>
    </row>
    <row r="2" customFormat="false" ht="15" hidden="false" customHeight="true" outlineLevel="0" collapsed="false">
      <c r="A2" s="17" t="n">
        <f aca="false">A1+F1-T1</f>
        <v>56674.8</v>
      </c>
      <c r="B2" s="18" t="s">
        <v>2</v>
      </c>
      <c r="C2" s="9" t="n">
        <f aca="false">[1]Admin!$B$5</f>
        <v>46142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46142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customFormat="false" ht="19.5" hidden="false" customHeight="true" outlineLevel="0" collapsed="false">
      <c r="A4" s="28" t="n">
        <f aca="false">A2-A3</f>
        <v>56674.8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32"/>
      <c r="BM4" s="32"/>
      <c r="BN4" s="32"/>
      <c r="BO4" s="32"/>
      <c r="BP4" s="32"/>
      <c r="BQ4" s="32"/>
      <c r="BR4" s="32"/>
      <c r="BS4" s="32"/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2"/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2"/>
      <c r="DV4" s="32"/>
      <c r="DW4" s="32"/>
      <c r="DX4" s="32"/>
      <c r="DY4" s="32"/>
      <c r="DZ4" s="32"/>
      <c r="EA4" s="32"/>
      <c r="EB4" s="32"/>
      <c r="EC4" s="32"/>
      <c r="ED4" s="32"/>
      <c r="EE4" s="32"/>
      <c r="EF4" s="32"/>
      <c r="EG4" s="32"/>
      <c r="EH4" s="32"/>
      <c r="EI4" s="32"/>
      <c r="EJ4" s="32"/>
      <c r="EK4" s="32"/>
      <c r="EL4" s="32"/>
      <c r="EM4" s="32"/>
      <c r="EN4" s="32"/>
      <c r="EO4" s="32"/>
      <c r="EP4" s="32"/>
      <c r="EQ4" s="32"/>
      <c r="ER4" s="32"/>
      <c r="ES4" s="32"/>
      <c r="ET4" s="32"/>
      <c r="EU4" s="32"/>
      <c r="EV4" s="32"/>
      <c r="EW4" s="32"/>
      <c r="EX4" s="32"/>
      <c r="EY4" s="32"/>
      <c r="EZ4" s="32"/>
      <c r="FA4" s="32"/>
      <c r="FB4" s="32"/>
      <c r="FC4" s="32"/>
      <c r="FD4" s="32"/>
      <c r="FE4" s="32"/>
      <c r="FF4" s="32"/>
      <c r="FG4" s="32"/>
      <c r="FH4" s="32"/>
      <c r="FI4" s="32"/>
      <c r="FJ4" s="32"/>
      <c r="FK4" s="32"/>
      <c r="FL4" s="32"/>
      <c r="FM4" s="32"/>
      <c r="FN4" s="32"/>
      <c r="FO4" s="32"/>
      <c r="FP4" s="32"/>
      <c r="FQ4" s="32"/>
      <c r="FR4" s="32"/>
      <c r="FS4" s="32"/>
      <c r="FT4" s="32"/>
      <c r="FU4" s="32"/>
      <c r="FV4" s="32"/>
      <c r="FW4" s="32"/>
      <c r="FX4" s="32"/>
      <c r="FY4" s="32"/>
      <c r="FZ4" s="32"/>
      <c r="GA4" s="32"/>
      <c r="GB4" s="32"/>
      <c r="GC4" s="32"/>
      <c r="GD4" s="32"/>
      <c r="GE4" s="32"/>
      <c r="GF4" s="32"/>
      <c r="GG4" s="32"/>
      <c r="GH4" s="32"/>
      <c r="GI4" s="32"/>
      <c r="GJ4" s="32"/>
      <c r="GK4" s="32"/>
      <c r="GL4" s="32"/>
      <c r="GM4" s="32"/>
      <c r="GN4" s="32"/>
      <c r="GO4" s="32"/>
      <c r="GP4" s="32"/>
      <c r="GQ4" s="32"/>
      <c r="GR4" s="32"/>
      <c r="GS4" s="32"/>
      <c r="GT4" s="32"/>
      <c r="GU4" s="32"/>
      <c r="GV4" s="32"/>
      <c r="GW4" s="32"/>
      <c r="GX4" s="32"/>
      <c r="GY4" s="32"/>
      <c r="GZ4" s="32"/>
      <c r="HA4" s="32"/>
      <c r="HB4" s="32"/>
      <c r="HC4" s="32"/>
      <c r="HD4" s="32"/>
      <c r="HE4" s="32"/>
      <c r="HF4" s="32"/>
      <c r="HG4" s="32"/>
      <c r="HH4" s="32"/>
      <c r="HI4" s="32"/>
      <c r="HJ4" s="32"/>
      <c r="HK4" s="32"/>
      <c r="HL4" s="32"/>
      <c r="HM4" s="32"/>
      <c r="HN4" s="32"/>
      <c r="HO4" s="32"/>
      <c r="HP4" s="32"/>
      <c r="HQ4" s="32"/>
      <c r="HR4" s="32"/>
      <c r="HS4" s="32"/>
      <c r="HT4" s="32"/>
      <c r="HU4" s="32"/>
      <c r="HV4" s="32"/>
      <c r="HW4" s="32"/>
      <c r="HX4" s="32"/>
      <c r="HY4" s="32"/>
      <c r="HZ4" s="32"/>
      <c r="IA4" s="32"/>
      <c r="IB4" s="32"/>
      <c r="IC4" s="32"/>
      <c r="ID4" s="32"/>
      <c r="IE4" s="32"/>
      <c r="IF4" s="32"/>
      <c r="IG4" s="32"/>
      <c r="IH4" s="32"/>
      <c r="II4" s="32"/>
      <c r="IJ4" s="32"/>
      <c r="IK4" s="32"/>
      <c r="IL4" s="32"/>
      <c r="IM4" s="32"/>
      <c r="IN4" s="32"/>
      <c r="IO4" s="32"/>
      <c r="IP4" s="32"/>
      <c r="IQ4" s="32"/>
      <c r="IR4" s="32"/>
      <c r="IS4" s="32"/>
      <c r="IT4" s="32"/>
      <c r="IU4" s="32"/>
      <c r="IV4" s="32"/>
      <c r="IW4" s="32"/>
    </row>
    <row r="5" customFormat="fals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2"/>
      <c r="BL5" s="32"/>
      <c r="BM5" s="32"/>
      <c r="BN5" s="32"/>
      <c r="BO5" s="32"/>
      <c r="BP5" s="32"/>
      <c r="BQ5" s="32"/>
      <c r="BR5" s="32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2"/>
      <c r="DV5" s="32"/>
      <c r="DW5" s="32"/>
      <c r="DX5" s="32"/>
      <c r="DY5" s="32"/>
      <c r="DZ5" s="32"/>
      <c r="EA5" s="32"/>
      <c r="EB5" s="32"/>
      <c r="EC5" s="32"/>
      <c r="ED5" s="32"/>
      <c r="EE5" s="32"/>
      <c r="EF5" s="32"/>
      <c r="EG5" s="32"/>
      <c r="EH5" s="32"/>
      <c r="EI5" s="32"/>
      <c r="EJ5" s="32"/>
      <c r="EK5" s="32"/>
      <c r="EL5" s="32"/>
      <c r="EM5" s="32"/>
      <c r="EN5" s="32"/>
      <c r="EO5" s="32"/>
      <c r="EP5" s="32"/>
      <c r="EQ5" s="32"/>
      <c r="ER5" s="32"/>
      <c r="ES5" s="32"/>
      <c r="ET5" s="32"/>
      <c r="EU5" s="32"/>
      <c r="EV5" s="32"/>
      <c r="EW5" s="32"/>
      <c r="EX5" s="32"/>
      <c r="EY5" s="32"/>
      <c r="EZ5" s="32"/>
      <c r="FA5" s="32"/>
      <c r="FB5" s="32"/>
      <c r="FC5" s="32"/>
      <c r="FD5" s="32"/>
      <c r="FE5" s="32"/>
      <c r="FF5" s="32"/>
      <c r="FG5" s="32"/>
      <c r="FH5" s="32"/>
      <c r="FI5" s="32"/>
      <c r="FJ5" s="32"/>
      <c r="FK5" s="32"/>
      <c r="FL5" s="32"/>
      <c r="FM5" s="32"/>
      <c r="FN5" s="32"/>
      <c r="FO5" s="32"/>
      <c r="FP5" s="32"/>
      <c r="FQ5" s="32"/>
      <c r="FR5" s="32"/>
      <c r="FS5" s="32"/>
      <c r="FT5" s="32"/>
      <c r="FU5" s="32"/>
      <c r="FV5" s="32"/>
      <c r="FW5" s="32"/>
      <c r="FX5" s="32"/>
      <c r="FY5" s="32"/>
      <c r="FZ5" s="32"/>
      <c r="GA5" s="32"/>
      <c r="GB5" s="32"/>
      <c r="GC5" s="32"/>
      <c r="GD5" s="32"/>
      <c r="GE5" s="32"/>
      <c r="GF5" s="32"/>
      <c r="GG5" s="32"/>
      <c r="GH5" s="32"/>
      <c r="GI5" s="32"/>
      <c r="GJ5" s="32"/>
      <c r="GK5" s="32"/>
      <c r="GL5" s="32"/>
      <c r="GM5" s="32"/>
      <c r="GN5" s="32"/>
      <c r="GO5" s="32"/>
      <c r="GP5" s="32"/>
      <c r="GQ5" s="32"/>
      <c r="GR5" s="32"/>
      <c r="GS5" s="32"/>
      <c r="GT5" s="32"/>
      <c r="GU5" s="32"/>
      <c r="GV5" s="32"/>
      <c r="GW5" s="32"/>
      <c r="GX5" s="32"/>
      <c r="GY5" s="32"/>
      <c r="GZ5" s="32"/>
      <c r="HA5" s="32"/>
      <c r="HB5" s="32"/>
      <c r="HC5" s="32"/>
      <c r="HD5" s="32"/>
      <c r="HE5" s="32"/>
      <c r="HF5" s="32"/>
      <c r="HG5" s="32"/>
      <c r="HH5" s="32"/>
      <c r="HI5" s="32"/>
      <c r="HJ5" s="32"/>
      <c r="HK5" s="32"/>
      <c r="HL5" s="32"/>
      <c r="HM5" s="32"/>
      <c r="HN5" s="32"/>
      <c r="HO5" s="32"/>
      <c r="HP5" s="32"/>
      <c r="HQ5" s="32"/>
      <c r="HR5" s="32"/>
      <c r="HS5" s="32"/>
      <c r="HT5" s="32"/>
      <c r="HU5" s="32"/>
      <c r="HV5" s="32"/>
      <c r="HW5" s="32"/>
      <c r="HX5" s="32"/>
      <c r="HY5" s="32"/>
      <c r="HZ5" s="32"/>
      <c r="IA5" s="32"/>
      <c r="IB5" s="32"/>
      <c r="IC5" s="32"/>
      <c r="ID5" s="32"/>
      <c r="IE5" s="32"/>
      <c r="IF5" s="32"/>
      <c r="IG5" s="32"/>
      <c r="IH5" s="32"/>
      <c r="II5" s="32"/>
      <c r="IJ5" s="32"/>
      <c r="IK5" s="32"/>
      <c r="IL5" s="32"/>
      <c r="IM5" s="32"/>
      <c r="IN5" s="32"/>
      <c r="IO5" s="32"/>
      <c r="IP5" s="32"/>
      <c r="IQ5" s="32"/>
      <c r="IR5" s="32"/>
      <c r="IS5" s="32"/>
      <c r="IT5" s="32"/>
      <c r="IU5" s="32"/>
      <c r="IV5" s="32"/>
      <c r="IW5" s="32"/>
    </row>
    <row r="6" customFormat="false" ht="12.75" hidden="false" customHeight="false" outlineLevel="0" collapsed="false">
      <c r="A6" s="1" t="n">
        <v>46122</v>
      </c>
      <c r="B6" s="2" t="s">
        <v>43</v>
      </c>
      <c r="C6" s="3" t="s">
        <v>44</v>
      </c>
      <c r="D6" s="4" t="s">
        <v>45</v>
      </c>
      <c r="E6" s="5" t="s">
        <v>33</v>
      </c>
      <c r="F6" s="6" t="n">
        <v>7200</v>
      </c>
      <c r="G6" s="6" t="str">
        <f aca="false">IF(E6="BC",F6," ")</f>
        <v> </v>
      </c>
      <c r="H6" s="6" t="n">
        <f aca="false">IF(E6="DR",F6," ")</f>
        <v>7200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46113</v>
      </c>
      <c r="P6" s="4" t="s">
        <v>46</v>
      </c>
      <c r="Q6" s="3" t="s">
        <v>47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46127</v>
      </c>
      <c r="B7" s="2" t="s">
        <v>49</v>
      </c>
      <c r="C7" s="3" t="s">
        <v>50</v>
      </c>
      <c r="D7" s="4" t="s">
        <v>45</v>
      </c>
      <c r="E7" s="5" t="s">
        <v>33</v>
      </c>
      <c r="F7" s="6" t="n">
        <v>1200</v>
      </c>
      <c r="G7" s="6" t="str">
        <f aca="false">IF(E7="BC",F7," ")</f>
        <v> </v>
      </c>
      <c r="H7" s="6" t="n">
        <f aca="false">IF(E7="DR",F7," ")</f>
        <v>1200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46113</v>
      </c>
      <c r="P7" s="4" t="s">
        <v>51</v>
      </c>
      <c r="Q7" s="3" t="s">
        <v>52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46132</v>
      </c>
      <c r="B8" s="2" t="s">
        <v>43</v>
      </c>
      <c r="C8" s="3" t="s">
        <v>54</v>
      </c>
      <c r="D8" s="4" t="s">
        <v>55</v>
      </c>
      <c r="E8" s="5" t="s">
        <v>33</v>
      </c>
      <c r="F8" s="6" t="n">
        <v>8000</v>
      </c>
      <c r="G8" s="6" t="str">
        <f aca="false">IF(E8="BC",F8," ")</f>
        <v> </v>
      </c>
      <c r="H8" s="6" t="n">
        <f aca="false">IF(E8="DR",F8," ")</f>
        <v>8000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46117</v>
      </c>
      <c r="P8" s="4" t="s">
        <v>56</v>
      </c>
      <c r="Q8" s="3" t="s">
        <v>57</v>
      </c>
      <c r="R8" s="3" t="s">
        <v>58</v>
      </c>
      <c r="S8" s="38" t="s">
        <v>34</v>
      </c>
      <c r="T8" s="6" t="n">
        <v>2200</v>
      </c>
      <c r="U8" s="6" t="str">
        <f aca="false">IF(S8="BC",T8," ")</f>
        <v> </v>
      </c>
      <c r="V8" s="6" t="n">
        <f aca="false">IF(S8="CR",T8," ")</f>
        <v>2200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46137</v>
      </c>
      <c r="B9" s="2" t="s">
        <v>59</v>
      </c>
      <c r="C9" s="3" t="s">
        <v>60</v>
      </c>
      <c r="D9" s="4" t="s">
        <v>55</v>
      </c>
      <c r="E9" s="5" t="s">
        <v>33</v>
      </c>
      <c r="F9" s="6" t="n">
        <v>2400</v>
      </c>
      <c r="G9" s="6" t="str">
        <f aca="false">IF(E9="BC",F9," ")</f>
        <v> </v>
      </c>
      <c r="H9" s="6" t="n">
        <f aca="false">IF(E9="DR",F9," ")</f>
        <v>2400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46131</v>
      </c>
      <c r="P9" s="4" t="s">
        <v>61</v>
      </c>
      <c r="Q9" s="3" t="s">
        <v>62</v>
      </c>
      <c r="R9" s="3" t="s">
        <v>63</v>
      </c>
      <c r="S9" s="38" t="s">
        <v>42</v>
      </c>
      <c r="T9" s="6" t="n">
        <v>1673.2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1673.2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46137</v>
      </c>
      <c r="B10" s="2" t="s">
        <v>64</v>
      </c>
      <c r="C10" s="3" t="s">
        <v>65</v>
      </c>
      <c r="D10" s="4" t="s">
        <v>45</v>
      </c>
      <c r="E10" s="5" t="s">
        <v>33</v>
      </c>
      <c r="F10" s="6" t="n">
        <v>2400</v>
      </c>
      <c r="G10" s="6" t="str">
        <f aca="false">IF(E10="BC",F10," ")</f>
        <v> </v>
      </c>
      <c r="H10" s="6" t="n">
        <f aca="false">IF(E10="DR",F10," ")</f>
        <v>2400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46140</v>
      </c>
      <c r="P10" s="4" t="s">
        <v>66</v>
      </c>
      <c r="Q10" s="3" t="s">
        <v>67</v>
      </c>
      <c r="R10" s="3" t="s">
        <v>68</v>
      </c>
      <c r="S10" s="38" t="s">
        <v>39</v>
      </c>
      <c r="T10" s="6" t="n">
        <v>5652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n">
        <f aca="false">IF(S10="W",T10," ")</f>
        <v>5652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46140</v>
      </c>
      <c r="B11" s="2" t="s">
        <v>69</v>
      </c>
      <c r="C11" s="3" t="s">
        <v>70</v>
      </c>
      <c r="D11" s="4" t="s">
        <v>71</v>
      </c>
      <c r="E11" s="5" t="s">
        <v>33</v>
      </c>
      <c r="F11" s="6" t="n">
        <v>23000</v>
      </c>
      <c r="G11" s="6" t="str">
        <f aca="false">IF(E11="BC",F11," ")</f>
        <v> </v>
      </c>
      <c r="H11" s="6" t="n">
        <f aca="false">IF(E11="DR",F11," ")</f>
        <v>23000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46142</v>
      </c>
      <c r="P11" s="4" t="s">
        <v>72</v>
      </c>
      <c r="Q11" s="3" t="s">
        <v>73</v>
      </c>
      <c r="R11" s="3" t="s">
        <v>74</v>
      </c>
      <c r="S11" s="38" t="s">
        <v>34</v>
      </c>
      <c r="T11" s="6" t="n">
        <v>300</v>
      </c>
      <c r="U11" s="6" t="str">
        <f aca="false">IF(S11="BC",T11," ")</f>
        <v> </v>
      </c>
      <c r="V11" s="6" t="n">
        <f aca="false">IF(S11="CR",T11," ")</f>
        <v>300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46142</v>
      </c>
      <c r="P12" s="4" t="s">
        <v>75</v>
      </c>
      <c r="Q12" s="3" t="s">
        <v>76</v>
      </c>
      <c r="R12" s="3" t="s">
        <v>77</v>
      </c>
      <c r="S12" s="38" t="s">
        <v>38</v>
      </c>
      <c r="T12" s="6" t="n">
        <v>500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n">
        <f aca="false">IF(S12="X",T12," ")</f>
        <v>500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showDropDown="false" showErrorMessage="true" showInputMessage="false" sqref="E6:E200" type="list">
      <formula1>$G$5:$M$5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Apr!A2</f>
        <v>56674.8</v>
      </c>
      <c r="B1" s="8" t="s">
        <v>0</v>
      </c>
      <c r="C1" s="9" t="n">
        <f aca="false">Apr!C2</f>
        <v>46142</v>
      </c>
      <c r="D1" s="10" t="s">
        <v>1</v>
      </c>
      <c r="E1" s="11" t="n">
        <f aca="false">F1-SUM(G1:M1)</f>
        <v>0</v>
      </c>
      <c r="F1" s="12" t="n">
        <f aca="false">SUM(F6:F200)</f>
        <v>32920</v>
      </c>
      <c r="G1" s="12" t="n">
        <f aca="false">SUM(G6:G200)</f>
        <v>0</v>
      </c>
      <c r="H1" s="12" t="n">
        <f aca="false">SUM(H6:H200)</f>
        <v>32920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14150.2</v>
      </c>
      <c r="U1" s="12" t="n">
        <f aca="false">SUM(U6:U200)</f>
        <v>0</v>
      </c>
      <c r="V1" s="12" t="n">
        <f aca="false">SUM(V6:V200)</f>
        <v>4300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25</v>
      </c>
      <c r="Z1" s="12" t="n">
        <f aca="false">SUM(Z6:Z200)</f>
        <v>0</v>
      </c>
      <c r="AA1" s="12" t="n">
        <f aca="false">SUM(AA6:AA200)</f>
        <v>3173.2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75444.6</v>
      </c>
      <c r="B2" s="18" t="s">
        <v>2</v>
      </c>
      <c r="C2" s="9" t="n">
        <f aca="false">[1]Admin!$B$6</f>
        <v>46173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46173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customFormat="false" ht="19.5" hidden="false" customHeight="true" outlineLevel="0" collapsed="false">
      <c r="A4" s="28" t="n">
        <f aca="false">A2-A3</f>
        <v>75444.6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32"/>
      <c r="BM4" s="32"/>
      <c r="BN4" s="32"/>
      <c r="BO4" s="32"/>
      <c r="BP4" s="32"/>
      <c r="BQ4" s="32"/>
      <c r="BR4" s="32"/>
      <c r="BS4" s="32"/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2"/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2"/>
      <c r="DV4" s="32"/>
      <c r="DW4" s="32"/>
      <c r="DX4" s="32"/>
      <c r="DY4" s="32"/>
      <c r="DZ4" s="32"/>
      <c r="EA4" s="32"/>
      <c r="EB4" s="32"/>
      <c r="EC4" s="32"/>
      <c r="ED4" s="32"/>
      <c r="EE4" s="32"/>
      <c r="EF4" s="32"/>
      <c r="EG4" s="32"/>
      <c r="EH4" s="32"/>
      <c r="EI4" s="32"/>
      <c r="EJ4" s="32"/>
      <c r="EK4" s="32"/>
      <c r="EL4" s="32"/>
      <c r="EM4" s="32"/>
      <c r="EN4" s="32"/>
      <c r="EO4" s="32"/>
      <c r="EP4" s="32"/>
      <c r="EQ4" s="32"/>
      <c r="ER4" s="32"/>
      <c r="ES4" s="32"/>
      <c r="ET4" s="32"/>
      <c r="EU4" s="32"/>
      <c r="EV4" s="32"/>
      <c r="EW4" s="32"/>
      <c r="EX4" s="32"/>
      <c r="EY4" s="32"/>
      <c r="EZ4" s="32"/>
      <c r="FA4" s="32"/>
      <c r="FB4" s="32"/>
      <c r="FC4" s="32"/>
      <c r="FD4" s="32"/>
      <c r="FE4" s="32"/>
      <c r="FF4" s="32"/>
      <c r="FG4" s="32"/>
      <c r="FH4" s="32"/>
      <c r="FI4" s="32"/>
      <c r="FJ4" s="32"/>
      <c r="FK4" s="32"/>
      <c r="FL4" s="32"/>
      <c r="FM4" s="32"/>
      <c r="FN4" s="32"/>
      <c r="FO4" s="32"/>
      <c r="FP4" s="32"/>
      <c r="FQ4" s="32"/>
      <c r="FR4" s="32"/>
      <c r="FS4" s="32"/>
      <c r="FT4" s="32"/>
      <c r="FU4" s="32"/>
      <c r="FV4" s="32"/>
      <c r="FW4" s="32"/>
      <c r="FX4" s="32"/>
      <c r="FY4" s="32"/>
      <c r="FZ4" s="32"/>
      <c r="GA4" s="32"/>
      <c r="GB4" s="32"/>
      <c r="GC4" s="32"/>
      <c r="GD4" s="32"/>
      <c r="GE4" s="32"/>
      <c r="GF4" s="32"/>
      <c r="GG4" s="32"/>
      <c r="GH4" s="32"/>
      <c r="GI4" s="32"/>
      <c r="GJ4" s="32"/>
      <c r="GK4" s="32"/>
      <c r="GL4" s="32"/>
      <c r="GM4" s="32"/>
      <c r="GN4" s="32"/>
      <c r="GO4" s="32"/>
      <c r="GP4" s="32"/>
      <c r="GQ4" s="32"/>
      <c r="GR4" s="32"/>
      <c r="GS4" s="32"/>
      <c r="GT4" s="32"/>
      <c r="GU4" s="32"/>
      <c r="GV4" s="32"/>
      <c r="GW4" s="32"/>
      <c r="GX4" s="32"/>
      <c r="GY4" s="32"/>
      <c r="GZ4" s="32"/>
      <c r="HA4" s="32"/>
      <c r="HB4" s="32"/>
      <c r="HC4" s="32"/>
      <c r="HD4" s="32"/>
      <c r="HE4" s="32"/>
      <c r="HF4" s="32"/>
      <c r="HG4" s="32"/>
      <c r="HH4" s="32"/>
      <c r="HI4" s="32"/>
      <c r="HJ4" s="32"/>
      <c r="HK4" s="32"/>
      <c r="HL4" s="32"/>
      <c r="HM4" s="32"/>
      <c r="HN4" s="32"/>
      <c r="HO4" s="32"/>
      <c r="HP4" s="32"/>
      <c r="HQ4" s="32"/>
      <c r="HR4" s="32"/>
      <c r="HS4" s="32"/>
      <c r="HT4" s="32"/>
      <c r="HU4" s="32"/>
      <c r="HV4" s="32"/>
      <c r="HW4" s="32"/>
      <c r="HX4" s="32"/>
      <c r="HY4" s="32"/>
      <c r="HZ4" s="32"/>
      <c r="IA4" s="32"/>
      <c r="IB4" s="32"/>
      <c r="IC4" s="32"/>
      <c r="ID4" s="32"/>
      <c r="IE4" s="32"/>
      <c r="IF4" s="32"/>
      <c r="IG4" s="32"/>
      <c r="IH4" s="32"/>
      <c r="II4" s="32"/>
      <c r="IJ4" s="32"/>
      <c r="IK4" s="32"/>
      <c r="IL4" s="32"/>
      <c r="IM4" s="32"/>
      <c r="IN4" s="32"/>
      <c r="IO4" s="32"/>
      <c r="IP4" s="32"/>
      <c r="IQ4" s="32"/>
      <c r="IR4" s="32"/>
      <c r="IS4" s="32"/>
      <c r="IT4" s="32"/>
      <c r="IU4" s="32"/>
      <c r="IV4" s="32"/>
      <c r="IW4" s="32"/>
    </row>
    <row r="5" customFormat="fals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2"/>
      <c r="BL5" s="32"/>
      <c r="BM5" s="32"/>
      <c r="BN5" s="32"/>
      <c r="BO5" s="32"/>
      <c r="BP5" s="32"/>
      <c r="BQ5" s="32"/>
      <c r="BR5" s="32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2"/>
      <c r="DV5" s="32"/>
      <c r="DW5" s="32"/>
      <c r="DX5" s="32"/>
      <c r="DY5" s="32"/>
      <c r="DZ5" s="32"/>
      <c r="EA5" s="32"/>
      <c r="EB5" s="32"/>
      <c r="EC5" s="32"/>
      <c r="ED5" s="32"/>
      <c r="EE5" s="32"/>
      <c r="EF5" s="32"/>
      <c r="EG5" s="32"/>
      <c r="EH5" s="32"/>
      <c r="EI5" s="32"/>
      <c r="EJ5" s="32"/>
      <c r="EK5" s="32"/>
      <c r="EL5" s="32"/>
      <c r="EM5" s="32"/>
      <c r="EN5" s="32"/>
      <c r="EO5" s="32"/>
      <c r="EP5" s="32"/>
      <c r="EQ5" s="32"/>
      <c r="ER5" s="32"/>
      <c r="ES5" s="32"/>
      <c r="ET5" s="32"/>
      <c r="EU5" s="32"/>
      <c r="EV5" s="32"/>
      <c r="EW5" s="32"/>
      <c r="EX5" s="32"/>
      <c r="EY5" s="32"/>
      <c r="EZ5" s="32"/>
      <c r="FA5" s="32"/>
      <c r="FB5" s="32"/>
      <c r="FC5" s="32"/>
      <c r="FD5" s="32"/>
      <c r="FE5" s="32"/>
      <c r="FF5" s="32"/>
      <c r="FG5" s="32"/>
      <c r="FH5" s="32"/>
      <c r="FI5" s="32"/>
      <c r="FJ5" s="32"/>
      <c r="FK5" s="32"/>
      <c r="FL5" s="32"/>
      <c r="FM5" s="32"/>
      <c r="FN5" s="32"/>
      <c r="FO5" s="32"/>
      <c r="FP5" s="32"/>
      <c r="FQ5" s="32"/>
      <c r="FR5" s="32"/>
      <c r="FS5" s="32"/>
      <c r="FT5" s="32"/>
      <c r="FU5" s="32"/>
      <c r="FV5" s="32"/>
      <c r="FW5" s="32"/>
      <c r="FX5" s="32"/>
      <c r="FY5" s="32"/>
      <c r="FZ5" s="32"/>
      <c r="GA5" s="32"/>
      <c r="GB5" s="32"/>
      <c r="GC5" s="32"/>
      <c r="GD5" s="32"/>
      <c r="GE5" s="32"/>
      <c r="GF5" s="32"/>
      <c r="GG5" s="32"/>
      <c r="GH5" s="32"/>
      <c r="GI5" s="32"/>
      <c r="GJ5" s="32"/>
      <c r="GK5" s="32"/>
      <c r="GL5" s="32"/>
      <c r="GM5" s="32"/>
      <c r="GN5" s="32"/>
      <c r="GO5" s="32"/>
      <c r="GP5" s="32"/>
      <c r="GQ5" s="32"/>
      <c r="GR5" s="32"/>
      <c r="GS5" s="32"/>
      <c r="GT5" s="32"/>
      <c r="GU5" s="32"/>
      <c r="GV5" s="32"/>
      <c r="GW5" s="32"/>
      <c r="GX5" s="32"/>
      <c r="GY5" s="32"/>
      <c r="GZ5" s="32"/>
      <c r="HA5" s="32"/>
      <c r="HB5" s="32"/>
      <c r="HC5" s="32"/>
      <c r="HD5" s="32"/>
      <c r="HE5" s="32"/>
      <c r="HF5" s="32"/>
      <c r="HG5" s="32"/>
      <c r="HH5" s="32"/>
      <c r="HI5" s="32"/>
      <c r="HJ5" s="32"/>
      <c r="HK5" s="32"/>
      <c r="HL5" s="32"/>
      <c r="HM5" s="32"/>
      <c r="HN5" s="32"/>
      <c r="HO5" s="32"/>
      <c r="HP5" s="32"/>
      <c r="HQ5" s="32"/>
      <c r="HR5" s="32"/>
      <c r="HS5" s="32"/>
      <c r="HT5" s="32"/>
      <c r="HU5" s="32"/>
      <c r="HV5" s="32"/>
      <c r="HW5" s="32"/>
      <c r="HX5" s="32"/>
      <c r="HY5" s="32"/>
      <c r="HZ5" s="32"/>
      <c r="IA5" s="32"/>
      <c r="IB5" s="32"/>
      <c r="IC5" s="32"/>
      <c r="ID5" s="32"/>
      <c r="IE5" s="32"/>
      <c r="IF5" s="32"/>
      <c r="IG5" s="32"/>
      <c r="IH5" s="32"/>
      <c r="II5" s="32"/>
      <c r="IJ5" s="32"/>
      <c r="IK5" s="32"/>
      <c r="IL5" s="32"/>
      <c r="IM5" s="32"/>
      <c r="IN5" s="32"/>
      <c r="IO5" s="32"/>
      <c r="IP5" s="32"/>
      <c r="IQ5" s="32"/>
      <c r="IR5" s="32"/>
      <c r="IS5" s="32"/>
      <c r="IT5" s="32"/>
      <c r="IU5" s="32"/>
      <c r="IV5" s="32"/>
      <c r="IW5" s="32"/>
    </row>
    <row r="6" customFormat="false" ht="12.75" hidden="false" customHeight="false" outlineLevel="0" collapsed="false">
      <c r="A6" s="1" t="n">
        <v>46162</v>
      </c>
      <c r="B6" s="2" t="s">
        <v>43</v>
      </c>
      <c r="C6" s="3" t="s">
        <v>78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46143</v>
      </c>
      <c r="P6" s="4" t="s">
        <v>46</v>
      </c>
      <c r="Q6" s="3" t="s">
        <v>79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46167</v>
      </c>
      <c r="B7" s="2" t="s">
        <v>59</v>
      </c>
      <c r="C7" s="3" t="s">
        <v>80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46143</v>
      </c>
      <c r="P7" s="4" t="s">
        <v>51</v>
      </c>
      <c r="Q7" s="3" t="s">
        <v>81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46170</v>
      </c>
      <c r="B8" s="2" t="s">
        <v>69</v>
      </c>
      <c r="C8" s="3" t="s">
        <v>82</v>
      </c>
      <c r="D8" s="4" t="s">
        <v>71</v>
      </c>
      <c r="E8" s="5" t="s">
        <v>33</v>
      </c>
      <c r="F8" s="6" t="n">
        <v>22520</v>
      </c>
      <c r="G8" s="6" t="str">
        <f aca="false">IF(E8="BC",F8," ")</f>
        <v> </v>
      </c>
      <c r="H8" s="6" t="n">
        <f aca="false">IF(E8="DR",F8," ")</f>
        <v>22520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46147</v>
      </c>
      <c r="P8" s="4" t="s">
        <v>56</v>
      </c>
      <c r="Q8" s="3" t="s">
        <v>83</v>
      </c>
      <c r="R8" s="3" t="s">
        <v>58</v>
      </c>
      <c r="S8" s="38" t="s">
        <v>34</v>
      </c>
      <c r="T8" s="6" t="n">
        <v>2800</v>
      </c>
      <c r="U8" s="6" t="str">
        <f aca="false">IF(S8="BC",T8," ")</f>
        <v> </v>
      </c>
      <c r="V8" s="6" t="n">
        <f aca="false">IF(S8="CR",T8," ")</f>
        <v>2800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46161</v>
      </c>
      <c r="P9" s="4" t="s">
        <v>61</v>
      </c>
      <c r="Q9" s="3" t="s">
        <v>84</v>
      </c>
      <c r="R9" s="3" t="s">
        <v>63</v>
      </c>
      <c r="S9" s="38" t="s">
        <v>42</v>
      </c>
      <c r="T9" s="6" t="n">
        <v>1673.2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1673.2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46167</v>
      </c>
      <c r="P10" s="4" t="s">
        <v>85</v>
      </c>
      <c r="Q10" s="3" t="s">
        <v>86</v>
      </c>
      <c r="R10" s="3" t="s">
        <v>87</v>
      </c>
      <c r="S10" s="38" t="s">
        <v>40</v>
      </c>
      <c r="T10" s="6" t="n">
        <v>25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n">
        <f aca="false">IF(S10="B",T10," ")</f>
        <v>25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46170</v>
      </c>
      <c r="P11" s="4" t="s">
        <v>66</v>
      </c>
      <c r="Q11" s="3" t="s">
        <v>88</v>
      </c>
      <c r="R11" s="3" t="s">
        <v>68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46173</v>
      </c>
      <c r="P12" s="4" t="s">
        <v>72</v>
      </c>
      <c r="Q12" s="3" t="s">
        <v>89</v>
      </c>
      <c r="R12" s="3" t="s">
        <v>74</v>
      </c>
      <c r="S12" s="38" t="s">
        <v>34</v>
      </c>
      <c r="T12" s="6" t="n">
        <v>300</v>
      </c>
      <c r="U12" s="6" t="str">
        <f aca="false">IF(S12="BC",T12," ")</f>
        <v> </v>
      </c>
      <c r="V12" s="6" t="n">
        <f aca="false">IF(S12="CR",T12," ")</f>
        <v>300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46149</v>
      </c>
      <c r="P13" s="4" t="s">
        <v>61</v>
      </c>
      <c r="Q13" s="3" t="s">
        <v>90</v>
      </c>
      <c r="R13" s="3" t="s">
        <v>91</v>
      </c>
      <c r="S13" s="38" t="s">
        <v>42</v>
      </c>
      <c r="T13" s="6" t="n">
        <v>1500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n">
        <f aca="false">IF(S13="RP",T13," ")</f>
        <v>1500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May!A2</f>
        <v>75444.6</v>
      </c>
      <c r="B1" s="8" t="s">
        <v>0</v>
      </c>
      <c r="C1" s="9" t="n">
        <f aca="false">May!C2</f>
        <v>46173</v>
      </c>
      <c r="D1" s="10" t="s">
        <v>1</v>
      </c>
      <c r="E1" s="11" t="n">
        <f aca="false">F1-SUM(G1:M1)</f>
        <v>0</v>
      </c>
      <c r="F1" s="12" t="n">
        <f aca="false">SUM(F6:F200)</f>
        <v>35200</v>
      </c>
      <c r="G1" s="12" t="n">
        <f aca="false">SUM(G6:G200)</f>
        <v>0</v>
      </c>
      <c r="H1" s="12" t="n">
        <f aca="false">SUM(H6:H200)</f>
        <v>35200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27675.2</v>
      </c>
      <c r="U1" s="12" t="n">
        <f aca="false">SUM(U6:U200)</f>
        <v>0</v>
      </c>
      <c r="V1" s="12" t="n">
        <f aca="false">SUM(V6:V200)</f>
        <v>17000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2250</v>
      </c>
      <c r="Z1" s="12" t="n">
        <f aca="false">SUM(Z6:Z200)</f>
        <v>0</v>
      </c>
      <c r="AA1" s="12" t="n">
        <f aca="false">SUM(AA6:AA200)</f>
        <v>1673.2</v>
      </c>
      <c r="AB1" s="12" t="n">
        <f aca="false">SUM(AB6:AB200)</f>
        <v>1000</v>
      </c>
      <c r="AC1" s="12" t="n">
        <f aca="false">SUM(AC6:AC200)</f>
        <v>100</v>
      </c>
    </row>
    <row r="2" customFormat="false" ht="15" hidden="false" customHeight="true" outlineLevel="0" collapsed="false">
      <c r="A2" s="17" t="n">
        <f aca="false">A1+F1-T1</f>
        <v>82969.4</v>
      </c>
      <c r="B2" s="18" t="s">
        <v>2</v>
      </c>
      <c r="C2" s="9" t="n">
        <f aca="false">[1]Admin!$B$7</f>
        <v>46203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46203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customFormat="false" ht="19.5" hidden="false" customHeight="true" outlineLevel="0" collapsed="false">
      <c r="A4" s="28" t="n">
        <f aca="false">A2-A3</f>
        <v>82969.4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32"/>
      <c r="BM4" s="32"/>
      <c r="BN4" s="32"/>
      <c r="BO4" s="32"/>
      <c r="BP4" s="32"/>
      <c r="BQ4" s="32"/>
      <c r="BR4" s="32"/>
      <c r="BS4" s="32"/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2"/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2"/>
      <c r="DV4" s="32"/>
      <c r="DW4" s="32"/>
      <c r="DX4" s="32"/>
      <c r="DY4" s="32"/>
      <c r="DZ4" s="32"/>
      <c r="EA4" s="32"/>
      <c r="EB4" s="32"/>
      <c r="EC4" s="32"/>
      <c r="ED4" s="32"/>
      <c r="EE4" s="32"/>
      <c r="EF4" s="32"/>
      <c r="EG4" s="32"/>
      <c r="EH4" s="32"/>
      <c r="EI4" s="32"/>
      <c r="EJ4" s="32"/>
      <c r="EK4" s="32"/>
      <c r="EL4" s="32"/>
      <c r="EM4" s="32"/>
      <c r="EN4" s="32"/>
      <c r="EO4" s="32"/>
      <c r="EP4" s="32"/>
      <c r="EQ4" s="32"/>
      <c r="ER4" s="32"/>
      <c r="ES4" s="32"/>
      <c r="ET4" s="32"/>
      <c r="EU4" s="32"/>
      <c r="EV4" s="32"/>
      <c r="EW4" s="32"/>
      <c r="EX4" s="32"/>
      <c r="EY4" s="32"/>
      <c r="EZ4" s="32"/>
      <c r="FA4" s="32"/>
      <c r="FB4" s="32"/>
      <c r="FC4" s="32"/>
      <c r="FD4" s="32"/>
      <c r="FE4" s="32"/>
      <c r="FF4" s="32"/>
      <c r="FG4" s="32"/>
      <c r="FH4" s="32"/>
      <c r="FI4" s="32"/>
      <c r="FJ4" s="32"/>
      <c r="FK4" s="32"/>
      <c r="FL4" s="32"/>
      <c r="FM4" s="32"/>
      <c r="FN4" s="32"/>
      <c r="FO4" s="32"/>
      <c r="FP4" s="32"/>
      <c r="FQ4" s="32"/>
      <c r="FR4" s="32"/>
      <c r="FS4" s="32"/>
      <c r="FT4" s="32"/>
      <c r="FU4" s="32"/>
      <c r="FV4" s="32"/>
      <c r="FW4" s="32"/>
      <c r="FX4" s="32"/>
      <c r="FY4" s="32"/>
      <c r="FZ4" s="32"/>
      <c r="GA4" s="32"/>
      <c r="GB4" s="32"/>
      <c r="GC4" s="32"/>
      <c r="GD4" s="32"/>
      <c r="GE4" s="32"/>
      <c r="GF4" s="32"/>
      <c r="GG4" s="32"/>
      <c r="GH4" s="32"/>
      <c r="GI4" s="32"/>
      <c r="GJ4" s="32"/>
      <c r="GK4" s="32"/>
      <c r="GL4" s="32"/>
      <c r="GM4" s="32"/>
      <c r="GN4" s="32"/>
      <c r="GO4" s="32"/>
      <c r="GP4" s="32"/>
      <c r="GQ4" s="32"/>
      <c r="GR4" s="32"/>
      <c r="GS4" s="32"/>
      <c r="GT4" s="32"/>
      <c r="GU4" s="32"/>
      <c r="GV4" s="32"/>
      <c r="GW4" s="32"/>
      <c r="GX4" s="32"/>
      <c r="GY4" s="32"/>
      <c r="GZ4" s="32"/>
      <c r="HA4" s="32"/>
      <c r="HB4" s="32"/>
      <c r="HC4" s="32"/>
      <c r="HD4" s="32"/>
      <c r="HE4" s="32"/>
      <c r="HF4" s="32"/>
      <c r="HG4" s="32"/>
      <c r="HH4" s="32"/>
      <c r="HI4" s="32"/>
      <c r="HJ4" s="32"/>
      <c r="HK4" s="32"/>
      <c r="HL4" s="32"/>
      <c r="HM4" s="32"/>
      <c r="HN4" s="32"/>
      <c r="HO4" s="32"/>
      <c r="HP4" s="32"/>
      <c r="HQ4" s="32"/>
      <c r="HR4" s="32"/>
      <c r="HS4" s="32"/>
      <c r="HT4" s="32"/>
      <c r="HU4" s="32"/>
      <c r="HV4" s="32"/>
      <c r="HW4" s="32"/>
      <c r="HX4" s="32"/>
      <c r="HY4" s="32"/>
      <c r="HZ4" s="32"/>
      <c r="IA4" s="32"/>
      <c r="IB4" s="32"/>
      <c r="IC4" s="32"/>
      <c r="ID4" s="32"/>
      <c r="IE4" s="32"/>
      <c r="IF4" s="32"/>
      <c r="IG4" s="32"/>
      <c r="IH4" s="32"/>
      <c r="II4" s="32"/>
      <c r="IJ4" s="32"/>
      <c r="IK4" s="32"/>
      <c r="IL4" s="32"/>
      <c r="IM4" s="32"/>
      <c r="IN4" s="32"/>
      <c r="IO4" s="32"/>
      <c r="IP4" s="32"/>
      <c r="IQ4" s="32"/>
      <c r="IR4" s="32"/>
      <c r="IS4" s="32"/>
      <c r="IT4" s="32"/>
      <c r="IU4" s="32"/>
      <c r="IV4" s="32"/>
      <c r="IW4" s="32"/>
    </row>
    <row r="5" customFormat="fals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2"/>
      <c r="BL5" s="32"/>
      <c r="BM5" s="32"/>
      <c r="BN5" s="32"/>
      <c r="BO5" s="32"/>
      <c r="BP5" s="32"/>
      <c r="BQ5" s="32"/>
      <c r="BR5" s="32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2"/>
      <c r="DV5" s="32"/>
      <c r="DW5" s="32"/>
      <c r="DX5" s="32"/>
      <c r="DY5" s="32"/>
      <c r="DZ5" s="32"/>
      <c r="EA5" s="32"/>
      <c r="EB5" s="32"/>
      <c r="EC5" s="32"/>
      <c r="ED5" s="32"/>
      <c r="EE5" s="32"/>
      <c r="EF5" s="32"/>
      <c r="EG5" s="32"/>
      <c r="EH5" s="32"/>
      <c r="EI5" s="32"/>
      <c r="EJ5" s="32"/>
      <c r="EK5" s="32"/>
      <c r="EL5" s="32"/>
      <c r="EM5" s="32"/>
      <c r="EN5" s="32"/>
      <c r="EO5" s="32"/>
      <c r="EP5" s="32"/>
      <c r="EQ5" s="32"/>
      <c r="ER5" s="32"/>
      <c r="ES5" s="32"/>
      <c r="ET5" s="32"/>
      <c r="EU5" s="32"/>
      <c r="EV5" s="32"/>
      <c r="EW5" s="32"/>
      <c r="EX5" s="32"/>
      <c r="EY5" s="32"/>
      <c r="EZ5" s="32"/>
      <c r="FA5" s="32"/>
      <c r="FB5" s="32"/>
      <c r="FC5" s="32"/>
      <c r="FD5" s="32"/>
      <c r="FE5" s="32"/>
      <c r="FF5" s="32"/>
      <c r="FG5" s="32"/>
      <c r="FH5" s="32"/>
      <c r="FI5" s="32"/>
      <c r="FJ5" s="32"/>
      <c r="FK5" s="32"/>
      <c r="FL5" s="32"/>
      <c r="FM5" s="32"/>
      <c r="FN5" s="32"/>
      <c r="FO5" s="32"/>
      <c r="FP5" s="32"/>
      <c r="FQ5" s="32"/>
      <c r="FR5" s="32"/>
      <c r="FS5" s="32"/>
      <c r="FT5" s="32"/>
      <c r="FU5" s="32"/>
      <c r="FV5" s="32"/>
      <c r="FW5" s="32"/>
      <c r="FX5" s="32"/>
      <c r="FY5" s="32"/>
      <c r="FZ5" s="32"/>
      <c r="GA5" s="32"/>
      <c r="GB5" s="32"/>
      <c r="GC5" s="32"/>
      <c r="GD5" s="32"/>
      <c r="GE5" s="32"/>
      <c r="GF5" s="32"/>
      <c r="GG5" s="32"/>
      <c r="GH5" s="32"/>
      <c r="GI5" s="32"/>
      <c r="GJ5" s="32"/>
      <c r="GK5" s="32"/>
      <c r="GL5" s="32"/>
      <c r="GM5" s="32"/>
      <c r="GN5" s="32"/>
      <c r="GO5" s="32"/>
      <c r="GP5" s="32"/>
      <c r="GQ5" s="32"/>
      <c r="GR5" s="32"/>
      <c r="GS5" s="32"/>
      <c r="GT5" s="32"/>
      <c r="GU5" s="32"/>
      <c r="GV5" s="32"/>
      <c r="GW5" s="32"/>
      <c r="GX5" s="32"/>
      <c r="GY5" s="32"/>
      <c r="GZ5" s="32"/>
      <c r="HA5" s="32"/>
      <c r="HB5" s="32"/>
      <c r="HC5" s="32"/>
      <c r="HD5" s="32"/>
      <c r="HE5" s="32"/>
      <c r="HF5" s="32"/>
      <c r="HG5" s="32"/>
      <c r="HH5" s="32"/>
      <c r="HI5" s="32"/>
      <c r="HJ5" s="32"/>
      <c r="HK5" s="32"/>
      <c r="HL5" s="32"/>
      <c r="HM5" s="32"/>
      <c r="HN5" s="32"/>
      <c r="HO5" s="32"/>
      <c r="HP5" s="32"/>
      <c r="HQ5" s="32"/>
      <c r="HR5" s="32"/>
      <c r="HS5" s="32"/>
      <c r="HT5" s="32"/>
      <c r="HU5" s="32"/>
      <c r="HV5" s="32"/>
      <c r="HW5" s="32"/>
      <c r="HX5" s="32"/>
      <c r="HY5" s="32"/>
      <c r="HZ5" s="32"/>
      <c r="IA5" s="32"/>
      <c r="IB5" s="32"/>
      <c r="IC5" s="32"/>
      <c r="ID5" s="32"/>
      <c r="IE5" s="32"/>
      <c r="IF5" s="32"/>
      <c r="IG5" s="32"/>
      <c r="IH5" s="32"/>
      <c r="II5" s="32"/>
      <c r="IJ5" s="32"/>
      <c r="IK5" s="32"/>
      <c r="IL5" s="32"/>
      <c r="IM5" s="32"/>
      <c r="IN5" s="32"/>
      <c r="IO5" s="32"/>
      <c r="IP5" s="32"/>
      <c r="IQ5" s="32"/>
      <c r="IR5" s="32"/>
      <c r="IS5" s="32"/>
      <c r="IT5" s="32"/>
      <c r="IU5" s="32"/>
      <c r="IV5" s="32"/>
      <c r="IW5" s="32"/>
    </row>
    <row r="6" customFormat="false" ht="12.75" hidden="false" customHeight="false" outlineLevel="0" collapsed="false">
      <c r="A6" s="1" t="n">
        <v>46193</v>
      </c>
      <c r="B6" s="2" t="s">
        <v>43</v>
      </c>
      <c r="C6" s="3" t="s">
        <v>92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46174</v>
      </c>
      <c r="P6" s="4" t="s">
        <v>46</v>
      </c>
      <c r="Q6" s="3" t="s">
        <v>93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46198</v>
      </c>
      <c r="B7" s="2" t="s">
        <v>59</v>
      </c>
      <c r="C7" s="3" t="s">
        <v>94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46174</v>
      </c>
      <c r="P7" s="4" t="s">
        <v>51</v>
      </c>
      <c r="Q7" s="3" t="s">
        <v>95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46201</v>
      </c>
      <c r="B8" s="2" t="s">
        <v>69</v>
      </c>
      <c r="C8" s="3" t="s">
        <v>96</v>
      </c>
      <c r="D8" s="4" t="s">
        <v>71</v>
      </c>
      <c r="E8" s="5" t="s">
        <v>33</v>
      </c>
      <c r="F8" s="6" t="n">
        <v>24800</v>
      </c>
      <c r="G8" s="6" t="str">
        <f aca="false">IF(E8="BC",F8," ")</f>
        <v> </v>
      </c>
      <c r="H8" s="6" t="n">
        <f aca="false">IF(E8="DR",F8," ")</f>
        <v>24800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46178</v>
      </c>
      <c r="P8" s="4" t="s">
        <v>56</v>
      </c>
      <c r="Q8" s="3" t="s">
        <v>97</v>
      </c>
      <c r="R8" s="3" t="s">
        <v>58</v>
      </c>
      <c r="S8" s="38" t="s">
        <v>34</v>
      </c>
      <c r="T8" s="6" t="n">
        <v>2500</v>
      </c>
      <c r="U8" s="6" t="str">
        <f aca="false">IF(S8="BC",T8," ")</f>
        <v> </v>
      </c>
      <c r="V8" s="6" t="n">
        <f aca="false">IF(S8="CR",T8," ")</f>
        <v>2500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46183</v>
      </c>
      <c r="P9" s="4" t="s">
        <v>98</v>
      </c>
      <c r="Q9" s="3" t="s">
        <v>99</v>
      </c>
      <c r="R9" s="3" t="s">
        <v>100</v>
      </c>
      <c r="S9" s="38" t="s">
        <v>38</v>
      </c>
      <c r="T9" s="6" t="n">
        <v>100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n">
        <f aca="false">IF(S9="X",T9," ")</f>
        <v>100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46192</v>
      </c>
      <c r="P10" s="4" t="s">
        <v>61</v>
      </c>
      <c r="Q10" s="3" t="s">
        <v>101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46201</v>
      </c>
      <c r="P11" s="4" t="s">
        <v>66</v>
      </c>
      <c r="Q11" s="3" t="s">
        <v>102</v>
      </c>
      <c r="R11" s="3" t="s">
        <v>68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46203</v>
      </c>
      <c r="P12" s="4" t="s">
        <v>103</v>
      </c>
      <c r="Q12" s="3" t="s">
        <v>104</v>
      </c>
      <c r="R12" s="3" t="s">
        <v>105</v>
      </c>
      <c r="S12" s="38" t="s">
        <v>40</v>
      </c>
      <c r="T12" s="6" t="n">
        <v>250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n">
        <f aca="false">IF(S12="B",T12," ")</f>
        <v>250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46203</v>
      </c>
      <c r="P13" s="4" t="s">
        <v>72</v>
      </c>
      <c r="Q13" s="3" t="s">
        <v>106</v>
      </c>
      <c r="R13" s="3" t="s">
        <v>74</v>
      </c>
      <c r="S13" s="38" t="s">
        <v>34</v>
      </c>
      <c r="T13" s="6" t="n">
        <v>300</v>
      </c>
      <c r="U13" s="6" t="str">
        <f aca="false">IF(S13="BC",T13," ")</f>
        <v> </v>
      </c>
      <c r="V13" s="6" t="n">
        <f aca="false">IF(S13="CR",T13," ")</f>
        <v>300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46174</v>
      </c>
      <c r="P14" s="4" t="s">
        <v>107</v>
      </c>
      <c r="Q14" s="3" t="s">
        <v>108</v>
      </c>
      <c r="R14" s="3" t="s">
        <v>109</v>
      </c>
      <c r="S14" s="38" t="s">
        <v>40</v>
      </c>
      <c r="T14" s="6" t="n">
        <v>2000</v>
      </c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n">
        <f aca="false">IF(S14="B",T14," ")</f>
        <v>2000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O15" s="1" t="n">
        <v>46174</v>
      </c>
      <c r="P15" s="4" t="s">
        <v>107</v>
      </c>
      <c r="Q15" s="3" t="s">
        <v>110</v>
      </c>
      <c r="R15" s="3" t="s">
        <v>111</v>
      </c>
      <c r="S15" s="38" t="s">
        <v>34</v>
      </c>
      <c r="T15" s="6" t="n">
        <v>13000</v>
      </c>
      <c r="U15" s="6" t="str">
        <f aca="false">IF(S15="BC",T15," ")</f>
        <v> </v>
      </c>
      <c r="V15" s="6" t="n">
        <f aca="false">IF(S15="CR",T15," ")</f>
        <v>13000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Jun!A2</f>
        <v>82969.4</v>
      </c>
      <c r="B1" s="8" t="s">
        <v>0</v>
      </c>
      <c r="C1" s="9" t="n">
        <f aca="false">Jun!C2</f>
        <v>46203</v>
      </c>
      <c r="D1" s="10" t="s">
        <v>1</v>
      </c>
      <c r="E1" s="11" t="n">
        <f aca="false">F1-SUM(G1:M1)</f>
        <v>0</v>
      </c>
      <c r="F1" s="12" t="n">
        <f aca="false">SUM(F6:F200)</f>
        <v>33760</v>
      </c>
      <c r="G1" s="12" t="n">
        <f aca="false">SUM(G6:G200)</f>
        <v>0</v>
      </c>
      <c r="H1" s="12" t="n">
        <f aca="false">SUM(H6:H200)</f>
        <v>33760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16425.2</v>
      </c>
      <c r="U1" s="12" t="n">
        <f aca="false">SUM(U6:U200)</f>
        <v>0</v>
      </c>
      <c r="V1" s="12" t="n">
        <f aca="false">SUM(V6:V200)</f>
        <v>3800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2673.2</v>
      </c>
      <c r="AB1" s="12" t="n">
        <f aca="false">SUM(AB6:AB200)</f>
        <v>4000</v>
      </c>
      <c r="AC1" s="12" t="n">
        <f aca="false">SUM(AC6:AC200)</f>
        <v>300</v>
      </c>
    </row>
    <row r="2" customFormat="false" ht="15" hidden="false" customHeight="true" outlineLevel="0" collapsed="false">
      <c r="A2" s="17" t="n">
        <f aca="false">A1+F1-T1</f>
        <v>100304.2</v>
      </c>
      <c r="B2" s="18" t="s">
        <v>2</v>
      </c>
      <c r="C2" s="9" t="n">
        <f aca="false">[1]Admin!$B$8</f>
        <v>46234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46234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customFormat="false" ht="19.5" hidden="false" customHeight="true" outlineLevel="0" collapsed="false">
      <c r="A4" s="28" t="n">
        <f aca="false">A2-A3</f>
        <v>100304.2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32"/>
      <c r="BM4" s="32"/>
      <c r="BN4" s="32"/>
      <c r="BO4" s="32"/>
      <c r="BP4" s="32"/>
      <c r="BQ4" s="32"/>
      <c r="BR4" s="32"/>
      <c r="BS4" s="32"/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2"/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2"/>
      <c r="DV4" s="32"/>
      <c r="DW4" s="32"/>
      <c r="DX4" s="32"/>
      <c r="DY4" s="32"/>
      <c r="DZ4" s="32"/>
      <c r="EA4" s="32"/>
      <c r="EB4" s="32"/>
      <c r="EC4" s="32"/>
      <c r="ED4" s="32"/>
      <c r="EE4" s="32"/>
      <c r="EF4" s="32"/>
      <c r="EG4" s="32"/>
      <c r="EH4" s="32"/>
      <c r="EI4" s="32"/>
      <c r="EJ4" s="32"/>
      <c r="EK4" s="32"/>
      <c r="EL4" s="32"/>
      <c r="EM4" s="32"/>
      <c r="EN4" s="32"/>
      <c r="EO4" s="32"/>
      <c r="EP4" s="32"/>
      <c r="EQ4" s="32"/>
      <c r="ER4" s="32"/>
      <c r="ES4" s="32"/>
      <c r="ET4" s="32"/>
      <c r="EU4" s="32"/>
      <c r="EV4" s="32"/>
      <c r="EW4" s="32"/>
      <c r="EX4" s="32"/>
      <c r="EY4" s="32"/>
      <c r="EZ4" s="32"/>
      <c r="FA4" s="32"/>
      <c r="FB4" s="32"/>
      <c r="FC4" s="32"/>
      <c r="FD4" s="32"/>
      <c r="FE4" s="32"/>
      <c r="FF4" s="32"/>
      <c r="FG4" s="32"/>
      <c r="FH4" s="32"/>
      <c r="FI4" s="32"/>
      <c r="FJ4" s="32"/>
      <c r="FK4" s="32"/>
      <c r="FL4" s="32"/>
      <c r="FM4" s="32"/>
      <c r="FN4" s="32"/>
      <c r="FO4" s="32"/>
      <c r="FP4" s="32"/>
      <c r="FQ4" s="32"/>
      <c r="FR4" s="32"/>
      <c r="FS4" s="32"/>
      <c r="FT4" s="32"/>
      <c r="FU4" s="32"/>
      <c r="FV4" s="32"/>
      <c r="FW4" s="32"/>
      <c r="FX4" s="32"/>
      <c r="FY4" s="32"/>
      <c r="FZ4" s="32"/>
      <c r="GA4" s="32"/>
      <c r="GB4" s="32"/>
      <c r="GC4" s="32"/>
      <c r="GD4" s="32"/>
      <c r="GE4" s="32"/>
      <c r="GF4" s="32"/>
      <c r="GG4" s="32"/>
      <c r="GH4" s="32"/>
      <c r="GI4" s="32"/>
      <c r="GJ4" s="32"/>
      <c r="GK4" s="32"/>
      <c r="GL4" s="32"/>
      <c r="GM4" s="32"/>
      <c r="GN4" s="32"/>
      <c r="GO4" s="32"/>
      <c r="GP4" s="32"/>
      <c r="GQ4" s="32"/>
      <c r="GR4" s="32"/>
      <c r="GS4" s="32"/>
      <c r="GT4" s="32"/>
      <c r="GU4" s="32"/>
      <c r="GV4" s="32"/>
      <c r="GW4" s="32"/>
      <c r="GX4" s="32"/>
      <c r="GY4" s="32"/>
      <c r="GZ4" s="32"/>
      <c r="HA4" s="32"/>
      <c r="HB4" s="32"/>
      <c r="HC4" s="32"/>
      <c r="HD4" s="32"/>
      <c r="HE4" s="32"/>
      <c r="HF4" s="32"/>
      <c r="HG4" s="32"/>
      <c r="HH4" s="32"/>
      <c r="HI4" s="32"/>
      <c r="HJ4" s="32"/>
      <c r="HK4" s="32"/>
      <c r="HL4" s="32"/>
      <c r="HM4" s="32"/>
      <c r="HN4" s="32"/>
      <c r="HO4" s="32"/>
      <c r="HP4" s="32"/>
      <c r="HQ4" s="32"/>
      <c r="HR4" s="32"/>
      <c r="HS4" s="32"/>
      <c r="HT4" s="32"/>
      <c r="HU4" s="32"/>
      <c r="HV4" s="32"/>
      <c r="HW4" s="32"/>
      <c r="HX4" s="32"/>
      <c r="HY4" s="32"/>
      <c r="HZ4" s="32"/>
      <c r="IA4" s="32"/>
      <c r="IB4" s="32"/>
      <c r="IC4" s="32"/>
      <c r="ID4" s="32"/>
      <c r="IE4" s="32"/>
      <c r="IF4" s="32"/>
      <c r="IG4" s="32"/>
      <c r="IH4" s="32"/>
      <c r="II4" s="32"/>
      <c r="IJ4" s="32"/>
      <c r="IK4" s="32"/>
      <c r="IL4" s="32"/>
      <c r="IM4" s="32"/>
      <c r="IN4" s="32"/>
      <c r="IO4" s="32"/>
      <c r="IP4" s="32"/>
      <c r="IQ4" s="32"/>
      <c r="IR4" s="32"/>
      <c r="IS4" s="32"/>
      <c r="IT4" s="32"/>
      <c r="IU4" s="32"/>
      <c r="IV4" s="32"/>
      <c r="IW4" s="32"/>
    </row>
    <row r="5" customFormat="fals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2"/>
      <c r="BL5" s="32"/>
      <c r="BM5" s="32"/>
      <c r="BN5" s="32"/>
      <c r="BO5" s="32"/>
      <c r="BP5" s="32"/>
      <c r="BQ5" s="32"/>
      <c r="BR5" s="32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2"/>
      <c r="DV5" s="32"/>
      <c r="DW5" s="32"/>
      <c r="DX5" s="32"/>
      <c r="DY5" s="32"/>
      <c r="DZ5" s="32"/>
      <c r="EA5" s="32"/>
      <c r="EB5" s="32"/>
      <c r="EC5" s="32"/>
      <c r="ED5" s="32"/>
      <c r="EE5" s="32"/>
      <c r="EF5" s="32"/>
      <c r="EG5" s="32"/>
      <c r="EH5" s="32"/>
      <c r="EI5" s="32"/>
      <c r="EJ5" s="32"/>
      <c r="EK5" s="32"/>
      <c r="EL5" s="32"/>
      <c r="EM5" s="32"/>
      <c r="EN5" s="32"/>
      <c r="EO5" s="32"/>
      <c r="EP5" s="32"/>
      <c r="EQ5" s="32"/>
      <c r="ER5" s="32"/>
      <c r="ES5" s="32"/>
      <c r="ET5" s="32"/>
      <c r="EU5" s="32"/>
      <c r="EV5" s="32"/>
      <c r="EW5" s="32"/>
      <c r="EX5" s="32"/>
      <c r="EY5" s="32"/>
      <c r="EZ5" s="32"/>
      <c r="FA5" s="32"/>
      <c r="FB5" s="32"/>
      <c r="FC5" s="32"/>
      <c r="FD5" s="32"/>
      <c r="FE5" s="32"/>
      <c r="FF5" s="32"/>
      <c r="FG5" s="32"/>
      <c r="FH5" s="32"/>
      <c r="FI5" s="32"/>
      <c r="FJ5" s="32"/>
      <c r="FK5" s="32"/>
      <c r="FL5" s="32"/>
      <c r="FM5" s="32"/>
      <c r="FN5" s="32"/>
      <c r="FO5" s="32"/>
      <c r="FP5" s="32"/>
      <c r="FQ5" s="32"/>
      <c r="FR5" s="32"/>
      <c r="FS5" s="32"/>
      <c r="FT5" s="32"/>
      <c r="FU5" s="32"/>
      <c r="FV5" s="32"/>
      <c r="FW5" s="32"/>
      <c r="FX5" s="32"/>
      <c r="FY5" s="32"/>
      <c r="FZ5" s="32"/>
      <c r="GA5" s="32"/>
      <c r="GB5" s="32"/>
      <c r="GC5" s="32"/>
      <c r="GD5" s="32"/>
      <c r="GE5" s="32"/>
      <c r="GF5" s="32"/>
      <c r="GG5" s="32"/>
      <c r="GH5" s="32"/>
      <c r="GI5" s="32"/>
      <c r="GJ5" s="32"/>
      <c r="GK5" s="32"/>
      <c r="GL5" s="32"/>
      <c r="GM5" s="32"/>
      <c r="GN5" s="32"/>
      <c r="GO5" s="32"/>
      <c r="GP5" s="32"/>
      <c r="GQ5" s="32"/>
      <c r="GR5" s="32"/>
      <c r="GS5" s="32"/>
      <c r="GT5" s="32"/>
      <c r="GU5" s="32"/>
      <c r="GV5" s="32"/>
      <c r="GW5" s="32"/>
      <c r="GX5" s="32"/>
      <c r="GY5" s="32"/>
      <c r="GZ5" s="32"/>
      <c r="HA5" s="32"/>
      <c r="HB5" s="32"/>
      <c r="HC5" s="32"/>
      <c r="HD5" s="32"/>
      <c r="HE5" s="32"/>
      <c r="HF5" s="32"/>
      <c r="HG5" s="32"/>
      <c r="HH5" s="32"/>
      <c r="HI5" s="32"/>
      <c r="HJ5" s="32"/>
      <c r="HK5" s="32"/>
      <c r="HL5" s="32"/>
      <c r="HM5" s="32"/>
      <c r="HN5" s="32"/>
      <c r="HO5" s="32"/>
      <c r="HP5" s="32"/>
      <c r="HQ5" s="32"/>
      <c r="HR5" s="32"/>
      <c r="HS5" s="32"/>
      <c r="HT5" s="32"/>
      <c r="HU5" s="32"/>
      <c r="HV5" s="32"/>
      <c r="HW5" s="32"/>
      <c r="HX5" s="32"/>
      <c r="HY5" s="32"/>
      <c r="HZ5" s="32"/>
      <c r="IA5" s="32"/>
      <c r="IB5" s="32"/>
      <c r="IC5" s="32"/>
      <c r="ID5" s="32"/>
      <c r="IE5" s="32"/>
      <c r="IF5" s="32"/>
      <c r="IG5" s="32"/>
      <c r="IH5" s="32"/>
      <c r="II5" s="32"/>
      <c r="IJ5" s="32"/>
      <c r="IK5" s="32"/>
      <c r="IL5" s="32"/>
      <c r="IM5" s="32"/>
      <c r="IN5" s="32"/>
      <c r="IO5" s="32"/>
      <c r="IP5" s="32"/>
      <c r="IQ5" s="32"/>
      <c r="IR5" s="32"/>
      <c r="IS5" s="32"/>
      <c r="IT5" s="32"/>
      <c r="IU5" s="32"/>
      <c r="IV5" s="32"/>
      <c r="IW5" s="32"/>
    </row>
    <row r="6" customFormat="false" ht="12.75" hidden="false" customHeight="false" outlineLevel="0" collapsed="false">
      <c r="A6" s="1" t="n">
        <v>46223</v>
      </c>
      <c r="B6" s="2" t="s">
        <v>43</v>
      </c>
      <c r="C6" s="3" t="s">
        <v>112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46204</v>
      </c>
      <c r="P6" s="4" t="s">
        <v>46</v>
      </c>
      <c r="Q6" s="3" t="s">
        <v>113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46228</v>
      </c>
      <c r="B7" s="2" t="s">
        <v>59</v>
      </c>
      <c r="C7" s="3" t="s">
        <v>114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46204</v>
      </c>
      <c r="P7" s="4" t="s">
        <v>51</v>
      </c>
      <c r="Q7" s="3" t="s">
        <v>115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46231</v>
      </c>
      <c r="B8" s="2" t="s">
        <v>69</v>
      </c>
      <c r="C8" s="3" t="s">
        <v>116</v>
      </c>
      <c r="D8" s="4" t="s">
        <v>71</v>
      </c>
      <c r="E8" s="5" t="s">
        <v>33</v>
      </c>
      <c r="F8" s="6" t="n">
        <v>23360</v>
      </c>
      <c r="G8" s="6" t="str">
        <f aca="false">IF(E8="BC",F8," ")</f>
        <v> </v>
      </c>
      <c r="H8" s="6" t="n">
        <f aca="false">IF(E8="DR",F8," ")</f>
        <v>23360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46208</v>
      </c>
      <c r="P8" s="4" t="s">
        <v>56</v>
      </c>
      <c r="Q8" s="3" t="s">
        <v>117</v>
      </c>
      <c r="R8" s="3" t="s">
        <v>58</v>
      </c>
      <c r="S8" s="38" t="s">
        <v>34</v>
      </c>
      <c r="T8" s="6" t="n">
        <v>2300</v>
      </c>
      <c r="U8" s="6" t="str">
        <f aca="false">IF(S8="BC",T8," ")</f>
        <v> </v>
      </c>
      <c r="V8" s="6" t="n">
        <f aca="false">IF(S8="CR",T8," ")</f>
        <v>2300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46218</v>
      </c>
      <c r="P9" s="4" t="s">
        <v>118</v>
      </c>
      <c r="Q9" s="3" t="s">
        <v>119</v>
      </c>
      <c r="R9" s="3" t="s">
        <v>120</v>
      </c>
      <c r="S9" s="38" t="s">
        <v>37</v>
      </c>
      <c r="T9" s="6" t="n">
        <v>3000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n">
        <f aca="false">IF(S9="DL",T9," ")</f>
        <v>3000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46222</v>
      </c>
      <c r="P10" s="4" t="s">
        <v>61</v>
      </c>
      <c r="Q10" s="3" t="s">
        <v>121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46222</v>
      </c>
      <c r="P11" s="4" t="s">
        <v>61</v>
      </c>
      <c r="Q11" s="3" t="s">
        <v>122</v>
      </c>
      <c r="R11" s="3" t="s">
        <v>123</v>
      </c>
      <c r="S11" s="38" t="s">
        <v>42</v>
      </c>
      <c r="T11" s="6" t="n">
        <v>1000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n">
        <f aca="false">IF(S11="RP",T11," ")</f>
        <v>1000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46231</v>
      </c>
      <c r="P12" s="4" t="s">
        <v>66</v>
      </c>
      <c r="Q12" s="3" t="s">
        <v>124</v>
      </c>
      <c r="R12" s="3" t="s">
        <v>68</v>
      </c>
      <c r="S12" s="38" t="s">
        <v>39</v>
      </c>
      <c r="T12" s="6" t="n">
        <v>5652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n">
        <f aca="false">IF(S12="W",T12," ")</f>
        <v>5652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46234</v>
      </c>
      <c r="P13" s="4" t="s">
        <v>72</v>
      </c>
      <c r="Q13" s="3" t="s">
        <v>125</v>
      </c>
      <c r="R13" s="3" t="s">
        <v>74</v>
      </c>
      <c r="S13" s="38" t="s">
        <v>34</v>
      </c>
      <c r="T13" s="6" t="n">
        <v>300</v>
      </c>
      <c r="U13" s="6" t="str">
        <f aca="false">IF(S13="BC",T13," ")</f>
        <v> </v>
      </c>
      <c r="V13" s="6" t="n">
        <f aca="false">IF(S13="CR",T13," ")</f>
        <v>300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46234</v>
      </c>
      <c r="P14" s="4" t="s">
        <v>75</v>
      </c>
      <c r="Q14" s="3" t="s">
        <v>126</v>
      </c>
      <c r="R14" s="3" t="s">
        <v>77</v>
      </c>
      <c r="S14" s="38" t="s">
        <v>38</v>
      </c>
      <c r="T14" s="6" t="n">
        <v>300</v>
      </c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n">
        <f aca="false">IF(S14="X",T14," ")</f>
        <v>300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Jul!A2</f>
        <v>100304.2</v>
      </c>
      <c r="B1" s="8" t="s">
        <v>0</v>
      </c>
      <c r="C1" s="9" t="n">
        <f aca="false">Jul!C2</f>
        <v>46234</v>
      </c>
      <c r="D1" s="10" t="s">
        <v>1</v>
      </c>
      <c r="E1" s="11" t="n">
        <f aca="false">F1-SUM(G1:M1)</f>
        <v>0</v>
      </c>
      <c r="F1" s="12" t="n">
        <f aca="false">SUM(F6:F200)</f>
        <v>38520</v>
      </c>
      <c r="G1" s="12" t="n">
        <f aca="false">SUM(G6:G200)</f>
        <v>0</v>
      </c>
      <c r="H1" s="12" t="n">
        <f aca="false">SUM(H6:H200)</f>
        <v>38520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26233.37</v>
      </c>
      <c r="U1" s="12" t="n">
        <f aca="false">SUM(U6:U200)</f>
        <v>0</v>
      </c>
      <c r="V1" s="12" t="n">
        <f aca="false">SUM(V6:V200)</f>
        <v>4100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15481.37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112590.83</v>
      </c>
      <c r="B2" s="18" t="s">
        <v>2</v>
      </c>
      <c r="C2" s="9" t="n">
        <f aca="false">[1]Admin!$B$9</f>
        <v>46265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46265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customFormat="false" ht="19.5" hidden="false" customHeight="true" outlineLevel="0" collapsed="false">
      <c r="A4" s="28" t="n">
        <f aca="false">A2-A3</f>
        <v>112590.83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32"/>
      <c r="BM4" s="32"/>
      <c r="BN4" s="32"/>
      <c r="BO4" s="32"/>
      <c r="BP4" s="32"/>
      <c r="BQ4" s="32"/>
      <c r="BR4" s="32"/>
      <c r="BS4" s="32"/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2"/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2"/>
      <c r="DV4" s="32"/>
      <c r="DW4" s="32"/>
      <c r="DX4" s="32"/>
      <c r="DY4" s="32"/>
      <c r="DZ4" s="32"/>
      <c r="EA4" s="32"/>
      <c r="EB4" s="32"/>
      <c r="EC4" s="32"/>
      <c r="ED4" s="32"/>
      <c r="EE4" s="32"/>
      <c r="EF4" s="32"/>
      <c r="EG4" s="32"/>
      <c r="EH4" s="32"/>
      <c r="EI4" s="32"/>
      <c r="EJ4" s="32"/>
      <c r="EK4" s="32"/>
      <c r="EL4" s="32"/>
      <c r="EM4" s="32"/>
      <c r="EN4" s="32"/>
      <c r="EO4" s="32"/>
      <c r="EP4" s="32"/>
      <c r="EQ4" s="32"/>
      <c r="ER4" s="32"/>
      <c r="ES4" s="32"/>
      <c r="ET4" s="32"/>
      <c r="EU4" s="32"/>
      <c r="EV4" s="32"/>
      <c r="EW4" s="32"/>
      <c r="EX4" s="32"/>
      <c r="EY4" s="32"/>
      <c r="EZ4" s="32"/>
      <c r="FA4" s="32"/>
      <c r="FB4" s="32"/>
      <c r="FC4" s="32"/>
      <c r="FD4" s="32"/>
      <c r="FE4" s="32"/>
      <c r="FF4" s="32"/>
      <c r="FG4" s="32"/>
      <c r="FH4" s="32"/>
      <c r="FI4" s="32"/>
      <c r="FJ4" s="32"/>
      <c r="FK4" s="32"/>
      <c r="FL4" s="32"/>
      <c r="FM4" s="32"/>
      <c r="FN4" s="32"/>
      <c r="FO4" s="32"/>
      <c r="FP4" s="32"/>
      <c r="FQ4" s="32"/>
      <c r="FR4" s="32"/>
      <c r="FS4" s="32"/>
      <c r="FT4" s="32"/>
      <c r="FU4" s="32"/>
      <c r="FV4" s="32"/>
      <c r="FW4" s="32"/>
      <c r="FX4" s="32"/>
      <c r="FY4" s="32"/>
      <c r="FZ4" s="32"/>
      <c r="GA4" s="32"/>
      <c r="GB4" s="32"/>
      <c r="GC4" s="32"/>
      <c r="GD4" s="32"/>
      <c r="GE4" s="32"/>
      <c r="GF4" s="32"/>
      <c r="GG4" s="32"/>
      <c r="GH4" s="32"/>
      <c r="GI4" s="32"/>
      <c r="GJ4" s="32"/>
      <c r="GK4" s="32"/>
      <c r="GL4" s="32"/>
      <c r="GM4" s="32"/>
      <c r="GN4" s="32"/>
      <c r="GO4" s="32"/>
      <c r="GP4" s="32"/>
      <c r="GQ4" s="32"/>
      <c r="GR4" s="32"/>
      <c r="GS4" s="32"/>
      <c r="GT4" s="32"/>
      <c r="GU4" s="32"/>
      <c r="GV4" s="32"/>
      <c r="GW4" s="32"/>
      <c r="GX4" s="32"/>
      <c r="GY4" s="32"/>
      <c r="GZ4" s="32"/>
      <c r="HA4" s="32"/>
      <c r="HB4" s="32"/>
      <c r="HC4" s="32"/>
      <c r="HD4" s="32"/>
      <c r="HE4" s="32"/>
      <c r="HF4" s="32"/>
      <c r="HG4" s="32"/>
      <c r="HH4" s="32"/>
      <c r="HI4" s="32"/>
      <c r="HJ4" s="32"/>
      <c r="HK4" s="32"/>
      <c r="HL4" s="32"/>
      <c r="HM4" s="32"/>
      <c r="HN4" s="32"/>
      <c r="HO4" s="32"/>
      <c r="HP4" s="32"/>
      <c r="HQ4" s="32"/>
      <c r="HR4" s="32"/>
      <c r="HS4" s="32"/>
      <c r="HT4" s="32"/>
      <c r="HU4" s="32"/>
      <c r="HV4" s="32"/>
      <c r="HW4" s="32"/>
      <c r="HX4" s="32"/>
      <c r="HY4" s="32"/>
      <c r="HZ4" s="32"/>
      <c r="IA4" s="32"/>
      <c r="IB4" s="32"/>
      <c r="IC4" s="32"/>
      <c r="ID4" s="32"/>
      <c r="IE4" s="32"/>
      <c r="IF4" s="32"/>
      <c r="IG4" s="32"/>
      <c r="IH4" s="32"/>
      <c r="II4" s="32"/>
      <c r="IJ4" s="32"/>
      <c r="IK4" s="32"/>
      <c r="IL4" s="32"/>
      <c r="IM4" s="32"/>
      <c r="IN4" s="32"/>
      <c r="IO4" s="32"/>
      <c r="IP4" s="32"/>
      <c r="IQ4" s="32"/>
      <c r="IR4" s="32"/>
      <c r="IS4" s="32"/>
      <c r="IT4" s="32"/>
      <c r="IU4" s="32"/>
      <c r="IV4" s="32"/>
      <c r="IW4" s="32"/>
    </row>
    <row r="5" customFormat="fals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2"/>
      <c r="BL5" s="32"/>
      <c r="BM5" s="32"/>
      <c r="BN5" s="32"/>
      <c r="BO5" s="32"/>
      <c r="BP5" s="32"/>
      <c r="BQ5" s="32"/>
      <c r="BR5" s="32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2"/>
      <c r="DV5" s="32"/>
      <c r="DW5" s="32"/>
      <c r="DX5" s="32"/>
      <c r="DY5" s="32"/>
      <c r="DZ5" s="32"/>
      <c r="EA5" s="32"/>
      <c r="EB5" s="32"/>
      <c r="EC5" s="32"/>
      <c r="ED5" s="32"/>
      <c r="EE5" s="32"/>
      <c r="EF5" s="32"/>
      <c r="EG5" s="32"/>
      <c r="EH5" s="32"/>
      <c r="EI5" s="32"/>
      <c r="EJ5" s="32"/>
      <c r="EK5" s="32"/>
      <c r="EL5" s="32"/>
      <c r="EM5" s="32"/>
      <c r="EN5" s="32"/>
      <c r="EO5" s="32"/>
      <c r="EP5" s="32"/>
      <c r="EQ5" s="32"/>
      <c r="ER5" s="32"/>
      <c r="ES5" s="32"/>
      <c r="ET5" s="32"/>
      <c r="EU5" s="32"/>
      <c r="EV5" s="32"/>
      <c r="EW5" s="32"/>
      <c r="EX5" s="32"/>
      <c r="EY5" s="32"/>
      <c r="EZ5" s="32"/>
      <c r="FA5" s="32"/>
      <c r="FB5" s="32"/>
      <c r="FC5" s="32"/>
      <c r="FD5" s="32"/>
      <c r="FE5" s="32"/>
      <c r="FF5" s="32"/>
      <c r="FG5" s="32"/>
      <c r="FH5" s="32"/>
      <c r="FI5" s="32"/>
      <c r="FJ5" s="32"/>
      <c r="FK5" s="32"/>
      <c r="FL5" s="32"/>
      <c r="FM5" s="32"/>
      <c r="FN5" s="32"/>
      <c r="FO5" s="32"/>
      <c r="FP5" s="32"/>
      <c r="FQ5" s="32"/>
      <c r="FR5" s="32"/>
      <c r="FS5" s="32"/>
      <c r="FT5" s="32"/>
      <c r="FU5" s="32"/>
      <c r="FV5" s="32"/>
      <c r="FW5" s="32"/>
      <c r="FX5" s="32"/>
      <c r="FY5" s="32"/>
      <c r="FZ5" s="32"/>
      <c r="GA5" s="32"/>
      <c r="GB5" s="32"/>
      <c r="GC5" s="32"/>
      <c r="GD5" s="32"/>
      <c r="GE5" s="32"/>
      <c r="GF5" s="32"/>
      <c r="GG5" s="32"/>
      <c r="GH5" s="32"/>
      <c r="GI5" s="32"/>
      <c r="GJ5" s="32"/>
      <c r="GK5" s="32"/>
      <c r="GL5" s="32"/>
      <c r="GM5" s="32"/>
      <c r="GN5" s="32"/>
      <c r="GO5" s="32"/>
      <c r="GP5" s="32"/>
      <c r="GQ5" s="32"/>
      <c r="GR5" s="32"/>
      <c r="GS5" s="32"/>
      <c r="GT5" s="32"/>
      <c r="GU5" s="32"/>
      <c r="GV5" s="32"/>
      <c r="GW5" s="32"/>
      <c r="GX5" s="32"/>
      <c r="GY5" s="32"/>
      <c r="GZ5" s="32"/>
      <c r="HA5" s="32"/>
      <c r="HB5" s="32"/>
      <c r="HC5" s="32"/>
      <c r="HD5" s="32"/>
      <c r="HE5" s="32"/>
      <c r="HF5" s="32"/>
      <c r="HG5" s="32"/>
      <c r="HH5" s="32"/>
      <c r="HI5" s="32"/>
      <c r="HJ5" s="32"/>
      <c r="HK5" s="32"/>
      <c r="HL5" s="32"/>
      <c r="HM5" s="32"/>
      <c r="HN5" s="32"/>
      <c r="HO5" s="32"/>
      <c r="HP5" s="32"/>
      <c r="HQ5" s="32"/>
      <c r="HR5" s="32"/>
      <c r="HS5" s="32"/>
      <c r="HT5" s="32"/>
      <c r="HU5" s="32"/>
      <c r="HV5" s="32"/>
      <c r="HW5" s="32"/>
      <c r="HX5" s="32"/>
      <c r="HY5" s="32"/>
      <c r="HZ5" s="32"/>
      <c r="IA5" s="32"/>
      <c r="IB5" s="32"/>
      <c r="IC5" s="32"/>
      <c r="ID5" s="32"/>
      <c r="IE5" s="32"/>
      <c r="IF5" s="32"/>
      <c r="IG5" s="32"/>
      <c r="IH5" s="32"/>
      <c r="II5" s="32"/>
      <c r="IJ5" s="32"/>
      <c r="IK5" s="32"/>
      <c r="IL5" s="32"/>
      <c r="IM5" s="32"/>
      <c r="IN5" s="32"/>
      <c r="IO5" s="32"/>
      <c r="IP5" s="32"/>
      <c r="IQ5" s="32"/>
      <c r="IR5" s="32"/>
      <c r="IS5" s="32"/>
      <c r="IT5" s="32"/>
      <c r="IU5" s="32"/>
      <c r="IV5" s="32"/>
      <c r="IW5" s="32"/>
    </row>
    <row r="6" customFormat="false" ht="12.75" hidden="false" customHeight="false" outlineLevel="0" collapsed="false">
      <c r="A6" s="1" t="n">
        <v>46239</v>
      </c>
      <c r="B6" s="2" t="s">
        <v>127</v>
      </c>
      <c r="C6" s="3" t="s">
        <v>128</v>
      </c>
      <c r="D6" s="4" t="s">
        <v>129</v>
      </c>
      <c r="E6" s="5" t="s">
        <v>33</v>
      </c>
      <c r="F6" s="6" t="n">
        <v>2500</v>
      </c>
      <c r="G6" s="6" t="str">
        <f aca="false">IF(E6="BC",F6," ")</f>
        <v> </v>
      </c>
      <c r="H6" s="6" t="n">
        <f aca="false">IF(E6="DR",F6," ")</f>
        <v>2500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46241</v>
      </c>
      <c r="P6" s="4" t="s">
        <v>61</v>
      </c>
      <c r="Q6" s="3" t="s">
        <v>130</v>
      </c>
      <c r="R6" s="3" t="s">
        <v>131</v>
      </c>
      <c r="S6" s="38" t="s">
        <v>42</v>
      </c>
      <c r="T6" s="6" t="n">
        <v>13808.17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13808.17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46254</v>
      </c>
      <c r="B7" s="2" t="s">
        <v>43</v>
      </c>
      <c r="C7" s="3" t="s">
        <v>132</v>
      </c>
      <c r="D7" s="4" t="s">
        <v>55</v>
      </c>
      <c r="E7" s="5" t="s">
        <v>33</v>
      </c>
      <c r="F7" s="6" t="n">
        <v>8000</v>
      </c>
      <c r="G7" s="6" t="str">
        <f aca="false">IF(E7="BC",F7," ")</f>
        <v> </v>
      </c>
      <c r="H7" s="6" t="n">
        <f aca="false">IF(E7="DR",F7," ")</f>
        <v>8000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46235</v>
      </c>
      <c r="P7" s="4" t="s">
        <v>46</v>
      </c>
      <c r="Q7" s="3" t="s">
        <v>133</v>
      </c>
      <c r="R7" s="3" t="s">
        <v>48</v>
      </c>
      <c r="S7" s="38" t="s">
        <v>34</v>
      </c>
      <c r="T7" s="6" t="n">
        <v>1200</v>
      </c>
      <c r="U7" s="6" t="str">
        <f aca="false">IF(S7="BC",T7," ")</f>
        <v> </v>
      </c>
      <c r="V7" s="6" t="n">
        <f aca="false">IF(S7="CR",T7," ")</f>
        <v>1200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46259</v>
      </c>
      <c r="B8" s="2" t="s">
        <v>59</v>
      </c>
      <c r="C8" s="3" t="s">
        <v>134</v>
      </c>
      <c r="D8" s="4" t="s">
        <v>55</v>
      </c>
      <c r="E8" s="5" t="s">
        <v>33</v>
      </c>
      <c r="F8" s="6" t="n">
        <v>2400</v>
      </c>
      <c r="G8" s="6" t="str">
        <f aca="false">IF(E8="BC",F8," ")</f>
        <v> </v>
      </c>
      <c r="H8" s="6" t="n">
        <f aca="false">IF(E8="DR",F8," ")</f>
        <v>2400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46235</v>
      </c>
      <c r="P8" s="4" t="s">
        <v>51</v>
      </c>
      <c r="Q8" s="3" t="s">
        <v>135</v>
      </c>
      <c r="R8" s="3" t="s">
        <v>53</v>
      </c>
      <c r="S8" s="38" t="s">
        <v>37</v>
      </c>
      <c r="T8" s="6" t="n">
        <v>1000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n">
        <f aca="false">IF(S8="DL",T8," ")</f>
        <v>1000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46262</v>
      </c>
      <c r="B9" s="2" t="s">
        <v>69</v>
      </c>
      <c r="C9" s="3" t="s">
        <v>136</v>
      </c>
      <c r="D9" s="4" t="s">
        <v>71</v>
      </c>
      <c r="E9" s="5" t="s">
        <v>33</v>
      </c>
      <c r="F9" s="6" t="n">
        <v>25620</v>
      </c>
      <c r="G9" s="6" t="str">
        <f aca="false">IF(E9="BC",F9," ")</f>
        <v> </v>
      </c>
      <c r="H9" s="6" t="n">
        <f aca="false">IF(E9="DR",F9," ")</f>
        <v>25620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46239</v>
      </c>
      <c r="P9" s="4" t="s">
        <v>56</v>
      </c>
      <c r="Q9" s="3" t="s">
        <v>137</v>
      </c>
      <c r="R9" s="3" t="s">
        <v>58</v>
      </c>
      <c r="S9" s="38" t="s">
        <v>34</v>
      </c>
      <c r="T9" s="6" t="n">
        <v>2600</v>
      </c>
      <c r="U9" s="6" t="str">
        <f aca="false">IF(S9="BC",T9," ")</f>
        <v> </v>
      </c>
      <c r="V9" s="6" t="n">
        <f aca="false">IF(S9="CR",T9," ")</f>
        <v>2600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46253</v>
      </c>
      <c r="P10" s="4" t="s">
        <v>61</v>
      </c>
      <c r="Q10" s="3" t="s">
        <v>138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46262</v>
      </c>
      <c r="P11" s="4" t="s">
        <v>66</v>
      </c>
      <c r="Q11" s="3" t="s">
        <v>139</v>
      </c>
      <c r="R11" s="3" t="s">
        <v>68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46265</v>
      </c>
      <c r="P12" s="4" t="s">
        <v>72</v>
      </c>
      <c r="Q12" s="3" t="s">
        <v>140</v>
      </c>
      <c r="R12" s="3" t="s">
        <v>74</v>
      </c>
      <c r="S12" s="38" t="s">
        <v>34</v>
      </c>
      <c r="T12" s="6" t="n">
        <v>300</v>
      </c>
      <c r="U12" s="6" t="str">
        <f aca="false">IF(S12="BC",T12," ")</f>
        <v> </v>
      </c>
      <c r="V12" s="6" t="n">
        <f aca="false">IF(S12="CR",T12," ")</f>
        <v>300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Aug!A2</f>
        <v>112590.83</v>
      </c>
      <c r="B1" s="8" t="s">
        <v>0</v>
      </c>
      <c r="C1" s="9" t="n">
        <f aca="false">Aug!C2</f>
        <v>46265</v>
      </c>
      <c r="D1" s="10" t="s">
        <v>1</v>
      </c>
      <c r="E1" s="11" t="n">
        <f aca="false">F1-SUM(G1:M1)</f>
        <v>0</v>
      </c>
      <c r="F1" s="12" t="n">
        <f aca="false">SUM(F6:F200)</f>
        <v>33760</v>
      </c>
      <c r="G1" s="12" t="n">
        <f aca="false">SUM(G6:G200)</f>
        <v>0</v>
      </c>
      <c r="H1" s="12" t="n">
        <f aca="false">SUM(H6:H200)</f>
        <v>33760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20233.2</v>
      </c>
      <c r="U1" s="12" t="n">
        <f aca="false">SUM(U6:U200)</f>
        <v>0</v>
      </c>
      <c r="V1" s="12" t="n">
        <f aca="false">SUM(V6:V200)</f>
        <v>10600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1308</v>
      </c>
      <c r="Z1" s="12" t="n">
        <f aca="false">SUM(Z6:Z200)</f>
        <v>0</v>
      </c>
      <c r="AA1" s="12" t="n">
        <f aca="false">SUM(AA6:AA200)</f>
        <v>1673.2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126117.63</v>
      </c>
      <c r="B2" s="18" t="s">
        <v>2</v>
      </c>
      <c r="C2" s="9" t="n">
        <f aca="false">[1]Admin!$B$10</f>
        <v>46295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46295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customFormat="false" ht="19.5" hidden="false" customHeight="true" outlineLevel="0" collapsed="false">
      <c r="A4" s="28" t="n">
        <f aca="false">A2-A3</f>
        <v>126117.63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32"/>
      <c r="BM4" s="32"/>
      <c r="BN4" s="32"/>
      <c r="BO4" s="32"/>
      <c r="BP4" s="32"/>
      <c r="BQ4" s="32"/>
      <c r="BR4" s="32"/>
      <c r="BS4" s="32"/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2"/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2"/>
      <c r="DV4" s="32"/>
      <c r="DW4" s="32"/>
      <c r="DX4" s="32"/>
      <c r="DY4" s="32"/>
      <c r="DZ4" s="32"/>
      <c r="EA4" s="32"/>
      <c r="EB4" s="32"/>
      <c r="EC4" s="32"/>
      <c r="ED4" s="32"/>
      <c r="EE4" s="32"/>
      <c r="EF4" s="32"/>
      <c r="EG4" s="32"/>
      <c r="EH4" s="32"/>
      <c r="EI4" s="32"/>
      <c r="EJ4" s="32"/>
      <c r="EK4" s="32"/>
      <c r="EL4" s="32"/>
      <c r="EM4" s="32"/>
      <c r="EN4" s="32"/>
      <c r="EO4" s="32"/>
      <c r="EP4" s="32"/>
      <c r="EQ4" s="32"/>
      <c r="ER4" s="32"/>
      <c r="ES4" s="32"/>
      <c r="ET4" s="32"/>
      <c r="EU4" s="32"/>
      <c r="EV4" s="32"/>
      <c r="EW4" s="32"/>
      <c r="EX4" s="32"/>
      <c r="EY4" s="32"/>
      <c r="EZ4" s="32"/>
      <c r="FA4" s="32"/>
      <c r="FB4" s="32"/>
      <c r="FC4" s="32"/>
      <c r="FD4" s="32"/>
      <c r="FE4" s="32"/>
      <c r="FF4" s="32"/>
      <c r="FG4" s="32"/>
      <c r="FH4" s="32"/>
      <c r="FI4" s="32"/>
      <c r="FJ4" s="32"/>
      <c r="FK4" s="32"/>
      <c r="FL4" s="32"/>
      <c r="FM4" s="32"/>
      <c r="FN4" s="32"/>
      <c r="FO4" s="32"/>
      <c r="FP4" s="32"/>
      <c r="FQ4" s="32"/>
      <c r="FR4" s="32"/>
      <c r="FS4" s="32"/>
      <c r="FT4" s="32"/>
      <c r="FU4" s="32"/>
      <c r="FV4" s="32"/>
      <c r="FW4" s="32"/>
      <c r="FX4" s="32"/>
      <c r="FY4" s="32"/>
      <c r="FZ4" s="32"/>
      <c r="GA4" s="32"/>
      <c r="GB4" s="32"/>
      <c r="GC4" s="32"/>
      <c r="GD4" s="32"/>
      <c r="GE4" s="32"/>
      <c r="GF4" s="32"/>
      <c r="GG4" s="32"/>
      <c r="GH4" s="32"/>
      <c r="GI4" s="32"/>
      <c r="GJ4" s="32"/>
      <c r="GK4" s="32"/>
      <c r="GL4" s="32"/>
      <c r="GM4" s="32"/>
      <c r="GN4" s="32"/>
      <c r="GO4" s="32"/>
      <c r="GP4" s="32"/>
      <c r="GQ4" s="32"/>
      <c r="GR4" s="32"/>
      <c r="GS4" s="32"/>
      <c r="GT4" s="32"/>
      <c r="GU4" s="32"/>
      <c r="GV4" s="32"/>
      <c r="GW4" s="32"/>
      <c r="GX4" s="32"/>
      <c r="GY4" s="32"/>
      <c r="GZ4" s="32"/>
      <c r="HA4" s="32"/>
      <c r="HB4" s="32"/>
      <c r="HC4" s="32"/>
      <c r="HD4" s="32"/>
      <c r="HE4" s="32"/>
      <c r="HF4" s="32"/>
      <c r="HG4" s="32"/>
      <c r="HH4" s="32"/>
      <c r="HI4" s="32"/>
      <c r="HJ4" s="32"/>
      <c r="HK4" s="32"/>
      <c r="HL4" s="32"/>
      <c r="HM4" s="32"/>
      <c r="HN4" s="32"/>
      <c r="HO4" s="32"/>
      <c r="HP4" s="32"/>
      <c r="HQ4" s="32"/>
      <c r="HR4" s="32"/>
      <c r="HS4" s="32"/>
      <c r="HT4" s="32"/>
      <c r="HU4" s="32"/>
      <c r="HV4" s="32"/>
      <c r="HW4" s="32"/>
      <c r="HX4" s="32"/>
      <c r="HY4" s="32"/>
      <c r="HZ4" s="32"/>
      <c r="IA4" s="32"/>
      <c r="IB4" s="32"/>
      <c r="IC4" s="32"/>
      <c r="ID4" s="32"/>
      <c r="IE4" s="32"/>
      <c r="IF4" s="32"/>
      <c r="IG4" s="32"/>
      <c r="IH4" s="32"/>
      <c r="II4" s="32"/>
      <c r="IJ4" s="32"/>
      <c r="IK4" s="32"/>
      <c r="IL4" s="32"/>
      <c r="IM4" s="32"/>
      <c r="IN4" s="32"/>
      <c r="IO4" s="32"/>
      <c r="IP4" s="32"/>
      <c r="IQ4" s="32"/>
      <c r="IR4" s="32"/>
      <c r="IS4" s="32"/>
      <c r="IT4" s="32"/>
      <c r="IU4" s="32"/>
      <c r="IV4" s="32"/>
      <c r="IW4" s="32"/>
    </row>
    <row r="5" customFormat="fals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2"/>
      <c r="BL5" s="32"/>
      <c r="BM5" s="32"/>
      <c r="BN5" s="32"/>
      <c r="BO5" s="32"/>
      <c r="BP5" s="32"/>
      <c r="BQ5" s="32"/>
      <c r="BR5" s="32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2"/>
      <c r="DV5" s="32"/>
      <c r="DW5" s="32"/>
      <c r="DX5" s="32"/>
      <c r="DY5" s="32"/>
      <c r="DZ5" s="32"/>
      <c r="EA5" s="32"/>
      <c r="EB5" s="32"/>
      <c r="EC5" s="32"/>
      <c r="ED5" s="32"/>
      <c r="EE5" s="32"/>
      <c r="EF5" s="32"/>
      <c r="EG5" s="32"/>
      <c r="EH5" s="32"/>
      <c r="EI5" s="32"/>
      <c r="EJ5" s="32"/>
      <c r="EK5" s="32"/>
      <c r="EL5" s="32"/>
      <c r="EM5" s="32"/>
      <c r="EN5" s="32"/>
      <c r="EO5" s="32"/>
      <c r="EP5" s="32"/>
      <c r="EQ5" s="32"/>
      <c r="ER5" s="32"/>
      <c r="ES5" s="32"/>
      <c r="ET5" s="32"/>
      <c r="EU5" s="32"/>
      <c r="EV5" s="32"/>
      <c r="EW5" s="32"/>
      <c r="EX5" s="32"/>
      <c r="EY5" s="32"/>
      <c r="EZ5" s="32"/>
      <c r="FA5" s="32"/>
      <c r="FB5" s="32"/>
      <c r="FC5" s="32"/>
      <c r="FD5" s="32"/>
      <c r="FE5" s="32"/>
      <c r="FF5" s="32"/>
      <c r="FG5" s="32"/>
      <c r="FH5" s="32"/>
      <c r="FI5" s="32"/>
      <c r="FJ5" s="32"/>
      <c r="FK5" s="32"/>
      <c r="FL5" s="32"/>
      <c r="FM5" s="32"/>
      <c r="FN5" s="32"/>
      <c r="FO5" s="32"/>
      <c r="FP5" s="32"/>
      <c r="FQ5" s="32"/>
      <c r="FR5" s="32"/>
      <c r="FS5" s="32"/>
      <c r="FT5" s="32"/>
      <c r="FU5" s="32"/>
      <c r="FV5" s="32"/>
      <c r="FW5" s="32"/>
      <c r="FX5" s="32"/>
      <c r="FY5" s="32"/>
      <c r="FZ5" s="32"/>
      <c r="GA5" s="32"/>
      <c r="GB5" s="32"/>
      <c r="GC5" s="32"/>
      <c r="GD5" s="32"/>
      <c r="GE5" s="32"/>
      <c r="GF5" s="32"/>
      <c r="GG5" s="32"/>
      <c r="GH5" s="32"/>
      <c r="GI5" s="32"/>
      <c r="GJ5" s="32"/>
      <c r="GK5" s="32"/>
      <c r="GL5" s="32"/>
      <c r="GM5" s="32"/>
      <c r="GN5" s="32"/>
      <c r="GO5" s="32"/>
      <c r="GP5" s="32"/>
      <c r="GQ5" s="32"/>
      <c r="GR5" s="32"/>
      <c r="GS5" s="32"/>
      <c r="GT5" s="32"/>
      <c r="GU5" s="32"/>
      <c r="GV5" s="32"/>
      <c r="GW5" s="32"/>
      <c r="GX5" s="32"/>
      <c r="GY5" s="32"/>
      <c r="GZ5" s="32"/>
      <c r="HA5" s="32"/>
      <c r="HB5" s="32"/>
      <c r="HC5" s="32"/>
      <c r="HD5" s="32"/>
      <c r="HE5" s="32"/>
      <c r="HF5" s="32"/>
      <c r="HG5" s="32"/>
      <c r="HH5" s="32"/>
      <c r="HI5" s="32"/>
      <c r="HJ5" s="32"/>
      <c r="HK5" s="32"/>
      <c r="HL5" s="32"/>
      <c r="HM5" s="32"/>
      <c r="HN5" s="32"/>
      <c r="HO5" s="32"/>
      <c r="HP5" s="32"/>
      <c r="HQ5" s="32"/>
      <c r="HR5" s="32"/>
      <c r="HS5" s="32"/>
      <c r="HT5" s="32"/>
      <c r="HU5" s="32"/>
      <c r="HV5" s="32"/>
      <c r="HW5" s="32"/>
      <c r="HX5" s="32"/>
      <c r="HY5" s="32"/>
      <c r="HZ5" s="32"/>
      <c r="IA5" s="32"/>
      <c r="IB5" s="32"/>
      <c r="IC5" s="32"/>
      <c r="ID5" s="32"/>
      <c r="IE5" s="32"/>
      <c r="IF5" s="32"/>
      <c r="IG5" s="32"/>
      <c r="IH5" s="32"/>
      <c r="II5" s="32"/>
      <c r="IJ5" s="32"/>
      <c r="IK5" s="32"/>
      <c r="IL5" s="32"/>
      <c r="IM5" s="32"/>
      <c r="IN5" s="32"/>
      <c r="IO5" s="32"/>
      <c r="IP5" s="32"/>
      <c r="IQ5" s="32"/>
      <c r="IR5" s="32"/>
      <c r="IS5" s="32"/>
      <c r="IT5" s="32"/>
      <c r="IU5" s="32"/>
      <c r="IV5" s="32"/>
      <c r="IW5" s="32"/>
    </row>
    <row r="6" customFormat="false" ht="12.75" hidden="false" customHeight="false" outlineLevel="0" collapsed="false">
      <c r="A6" s="1" t="n">
        <v>46285</v>
      </c>
      <c r="B6" s="2" t="s">
        <v>43</v>
      </c>
      <c r="C6" s="3" t="s">
        <v>141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46266</v>
      </c>
      <c r="P6" s="4" t="s">
        <v>46</v>
      </c>
      <c r="Q6" s="3" t="s">
        <v>142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46290</v>
      </c>
      <c r="B7" s="2" t="s">
        <v>59</v>
      </c>
      <c r="C7" s="3" t="s">
        <v>143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46266</v>
      </c>
      <c r="P7" s="4" t="s">
        <v>51</v>
      </c>
      <c r="Q7" s="3" t="s">
        <v>144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46293</v>
      </c>
      <c r="B8" s="2" t="s">
        <v>69</v>
      </c>
      <c r="C8" s="3" t="s">
        <v>145</v>
      </c>
      <c r="D8" s="4" t="s">
        <v>71</v>
      </c>
      <c r="E8" s="5" t="s">
        <v>33</v>
      </c>
      <c r="F8" s="6" t="n">
        <v>23360</v>
      </c>
      <c r="G8" s="6" t="str">
        <f aca="false">IF(E8="BC",F8," ")</f>
        <v> </v>
      </c>
      <c r="H8" s="6" t="n">
        <f aca="false">IF(E8="DR",F8," ")</f>
        <v>23360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46270</v>
      </c>
      <c r="P8" s="4" t="s">
        <v>56</v>
      </c>
      <c r="Q8" s="3" t="s">
        <v>146</v>
      </c>
      <c r="R8" s="3" t="s">
        <v>58</v>
      </c>
      <c r="S8" s="38" t="s">
        <v>34</v>
      </c>
      <c r="T8" s="6" t="n">
        <v>2100</v>
      </c>
      <c r="U8" s="6" t="str">
        <f aca="false">IF(S8="BC",T8," ")</f>
        <v> </v>
      </c>
      <c r="V8" s="6" t="n">
        <f aca="false">IF(S8="CR",T8," ")</f>
        <v>2100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46284</v>
      </c>
      <c r="P9" s="4" t="s">
        <v>61</v>
      </c>
      <c r="Q9" s="3" t="s">
        <v>147</v>
      </c>
      <c r="R9" s="3" t="s">
        <v>63</v>
      </c>
      <c r="S9" s="38" t="s">
        <v>42</v>
      </c>
      <c r="T9" s="6" t="n">
        <v>1673.2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1673.2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46293</v>
      </c>
      <c r="P10" s="4" t="s">
        <v>66</v>
      </c>
      <c r="Q10" s="3" t="s">
        <v>148</v>
      </c>
      <c r="R10" s="3" t="s">
        <v>68</v>
      </c>
      <c r="S10" s="38" t="s">
        <v>39</v>
      </c>
      <c r="T10" s="6" t="n">
        <v>5652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n">
        <f aca="false">IF(S10="W",T10," ")</f>
        <v>5652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46295</v>
      </c>
      <c r="P11" s="4" t="s">
        <v>103</v>
      </c>
      <c r="Q11" s="3" t="s">
        <v>149</v>
      </c>
      <c r="R11" s="3" t="s">
        <v>105</v>
      </c>
      <c r="S11" s="38" t="s">
        <v>40</v>
      </c>
      <c r="T11" s="6" t="n">
        <v>208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n">
        <f aca="false">IF(S11="B",T11," ")</f>
        <v>208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46295</v>
      </c>
      <c r="P12" s="4" t="s">
        <v>72</v>
      </c>
      <c r="Q12" s="3" t="s">
        <v>150</v>
      </c>
      <c r="R12" s="3" t="s">
        <v>74</v>
      </c>
      <c r="S12" s="38" t="s">
        <v>34</v>
      </c>
      <c r="T12" s="6" t="n">
        <v>300</v>
      </c>
      <c r="U12" s="6" t="str">
        <f aca="false">IF(S12="BC",T12," ")</f>
        <v> </v>
      </c>
      <c r="V12" s="6" t="n">
        <f aca="false">IF(S12="CR",T12," ")</f>
        <v>300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46266</v>
      </c>
      <c r="P13" s="4" t="s">
        <v>107</v>
      </c>
      <c r="Q13" s="3" t="s">
        <v>151</v>
      </c>
      <c r="R13" s="3" t="s">
        <v>152</v>
      </c>
      <c r="S13" s="38" t="s">
        <v>40</v>
      </c>
      <c r="T13" s="6" t="n">
        <v>1100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n">
        <f aca="false">IF(S13="B",T13," ")</f>
        <v>1100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46266</v>
      </c>
      <c r="P14" s="4" t="s">
        <v>107</v>
      </c>
      <c r="Q14" s="3" t="s">
        <v>153</v>
      </c>
      <c r="R14" s="3" t="s">
        <v>154</v>
      </c>
      <c r="S14" s="38" t="s">
        <v>34</v>
      </c>
      <c r="T14" s="6" t="n">
        <v>7000</v>
      </c>
      <c r="U14" s="6" t="str">
        <f aca="false">IF(S14="BC",T14," ")</f>
        <v> </v>
      </c>
      <c r="V14" s="6" t="n">
        <f aca="false">IF(S14="CR",T14," ")</f>
        <v>7000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Sep!A2</f>
        <v>126117.63</v>
      </c>
      <c r="B1" s="8" t="s">
        <v>0</v>
      </c>
      <c r="C1" s="9" t="n">
        <f aca="false">Sep!C2</f>
        <v>46295</v>
      </c>
      <c r="D1" s="10" t="s">
        <v>1</v>
      </c>
      <c r="E1" s="11" t="n">
        <f aca="false">F1-SUM(G1:M1)</f>
        <v>0</v>
      </c>
      <c r="F1" s="12" t="n">
        <f aca="false">SUM(F6:F200)</f>
        <v>50560</v>
      </c>
      <c r="G1" s="12" t="n">
        <f aca="false">SUM(G6:G200)</f>
        <v>0</v>
      </c>
      <c r="H1" s="12" t="n">
        <f aca="false">SUM(H6:H200)</f>
        <v>50560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56825.2</v>
      </c>
      <c r="U1" s="12" t="n">
        <f aca="false">SUM(U6:U200)</f>
        <v>0</v>
      </c>
      <c r="V1" s="12" t="n">
        <f aca="false">SUM(V6:V200)</f>
        <v>40500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6173.2</v>
      </c>
      <c r="AB1" s="12" t="n">
        <f aca="false">SUM(AB6:AB200)</f>
        <v>4000</v>
      </c>
      <c r="AC1" s="12" t="n">
        <f aca="false">SUM(AC6:AC200)</f>
        <v>500</v>
      </c>
    </row>
    <row r="2" customFormat="false" ht="15" hidden="false" customHeight="true" outlineLevel="0" collapsed="false">
      <c r="A2" s="17" t="n">
        <f aca="false">A1+F1-T1</f>
        <v>119852.43</v>
      </c>
      <c r="B2" s="18" t="s">
        <v>2</v>
      </c>
      <c r="C2" s="9" t="n">
        <f aca="false">[1]Admin!$B$11</f>
        <v>46326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46326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customFormat="false" ht="19.5" hidden="false" customHeight="true" outlineLevel="0" collapsed="false">
      <c r="A4" s="28" t="n">
        <f aca="false">A2-A3</f>
        <v>119852.43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32"/>
      <c r="BM4" s="32"/>
      <c r="BN4" s="32"/>
      <c r="BO4" s="32"/>
      <c r="BP4" s="32"/>
      <c r="BQ4" s="32"/>
      <c r="BR4" s="32"/>
      <c r="BS4" s="32"/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2"/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2"/>
      <c r="DV4" s="32"/>
      <c r="DW4" s="32"/>
      <c r="DX4" s="32"/>
      <c r="DY4" s="32"/>
      <c r="DZ4" s="32"/>
      <c r="EA4" s="32"/>
      <c r="EB4" s="32"/>
      <c r="EC4" s="32"/>
      <c r="ED4" s="32"/>
      <c r="EE4" s="32"/>
      <c r="EF4" s="32"/>
      <c r="EG4" s="32"/>
      <c r="EH4" s="32"/>
      <c r="EI4" s="32"/>
      <c r="EJ4" s="32"/>
      <c r="EK4" s="32"/>
      <c r="EL4" s="32"/>
      <c r="EM4" s="32"/>
      <c r="EN4" s="32"/>
      <c r="EO4" s="32"/>
      <c r="EP4" s="32"/>
      <c r="EQ4" s="32"/>
      <c r="ER4" s="32"/>
      <c r="ES4" s="32"/>
      <c r="ET4" s="32"/>
      <c r="EU4" s="32"/>
      <c r="EV4" s="32"/>
      <c r="EW4" s="32"/>
      <c r="EX4" s="32"/>
      <c r="EY4" s="32"/>
      <c r="EZ4" s="32"/>
      <c r="FA4" s="32"/>
      <c r="FB4" s="32"/>
      <c r="FC4" s="32"/>
      <c r="FD4" s="32"/>
      <c r="FE4" s="32"/>
      <c r="FF4" s="32"/>
      <c r="FG4" s="32"/>
      <c r="FH4" s="32"/>
      <c r="FI4" s="32"/>
      <c r="FJ4" s="32"/>
      <c r="FK4" s="32"/>
      <c r="FL4" s="32"/>
      <c r="FM4" s="32"/>
      <c r="FN4" s="32"/>
      <c r="FO4" s="32"/>
      <c r="FP4" s="32"/>
      <c r="FQ4" s="32"/>
      <c r="FR4" s="32"/>
      <c r="FS4" s="32"/>
      <c r="FT4" s="32"/>
      <c r="FU4" s="32"/>
      <c r="FV4" s="32"/>
      <c r="FW4" s="32"/>
      <c r="FX4" s="32"/>
      <c r="FY4" s="32"/>
      <c r="FZ4" s="32"/>
      <c r="GA4" s="32"/>
      <c r="GB4" s="32"/>
      <c r="GC4" s="32"/>
      <c r="GD4" s="32"/>
      <c r="GE4" s="32"/>
      <c r="GF4" s="32"/>
      <c r="GG4" s="32"/>
      <c r="GH4" s="32"/>
      <c r="GI4" s="32"/>
      <c r="GJ4" s="32"/>
      <c r="GK4" s="32"/>
      <c r="GL4" s="32"/>
      <c r="GM4" s="32"/>
      <c r="GN4" s="32"/>
      <c r="GO4" s="32"/>
      <c r="GP4" s="32"/>
      <c r="GQ4" s="32"/>
      <c r="GR4" s="32"/>
      <c r="GS4" s="32"/>
      <c r="GT4" s="32"/>
      <c r="GU4" s="32"/>
      <c r="GV4" s="32"/>
      <c r="GW4" s="32"/>
      <c r="GX4" s="32"/>
      <c r="GY4" s="32"/>
      <c r="GZ4" s="32"/>
      <c r="HA4" s="32"/>
      <c r="HB4" s="32"/>
      <c r="HC4" s="32"/>
      <c r="HD4" s="32"/>
      <c r="HE4" s="32"/>
      <c r="HF4" s="32"/>
      <c r="HG4" s="32"/>
      <c r="HH4" s="32"/>
      <c r="HI4" s="32"/>
      <c r="HJ4" s="32"/>
      <c r="HK4" s="32"/>
      <c r="HL4" s="32"/>
      <c r="HM4" s="32"/>
      <c r="HN4" s="32"/>
      <c r="HO4" s="32"/>
      <c r="HP4" s="32"/>
      <c r="HQ4" s="32"/>
      <c r="HR4" s="32"/>
      <c r="HS4" s="32"/>
      <c r="HT4" s="32"/>
      <c r="HU4" s="32"/>
      <c r="HV4" s="32"/>
      <c r="HW4" s="32"/>
      <c r="HX4" s="32"/>
      <c r="HY4" s="32"/>
      <c r="HZ4" s="32"/>
      <c r="IA4" s="32"/>
      <c r="IB4" s="32"/>
      <c r="IC4" s="32"/>
      <c r="ID4" s="32"/>
      <c r="IE4" s="32"/>
      <c r="IF4" s="32"/>
      <c r="IG4" s="32"/>
      <c r="IH4" s="32"/>
      <c r="II4" s="32"/>
      <c r="IJ4" s="32"/>
      <c r="IK4" s="32"/>
      <c r="IL4" s="32"/>
      <c r="IM4" s="32"/>
      <c r="IN4" s="32"/>
      <c r="IO4" s="32"/>
      <c r="IP4" s="32"/>
      <c r="IQ4" s="32"/>
      <c r="IR4" s="32"/>
      <c r="IS4" s="32"/>
      <c r="IT4" s="32"/>
      <c r="IU4" s="32"/>
      <c r="IV4" s="32"/>
      <c r="IW4" s="32"/>
    </row>
    <row r="5" customFormat="fals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2"/>
      <c r="BL5" s="32"/>
      <c r="BM5" s="32"/>
      <c r="BN5" s="32"/>
      <c r="BO5" s="32"/>
      <c r="BP5" s="32"/>
      <c r="BQ5" s="32"/>
      <c r="BR5" s="32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2"/>
      <c r="DV5" s="32"/>
      <c r="DW5" s="32"/>
      <c r="DX5" s="32"/>
      <c r="DY5" s="32"/>
      <c r="DZ5" s="32"/>
      <c r="EA5" s="32"/>
      <c r="EB5" s="32"/>
      <c r="EC5" s="32"/>
      <c r="ED5" s="32"/>
      <c r="EE5" s="32"/>
      <c r="EF5" s="32"/>
      <c r="EG5" s="32"/>
      <c r="EH5" s="32"/>
      <c r="EI5" s="32"/>
      <c r="EJ5" s="32"/>
      <c r="EK5" s="32"/>
      <c r="EL5" s="32"/>
      <c r="EM5" s="32"/>
      <c r="EN5" s="32"/>
      <c r="EO5" s="32"/>
      <c r="EP5" s="32"/>
      <c r="EQ5" s="32"/>
      <c r="ER5" s="32"/>
      <c r="ES5" s="32"/>
      <c r="ET5" s="32"/>
      <c r="EU5" s="32"/>
      <c r="EV5" s="32"/>
      <c r="EW5" s="32"/>
      <c r="EX5" s="32"/>
      <c r="EY5" s="32"/>
      <c r="EZ5" s="32"/>
      <c r="FA5" s="32"/>
      <c r="FB5" s="32"/>
      <c r="FC5" s="32"/>
      <c r="FD5" s="32"/>
      <c r="FE5" s="32"/>
      <c r="FF5" s="32"/>
      <c r="FG5" s="32"/>
      <c r="FH5" s="32"/>
      <c r="FI5" s="32"/>
      <c r="FJ5" s="32"/>
      <c r="FK5" s="32"/>
      <c r="FL5" s="32"/>
      <c r="FM5" s="32"/>
      <c r="FN5" s="32"/>
      <c r="FO5" s="32"/>
      <c r="FP5" s="32"/>
      <c r="FQ5" s="32"/>
      <c r="FR5" s="32"/>
      <c r="FS5" s="32"/>
      <c r="FT5" s="32"/>
      <c r="FU5" s="32"/>
      <c r="FV5" s="32"/>
      <c r="FW5" s="32"/>
      <c r="FX5" s="32"/>
      <c r="FY5" s="32"/>
      <c r="FZ5" s="32"/>
      <c r="GA5" s="32"/>
      <c r="GB5" s="32"/>
      <c r="GC5" s="32"/>
      <c r="GD5" s="32"/>
      <c r="GE5" s="32"/>
      <c r="GF5" s="32"/>
      <c r="GG5" s="32"/>
      <c r="GH5" s="32"/>
      <c r="GI5" s="32"/>
      <c r="GJ5" s="32"/>
      <c r="GK5" s="32"/>
      <c r="GL5" s="32"/>
      <c r="GM5" s="32"/>
      <c r="GN5" s="32"/>
      <c r="GO5" s="32"/>
      <c r="GP5" s="32"/>
      <c r="GQ5" s="32"/>
      <c r="GR5" s="32"/>
      <c r="GS5" s="32"/>
      <c r="GT5" s="32"/>
      <c r="GU5" s="32"/>
      <c r="GV5" s="32"/>
      <c r="GW5" s="32"/>
      <c r="GX5" s="32"/>
      <c r="GY5" s="32"/>
      <c r="GZ5" s="32"/>
      <c r="HA5" s="32"/>
      <c r="HB5" s="32"/>
      <c r="HC5" s="32"/>
      <c r="HD5" s="32"/>
      <c r="HE5" s="32"/>
      <c r="HF5" s="32"/>
      <c r="HG5" s="32"/>
      <c r="HH5" s="32"/>
      <c r="HI5" s="32"/>
      <c r="HJ5" s="32"/>
      <c r="HK5" s="32"/>
      <c r="HL5" s="32"/>
      <c r="HM5" s="32"/>
      <c r="HN5" s="32"/>
      <c r="HO5" s="32"/>
      <c r="HP5" s="32"/>
      <c r="HQ5" s="32"/>
      <c r="HR5" s="32"/>
      <c r="HS5" s="32"/>
      <c r="HT5" s="32"/>
      <c r="HU5" s="32"/>
      <c r="HV5" s="32"/>
      <c r="HW5" s="32"/>
      <c r="HX5" s="32"/>
      <c r="HY5" s="32"/>
      <c r="HZ5" s="32"/>
      <c r="IA5" s="32"/>
      <c r="IB5" s="32"/>
      <c r="IC5" s="32"/>
      <c r="ID5" s="32"/>
      <c r="IE5" s="32"/>
      <c r="IF5" s="32"/>
      <c r="IG5" s="32"/>
      <c r="IH5" s="32"/>
      <c r="II5" s="32"/>
      <c r="IJ5" s="32"/>
      <c r="IK5" s="32"/>
      <c r="IL5" s="32"/>
      <c r="IM5" s="32"/>
      <c r="IN5" s="32"/>
      <c r="IO5" s="32"/>
      <c r="IP5" s="32"/>
      <c r="IQ5" s="32"/>
      <c r="IR5" s="32"/>
      <c r="IS5" s="32"/>
      <c r="IT5" s="32"/>
      <c r="IU5" s="32"/>
      <c r="IV5" s="32"/>
      <c r="IW5" s="32"/>
    </row>
    <row r="6" customFormat="false" ht="12.75" hidden="false" customHeight="false" outlineLevel="0" collapsed="false">
      <c r="A6" s="1" t="n">
        <v>46310</v>
      </c>
      <c r="B6" s="2" t="s">
        <v>155</v>
      </c>
      <c r="C6" s="3" t="s">
        <v>156</v>
      </c>
      <c r="D6" s="4" t="s">
        <v>157</v>
      </c>
      <c r="E6" s="5" t="s">
        <v>33</v>
      </c>
      <c r="F6" s="6" t="n">
        <v>15000</v>
      </c>
      <c r="G6" s="6" t="str">
        <f aca="false">IF(E6="BC",F6," ")</f>
        <v> </v>
      </c>
      <c r="H6" s="6" t="n">
        <f aca="false">IF(E6="DR",F6," ")</f>
        <v>15000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46296</v>
      </c>
      <c r="P6" s="4" t="s">
        <v>46</v>
      </c>
      <c r="Q6" s="3" t="s">
        <v>158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46315</v>
      </c>
      <c r="B7" s="2" t="s">
        <v>43</v>
      </c>
      <c r="C7" s="3" t="s">
        <v>159</v>
      </c>
      <c r="D7" s="4" t="s">
        <v>55</v>
      </c>
      <c r="E7" s="5" t="s">
        <v>33</v>
      </c>
      <c r="F7" s="6" t="n">
        <v>8000</v>
      </c>
      <c r="G7" s="6" t="str">
        <f aca="false">IF(E7="BC",F7," ")</f>
        <v> </v>
      </c>
      <c r="H7" s="6" t="n">
        <f aca="false">IF(E7="DR",F7," ")</f>
        <v>8000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46296</v>
      </c>
      <c r="P7" s="4" t="s">
        <v>51</v>
      </c>
      <c r="Q7" s="3" t="s">
        <v>160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46320</v>
      </c>
      <c r="B8" s="2" t="s">
        <v>59</v>
      </c>
      <c r="C8" s="3" t="s">
        <v>161</v>
      </c>
      <c r="D8" s="4" t="s">
        <v>55</v>
      </c>
      <c r="E8" s="5" t="s">
        <v>33</v>
      </c>
      <c r="F8" s="6" t="n">
        <v>2400</v>
      </c>
      <c r="G8" s="6" t="str">
        <f aca="false">IF(E8="BC",F8," ")</f>
        <v> </v>
      </c>
      <c r="H8" s="6" t="n">
        <f aca="false">IF(E8="DR",F8," ")</f>
        <v>2400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46296</v>
      </c>
      <c r="P8" s="4" t="s">
        <v>61</v>
      </c>
      <c r="Q8" s="3" t="s">
        <v>162</v>
      </c>
      <c r="R8" s="3" t="s">
        <v>163</v>
      </c>
      <c r="S8" s="38" t="s">
        <v>42</v>
      </c>
      <c r="T8" s="6" t="n">
        <v>4500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n">
        <f aca="false">IF(S8="RP",T8," ")</f>
        <v>4500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46323</v>
      </c>
      <c r="B9" s="2" t="s">
        <v>69</v>
      </c>
      <c r="C9" s="3" t="s">
        <v>164</v>
      </c>
      <c r="D9" s="4" t="s">
        <v>71</v>
      </c>
      <c r="E9" s="5" t="s">
        <v>33</v>
      </c>
      <c r="F9" s="6" t="n">
        <v>25160</v>
      </c>
      <c r="G9" s="6" t="str">
        <f aca="false">IF(E9="BC",F9," ")</f>
        <v> </v>
      </c>
      <c r="H9" s="6" t="n">
        <f aca="false">IF(E9="DR",F9," ")</f>
        <v>25160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46300</v>
      </c>
      <c r="P9" s="4" t="s">
        <v>56</v>
      </c>
      <c r="Q9" s="3" t="s">
        <v>165</v>
      </c>
      <c r="R9" s="3" t="s">
        <v>58</v>
      </c>
      <c r="S9" s="38" t="s">
        <v>34</v>
      </c>
      <c r="T9" s="6" t="n">
        <v>3000</v>
      </c>
      <c r="U9" s="6" t="str">
        <f aca="false">IF(S9="BC",T9," ")</f>
        <v> </v>
      </c>
      <c r="V9" s="6" t="n">
        <f aca="false">IF(S9="CR",T9," ")</f>
        <v>3000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46310</v>
      </c>
      <c r="P10" s="4" t="s">
        <v>118</v>
      </c>
      <c r="Q10" s="3" t="s">
        <v>166</v>
      </c>
      <c r="R10" s="3" t="s">
        <v>120</v>
      </c>
      <c r="S10" s="38" t="s">
        <v>37</v>
      </c>
      <c r="T10" s="6" t="n">
        <v>3000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n">
        <f aca="false">IF(S10="DL",T10," ")</f>
        <v>3000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46314</v>
      </c>
      <c r="P11" s="4" t="s">
        <v>61</v>
      </c>
      <c r="Q11" s="3" t="s">
        <v>167</v>
      </c>
      <c r="R11" s="3" t="s">
        <v>63</v>
      </c>
      <c r="S11" s="38" t="s">
        <v>42</v>
      </c>
      <c r="T11" s="6" t="n">
        <v>1673.2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n">
        <f aca="false">IF(S11="RP",T11," ")</f>
        <v>1673.2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46320</v>
      </c>
      <c r="P12" s="4" t="s">
        <v>168</v>
      </c>
      <c r="Q12" s="3" t="s">
        <v>169</v>
      </c>
      <c r="R12" s="3" t="s">
        <v>170</v>
      </c>
      <c r="S12" s="38" t="s">
        <v>34</v>
      </c>
      <c r="T12" s="6" t="n">
        <v>36000</v>
      </c>
      <c r="U12" s="6" t="str">
        <f aca="false">IF(S12="BC",T12," ")</f>
        <v> </v>
      </c>
      <c r="V12" s="6" t="n">
        <f aca="false">IF(S12="CR",T12," ")</f>
        <v>36000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46323</v>
      </c>
      <c r="P13" s="4" t="s">
        <v>66</v>
      </c>
      <c r="Q13" s="3" t="s">
        <v>171</v>
      </c>
      <c r="R13" s="3" t="s">
        <v>68</v>
      </c>
      <c r="S13" s="38" t="s">
        <v>39</v>
      </c>
      <c r="T13" s="6" t="n">
        <v>5652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n">
        <f aca="false">IF(S13="W",T13," ")</f>
        <v>5652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46326</v>
      </c>
      <c r="P14" s="4" t="s">
        <v>72</v>
      </c>
      <c r="Q14" s="3" t="s">
        <v>172</v>
      </c>
      <c r="R14" s="3" t="s">
        <v>74</v>
      </c>
      <c r="S14" s="38" t="s">
        <v>34</v>
      </c>
      <c r="T14" s="6" t="n">
        <v>300</v>
      </c>
      <c r="U14" s="6" t="str">
        <f aca="false">IF(S14="BC",T14," ")</f>
        <v> </v>
      </c>
      <c r="V14" s="6" t="n">
        <f aca="false">IF(S14="CR",T14," ")</f>
        <v>300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O15" s="1" t="n">
        <v>46326</v>
      </c>
      <c r="P15" s="4" t="s">
        <v>75</v>
      </c>
      <c r="Q15" s="3" t="s">
        <v>173</v>
      </c>
      <c r="R15" s="3" t="s">
        <v>77</v>
      </c>
      <c r="S15" s="38" t="s">
        <v>38</v>
      </c>
      <c r="T15" s="6" t="n">
        <v>500</v>
      </c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n">
        <f aca="false">IF(S15="X",T15," ")</f>
        <v>500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Oct!A2</f>
        <v>119852.43</v>
      </c>
      <c r="B1" s="8" t="s">
        <v>0</v>
      </c>
      <c r="C1" s="9" t="n">
        <f aca="false">Oct!C2</f>
        <v>46326</v>
      </c>
      <c r="D1" s="10" t="s">
        <v>1</v>
      </c>
      <c r="E1" s="11" t="n">
        <f aca="false">F1-SUM(G1:M1)</f>
        <v>0</v>
      </c>
      <c r="F1" s="12" t="n">
        <f aca="false">SUM(F6:F200)</f>
        <v>35320</v>
      </c>
      <c r="G1" s="12" t="n">
        <f aca="false">SUM(G6:G200)</f>
        <v>0</v>
      </c>
      <c r="H1" s="12" t="n">
        <f aca="false">SUM(H6:H200)</f>
        <v>35320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26706.7</v>
      </c>
      <c r="U1" s="12" t="n">
        <f aca="false">SUM(U6:U200)</f>
        <v>0</v>
      </c>
      <c r="V1" s="12" t="n">
        <f aca="false">SUM(V6:V200)</f>
        <v>3900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25</v>
      </c>
      <c r="Z1" s="12" t="n">
        <f aca="false">SUM(Z6:Z200)</f>
        <v>0</v>
      </c>
      <c r="AA1" s="12" t="n">
        <f aca="false">SUM(AA6:AA200)</f>
        <v>16129.7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128465.73</v>
      </c>
      <c r="B2" s="18" t="s">
        <v>2</v>
      </c>
      <c r="C2" s="9" t="n">
        <f aca="false">[1]Admin!$B$12</f>
        <v>46356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46356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customFormat="false" ht="19.5" hidden="false" customHeight="true" outlineLevel="0" collapsed="false">
      <c r="A4" s="28" t="n">
        <f aca="false">A2-A3</f>
        <v>128465.73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32"/>
      <c r="BM4" s="32"/>
      <c r="BN4" s="32"/>
      <c r="BO4" s="32"/>
      <c r="BP4" s="32"/>
      <c r="BQ4" s="32"/>
      <c r="BR4" s="32"/>
      <c r="BS4" s="32"/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2"/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2"/>
      <c r="DV4" s="32"/>
      <c r="DW4" s="32"/>
      <c r="DX4" s="32"/>
      <c r="DY4" s="32"/>
      <c r="DZ4" s="32"/>
      <c r="EA4" s="32"/>
      <c r="EB4" s="32"/>
      <c r="EC4" s="32"/>
      <c r="ED4" s="32"/>
      <c r="EE4" s="32"/>
      <c r="EF4" s="32"/>
      <c r="EG4" s="32"/>
      <c r="EH4" s="32"/>
      <c r="EI4" s="32"/>
      <c r="EJ4" s="32"/>
      <c r="EK4" s="32"/>
      <c r="EL4" s="32"/>
      <c r="EM4" s="32"/>
      <c r="EN4" s="32"/>
      <c r="EO4" s="32"/>
      <c r="EP4" s="32"/>
      <c r="EQ4" s="32"/>
      <c r="ER4" s="32"/>
      <c r="ES4" s="32"/>
      <c r="ET4" s="32"/>
      <c r="EU4" s="32"/>
      <c r="EV4" s="32"/>
      <c r="EW4" s="32"/>
      <c r="EX4" s="32"/>
      <c r="EY4" s="32"/>
      <c r="EZ4" s="32"/>
      <c r="FA4" s="32"/>
      <c r="FB4" s="32"/>
      <c r="FC4" s="32"/>
      <c r="FD4" s="32"/>
      <c r="FE4" s="32"/>
      <c r="FF4" s="32"/>
      <c r="FG4" s="32"/>
      <c r="FH4" s="32"/>
      <c r="FI4" s="32"/>
      <c r="FJ4" s="32"/>
      <c r="FK4" s="32"/>
      <c r="FL4" s="32"/>
      <c r="FM4" s="32"/>
      <c r="FN4" s="32"/>
      <c r="FO4" s="32"/>
      <c r="FP4" s="32"/>
      <c r="FQ4" s="32"/>
      <c r="FR4" s="32"/>
      <c r="FS4" s="32"/>
      <c r="FT4" s="32"/>
      <c r="FU4" s="32"/>
      <c r="FV4" s="32"/>
      <c r="FW4" s="32"/>
      <c r="FX4" s="32"/>
      <c r="FY4" s="32"/>
      <c r="FZ4" s="32"/>
      <c r="GA4" s="32"/>
      <c r="GB4" s="32"/>
      <c r="GC4" s="32"/>
      <c r="GD4" s="32"/>
      <c r="GE4" s="32"/>
      <c r="GF4" s="32"/>
      <c r="GG4" s="32"/>
      <c r="GH4" s="32"/>
      <c r="GI4" s="32"/>
      <c r="GJ4" s="32"/>
      <c r="GK4" s="32"/>
      <c r="GL4" s="32"/>
      <c r="GM4" s="32"/>
      <c r="GN4" s="32"/>
      <c r="GO4" s="32"/>
      <c r="GP4" s="32"/>
      <c r="GQ4" s="32"/>
      <c r="GR4" s="32"/>
      <c r="GS4" s="32"/>
      <c r="GT4" s="32"/>
      <c r="GU4" s="32"/>
      <c r="GV4" s="32"/>
      <c r="GW4" s="32"/>
      <c r="GX4" s="32"/>
      <c r="GY4" s="32"/>
      <c r="GZ4" s="32"/>
      <c r="HA4" s="32"/>
      <c r="HB4" s="32"/>
      <c r="HC4" s="32"/>
      <c r="HD4" s="32"/>
      <c r="HE4" s="32"/>
      <c r="HF4" s="32"/>
      <c r="HG4" s="32"/>
      <c r="HH4" s="32"/>
      <c r="HI4" s="32"/>
      <c r="HJ4" s="32"/>
      <c r="HK4" s="32"/>
      <c r="HL4" s="32"/>
      <c r="HM4" s="32"/>
      <c r="HN4" s="32"/>
      <c r="HO4" s="32"/>
      <c r="HP4" s="32"/>
      <c r="HQ4" s="32"/>
      <c r="HR4" s="32"/>
      <c r="HS4" s="32"/>
      <c r="HT4" s="32"/>
      <c r="HU4" s="32"/>
      <c r="HV4" s="32"/>
      <c r="HW4" s="32"/>
      <c r="HX4" s="32"/>
      <c r="HY4" s="32"/>
      <c r="HZ4" s="32"/>
      <c r="IA4" s="32"/>
      <c r="IB4" s="32"/>
      <c r="IC4" s="32"/>
      <c r="ID4" s="32"/>
      <c r="IE4" s="32"/>
      <c r="IF4" s="32"/>
      <c r="IG4" s="32"/>
      <c r="IH4" s="32"/>
      <c r="II4" s="32"/>
      <c r="IJ4" s="32"/>
      <c r="IK4" s="32"/>
      <c r="IL4" s="32"/>
      <c r="IM4" s="32"/>
      <c r="IN4" s="32"/>
      <c r="IO4" s="32"/>
      <c r="IP4" s="32"/>
      <c r="IQ4" s="32"/>
      <c r="IR4" s="32"/>
      <c r="IS4" s="32"/>
      <c r="IT4" s="32"/>
      <c r="IU4" s="32"/>
      <c r="IV4" s="32"/>
      <c r="IW4" s="32"/>
    </row>
    <row r="5" customFormat="fals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2"/>
      <c r="BL5" s="32"/>
      <c r="BM5" s="32"/>
      <c r="BN5" s="32"/>
      <c r="BO5" s="32"/>
      <c r="BP5" s="32"/>
      <c r="BQ5" s="32"/>
      <c r="BR5" s="32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2"/>
      <c r="DV5" s="32"/>
      <c r="DW5" s="32"/>
      <c r="DX5" s="32"/>
      <c r="DY5" s="32"/>
      <c r="DZ5" s="32"/>
      <c r="EA5" s="32"/>
      <c r="EB5" s="32"/>
      <c r="EC5" s="32"/>
      <c r="ED5" s="32"/>
      <c r="EE5" s="32"/>
      <c r="EF5" s="32"/>
      <c r="EG5" s="32"/>
      <c r="EH5" s="32"/>
      <c r="EI5" s="32"/>
      <c r="EJ5" s="32"/>
      <c r="EK5" s="32"/>
      <c r="EL5" s="32"/>
      <c r="EM5" s="32"/>
      <c r="EN5" s="32"/>
      <c r="EO5" s="32"/>
      <c r="EP5" s="32"/>
      <c r="EQ5" s="32"/>
      <c r="ER5" s="32"/>
      <c r="ES5" s="32"/>
      <c r="ET5" s="32"/>
      <c r="EU5" s="32"/>
      <c r="EV5" s="32"/>
      <c r="EW5" s="32"/>
      <c r="EX5" s="32"/>
      <c r="EY5" s="32"/>
      <c r="EZ5" s="32"/>
      <c r="FA5" s="32"/>
      <c r="FB5" s="32"/>
      <c r="FC5" s="32"/>
      <c r="FD5" s="32"/>
      <c r="FE5" s="32"/>
      <c r="FF5" s="32"/>
      <c r="FG5" s="32"/>
      <c r="FH5" s="32"/>
      <c r="FI5" s="32"/>
      <c r="FJ5" s="32"/>
      <c r="FK5" s="32"/>
      <c r="FL5" s="32"/>
      <c r="FM5" s="32"/>
      <c r="FN5" s="32"/>
      <c r="FO5" s="32"/>
      <c r="FP5" s="32"/>
      <c r="FQ5" s="32"/>
      <c r="FR5" s="32"/>
      <c r="FS5" s="32"/>
      <c r="FT5" s="32"/>
      <c r="FU5" s="32"/>
      <c r="FV5" s="32"/>
      <c r="FW5" s="32"/>
      <c r="FX5" s="32"/>
      <c r="FY5" s="32"/>
      <c r="FZ5" s="32"/>
      <c r="GA5" s="32"/>
      <c r="GB5" s="32"/>
      <c r="GC5" s="32"/>
      <c r="GD5" s="32"/>
      <c r="GE5" s="32"/>
      <c r="GF5" s="32"/>
      <c r="GG5" s="32"/>
      <c r="GH5" s="32"/>
      <c r="GI5" s="32"/>
      <c r="GJ5" s="32"/>
      <c r="GK5" s="32"/>
      <c r="GL5" s="32"/>
      <c r="GM5" s="32"/>
      <c r="GN5" s="32"/>
      <c r="GO5" s="32"/>
      <c r="GP5" s="32"/>
      <c r="GQ5" s="32"/>
      <c r="GR5" s="32"/>
      <c r="GS5" s="32"/>
      <c r="GT5" s="32"/>
      <c r="GU5" s="32"/>
      <c r="GV5" s="32"/>
      <c r="GW5" s="32"/>
      <c r="GX5" s="32"/>
      <c r="GY5" s="32"/>
      <c r="GZ5" s="32"/>
      <c r="HA5" s="32"/>
      <c r="HB5" s="32"/>
      <c r="HC5" s="32"/>
      <c r="HD5" s="32"/>
      <c r="HE5" s="32"/>
      <c r="HF5" s="32"/>
      <c r="HG5" s="32"/>
      <c r="HH5" s="32"/>
      <c r="HI5" s="32"/>
      <c r="HJ5" s="32"/>
      <c r="HK5" s="32"/>
      <c r="HL5" s="32"/>
      <c r="HM5" s="32"/>
      <c r="HN5" s="32"/>
      <c r="HO5" s="32"/>
      <c r="HP5" s="32"/>
      <c r="HQ5" s="32"/>
      <c r="HR5" s="32"/>
      <c r="HS5" s="32"/>
      <c r="HT5" s="32"/>
      <c r="HU5" s="32"/>
      <c r="HV5" s="32"/>
      <c r="HW5" s="32"/>
      <c r="HX5" s="32"/>
      <c r="HY5" s="32"/>
      <c r="HZ5" s="32"/>
      <c r="IA5" s="32"/>
      <c r="IB5" s="32"/>
      <c r="IC5" s="32"/>
      <c r="ID5" s="32"/>
      <c r="IE5" s="32"/>
      <c r="IF5" s="32"/>
      <c r="IG5" s="32"/>
      <c r="IH5" s="32"/>
      <c r="II5" s="32"/>
      <c r="IJ5" s="32"/>
      <c r="IK5" s="32"/>
      <c r="IL5" s="32"/>
      <c r="IM5" s="32"/>
      <c r="IN5" s="32"/>
      <c r="IO5" s="32"/>
      <c r="IP5" s="32"/>
      <c r="IQ5" s="32"/>
      <c r="IR5" s="32"/>
      <c r="IS5" s="32"/>
      <c r="IT5" s="32"/>
      <c r="IU5" s="32"/>
      <c r="IV5" s="32"/>
      <c r="IW5" s="32"/>
    </row>
    <row r="6" customFormat="false" ht="12.75" hidden="false" customHeight="false" outlineLevel="0" collapsed="false">
      <c r="A6" s="1" t="n">
        <v>46346</v>
      </c>
      <c r="B6" s="2" t="s">
        <v>43</v>
      </c>
      <c r="C6" s="3" t="s">
        <v>174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46333</v>
      </c>
      <c r="P6" s="4" t="s">
        <v>61</v>
      </c>
      <c r="Q6" s="3" t="s">
        <v>175</v>
      </c>
      <c r="R6" s="3" t="s">
        <v>176</v>
      </c>
      <c r="S6" s="38" t="s">
        <v>42</v>
      </c>
      <c r="T6" s="6" t="n">
        <v>14456.5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14456.5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46351</v>
      </c>
      <c r="B7" s="2" t="s">
        <v>59</v>
      </c>
      <c r="C7" s="3" t="s">
        <v>177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46327</v>
      </c>
      <c r="P7" s="4" t="s">
        <v>46</v>
      </c>
      <c r="Q7" s="3" t="s">
        <v>178</v>
      </c>
      <c r="R7" s="3" t="s">
        <v>48</v>
      </c>
      <c r="S7" s="38" t="s">
        <v>34</v>
      </c>
      <c r="T7" s="6" t="n">
        <v>1200</v>
      </c>
      <c r="U7" s="6" t="str">
        <f aca="false">IF(S7="BC",T7," ")</f>
        <v> </v>
      </c>
      <c r="V7" s="6" t="n">
        <f aca="false">IF(S7="CR",T7," ")</f>
        <v>1200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46354</v>
      </c>
      <c r="B8" s="2" t="s">
        <v>69</v>
      </c>
      <c r="C8" s="3" t="s">
        <v>179</v>
      </c>
      <c r="D8" s="4" t="s">
        <v>71</v>
      </c>
      <c r="E8" s="5" t="s">
        <v>33</v>
      </c>
      <c r="F8" s="6" t="n">
        <v>24920</v>
      </c>
      <c r="G8" s="6" t="str">
        <f aca="false">IF(E8="BC",F8," ")</f>
        <v> </v>
      </c>
      <c r="H8" s="6" t="n">
        <f aca="false">IF(E8="DR",F8," ")</f>
        <v>24920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46327</v>
      </c>
      <c r="P8" s="4" t="s">
        <v>51</v>
      </c>
      <c r="Q8" s="3" t="s">
        <v>180</v>
      </c>
      <c r="R8" s="3" t="s">
        <v>53</v>
      </c>
      <c r="S8" s="38" t="s">
        <v>37</v>
      </c>
      <c r="T8" s="6" t="n">
        <v>1000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n">
        <f aca="false">IF(S8="DL",T8," ")</f>
        <v>1000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46331</v>
      </c>
      <c r="P9" s="4" t="s">
        <v>56</v>
      </c>
      <c r="Q9" s="3" t="s">
        <v>181</v>
      </c>
      <c r="R9" s="3" t="s">
        <v>58</v>
      </c>
      <c r="S9" s="38" t="s">
        <v>34</v>
      </c>
      <c r="T9" s="6" t="n">
        <v>2400</v>
      </c>
      <c r="U9" s="6" t="str">
        <f aca="false">IF(S9="BC",T9," ")</f>
        <v> </v>
      </c>
      <c r="V9" s="6" t="n">
        <f aca="false">IF(S9="CR",T9," ")</f>
        <v>2400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46345</v>
      </c>
      <c r="P10" s="4" t="s">
        <v>61</v>
      </c>
      <c r="Q10" s="3" t="s">
        <v>182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46351</v>
      </c>
      <c r="P11" s="4" t="s">
        <v>85</v>
      </c>
      <c r="Q11" s="3" t="s">
        <v>183</v>
      </c>
      <c r="R11" s="3" t="s">
        <v>87</v>
      </c>
      <c r="S11" s="38" t="s">
        <v>40</v>
      </c>
      <c r="T11" s="6" t="n">
        <v>25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n">
        <f aca="false">IF(S11="B",T11," ")</f>
        <v>25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46354</v>
      </c>
      <c r="P12" s="4" t="s">
        <v>66</v>
      </c>
      <c r="Q12" s="3" t="s">
        <v>184</v>
      </c>
      <c r="R12" s="3" t="s">
        <v>68</v>
      </c>
      <c r="S12" s="38" t="s">
        <v>39</v>
      </c>
      <c r="T12" s="6" t="n">
        <v>5652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n">
        <f aca="false">IF(S12="W",T12," ")</f>
        <v>5652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46356</v>
      </c>
      <c r="P13" s="4" t="s">
        <v>72</v>
      </c>
      <c r="Q13" s="3" t="s">
        <v>185</v>
      </c>
      <c r="R13" s="3" t="s">
        <v>74</v>
      </c>
      <c r="S13" s="38" t="s">
        <v>34</v>
      </c>
      <c r="T13" s="6" t="n">
        <v>300</v>
      </c>
      <c r="U13" s="6" t="str">
        <f aca="false">IF(S13="BC",T13," ")</f>
        <v> </v>
      </c>
      <c r="V13" s="6" t="n">
        <f aca="false">IF(S13="CR",T13," ")</f>
        <v>300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Nov!A2</f>
        <v>128465.73</v>
      </c>
      <c r="B1" s="8" t="s">
        <v>0</v>
      </c>
      <c r="C1" s="9" t="n">
        <f aca="false">Nov!C2</f>
        <v>46356</v>
      </c>
      <c r="D1" s="10" t="s">
        <v>1</v>
      </c>
      <c r="E1" s="11" t="n">
        <f aca="false">F1-SUM(G1:M1)</f>
        <v>0</v>
      </c>
      <c r="F1" s="12" t="n">
        <f aca="false">SUM(F6:F200)</f>
        <v>32800</v>
      </c>
      <c r="G1" s="12" t="n">
        <f aca="false">SUM(G6:G200)</f>
        <v>0</v>
      </c>
      <c r="H1" s="12" t="n">
        <f aca="false">SUM(H6:H200)</f>
        <v>32800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13292.2</v>
      </c>
      <c r="U1" s="12" t="n">
        <f aca="false">SUM(U6:U200)</f>
        <v>0</v>
      </c>
      <c r="V1" s="12" t="n">
        <f aca="false">SUM(V6:V200)</f>
        <v>4200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167</v>
      </c>
      <c r="Z1" s="12" t="n">
        <f aca="false">SUM(Z6:Z200)</f>
        <v>0</v>
      </c>
      <c r="AA1" s="12" t="n">
        <f aca="false">SUM(AA6:AA200)</f>
        <v>2273.2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147973.53</v>
      </c>
      <c r="B2" s="18" t="s">
        <v>2</v>
      </c>
      <c r="C2" s="9" t="n">
        <f aca="false">[1]Admin!$B$13</f>
        <v>46387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46387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customFormat="false" ht="19.5" hidden="false" customHeight="true" outlineLevel="0" collapsed="false">
      <c r="A4" s="28" t="n">
        <f aca="false">A2-A3</f>
        <v>147973.53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32"/>
      <c r="BM4" s="32"/>
      <c r="BN4" s="32"/>
      <c r="BO4" s="32"/>
      <c r="BP4" s="32"/>
      <c r="BQ4" s="32"/>
      <c r="BR4" s="32"/>
      <c r="BS4" s="32"/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2"/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2"/>
      <c r="DV4" s="32"/>
      <c r="DW4" s="32"/>
      <c r="DX4" s="32"/>
      <c r="DY4" s="32"/>
      <c r="DZ4" s="32"/>
      <c r="EA4" s="32"/>
      <c r="EB4" s="32"/>
      <c r="EC4" s="32"/>
      <c r="ED4" s="32"/>
      <c r="EE4" s="32"/>
      <c r="EF4" s="32"/>
      <c r="EG4" s="32"/>
      <c r="EH4" s="32"/>
      <c r="EI4" s="32"/>
      <c r="EJ4" s="32"/>
      <c r="EK4" s="32"/>
      <c r="EL4" s="32"/>
      <c r="EM4" s="32"/>
      <c r="EN4" s="32"/>
      <c r="EO4" s="32"/>
      <c r="EP4" s="32"/>
      <c r="EQ4" s="32"/>
      <c r="ER4" s="32"/>
      <c r="ES4" s="32"/>
      <c r="ET4" s="32"/>
      <c r="EU4" s="32"/>
      <c r="EV4" s="32"/>
      <c r="EW4" s="32"/>
      <c r="EX4" s="32"/>
      <c r="EY4" s="32"/>
      <c r="EZ4" s="32"/>
      <c r="FA4" s="32"/>
      <c r="FB4" s="32"/>
      <c r="FC4" s="32"/>
      <c r="FD4" s="32"/>
      <c r="FE4" s="32"/>
      <c r="FF4" s="32"/>
      <c r="FG4" s="32"/>
      <c r="FH4" s="32"/>
      <c r="FI4" s="32"/>
      <c r="FJ4" s="32"/>
      <c r="FK4" s="32"/>
      <c r="FL4" s="32"/>
      <c r="FM4" s="32"/>
      <c r="FN4" s="32"/>
      <c r="FO4" s="32"/>
      <c r="FP4" s="32"/>
      <c r="FQ4" s="32"/>
      <c r="FR4" s="32"/>
      <c r="FS4" s="32"/>
      <c r="FT4" s="32"/>
      <c r="FU4" s="32"/>
      <c r="FV4" s="32"/>
      <c r="FW4" s="32"/>
      <c r="FX4" s="32"/>
      <c r="FY4" s="32"/>
      <c r="FZ4" s="32"/>
      <c r="GA4" s="32"/>
      <c r="GB4" s="32"/>
      <c r="GC4" s="32"/>
      <c r="GD4" s="32"/>
      <c r="GE4" s="32"/>
      <c r="GF4" s="32"/>
      <c r="GG4" s="32"/>
      <c r="GH4" s="32"/>
      <c r="GI4" s="32"/>
      <c r="GJ4" s="32"/>
      <c r="GK4" s="32"/>
      <c r="GL4" s="32"/>
      <c r="GM4" s="32"/>
      <c r="GN4" s="32"/>
      <c r="GO4" s="32"/>
      <c r="GP4" s="32"/>
      <c r="GQ4" s="32"/>
      <c r="GR4" s="32"/>
      <c r="GS4" s="32"/>
      <c r="GT4" s="32"/>
      <c r="GU4" s="32"/>
      <c r="GV4" s="32"/>
      <c r="GW4" s="32"/>
      <c r="GX4" s="32"/>
      <c r="GY4" s="32"/>
      <c r="GZ4" s="32"/>
      <c r="HA4" s="32"/>
      <c r="HB4" s="32"/>
      <c r="HC4" s="32"/>
      <c r="HD4" s="32"/>
      <c r="HE4" s="32"/>
      <c r="HF4" s="32"/>
      <c r="HG4" s="32"/>
      <c r="HH4" s="32"/>
      <c r="HI4" s="32"/>
      <c r="HJ4" s="32"/>
      <c r="HK4" s="32"/>
      <c r="HL4" s="32"/>
      <c r="HM4" s="32"/>
      <c r="HN4" s="32"/>
      <c r="HO4" s="32"/>
      <c r="HP4" s="32"/>
      <c r="HQ4" s="32"/>
      <c r="HR4" s="32"/>
      <c r="HS4" s="32"/>
      <c r="HT4" s="32"/>
      <c r="HU4" s="32"/>
      <c r="HV4" s="32"/>
      <c r="HW4" s="32"/>
      <c r="HX4" s="32"/>
      <c r="HY4" s="32"/>
      <c r="HZ4" s="32"/>
      <c r="IA4" s="32"/>
      <c r="IB4" s="32"/>
      <c r="IC4" s="32"/>
      <c r="ID4" s="32"/>
      <c r="IE4" s="32"/>
      <c r="IF4" s="32"/>
      <c r="IG4" s="32"/>
      <c r="IH4" s="32"/>
      <c r="II4" s="32"/>
      <c r="IJ4" s="32"/>
      <c r="IK4" s="32"/>
      <c r="IL4" s="32"/>
      <c r="IM4" s="32"/>
      <c r="IN4" s="32"/>
      <c r="IO4" s="32"/>
      <c r="IP4" s="32"/>
      <c r="IQ4" s="32"/>
      <c r="IR4" s="32"/>
      <c r="IS4" s="32"/>
      <c r="IT4" s="32"/>
      <c r="IU4" s="32"/>
      <c r="IV4" s="32"/>
      <c r="IW4" s="32"/>
    </row>
    <row r="5" customFormat="fals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2"/>
      <c r="BL5" s="32"/>
      <c r="BM5" s="32"/>
      <c r="BN5" s="32"/>
      <c r="BO5" s="32"/>
      <c r="BP5" s="32"/>
      <c r="BQ5" s="32"/>
      <c r="BR5" s="32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2"/>
      <c r="DV5" s="32"/>
      <c r="DW5" s="32"/>
      <c r="DX5" s="32"/>
      <c r="DY5" s="32"/>
      <c r="DZ5" s="32"/>
      <c r="EA5" s="32"/>
      <c r="EB5" s="32"/>
      <c r="EC5" s="32"/>
      <c r="ED5" s="32"/>
      <c r="EE5" s="32"/>
      <c r="EF5" s="32"/>
      <c r="EG5" s="32"/>
      <c r="EH5" s="32"/>
      <c r="EI5" s="32"/>
      <c r="EJ5" s="32"/>
      <c r="EK5" s="32"/>
      <c r="EL5" s="32"/>
      <c r="EM5" s="32"/>
      <c r="EN5" s="32"/>
      <c r="EO5" s="32"/>
      <c r="EP5" s="32"/>
      <c r="EQ5" s="32"/>
      <c r="ER5" s="32"/>
      <c r="ES5" s="32"/>
      <c r="ET5" s="32"/>
      <c r="EU5" s="32"/>
      <c r="EV5" s="32"/>
      <c r="EW5" s="32"/>
      <c r="EX5" s="32"/>
      <c r="EY5" s="32"/>
      <c r="EZ5" s="32"/>
      <c r="FA5" s="32"/>
      <c r="FB5" s="32"/>
      <c r="FC5" s="32"/>
      <c r="FD5" s="32"/>
      <c r="FE5" s="32"/>
      <c r="FF5" s="32"/>
      <c r="FG5" s="32"/>
      <c r="FH5" s="32"/>
      <c r="FI5" s="32"/>
      <c r="FJ5" s="32"/>
      <c r="FK5" s="32"/>
      <c r="FL5" s="32"/>
      <c r="FM5" s="32"/>
      <c r="FN5" s="32"/>
      <c r="FO5" s="32"/>
      <c r="FP5" s="32"/>
      <c r="FQ5" s="32"/>
      <c r="FR5" s="32"/>
      <c r="FS5" s="32"/>
      <c r="FT5" s="32"/>
      <c r="FU5" s="32"/>
      <c r="FV5" s="32"/>
      <c r="FW5" s="32"/>
      <c r="FX5" s="32"/>
      <c r="FY5" s="32"/>
      <c r="FZ5" s="32"/>
      <c r="GA5" s="32"/>
      <c r="GB5" s="32"/>
      <c r="GC5" s="32"/>
      <c r="GD5" s="32"/>
      <c r="GE5" s="32"/>
      <c r="GF5" s="32"/>
      <c r="GG5" s="32"/>
      <c r="GH5" s="32"/>
      <c r="GI5" s="32"/>
      <c r="GJ5" s="32"/>
      <c r="GK5" s="32"/>
      <c r="GL5" s="32"/>
      <c r="GM5" s="32"/>
      <c r="GN5" s="32"/>
      <c r="GO5" s="32"/>
      <c r="GP5" s="32"/>
      <c r="GQ5" s="32"/>
      <c r="GR5" s="32"/>
      <c r="GS5" s="32"/>
      <c r="GT5" s="32"/>
      <c r="GU5" s="32"/>
      <c r="GV5" s="32"/>
      <c r="GW5" s="32"/>
      <c r="GX5" s="32"/>
      <c r="GY5" s="32"/>
      <c r="GZ5" s="32"/>
      <c r="HA5" s="32"/>
      <c r="HB5" s="32"/>
      <c r="HC5" s="32"/>
      <c r="HD5" s="32"/>
      <c r="HE5" s="32"/>
      <c r="HF5" s="32"/>
      <c r="HG5" s="32"/>
      <c r="HH5" s="32"/>
      <c r="HI5" s="32"/>
      <c r="HJ5" s="32"/>
      <c r="HK5" s="32"/>
      <c r="HL5" s="32"/>
      <c r="HM5" s="32"/>
      <c r="HN5" s="32"/>
      <c r="HO5" s="32"/>
      <c r="HP5" s="32"/>
      <c r="HQ5" s="32"/>
      <c r="HR5" s="32"/>
      <c r="HS5" s="32"/>
      <c r="HT5" s="32"/>
      <c r="HU5" s="32"/>
      <c r="HV5" s="32"/>
      <c r="HW5" s="32"/>
      <c r="HX5" s="32"/>
      <c r="HY5" s="32"/>
      <c r="HZ5" s="32"/>
      <c r="IA5" s="32"/>
      <c r="IB5" s="32"/>
      <c r="IC5" s="32"/>
      <c r="ID5" s="32"/>
      <c r="IE5" s="32"/>
      <c r="IF5" s="32"/>
      <c r="IG5" s="32"/>
      <c r="IH5" s="32"/>
      <c r="II5" s="32"/>
      <c r="IJ5" s="32"/>
      <c r="IK5" s="32"/>
      <c r="IL5" s="32"/>
      <c r="IM5" s="32"/>
      <c r="IN5" s="32"/>
      <c r="IO5" s="32"/>
      <c r="IP5" s="32"/>
      <c r="IQ5" s="32"/>
      <c r="IR5" s="32"/>
      <c r="IS5" s="32"/>
      <c r="IT5" s="32"/>
      <c r="IU5" s="32"/>
      <c r="IV5" s="32"/>
      <c r="IW5" s="32"/>
    </row>
    <row r="6" customFormat="false" ht="12.75" hidden="false" customHeight="false" outlineLevel="0" collapsed="false">
      <c r="A6" s="1" t="n">
        <v>46376</v>
      </c>
      <c r="B6" s="2" t="s">
        <v>43</v>
      </c>
      <c r="C6" s="3" t="s">
        <v>186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46357</v>
      </c>
      <c r="P6" s="4" t="s">
        <v>46</v>
      </c>
      <c r="Q6" s="3" t="s">
        <v>187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46381</v>
      </c>
      <c r="B7" s="2" t="s">
        <v>59</v>
      </c>
      <c r="C7" s="3" t="s">
        <v>188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46357</v>
      </c>
      <c r="P7" s="4" t="s">
        <v>51</v>
      </c>
      <c r="Q7" s="3" t="s">
        <v>189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46384</v>
      </c>
      <c r="B8" s="2" t="s">
        <v>69</v>
      </c>
      <c r="C8" s="3" t="s">
        <v>190</v>
      </c>
      <c r="D8" s="4" t="s">
        <v>71</v>
      </c>
      <c r="E8" s="5" t="s">
        <v>33</v>
      </c>
      <c r="F8" s="6" t="n">
        <v>22400</v>
      </c>
      <c r="G8" s="6" t="str">
        <f aca="false">IF(E8="BC",F8," ")</f>
        <v> </v>
      </c>
      <c r="H8" s="6" t="n">
        <f aca="false">IF(E8="DR",F8," ")</f>
        <v>22400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46361</v>
      </c>
      <c r="P8" s="4" t="s">
        <v>56</v>
      </c>
      <c r="Q8" s="3" t="s">
        <v>191</v>
      </c>
      <c r="R8" s="3" t="s">
        <v>58</v>
      </c>
      <c r="S8" s="38" t="s">
        <v>34</v>
      </c>
      <c r="T8" s="6" t="n">
        <v>2700</v>
      </c>
      <c r="U8" s="6" t="str">
        <f aca="false">IF(S8="BC",T8," ")</f>
        <v> </v>
      </c>
      <c r="V8" s="6" t="n">
        <f aca="false">IF(S8="CR",T8," ")</f>
        <v>2700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46375</v>
      </c>
      <c r="P9" s="4" t="s">
        <v>61</v>
      </c>
      <c r="Q9" s="3" t="s">
        <v>192</v>
      </c>
      <c r="R9" s="3" t="s">
        <v>63</v>
      </c>
      <c r="S9" s="38" t="s">
        <v>42</v>
      </c>
      <c r="T9" s="6" t="n">
        <v>1673.2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1673.2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46375</v>
      </c>
      <c r="P10" s="4" t="s">
        <v>61</v>
      </c>
      <c r="Q10" s="3" t="s">
        <v>193</v>
      </c>
      <c r="R10" s="3" t="s">
        <v>123</v>
      </c>
      <c r="S10" s="38" t="s">
        <v>42</v>
      </c>
      <c r="T10" s="6" t="n">
        <v>600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600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46384</v>
      </c>
      <c r="P11" s="4" t="s">
        <v>66</v>
      </c>
      <c r="Q11" s="3" t="s">
        <v>194</v>
      </c>
      <c r="R11" s="3" t="s">
        <v>68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46387</v>
      </c>
      <c r="P12" s="4" t="s">
        <v>103</v>
      </c>
      <c r="Q12" s="3" t="s">
        <v>195</v>
      </c>
      <c r="R12" s="3" t="s">
        <v>105</v>
      </c>
      <c r="S12" s="38" t="s">
        <v>40</v>
      </c>
      <c r="T12" s="6" t="n">
        <v>167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n">
        <f aca="false">IF(S12="B",T12," ")</f>
        <v>167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46387</v>
      </c>
      <c r="P13" s="4" t="s">
        <v>72</v>
      </c>
      <c r="Q13" s="3" t="s">
        <v>196</v>
      </c>
      <c r="R13" s="3" t="s">
        <v>74</v>
      </c>
      <c r="S13" s="38" t="s">
        <v>34</v>
      </c>
      <c r="T13" s="6" t="n">
        <v>300</v>
      </c>
      <c r="U13" s="6" t="str">
        <f aca="false">IF(S13="BC",T13," ")</f>
        <v> </v>
      </c>
      <c r="V13" s="6" t="n">
        <f aca="false">IF(S13="CR",T13," ")</f>
        <v>300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Dec!A2</f>
        <v>147973.53</v>
      </c>
      <c r="B1" s="8" t="s">
        <v>0</v>
      </c>
      <c r="C1" s="9" t="n">
        <f aca="false">Dec!C2</f>
        <v>46387</v>
      </c>
      <c r="D1" s="10" t="s">
        <v>1</v>
      </c>
      <c r="E1" s="11" t="n">
        <f aca="false">F1-SUM(G1:M1)</f>
        <v>0</v>
      </c>
      <c r="F1" s="12" t="n">
        <f aca="false">SUM(F6:F200)</f>
        <v>40440</v>
      </c>
      <c r="G1" s="12" t="n">
        <f aca="false">SUM(G6:G200)</f>
        <v>0</v>
      </c>
      <c r="H1" s="12" t="n">
        <f aca="false">SUM(H6:H200)</f>
        <v>35440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5000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15625.2</v>
      </c>
      <c r="U1" s="12" t="n">
        <f aca="false">SUM(U6:U200)</f>
        <v>0</v>
      </c>
      <c r="V1" s="12" t="n">
        <f aca="false">SUM(V6:V200)</f>
        <v>4000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1673.2</v>
      </c>
      <c r="AB1" s="12" t="n">
        <f aca="false">SUM(AB6:AB200)</f>
        <v>4000</v>
      </c>
      <c r="AC1" s="12" t="n">
        <f aca="false">SUM(AC6:AC200)</f>
        <v>300</v>
      </c>
    </row>
    <row r="2" customFormat="false" ht="15" hidden="false" customHeight="true" outlineLevel="0" collapsed="false">
      <c r="A2" s="17" t="n">
        <f aca="false">A1+F1-T1</f>
        <v>172788.33</v>
      </c>
      <c r="B2" s="18" t="s">
        <v>2</v>
      </c>
      <c r="C2" s="9" t="n">
        <f aca="false">[1]Admin!$B$14</f>
        <v>46418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46418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customFormat="false" ht="19.5" hidden="false" customHeight="true" outlineLevel="0" collapsed="false">
      <c r="A4" s="28" t="n">
        <f aca="false">A2-A3</f>
        <v>172788.33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32"/>
      <c r="BM4" s="32"/>
      <c r="BN4" s="32"/>
      <c r="BO4" s="32"/>
      <c r="BP4" s="32"/>
      <c r="BQ4" s="32"/>
      <c r="BR4" s="32"/>
      <c r="BS4" s="32"/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2"/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2"/>
      <c r="DV4" s="32"/>
      <c r="DW4" s="32"/>
      <c r="DX4" s="32"/>
      <c r="DY4" s="32"/>
      <c r="DZ4" s="32"/>
      <c r="EA4" s="32"/>
      <c r="EB4" s="32"/>
      <c r="EC4" s="32"/>
      <c r="ED4" s="32"/>
      <c r="EE4" s="32"/>
      <c r="EF4" s="32"/>
      <c r="EG4" s="32"/>
      <c r="EH4" s="32"/>
      <c r="EI4" s="32"/>
      <c r="EJ4" s="32"/>
      <c r="EK4" s="32"/>
      <c r="EL4" s="32"/>
      <c r="EM4" s="32"/>
      <c r="EN4" s="32"/>
      <c r="EO4" s="32"/>
      <c r="EP4" s="32"/>
      <c r="EQ4" s="32"/>
      <c r="ER4" s="32"/>
      <c r="ES4" s="32"/>
      <c r="ET4" s="32"/>
      <c r="EU4" s="32"/>
      <c r="EV4" s="32"/>
      <c r="EW4" s="32"/>
      <c r="EX4" s="32"/>
      <c r="EY4" s="32"/>
      <c r="EZ4" s="32"/>
      <c r="FA4" s="32"/>
      <c r="FB4" s="32"/>
      <c r="FC4" s="32"/>
      <c r="FD4" s="32"/>
      <c r="FE4" s="32"/>
      <c r="FF4" s="32"/>
      <c r="FG4" s="32"/>
      <c r="FH4" s="32"/>
      <c r="FI4" s="32"/>
      <c r="FJ4" s="32"/>
      <c r="FK4" s="32"/>
      <c r="FL4" s="32"/>
      <c r="FM4" s="32"/>
      <c r="FN4" s="32"/>
      <c r="FO4" s="32"/>
      <c r="FP4" s="32"/>
      <c r="FQ4" s="32"/>
      <c r="FR4" s="32"/>
      <c r="FS4" s="32"/>
      <c r="FT4" s="32"/>
      <c r="FU4" s="32"/>
      <c r="FV4" s="32"/>
      <c r="FW4" s="32"/>
      <c r="FX4" s="32"/>
      <c r="FY4" s="32"/>
      <c r="FZ4" s="32"/>
      <c r="GA4" s="32"/>
      <c r="GB4" s="32"/>
      <c r="GC4" s="32"/>
      <c r="GD4" s="32"/>
      <c r="GE4" s="32"/>
      <c r="GF4" s="32"/>
      <c r="GG4" s="32"/>
      <c r="GH4" s="32"/>
      <c r="GI4" s="32"/>
      <c r="GJ4" s="32"/>
      <c r="GK4" s="32"/>
      <c r="GL4" s="32"/>
      <c r="GM4" s="32"/>
      <c r="GN4" s="32"/>
      <c r="GO4" s="32"/>
      <c r="GP4" s="32"/>
      <c r="GQ4" s="32"/>
      <c r="GR4" s="32"/>
      <c r="GS4" s="32"/>
      <c r="GT4" s="32"/>
      <c r="GU4" s="32"/>
      <c r="GV4" s="32"/>
      <c r="GW4" s="32"/>
      <c r="GX4" s="32"/>
      <c r="GY4" s="32"/>
      <c r="GZ4" s="32"/>
      <c r="HA4" s="32"/>
      <c r="HB4" s="32"/>
      <c r="HC4" s="32"/>
      <c r="HD4" s="32"/>
      <c r="HE4" s="32"/>
      <c r="HF4" s="32"/>
      <c r="HG4" s="32"/>
      <c r="HH4" s="32"/>
      <c r="HI4" s="32"/>
      <c r="HJ4" s="32"/>
      <c r="HK4" s="32"/>
      <c r="HL4" s="32"/>
      <c r="HM4" s="32"/>
      <c r="HN4" s="32"/>
      <c r="HO4" s="32"/>
      <c r="HP4" s="32"/>
      <c r="HQ4" s="32"/>
      <c r="HR4" s="32"/>
      <c r="HS4" s="32"/>
      <c r="HT4" s="32"/>
      <c r="HU4" s="32"/>
      <c r="HV4" s="32"/>
      <c r="HW4" s="32"/>
      <c r="HX4" s="32"/>
      <c r="HY4" s="32"/>
      <c r="HZ4" s="32"/>
      <c r="IA4" s="32"/>
      <c r="IB4" s="32"/>
      <c r="IC4" s="32"/>
      <c r="ID4" s="32"/>
      <c r="IE4" s="32"/>
      <c r="IF4" s="32"/>
      <c r="IG4" s="32"/>
      <c r="IH4" s="32"/>
      <c r="II4" s="32"/>
      <c r="IJ4" s="32"/>
      <c r="IK4" s="32"/>
      <c r="IL4" s="32"/>
      <c r="IM4" s="32"/>
      <c r="IN4" s="32"/>
      <c r="IO4" s="32"/>
      <c r="IP4" s="32"/>
      <c r="IQ4" s="32"/>
      <c r="IR4" s="32"/>
      <c r="IS4" s="32"/>
      <c r="IT4" s="32"/>
      <c r="IU4" s="32"/>
      <c r="IV4" s="32"/>
      <c r="IW4" s="32"/>
    </row>
    <row r="5" customFormat="fals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2"/>
      <c r="BL5" s="32"/>
      <c r="BM5" s="32"/>
      <c r="BN5" s="32"/>
      <c r="BO5" s="32"/>
      <c r="BP5" s="32"/>
      <c r="BQ5" s="32"/>
      <c r="BR5" s="32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2"/>
      <c r="DV5" s="32"/>
      <c r="DW5" s="32"/>
      <c r="DX5" s="32"/>
      <c r="DY5" s="32"/>
      <c r="DZ5" s="32"/>
      <c r="EA5" s="32"/>
      <c r="EB5" s="32"/>
      <c r="EC5" s="32"/>
      <c r="ED5" s="32"/>
      <c r="EE5" s="32"/>
      <c r="EF5" s="32"/>
      <c r="EG5" s="32"/>
      <c r="EH5" s="32"/>
      <c r="EI5" s="32"/>
      <c r="EJ5" s="32"/>
      <c r="EK5" s="32"/>
      <c r="EL5" s="32"/>
      <c r="EM5" s="32"/>
      <c r="EN5" s="32"/>
      <c r="EO5" s="32"/>
      <c r="EP5" s="32"/>
      <c r="EQ5" s="32"/>
      <c r="ER5" s="32"/>
      <c r="ES5" s="32"/>
      <c r="ET5" s="32"/>
      <c r="EU5" s="32"/>
      <c r="EV5" s="32"/>
      <c r="EW5" s="32"/>
      <c r="EX5" s="32"/>
      <c r="EY5" s="32"/>
      <c r="EZ5" s="32"/>
      <c r="FA5" s="32"/>
      <c r="FB5" s="32"/>
      <c r="FC5" s="32"/>
      <c r="FD5" s="32"/>
      <c r="FE5" s="32"/>
      <c r="FF5" s="32"/>
      <c r="FG5" s="32"/>
      <c r="FH5" s="32"/>
      <c r="FI5" s="32"/>
      <c r="FJ5" s="32"/>
      <c r="FK5" s="32"/>
      <c r="FL5" s="32"/>
      <c r="FM5" s="32"/>
      <c r="FN5" s="32"/>
      <c r="FO5" s="32"/>
      <c r="FP5" s="32"/>
      <c r="FQ5" s="32"/>
      <c r="FR5" s="32"/>
      <c r="FS5" s="32"/>
      <c r="FT5" s="32"/>
      <c r="FU5" s="32"/>
      <c r="FV5" s="32"/>
      <c r="FW5" s="32"/>
      <c r="FX5" s="32"/>
      <c r="FY5" s="32"/>
      <c r="FZ5" s="32"/>
      <c r="GA5" s="32"/>
      <c r="GB5" s="32"/>
      <c r="GC5" s="32"/>
      <c r="GD5" s="32"/>
      <c r="GE5" s="32"/>
      <c r="GF5" s="32"/>
      <c r="GG5" s="32"/>
      <c r="GH5" s="32"/>
      <c r="GI5" s="32"/>
      <c r="GJ5" s="32"/>
      <c r="GK5" s="32"/>
      <c r="GL5" s="32"/>
      <c r="GM5" s="32"/>
      <c r="GN5" s="32"/>
      <c r="GO5" s="32"/>
      <c r="GP5" s="32"/>
      <c r="GQ5" s="32"/>
      <c r="GR5" s="32"/>
      <c r="GS5" s="32"/>
      <c r="GT5" s="32"/>
      <c r="GU5" s="32"/>
      <c r="GV5" s="32"/>
      <c r="GW5" s="32"/>
      <c r="GX5" s="32"/>
      <c r="GY5" s="32"/>
      <c r="GZ5" s="32"/>
      <c r="HA5" s="32"/>
      <c r="HB5" s="32"/>
      <c r="HC5" s="32"/>
      <c r="HD5" s="32"/>
      <c r="HE5" s="32"/>
      <c r="HF5" s="32"/>
      <c r="HG5" s="32"/>
      <c r="HH5" s="32"/>
      <c r="HI5" s="32"/>
      <c r="HJ5" s="32"/>
      <c r="HK5" s="32"/>
      <c r="HL5" s="32"/>
      <c r="HM5" s="32"/>
      <c r="HN5" s="32"/>
      <c r="HO5" s="32"/>
      <c r="HP5" s="32"/>
      <c r="HQ5" s="32"/>
      <c r="HR5" s="32"/>
      <c r="HS5" s="32"/>
      <c r="HT5" s="32"/>
      <c r="HU5" s="32"/>
      <c r="HV5" s="32"/>
      <c r="HW5" s="32"/>
      <c r="HX5" s="32"/>
      <c r="HY5" s="32"/>
      <c r="HZ5" s="32"/>
      <c r="IA5" s="32"/>
      <c r="IB5" s="32"/>
      <c r="IC5" s="32"/>
      <c r="ID5" s="32"/>
      <c r="IE5" s="32"/>
      <c r="IF5" s="32"/>
      <c r="IG5" s="32"/>
      <c r="IH5" s="32"/>
      <c r="II5" s="32"/>
      <c r="IJ5" s="32"/>
      <c r="IK5" s="32"/>
      <c r="IL5" s="32"/>
      <c r="IM5" s="32"/>
      <c r="IN5" s="32"/>
      <c r="IO5" s="32"/>
      <c r="IP5" s="32"/>
      <c r="IQ5" s="32"/>
      <c r="IR5" s="32"/>
      <c r="IS5" s="32"/>
      <c r="IT5" s="32"/>
      <c r="IU5" s="32"/>
      <c r="IV5" s="32"/>
      <c r="IW5" s="32"/>
    </row>
    <row r="6" customFormat="false" ht="12.75" hidden="false" customHeight="false" outlineLevel="0" collapsed="false">
      <c r="A6" s="1" t="n">
        <v>46402</v>
      </c>
      <c r="B6" s="2" t="s">
        <v>197</v>
      </c>
      <c r="C6" s="3" t="s">
        <v>198</v>
      </c>
      <c r="D6" s="4" t="s">
        <v>199</v>
      </c>
      <c r="E6" s="5" t="s">
        <v>37</v>
      </c>
      <c r="F6" s="6" t="n">
        <v>5000</v>
      </c>
      <c r="G6" s="6" t="str">
        <f aca="false">IF(E6="BC",F6,"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n">
        <f aca="false">IF(E6="DL",F6," ")</f>
        <v>5000</v>
      </c>
      <c r="M6" s="6" t="str">
        <f aca="false">IF(E6="X",F6," ")</f>
        <v> </v>
      </c>
      <c r="N6" s="37"/>
      <c r="O6" s="1" t="n">
        <v>46388</v>
      </c>
      <c r="P6" s="4" t="s">
        <v>46</v>
      </c>
      <c r="Q6" s="3" t="s">
        <v>200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46407</v>
      </c>
      <c r="B7" s="2" t="s">
        <v>43</v>
      </c>
      <c r="C7" s="3" t="s">
        <v>201</v>
      </c>
      <c r="D7" s="4" t="s">
        <v>55</v>
      </c>
      <c r="E7" s="5" t="s">
        <v>33</v>
      </c>
      <c r="F7" s="6" t="n">
        <v>8000</v>
      </c>
      <c r="G7" s="6" t="str">
        <f aca="false">IF(E7="BC",F7," ")</f>
        <v> </v>
      </c>
      <c r="H7" s="6" t="n">
        <f aca="false">IF(E7="DR",F7," ")</f>
        <v>8000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46388</v>
      </c>
      <c r="P7" s="4" t="s">
        <v>51</v>
      </c>
      <c r="Q7" s="3" t="s">
        <v>202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46412</v>
      </c>
      <c r="B8" s="2" t="s">
        <v>59</v>
      </c>
      <c r="C8" s="3" t="s">
        <v>203</v>
      </c>
      <c r="D8" s="4" t="s">
        <v>55</v>
      </c>
      <c r="E8" s="5" t="s">
        <v>33</v>
      </c>
      <c r="F8" s="6" t="n">
        <v>2400</v>
      </c>
      <c r="G8" s="6" t="str">
        <f aca="false">IF(E8="BC",F8," ")</f>
        <v> </v>
      </c>
      <c r="H8" s="6" t="n">
        <f aca="false">IF(E8="DR",F8," ")</f>
        <v>2400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46392</v>
      </c>
      <c r="P8" s="4" t="s">
        <v>56</v>
      </c>
      <c r="Q8" s="3" t="s">
        <v>204</v>
      </c>
      <c r="R8" s="3" t="s">
        <v>58</v>
      </c>
      <c r="S8" s="38" t="s">
        <v>34</v>
      </c>
      <c r="T8" s="6" t="n">
        <v>2500</v>
      </c>
      <c r="U8" s="6" t="str">
        <f aca="false">IF(S8="BC",T8," ")</f>
        <v> </v>
      </c>
      <c r="V8" s="6" t="n">
        <f aca="false">IF(S8="CR",T8," ")</f>
        <v>2500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46415</v>
      </c>
      <c r="B9" s="2" t="s">
        <v>69</v>
      </c>
      <c r="C9" s="3" t="s">
        <v>205</v>
      </c>
      <c r="D9" s="4" t="s">
        <v>71</v>
      </c>
      <c r="E9" s="5" t="s">
        <v>33</v>
      </c>
      <c r="F9" s="6" t="n">
        <v>25040</v>
      </c>
      <c r="G9" s="6" t="str">
        <f aca="false">IF(E9="BC",F9," ")</f>
        <v> </v>
      </c>
      <c r="H9" s="6" t="n">
        <f aca="false">IF(E9="DR",F9," ")</f>
        <v>25040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46402</v>
      </c>
      <c r="P9" s="4" t="s">
        <v>118</v>
      </c>
      <c r="Q9" s="3" t="s">
        <v>206</v>
      </c>
      <c r="R9" s="3" t="s">
        <v>120</v>
      </c>
      <c r="S9" s="38" t="s">
        <v>37</v>
      </c>
      <c r="T9" s="6" t="n">
        <v>3000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n">
        <f aca="false">IF(S9="DL",T9," ")</f>
        <v>3000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46406</v>
      </c>
      <c r="P10" s="4" t="s">
        <v>61</v>
      </c>
      <c r="Q10" s="3" t="s">
        <v>207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46415</v>
      </c>
      <c r="P11" s="4" t="s">
        <v>66</v>
      </c>
      <c r="Q11" s="3" t="s">
        <v>208</v>
      </c>
      <c r="R11" s="3" t="s">
        <v>68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46418</v>
      </c>
      <c r="P12" s="4" t="s">
        <v>72</v>
      </c>
      <c r="Q12" s="3" t="s">
        <v>209</v>
      </c>
      <c r="R12" s="3" t="s">
        <v>74</v>
      </c>
      <c r="S12" s="38" t="s">
        <v>34</v>
      </c>
      <c r="T12" s="6" t="n">
        <v>300</v>
      </c>
      <c r="U12" s="6" t="str">
        <f aca="false">IF(S12="BC",T12," ")</f>
        <v> </v>
      </c>
      <c r="V12" s="6" t="n">
        <f aca="false">IF(S12="CR",T12," ")</f>
        <v>300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46418</v>
      </c>
      <c r="P13" s="4" t="s">
        <v>75</v>
      </c>
      <c r="Q13" s="3" t="s">
        <v>210</v>
      </c>
      <c r="R13" s="3" t="s">
        <v>77</v>
      </c>
      <c r="S13" s="38" t="s">
        <v>38</v>
      </c>
      <c r="T13" s="6" t="n">
        <v>300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n">
        <f aca="false">IF(S13="X",T13," ")</f>
        <v>300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Jan!A2</f>
        <v>172788.33</v>
      </c>
      <c r="B1" s="8" t="s">
        <v>0</v>
      </c>
      <c r="C1" s="9" t="n">
        <f aca="false">Jan!C2</f>
        <v>46418</v>
      </c>
      <c r="D1" s="10" t="s">
        <v>1</v>
      </c>
      <c r="E1" s="11" t="n">
        <f aca="false">F1-SUM(G1:M1)</f>
        <v>0</v>
      </c>
      <c r="F1" s="12" t="n">
        <f aca="false">SUM(F6:F200)</f>
        <v>34360</v>
      </c>
      <c r="G1" s="12" t="n">
        <f aca="false">SUM(G6:G200)</f>
        <v>0</v>
      </c>
      <c r="H1" s="12" t="n">
        <f aca="false">SUM(H6:H200)</f>
        <v>34360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23642.7</v>
      </c>
      <c r="U1" s="12" t="n">
        <f aca="false">SUM(U6:U200)</f>
        <v>0</v>
      </c>
      <c r="V1" s="12" t="n">
        <f aca="false">SUM(V6:V200)</f>
        <v>4400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12590.7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183505.63</v>
      </c>
      <c r="B2" s="18" t="s">
        <v>2</v>
      </c>
      <c r="C2" s="9" t="n">
        <f aca="false">[1]Admin!$B$15</f>
        <v>46446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46446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customFormat="false" ht="19.5" hidden="false" customHeight="true" outlineLevel="0" collapsed="false">
      <c r="A4" s="28" t="n">
        <f aca="false">A2-A3</f>
        <v>183505.63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32"/>
      <c r="BM4" s="32"/>
      <c r="BN4" s="32"/>
      <c r="BO4" s="32"/>
      <c r="BP4" s="32"/>
      <c r="BQ4" s="32"/>
      <c r="BR4" s="32"/>
      <c r="BS4" s="32"/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2"/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2"/>
      <c r="DV4" s="32"/>
      <c r="DW4" s="32"/>
      <c r="DX4" s="32"/>
      <c r="DY4" s="32"/>
      <c r="DZ4" s="32"/>
      <c r="EA4" s="32"/>
      <c r="EB4" s="32"/>
      <c r="EC4" s="32"/>
      <c r="ED4" s="32"/>
      <c r="EE4" s="32"/>
      <c r="EF4" s="32"/>
      <c r="EG4" s="32"/>
      <c r="EH4" s="32"/>
      <c r="EI4" s="32"/>
      <c r="EJ4" s="32"/>
      <c r="EK4" s="32"/>
      <c r="EL4" s="32"/>
      <c r="EM4" s="32"/>
      <c r="EN4" s="32"/>
      <c r="EO4" s="32"/>
      <c r="EP4" s="32"/>
      <c r="EQ4" s="32"/>
      <c r="ER4" s="32"/>
      <c r="ES4" s="32"/>
      <c r="ET4" s="32"/>
      <c r="EU4" s="32"/>
      <c r="EV4" s="32"/>
      <c r="EW4" s="32"/>
      <c r="EX4" s="32"/>
      <c r="EY4" s="32"/>
      <c r="EZ4" s="32"/>
      <c r="FA4" s="32"/>
      <c r="FB4" s="32"/>
      <c r="FC4" s="32"/>
      <c r="FD4" s="32"/>
      <c r="FE4" s="32"/>
      <c r="FF4" s="32"/>
      <c r="FG4" s="32"/>
      <c r="FH4" s="32"/>
      <c r="FI4" s="32"/>
      <c r="FJ4" s="32"/>
      <c r="FK4" s="32"/>
      <c r="FL4" s="32"/>
      <c r="FM4" s="32"/>
      <c r="FN4" s="32"/>
      <c r="FO4" s="32"/>
      <c r="FP4" s="32"/>
      <c r="FQ4" s="32"/>
      <c r="FR4" s="32"/>
      <c r="FS4" s="32"/>
      <c r="FT4" s="32"/>
      <c r="FU4" s="32"/>
      <c r="FV4" s="32"/>
      <c r="FW4" s="32"/>
      <c r="FX4" s="32"/>
      <c r="FY4" s="32"/>
      <c r="FZ4" s="32"/>
      <c r="GA4" s="32"/>
      <c r="GB4" s="32"/>
      <c r="GC4" s="32"/>
      <c r="GD4" s="32"/>
      <c r="GE4" s="32"/>
      <c r="GF4" s="32"/>
      <c r="GG4" s="32"/>
      <c r="GH4" s="32"/>
      <c r="GI4" s="32"/>
      <c r="GJ4" s="32"/>
      <c r="GK4" s="32"/>
      <c r="GL4" s="32"/>
      <c r="GM4" s="32"/>
      <c r="GN4" s="32"/>
      <c r="GO4" s="32"/>
      <c r="GP4" s="32"/>
      <c r="GQ4" s="32"/>
      <c r="GR4" s="32"/>
      <c r="GS4" s="32"/>
      <c r="GT4" s="32"/>
      <c r="GU4" s="32"/>
      <c r="GV4" s="32"/>
      <c r="GW4" s="32"/>
      <c r="GX4" s="32"/>
      <c r="GY4" s="32"/>
      <c r="GZ4" s="32"/>
      <c r="HA4" s="32"/>
      <c r="HB4" s="32"/>
      <c r="HC4" s="32"/>
      <c r="HD4" s="32"/>
      <c r="HE4" s="32"/>
      <c r="HF4" s="32"/>
      <c r="HG4" s="32"/>
      <c r="HH4" s="32"/>
      <c r="HI4" s="32"/>
      <c r="HJ4" s="32"/>
      <c r="HK4" s="32"/>
      <c r="HL4" s="32"/>
      <c r="HM4" s="32"/>
      <c r="HN4" s="32"/>
      <c r="HO4" s="32"/>
      <c r="HP4" s="32"/>
      <c r="HQ4" s="32"/>
      <c r="HR4" s="32"/>
      <c r="HS4" s="32"/>
      <c r="HT4" s="32"/>
      <c r="HU4" s="32"/>
      <c r="HV4" s="32"/>
      <c r="HW4" s="32"/>
      <c r="HX4" s="32"/>
      <c r="HY4" s="32"/>
      <c r="HZ4" s="32"/>
      <c r="IA4" s="32"/>
      <c r="IB4" s="32"/>
      <c r="IC4" s="32"/>
      <c r="ID4" s="32"/>
      <c r="IE4" s="32"/>
      <c r="IF4" s="32"/>
      <c r="IG4" s="32"/>
      <c r="IH4" s="32"/>
      <c r="II4" s="32"/>
      <c r="IJ4" s="32"/>
      <c r="IK4" s="32"/>
      <c r="IL4" s="32"/>
      <c r="IM4" s="32"/>
      <c r="IN4" s="32"/>
      <c r="IO4" s="32"/>
      <c r="IP4" s="32"/>
      <c r="IQ4" s="32"/>
      <c r="IR4" s="32"/>
      <c r="IS4" s="32"/>
      <c r="IT4" s="32"/>
      <c r="IU4" s="32"/>
      <c r="IV4" s="32"/>
      <c r="IW4" s="32"/>
    </row>
    <row r="5" customFormat="fals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2"/>
      <c r="BL5" s="32"/>
      <c r="BM5" s="32"/>
      <c r="BN5" s="32"/>
      <c r="BO5" s="32"/>
      <c r="BP5" s="32"/>
      <c r="BQ5" s="32"/>
      <c r="BR5" s="32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2"/>
      <c r="DV5" s="32"/>
      <c r="DW5" s="32"/>
      <c r="DX5" s="32"/>
      <c r="DY5" s="32"/>
      <c r="DZ5" s="32"/>
      <c r="EA5" s="32"/>
      <c r="EB5" s="32"/>
      <c r="EC5" s="32"/>
      <c r="ED5" s="32"/>
      <c r="EE5" s="32"/>
      <c r="EF5" s="32"/>
      <c r="EG5" s="32"/>
      <c r="EH5" s="32"/>
      <c r="EI5" s="32"/>
      <c r="EJ5" s="32"/>
      <c r="EK5" s="32"/>
      <c r="EL5" s="32"/>
      <c r="EM5" s="32"/>
      <c r="EN5" s="32"/>
      <c r="EO5" s="32"/>
      <c r="EP5" s="32"/>
      <c r="EQ5" s="32"/>
      <c r="ER5" s="32"/>
      <c r="ES5" s="32"/>
      <c r="ET5" s="32"/>
      <c r="EU5" s="32"/>
      <c r="EV5" s="32"/>
      <c r="EW5" s="32"/>
      <c r="EX5" s="32"/>
      <c r="EY5" s="32"/>
      <c r="EZ5" s="32"/>
      <c r="FA5" s="32"/>
      <c r="FB5" s="32"/>
      <c r="FC5" s="32"/>
      <c r="FD5" s="32"/>
      <c r="FE5" s="32"/>
      <c r="FF5" s="32"/>
      <c r="FG5" s="32"/>
      <c r="FH5" s="32"/>
      <c r="FI5" s="32"/>
      <c r="FJ5" s="32"/>
      <c r="FK5" s="32"/>
      <c r="FL5" s="32"/>
      <c r="FM5" s="32"/>
      <c r="FN5" s="32"/>
      <c r="FO5" s="32"/>
      <c r="FP5" s="32"/>
      <c r="FQ5" s="32"/>
      <c r="FR5" s="32"/>
      <c r="FS5" s="32"/>
      <c r="FT5" s="32"/>
      <c r="FU5" s="32"/>
      <c r="FV5" s="32"/>
      <c r="FW5" s="32"/>
      <c r="FX5" s="32"/>
      <c r="FY5" s="32"/>
      <c r="FZ5" s="32"/>
      <c r="GA5" s="32"/>
      <c r="GB5" s="32"/>
      <c r="GC5" s="32"/>
      <c r="GD5" s="32"/>
      <c r="GE5" s="32"/>
      <c r="GF5" s="32"/>
      <c r="GG5" s="32"/>
      <c r="GH5" s="32"/>
      <c r="GI5" s="32"/>
      <c r="GJ5" s="32"/>
      <c r="GK5" s="32"/>
      <c r="GL5" s="32"/>
      <c r="GM5" s="32"/>
      <c r="GN5" s="32"/>
      <c r="GO5" s="32"/>
      <c r="GP5" s="32"/>
      <c r="GQ5" s="32"/>
      <c r="GR5" s="32"/>
      <c r="GS5" s="32"/>
      <c r="GT5" s="32"/>
      <c r="GU5" s="32"/>
      <c r="GV5" s="32"/>
      <c r="GW5" s="32"/>
      <c r="GX5" s="32"/>
      <c r="GY5" s="32"/>
      <c r="GZ5" s="32"/>
      <c r="HA5" s="32"/>
      <c r="HB5" s="32"/>
      <c r="HC5" s="32"/>
      <c r="HD5" s="32"/>
      <c r="HE5" s="32"/>
      <c r="HF5" s="32"/>
      <c r="HG5" s="32"/>
      <c r="HH5" s="32"/>
      <c r="HI5" s="32"/>
      <c r="HJ5" s="32"/>
      <c r="HK5" s="32"/>
      <c r="HL5" s="32"/>
      <c r="HM5" s="32"/>
      <c r="HN5" s="32"/>
      <c r="HO5" s="32"/>
      <c r="HP5" s="32"/>
      <c r="HQ5" s="32"/>
      <c r="HR5" s="32"/>
      <c r="HS5" s="32"/>
      <c r="HT5" s="32"/>
      <c r="HU5" s="32"/>
      <c r="HV5" s="32"/>
      <c r="HW5" s="32"/>
      <c r="HX5" s="32"/>
      <c r="HY5" s="32"/>
      <c r="HZ5" s="32"/>
      <c r="IA5" s="32"/>
      <c r="IB5" s="32"/>
      <c r="IC5" s="32"/>
      <c r="ID5" s="32"/>
      <c r="IE5" s="32"/>
      <c r="IF5" s="32"/>
      <c r="IG5" s="32"/>
      <c r="IH5" s="32"/>
      <c r="II5" s="32"/>
      <c r="IJ5" s="32"/>
      <c r="IK5" s="32"/>
      <c r="IL5" s="32"/>
      <c r="IM5" s="32"/>
      <c r="IN5" s="32"/>
      <c r="IO5" s="32"/>
      <c r="IP5" s="32"/>
      <c r="IQ5" s="32"/>
      <c r="IR5" s="32"/>
      <c r="IS5" s="32"/>
      <c r="IT5" s="32"/>
      <c r="IU5" s="32"/>
      <c r="IV5" s="32"/>
      <c r="IW5" s="32"/>
    </row>
    <row r="6" customFormat="false" ht="12.75" hidden="false" customHeight="false" outlineLevel="0" collapsed="false">
      <c r="A6" s="1" t="n">
        <v>46438</v>
      </c>
      <c r="B6" s="2" t="s">
        <v>43</v>
      </c>
      <c r="C6" s="3" t="s">
        <v>211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46425</v>
      </c>
      <c r="P6" s="4" t="s">
        <v>61</v>
      </c>
      <c r="Q6" s="3" t="s">
        <v>212</v>
      </c>
      <c r="R6" s="3" t="s">
        <v>213</v>
      </c>
      <c r="S6" s="38" t="s">
        <v>42</v>
      </c>
      <c r="T6" s="6" t="n">
        <v>10917.5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10917.5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46443</v>
      </c>
      <c r="B7" s="2" t="s">
        <v>59</v>
      </c>
      <c r="C7" s="3" t="s">
        <v>214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46419</v>
      </c>
      <c r="P7" s="4" t="s">
        <v>46</v>
      </c>
      <c r="Q7" s="3" t="s">
        <v>215</v>
      </c>
      <c r="R7" s="3" t="s">
        <v>48</v>
      </c>
      <c r="S7" s="38" t="s">
        <v>34</v>
      </c>
      <c r="T7" s="6" t="n">
        <v>1200</v>
      </c>
      <c r="U7" s="6" t="str">
        <f aca="false">IF(S7="BC",T7," ")</f>
        <v> </v>
      </c>
      <c r="V7" s="6" t="n">
        <f aca="false">IF(S7="CR",T7," ")</f>
        <v>1200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46446</v>
      </c>
      <c r="B8" s="2" t="s">
        <v>69</v>
      </c>
      <c r="C8" s="3" t="s">
        <v>216</v>
      </c>
      <c r="D8" s="4" t="s">
        <v>71</v>
      </c>
      <c r="E8" s="5" t="s">
        <v>33</v>
      </c>
      <c r="F8" s="6" t="n">
        <v>23960</v>
      </c>
      <c r="G8" s="6" t="str">
        <f aca="false">IF(E8="BC",F8," ")</f>
        <v> </v>
      </c>
      <c r="H8" s="6" t="n">
        <f aca="false">IF(E8="DR",F8," ")</f>
        <v>23960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46419</v>
      </c>
      <c r="P8" s="4" t="s">
        <v>51</v>
      </c>
      <c r="Q8" s="3" t="s">
        <v>217</v>
      </c>
      <c r="R8" s="3" t="s">
        <v>53</v>
      </c>
      <c r="S8" s="38" t="s">
        <v>37</v>
      </c>
      <c r="T8" s="6" t="n">
        <v>1000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n">
        <f aca="false">IF(S8="DL",T8," ")</f>
        <v>1000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46423</v>
      </c>
      <c r="P9" s="4" t="s">
        <v>56</v>
      </c>
      <c r="Q9" s="3" t="s">
        <v>218</v>
      </c>
      <c r="R9" s="3" t="s">
        <v>58</v>
      </c>
      <c r="S9" s="38" t="s">
        <v>34</v>
      </c>
      <c r="T9" s="6" t="n">
        <v>2900</v>
      </c>
      <c r="U9" s="6" t="str">
        <f aca="false">IF(S9="BC",T9," ")</f>
        <v> </v>
      </c>
      <c r="V9" s="6" t="n">
        <f aca="false">IF(S9="CR",T9," ")</f>
        <v>2900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46437</v>
      </c>
      <c r="P10" s="4" t="s">
        <v>61</v>
      </c>
      <c r="Q10" s="3" t="s">
        <v>219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46446</v>
      </c>
      <c r="P11" s="4" t="s">
        <v>72</v>
      </c>
      <c r="Q11" s="3" t="s">
        <v>220</v>
      </c>
      <c r="R11" s="3" t="s">
        <v>74</v>
      </c>
      <c r="S11" s="38" t="s">
        <v>34</v>
      </c>
      <c r="T11" s="6" t="n">
        <v>300</v>
      </c>
      <c r="U11" s="6" t="str">
        <f aca="false">IF(S11="BC",T11," ")</f>
        <v> </v>
      </c>
      <c r="V11" s="6" t="n">
        <f aca="false">IF(S11="CR",T11," ")</f>
        <v>300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46446</v>
      </c>
      <c r="P12" s="4" t="s">
        <v>66</v>
      </c>
      <c r="Q12" s="3" t="s">
        <v>221</v>
      </c>
      <c r="R12" s="3" t="s">
        <v>68</v>
      </c>
      <c r="S12" s="38" t="s">
        <v>39</v>
      </c>
      <c r="T12" s="6" t="n">
        <v>5652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n">
        <f aca="false">IF(S12="W",T12," ")</f>
        <v>5652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of  &amp;N&amp;R&amp;F  &amp;A</oddFooter>
  </headerFooter>
  <colBreaks count="1" manualBreakCount="1">
    <brk id="13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Feb!A2</f>
        <v>183505.63</v>
      </c>
      <c r="B1" s="8" t="s">
        <v>0</v>
      </c>
      <c r="C1" s="9" t="n">
        <f aca="false">Feb!C2</f>
        <v>46446</v>
      </c>
      <c r="D1" s="10" t="s">
        <v>1</v>
      </c>
      <c r="E1" s="11" t="n">
        <f aca="false">F1-SUM(G1:M1)</f>
        <v>0</v>
      </c>
      <c r="F1" s="12" t="n">
        <f aca="false">SUM(F6:F200)</f>
        <v>20960</v>
      </c>
      <c r="G1" s="12" t="n">
        <f aca="false">SUM(G6:G200)</f>
        <v>0</v>
      </c>
      <c r="H1" s="12" t="n">
        <f aca="false">SUM(H6:H200)</f>
        <v>20960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23250.2</v>
      </c>
      <c r="U1" s="12" t="n">
        <f aca="false">SUM(U6:U200)</f>
        <v>0</v>
      </c>
      <c r="V1" s="12" t="n">
        <f aca="false">SUM(V6:V200)</f>
        <v>3800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125</v>
      </c>
      <c r="Z1" s="12" t="n">
        <f aca="false">SUM(Z6:Z200)</f>
        <v>0</v>
      </c>
      <c r="AA1" s="12" t="n">
        <f aca="false">SUM(AA6:AA200)</f>
        <v>1673.2</v>
      </c>
      <c r="AB1" s="12" t="n">
        <f aca="false">SUM(AB6:AB200)</f>
        <v>7000</v>
      </c>
      <c r="AC1" s="12" t="n">
        <f aca="false">SUM(AC6:AC200)</f>
        <v>5000</v>
      </c>
    </row>
    <row r="2" customFormat="false" ht="15" hidden="false" customHeight="true" outlineLevel="0" collapsed="false">
      <c r="A2" s="17" t="n">
        <f aca="false">A1+F1-T1</f>
        <v>181215.43</v>
      </c>
      <c r="B2" s="18" t="s">
        <v>2</v>
      </c>
      <c r="C2" s="9" t="n">
        <f aca="false">[1]Admin!$B$17</f>
        <v>46482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46482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customFormat="false" ht="19.5" hidden="false" customHeight="true" outlineLevel="0" collapsed="false">
      <c r="A4" s="28" t="n">
        <f aca="false">A2-A3</f>
        <v>181215.43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32"/>
      <c r="BM4" s="32"/>
      <c r="BN4" s="32"/>
      <c r="BO4" s="32"/>
      <c r="BP4" s="32"/>
      <c r="BQ4" s="32"/>
      <c r="BR4" s="32"/>
      <c r="BS4" s="32"/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2"/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2"/>
      <c r="DV4" s="32"/>
      <c r="DW4" s="32"/>
      <c r="DX4" s="32"/>
      <c r="DY4" s="32"/>
      <c r="DZ4" s="32"/>
      <c r="EA4" s="32"/>
      <c r="EB4" s="32"/>
      <c r="EC4" s="32"/>
      <c r="ED4" s="32"/>
      <c r="EE4" s="32"/>
      <c r="EF4" s="32"/>
      <c r="EG4" s="32"/>
      <c r="EH4" s="32"/>
      <c r="EI4" s="32"/>
      <c r="EJ4" s="32"/>
      <c r="EK4" s="32"/>
      <c r="EL4" s="32"/>
      <c r="EM4" s="32"/>
      <c r="EN4" s="32"/>
      <c r="EO4" s="32"/>
      <c r="EP4" s="32"/>
      <c r="EQ4" s="32"/>
      <c r="ER4" s="32"/>
      <c r="ES4" s="32"/>
      <c r="ET4" s="32"/>
      <c r="EU4" s="32"/>
      <c r="EV4" s="32"/>
      <c r="EW4" s="32"/>
      <c r="EX4" s="32"/>
      <c r="EY4" s="32"/>
      <c r="EZ4" s="32"/>
      <c r="FA4" s="32"/>
      <c r="FB4" s="32"/>
      <c r="FC4" s="32"/>
      <c r="FD4" s="32"/>
      <c r="FE4" s="32"/>
      <c r="FF4" s="32"/>
      <c r="FG4" s="32"/>
      <c r="FH4" s="32"/>
      <c r="FI4" s="32"/>
      <c r="FJ4" s="32"/>
      <c r="FK4" s="32"/>
      <c r="FL4" s="32"/>
      <c r="FM4" s="32"/>
      <c r="FN4" s="32"/>
      <c r="FO4" s="32"/>
      <c r="FP4" s="32"/>
      <c r="FQ4" s="32"/>
      <c r="FR4" s="32"/>
      <c r="FS4" s="32"/>
      <c r="FT4" s="32"/>
      <c r="FU4" s="32"/>
      <c r="FV4" s="32"/>
      <c r="FW4" s="32"/>
      <c r="FX4" s="32"/>
      <c r="FY4" s="32"/>
      <c r="FZ4" s="32"/>
      <c r="GA4" s="32"/>
      <c r="GB4" s="32"/>
      <c r="GC4" s="32"/>
      <c r="GD4" s="32"/>
      <c r="GE4" s="32"/>
      <c r="GF4" s="32"/>
      <c r="GG4" s="32"/>
      <c r="GH4" s="32"/>
      <c r="GI4" s="32"/>
      <c r="GJ4" s="32"/>
      <c r="GK4" s="32"/>
      <c r="GL4" s="32"/>
      <c r="GM4" s="32"/>
      <c r="GN4" s="32"/>
      <c r="GO4" s="32"/>
      <c r="GP4" s="32"/>
      <c r="GQ4" s="32"/>
      <c r="GR4" s="32"/>
      <c r="GS4" s="32"/>
      <c r="GT4" s="32"/>
      <c r="GU4" s="32"/>
      <c r="GV4" s="32"/>
      <c r="GW4" s="32"/>
      <c r="GX4" s="32"/>
      <c r="GY4" s="32"/>
      <c r="GZ4" s="32"/>
      <c r="HA4" s="32"/>
      <c r="HB4" s="32"/>
      <c r="HC4" s="32"/>
      <c r="HD4" s="32"/>
      <c r="HE4" s="32"/>
      <c r="HF4" s="32"/>
      <c r="HG4" s="32"/>
      <c r="HH4" s="32"/>
      <c r="HI4" s="32"/>
      <c r="HJ4" s="32"/>
      <c r="HK4" s="32"/>
      <c r="HL4" s="32"/>
      <c r="HM4" s="32"/>
      <c r="HN4" s="32"/>
      <c r="HO4" s="32"/>
      <c r="HP4" s="32"/>
      <c r="HQ4" s="32"/>
      <c r="HR4" s="32"/>
      <c r="HS4" s="32"/>
      <c r="HT4" s="32"/>
      <c r="HU4" s="32"/>
      <c r="HV4" s="32"/>
      <c r="HW4" s="32"/>
      <c r="HX4" s="32"/>
      <c r="HY4" s="32"/>
      <c r="HZ4" s="32"/>
      <c r="IA4" s="32"/>
      <c r="IB4" s="32"/>
      <c r="IC4" s="32"/>
      <c r="ID4" s="32"/>
      <c r="IE4" s="32"/>
      <c r="IF4" s="32"/>
      <c r="IG4" s="32"/>
      <c r="IH4" s="32"/>
      <c r="II4" s="32"/>
      <c r="IJ4" s="32"/>
      <c r="IK4" s="32"/>
      <c r="IL4" s="32"/>
      <c r="IM4" s="32"/>
      <c r="IN4" s="32"/>
      <c r="IO4" s="32"/>
      <c r="IP4" s="32"/>
      <c r="IQ4" s="32"/>
      <c r="IR4" s="32"/>
      <c r="IS4" s="32"/>
      <c r="IT4" s="32"/>
      <c r="IU4" s="32"/>
      <c r="IV4" s="32"/>
      <c r="IW4" s="32"/>
    </row>
    <row r="5" customFormat="fals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2"/>
      <c r="BL5" s="32"/>
      <c r="BM5" s="32"/>
      <c r="BN5" s="32"/>
      <c r="BO5" s="32"/>
      <c r="BP5" s="32"/>
      <c r="BQ5" s="32"/>
      <c r="BR5" s="32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2"/>
      <c r="DV5" s="32"/>
      <c r="DW5" s="32"/>
      <c r="DX5" s="32"/>
      <c r="DY5" s="32"/>
      <c r="DZ5" s="32"/>
      <c r="EA5" s="32"/>
      <c r="EB5" s="32"/>
      <c r="EC5" s="32"/>
      <c r="ED5" s="32"/>
      <c r="EE5" s="32"/>
      <c r="EF5" s="32"/>
      <c r="EG5" s="32"/>
      <c r="EH5" s="32"/>
      <c r="EI5" s="32"/>
      <c r="EJ5" s="32"/>
      <c r="EK5" s="32"/>
      <c r="EL5" s="32"/>
      <c r="EM5" s="32"/>
      <c r="EN5" s="32"/>
      <c r="EO5" s="32"/>
      <c r="EP5" s="32"/>
      <c r="EQ5" s="32"/>
      <c r="ER5" s="32"/>
      <c r="ES5" s="32"/>
      <c r="ET5" s="32"/>
      <c r="EU5" s="32"/>
      <c r="EV5" s="32"/>
      <c r="EW5" s="32"/>
      <c r="EX5" s="32"/>
      <c r="EY5" s="32"/>
      <c r="EZ5" s="32"/>
      <c r="FA5" s="32"/>
      <c r="FB5" s="32"/>
      <c r="FC5" s="32"/>
      <c r="FD5" s="32"/>
      <c r="FE5" s="32"/>
      <c r="FF5" s="32"/>
      <c r="FG5" s="32"/>
      <c r="FH5" s="32"/>
      <c r="FI5" s="32"/>
      <c r="FJ5" s="32"/>
      <c r="FK5" s="32"/>
      <c r="FL5" s="32"/>
      <c r="FM5" s="32"/>
      <c r="FN5" s="32"/>
      <c r="FO5" s="32"/>
      <c r="FP5" s="32"/>
      <c r="FQ5" s="32"/>
      <c r="FR5" s="32"/>
      <c r="FS5" s="32"/>
      <c r="FT5" s="32"/>
      <c r="FU5" s="32"/>
      <c r="FV5" s="32"/>
      <c r="FW5" s="32"/>
      <c r="FX5" s="32"/>
      <c r="FY5" s="32"/>
      <c r="FZ5" s="32"/>
      <c r="GA5" s="32"/>
      <c r="GB5" s="32"/>
      <c r="GC5" s="32"/>
      <c r="GD5" s="32"/>
      <c r="GE5" s="32"/>
      <c r="GF5" s="32"/>
      <c r="GG5" s="32"/>
      <c r="GH5" s="32"/>
      <c r="GI5" s="32"/>
      <c r="GJ5" s="32"/>
      <c r="GK5" s="32"/>
      <c r="GL5" s="32"/>
      <c r="GM5" s="32"/>
      <c r="GN5" s="32"/>
      <c r="GO5" s="32"/>
      <c r="GP5" s="32"/>
      <c r="GQ5" s="32"/>
      <c r="GR5" s="32"/>
      <c r="GS5" s="32"/>
      <c r="GT5" s="32"/>
      <c r="GU5" s="32"/>
      <c r="GV5" s="32"/>
      <c r="GW5" s="32"/>
      <c r="GX5" s="32"/>
      <c r="GY5" s="32"/>
      <c r="GZ5" s="32"/>
      <c r="HA5" s="32"/>
      <c r="HB5" s="32"/>
      <c r="HC5" s="32"/>
      <c r="HD5" s="32"/>
      <c r="HE5" s="32"/>
      <c r="HF5" s="32"/>
      <c r="HG5" s="32"/>
      <c r="HH5" s="32"/>
      <c r="HI5" s="32"/>
      <c r="HJ5" s="32"/>
      <c r="HK5" s="32"/>
      <c r="HL5" s="32"/>
      <c r="HM5" s="32"/>
      <c r="HN5" s="32"/>
      <c r="HO5" s="32"/>
      <c r="HP5" s="32"/>
      <c r="HQ5" s="32"/>
      <c r="HR5" s="32"/>
      <c r="HS5" s="32"/>
      <c r="HT5" s="32"/>
      <c r="HU5" s="32"/>
      <c r="HV5" s="32"/>
      <c r="HW5" s="32"/>
      <c r="HX5" s="32"/>
      <c r="HY5" s="32"/>
      <c r="HZ5" s="32"/>
      <c r="IA5" s="32"/>
      <c r="IB5" s="32"/>
      <c r="IC5" s="32"/>
      <c r="ID5" s="32"/>
      <c r="IE5" s="32"/>
      <c r="IF5" s="32"/>
      <c r="IG5" s="32"/>
      <c r="IH5" s="32"/>
      <c r="II5" s="32"/>
      <c r="IJ5" s="32"/>
      <c r="IK5" s="32"/>
      <c r="IL5" s="32"/>
      <c r="IM5" s="32"/>
      <c r="IN5" s="32"/>
      <c r="IO5" s="32"/>
      <c r="IP5" s="32"/>
      <c r="IQ5" s="32"/>
      <c r="IR5" s="32"/>
      <c r="IS5" s="32"/>
      <c r="IT5" s="32"/>
      <c r="IU5" s="32"/>
      <c r="IV5" s="32"/>
      <c r="IW5" s="32"/>
    </row>
    <row r="6" customFormat="false" ht="12.75" hidden="false" customHeight="false" outlineLevel="0" collapsed="false">
      <c r="A6" s="1" t="n">
        <v>46466</v>
      </c>
      <c r="B6" s="2" t="s">
        <v>43</v>
      </c>
      <c r="C6" s="3" t="s">
        <v>222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46447</v>
      </c>
      <c r="P6" s="4" t="s">
        <v>46</v>
      </c>
      <c r="Q6" s="3" t="s">
        <v>223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46471</v>
      </c>
      <c r="B7" s="2" t="s">
        <v>59</v>
      </c>
      <c r="C7" s="3" t="s">
        <v>224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46447</v>
      </c>
      <c r="P7" s="4" t="s">
        <v>51</v>
      </c>
      <c r="Q7" s="3" t="s">
        <v>225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46474</v>
      </c>
      <c r="B8" s="2" t="s">
        <v>69</v>
      </c>
      <c r="C8" s="3" t="s">
        <v>226</v>
      </c>
      <c r="D8" s="4" t="s">
        <v>71</v>
      </c>
      <c r="E8" s="5" t="s">
        <v>33</v>
      </c>
      <c r="F8" s="6" t="n">
        <v>10560</v>
      </c>
      <c r="G8" s="6" t="str">
        <f aca="false">IF(E8="BC",F8," ")</f>
        <v> </v>
      </c>
      <c r="H8" s="6" t="n">
        <f aca="false">IF(E8="DR",F8," ")</f>
        <v>10560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46451</v>
      </c>
      <c r="P8" s="4" t="s">
        <v>56</v>
      </c>
      <c r="Q8" s="3" t="s">
        <v>227</v>
      </c>
      <c r="R8" s="3" t="s">
        <v>58</v>
      </c>
      <c r="S8" s="38" t="s">
        <v>34</v>
      </c>
      <c r="T8" s="6" t="n">
        <v>2300</v>
      </c>
      <c r="U8" s="6" t="str">
        <f aca="false">IF(S8="BC",T8," ")</f>
        <v> </v>
      </c>
      <c r="V8" s="6" t="n">
        <f aca="false">IF(S8="CR",T8," ")</f>
        <v>2300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46461</v>
      </c>
      <c r="P9" s="4" t="s">
        <v>228</v>
      </c>
      <c r="Q9" s="3" t="s">
        <v>229</v>
      </c>
      <c r="R9" s="3" t="s">
        <v>230</v>
      </c>
      <c r="S9" s="38" t="s">
        <v>38</v>
      </c>
      <c r="T9" s="6" t="n">
        <v>5000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n">
        <f aca="false">IF(S9="X",T9," ")</f>
        <v>5000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46465</v>
      </c>
      <c r="P10" s="4" t="s">
        <v>61</v>
      </c>
      <c r="Q10" s="3" t="s">
        <v>231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46474</v>
      </c>
      <c r="P11" s="4" t="s">
        <v>66</v>
      </c>
      <c r="Q11" s="3" t="s">
        <v>232</v>
      </c>
      <c r="R11" s="3" t="s">
        <v>68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46477</v>
      </c>
      <c r="P12" s="4" t="s">
        <v>103</v>
      </c>
      <c r="Q12" s="3" t="s">
        <v>233</v>
      </c>
      <c r="R12" s="3" t="s">
        <v>105</v>
      </c>
      <c r="S12" s="38" t="s">
        <v>40</v>
      </c>
      <c r="T12" s="6" t="n">
        <v>125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n">
        <f aca="false">IF(S12="B",T12," ")</f>
        <v>125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46477</v>
      </c>
      <c r="P13" s="4" t="s">
        <v>72</v>
      </c>
      <c r="Q13" s="3" t="s">
        <v>234</v>
      </c>
      <c r="R13" s="3" t="s">
        <v>74</v>
      </c>
      <c r="S13" s="38" t="s">
        <v>34</v>
      </c>
      <c r="T13" s="6" t="n">
        <v>300</v>
      </c>
      <c r="U13" s="6" t="str">
        <f aca="false">IF(S13="BC",T13," ")</f>
        <v> </v>
      </c>
      <c r="V13" s="6" t="n">
        <f aca="false">IF(S13="CR",T13," ")</f>
        <v>300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46477</v>
      </c>
      <c r="P14" s="4" t="s">
        <v>118</v>
      </c>
      <c r="Q14" s="3" t="s">
        <v>235</v>
      </c>
      <c r="R14" s="3" t="s">
        <v>120</v>
      </c>
      <c r="S14" s="38" t="s">
        <v>37</v>
      </c>
      <c r="T14" s="6" t="n">
        <v>6000</v>
      </c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n">
        <f aca="false">IF(S14="DL",T14," ")</f>
        <v>6000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DIY Accounting Limited</dc:creator>
  <dc:description>Copyright (C) 2006-2026 DIY Accounting Limited. Licensed under the PolyForm Internal Use License 1.0.0 with an additional grant for accountants.</dc:description>
  <dc:language>en-GB</dc:language>
  <cp:lastModifiedBy>DIY Accounting Limited</cp:lastModifiedBy>
  <cp:lastPrinted>2007-03-03T16:28:32Z</cp:lastPrinted>
  <dcterms:modified xsi:type="dcterms:W3CDTF">2025-04-03T22:50:29Z</dcterms:modified>
  <cp:revision>0</cp:revision>
  <dc:subject/>
  <dc:title>Self employed bank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