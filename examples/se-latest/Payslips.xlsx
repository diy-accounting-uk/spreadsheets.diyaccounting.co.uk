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<sst xmlns="http://schemas.openxmlformats.org/spreadsheetml/2006/main" count="1507" uniqueCount="189">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</sst>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 t="n">
        <v>46118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 t="n">
        <v>46118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 t="n">
        <v>46118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46118</v>
      </c>
      <c r="L9" s="149" t="s">
        <v>85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46125</v>
      </c>
      <c r="L19" s="149" t="s">
        <v>85</v>
      </c>
      <c r="M19" s="150" t="n">
        <f aca="false">K19+6</f>
        <v>46131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46132</v>
      </c>
      <c r="L29" s="149" t="s">
        <v>85</v>
      </c>
      <c r="M29" s="150" t="n">
        <f aca="false">K29+6</f>
        <v>46138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46139</v>
      </c>
      <c r="L39" s="149" t="s">
        <v>85</v>
      </c>
      <c r="M39" s="150" t="n">
        <f aca="false">K39+6</f>
        <v>46145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Admin!B2</f>
        <v>46118</v>
      </c>
      <c r="L49" s="149" t="s">
        <v>85</v>
      </c>
      <c r="M49" s="150" t="n">
        <v>45777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94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97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99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Apr!M39+1</f>
        <v>46146</v>
      </c>
      <c r="L9" s="149" t="s">
        <v>85</v>
      </c>
      <c r="M9" s="150" t="n">
        <f aca="false">K9+6</f>
        <v>46152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46153</v>
      </c>
      <c r="L19" s="149" t="s">
        <v>85</v>
      </c>
      <c r="M19" s="150" t="n">
        <f aca="false">K19+6</f>
        <v>46159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46160</v>
      </c>
      <c r="L29" s="149" t="s">
        <v>85</v>
      </c>
      <c r="M29" s="150" t="n">
        <f aca="false">K29+6</f>
        <v>46166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46167</v>
      </c>
      <c r="L39" s="149" t="s">
        <v>85</v>
      </c>
      <c r="M39" s="150" t="n">
        <f aca="false">K39+6</f>
        <v>46173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Admin!B27</f>
        <v>46143</v>
      </c>
      <c r="L49" s="149" t="s">
        <v>85</v>
      </c>
      <c r="M49" s="150" t="n">
        <v>45808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105</v>
      </c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106</v>
      </c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107</v>
      </c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May!M39+1</f>
        <v>46174</v>
      </c>
      <c r="L9" s="149" t="s">
        <v>85</v>
      </c>
      <c r="M9" s="150" t="n">
        <f aca="false">K9+6</f>
        <v>46180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46181</v>
      </c>
      <c r="L19" s="149" t="s">
        <v>85</v>
      </c>
      <c r="M19" s="150" t="n">
        <f aca="false">K19+6</f>
        <v>46187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46188</v>
      </c>
      <c r="L29" s="149" t="s">
        <v>85</v>
      </c>
      <c r="M29" s="150" t="n">
        <f aca="false">K29+6</f>
        <v>46194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46195</v>
      </c>
      <c r="L39" s="149" t="s">
        <v>85</v>
      </c>
      <c r="M39" s="150" t="n">
        <f aca="false">K39+6</f>
        <v>46201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46202</v>
      </c>
      <c r="L49" s="149" t="s">
        <v>85</v>
      </c>
      <c r="M49" s="150" t="n">
        <f aca="false">K49+6</f>
        <v>46208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Admin!B58</f>
        <v>46174</v>
      </c>
      <c r="L59" s="149" t="s">
        <v>85</v>
      </c>
      <c r="M59" s="150" t="n">
        <v>45838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108</v>
      </c>
      <c r="T61" s="170" t="n">
        <v>382.5</v>
      </c>
      <c r="U61" s="171"/>
      <c r="V61" s="172" t="n">
        <f aca="false">IF(Employee!H$35=E$59,Employee!D$34+SUM(M61)+May!V51,SUM(M61)+May!V51)</f>
        <v>10500</v>
      </c>
      <c r="W61" s="172" t="n">
        <f aca="false">IF(Employee!H$35=E$59,Employee!D$35+SUM(N61)+May!W51,SUM(N61)+May!W51)</f>
        <v>1590</v>
      </c>
      <c r="X61" s="172" t="n">
        <f aca="false">IF(O61=" ",May!X51,O61+May!X51)</f>
        <v>600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8310</v>
      </c>
      <c r="AC61" s="172" t="n">
        <f aca="false">IF(T61=" ",May!AC51,T61+May!AC51)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109</v>
      </c>
      <c r="T62" s="180" t="n">
        <v>187.5</v>
      </c>
      <c r="U62" s="171"/>
      <c r="V62" s="172" t="n">
        <f aca="false">IF(Employee!H$61=E$59,Employee!D$60+SUM(M62)+May!V52,SUM(M62)+May!V52)</f>
        <v>6600</v>
      </c>
      <c r="W62" s="172" t="n">
        <f aca="false">IF(Employee!H$61=E$59,Employee!D$61+SUM(N62)+May!W52,SUM(N62)+May!W52)</f>
        <v>810</v>
      </c>
      <c r="X62" s="172" t="n">
        <f aca="false">IF(O62=" ",May!X52,O62+May!X52)</f>
        <v>288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5502</v>
      </c>
      <c r="AC62" s="172" t="n">
        <f aca="false">IF(T62=" ",May!AC52,T62+May!AC52)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110</v>
      </c>
      <c r="T63" s="180" t="n">
        <v>7.2</v>
      </c>
      <c r="U63" s="171"/>
      <c r="V63" s="172" t="n">
        <f aca="false">IF(Employee!H$87=E$59,Employee!D$86+SUM(M63)+May!V53,SUM(M63)+May!V53)</f>
        <v>3144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3144</v>
      </c>
      <c r="AC63" s="172" t="n">
        <f aca="false">IF(T63=" ",May!AC53,T63+May!AC53)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46207</v>
      </c>
      <c r="L9" s="149" t="s">
        <v>85</v>
      </c>
      <c r="M9" s="150" t="n">
        <f aca="false">K9+6</f>
        <v>46213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46214</v>
      </c>
      <c r="L19" s="149" t="s">
        <v>85</v>
      </c>
      <c r="M19" s="150" t="n">
        <f aca="false">K19+6</f>
        <v>46220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46221</v>
      </c>
      <c r="L29" s="149" t="s">
        <v>85</v>
      </c>
      <c r="M29" s="150" t="n">
        <f aca="false">K29+6</f>
        <v>46227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46228</v>
      </c>
      <c r="L39" s="149" t="s">
        <v>85</v>
      </c>
      <c r="M39" s="150" t="n">
        <f aca="false">K39+6</f>
        <v>46234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Admin!B88</f>
        <v>46204</v>
      </c>
      <c r="L49" s="149" t="s">
        <v>85</v>
      </c>
      <c r="M49" s="150" t="n">
        <v>45869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111</v>
      </c>
      <c r="T51" s="170" t="n">
        <v>382.5</v>
      </c>
      <c r="U51" s="171"/>
      <c r="V51" s="172" t="n">
        <f aca="false">IF(Employee!H$35=E$49,Employee!D$34+SUM(M51)+Jun!V61,SUM(M51)+Jun!V61)</f>
        <v>14000</v>
      </c>
      <c r="W51" s="172" t="n">
        <f aca="false">IF(Employee!H$35=E$49,Employee!D$35+SUM(N51)+Jun!W61,SUM(N51)+Jun!W61)</f>
        <v>2120</v>
      </c>
      <c r="X51" s="172" t="n">
        <f aca="false">IF(O51=" ",Jun!X61,O51+Jun!X61)</f>
        <v>800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11080</v>
      </c>
      <c r="AC51" s="172" t="n">
        <f aca="false">IF(T51=" ",Jun!AC61,T51+Jun!AC61)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112</v>
      </c>
      <c r="T52" s="180" t="n">
        <v>187.5</v>
      </c>
      <c r="U52" s="171"/>
      <c r="V52" s="172" t="n">
        <f aca="false">IF(Employee!H$61=E$49,Employee!D$60+SUM(M52)+Jun!V62,SUM(M52)+Jun!V62)</f>
        <v>8800</v>
      </c>
      <c r="W52" s="172" t="n">
        <f aca="false">IF(Employee!H$61=E$49,Employee!D$61+SUM(N52)+Jun!W62,SUM(N52)+Jun!W62)</f>
        <v>1080</v>
      </c>
      <c r="X52" s="172" t="n">
        <f aca="false">IF(O52=" ",Jun!X62,O52+Jun!X62)</f>
        <v>384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7336</v>
      </c>
      <c r="AC52" s="172" t="n">
        <f aca="false">IF(T52=" ",Jun!AC62,T52+Jun!AC62)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113</v>
      </c>
      <c r="T53" s="180" t="n">
        <v>7.2</v>
      </c>
      <c r="U53" s="171"/>
      <c r="V53" s="172" t="n">
        <f aca="false">IF(Employee!H$87=E$49,Employee!D$86+SUM(M53)+Jun!V63,SUM(M53)+Jun!V63)</f>
        <v>4192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4192</v>
      </c>
      <c r="AC53" s="172" t="n">
        <f aca="false">IF(T53=" ",Jun!AC63,T53+Jun!AC63)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46235</v>
      </c>
      <c r="L9" s="149" t="s">
        <v>85</v>
      </c>
      <c r="M9" s="150" t="n">
        <f aca="false">K9+6</f>
        <v>46241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n">
        <f aca="false">IF(T11=" ",Jul!AC41,T11+Jul!AC41)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IF(T$9="Y",Jul!H41,0)</f>
        <v>0</v>
      </c>
      <c r="I12" s="177" t="n">
        <f aca="false">IF(T$9="Y",Jul!I41,0)</f>
        <v>0</v>
      </c>
      <c r="J12" s="177" t="n">
        <f aca="false">IF(T$9="Y",Jul!J41,0)</f>
        <v>0</v>
      </c>
      <c r="K12" s="177" t="n">
        <f aca="false">IF(T$9="Y",Jul!K41,I12*J12)</f>
        <v>0</v>
      </c>
      <c r="L12" s="179" t="n">
        <f aca="false">IF(T$9="Y",Jul!L41,0)</f>
        <v>0</v>
      </c>
      <c r="M12" s="179" t="str">
        <f aca="false">IF(E12=" "," ",IF(T$9="Y",Jul!M41,IF((H12+K12+L12)&gt;0,H12+K12+L12,"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IF(T$9="Y",Jul!H41,0)</f>
        <v>0</v>
      </c>
      <c r="I13" s="177" t="n">
        <f aca="false">IF(T$9="Y",Jul!I41,0)</f>
        <v>0</v>
      </c>
      <c r="J13" s="177" t="n">
        <f aca="false">IF(T$9="Y",Jul!J41,0)</f>
        <v>0</v>
      </c>
      <c r="K13" s="177" t="n">
        <f aca="false">IF(T$9="Y",Jul!K41,I13*J13)</f>
        <v>0</v>
      </c>
      <c r="L13" s="179" t="n">
        <f aca="false">IF(T$9="Y",Jul!L41,0)</f>
        <v>0</v>
      </c>
      <c r="M13" s="179" t="str">
        <f aca="false">IF(E13=" "," ",IF(T$9="Y",Jul!M41,IF((H13+K13+L13)&gt;0,H13+K13+L13,"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IF(T$9="Y",Jul!H41,0)</f>
        <v>0</v>
      </c>
      <c r="I14" s="177" t="n">
        <f aca="false">IF(T$9="Y",Jul!I41,0)</f>
        <v>0</v>
      </c>
      <c r="J14" s="177" t="n">
        <f aca="false">IF(T$9="Y",Jul!J41,0)</f>
        <v>0</v>
      </c>
      <c r="K14" s="177" t="n">
        <f aca="false">IF(T$9="Y",Jul!K41,I14*J14)</f>
        <v>0</v>
      </c>
      <c r="L14" s="179" t="n">
        <f aca="false">IF(T$9="Y",Jul!L41,0)</f>
        <v>0</v>
      </c>
      <c r="M14" s="179" t="str">
        <f aca="false">IF(E14=" "," ",IF(T$9="Y",Jul!M41,IF((H14+K14+L14)&gt;0,H14+K14+L14,"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IF(T$9="Y",Jul!H41,0)</f>
        <v>0</v>
      </c>
      <c r="I15" s="182" t="n">
        <f aca="false">IF(T$9="Y",Jul!I41,0)</f>
        <v>0</v>
      </c>
      <c r="J15" s="182" t="n">
        <f aca="false">IF(T$9="Y",Jul!J41,0)</f>
        <v>0</v>
      </c>
      <c r="K15" s="182" t="n">
        <f aca="false">IF(T$9="Y",Jul!K41,I15*J15)</f>
        <v>0</v>
      </c>
      <c r="L15" s="183" t="n">
        <f aca="false">IF(T$9="Y",Jul!L41,0)</f>
        <v>0</v>
      </c>
      <c r="M15" s="183" t="str">
        <f aca="false">IF(E15=" "," ",IF(T$9="Y",Jul!M41,IF((H15+K15+L15)&gt;0,H15+K15+L15,"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46242</v>
      </c>
      <c r="L19" s="149" t="s">
        <v>85</v>
      </c>
      <c r="M19" s="150" t="n">
        <f aca="false">K19+6</f>
        <v>46248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46249</v>
      </c>
      <c r="L29" s="149" t="s">
        <v>85</v>
      </c>
      <c r="M29" s="150" t="n">
        <f aca="false">K29+6</f>
        <v>46255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46256</v>
      </c>
      <c r="L39" s="149" t="s">
        <v>85</v>
      </c>
      <c r="M39" s="150" t="n">
        <f aca="false">K39+6</f>
        <v>46262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Admin!B119</f>
        <v>46235</v>
      </c>
      <c r="L49" s="149" t="s">
        <v>85</v>
      </c>
      <c r="M49" s="150" t="n">
        <v>45900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114</v>
      </c>
      <c r="T51" s="170" t="n">
        <v>382.5</v>
      </c>
      <c r="U51" s="171"/>
      <c r="V51" s="172" t="n">
        <f aca="false">IF(Employee!H$35=E$49,Employee!D$34+SUM(M51)+Jul!V51,SUM(M51)+Jul!V51)</f>
        <v>17500</v>
      </c>
      <c r="W51" s="172" t="n">
        <f aca="false">IF(Employee!H$35=E$49,Employee!D$35+SUM(N51)+Jul!W51,SUM(N51)+Jul!W51)</f>
        <v>2650</v>
      </c>
      <c r="X51" s="172" t="n">
        <f aca="false">IF(O51=" ",Jul!X51,O51+Jul!X51)</f>
        <v>1000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13850</v>
      </c>
      <c r="AC51" s="172" t="n">
        <f aca="false">IF(T51=" ",Jul!AC51,T51+Jul!AC51)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115</v>
      </c>
      <c r="T52" s="180" t="n">
        <v>187.5</v>
      </c>
      <c r="U52" s="171"/>
      <c r="V52" s="172" t="n">
        <f aca="false">IF(Employee!H$61=E$49,Employee!D$60+SUM(M52)+Jul!V52,SUM(M52)+Jul!V52)</f>
        <v>11000</v>
      </c>
      <c r="W52" s="172" t="n">
        <f aca="false">IF(Employee!H$61=E$49,Employee!D$61+SUM(N52)+Jul!W52,SUM(N52)+Jul!W52)</f>
        <v>1350</v>
      </c>
      <c r="X52" s="172" t="n">
        <f aca="false">IF(O52=" ",Jul!X52,O52+Jul!X52)</f>
        <v>480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9170</v>
      </c>
      <c r="AC52" s="172" t="n">
        <f aca="false">IF(T52=" ",Jul!AC52,T52+Jul!AC52)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116</v>
      </c>
      <c r="T53" s="180" t="n">
        <v>7.2</v>
      </c>
      <c r="U53" s="171"/>
      <c r="V53" s="172" t="n">
        <f aca="false">IF(Employee!H$87=E$49,Employee!D$86+SUM(M53)+Jul!V53,SUM(M53)+Jul!V53)</f>
        <v>5240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5240</v>
      </c>
      <c r="AC53" s="172" t="n">
        <f aca="false">IF(T53=" ",Jul!AC53,T53+Jul!AC53)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Aug!M39+1</f>
        <v>46263</v>
      </c>
      <c r="L9" s="149" t="s">
        <v>85</v>
      </c>
      <c r="M9" s="150" t="n">
        <f aca="false">K9+6</f>
        <v>46269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46270</v>
      </c>
      <c r="L19" s="149" t="s">
        <v>85</v>
      </c>
      <c r="M19" s="150" t="n">
        <f aca="false">K19+6</f>
        <v>46276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46277</v>
      </c>
      <c r="L29" s="149" t="s">
        <v>85</v>
      </c>
      <c r="M29" s="150" t="n">
        <f aca="false">K29+6</f>
        <v>46283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46284</v>
      </c>
      <c r="L39" s="149" t="s">
        <v>85</v>
      </c>
      <c r="M39" s="150" t="n">
        <f aca="false">K39+6</f>
        <v>46290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46291</v>
      </c>
      <c r="L49" s="149" t="s">
        <v>85</v>
      </c>
      <c r="M49" s="150" t="n">
        <f aca="false">K49+6</f>
        <v>46297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Admin!B150</f>
        <v>46266</v>
      </c>
      <c r="L59" s="149" t="s">
        <v>85</v>
      </c>
      <c r="M59" s="150" t="n">
        <v>45930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117</v>
      </c>
      <c r="T61" s="170" t="n">
        <v>382.5</v>
      </c>
      <c r="U61" s="171"/>
      <c r="V61" s="172" t="n">
        <f aca="false">IF(Employee!H$35=E$59,Employee!D$34+SUM(M61)+Aug!V51,SUM(M61)+Aug!V51)</f>
        <v>21000</v>
      </c>
      <c r="W61" s="172" t="n">
        <f aca="false">IF(Employee!H$35=E$59,Employee!D$35+SUM(N61)+Aug!W51,SUM(N61)+Aug!W51)</f>
        <v>3180</v>
      </c>
      <c r="X61" s="172" t="n">
        <f aca="false">IF(O61=" ",Aug!X51,O61+Aug!X51)</f>
        <v>1200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16620</v>
      </c>
      <c r="AC61" s="172" t="n">
        <f aca="false">IF(T61=" ",Aug!AC51,T61+Aug!AC51)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118</v>
      </c>
      <c r="T62" s="180" t="n">
        <v>187.5</v>
      </c>
      <c r="U62" s="171"/>
      <c r="V62" s="172" t="n">
        <f aca="false">IF(Employee!H$61=E$59,Employee!D$60+SUM(M62)+Aug!V52,SUM(M62)+Aug!V52)</f>
        <v>13200</v>
      </c>
      <c r="W62" s="172" t="n">
        <f aca="false">IF(Employee!H$61=E$59,Employee!D$61+SUM(N62)+Aug!W52,SUM(N62)+Aug!W52)</f>
        <v>1620</v>
      </c>
      <c r="X62" s="172" t="n">
        <f aca="false">IF(O62=" ",Aug!X52,O62+Aug!X52)</f>
        <v>576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11004</v>
      </c>
      <c r="AC62" s="172" t="n">
        <f aca="false">IF(T62=" ",Aug!AC52,T62+Aug!AC52)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119</v>
      </c>
      <c r="T63" s="180" t="n">
        <v>7.2</v>
      </c>
      <c r="U63" s="171"/>
      <c r="V63" s="172" t="n">
        <f aca="false">IF(Employee!H$87=E$59,Employee!D$86+SUM(M63)+Aug!V53,SUM(M63)+Aug!V53)</f>
        <v>6288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6288</v>
      </c>
      <c r="AC63" s="172" t="n">
        <f aca="false">IF(T63=" ",Aug!AC53,T63+Aug!AC53)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46298</v>
      </c>
      <c r="L9" s="149" t="s">
        <v>85</v>
      </c>
      <c r="M9" s="150" t="n">
        <f aca="false">Admin!B188</f>
        <v>46304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n">
        <f aca="false">IF(T11=" ",Sep!AC51,T11+Sep!AC51)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46305</v>
      </c>
      <c r="L19" s="149" t="s">
        <v>85</v>
      </c>
      <c r="M19" s="150" t="n">
        <f aca="false">K19+6</f>
        <v>46311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46312</v>
      </c>
      <c r="L29" s="149" t="s">
        <v>85</v>
      </c>
      <c r="M29" s="150" t="n">
        <f aca="false">K29+6</f>
        <v>46318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46319</v>
      </c>
      <c r="L39" s="149" t="s">
        <v>85</v>
      </c>
      <c r="M39" s="150" t="n">
        <f aca="false">K39+6</f>
        <v>46325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Admin!B180</f>
        <v>46296</v>
      </c>
      <c r="L49" s="149" t="s">
        <v>85</v>
      </c>
      <c r="M49" s="150" t="n">
        <v>45961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120</v>
      </c>
      <c r="T51" s="170" t="n">
        <v>382.5</v>
      </c>
      <c r="U51" s="171"/>
      <c r="V51" s="172" t="n">
        <f aca="false">IF(Employee!H$35=E$49,Employee!D$34+SUM(M51)+Sep!V61,SUM(M51)+Sep!V61)</f>
        <v>24500</v>
      </c>
      <c r="W51" s="172" t="n">
        <f aca="false">IF(Employee!H$35=E$49,Employee!D$35+SUM(N51)+Sep!W61,SUM(N51)+Sep!W61)</f>
        <v>3710</v>
      </c>
      <c r="X51" s="172" t="n">
        <f aca="false">IF(O51=" ",Sep!X61,O51+Sep!X61)</f>
        <v>1400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19390</v>
      </c>
      <c r="AC51" s="172" t="n">
        <f aca="false">IF(T51=" ",Sep!AC61,T51+Sep!AC61)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121</v>
      </c>
      <c r="T52" s="180" t="n">
        <v>187.5</v>
      </c>
      <c r="U52" s="171"/>
      <c r="V52" s="172" t="n">
        <f aca="false">IF(Employee!H$61=E$49,Employee!D$60+SUM(M52)+Sep!V62,SUM(M52)+Sep!V62)</f>
        <v>15400</v>
      </c>
      <c r="W52" s="172" t="n">
        <f aca="false">IF(Employee!H$61=E$49,Employee!D$61+SUM(N52)+Sep!W62,SUM(N52)+Sep!W62)</f>
        <v>1890</v>
      </c>
      <c r="X52" s="172" t="n">
        <f aca="false">IF(O52=" ",Sep!X62,O52+Sep!X62)</f>
        <v>672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12838</v>
      </c>
      <c r="AC52" s="172" t="n">
        <f aca="false">IF(T52=" ",Sep!AC62,T52+Sep!AC62)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122</v>
      </c>
      <c r="T53" s="180" t="n">
        <v>7.2</v>
      </c>
      <c r="U53" s="171"/>
      <c r="V53" s="172" t="n">
        <f aca="false">IF(Employee!H$87=E$49,Employee!D$86+SUM(M53)+Sep!V63,SUM(M53)+Sep!V63)</f>
        <v>7336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7336</v>
      </c>
      <c r="AC53" s="172" t="n">
        <f aca="false">IF(T53=" ",Sep!AC63,T53+Sep!AC63)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46326</v>
      </c>
      <c r="L9" s="149" t="s">
        <v>85</v>
      </c>
      <c r="M9" s="150" t="n">
        <f aca="false">K9+6</f>
        <v>46332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46333</v>
      </c>
      <c r="L19" s="149" t="s">
        <v>85</v>
      </c>
      <c r="M19" s="150" t="n">
        <f aca="false">K19+6</f>
        <v>46339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46340</v>
      </c>
      <c r="L29" s="149" t="s">
        <v>85</v>
      </c>
      <c r="M29" s="150" t="n">
        <f aca="false">K29+6</f>
        <v>46346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46347</v>
      </c>
      <c r="L39" s="149" t="s">
        <v>85</v>
      </c>
      <c r="M39" s="150" t="n">
        <f aca="false">K39+6</f>
        <v>46353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Admin!B211</f>
        <v>46327</v>
      </c>
      <c r="L49" s="149" t="s">
        <v>85</v>
      </c>
      <c r="M49" s="150" t="n">
        <v>45991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123</v>
      </c>
      <c r="T51" s="170" t="n">
        <v>382.5</v>
      </c>
      <c r="U51" s="171"/>
      <c r="V51" s="172" t="n">
        <f aca="false">IF(Employee!H$35=E$49,Employee!D$34+SUM(M51)+Oct!V51,SUM(M51)+Oct!V51)</f>
        <v>28000</v>
      </c>
      <c r="W51" s="172" t="n">
        <f aca="false">IF(Employee!H$35=E$49,Employee!D$35+SUM(N51)+Oct!W51,SUM(N51)+Oct!W51)</f>
        <v>4240</v>
      </c>
      <c r="X51" s="172" t="n">
        <f aca="false">IF(O51=" ",Oct!X51,O51+Oct!X51)</f>
        <v>1600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22160</v>
      </c>
      <c r="AC51" s="172" t="n">
        <f aca="false">IF(T51=" ",Oct!AC51,T51+Oct!AC51)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124</v>
      </c>
      <c r="T52" s="180" t="n">
        <v>187.5</v>
      </c>
      <c r="U52" s="171"/>
      <c r="V52" s="172" t="n">
        <f aca="false">IF(Employee!H$61=E$49,Employee!D$60+SUM(M52)+Oct!V52,SUM(M52)+Oct!V52)</f>
        <v>17600</v>
      </c>
      <c r="W52" s="172" t="n">
        <f aca="false">IF(Employee!H$61=E$49,Employee!D$61+SUM(N52)+Oct!W52,SUM(N52)+Oct!W52)</f>
        <v>2160</v>
      </c>
      <c r="X52" s="172" t="n">
        <f aca="false">IF(O52=" ",Oct!X52,O52+Oct!X52)</f>
        <v>768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14672</v>
      </c>
      <c r="AC52" s="172" t="n">
        <f aca="false">IF(T52=" ",Oct!AC52,T52+Oct!AC52)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125</v>
      </c>
      <c r="T53" s="180" t="n">
        <v>7.2</v>
      </c>
      <c r="U53" s="171"/>
      <c r="V53" s="172" t="n">
        <f aca="false">IF(Employee!H$87=E$49,Employee!D$86+SUM(M53)+Oct!V53,SUM(M53)+Oct!V53)</f>
        <v>8384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8384</v>
      </c>
      <c r="AC53" s="172" t="n">
        <f aca="false">IF(T53=" ",Oct!AC53,T53+Oct!AC53)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Nov!M39+1</f>
        <v>46354</v>
      </c>
      <c r="L9" s="149" t="s">
        <v>85</v>
      </c>
      <c r="M9" s="150" t="n">
        <f aca="false">K9+6</f>
        <v>46360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46361</v>
      </c>
      <c r="L19" s="149" t="s">
        <v>85</v>
      </c>
      <c r="M19" s="150" t="n">
        <f aca="false">K19+6</f>
        <v>46367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46368</v>
      </c>
      <c r="L29" s="149" t="s">
        <v>85</v>
      </c>
      <c r="M29" s="150" t="n">
        <f aca="false">K29+6</f>
        <v>46374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46375</v>
      </c>
      <c r="L39" s="149" t="s">
        <v>85</v>
      </c>
      <c r="M39" s="150" t="n">
        <f aca="false">K39+6</f>
        <v>46381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46382</v>
      </c>
      <c r="L49" s="149" t="s">
        <v>85</v>
      </c>
      <c r="M49" s="150" t="n">
        <f aca="false">K49+6</f>
        <v>46388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Admin!B241</f>
        <v>46357</v>
      </c>
      <c r="L59" s="149" t="s">
        <v>85</v>
      </c>
      <c r="M59" s="150" t="n">
        <v>46022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126</v>
      </c>
      <c r="T61" s="170" t="n">
        <v>382.5</v>
      </c>
      <c r="U61" s="171"/>
      <c r="V61" s="172" t="n">
        <f aca="false">IF(Employee!H$35=E$59,Employee!D$34+SUM(M61)+Nov!V51,SUM(M61)+Nov!V51)</f>
        <v>31500</v>
      </c>
      <c r="W61" s="172" t="n">
        <f aca="false">IF(Employee!H$35=E$59,Employee!D$35+SUM(N61)+Nov!W51,SUM(N61)+Nov!W51)</f>
        <v>4770</v>
      </c>
      <c r="X61" s="172" t="n">
        <f aca="false">IF(O61=" ",Nov!X51,O61+Nov!X51)</f>
        <v>1800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24930</v>
      </c>
      <c r="AC61" s="172" t="n">
        <f aca="false">IF(T61=" ",Nov!AC51,T61+Nov!AC51)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127</v>
      </c>
      <c r="T62" s="180" t="n">
        <v>187.5</v>
      </c>
      <c r="U62" s="171"/>
      <c r="V62" s="172" t="n">
        <f aca="false">IF(Employee!H$61=E$59,Employee!D$60+SUM(M62)+Nov!V52,SUM(M62)+Nov!V52)</f>
        <v>19800</v>
      </c>
      <c r="W62" s="172" t="n">
        <f aca="false">IF(Employee!H$61=E$59,Employee!D$61+SUM(N62)+Nov!W52,SUM(N62)+Nov!W52)</f>
        <v>2430</v>
      </c>
      <c r="X62" s="172" t="n">
        <f aca="false">IF(O62=" ",Nov!X52,O62+Nov!X52)</f>
        <v>864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16506</v>
      </c>
      <c r="AC62" s="172" t="n">
        <f aca="false">IF(T62=" ",Nov!AC52,T62+Nov!AC52)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128</v>
      </c>
      <c r="T63" s="180" t="n">
        <v>7.2</v>
      </c>
      <c r="U63" s="171"/>
      <c r="V63" s="172" t="n">
        <f aca="false">IF(Employee!H$87=E$59,Employee!D$86+SUM(M63)+Nov!V53,SUM(M63)+Nov!V53)</f>
        <v>9432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9432</v>
      </c>
      <c r="AC63" s="172" t="n">
        <f aca="false">IF(T63=" ",Nov!AC53,T63+Nov!AC53)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Dec!M49+1</f>
        <v>46389</v>
      </c>
      <c r="L9" s="149" t="s">
        <v>85</v>
      </c>
      <c r="M9" s="150" t="n">
        <f aca="false">K9+6</f>
        <v>46395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n">
        <f aca="false">IF(T11=" ",Dec!AC51,T11+Dec!AC51)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46396</v>
      </c>
      <c r="L19" s="149" t="s">
        <v>85</v>
      </c>
      <c r="M19" s="150" t="n">
        <f aca="false">K19+6</f>
        <v>46402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46403</v>
      </c>
      <c r="L29" s="149" t="s">
        <v>85</v>
      </c>
      <c r="M29" s="150" t="n">
        <f aca="false">K29+6</f>
        <v>46409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46410</v>
      </c>
      <c r="L39" s="149" t="s">
        <v>85</v>
      </c>
      <c r="M39" s="150" t="n">
        <f aca="false">K39+6</f>
        <v>46416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Admin!B272</f>
        <v>46388</v>
      </c>
      <c r="L49" s="149" t="s">
        <v>85</v>
      </c>
      <c r="M49" s="150" t="n">
        <v>46053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129</v>
      </c>
      <c r="T51" s="170" t="n">
        <v>382.5</v>
      </c>
      <c r="U51" s="171"/>
      <c r="V51" s="172" t="n">
        <f aca="false">IF(Employee!H$35=E$49,Employee!D$34+SUM(M51)+Dec!V61,SUM(M51)+Dec!V61)</f>
        <v>35000</v>
      </c>
      <c r="W51" s="172" t="n">
        <f aca="false">IF(Employee!H$35=E$49,Employee!D$35+SUM(N51)+Dec!W61,SUM(N51)+Dec!W61)</f>
        <v>5300</v>
      </c>
      <c r="X51" s="172" t="n">
        <f aca="false">IF(O51=" ",Dec!X61,O51+Dec!X61)</f>
        <v>2000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27700</v>
      </c>
      <c r="AC51" s="172" t="n">
        <f aca="false">IF(T51=" ",Dec!AC61,T51+Dec!AC61)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130</v>
      </c>
      <c r="T52" s="180" t="n">
        <v>187.5</v>
      </c>
      <c r="U52" s="171"/>
      <c r="V52" s="172" t="n">
        <f aca="false">IF(Employee!H$61=E$49,Employee!D$60+SUM(M52)+Dec!V62,SUM(M52)+Dec!V62)</f>
        <v>22000</v>
      </c>
      <c r="W52" s="172" t="n">
        <f aca="false">IF(Employee!H$61=E$49,Employee!D$61+SUM(N52)+Dec!W62,SUM(N52)+Dec!W62)</f>
        <v>2700</v>
      </c>
      <c r="X52" s="172" t="n">
        <f aca="false">IF(O52=" ",Dec!X62,O52+Dec!X62)</f>
        <v>960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18340</v>
      </c>
      <c r="AC52" s="172" t="n">
        <f aca="false">IF(T52=" ",Dec!AC62,T52+Dec!AC62)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131</v>
      </c>
      <c r="T53" s="180" t="n">
        <v>7.2</v>
      </c>
      <c r="U53" s="171"/>
      <c r="V53" s="172" t="n">
        <f aca="false">IF(Employee!H$87=E$49,Employee!D$86+SUM(M53)+Dec!V63,SUM(M53)+Dec!V63)</f>
        <v>10480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10480</v>
      </c>
      <c r="AC53" s="172" t="n">
        <f aca="false">IF(T53=" ",Dec!AC63,T53+Dec!AC63)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Jan!M39+1</f>
        <v>46417</v>
      </c>
      <c r="L9" s="149" t="s">
        <v>85</v>
      </c>
      <c r="M9" s="150" t="n">
        <f aca="false">K9+6</f>
        <v>46423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n">
        <f aca="false">IF(T11=" ",Jan!AC41,T11+Jan!AC41)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46424</v>
      </c>
      <c r="L19" s="149" t="s">
        <v>85</v>
      </c>
      <c r="M19" s="150" t="n">
        <f aca="false">K19+6</f>
        <v>46430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46431</v>
      </c>
      <c r="L29" s="149" t="s">
        <v>85</v>
      </c>
      <c r="M29" s="150" t="n">
        <f aca="false">K29+6</f>
        <v>46437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46438</v>
      </c>
      <c r="L39" s="149" t="s">
        <v>85</v>
      </c>
      <c r="M39" s="150" t="n">
        <f aca="false">K39+6</f>
        <v>46444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Admin!B303</f>
        <v>46419</v>
      </c>
      <c r="L49" s="149" t="s">
        <v>85</v>
      </c>
      <c r="M49" s="150" t="n">
        <v>46081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132</v>
      </c>
      <c r="T51" s="170" t="n">
        <v>382.5</v>
      </c>
      <c r="U51" s="171"/>
      <c r="V51" s="172" t="n">
        <f aca="false">IF(Employee!H$35=E$49,Employee!D$34+SUM(M51)+Jan!V51,SUM(M51)+Jan!V51)</f>
        <v>38500</v>
      </c>
      <c r="W51" s="172" t="n">
        <f aca="false">IF(Employee!H$35=E$49,Employee!D$35+SUM(N51)+Jan!W51,SUM(N51)+Jan!W51)</f>
        <v>5830</v>
      </c>
      <c r="X51" s="172" t="n">
        <f aca="false">IF(O51=" ",Jan!X51,O51+Jan!X51)</f>
        <v>2200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30470</v>
      </c>
      <c r="AC51" s="172" t="n">
        <f aca="false">IF(T51=" ",Jan!AC51,T51+Jan!AC51)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133</v>
      </c>
      <c r="T52" s="180" t="n">
        <v>187.5</v>
      </c>
      <c r="U52" s="171"/>
      <c r="V52" s="172" t="n">
        <f aca="false">IF(Employee!H$61=E$49,Employee!D$60+SUM(M52)+Jan!V52,SUM(M52)+Jan!V52)</f>
        <v>24200</v>
      </c>
      <c r="W52" s="172" t="n">
        <f aca="false">IF(Employee!H$61=E$49,Employee!D$61+SUM(N52)+Jan!W52,SUM(N52)+Jan!W52)</f>
        <v>2970</v>
      </c>
      <c r="X52" s="172" t="n">
        <f aca="false">IF(O52=" ",Jan!X52,O52+Jan!X52)</f>
        <v>1056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20174</v>
      </c>
      <c r="AC52" s="172" t="n">
        <f aca="false">IF(T52=" ",Jan!AC52,T52+Jan!AC52)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134</v>
      </c>
      <c r="T53" s="180" t="n">
        <v>7.2</v>
      </c>
      <c r="U53" s="171"/>
      <c r="V53" s="172" t="n">
        <f aca="false">IF(Employee!H$87=E$49,Employee!D$86+SUM(M53)+Jan!V53,SUM(M53)+Jan!V53)</f>
        <v>11528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11528</v>
      </c>
      <c r="AC53" s="172" t="n">
        <f aca="false">IF(T53=" ",Jan!AC53,T53+Jan!AC53)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Feb!M39+1</f>
        <v>46445</v>
      </c>
      <c r="L9" s="149" t="s">
        <v>85</v>
      </c>
      <c r="M9" s="150" t="n">
        <f aca="false">K9+6</f>
        <v>46451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46452</v>
      </c>
      <c r="L19" s="149" t="s">
        <v>85</v>
      </c>
      <c r="M19" s="150" t="n">
        <f aca="false">K19+6</f>
        <v>46458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46459</v>
      </c>
      <c r="L29" s="149" t="s">
        <v>85</v>
      </c>
      <c r="M29" s="150" t="n">
        <f aca="false">K29+6</f>
        <v>46465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46466</v>
      </c>
      <c r="L39" s="149" t="s">
        <v>85</v>
      </c>
      <c r="M39" s="150" t="n">
        <f aca="false">K39+6</f>
        <v>46472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46473</v>
      </c>
      <c r="L49" s="149" t="s">
        <v>85</v>
      </c>
      <c r="M49" s="150" t="n">
        <f aca="false">K49+6</f>
        <v>46479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46480</v>
      </c>
      <c r="L59" s="149" t="s">
        <v>85</v>
      </c>
      <c r="M59" s="150" t="n">
        <f aca="false">K59+4</f>
        <v>46484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135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Admin!B331</f>
        <v>46447</v>
      </c>
      <c r="L69" s="149" t="s">
        <v>85</v>
      </c>
      <c r="M69" s="150" t="n">
        <v>46112</v>
      </c>
      <c r="N69" s="151"/>
      <c r="O69" s="198" t="s">
        <v>104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86</v>
      </c>
      <c r="E71" s="213" t="n">
        <f aca="false">IF(Employee!D$28="w"," ",IF(Employee!F$24&gt;E$69," ",IF(Employee!F$26&lt;E$69," ",Employee!D$29)))</f>
        <v>1</v>
      </c>
      <c r="F71" s="162" t="s">
        <v>93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136</v>
      </c>
      <c r="T71" s="170" t="n">
        <v>382.5</v>
      </c>
      <c r="U71" s="171"/>
      <c r="V71" s="172" t="n">
        <f aca="false">IF(Employee!H$35=E$69,Employee!D$34+SUM(M71)+Feb!V51,SUM(M71)+Feb!V51)</f>
        <v>42000</v>
      </c>
      <c r="W71" s="172" t="n">
        <f aca="false">IF(Employee!H$35=E$69,Employee!D$35+SUM(N71)+Feb!W51,SUM(N71)+Feb!W51)</f>
        <v>6360</v>
      </c>
      <c r="X71" s="172" t="n">
        <f aca="false">IF(O71=" ",Feb!X51,O71+Feb!X51)</f>
        <v>2400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33240</v>
      </c>
      <c r="AC71" s="172" t="n">
        <f aca="false">IF(T71=" ",Feb!AC51,T71+Feb!AC51)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95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86</v>
      </c>
      <c r="E72" s="214" t="n">
        <f aca="false">IF(Employee!D$54="w"," ",IF(Employee!F$50&gt;E$69," ",IF(Employee!F$52&lt;E$69," ",Employee!D$55)))</f>
        <v>2</v>
      </c>
      <c r="F72" s="175" t="s">
        <v>96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137</v>
      </c>
      <c r="T72" s="180" t="n">
        <v>187.5</v>
      </c>
      <c r="U72" s="171"/>
      <c r="V72" s="172" t="n">
        <f aca="false">IF(Employee!H$61=E$69,Employee!D$60+SUM(M72)+Feb!V52,SUM(M72)+Feb!V52)</f>
        <v>26400</v>
      </c>
      <c r="W72" s="172" t="n">
        <f aca="false">IF(Employee!H$61=E$69,Employee!D$61+SUM(N72)+Feb!W52,SUM(N72)+Feb!W52)</f>
        <v>3240</v>
      </c>
      <c r="X72" s="172" t="n">
        <f aca="false">IF(O72=" ",Feb!X52,O72+Feb!X52)</f>
        <v>1152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22008</v>
      </c>
      <c r="AC72" s="172" t="n">
        <f aca="false">IF(T72=" ",Feb!AC52,T72+Feb!AC52)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95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86</v>
      </c>
      <c r="E73" s="214" t="n">
        <f aca="false">IF(Employee!D$80="w"," ",IF(Employee!F$76&gt;E$69," ",IF(Employee!F$78&lt;E$69," ",Employee!D$81)))</f>
        <v>3</v>
      </c>
      <c r="F73" s="175" t="s">
        <v>98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138</v>
      </c>
      <c r="T73" s="180" t="n">
        <v>7.2</v>
      </c>
      <c r="U73" s="171"/>
      <c r="V73" s="172" t="n">
        <f aca="false">IF(Employee!H$87=E$69,Employee!D$86+SUM(M73)+Feb!V53,SUM(M73)+Feb!V53)</f>
        <v>12576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12576</v>
      </c>
      <c r="AC73" s="172" t="n">
        <f aca="false">IF(T73=" ",Feb!AC53,T73+Feb!AC53)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100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101</v>
      </c>
      <c r="G79" s="219"/>
      <c r="H79" s="219"/>
      <c r="M79" s="220" t="s">
        <v>102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103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139</v>
      </c>
      <c r="C3" s="270"/>
      <c r="D3" s="270"/>
      <c r="E3" s="270"/>
      <c r="F3" s="271" t="s">
        <v>6</v>
      </c>
      <c r="G3" s="272" t="s">
        <v>140</v>
      </c>
      <c r="H3" s="272" t="str">
        <f aca="false">LOOKUP(F4,IF(F3="W",Admin!C2:C381,IF(F3="M",Admin!D2:D381," ")),Admin!A2:A381)</f>
        <v>May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141</v>
      </c>
      <c r="C4" s="270"/>
      <c r="D4" s="270"/>
      <c r="E4" s="270"/>
      <c r="F4" s="271" t="n">
        <v>2</v>
      </c>
      <c r="G4" s="272" t="s">
        <v>142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Trading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143</v>
      </c>
      <c r="I9" s="296" t="n">
        <f aca="true">INDIRECT(ADDRESS($H$4+1,13,1,TRUE(),$H$3))</f>
        <v>45808</v>
      </c>
      <c r="J9" s="297" t="s">
        <v>55</v>
      </c>
      <c r="K9" s="297"/>
      <c r="L9" s="295" t="s">
        <v>144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145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 </v>
      </c>
      <c r="K10" s="303"/>
      <c r="L10" s="295" t="s">
        <v>146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147</v>
      </c>
      <c r="C12" s="305"/>
      <c r="D12" s="305"/>
      <c r="E12" s="305"/>
      <c r="F12" s="305"/>
      <c r="G12" s="306" t="s">
        <v>148</v>
      </c>
      <c r="H12" s="307" t="s">
        <v>149</v>
      </c>
      <c r="I12" s="307"/>
      <c r="J12" s="307"/>
      <c r="K12" s="307"/>
      <c r="L12" s="307"/>
      <c r="M12" s="308" t="s">
        <v>150</v>
      </c>
      <c r="N12" s="292"/>
    </row>
    <row r="13" s="312" customFormat="true" ht="21" hidden="false" customHeight="true" outlineLevel="0" collapsed="false">
      <c r="A13" s="286"/>
      <c r="B13" s="309" t="s">
        <v>151</v>
      </c>
      <c r="C13" s="309" t="s">
        <v>152</v>
      </c>
      <c r="D13" s="309" t="s">
        <v>153</v>
      </c>
      <c r="E13" s="309" t="s">
        <v>154</v>
      </c>
      <c r="F13" s="310" t="s">
        <v>155</v>
      </c>
      <c r="G13" s="306"/>
      <c r="H13" s="311" t="s">
        <v>156</v>
      </c>
      <c r="I13" s="309" t="s">
        <v>157</v>
      </c>
      <c r="J13" s="309" t="s">
        <v>158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159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160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161</v>
      </c>
      <c r="K18" s="326"/>
      <c r="L18" s="326"/>
      <c r="M18" s="327" t="n">
        <f aca="true">IF(M8=" "," ",INDIRECT(ADDRESS($H$4+1,13,1,TRUE(),$H$3)))</f>
        <v>45808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Trading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143</v>
      </c>
      <c r="I23" s="296" t="n">
        <f aca="false">I9</f>
        <v>45808</v>
      </c>
      <c r="J23" s="297" t="s">
        <v>55</v>
      </c>
      <c r="K23" s="297"/>
      <c r="L23" s="295" t="s">
        <v>144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145</v>
      </c>
      <c r="C24" s="298" t="n">
        <f aca="false">Employee!$D$55</f>
        <v>2</v>
      </c>
      <c r="D24" s="333"/>
      <c r="E24" s="334"/>
      <c r="F24" s="304"/>
      <c r="G24" s="304"/>
      <c r="H24" s="301" t="s">
        <v>162</v>
      </c>
      <c r="I24" s="302" t="n">
        <f aca="false">I10</f>
        <v>2</v>
      </c>
      <c r="J24" s="303" t="str">
        <f aca="true">IF(M22=" "," ",INDIRECT(ADDRESS($H$4+2+C24,4,1,TRUE(),$H$3)))</f>
        <v> </v>
      </c>
      <c r="K24" s="303"/>
      <c r="L24" s="295" t="s">
        <v>146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147</v>
      </c>
      <c r="C26" s="305"/>
      <c r="D26" s="305"/>
      <c r="E26" s="305"/>
      <c r="F26" s="305"/>
      <c r="G26" s="306" t="s">
        <v>148</v>
      </c>
      <c r="H26" s="305" t="s">
        <v>149</v>
      </c>
      <c r="I26" s="305"/>
      <c r="J26" s="305"/>
      <c r="K26" s="305"/>
      <c r="L26" s="305"/>
      <c r="M26" s="335" t="s">
        <v>150</v>
      </c>
      <c r="N26" s="292"/>
    </row>
    <row r="27" s="312" customFormat="true" ht="21" hidden="false" customHeight="true" outlineLevel="0" collapsed="false">
      <c r="A27" s="286"/>
      <c r="B27" s="309" t="s">
        <v>151</v>
      </c>
      <c r="C27" s="309" t="s">
        <v>152</v>
      </c>
      <c r="D27" s="309" t="s">
        <v>153</v>
      </c>
      <c r="E27" s="309" t="s">
        <v>154</v>
      </c>
      <c r="F27" s="310" t="s">
        <v>155</v>
      </c>
      <c r="G27" s="306"/>
      <c r="H27" s="309" t="s">
        <v>156</v>
      </c>
      <c r="I27" s="309" t="s">
        <v>157</v>
      </c>
      <c r="J27" s="309" t="s">
        <v>158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159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160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161</v>
      </c>
      <c r="K32" s="326"/>
      <c r="L32" s="326"/>
      <c r="M32" s="327" t="n">
        <f aca="false">M18</f>
        <v>45808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Trading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143</v>
      </c>
      <c r="I38" s="296" t="n">
        <f aca="false">I23</f>
        <v>45808</v>
      </c>
      <c r="J38" s="297" t="s">
        <v>55</v>
      </c>
      <c r="K38" s="297"/>
      <c r="L38" s="295" t="s">
        <v>144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145</v>
      </c>
      <c r="C39" s="298" t="n">
        <f aca="false">Employee!$D$81</f>
        <v>3</v>
      </c>
      <c r="D39" s="333"/>
      <c r="E39" s="334"/>
      <c r="F39" s="304"/>
      <c r="G39" s="304"/>
      <c r="H39" s="301" t="s">
        <v>162</v>
      </c>
      <c r="I39" s="302" t="n">
        <f aca="false">I24</f>
        <v>2</v>
      </c>
      <c r="J39" s="303" t="str">
        <f aca="true">IF(M37=" "," ",INDIRECT(ADDRESS($H$4+2+C39,4,1,TRUE(),$H$3)))</f>
        <v> </v>
      </c>
      <c r="K39" s="303"/>
      <c r="L39" s="295" t="s">
        <v>146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147</v>
      </c>
      <c r="C41" s="305"/>
      <c r="D41" s="305"/>
      <c r="E41" s="305"/>
      <c r="F41" s="305"/>
      <c r="G41" s="306" t="s">
        <v>148</v>
      </c>
      <c r="H41" s="305" t="s">
        <v>149</v>
      </c>
      <c r="I41" s="305"/>
      <c r="J41" s="305"/>
      <c r="K41" s="305"/>
      <c r="L41" s="305"/>
      <c r="M41" s="335" t="s">
        <v>150</v>
      </c>
      <c r="N41" s="292"/>
    </row>
    <row r="42" s="312" customFormat="true" ht="21" hidden="false" customHeight="true" outlineLevel="0" collapsed="false">
      <c r="A42" s="286"/>
      <c r="B42" s="309" t="s">
        <v>151</v>
      </c>
      <c r="C42" s="309" t="s">
        <v>152</v>
      </c>
      <c r="D42" s="309" t="s">
        <v>153</v>
      </c>
      <c r="E42" s="309" t="s">
        <v>154</v>
      </c>
      <c r="F42" s="310" t="s">
        <v>155</v>
      </c>
      <c r="G42" s="306"/>
      <c r="H42" s="309" t="s">
        <v>156</v>
      </c>
      <c r="I42" s="309" t="s">
        <v>157</v>
      </c>
      <c r="J42" s="309" t="s">
        <v>158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159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160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161</v>
      </c>
      <c r="K47" s="326"/>
      <c r="L47" s="326"/>
      <c r="M47" s="327" t="n">
        <f aca="false">M32</f>
        <v>45808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143</v>
      </c>
      <c r="I52" s="296" t="n">
        <f aca="false">I38</f>
        <v>45808</v>
      </c>
      <c r="J52" s="297" t="s">
        <v>55</v>
      </c>
      <c r="K52" s="297"/>
      <c r="L52" s="295" t="s">
        <v>144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145</v>
      </c>
      <c r="C53" s="298" t="n">
        <f aca="false">Employee!$D$107</f>
        <v>4</v>
      </c>
      <c r="D53" s="333"/>
      <c r="E53" s="334"/>
      <c r="F53" s="304"/>
      <c r="G53" s="304"/>
      <c r="H53" s="301" t="s">
        <v>162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146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147</v>
      </c>
      <c r="C55" s="305"/>
      <c r="D55" s="305"/>
      <c r="E55" s="305"/>
      <c r="F55" s="305"/>
      <c r="G55" s="306" t="s">
        <v>148</v>
      </c>
      <c r="H55" s="305" t="s">
        <v>149</v>
      </c>
      <c r="I55" s="305"/>
      <c r="J55" s="305"/>
      <c r="K55" s="305"/>
      <c r="L55" s="305"/>
      <c r="M55" s="335" t="s">
        <v>150</v>
      </c>
      <c r="N55" s="292"/>
    </row>
    <row r="56" s="312" customFormat="true" ht="21" hidden="false" customHeight="true" outlineLevel="0" collapsed="false">
      <c r="A56" s="286"/>
      <c r="B56" s="309" t="s">
        <v>151</v>
      </c>
      <c r="C56" s="309" t="s">
        <v>152</v>
      </c>
      <c r="D56" s="309" t="s">
        <v>153</v>
      </c>
      <c r="E56" s="309" t="s">
        <v>154</v>
      </c>
      <c r="F56" s="310" t="s">
        <v>155</v>
      </c>
      <c r="G56" s="306"/>
      <c r="H56" s="309" t="s">
        <v>156</v>
      </c>
      <c r="I56" s="309" t="s">
        <v>157</v>
      </c>
      <c r="J56" s="309" t="s">
        <v>158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159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160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161</v>
      </c>
      <c r="K61" s="326"/>
      <c r="L61" s="326"/>
      <c r="M61" s="327" t="n">
        <f aca="false">M47</f>
        <v>45808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143</v>
      </c>
      <c r="I67" s="296" t="n">
        <f aca="false">I52</f>
        <v>45808</v>
      </c>
      <c r="J67" s="297" t="s">
        <v>55</v>
      </c>
      <c r="K67" s="297"/>
      <c r="L67" s="295" t="s">
        <v>144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145</v>
      </c>
      <c r="C68" s="298" t="n">
        <f aca="false">Employee!$D$133</f>
        <v>5</v>
      </c>
      <c r="D68" s="333"/>
      <c r="E68" s="334"/>
      <c r="F68" s="304"/>
      <c r="G68" s="304"/>
      <c r="H68" s="301" t="s">
        <v>162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146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147</v>
      </c>
      <c r="C70" s="305"/>
      <c r="D70" s="305"/>
      <c r="E70" s="305"/>
      <c r="F70" s="305"/>
      <c r="G70" s="306" t="s">
        <v>148</v>
      </c>
      <c r="H70" s="305" t="s">
        <v>149</v>
      </c>
      <c r="I70" s="305"/>
      <c r="J70" s="305"/>
      <c r="K70" s="305"/>
      <c r="L70" s="305"/>
      <c r="M70" s="335" t="s">
        <v>150</v>
      </c>
      <c r="N70" s="292"/>
    </row>
    <row r="71" s="312" customFormat="true" ht="21" hidden="false" customHeight="true" outlineLevel="0" collapsed="false">
      <c r="A71" s="286"/>
      <c r="B71" s="309" t="s">
        <v>151</v>
      </c>
      <c r="C71" s="309" t="s">
        <v>152</v>
      </c>
      <c r="D71" s="309" t="s">
        <v>153</v>
      </c>
      <c r="E71" s="309" t="s">
        <v>154</v>
      </c>
      <c r="F71" s="310" t="s">
        <v>155</v>
      </c>
      <c r="G71" s="306"/>
      <c r="H71" s="309" t="s">
        <v>163</v>
      </c>
      <c r="I71" s="309" t="s">
        <v>157</v>
      </c>
      <c r="J71" s="309" t="s">
        <v>158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159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160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161</v>
      </c>
      <c r="K76" s="326"/>
      <c r="L76" s="326"/>
      <c r="M76" s="327" t="n">
        <f aca="false">M61</f>
        <v>45808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164</v>
      </c>
      <c r="C2" s="345" t="s">
        <v>165</v>
      </c>
      <c r="D2" s="344" t="s">
        <v>166</v>
      </c>
      <c r="E2" s="344" t="s">
        <v>167</v>
      </c>
      <c r="F2" s="344" t="s">
        <v>168</v>
      </c>
      <c r="G2" s="344" t="s">
        <v>169</v>
      </c>
      <c r="H2" s="344" t="s">
        <v>170</v>
      </c>
      <c r="I2" s="344" t="s">
        <v>171</v>
      </c>
      <c r="J2" s="344" t="s">
        <v>172</v>
      </c>
      <c r="K2" s="344" t="s">
        <v>173</v>
      </c>
      <c r="L2" s="345" t="s">
        <v>174</v>
      </c>
      <c r="M2" s="345" t="s">
        <v>175</v>
      </c>
      <c r="N2" s="344" t="s">
        <v>176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Admin!$B$26</f>
        <v>46142</v>
      </c>
      <c r="C4" s="354" t="n">
        <f aca="false">Admin!$B$45</f>
        <v>46161</v>
      </c>
      <c r="D4" s="355" t="n">
        <f aca="false">Apr!T1+Apr!O1</f>
        <v>873.2</v>
      </c>
      <c r="E4" s="356" t="n">
        <f aca="false">Apr!N1</f>
        <v>800</v>
      </c>
      <c r="F4" s="356" t="n">
        <f aca="false">Apr!AD60+Apr!AE60+Apr!AF60+Apr!AG60</f>
        <v>0</v>
      </c>
      <c r="G4" s="356" t="n">
        <f aca="false">Apr!AE62+Apr!AF62+Apr!AG62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2701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Admin!$B$57</f>
        <v>46173</v>
      </c>
      <c r="C5" s="354" t="n">
        <f aca="false">Admin!$B$76</f>
        <v>46192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2702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Admin!$B$87</f>
        <v>46203</v>
      </c>
      <c r="C6" s="354" t="n">
        <f aca="false">Admin!$B$106</f>
        <v>46222</v>
      </c>
      <c r="D6" s="355" t="n">
        <f aca="false">Jun!T1+Jun!O1</f>
        <v>873.2</v>
      </c>
      <c r="E6" s="356" t="n">
        <f aca="false">Jun!N1</f>
        <v>800</v>
      </c>
      <c r="F6" s="356" t="n">
        <f aca="false">Jun!AD70+Jun!AE70+Jun!AF70+Jun!AG70</f>
        <v>0</v>
      </c>
      <c r="G6" s="356" t="n">
        <f aca="false">Jun!AE72+Jun!AF72+Jun!AG72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2703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Admin!$B$118</f>
        <v>46234</v>
      </c>
      <c r="C7" s="354" t="n">
        <f aca="false">Admin!$B$137</f>
        <v>46253</v>
      </c>
      <c r="D7" s="355" t="n">
        <f aca="false">Jul!T1+Jul!O1</f>
        <v>873.2</v>
      </c>
      <c r="E7" s="356" t="n">
        <f aca="false">Jul!N1</f>
        <v>800</v>
      </c>
      <c r="F7" s="356" t="n">
        <f aca="false">Jul!AD60+Jul!AE60+Jul!AF60+Jul!AG60</f>
        <v>0</v>
      </c>
      <c r="G7" s="356" t="n">
        <f aca="false">Jul!AE62+Jul!AF62+Jul!AG62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2704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Admin!$B$149</f>
        <v>46265</v>
      </c>
      <c r="C8" s="354" t="n">
        <f aca="false">Admin!$B$168</f>
        <v>46284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2705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Admin!$B$179</f>
        <v>46295</v>
      </c>
      <c r="C9" s="354" t="n">
        <f aca="false">Admin!$B$198</f>
        <v>46314</v>
      </c>
      <c r="D9" s="355" t="n">
        <f aca="false">Sep!T1+Sep!O1</f>
        <v>873.2</v>
      </c>
      <c r="E9" s="356" t="n">
        <f aca="false">Sep!N1</f>
        <v>800</v>
      </c>
      <c r="F9" s="356" t="n">
        <f aca="false">Sep!AD70+Sep!AE70+Sep!AF70+Sep!AG70</f>
        <v>0</v>
      </c>
      <c r="G9" s="356" t="n">
        <f aca="false">Sep!AE72+Sep!AF72+Sep!AG72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2706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Admin!$B$210</f>
        <v>46326</v>
      </c>
      <c r="C10" s="354" t="n">
        <f aca="false">Admin!$B$229</f>
        <v>46345</v>
      </c>
      <c r="D10" s="355" t="n">
        <f aca="false">Oct!T1+Oct!O1</f>
        <v>873.2</v>
      </c>
      <c r="E10" s="356" t="n">
        <f aca="false">Oct!N1</f>
        <v>800</v>
      </c>
      <c r="F10" s="356" t="n">
        <f aca="false">Oct!AD60+Oct!AE60+Oct!AF60+Oct!AG60</f>
        <v>0</v>
      </c>
      <c r="G10" s="356" t="n">
        <f aca="false">Oct!AE62+Oct!AF62+Oct!AG62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2707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Admin!$B$240</f>
        <v>46356</v>
      </c>
      <c r="C11" s="354" t="n">
        <f aca="false">Admin!$B$259</f>
        <v>46375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2708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Admin!$B$271</f>
        <v>46387</v>
      </c>
      <c r="C12" s="354" t="n">
        <f aca="false">Admin!$B$290</f>
        <v>46406</v>
      </c>
      <c r="D12" s="355" t="n">
        <f aca="false">Dec!T1+Dec!O1</f>
        <v>873.2</v>
      </c>
      <c r="E12" s="356" t="n">
        <f aca="false">Dec!N1</f>
        <v>800</v>
      </c>
      <c r="F12" s="356" t="n">
        <f aca="false">Dec!AD70+Dec!AE70+Dec!AF70+Dec!AG70</f>
        <v>0</v>
      </c>
      <c r="G12" s="356" t="n">
        <f aca="false">Dec!AE72+Dec!AF72+Dec!AG72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2709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Admin!$B$302</f>
        <v>46418</v>
      </c>
      <c r="C13" s="354" t="n">
        <f aca="false">Admin!$B$321</f>
        <v>46437</v>
      </c>
      <c r="D13" s="355" t="n">
        <f aca="false">Jan!T1+Jan!O1</f>
        <v>873.2</v>
      </c>
      <c r="E13" s="356" t="n">
        <f aca="false">Jan!N1</f>
        <v>800</v>
      </c>
      <c r="F13" s="356" t="n">
        <f aca="false">Jan!AD60+Jan!AE60+Jan!AF60+Jan!AG60</f>
        <v>0</v>
      </c>
      <c r="G13" s="356" t="n">
        <f aca="false">Jan!AE62+Jan!AF62+Jan!AG62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2710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Admin!$B$330</f>
        <v>46446</v>
      </c>
      <c r="C14" s="354" t="n">
        <f aca="false">Admin!$B$350</f>
        <v>46466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2711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Admin!$B$361</f>
        <v>46477</v>
      </c>
      <c r="C15" s="354" t="n">
        <f aca="false">Admin!$B$381</f>
        <v>46497</v>
      </c>
      <c r="D15" s="355" t="n">
        <f aca="false">Mar!T1+Mar!O1</f>
        <v>873.2</v>
      </c>
      <c r="E15" s="356" t="n">
        <f aca="false">Mar!N1</f>
        <v>800</v>
      </c>
      <c r="F15" s="356" t="n">
        <f aca="false">Mar!AD80+Mar!AE80+Mar!AF80+Mar!AG80</f>
        <v>0</v>
      </c>
      <c r="G15" s="356" t="n">
        <f aca="false">Mar!AE82+Mar!AF82+Mar!AG82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2712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177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178</v>
      </c>
      <c r="B1" s="375" t="s">
        <v>179</v>
      </c>
      <c r="C1" s="374" t="s">
        <v>83</v>
      </c>
      <c r="D1" s="374" t="s">
        <v>90</v>
      </c>
      <c r="E1" s="376" t="s">
        <v>180</v>
      </c>
      <c r="F1" s="376" t="s">
        <v>181</v>
      </c>
      <c r="G1" s="377" t="s">
        <v>182</v>
      </c>
      <c r="H1" s="377"/>
      <c r="I1" s="378" t="n">
        <f aca="false">DATE(YEAR(B2)+1,MONTH(B2),DAY(B2))-1</f>
        <v>46482</v>
      </c>
      <c r="J1" s="378"/>
      <c r="K1" s="379"/>
      <c r="L1" s="379"/>
      <c r="M1" s="380"/>
      <c r="N1" s="381" t="str">
        <f aca="false">TEXT(YEAR(I1)-1,"0")&amp;"-"&amp;TEXT(YEAR(I1)-2000,"0")</f>
        <v>2026-27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TEXT(DATE(YEAR(B$2),MONTH(B$2)+(D2-1),1),"Mmm")</f>
        <v>Apr</v>
      </c>
      <c r="B2" s="383" t="n">
        <v>46118</v>
      </c>
      <c r="C2" s="384" t="n">
        <v>1</v>
      </c>
      <c r="D2" s="384" t="n">
        <v>1</v>
      </c>
      <c r="E2" s="385" t="n">
        <f aca="false">B2</f>
        <v>46118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TEXT(DATE(YEAR(B$2),MONTH(B$2)+(D3-1),1),"Mmm")</f>
        <v>Apr</v>
      </c>
      <c r="B3" s="383" t="n">
        <f aca="false">B2+1</f>
        <v>46119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183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TEXT(DATE(YEAR(B$2),MONTH(B$2)+(D4-1),1),"Mmm")</f>
        <v>Apr</v>
      </c>
      <c r="B4" s="383" t="n">
        <f aca="false">B3+1</f>
        <v>46120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TEXT(DATE(YEAR(B$2),MONTH(B$2)+(D5-1),1),"Mmm")</f>
        <v>Apr</v>
      </c>
      <c r="B5" s="383" t="n">
        <f aca="false">B4+1</f>
        <v>46121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TEXT(DATE(YEAR(B$2),MONTH(B$2)+(D6-1),1),"Mmm")</f>
        <v>Apr</v>
      </c>
      <c r="B6" s="383" t="n">
        <f aca="false">B5+1</f>
        <v>46122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184</v>
      </c>
      <c r="I6" s="389" t="s">
        <v>185</v>
      </c>
      <c r="J6" s="389"/>
      <c r="K6" s="389" t="s">
        <v>186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TEXT(DATE(YEAR(B$2),MONTH(B$2)+(D7-1),1),"Mmm")</f>
        <v>Apr</v>
      </c>
      <c r="B7" s="383" t="n">
        <f aca="false">B6+1</f>
        <v>46123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TEXT(DATE(YEAR(B$2),MONTH(B$2)+(D8-1),1),"Mmm")</f>
        <v>Apr</v>
      </c>
      <c r="B8" s="383" t="n">
        <f aca="false">B7+1</f>
        <v>46124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TEXT(DATE(YEAR(B$2),MONTH(B$2)+(D9-1),1),"Mmm")</f>
        <v>Apr</v>
      </c>
      <c r="B9" s="383" t="n">
        <f aca="false">B8+1</f>
        <v>46125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TEXT(DATE(YEAR(B$2),MONTH(B$2)+(D10-1),1),"Mmm")</f>
        <v>Apr</v>
      </c>
      <c r="B10" s="383" t="n">
        <f aca="false">B9+1</f>
        <v>46126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TEXT(DATE(YEAR(B$2),MONTH(B$2)+(D11-1),1),"Mmm")</f>
        <v>Apr</v>
      </c>
      <c r="B11" s="383" t="n">
        <f aca="false">B10+1</f>
        <v>46127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187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TEXT(DATE(YEAR(B$2),MONTH(B$2)+(D12-1),1),"Mmm")</f>
        <v>Apr</v>
      </c>
      <c r="B12" s="383" t="n">
        <f aca="false">B11+1</f>
        <v>46128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188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TEXT(DATE(YEAR(B$2),MONTH(B$2)+(D13-1),1),"Mmm")</f>
        <v>Apr</v>
      </c>
      <c r="B13" s="383" t="n">
        <f aca="false">B12+1</f>
        <v>46129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TEXT(DATE(YEAR(B$2),MONTH(B$2)+(D14-1),1),"Mmm")</f>
        <v>Apr</v>
      </c>
      <c r="B14" s="383" t="n">
        <f aca="false">B13+1</f>
        <v>46130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TEXT(DATE(YEAR(B$2),MONTH(B$2)+(D15-1),1),"Mmm")</f>
        <v>Apr</v>
      </c>
      <c r="B15" s="383" t="n">
        <f aca="false">B14+1</f>
        <v>46131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TEXT(DATE(YEAR(B$2),MONTH(B$2)+(D16-1),1),"Mmm")</f>
        <v>Apr</v>
      </c>
      <c r="B16" s="383" t="n">
        <f aca="false">B15+1</f>
        <v>46132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TEXT(DATE(YEAR(B$2),MONTH(B$2)+(D17-1),1),"Mmm")</f>
        <v>Apr</v>
      </c>
      <c r="B17" s="383" t="n">
        <f aca="false">B16+1</f>
        <v>46133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TEXT(DATE(YEAR(B$2),MONTH(B$2)+(D18-1),1),"Mmm")</f>
        <v>Apr</v>
      </c>
      <c r="B18" s="383" t="n">
        <f aca="false">B17+1</f>
        <v>46134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TEXT(DATE(YEAR(B$2),MONTH(B$2)+(D19-1),1),"Mmm")</f>
        <v>Apr</v>
      </c>
      <c r="B19" s="383" t="n">
        <f aca="false">B18+1</f>
        <v>46135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TEXT(DATE(YEAR(B$2),MONTH(B$2)+(D20-1),1),"Mmm")</f>
        <v>Apr</v>
      </c>
      <c r="B20" s="383" t="n">
        <f aca="false">B19+1</f>
        <v>46136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TEXT(DATE(YEAR(B$2),MONTH(B$2)+(D21-1),1),"Mmm")</f>
        <v>Apr</v>
      </c>
      <c r="B21" s="383" t="n">
        <f aca="false">B20+1</f>
        <v>46137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TEXT(DATE(YEAR(B$2),MONTH(B$2)+(D22-1),1),"Mmm")</f>
        <v>Apr</v>
      </c>
      <c r="B22" s="383" t="n">
        <f aca="false">B21+1</f>
        <v>46138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TEXT(DATE(YEAR(B$2),MONTH(B$2)+(D23-1),1),"Mmm")</f>
        <v>Apr</v>
      </c>
      <c r="B23" s="383" t="n">
        <f aca="false">B22+1</f>
        <v>46139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TEXT(DATE(YEAR(B$2),MONTH(B$2)+(D24-1),1),"Mmm")</f>
        <v>Apr</v>
      </c>
      <c r="B24" s="383" t="n">
        <f aca="false">B23+1</f>
        <v>46140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TEXT(DATE(YEAR(B$2),MONTH(B$2)+(D25-1),1),"Mmm")</f>
        <v>Apr</v>
      </c>
      <c r="B25" s="383" t="n">
        <f aca="false">B24+1</f>
        <v>46141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TEXT(DATE(YEAR(B$2),MONTH(B$2)+(D26-1),1),"Mmm")</f>
        <v>Apr</v>
      </c>
      <c r="B26" s="383" t="n">
        <f aca="false">B25+1</f>
        <v>46142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TEXT(DATE(YEAR(B$2),MONTH(B$2)+(D27-1),1),"Mmm")</f>
        <v>Apr</v>
      </c>
      <c r="B27" s="383" t="n">
        <f aca="false">B26+1</f>
        <v>46143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TEXT(DATE(YEAR(B$2),MONTH(B$2)+(D28-1),1),"Mmm")</f>
        <v>May</v>
      </c>
      <c r="B28" s="383" t="n">
        <f aca="false">B27+1</f>
        <v>46144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TEXT(DATE(YEAR(B$2),MONTH(B$2)+(D29-1),1),"Mmm")</f>
        <v>May</v>
      </c>
      <c r="B29" s="383" t="n">
        <f aca="false">B28+1</f>
        <v>46145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TEXT(DATE(YEAR(B$2),MONTH(B$2)+(D30-1),1),"Mmm")</f>
        <v>May</v>
      </c>
      <c r="B30" s="383" t="n">
        <f aca="false">B29+1</f>
        <v>46146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TEXT(DATE(YEAR(B$2),MONTH(B$2)+(D31-1),1),"Mmm")</f>
        <v>May</v>
      </c>
      <c r="B31" s="383" t="n">
        <f aca="false">B30+1</f>
        <v>46147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TEXT(DATE(YEAR(B$2),MONTH(B$2)+(D32-1),1),"Mmm")</f>
        <v>May</v>
      </c>
      <c r="B32" s="383" t="n">
        <f aca="false">B31+1</f>
        <v>46148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TEXT(DATE(YEAR(B$2),MONTH(B$2)+(D33-1),1),"Mmm")</f>
        <v>May</v>
      </c>
      <c r="B33" s="383" t="n">
        <f aca="false">B32+1</f>
        <v>46149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TEXT(DATE(YEAR(B$2),MONTH(B$2)+(D34-1),1),"Mmm")</f>
        <v>May</v>
      </c>
      <c r="B34" s="383" t="n">
        <f aca="false">B33+1</f>
        <v>46150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TEXT(DATE(YEAR(B$2),MONTH(B$2)+(D35-1),1),"Mmm")</f>
        <v>May</v>
      </c>
      <c r="B35" s="383" t="n">
        <f aca="false">B34+1</f>
        <v>46151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TEXT(DATE(YEAR(B$2),MONTH(B$2)+(D36-1),1),"Mmm")</f>
        <v>May</v>
      </c>
      <c r="B36" s="383" t="n">
        <f aca="false">B35+1</f>
        <v>46152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TEXT(DATE(YEAR(B$2),MONTH(B$2)+(D37-1),1),"Mmm")</f>
        <v>May</v>
      </c>
      <c r="B37" s="383" t="n">
        <f aca="false">B36+1</f>
        <v>46153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TEXT(DATE(YEAR(B$2),MONTH(B$2)+(D38-1),1),"Mmm")</f>
        <v>May</v>
      </c>
      <c r="B38" s="383" t="n">
        <f aca="false">B37+1</f>
        <v>46154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TEXT(DATE(YEAR(B$2),MONTH(B$2)+(D39-1),1),"Mmm")</f>
        <v>May</v>
      </c>
      <c r="B39" s="383" t="n">
        <f aca="false">B38+1</f>
        <v>46155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TEXT(DATE(YEAR(B$2),MONTH(B$2)+(D40-1),1),"Mmm")</f>
        <v>May</v>
      </c>
      <c r="B40" s="383" t="n">
        <f aca="false">B39+1</f>
        <v>46156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TEXT(DATE(YEAR(B$2),MONTH(B$2)+(D41-1),1),"Mmm")</f>
        <v>May</v>
      </c>
      <c r="B41" s="383" t="n">
        <f aca="false">B40+1</f>
        <v>46157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TEXT(DATE(YEAR(B$2),MONTH(B$2)+(D42-1),1),"Mmm")</f>
        <v>May</v>
      </c>
      <c r="B42" s="383" t="n">
        <f aca="false">B41+1</f>
        <v>46158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TEXT(DATE(YEAR(B$2),MONTH(B$2)+(D43-1),1),"Mmm")</f>
        <v>May</v>
      </c>
      <c r="B43" s="383" t="n">
        <f aca="false">B42+1</f>
        <v>46159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TEXT(DATE(YEAR(B$2),MONTH(B$2)+(D44-1),1),"Mmm")</f>
        <v>May</v>
      </c>
      <c r="B44" s="383" t="n">
        <f aca="false">B43+1</f>
        <v>46160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TEXT(DATE(YEAR(B$2),MONTH(B$2)+(D45-1),1),"Mmm")</f>
        <v>May</v>
      </c>
      <c r="B45" s="383" t="n">
        <f aca="false">B44+1</f>
        <v>46161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TEXT(DATE(YEAR(B$2),MONTH(B$2)+(D46-1),1),"Mmm")</f>
        <v>May</v>
      </c>
      <c r="B46" s="383" t="n">
        <f aca="false">B45+1</f>
        <v>46162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TEXT(DATE(YEAR(B$2),MONTH(B$2)+(D47-1),1),"Mmm")</f>
        <v>May</v>
      </c>
      <c r="B47" s="383" t="n">
        <f aca="false">B46+1</f>
        <v>46163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TEXT(DATE(YEAR(B$2),MONTH(B$2)+(D48-1),1),"Mmm")</f>
        <v>May</v>
      </c>
      <c r="B48" s="383" t="n">
        <f aca="false">B47+1</f>
        <v>46164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TEXT(DATE(YEAR(B$2),MONTH(B$2)+(D49-1),1),"Mmm")</f>
        <v>May</v>
      </c>
      <c r="B49" s="383" t="n">
        <f aca="false">B48+1</f>
        <v>46165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TEXT(DATE(YEAR(B$2),MONTH(B$2)+(D50-1),1),"Mmm")</f>
        <v>May</v>
      </c>
      <c r="B50" s="383" t="n">
        <f aca="false">B49+1</f>
        <v>46166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TEXT(DATE(YEAR(B$2),MONTH(B$2)+(D51-1),1),"Mmm")</f>
        <v>May</v>
      </c>
      <c r="B51" s="383" t="n">
        <f aca="false">B50+1</f>
        <v>46167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TEXT(DATE(YEAR(B$2),MONTH(B$2)+(D52-1),1),"Mmm")</f>
        <v>May</v>
      </c>
      <c r="B52" s="383" t="n">
        <f aca="false">B51+1</f>
        <v>46168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TEXT(DATE(YEAR(B$2),MONTH(B$2)+(D53-1),1),"Mmm")</f>
        <v>May</v>
      </c>
      <c r="B53" s="383" t="n">
        <f aca="false">B52+1</f>
        <v>46169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TEXT(DATE(YEAR(B$2),MONTH(B$2)+(D54-1),1),"Mmm")</f>
        <v>May</v>
      </c>
      <c r="B54" s="383" t="n">
        <f aca="false">B53+1</f>
        <v>46170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TEXT(DATE(YEAR(B$2),MONTH(B$2)+(D55-1),1),"Mmm")</f>
        <v>May</v>
      </c>
      <c r="B55" s="383" t="n">
        <f aca="false">B54+1</f>
        <v>46171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TEXT(DATE(YEAR(B$2),MONTH(B$2)+(D56-1),1),"Mmm")</f>
        <v>Jun</v>
      </c>
      <c r="B56" s="383" t="n">
        <f aca="false">B55+1</f>
        <v>46172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TEXT(DATE(YEAR(B$2),MONTH(B$2)+(D57-1),1),"Mmm")</f>
        <v>Jun</v>
      </c>
      <c r="B57" s="383" t="n">
        <f aca="false">B56+1</f>
        <v>46173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TEXT(DATE(YEAR(B$2),MONTH(B$2)+(D58-1),1),"Mmm")</f>
        <v>Jun</v>
      </c>
      <c r="B58" s="383" t="n">
        <f aca="false">B57+1</f>
        <v>46174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TEXT(DATE(YEAR(B$2),MONTH(B$2)+(D59-1),1),"Mmm")</f>
        <v>Jun</v>
      </c>
      <c r="B59" s="383" t="n">
        <f aca="false">B58+1</f>
        <v>46175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TEXT(DATE(YEAR(B$2),MONTH(B$2)+(D60-1),1),"Mmm")</f>
        <v>Jun</v>
      </c>
      <c r="B60" s="383" t="n">
        <f aca="false">B59+1</f>
        <v>46176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TEXT(DATE(YEAR(B$2),MONTH(B$2)+(D61-1),1),"Mmm")</f>
        <v>Jun</v>
      </c>
      <c r="B61" s="383" t="n">
        <f aca="false">B60+1</f>
        <v>46177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TEXT(DATE(YEAR(B$2),MONTH(B$2)+(D62-1),1),"Mmm")</f>
        <v>Jun</v>
      </c>
      <c r="B62" s="383" t="n">
        <f aca="false">B61+1</f>
        <v>46178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TEXT(DATE(YEAR(B$2),MONTH(B$2)+(D63-1),1),"Mmm")</f>
        <v>Jun</v>
      </c>
      <c r="B63" s="383" t="n">
        <f aca="false">B62+1</f>
        <v>46179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TEXT(DATE(YEAR(B$2),MONTH(B$2)+(D64-1),1),"Mmm")</f>
        <v>Jun</v>
      </c>
      <c r="B64" s="383" t="n">
        <f aca="false">B63+1</f>
        <v>46180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TEXT(DATE(YEAR(B$2),MONTH(B$2)+(D65-1),1),"Mmm")</f>
        <v>Jun</v>
      </c>
      <c r="B65" s="383" t="n">
        <f aca="false">B64+1</f>
        <v>46181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TEXT(DATE(YEAR(B$2),MONTH(B$2)+(D66-1),1),"Mmm")</f>
        <v>Jun</v>
      </c>
      <c r="B66" s="383" t="n">
        <f aca="false">B65+1</f>
        <v>46182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TEXT(DATE(YEAR(B$2),MONTH(B$2)+(D67-1),1),"Mmm")</f>
        <v>Jun</v>
      </c>
      <c r="B67" s="383" t="n">
        <f aca="false">B66+1</f>
        <v>46183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TEXT(DATE(YEAR(B$2),MONTH(B$2)+(D68-1),1),"Mmm")</f>
        <v>Jun</v>
      </c>
      <c r="B68" s="383" t="n">
        <f aca="false">B67+1</f>
        <v>46184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TEXT(DATE(YEAR(B$2),MONTH(B$2)+(D69-1),1),"Mmm")</f>
        <v>Jun</v>
      </c>
      <c r="B69" s="383" t="n">
        <f aca="false">B68+1</f>
        <v>46185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TEXT(DATE(YEAR(B$2),MONTH(B$2)+(D70-1),1),"Mmm")</f>
        <v>Jun</v>
      </c>
      <c r="B70" s="383" t="n">
        <f aca="false">B69+1</f>
        <v>46186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TEXT(DATE(YEAR(B$2),MONTH(B$2)+(D71-1),1),"Mmm")</f>
        <v>Jun</v>
      </c>
      <c r="B71" s="383" t="n">
        <f aca="false">B70+1</f>
        <v>46187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TEXT(DATE(YEAR(B$2),MONTH(B$2)+(D72-1),1),"Mmm")</f>
        <v>Jun</v>
      </c>
      <c r="B72" s="383" t="n">
        <f aca="false">B71+1</f>
        <v>46188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TEXT(DATE(YEAR(B$2),MONTH(B$2)+(D73-1),1),"Mmm")</f>
        <v>Jun</v>
      </c>
      <c r="B73" s="383" t="n">
        <f aca="false">B72+1</f>
        <v>46189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TEXT(DATE(YEAR(B$2),MONTH(B$2)+(D74-1),1),"Mmm")</f>
        <v>Jun</v>
      </c>
      <c r="B74" s="383" t="n">
        <f aca="false">B73+1</f>
        <v>46190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TEXT(DATE(YEAR(B$2),MONTH(B$2)+(D75-1),1),"Mmm")</f>
        <v>Jun</v>
      </c>
      <c r="B75" s="383" t="n">
        <f aca="false">B74+1</f>
        <v>46191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TEXT(DATE(YEAR(B$2),MONTH(B$2)+(D76-1),1),"Mmm")</f>
        <v>Jun</v>
      </c>
      <c r="B76" s="383" t="n">
        <f aca="false">B75+1</f>
        <v>46192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TEXT(DATE(YEAR(B$2),MONTH(B$2)+(D77-1),1),"Mmm")</f>
        <v>Jun</v>
      </c>
      <c r="B77" s="383" t="n">
        <f aca="false">B76+1</f>
        <v>46193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TEXT(DATE(YEAR(B$2),MONTH(B$2)+(D78-1),1),"Mmm")</f>
        <v>Jun</v>
      </c>
      <c r="B78" s="383" t="n">
        <f aca="false">B77+1</f>
        <v>46194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TEXT(DATE(YEAR(B$2),MONTH(B$2)+(D79-1),1),"Mmm")</f>
        <v>Jun</v>
      </c>
      <c r="B79" s="383" t="n">
        <f aca="false">B78+1</f>
        <v>46195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TEXT(DATE(YEAR(B$2),MONTH(B$2)+(D80-1),1),"Mmm")</f>
        <v>Jun</v>
      </c>
      <c r="B80" s="383" t="n">
        <f aca="false">B79+1</f>
        <v>46196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TEXT(DATE(YEAR(B$2),MONTH(B$2)+(D81-1),1),"Mmm")</f>
        <v>Jun</v>
      </c>
      <c r="B81" s="383" t="n">
        <f aca="false">B80+1</f>
        <v>46197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TEXT(DATE(YEAR(B$2),MONTH(B$2)+(D82-1),1),"Mmm")</f>
        <v>Jun</v>
      </c>
      <c r="B82" s="383" t="n">
        <f aca="false">B81+1</f>
        <v>46198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TEXT(DATE(YEAR(B$2),MONTH(B$2)+(D83-1),1),"Mmm")</f>
        <v>Jun</v>
      </c>
      <c r="B83" s="383" t="n">
        <f aca="false">B82+1</f>
        <v>46199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TEXT(DATE(YEAR(B$2),MONTH(B$2)+(D84-1),1),"Mmm")</f>
        <v>Jun</v>
      </c>
      <c r="B84" s="383" t="n">
        <f aca="false">B83+1</f>
        <v>46200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TEXT(DATE(YEAR(B$2),MONTH(B$2)+(D85-1),1),"Mmm")</f>
        <v>Jun</v>
      </c>
      <c r="B85" s="383" t="n">
        <f aca="false">B84+1</f>
        <v>46201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TEXT(DATE(YEAR(B$2),MONTH(B$2)+(D86-1),1),"Mmm")</f>
        <v>Jun</v>
      </c>
      <c r="B86" s="383" t="n">
        <f aca="false">B85+1</f>
        <v>46202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TEXT(DATE(YEAR(B$2),MONTH(B$2)+(D87-1),1),"Mmm")</f>
        <v>Jun</v>
      </c>
      <c r="B87" s="383" t="n">
        <f aca="false">B86+1</f>
        <v>46203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TEXT(DATE(YEAR(B$2),MONTH(B$2)+(D88-1),1),"Mmm")</f>
        <v>Jun</v>
      </c>
      <c r="B88" s="383" t="n">
        <f aca="false">B87+1</f>
        <v>46204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TEXT(DATE(YEAR(B$2),MONTH(B$2)+(D89-1),1),"Mmm")</f>
        <v>Jun</v>
      </c>
      <c r="B89" s="383" t="n">
        <f aca="false">B88+1</f>
        <v>46205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TEXT(DATE(YEAR(B$2),MONTH(B$2)+(D90-1),1),"Mmm")</f>
        <v>Jun</v>
      </c>
      <c r="B90" s="383" t="n">
        <f aca="false">B89+1</f>
        <v>46206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TEXT(DATE(YEAR(B$2),MONTH(B$2)+(D91-1),1),"Mmm")</f>
        <v>Jul</v>
      </c>
      <c r="B91" s="383" t="n">
        <f aca="false">B90+1</f>
        <v>46207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TEXT(DATE(YEAR(B$2),MONTH(B$2)+(D92-1),1),"Mmm")</f>
        <v>Jul</v>
      </c>
      <c r="B92" s="383" t="n">
        <f aca="false">B91+1</f>
        <v>46208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TEXT(DATE(YEAR(B$2),MONTH(B$2)+(D93-1),1),"Mmm")</f>
        <v>Jul</v>
      </c>
      <c r="B93" s="383" t="n">
        <f aca="false">B92+1</f>
        <v>46209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TEXT(DATE(YEAR(B$2),MONTH(B$2)+(D94-1),1),"Mmm")</f>
        <v>Jul</v>
      </c>
      <c r="B94" s="383" t="n">
        <f aca="false">B93+1</f>
        <v>46210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TEXT(DATE(YEAR(B$2),MONTH(B$2)+(D95-1),1),"Mmm")</f>
        <v>Jul</v>
      </c>
      <c r="B95" s="383" t="n">
        <f aca="false">B94+1</f>
        <v>46211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TEXT(DATE(YEAR(B$2),MONTH(B$2)+(D96-1),1),"Mmm")</f>
        <v>Jul</v>
      </c>
      <c r="B96" s="383" t="n">
        <f aca="false">B95+1</f>
        <v>46212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TEXT(DATE(YEAR(B$2),MONTH(B$2)+(D97-1),1),"Mmm")</f>
        <v>Jul</v>
      </c>
      <c r="B97" s="383" t="n">
        <f aca="false">B96+1</f>
        <v>46213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TEXT(DATE(YEAR(B$2),MONTH(B$2)+(D98-1),1),"Mmm")</f>
        <v>Jul</v>
      </c>
      <c r="B98" s="383" t="n">
        <f aca="false">B97+1</f>
        <v>46214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TEXT(DATE(YEAR(B$2),MONTH(B$2)+(D99-1),1),"Mmm")</f>
        <v>Jul</v>
      </c>
      <c r="B99" s="383" t="n">
        <f aca="false">B98+1</f>
        <v>46215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TEXT(DATE(YEAR(B$2),MONTH(B$2)+(D100-1),1),"Mmm")</f>
        <v>Jul</v>
      </c>
      <c r="B100" s="383" t="n">
        <f aca="false">B99+1</f>
        <v>46216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TEXT(DATE(YEAR(B$2),MONTH(B$2)+(D101-1),1),"Mmm")</f>
        <v>Jul</v>
      </c>
      <c r="B101" s="383" t="n">
        <f aca="false">B100+1</f>
        <v>46217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TEXT(DATE(YEAR(B$2),MONTH(B$2)+(D102-1),1),"Mmm")</f>
        <v>Jul</v>
      </c>
      <c r="B102" s="383" t="n">
        <f aca="false">B101+1</f>
        <v>46218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TEXT(DATE(YEAR(B$2),MONTH(B$2)+(D103-1),1),"Mmm")</f>
        <v>Jul</v>
      </c>
      <c r="B103" s="383" t="n">
        <f aca="false">B102+1</f>
        <v>46219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TEXT(DATE(YEAR(B$2),MONTH(B$2)+(D104-1),1),"Mmm")</f>
        <v>Jul</v>
      </c>
      <c r="B104" s="383" t="n">
        <f aca="false">B103+1</f>
        <v>46220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TEXT(DATE(YEAR(B$2),MONTH(B$2)+(D105-1),1),"Mmm")</f>
        <v>Jul</v>
      </c>
      <c r="B105" s="383" t="n">
        <f aca="false">B104+1</f>
        <v>46221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TEXT(DATE(YEAR(B$2),MONTH(B$2)+(D106-1),1),"Mmm")</f>
        <v>Jul</v>
      </c>
      <c r="B106" s="383" t="n">
        <f aca="false">B105+1</f>
        <v>46222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TEXT(DATE(YEAR(B$2),MONTH(B$2)+(D107-1),1),"Mmm")</f>
        <v>Jul</v>
      </c>
      <c r="B107" s="383" t="n">
        <f aca="false">B106+1</f>
        <v>46223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TEXT(DATE(YEAR(B$2),MONTH(B$2)+(D108-1),1),"Mmm")</f>
        <v>Jul</v>
      </c>
      <c r="B108" s="383" t="n">
        <f aca="false">B107+1</f>
        <v>46224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TEXT(DATE(YEAR(B$2),MONTH(B$2)+(D109-1),1),"Mmm")</f>
        <v>Jul</v>
      </c>
      <c r="B109" s="383" t="n">
        <f aca="false">B108+1</f>
        <v>46225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TEXT(DATE(YEAR(B$2),MONTH(B$2)+(D110-1),1),"Mmm")</f>
        <v>Jul</v>
      </c>
      <c r="B110" s="383" t="n">
        <f aca="false">B109+1</f>
        <v>46226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TEXT(DATE(YEAR(B$2),MONTH(B$2)+(D111-1),1),"Mmm")</f>
        <v>Jul</v>
      </c>
      <c r="B111" s="383" t="n">
        <f aca="false">B110+1</f>
        <v>46227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TEXT(DATE(YEAR(B$2),MONTH(B$2)+(D112-1),1),"Mmm")</f>
        <v>Jul</v>
      </c>
      <c r="B112" s="383" t="n">
        <f aca="false">B111+1</f>
        <v>46228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TEXT(DATE(YEAR(B$2),MONTH(B$2)+(D113-1),1),"Mmm")</f>
        <v>Jul</v>
      </c>
      <c r="B113" s="383" t="n">
        <f aca="false">B112+1</f>
        <v>46229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TEXT(DATE(YEAR(B$2),MONTH(B$2)+(D114-1),1),"Mmm")</f>
        <v>Jul</v>
      </c>
      <c r="B114" s="383" t="n">
        <f aca="false">B113+1</f>
        <v>46230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TEXT(DATE(YEAR(B$2),MONTH(B$2)+(D115-1),1),"Mmm")</f>
        <v>Jul</v>
      </c>
      <c r="B115" s="383" t="n">
        <f aca="false">B114+1</f>
        <v>46231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TEXT(DATE(YEAR(B$2),MONTH(B$2)+(D116-1),1),"Mmm")</f>
        <v>Jul</v>
      </c>
      <c r="B116" s="383" t="n">
        <f aca="false">B115+1</f>
        <v>46232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TEXT(DATE(YEAR(B$2),MONTH(B$2)+(D117-1),1),"Mmm")</f>
        <v>Jul</v>
      </c>
      <c r="B117" s="383" t="n">
        <f aca="false">B116+1</f>
        <v>46233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TEXT(DATE(YEAR(B$2),MONTH(B$2)+(D118-1),1),"Mmm")</f>
        <v>Jul</v>
      </c>
      <c r="B118" s="383" t="n">
        <f aca="false">B117+1</f>
        <v>46234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TEXT(DATE(YEAR(B$2),MONTH(B$2)+(D119-1),1),"Mmm")</f>
        <v>Aug</v>
      </c>
      <c r="B119" s="383" t="n">
        <f aca="false">B118+1</f>
        <v>46235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TEXT(DATE(YEAR(B$2),MONTH(B$2)+(D120-1),1),"Mmm")</f>
        <v>Aug</v>
      </c>
      <c r="B120" s="383" t="n">
        <f aca="false">B119+1</f>
        <v>46236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TEXT(DATE(YEAR(B$2),MONTH(B$2)+(D121-1),1),"Mmm")</f>
        <v>Aug</v>
      </c>
      <c r="B121" s="383" t="n">
        <f aca="false">B120+1</f>
        <v>46237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TEXT(DATE(YEAR(B$2),MONTH(B$2)+(D122-1),1),"Mmm")</f>
        <v>Aug</v>
      </c>
      <c r="B122" s="383" t="n">
        <f aca="false">B121+1</f>
        <v>46238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TEXT(DATE(YEAR(B$2),MONTH(B$2)+(D123-1),1),"Mmm")</f>
        <v>Aug</v>
      </c>
      <c r="B123" s="383" t="n">
        <f aca="false">B122+1</f>
        <v>46239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TEXT(DATE(YEAR(B$2),MONTH(B$2)+(D124-1),1),"Mmm")</f>
        <v>Aug</v>
      </c>
      <c r="B124" s="383" t="n">
        <f aca="false">B123+1</f>
        <v>46240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TEXT(DATE(YEAR(B$2),MONTH(B$2)+(D125-1),1),"Mmm")</f>
        <v>Aug</v>
      </c>
      <c r="B125" s="383" t="n">
        <f aca="false">B124+1</f>
        <v>46241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TEXT(DATE(YEAR(B$2),MONTH(B$2)+(D126-1),1),"Mmm")</f>
        <v>Aug</v>
      </c>
      <c r="B126" s="383" t="n">
        <f aca="false">B125+1</f>
        <v>46242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TEXT(DATE(YEAR(B$2),MONTH(B$2)+(D127-1),1),"Mmm")</f>
        <v>Aug</v>
      </c>
      <c r="B127" s="383" t="n">
        <f aca="false">B126+1</f>
        <v>46243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TEXT(DATE(YEAR(B$2),MONTH(B$2)+(D128-1),1),"Mmm")</f>
        <v>Aug</v>
      </c>
      <c r="B128" s="383" t="n">
        <f aca="false">B127+1</f>
        <v>46244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TEXT(DATE(YEAR(B$2),MONTH(B$2)+(D129-1),1),"Mmm")</f>
        <v>Aug</v>
      </c>
      <c r="B129" s="383" t="n">
        <f aca="false">B128+1</f>
        <v>46245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TEXT(DATE(YEAR(B$2),MONTH(B$2)+(D130-1),1),"Mmm")</f>
        <v>Aug</v>
      </c>
      <c r="B130" s="383" t="n">
        <f aca="false">B129+1</f>
        <v>46246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TEXT(DATE(YEAR(B$2),MONTH(B$2)+(D131-1),1),"Mmm")</f>
        <v>Aug</v>
      </c>
      <c r="B131" s="383" t="n">
        <f aca="false">B130+1</f>
        <v>46247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TEXT(DATE(YEAR(B$2),MONTH(B$2)+(D132-1),1),"Mmm")</f>
        <v>Aug</v>
      </c>
      <c r="B132" s="383" t="n">
        <f aca="false">B131+1</f>
        <v>46248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TEXT(DATE(YEAR(B$2),MONTH(B$2)+(D133-1),1),"Mmm")</f>
        <v>Aug</v>
      </c>
      <c r="B133" s="383" t="n">
        <f aca="false">B132+1</f>
        <v>46249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TEXT(DATE(YEAR(B$2),MONTH(B$2)+(D134-1),1),"Mmm")</f>
        <v>Aug</v>
      </c>
      <c r="B134" s="383" t="n">
        <f aca="false">B133+1</f>
        <v>46250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TEXT(DATE(YEAR(B$2),MONTH(B$2)+(D135-1),1),"Mmm")</f>
        <v>Aug</v>
      </c>
      <c r="B135" s="383" t="n">
        <f aca="false">B134+1</f>
        <v>46251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TEXT(DATE(YEAR(B$2),MONTH(B$2)+(D136-1),1),"Mmm")</f>
        <v>Aug</v>
      </c>
      <c r="B136" s="383" t="n">
        <f aca="false">B135+1</f>
        <v>46252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TEXT(DATE(YEAR(B$2),MONTH(B$2)+(D137-1),1),"Mmm")</f>
        <v>Aug</v>
      </c>
      <c r="B137" s="383" t="n">
        <f aca="false">B136+1</f>
        <v>46253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TEXT(DATE(YEAR(B$2),MONTH(B$2)+(D138-1),1),"Mmm")</f>
        <v>Aug</v>
      </c>
      <c r="B138" s="383" t="n">
        <f aca="false">B137+1</f>
        <v>46254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TEXT(DATE(YEAR(B$2),MONTH(B$2)+(D139-1),1),"Mmm")</f>
        <v>Aug</v>
      </c>
      <c r="B139" s="383" t="n">
        <f aca="false">B138+1</f>
        <v>46255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TEXT(DATE(YEAR(B$2),MONTH(B$2)+(D140-1),1),"Mmm")</f>
        <v>Aug</v>
      </c>
      <c r="B140" s="383" t="n">
        <f aca="false">B139+1</f>
        <v>46256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TEXT(DATE(YEAR(B$2),MONTH(B$2)+(D141-1),1),"Mmm")</f>
        <v>Aug</v>
      </c>
      <c r="B141" s="383" t="n">
        <f aca="false">B140+1</f>
        <v>46257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TEXT(DATE(YEAR(B$2),MONTH(B$2)+(D142-1),1),"Mmm")</f>
        <v>Aug</v>
      </c>
      <c r="B142" s="383" t="n">
        <f aca="false">B141+1</f>
        <v>46258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TEXT(DATE(YEAR(B$2),MONTH(B$2)+(D143-1),1),"Mmm")</f>
        <v>Aug</v>
      </c>
      <c r="B143" s="383" t="n">
        <f aca="false">B142+1</f>
        <v>46259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TEXT(DATE(YEAR(B$2),MONTH(B$2)+(D144-1),1),"Mmm")</f>
        <v>Aug</v>
      </c>
      <c r="B144" s="383" t="n">
        <f aca="false">B143+1</f>
        <v>46260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TEXT(DATE(YEAR(B$2),MONTH(B$2)+(D145-1),1),"Mmm")</f>
        <v>Aug</v>
      </c>
      <c r="B145" s="383" t="n">
        <f aca="false">B144+1</f>
        <v>46261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TEXT(DATE(YEAR(B$2),MONTH(B$2)+(D146-1),1),"Mmm")</f>
        <v>Aug</v>
      </c>
      <c r="B146" s="383" t="n">
        <f aca="false">B145+1</f>
        <v>46262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TEXT(DATE(YEAR(B$2),MONTH(B$2)+(D147-1),1),"Mmm")</f>
        <v>Sep</v>
      </c>
      <c r="B147" s="383" t="n">
        <f aca="false">B146+1</f>
        <v>46263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TEXT(DATE(YEAR(B$2),MONTH(B$2)+(D148-1),1),"Mmm")</f>
        <v>Sep</v>
      </c>
      <c r="B148" s="383" t="n">
        <f aca="false">B147+1</f>
        <v>46264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TEXT(DATE(YEAR(B$2),MONTH(B$2)+(D149-1),1),"Mmm")</f>
        <v>Sep</v>
      </c>
      <c r="B149" s="383" t="n">
        <f aca="false">B148+1</f>
        <v>46265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TEXT(DATE(YEAR(B$2),MONTH(B$2)+(D150-1),1),"Mmm")</f>
        <v>Sep</v>
      </c>
      <c r="B150" s="383" t="n">
        <f aca="false">B149+1</f>
        <v>46266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TEXT(DATE(YEAR(B$2),MONTH(B$2)+(D151-1),1),"Mmm")</f>
        <v>Sep</v>
      </c>
      <c r="B151" s="383" t="n">
        <f aca="false">B150+1</f>
        <v>46267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TEXT(DATE(YEAR(B$2),MONTH(B$2)+(D152-1),1),"Mmm")</f>
        <v>Sep</v>
      </c>
      <c r="B152" s="383" t="n">
        <f aca="false">B151+1</f>
        <v>46268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TEXT(DATE(YEAR(B$2),MONTH(B$2)+(D153-1),1),"Mmm")</f>
        <v>Sep</v>
      </c>
      <c r="B153" s="383" t="n">
        <f aca="false">B152+1</f>
        <v>46269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TEXT(DATE(YEAR(B$2),MONTH(B$2)+(D154-1),1),"Mmm")</f>
        <v>Sep</v>
      </c>
      <c r="B154" s="383" t="n">
        <f aca="false">B153+1</f>
        <v>46270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TEXT(DATE(YEAR(B$2),MONTH(B$2)+(D155-1),1),"Mmm")</f>
        <v>Sep</v>
      </c>
      <c r="B155" s="383" t="n">
        <f aca="false">B154+1</f>
        <v>46271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TEXT(DATE(YEAR(B$2),MONTH(B$2)+(D156-1),1),"Mmm")</f>
        <v>Sep</v>
      </c>
      <c r="B156" s="383" t="n">
        <f aca="false">B155+1</f>
        <v>46272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TEXT(DATE(YEAR(B$2),MONTH(B$2)+(D157-1),1),"Mmm")</f>
        <v>Sep</v>
      </c>
      <c r="B157" s="383" t="n">
        <f aca="false">B156+1</f>
        <v>46273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TEXT(DATE(YEAR(B$2),MONTH(B$2)+(D158-1),1),"Mmm")</f>
        <v>Sep</v>
      </c>
      <c r="B158" s="383" t="n">
        <f aca="false">B157+1</f>
        <v>46274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TEXT(DATE(YEAR(B$2),MONTH(B$2)+(D159-1),1),"Mmm")</f>
        <v>Sep</v>
      </c>
      <c r="B159" s="383" t="n">
        <f aca="false">B158+1</f>
        <v>46275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TEXT(DATE(YEAR(B$2),MONTH(B$2)+(D160-1),1),"Mmm")</f>
        <v>Sep</v>
      </c>
      <c r="B160" s="383" t="n">
        <f aca="false">B159+1</f>
        <v>46276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TEXT(DATE(YEAR(B$2),MONTH(B$2)+(D161-1),1),"Mmm")</f>
        <v>Sep</v>
      </c>
      <c r="B161" s="383" t="n">
        <f aca="false">B160+1</f>
        <v>46277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TEXT(DATE(YEAR(B$2),MONTH(B$2)+(D162-1),1),"Mmm")</f>
        <v>Sep</v>
      </c>
      <c r="B162" s="383" t="n">
        <f aca="false">B161+1</f>
        <v>46278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TEXT(DATE(YEAR(B$2),MONTH(B$2)+(D163-1),1),"Mmm")</f>
        <v>Sep</v>
      </c>
      <c r="B163" s="383" t="n">
        <f aca="false">B162+1</f>
        <v>46279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TEXT(DATE(YEAR(B$2),MONTH(B$2)+(D164-1),1),"Mmm")</f>
        <v>Sep</v>
      </c>
      <c r="B164" s="383" t="n">
        <f aca="false">B163+1</f>
        <v>46280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TEXT(DATE(YEAR(B$2),MONTH(B$2)+(D165-1),1),"Mmm")</f>
        <v>Sep</v>
      </c>
      <c r="B165" s="383" t="n">
        <f aca="false">B164+1</f>
        <v>46281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TEXT(DATE(YEAR(B$2),MONTH(B$2)+(D166-1),1),"Mmm")</f>
        <v>Sep</v>
      </c>
      <c r="B166" s="383" t="n">
        <f aca="false">B165+1</f>
        <v>46282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TEXT(DATE(YEAR(B$2),MONTH(B$2)+(D167-1),1),"Mmm")</f>
        <v>Sep</v>
      </c>
      <c r="B167" s="383" t="n">
        <f aca="false">B166+1</f>
        <v>46283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TEXT(DATE(YEAR(B$2),MONTH(B$2)+(D168-1),1),"Mmm")</f>
        <v>Sep</v>
      </c>
      <c r="B168" s="383" t="n">
        <f aca="false">B167+1</f>
        <v>46284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TEXT(DATE(YEAR(B$2),MONTH(B$2)+(D169-1),1),"Mmm")</f>
        <v>Sep</v>
      </c>
      <c r="B169" s="383" t="n">
        <f aca="false">B168+1</f>
        <v>46285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TEXT(DATE(YEAR(B$2),MONTH(B$2)+(D170-1),1),"Mmm")</f>
        <v>Sep</v>
      </c>
      <c r="B170" s="383" t="n">
        <f aca="false">B169+1</f>
        <v>46286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TEXT(DATE(YEAR(B$2),MONTH(B$2)+(D171-1),1),"Mmm")</f>
        <v>Sep</v>
      </c>
      <c r="B171" s="383" t="n">
        <f aca="false">B170+1</f>
        <v>46287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TEXT(DATE(YEAR(B$2),MONTH(B$2)+(D172-1),1),"Mmm")</f>
        <v>Sep</v>
      </c>
      <c r="B172" s="383" t="n">
        <f aca="false">B171+1</f>
        <v>46288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TEXT(DATE(YEAR(B$2),MONTH(B$2)+(D173-1),1),"Mmm")</f>
        <v>Sep</v>
      </c>
      <c r="B173" s="383" t="n">
        <f aca="false">B172+1</f>
        <v>46289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TEXT(DATE(YEAR(B$2),MONTH(B$2)+(D174-1),1),"Mmm")</f>
        <v>Sep</v>
      </c>
      <c r="B174" s="383" t="n">
        <f aca="false">B173+1</f>
        <v>46290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TEXT(DATE(YEAR(B$2),MONTH(B$2)+(D175-1),1),"Mmm")</f>
        <v>Sep</v>
      </c>
      <c r="B175" s="383" t="n">
        <f aca="false">B174+1</f>
        <v>46291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TEXT(DATE(YEAR(B$2),MONTH(B$2)+(D176-1),1),"Mmm")</f>
        <v>Sep</v>
      </c>
      <c r="B176" s="383" t="n">
        <f aca="false">B175+1</f>
        <v>46292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TEXT(DATE(YEAR(B$2),MONTH(B$2)+(D177-1),1),"Mmm")</f>
        <v>Sep</v>
      </c>
      <c r="B177" s="383" t="n">
        <f aca="false">B176+1</f>
        <v>46293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TEXT(DATE(YEAR(B$2),MONTH(B$2)+(D178-1),1),"Mmm")</f>
        <v>Sep</v>
      </c>
      <c r="B178" s="383" t="n">
        <f aca="false">B177+1</f>
        <v>46294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TEXT(DATE(YEAR(B$2),MONTH(B$2)+(D179-1),1),"Mmm")</f>
        <v>Sep</v>
      </c>
      <c r="B179" s="383" t="n">
        <f aca="false">B178+1</f>
        <v>46295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TEXT(DATE(YEAR(B$2),MONTH(B$2)+(D180-1),1),"Mmm")</f>
        <v>Sep</v>
      </c>
      <c r="B180" s="383" t="n">
        <f aca="false">B179+1</f>
        <v>46296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TEXT(DATE(YEAR(B$2),MONTH(B$2)+(D181-1),1),"Mmm")</f>
        <v>Sep</v>
      </c>
      <c r="B181" s="383" t="n">
        <f aca="false">B180+1</f>
        <v>46297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TEXT(DATE(YEAR(B$2),MONTH(B$2)+(D182-1),1),"Mmm")</f>
        <v>Oct</v>
      </c>
      <c r="B182" s="383" t="n">
        <f aca="false">B181+1</f>
        <v>46298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TEXT(DATE(YEAR(B$2),MONTH(B$2)+(D183-1),1),"Mmm")</f>
        <v>Oct</v>
      </c>
      <c r="B183" s="383" t="n">
        <f aca="false">B182+1</f>
        <v>46299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TEXT(DATE(YEAR(B$2),MONTH(B$2)+(D184-1),1),"Mmm")</f>
        <v>Oct</v>
      </c>
      <c r="B184" s="383" t="n">
        <f aca="false">B183+1</f>
        <v>46300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TEXT(DATE(YEAR(B$2),MONTH(B$2)+(D185-1),1),"Mmm")</f>
        <v>Oct</v>
      </c>
      <c r="B185" s="383" t="n">
        <f aca="false">B184+1</f>
        <v>46301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TEXT(DATE(YEAR(B$2),MONTH(B$2)+(D186-1),1),"Mmm")</f>
        <v>Oct</v>
      </c>
      <c r="B186" s="383" t="n">
        <f aca="false">B185+1</f>
        <v>46302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TEXT(DATE(YEAR(B$2),MONTH(B$2)+(D187-1),1),"Mmm")</f>
        <v>Oct</v>
      </c>
      <c r="B187" s="383" t="n">
        <f aca="false">B186+1</f>
        <v>46303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TEXT(DATE(YEAR(B$2),MONTH(B$2)+(D188-1),1),"Mmm")</f>
        <v>Oct</v>
      </c>
      <c r="B188" s="383" t="n">
        <f aca="false">B187+1</f>
        <v>46304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TEXT(DATE(YEAR(B$2),MONTH(B$2)+(D189-1),1),"Mmm")</f>
        <v>Oct</v>
      </c>
      <c r="B189" s="383" t="n">
        <f aca="false">B188+1</f>
        <v>46305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TEXT(DATE(YEAR(B$2),MONTH(B$2)+(D190-1),1),"Mmm")</f>
        <v>Oct</v>
      </c>
      <c r="B190" s="383" t="n">
        <f aca="false">B189+1</f>
        <v>46306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TEXT(DATE(YEAR(B$2),MONTH(B$2)+(D191-1),1),"Mmm")</f>
        <v>Oct</v>
      </c>
      <c r="B191" s="383" t="n">
        <f aca="false">B190+1</f>
        <v>46307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TEXT(DATE(YEAR(B$2),MONTH(B$2)+(D192-1),1),"Mmm")</f>
        <v>Oct</v>
      </c>
      <c r="B192" s="383" t="n">
        <f aca="false">B191+1</f>
        <v>46308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TEXT(DATE(YEAR(B$2),MONTH(B$2)+(D193-1),1),"Mmm")</f>
        <v>Oct</v>
      </c>
      <c r="B193" s="383" t="n">
        <f aca="false">B192+1</f>
        <v>46309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TEXT(DATE(YEAR(B$2),MONTH(B$2)+(D194-1),1),"Mmm")</f>
        <v>Oct</v>
      </c>
      <c r="B194" s="383" t="n">
        <f aca="false">B193+1</f>
        <v>46310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TEXT(DATE(YEAR(B$2),MONTH(B$2)+(D195-1),1),"Mmm")</f>
        <v>Oct</v>
      </c>
      <c r="B195" s="383" t="n">
        <f aca="false">B194+1</f>
        <v>46311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TEXT(DATE(YEAR(B$2),MONTH(B$2)+(D196-1),1),"Mmm")</f>
        <v>Oct</v>
      </c>
      <c r="B196" s="383" t="n">
        <f aca="false">B195+1</f>
        <v>46312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TEXT(DATE(YEAR(B$2),MONTH(B$2)+(D197-1),1),"Mmm")</f>
        <v>Oct</v>
      </c>
      <c r="B197" s="383" t="n">
        <f aca="false">B196+1</f>
        <v>46313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TEXT(DATE(YEAR(B$2),MONTH(B$2)+(D198-1),1),"Mmm")</f>
        <v>Oct</v>
      </c>
      <c r="B198" s="383" t="n">
        <f aca="false">B197+1</f>
        <v>46314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TEXT(DATE(YEAR(B$2),MONTH(B$2)+(D199-1),1),"Mmm")</f>
        <v>Oct</v>
      </c>
      <c r="B199" s="383" t="n">
        <f aca="false">B198+1</f>
        <v>46315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TEXT(DATE(YEAR(B$2),MONTH(B$2)+(D200-1),1),"Mmm")</f>
        <v>Oct</v>
      </c>
      <c r="B200" s="383" t="n">
        <f aca="false">B199+1</f>
        <v>46316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TEXT(DATE(YEAR(B$2),MONTH(B$2)+(D201-1),1),"Mmm")</f>
        <v>Oct</v>
      </c>
      <c r="B201" s="383" t="n">
        <f aca="false">B200+1</f>
        <v>46317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TEXT(DATE(YEAR(B$2),MONTH(B$2)+(D202-1),1),"Mmm")</f>
        <v>Oct</v>
      </c>
      <c r="B202" s="383" t="n">
        <f aca="false">B201+1</f>
        <v>46318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TEXT(DATE(YEAR(B$2),MONTH(B$2)+(D203-1),1),"Mmm")</f>
        <v>Oct</v>
      </c>
      <c r="B203" s="383" t="n">
        <f aca="false">B202+1</f>
        <v>46319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TEXT(DATE(YEAR(B$2),MONTH(B$2)+(D204-1),1),"Mmm")</f>
        <v>Oct</v>
      </c>
      <c r="B204" s="383" t="n">
        <f aca="false">B203+1</f>
        <v>46320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TEXT(DATE(YEAR(B$2),MONTH(B$2)+(D205-1),1),"Mmm")</f>
        <v>Oct</v>
      </c>
      <c r="B205" s="383" t="n">
        <f aca="false">B204+1</f>
        <v>46321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TEXT(DATE(YEAR(B$2),MONTH(B$2)+(D206-1),1),"Mmm")</f>
        <v>Oct</v>
      </c>
      <c r="B206" s="383" t="n">
        <f aca="false">B205+1</f>
        <v>46322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TEXT(DATE(YEAR(B$2),MONTH(B$2)+(D207-1),1),"Mmm")</f>
        <v>Oct</v>
      </c>
      <c r="B207" s="383" t="n">
        <f aca="false">B206+1</f>
        <v>46323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TEXT(DATE(YEAR(B$2),MONTH(B$2)+(D208-1),1),"Mmm")</f>
        <v>Oct</v>
      </c>
      <c r="B208" s="383" t="n">
        <f aca="false">B207+1</f>
        <v>46324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TEXT(DATE(YEAR(B$2),MONTH(B$2)+(D209-1),1),"Mmm")</f>
        <v>Oct</v>
      </c>
      <c r="B209" s="383" t="n">
        <f aca="false">B208+1</f>
        <v>46325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TEXT(DATE(YEAR(B$2),MONTH(B$2)+(D210-1),1),"Mmm")</f>
        <v>Nov</v>
      </c>
      <c r="B210" s="383" t="n">
        <f aca="false">B209+1</f>
        <v>46326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TEXT(DATE(YEAR(B$2),MONTH(B$2)+(D211-1),1),"Mmm")</f>
        <v>Nov</v>
      </c>
      <c r="B211" s="383" t="n">
        <f aca="false">B210+1</f>
        <v>46327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TEXT(DATE(YEAR(B$2),MONTH(B$2)+(D212-1),1),"Mmm")</f>
        <v>Nov</v>
      </c>
      <c r="B212" s="383" t="n">
        <f aca="false">B211+1</f>
        <v>46328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TEXT(DATE(YEAR(B$2),MONTH(B$2)+(D213-1),1),"Mmm")</f>
        <v>Nov</v>
      </c>
      <c r="B213" s="383" t="n">
        <f aca="false">B212+1</f>
        <v>46329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TEXT(DATE(YEAR(B$2),MONTH(B$2)+(D214-1),1),"Mmm")</f>
        <v>Nov</v>
      </c>
      <c r="B214" s="383" t="n">
        <f aca="false">B213+1</f>
        <v>46330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TEXT(DATE(YEAR(B$2),MONTH(B$2)+(D215-1),1),"Mmm")</f>
        <v>Nov</v>
      </c>
      <c r="B215" s="383" t="n">
        <f aca="false">B214+1</f>
        <v>46331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TEXT(DATE(YEAR(B$2),MONTH(B$2)+(D216-1),1),"Mmm")</f>
        <v>Nov</v>
      </c>
      <c r="B216" s="383" t="n">
        <f aca="false">B215+1</f>
        <v>46332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TEXT(DATE(YEAR(B$2),MONTH(B$2)+(D217-1),1),"Mmm")</f>
        <v>Nov</v>
      </c>
      <c r="B217" s="383" t="n">
        <f aca="false">B216+1</f>
        <v>46333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TEXT(DATE(YEAR(B$2),MONTH(B$2)+(D218-1),1),"Mmm")</f>
        <v>Nov</v>
      </c>
      <c r="B218" s="383" t="n">
        <f aca="false">B217+1</f>
        <v>46334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TEXT(DATE(YEAR(B$2),MONTH(B$2)+(D219-1),1),"Mmm")</f>
        <v>Nov</v>
      </c>
      <c r="B219" s="383" t="n">
        <f aca="false">B218+1</f>
        <v>46335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TEXT(DATE(YEAR(B$2),MONTH(B$2)+(D220-1),1),"Mmm")</f>
        <v>Nov</v>
      </c>
      <c r="B220" s="383" t="n">
        <f aca="false">B219+1</f>
        <v>46336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TEXT(DATE(YEAR(B$2),MONTH(B$2)+(D221-1),1),"Mmm")</f>
        <v>Nov</v>
      </c>
      <c r="B221" s="383" t="n">
        <f aca="false">B220+1</f>
        <v>46337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TEXT(DATE(YEAR(B$2),MONTH(B$2)+(D222-1),1),"Mmm")</f>
        <v>Nov</v>
      </c>
      <c r="B222" s="383" t="n">
        <f aca="false">B221+1</f>
        <v>46338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TEXT(DATE(YEAR(B$2),MONTH(B$2)+(D223-1),1),"Mmm")</f>
        <v>Nov</v>
      </c>
      <c r="B223" s="383" t="n">
        <f aca="false">B222+1</f>
        <v>46339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TEXT(DATE(YEAR(B$2),MONTH(B$2)+(D224-1),1),"Mmm")</f>
        <v>Nov</v>
      </c>
      <c r="B224" s="383" t="n">
        <f aca="false">B223+1</f>
        <v>46340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TEXT(DATE(YEAR(B$2),MONTH(B$2)+(D225-1),1),"Mmm")</f>
        <v>Nov</v>
      </c>
      <c r="B225" s="383" t="n">
        <f aca="false">B224+1</f>
        <v>46341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TEXT(DATE(YEAR(B$2),MONTH(B$2)+(D226-1),1),"Mmm")</f>
        <v>Nov</v>
      </c>
      <c r="B226" s="383" t="n">
        <f aca="false">B225+1</f>
        <v>46342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TEXT(DATE(YEAR(B$2),MONTH(B$2)+(D227-1),1),"Mmm")</f>
        <v>Nov</v>
      </c>
      <c r="B227" s="383" t="n">
        <f aca="false">B226+1</f>
        <v>46343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TEXT(DATE(YEAR(B$2),MONTH(B$2)+(D228-1),1),"Mmm")</f>
        <v>Nov</v>
      </c>
      <c r="B228" s="383" t="n">
        <f aca="false">B227+1</f>
        <v>46344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TEXT(DATE(YEAR(B$2),MONTH(B$2)+(D229-1),1),"Mmm")</f>
        <v>Nov</v>
      </c>
      <c r="B229" s="383" t="n">
        <f aca="false">B228+1</f>
        <v>46345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TEXT(DATE(YEAR(B$2),MONTH(B$2)+(D230-1),1),"Mmm")</f>
        <v>Nov</v>
      </c>
      <c r="B230" s="383" t="n">
        <f aca="false">B229+1</f>
        <v>46346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TEXT(DATE(YEAR(B$2),MONTH(B$2)+(D231-1),1),"Mmm")</f>
        <v>Nov</v>
      </c>
      <c r="B231" s="383" t="n">
        <f aca="false">B230+1</f>
        <v>46347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TEXT(DATE(YEAR(B$2),MONTH(B$2)+(D232-1),1),"Mmm")</f>
        <v>Nov</v>
      </c>
      <c r="B232" s="383" t="n">
        <f aca="false">B231+1</f>
        <v>46348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TEXT(DATE(YEAR(B$2),MONTH(B$2)+(D233-1),1),"Mmm")</f>
        <v>Nov</v>
      </c>
      <c r="B233" s="383" t="n">
        <f aca="false">B232+1</f>
        <v>46349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TEXT(DATE(YEAR(B$2),MONTH(B$2)+(D234-1),1),"Mmm")</f>
        <v>Nov</v>
      </c>
      <c r="B234" s="383" t="n">
        <f aca="false">B233+1</f>
        <v>46350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TEXT(DATE(YEAR(B$2),MONTH(B$2)+(D235-1),1),"Mmm")</f>
        <v>Nov</v>
      </c>
      <c r="B235" s="383" t="n">
        <f aca="false">B234+1</f>
        <v>46351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TEXT(DATE(YEAR(B$2),MONTH(B$2)+(D236-1),1),"Mmm")</f>
        <v>Nov</v>
      </c>
      <c r="B236" s="383" t="n">
        <f aca="false">B235+1</f>
        <v>46352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TEXT(DATE(YEAR(B$2),MONTH(B$2)+(D237-1),1),"Mmm")</f>
        <v>Nov</v>
      </c>
      <c r="B237" s="383" t="n">
        <f aca="false">B236+1</f>
        <v>46353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TEXT(DATE(YEAR(B$2),MONTH(B$2)+(D238-1),1),"Mmm")</f>
        <v>Dec</v>
      </c>
      <c r="B238" s="383" t="n">
        <f aca="false">B237+1</f>
        <v>46354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TEXT(DATE(YEAR(B$2),MONTH(B$2)+(D239-1),1),"Mmm")</f>
        <v>Dec</v>
      </c>
      <c r="B239" s="383" t="n">
        <f aca="false">B238+1</f>
        <v>46355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TEXT(DATE(YEAR(B$2),MONTH(B$2)+(D240-1),1),"Mmm")</f>
        <v>Dec</v>
      </c>
      <c r="B240" s="383" t="n">
        <f aca="false">B239+1</f>
        <v>46356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TEXT(DATE(YEAR(B$2),MONTH(B$2)+(D241-1),1),"Mmm")</f>
        <v>Dec</v>
      </c>
      <c r="B241" s="383" t="n">
        <f aca="false">B240+1</f>
        <v>46357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TEXT(DATE(YEAR(B$2),MONTH(B$2)+(D242-1),1),"Mmm")</f>
        <v>Dec</v>
      </c>
      <c r="B242" s="383" t="n">
        <f aca="false">B241+1</f>
        <v>46358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TEXT(DATE(YEAR(B$2),MONTH(B$2)+(D243-1),1),"Mmm")</f>
        <v>Dec</v>
      </c>
      <c r="B243" s="383" t="n">
        <f aca="false">B242+1</f>
        <v>46359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TEXT(DATE(YEAR(B$2),MONTH(B$2)+(D244-1),1),"Mmm")</f>
        <v>Dec</v>
      </c>
      <c r="B244" s="383" t="n">
        <f aca="false">B243+1</f>
        <v>46360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TEXT(DATE(YEAR(B$2),MONTH(B$2)+(D245-1),1),"Mmm")</f>
        <v>Dec</v>
      </c>
      <c r="B245" s="383" t="n">
        <f aca="false">B244+1</f>
        <v>46361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TEXT(DATE(YEAR(B$2),MONTH(B$2)+(D246-1),1),"Mmm")</f>
        <v>Dec</v>
      </c>
      <c r="B246" s="383" t="n">
        <f aca="false">B245+1</f>
        <v>46362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TEXT(DATE(YEAR(B$2),MONTH(B$2)+(D247-1),1),"Mmm")</f>
        <v>Dec</v>
      </c>
      <c r="B247" s="383" t="n">
        <f aca="false">B246+1</f>
        <v>46363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TEXT(DATE(YEAR(B$2),MONTH(B$2)+(D248-1),1),"Mmm")</f>
        <v>Dec</v>
      </c>
      <c r="B248" s="383" t="n">
        <f aca="false">B247+1</f>
        <v>46364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TEXT(DATE(YEAR(B$2),MONTH(B$2)+(D249-1),1),"Mmm")</f>
        <v>Dec</v>
      </c>
      <c r="B249" s="383" t="n">
        <f aca="false">B248+1</f>
        <v>46365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TEXT(DATE(YEAR(B$2),MONTH(B$2)+(D250-1),1),"Mmm")</f>
        <v>Dec</v>
      </c>
      <c r="B250" s="383" t="n">
        <f aca="false">B249+1</f>
        <v>46366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TEXT(DATE(YEAR(B$2),MONTH(B$2)+(D251-1),1),"Mmm")</f>
        <v>Dec</v>
      </c>
      <c r="B251" s="383" t="n">
        <f aca="false">B250+1</f>
        <v>46367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TEXT(DATE(YEAR(B$2),MONTH(B$2)+(D252-1),1),"Mmm")</f>
        <v>Dec</v>
      </c>
      <c r="B252" s="383" t="n">
        <f aca="false">B251+1</f>
        <v>46368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TEXT(DATE(YEAR(B$2),MONTH(B$2)+(D253-1),1),"Mmm")</f>
        <v>Dec</v>
      </c>
      <c r="B253" s="383" t="n">
        <f aca="false">B252+1</f>
        <v>46369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TEXT(DATE(YEAR(B$2),MONTH(B$2)+(D254-1),1),"Mmm")</f>
        <v>Dec</v>
      </c>
      <c r="B254" s="383" t="n">
        <f aca="false">B253+1</f>
        <v>46370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TEXT(DATE(YEAR(B$2),MONTH(B$2)+(D255-1),1),"Mmm")</f>
        <v>Dec</v>
      </c>
      <c r="B255" s="383" t="n">
        <f aca="false">B254+1</f>
        <v>46371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TEXT(DATE(YEAR(B$2),MONTH(B$2)+(D256-1),1),"Mmm")</f>
        <v>Dec</v>
      </c>
      <c r="B256" s="383" t="n">
        <f aca="false">B255+1</f>
        <v>46372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TEXT(DATE(YEAR(B$2),MONTH(B$2)+(D257-1),1),"Mmm")</f>
        <v>Dec</v>
      </c>
      <c r="B257" s="383" t="n">
        <f aca="false">B256+1</f>
        <v>46373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TEXT(DATE(YEAR(B$2),MONTH(B$2)+(D258-1),1),"Mmm")</f>
        <v>Dec</v>
      </c>
      <c r="B258" s="383" t="n">
        <f aca="false">B257+1</f>
        <v>46374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TEXT(DATE(YEAR(B$2),MONTH(B$2)+(D259-1),1),"Mmm")</f>
        <v>Dec</v>
      </c>
      <c r="B259" s="383" t="n">
        <f aca="false">B258+1</f>
        <v>46375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TEXT(DATE(YEAR(B$2),MONTH(B$2)+(D260-1),1),"Mmm")</f>
        <v>Dec</v>
      </c>
      <c r="B260" s="383" t="n">
        <f aca="false">B259+1</f>
        <v>46376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TEXT(DATE(YEAR(B$2),MONTH(B$2)+(D261-1),1),"Mmm")</f>
        <v>Dec</v>
      </c>
      <c r="B261" s="383" t="n">
        <f aca="false">B260+1</f>
        <v>46377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TEXT(DATE(YEAR(B$2),MONTH(B$2)+(D262-1),1),"Mmm")</f>
        <v>Dec</v>
      </c>
      <c r="B262" s="383" t="n">
        <f aca="false">B261+1</f>
        <v>46378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TEXT(DATE(YEAR(B$2),MONTH(B$2)+(D263-1),1),"Mmm")</f>
        <v>Dec</v>
      </c>
      <c r="B263" s="383" t="n">
        <f aca="false">B262+1</f>
        <v>46379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TEXT(DATE(YEAR(B$2),MONTH(B$2)+(D264-1),1),"Mmm")</f>
        <v>Dec</v>
      </c>
      <c r="B264" s="383" t="n">
        <f aca="false">B263+1</f>
        <v>46380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TEXT(DATE(YEAR(B$2),MONTH(B$2)+(D265-1),1),"Mmm")</f>
        <v>Dec</v>
      </c>
      <c r="B265" s="383" t="n">
        <f aca="false">B264+1</f>
        <v>46381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TEXT(DATE(YEAR(B$2),MONTH(B$2)+(D266-1),1),"Mmm")</f>
        <v>Dec</v>
      </c>
      <c r="B266" s="383" t="n">
        <f aca="false">B265+1</f>
        <v>46382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TEXT(DATE(YEAR(B$2),MONTH(B$2)+(D267-1),1),"Mmm")</f>
        <v>Dec</v>
      </c>
      <c r="B267" s="383" t="n">
        <f aca="false">B266+1</f>
        <v>46383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TEXT(DATE(YEAR(B$2),MONTH(B$2)+(D268-1),1),"Mmm")</f>
        <v>Dec</v>
      </c>
      <c r="B268" s="383" t="n">
        <f aca="false">B267+1</f>
        <v>46384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TEXT(DATE(YEAR(B$2),MONTH(B$2)+(D269-1),1),"Mmm")</f>
        <v>Dec</v>
      </c>
      <c r="B269" s="383" t="n">
        <f aca="false">B268+1</f>
        <v>46385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TEXT(DATE(YEAR(B$2),MONTH(B$2)+(D270-1),1),"Mmm")</f>
        <v>Dec</v>
      </c>
      <c r="B270" s="383" t="n">
        <f aca="false">B269+1</f>
        <v>46386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TEXT(DATE(YEAR(B$2),MONTH(B$2)+(D271-1),1),"Mmm")</f>
        <v>Dec</v>
      </c>
      <c r="B271" s="383" t="n">
        <f aca="false">B270+1</f>
        <v>46387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TEXT(DATE(YEAR(B$2),MONTH(B$2)+(D272-1),1),"Mmm")</f>
        <v>Dec</v>
      </c>
      <c r="B272" s="383" t="n">
        <f aca="false">B271+1</f>
        <v>46388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TEXT(DATE(YEAR(B$2),MONTH(B$2)+(D273-1),1),"Mmm")</f>
        <v>Jan</v>
      </c>
      <c r="B273" s="383" t="n">
        <f aca="false">B272+1</f>
        <v>46389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TEXT(DATE(YEAR(B$2),MONTH(B$2)+(D274-1),1),"Mmm")</f>
        <v>Jan</v>
      </c>
      <c r="B274" s="383" t="n">
        <f aca="false">B273+1</f>
        <v>46390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TEXT(DATE(YEAR(B$2),MONTH(B$2)+(D275-1),1),"Mmm")</f>
        <v>Jan</v>
      </c>
      <c r="B275" s="383" t="n">
        <f aca="false">B274+1</f>
        <v>46391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TEXT(DATE(YEAR(B$2),MONTH(B$2)+(D276-1),1),"Mmm")</f>
        <v>Jan</v>
      </c>
      <c r="B276" s="383" t="n">
        <f aca="false">B275+1</f>
        <v>46392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TEXT(DATE(YEAR(B$2),MONTH(B$2)+(D277-1),1),"Mmm")</f>
        <v>Jan</v>
      </c>
      <c r="B277" s="383" t="n">
        <f aca="false">B276+1</f>
        <v>46393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TEXT(DATE(YEAR(B$2),MONTH(B$2)+(D278-1),1),"Mmm")</f>
        <v>Jan</v>
      </c>
      <c r="B278" s="383" t="n">
        <f aca="false">B277+1</f>
        <v>46394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TEXT(DATE(YEAR(B$2),MONTH(B$2)+(D279-1),1),"Mmm")</f>
        <v>Jan</v>
      </c>
      <c r="B279" s="383" t="n">
        <f aca="false">B278+1</f>
        <v>46395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TEXT(DATE(YEAR(B$2),MONTH(B$2)+(D280-1),1),"Mmm")</f>
        <v>Jan</v>
      </c>
      <c r="B280" s="383" t="n">
        <f aca="false">B279+1</f>
        <v>46396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TEXT(DATE(YEAR(B$2),MONTH(B$2)+(D281-1),1),"Mmm")</f>
        <v>Jan</v>
      </c>
      <c r="B281" s="383" t="n">
        <f aca="false">B280+1</f>
        <v>46397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TEXT(DATE(YEAR(B$2),MONTH(B$2)+(D282-1),1),"Mmm")</f>
        <v>Jan</v>
      </c>
      <c r="B282" s="383" t="n">
        <f aca="false">B281+1</f>
        <v>46398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TEXT(DATE(YEAR(B$2),MONTH(B$2)+(D283-1),1),"Mmm")</f>
        <v>Jan</v>
      </c>
      <c r="B283" s="383" t="n">
        <f aca="false">B282+1</f>
        <v>46399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TEXT(DATE(YEAR(B$2),MONTH(B$2)+(D284-1),1),"Mmm")</f>
        <v>Jan</v>
      </c>
      <c r="B284" s="383" t="n">
        <f aca="false">B283+1</f>
        <v>46400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TEXT(DATE(YEAR(B$2),MONTH(B$2)+(D285-1),1),"Mmm")</f>
        <v>Jan</v>
      </c>
      <c r="B285" s="383" t="n">
        <f aca="false">B284+1</f>
        <v>46401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TEXT(DATE(YEAR(B$2),MONTH(B$2)+(D286-1),1),"Mmm")</f>
        <v>Jan</v>
      </c>
      <c r="B286" s="383" t="n">
        <f aca="false">B285+1</f>
        <v>46402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TEXT(DATE(YEAR(B$2),MONTH(B$2)+(D287-1),1),"Mmm")</f>
        <v>Jan</v>
      </c>
      <c r="B287" s="383" t="n">
        <f aca="false">B286+1</f>
        <v>46403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TEXT(DATE(YEAR(B$2),MONTH(B$2)+(D288-1),1),"Mmm")</f>
        <v>Jan</v>
      </c>
      <c r="B288" s="383" t="n">
        <f aca="false">B287+1</f>
        <v>46404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TEXT(DATE(YEAR(B$2),MONTH(B$2)+(D289-1),1),"Mmm")</f>
        <v>Jan</v>
      </c>
      <c r="B289" s="383" t="n">
        <f aca="false">B288+1</f>
        <v>46405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TEXT(DATE(YEAR(B$2),MONTH(B$2)+(D290-1),1),"Mmm")</f>
        <v>Jan</v>
      </c>
      <c r="B290" s="383" t="n">
        <f aca="false">B289+1</f>
        <v>46406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TEXT(DATE(YEAR(B$2),MONTH(B$2)+(D291-1),1),"Mmm")</f>
        <v>Jan</v>
      </c>
      <c r="B291" s="383" t="n">
        <f aca="false">B290+1</f>
        <v>46407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TEXT(DATE(YEAR(B$2),MONTH(B$2)+(D292-1),1),"Mmm")</f>
        <v>Jan</v>
      </c>
      <c r="B292" s="383" t="n">
        <f aca="false">B291+1</f>
        <v>46408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TEXT(DATE(YEAR(B$2),MONTH(B$2)+(D293-1),1),"Mmm")</f>
        <v>Jan</v>
      </c>
      <c r="B293" s="383" t="n">
        <f aca="false">B292+1</f>
        <v>46409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TEXT(DATE(YEAR(B$2),MONTH(B$2)+(D294-1),1),"Mmm")</f>
        <v>Jan</v>
      </c>
      <c r="B294" s="383" t="n">
        <f aca="false">B293+1</f>
        <v>46410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TEXT(DATE(YEAR(B$2),MONTH(B$2)+(D295-1),1),"Mmm")</f>
        <v>Jan</v>
      </c>
      <c r="B295" s="383" t="n">
        <f aca="false">B294+1</f>
        <v>46411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TEXT(DATE(YEAR(B$2),MONTH(B$2)+(D296-1),1),"Mmm")</f>
        <v>Jan</v>
      </c>
      <c r="B296" s="383" t="n">
        <f aca="false">B295+1</f>
        <v>46412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TEXT(DATE(YEAR(B$2),MONTH(B$2)+(D297-1),1),"Mmm")</f>
        <v>Jan</v>
      </c>
      <c r="B297" s="383" t="n">
        <f aca="false">B296+1</f>
        <v>46413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TEXT(DATE(YEAR(B$2),MONTH(B$2)+(D298-1),1),"Mmm")</f>
        <v>Jan</v>
      </c>
      <c r="B298" s="383" t="n">
        <f aca="false">B297+1</f>
        <v>46414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TEXT(DATE(YEAR(B$2),MONTH(B$2)+(D299-1),1),"Mmm")</f>
        <v>Jan</v>
      </c>
      <c r="B299" s="383" t="n">
        <f aca="false">B298+1</f>
        <v>46415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TEXT(DATE(YEAR(B$2),MONTH(B$2)+(D300-1),1),"Mmm")</f>
        <v>Jan</v>
      </c>
      <c r="B300" s="383" t="n">
        <f aca="false">B299+1</f>
        <v>46416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TEXT(DATE(YEAR(B$2),MONTH(B$2)+(D301-1),1),"Mmm")</f>
        <v>Feb</v>
      </c>
      <c r="B301" s="383" t="n">
        <f aca="false">B300+1</f>
        <v>46417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TEXT(DATE(YEAR(B$2),MONTH(B$2)+(D302-1),1),"Mmm")</f>
        <v>Feb</v>
      </c>
      <c r="B302" s="383" t="n">
        <f aca="false">B301+1</f>
        <v>46418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TEXT(DATE(YEAR(B$2),MONTH(B$2)+(D303-1),1),"Mmm")</f>
        <v>Feb</v>
      </c>
      <c r="B303" s="383" t="n">
        <f aca="false">B302+1</f>
        <v>46419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TEXT(DATE(YEAR(B$2),MONTH(B$2)+(D304-1),1),"Mmm")</f>
        <v>Feb</v>
      </c>
      <c r="B304" s="383" t="n">
        <f aca="false">B303+1</f>
        <v>46420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TEXT(DATE(YEAR(B$2),MONTH(B$2)+(D305-1),1),"Mmm")</f>
        <v>Feb</v>
      </c>
      <c r="B305" s="383" t="n">
        <f aca="false">B304+1</f>
        <v>46421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TEXT(DATE(YEAR(B$2),MONTH(B$2)+(D306-1),1),"Mmm")</f>
        <v>Feb</v>
      </c>
      <c r="B306" s="383" t="n">
        <f aca="false">B305+1</f>
        <v>46422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TEXT(DATE(YEAR(B$2),MONTH(B$2)+(D307-1),1),"Mmm")</f>
        <v>Feb</v>
      </c>
      <c r="B307" s="383" t="n">
        <f aca="false">B306+1</f>
        <v>46423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TEXT(DATE(YEAR(B$2),MONTH(B$2)+(D308-1),1),"Mmm")</f>
        <v>Feb</v>
      </c>
      <c r="B308" s="383" t="n">
        <f aca="false">B307+1</f>
        <v>46424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TEXT(DATE(YEAR(B$2),MONTH(B$2)+(D309-1),1),"Mmm")</f>
        <v>Feb</v>
      </c>
      <c r="B309" s="383" t="n">
        <f aca="false">B308+1</f>
        <v>46425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TEXT(DATE(YEAR(B$2),MONTH(B$2)+(D310-1),1),"Mmm")</f>
        <v>Feb</v>
      </c>
      <c r="B310" s="383" t="n">
        <f aca="false">B309+1</f>
        <v>46426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TEXT(DATE(YEAR(B$2),MONTH(B$2)+(D311-1),1),"Mmm")</f>
        <v>Feb</v>
      </c>
      <c r="B311" s="383" t="n">
        <f aca="false">B310+1</f>
        <v>46427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TEXT(DATE(YEAR(B$2),MONTH(B$2)+(D312-1),1),"Mmm")</f>
        <v>Feb</v>
      </c>
      <c r="B312" s="383" t="n">
        <f aca="false">B311+1</f>
        <v>46428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TEXT(DATE(YEAR(B$2),MONTH(B$2)+(D313-1),1),"Mmm")</f>
        <v>Feb</v>
      </c>
      <c r="B313" s="383" t="n">
        <f aca="false">B312+1</f>
        <v>46429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TEXT(DATE(YEAR(B$2),MONTH(B$2)+(D314-1),1),"Mmm")</f>
        <v>Feb</v>
      </c>
      <c r="B314" s="383" t="n">
        <f aca="false">B313+1</f>
        <v>46430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TEXT(DATE(YEAR(B$2),MONTH(B$2)+(D315-1),1),"Mmm")</f>
        <v>Feb</v>
      </c>
      <c r="B315" s="383" t="n">
        <f aca="false">B314+1</f>
        <v>46431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TEXT(DATE(YEAR(B$2),MONTH(B$2)+(D316-1),1),"Mmm")</f>
        <v>Feb</v>
      </c>
      <c r="B316" s="383" t="n">
        <f aca="false">B315+1</f>
        <v>46432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TEXT(DATE(YEAR(B$2),MONTH(B$2)+(D317-1),1),"Mmm")</f>
        <v>Feb</v>
      </c>
      <c r="B317" s="383" t="n">
        <f aca="false">B316+1</f>
        <v>46433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TEXT(DATE(YEAR(B$2),MONTH(B$2)+(D318-1),1),"Mmm")</f>
        <v>Feb</v>
      </c>
      <c r="B318" s="383" t="n">
        <f aca="false">B317+1</f>
        <v>46434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TEXT(DATE(YEAR(B$2),MONTH(B$2)+(D319-1),1),"Mmm")</f>
        <v>Feb</v>
      </c>
      <c r="B319" s="383" t="n">
        <f aca="false">B318+1</f>
        <v>46435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TEXT(DATE(YEAR(B$2),MONTH(B$2)+(D320-1),1),"Mmm")</f>
        <v>Feb</v>
      </c>
      <c r="B320" s="383" t="n">
        <f aca="false">B319+1</f>
        <v>46436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TEXT(DATE(YEAR(B$2),MONTH(B$2)+(D321-1),1),"Mmm")</f>
        <v>Feb</v>
      </c>
      <c r="B321" s="383" t="n">
        <f aca="false">B320+1</f>
        <v>46437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TEXT(DATE(YEAR(B$2),MONTH(B$2)+(D322-1),1),"Mmm")</f>
        <v>Feb</v>
      </c>
      <c r="B322" s="383" t="n">
        <f aca="false">B321+1</f>
        <v>46438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TEXT(DATE(YEAR(B$2),MONTH(B$2)+(D323-1),1),"Mmm")</f>
        <v>Feb</v>
      </c>
      <c r="B323" s="383" t="n">
        <f aca="false">B322+1</f>
        <v>46439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TEXT(DATE(YEAR(B$2),MONTH(B$2)+(D324-1),1),"Mmm")</f>
        <v>Feb</v>
      </c>
      <c r="B324" s="383" t="n">
        <f aca="false">B323+1</f>
        <v>46440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TEXT(DATE(YEAR(B$2),MONTH(B$2)+(D325-1),1),"Mmm")</f>
        <v>Feb</v>
      </c>
      <c r="B325" s="383" t="n">
        <f aca="false">B324+1</f>
        <v>46441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TEXT(DATE(YEAR(B$2),MONTH(B$2)+(D326-1),1),"Mmm")</f>
        <v>Feb</v>
      </c>
      <c r="B326" s="383" t="n">
        <f aca="false">B325+1</f>
        <v>46442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TEXT(DATE(YEAR(B$2),MONTH(B$2)+(D327-1),1),"Mmm")</f>
        <v>Feb</v>
      </c>
      <c r="B327" s="383" t="n">
        <f aca="false">B326+1</f>
        <v>46443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TEXT(DATE(YEAR(B$2),MONTH(B$2)+(D328-1),1),"Mmm")</f>
        <v>Feb</v>
      </c>
      <c r="B328" s="383" t="n">
        <f aca="false">B327+1</f>
        <v>46444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TEXT(DATE(YEAR(B$2),MONTH(B$2)+(D329-1),1),"Mmm")</f>
        <v>Mar</v>
      </c>
      <c r="B329" s="383" t="n">
        <f aca="false">B328+1</f>
        <v>46445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TEXT(DATE(YEAR(B$2),MONTH(B$2)+(D330-1),1),"Mmm")</f>
        <v>Mar</v>
      </c>
      <c r="B330" s="383" t="n">
        <f aca="false">B329+1</f>
        <v>46446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TEXT(DATE(YEAR(B$2),MONTH(B$2)+(D331-1),1),"Mmm")</f>
        <v>Mar</v>
      </c>
      <c r="B331" s="383" t="n">
        <f aca="false">B330+1</f>
        <v>46447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TEXT(DATE(YEAR(B$2),MONTH(B$2)+(D332-1),1),"Mmm")</f>
        <v>Mar</v>
      </c>
      <c r="B332" s="383" t="n">
        <f aca="false">B331+1</f>
        <v>46448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TEXT(DATE(YEAR(B$2),MONTH(B$2)+(D333-1),1),"Mmm")</f>
        <v>Mar</v>
      </c>
      <c r="B333" s="383" t="n">
        <f aca="false">B332+1</f>
        <v>46449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TEXT(DATE(YEAR(B$2),MONTH(B$2)+(D334-1),1),"Mmm")</f>
        <v>Mar</v>
      </c>
      <c r="B334" s="383" t="n">
        <f aca="false">B333+1</f>
        <v>46450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TEXT(DATE(YEAR(B$2),MONTH(B$2)+(D335-1),1),"Mmm")</f>
        <v>Mar</v>
      </c>
      <c r="B335" s="383" t="n">
        <f aca="false">B334+1</f>
        <v>46451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TEXT(DATE(YEAR(B$2),MONTH(B$2)+(D336-1),1),"Mmm")</f>
        <v>Mar</v>
      </c>
      <c r="B336" s="383" t="n">
        <f aca="false">B335+1</f>
        <v>46452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TEXT(DATE(YEAR(B$2),MONTH(B$2)+(D337-1),1),"Mmm")</f>
        <v>Mar</v>
      </c>
      <c r="B337" s="383" t="n">
        <f aca="false">B336+1</f>
        <v>46453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TEXT(DATE(YEAR(B$2),MONTH(B$2)+(D338-1),1),"Mmm")</f>
        <v>Mar</v>
      </c>
      <c r="B338" s="383" t="n">
        <f aca="false">B337+1</f>
        <v>46454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TEXT(DATE(YEAR(B$2),MONTH(B$2)+(D339-1),1),"Mmm")</f>
        <v>Mar</v>
      </c>
      <c r="B339" s="383" t="n">
        <f aca="false">B338+1</f>
        <v>46455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TEXT(DATE(YEAR(B$2),MONTH(B$2)+(D340-1),1),"Mmm")</f>
        <v>Mar</v>
      </c>
      <c r="B340" s="383" t="n">
        <f aca="false">B339+1</f>
        <v>46456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TEXT(DATE(YEAR(B$2),MONTH(B$2)+(D341-1),1),"Mmm")</f>
        <v>Mar</v>
      </c>
      <c r="B341" s="383" t="n">
        <f aca="false">B340+1</f>
        <v>46457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TEXT(DATE(YEAR(B$2),MONTH(B$2)+(D342-1),1),"Mmm")</f>
        <v>Mar</v>
      </c>
      <c r="B342" s="383" t="n">
        <f aca="false">B341+1</f>
        <v>46458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TEXT(DATE(YEAR(B$2),MONTH(B$2)+(D343-1),1),"Mmm")</f>
        <v>Mar</v>
      </c>
      <c r="B343" s="383" t="n">
        <f aca="false">B342+1</f>
        <v>46459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TEXT(DATE(YEAR(B$2),MONTH(B$2)+(D344-1),1),"Mmm")</f>
        <v>Mar</v>
      </c>
      <c r="B344" s="383" t="n">
        <f aca="false">B343+1</f>
        <v>46460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TEXT(DATE(YEAR(B$2),MONTH(B$2)+(D345-1),1),"Mmm")</f>
        <v>Mar</v>
      </c>
      <c r="B345" s="383" t="n">
        <f aca="false">B344+1</f>
        <v>46461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TEXT(DATE(YEAR(B$2),MONTH(B$2)+(D346-1),1),"Mmm")</f>
        <v>Mar</v>
      </c>
      <c r="B346" s="383" t="n">
        <f aca="false">B345+1</f>
        <v>46462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TEXT(DATE(YEAR(B$2),MONTH(B$2)+(D347-1),1),"Mmm")</f>
        <v>Mar</v>
      </c>
      <c r="B347" s="383" t="n">
        <f aca="false">B346+1</f>
        <v>46463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TEXT(DATE(YEAR(B$2),MONTH(B$2)+(D348-1),1),"Mmm")</f>
        <v>Mar</v>
      </c>
      <c r="B348" s="383" t="n">
        <f aca="false">B347+1</f>
        <v>46464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TEXT(DATE(YEAR(B$2),MONTH(B$2)+(D349-1),1),"Mmm")</f>
        <v>Mar</v>
      </c>
      <c r="B349" s="383" t="n">
        <f aca="false">B348+1</f>
        <v>46465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TEXT(DATE(YEAR(B$2),MONTH(B$2)+(D350-1),1),"Mmm")</f>
        <v>Mar</v>
      </c>
      <c r="B350" s="383" t="n">
        <f aca="false">B349+1</f>
        <v>46466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TEXT(DATE(YEAR(B$2),MONTH(B$2)+(D351-1),1),"Mmm")</f>
        <v>Mar</v>
      </c>
      <c r="B351" s="383" t="n">
        <f aca="false">B350+1</f>
        <v>46467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TEXT(DATE(YEAR(B$2),MONTH(B$2)+(D352-1),1),"Mmm")</f>
        <v>Mar</v>
      </c>
      <c r="B352" s="383" t="n">
        <f aca="false">B351+1</f>
        <v>46468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TEXT(DATE(YEAR(B$2),MONTH(B$2)+(D353-1),1),"Mmm")</f>
        <v>Mar</v>
      </c>
      <c r="B353" s="383" t="n">
        <f aca="false">B352+1</f>
        <v>46469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TEXT(DATE(YEAR(B$2),MONTH(B$2)+(D354-1),1),"Mmm")</f>
        <v>Mar</v>
      </c>
      <c r="B354" s="383" t="n">
        <f aca="false">B353+1</f>
        <v>46470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TEXT(DATE(YEAR(B$2),MONTH(B$2)+(D355-1),1),"Mmm")</f>
        <v>Mar</v>
      </c>
      <c r="B355" s="383" t="n">
        <f aca="false">B354+1</f>
        <v>46471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TEXT(DATE(YEAR(B$2),MONTH(B$2)+(D356-1),1),"Mmm")</f>
        <v>Mar</v>
      </c>
      <c r="B356" s="383" t="n">
        <f aca="false">B355+1</f>
        <v>46472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TEXT(DATE(YEAR(B$2),MONTH(B$2)+(D357-1),1),"Mmm")</f>
        <v>Mar</v>
      </c>
      <c r="B357" s="383" t="n">
        <f aca="false">B356+1</f>
        <v>46473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TEXT(DATE(YEAR(B$2),MONTH(B$2)+(D358-1),1),"Mmm")</f>
        <v>Mar</v>
      </c>
      <c r="B358" s="383" t="n">
        <f aca="false">B357+1</f>
        <v>46474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TEXT(DATE(YEAR(B$2),MONTH(B$2)+(D359-1),1),"Mmm")</f>
        <v>Mar</v>
      </c>
      <c r="B359" s="383" t="n">
        <f aca="false">B358+1</f>
        <v>46475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TEXT(DATE(YEAR(B$2),MONTH(B$2)+(D360-1),1),"Mmm")</f>
        <v>Mar</v>
      </c>
      <c r="B360" s="383" t="n">
        <f aca="false">B359+1</f>
        <v>46476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TEXT(DATE(YEAR(B$2),MONTH(B$2)+(D361-1),1),"Mmm")</f>
        <v>Mar</v>
      </c>
      <c r="B361" s="383" t="n">
        <f aca="false">B360+1</f>
        <v>46477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TEXT(DATE(YEAR(B$2),MONTH(B$2)+(D362-1),1),"Mmm")</f>
        <v>Mar</v>
      </c>
      <c r="B362" s="383" t="n">
        <f aca="false">B361+1</f>
        <v>46478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TEXT(DATE(YEAR(B$2),MONTH(B$2)+(D363-1),1),"Mmm")</f>
        <v>Mar</v>
      </c>
      <c r="B363" s="383" t="n">
        <f aca="false">B362+1</f>
        <v>46479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TEXT(DATE(YEAR(B$2),MONTH(B$2)+(D364-1),1),"Mmm")</f>
        <v>Mar</v>
      </c>
      <c r="B364" s="383" t="n">
        <f aca="false">B363+1</f>
        <v>46480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TEXT(DATE(YEAR(B$2),MONTH(B$2)+(D365-1),1),"Mmm")</f>
        <v>Mar</v>
      </c>
      <c r="B365" s="383" t="n">
        <f aca="false">B364+1</f>
        <v>46481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TEXT(DATE(YEAR(B$2),MONTH(B$2)+(D366-1),1),"Mmm")</f>
        <v>Mar</v>
      </c>
      <c r="B366" s="383" t="n">
        <f aca="false">B365+1</f>
        <v>46482</v>
      </c>
      <c r="C366" s="384" t="n">
        <v>53</v>
      </c>
      <c r="D366" s="384" t="n">
        <v>12</v>
      </c>
      <c r="E366" s="385" t="n">
        <f aca="false">B366</f>
        <v>46482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TEXT(DATE(YEAR(B$2),MONTH(B$2)+(D367-1),1),"Mmm")</f>
        <v>Mar</v>
      </c>
      <c r="B367" s="383" t="n">
        <f aca="false">B366+1</f>
        <v>46483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TEXT(DATE(YEAR(B$2),MONTH(B$2)+(D368-1),1),"Mmm")</f>
        <v>Mar</v>
      </c>
      <c r="B368" s="383" t="n">
        <f aca="false">B367+1</f>
        <v>46484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TEXT(DATE(YEAR(B$2),MONTH(B$2)+(D369-1),1),"Mmm")</f>
        <v>Mar</v>
      </c>
      <c r="B369" s="383" t="n">
        <f aca="false">B368+1</f>
        <v>46485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TEXT(DATE(YEAR(B$2),MONTH(B$2)+(D370-1),1),"Mmm")</f>
        <v>Mar</v>
      </c>
      <c r="B370" s="383" t="n">
        <f aca="false">B369+1</f>
        <v>46486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TEXT(DATE(YEAR(B$2),MONTH(B$2)+(D371-1),1),"Mmm")</f>
        <v>Mar</v>
      </c>
      <c r="B371" s="383" t="n">
        <f aca="false">B370+1</f>
        <v>46487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TEXT(DATE(YEAR(B$2),MONTH(B$2)+(D372-1),1),"Mmm")</f>
        <v>Mar</v>
      </c>
      <c r="B372" s="383" t="n">
        <f aca="false">B371+1</f>
        <v>46488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TEXT(DATE(YEAR(B$2),MONTH(B$2)+(D373-1),1),"Mmm")</f>
        <v>Mar</v>
      </c>
      <c r="B373" s="383" t="n">
        <f aca="false">B372+1</f>
        <v>46489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TEXT(DATE(YEAR(B$2),MONTH(B$2)+(D374-1),1),"Mmm")</f>
        <v>Mar</v>
      </c>
      <c r="B374" s="383" t="n">
        <f aca="false">B373+1</f>
        <v>46490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TEXT(DATE(YEAR(B$2),MONTH(B$2)+(D375-1),1),"Mmm")</f>
        <v>Mar</v>
      </c>
      <c r="B375" s="383" t="n">
        <f aca="false">B374+1</f>
        <v>46491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TEXT(DATE(YEAR(B$2),MONTH(B$2)+(D376-1),1),"Mmm")</f>
        <v>Mar</v>
      </c>
      <c r="B376" s="383" t="n">
        <f aca="false">B375+1</f>
        <v>46492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TEXT(DATE(YEAR(B$2),MONTH(B$2)+(D377-1),1),"Mmm")</f>
        <v>Mar</v>
      </c>
      <c r="B377" s="383" t="n">
        <f aca="false">B376+1</f>
        <v>46493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TEXT(DATE(YEAR(B$2),MONTH(B$2)+(D378-1),1),"Mmm")</f>
        <v>Mar</v>
      </c>
      <c r="B378" s="383" t="n">
        <f aca="false">B377+1</f>
        <v>46494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TEXT(DATE(YEAR(B$2),MONTH(B$2)+(D379-1),1),"Mmm")</f>
        <v>Mar</v>
      </c>
      <c r="B379" s="383" t="n">
        <f aca="false">B378+1</f>
        <v>46495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TEXT(DATE(YEAR(B$2),MONTH(B$2)+(D380-1),1),"Mmm")</f>
        <v>Mar</v>
      </c>
      <c r="B380" s="383" t="n">
        <f aca="false">B379+1</f>
        <v>46496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TEXT(DATE(YEAR(B$2),MONTH(B$2)+(D381-1),1),"Mmm")</f>
        <v>Mar</v>
      </c>
      <c r="B381" s="383" t="n">
        <f aca="false">B380+1</f>
        <v>46497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