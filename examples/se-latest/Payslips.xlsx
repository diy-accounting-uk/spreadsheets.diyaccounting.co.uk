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<sst xmlns="http://schemas.openxmlformats.org/spreadsheetml/2006/main" count="1383" uniqueCount="138">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</sst>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46118</v>
      </c>
      <c r="L9" s="149" t="s">
        <v>74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46125</v>
      </c>
      <c r="L19" s="149" t="s">
        <v>74</v>
      </c>
      <c r="M19" s="150" t="n">
        <f aca="false">K19+6</f>
        <v>46131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46132</v>
      </c>
      <c r="L29" s="149" t="s">
        <v>74</v>
      </c>
      <c r="M29" s="150" t="n">
        <f aca="false">K29+6</f>
        <v>46138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46139</v>
      </c>
      <c r="L39" s="149" t="s">
        <v>74</v>
      </c>
      <c r="M39" s="150" t="n">
        <f aca="false">K39+6</f>
        <v>46145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46118</v>
      </c>
      <c r="L49" s="149" t="s">
        <v>74</v>
      </c>
      <c r="M49" s="150" t="n">
        <f aca="false">Admin!B26</f>
        <v>46142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Apr!M39+1</f>
        <v>46146</v>
      </c>
      <c r="L9" s="149" t="s">
        <v>74</v>
      </c>
      <c r="M9" s="150" t="n">
        <f aca="false">K9+6</f>
        <v>46152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46153</v>
      </c>
      <c r="L19" s="149" t="s">
        <v>74</v>
      </c>
      <c r="M19" s="150" t="n">
        <f aca="false">K19+6</f>
        <v>46159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46160</v>
      </c>
      <c r="L29" s="149" t="s">
        <v>74</v>
      </c>
      <c r="M29" s="150" t="n">
        <f aca="false">K29+6</f>
        <v>46166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46167</v>
      </c>
      <c r="L39" s="149" t="s">
        <v>74</v>
      </c>
      <c r="M39" s="150" t="n">
        <f aca="false">K39+6</f>
        <v>46173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46143</v>
      </c>
      <c r="L49" s="149" t="s">
        <v>74</v>
      </c>
      <c r="M49" s="150" t="n">
        <f aca="false">Admin!B57</f>
        <v>46173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str">
        <f aca="false">IF(E51=" "," ",IF(T$49="Y",Apr!M51,IF((H51+K51+L51)&gt;0,H51+K51+L51,"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IF(Employee!H$35=E$49,Employee!D$34+SUM(M51)+Apr!V51,SUM(M51)+Apr!V51)</f>
        <v>0</v>
      </c>
      <c r="W51" s="172" t="n">
        <f aca="false">IF(Employee!H$35=E$49,Employee!D$35+SUM(N51)+Apr!W51,SUM(N51)+Apr!W51)</f>
        <v>0</v>
      </c>
      <c r="X51" s="172" t="n">
        <f aca="false">IF(O51=" ",Apr!X51,O51+Apr!X51)</f>
        <v>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0</v>
      </c>
      <c r="AC51" s="172" t="n">
        <f aca="false">IF(T51=" ",Apr!AC51,T51+Apr!AC51)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str">
        <f aca="false">IF(E52=" "," ",IF(T$49="Y",Apr!M52,IF((H52+K52+L52)&gt;0,H52+K52+L52,"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IF(Employee!H$61=E$49,Employee!D$60+SUM(M52)+Apr!V52,SUM(M52)+Apr!V52)</f>
        <v>0</v>
      </c>
      <c r="W52" s="172" t="n">
        <f aca="false">IF(Employee!H$61=E$49,Employee!D$61+SUM(N52)+Apr!W52,SUM(N52)+Apr!W52)</f>
        <v>0</v>
      </c>
      <c r="X52" s="172" t="n">
        <f aca="false">IF(O52=" ",Apr!X52,O52+Apr!X52)</f>
        <v>0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0</v>
      </c>
      <c r="AC52" s="172" t="n">
        <f aca="false">IF(T52=" ",Apr!AC52,T52+Apr!AC52)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str">
        <f aca="false">IF(E53=" "," ",IF(T$49="Y",Apr!M53,IF((H53+K53+L53)&gt;0,H53+K53+L53,"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IF(Employee!H$87=E$49,Employee!D$86+SUM(M53)+Apr!V53,SUM(M53)+Apr!V53)</f>
        <v>0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0</v>
      </c>
      <c r="AC53" s="172" t="n">
        <f aca="false">IF(T53=" ",Apr!AC53,T53+Apr!AC53)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May!M39+1</f>
        <v>46174</v>
      </c>
      <c r="L9" s="149" t="s">
        <v>74</v>
      </c>
      <c r="M9" s="150" t="n">
        <f aca="false">K9+6</f>
        <v>46180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46181</v>
      </c>
      <c r="L19" s="149" t="s">
        <v>74</v>
      </c>
      <c r="M19" s="150" t="n">
        <f aca="false">K19+6</f>
        <v>46187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46188</v>
      </c>
      <c r="L29" s="149" t="s">
        <v>74</v>
      </c>
      <c r="M29" s="150" t="n">
        <f aca="false">K29+6</f>
        <v>46194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46195</v>
      </c>
      <c r="L39" s="149" t="s">
        <v>74</v>
      </c>
      <c r="M39" s="150" t="n">
        <f aca="false">K39+6</f>
        <v>46201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46202</v>
      </c>
      <c r="L49" s="149" t="s">
        <v>74</v>
      </c>
      <c r="M49" s="150" t="n">
        <f aca="false">K49+6</f>
        <v>46208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46174</v>
      </c>
      <c r="L59" s="149" t="s">
        <v>74</v>
      </c>
      <c r="M59" s="150" t="n">
        <f aca="false">Admin!B87</f>
        <v>46203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0</v>
      </c>
      <c r="W61" s="172" t="n">
        <f aca="false">IF(Employee!H$35=E$59,Employee!D$35+SUM(N61)+May!W51,SUM(N61)+May!W51)</f>
        <v>0</v>
      </c>
      <c r="X61" s="172" t="n">
        <f aca="false">IF(O61=" ",May!X51,O61+May!X51)</f>
        <v>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0</v>
      </c>
      <c r="AC61" s="172" t="n">
        <f aca="false">IF(T61=" ",May!AC51,T61+May!AC51)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0</v>
      </c>
      <c r="W62" s="172" t="n">
        <f aca="false">IF(Employee!H$61=E$59,Employee!D$61+SUM(N62)+May!W52,SUM(N62)+May!W52)</f>
        <v>0</v>
      </c>
      <c r="X62" s="172" t="n">
        <f aca="false">IF(O62=" ",May!X52,O62+May!X52)</f>
        <v>0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0</v>
      </c>
      <c r="AC62" s="172" t="n">
        <f aca="false">IF(T62=" ",May!AC52,T62+May!AC52)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0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0</v>
      </c>
      <c r="AC63" s="172" t="n">
        <f aca="false">IF(T63=" ",May!AC53,T63+May!AC53)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46207</v>
      </c>
      <c r="L9" s="149" t="s">
        <v>74</v>
      </c>
      <c r="M9" s="150" t="n">
        <f aca="false">K9+6</f>
        <v>46213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46214</v>
      </c>
      <c r="L19" s="149" t="s">
        <v>74</v>
      </c>
      <c r="M19" s="150" t="n">
        <f aca="false">K19+6</f>
        <v>46220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46221</v>
      </c>
      <c r="L29" s="149" t="s">
        <v>74</v>
      </c>
      <c r="M29" s="150" t="n">
        <f aca="false">K29+6</f>
        <v>46227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46228</v>
      </c>
      <c r="L39" s="149" t="s">
        <v>74</v>
      </c>
      <c r="M39" s="150" t="n">
        <f aca="false">K39+6</f>
        <v>46234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46204</v>
      </c>
      <c r="L49" s="149" t="s">
        <v>74</v>
      </c>
      <c r="M49" s="150" t="n">
        <f aca="false">Admin!B118</f>
        <v>46234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str">
        <f aca="false">IF(E51=" "," ",IF(T$49="Y",Jun!M61,IF((H51+K51+L51)&gt;0,H51+K51+L51,"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IF(Employee!H$35=E$49,Employee!D$34+SUM(M51)+Jun!V61,SUM(M51)+Jun!V61)</f>
        <v>0</v>
      </c>
      <c r="W51" s="172" t="n">
        <f aca="false">IF(Employee!H$35=E$49,Employee!D$35+SUM(N51)+Jun!W61,SUM(N51)+Jun!W61)</f>
        <v>0</v>
      </c>
      <c r="X51" s="172" t="n">
        <f aca="false">IF(O51=" ",Jun!X61,O51+Jun!X61)</f>
        <v>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0</v>
      </c>
      <c r="AC51" s="172" t="n">
        <f aca="false">IF(T51=" ",Jun!AC61,T51+Jun!AC61)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str">
        <f aca="false">IF(E52=" "," ",IF(T$49="Y",Jun!M62,IF((H52+K52+L52)&gt;0,H52+K52+L52,"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IF(Employee!H$61=E$49,Employee!D$60+SUM(M52)+Jun!V62,SUM(M52)+Jun!V62)</f>
        <v>0</v>
      </c>
      <c r="W52" s="172" t="n">
        <f aca="false">IF(Employee!H$61=E$49,Employee!D$61+SUM(N52)+Jun!W62,SUM(N52)+Jun!W62)</f>
        <v>0</v>
      </c>
      <c r="X52" s="172" t="n">
        <f aca="false">IF(O52=" ",Jun!X62,O52+Jun!X62)</f>
        <v>0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0</v>
      </c>
      <c r="AC52" s="172" t="n">
        <f aca="false">IF(T52=" ",Jun!AC62,T52+Jun!AC62)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str">
        <f aca="false">IF(E53=" "," ",IF(T$49="Y",Jun!M63,IF((H53+K53+L53)&gt;0,H53+K53+L53,"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IF(Employee!H$87=E$49,Employee!D$86+SUM(M53)+Jun!V63,SUM(M53)+Jun!V63)</f>
        <v>0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0</v>
      </c>
      <c r="AC53" s="172" t="n">
        <f aca="false">IF(T53=" ",Jun!AC63,T53+Jun!AC63)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46235</v>
      </c>
      <c r="L9" s="149" t="s">
        <v>74</v>
      </c>
      <c r="M9" s="150" t="n">
        <f aca="false">K9+6</f>
        <v>46241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46242</v>
      </c>
      <c r="L19" s="149" t="s">
        <v>74</v>
      </c>
      <c r="M19" s="150" t="n">
        <f aca="false">K19+6</f>
        <v>46248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46249</v>
      </c>
      <c r="L29" s="149" t="s">
        <v>74</v>
      </c>
      <c r="M29" s="150" t="n">
        <f aca="false">K29+6</f>
        <v>46255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46256</v>
      </c>
      <c r="L39" s="149" t="s">
        <v>74</v>
      </c>
      <c r="M39" s="150" t="n">
        <f aca="false">K39+6</f>
        <v>46262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46235</v>
      </c>
      <c r="L49" s="149" t="s">
        <v>74</v>
      </c>
      <c r="M49" s="150" t="n">
        <f aca="false">Admin!B149</f>
        <v>46265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str">
        <f aca="false">IF(E51=" "," ",IF(T$49="Y",Jul!M51,IF((H51+K51+L51)&gt;0,H51+K51+L51,"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IF(Employee!H$35=E$49,Employee!D$34+SUM(M51)+Jul!V51,SUM(M51)+Jul!V51)</f>
        <v>0</v>
      </c>
      <c r="W51" s="172" t="n">
        <f aca="false">IF(Employee!H$35=E$49,Employee!D$35+SUM(N51)+Jul!W51,SUM(N51)+Jul!W51)</f>
        <v>0</v>
      </c>
      <c r="X51" s="172" t="n">
        <f aca="false">IF(O51=" ",Jul!X51,O51+Jul!X51)</f>
        <v>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0</v>
      </c>
      <c r="AC51" s="172" t="n">
        <f aca="false">IF(T51=" ",Jul!AC51,T51+Jul!AC51)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str">
        <f aca="false">IF(E52=" "," ",IF(T$49="Y",Jul!M52,IF((H52+K52+L52)&gt;0,H52+K52+L52,"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IF(Employee!H$61=E$49,Employee!D$60+SUM(M52)+Jul!V52,SUM(M52)+Jul!V52)</f>
        <v>0</v>
      </c>
      <c r="W52" s="172" t="n">
        <f aca="false">IF(Employee!H$61=E$49,Employee!D$61+SUM(N52)+Jul!W52,SUM(N52)+Jul!W52)</f>
        <v>0</v>
      </c>
      <c r="X52" s="172" t="n">
        <f aca="false">IF(O52=" ",Jul!X52,O52+Jul!X52)</f>
        <v>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0</v>
      </c>
      <c r="AC52" s="172" t="n">
        <f aca="false">IF(T52=" ",Jul!AC52,T52+Jul!AC52)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str">
        <f aca="false">IF(E53=" "," ",IF(T$49="Y",Jul!M53,IF((H53+K53+L53)&gt;0,H53+K53+L53,"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IF(Employee!H$87=E$49,Employee!D$86+SUM(M53)+Jul!V53,SUM(M53)+Jul!V53)</f>
        <v>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0</v>
      </c>
      <c r="AC53" s="172" t="n">
        <f aca="false">IF(T53=" ",Jul!AC53,T53+Jul!AC53)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Aug!M39+1</f>
        <v>46263</v>
      </c>
      <c r="L9" s="149" t="s">
        <v>74</v>
      </c>
      <c r="M9" s="150" t="n">
        <f aca="false">K9+6</f>
        <v>46269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46270</v>
      </c>
      <c r="L19" s="149" t="s">
        <v>74</v>
      </c>
      <c r="M19" s="150" t="n">
        <f aca="false">K19+6</f>
        <v>46276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46277</v>
      </c>
      <c r="L29" s="149" t="s">
        <v>74</v>
      </c>
      <c r="M29" s="150" t="n">
        <f aca="false">K29+6</f>
        <v>46283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46284</v>
      </c>
      <c r="L39" s="149" t="s">
        <v>74</v>
      </c>
      <c r="M39" s="150" t="n">
        <f aca="false">K39+6</f>
        <v>46290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46291</v>
      </c>
      <c r="L49" s="149" t="s">
        <v>74</v>
      </c>
      <c r="M49" s="150" t="n">
        <f aca="false">K49+6</f>
        <v>46297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46266</v>
      </c>
      <c r="L59" s="149" t="s">
        <v>74</v>
      </c>
      <c r="M59" s="150" t="n">
        <f aca="false">Admin!B179</f>
        <v>46295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0</v>
      </c>
      <c r="W61" s="172" t="n">
        <f aca="false">IF(Employee!H$35=E$59,Employee!D$35+SUM(N61)+Aug!W51,SUM(N61)+Aug!W51)</f>
        <v>0</v>
      </c>
      <c r="X61" s="172" t="n">
        <f aca="false">IF(O61=" ",Aug!X51,O61+Aug!X51)</f>
        <v>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0</v>
      </c>
      <c r="AC61" s="172" t="n">
        <f aca="false">IF(T61=" ",Aug!AC51,T61+Aug!AC51)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0</v>
      </c>
      <c r="W62" s="172" t="n">
        <f aca="false">IF(Employee!H$61=E$59,Employee!D$61+SUM(N62)+Aug!W52,SUM(N62)+Aug!W52)</f>
        <v>0</v>
      </c>
      <c r="X62" s="172" t="n">
        <f aca="false">IF(O62=" ",Aug!X52,O62+Aug!X52)</f>
        <v>0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0</v>
      </c>
      <c r="AC62" s="172" t="n">
        <f aca="false">IF(T62=" ",Aug!AC52,T62+Aug!AC52)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0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0</v>
      </c>
      <c r="AC63" s="172" t="n">
        <f aca="false">IF(T63=" ",Aug!AC53,T63+Aug!AC53)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46298</v>
      </c>
      <c r="L9" s="149" t="s">
        <v>74</v>
      </c>
      <c r="M9" s="150" t="n">
        <f aca="false">Admin!B188</f>
        <v>46304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46305</v>
      </c>
      <c r="L19" s="149" t="s">
        <v>74</v>
      </c>
      <c r="M19" s="150" t="n">
        <f aca="false">K19+6</f>
        <v>46311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46312</v>
      </c>
      <c r="L29" s="149" t="s">
        <v>74</v>
      </c>
      <c r="M29" s="150" t="n">
        <f aca="false">K29+6</f>
        <v>46318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46319</v>
      </c>
      <c r="L39" s="149" t="s">
        <v>74</v>
      </c>
      <c r="M39" s="150" t="n">
        <f aca="false">K39+6</f>
        <v>46325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46296</v>
      </c>
      <c r="L49" s="149" t="s">
        <v>74</v>
      </c>
      <c r="M49" s="150" t="n">
        <f aca="false">Admin!B210</f>
        <v>46326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str">
        <f aca="false">IF(E51=" "," ",IF(T$49="Y",Sep!M61,IF((H51+K51+L51)&gt;0,H51+K51+L51,"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IF(Employee!H$35=E$49,Employee!D$34+SUM(M51)+Sep!V61,SUM(M51)+Sep!V61)</f>
        <v>0</v>
      </c>
      <c r="W51" s="172" t="n">
        <f aca="false">IF(Employee!H$35=E$49,Employee!D$35+SUM(N51)+Sep!W61,SUM(N51)+Sep!W61)</f>
        <v>0</v>
      </c>
      <c r="X51" s="172" t="n">
        <f aca="false">IF(O51=" ",Sep!X61,O51+Sep!X61)</f>
        <v>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0</v>
      </c>
      <c r="AC51" s="172" t="n">
        <f aca="false">IF(T51=" ",Sep!AC61,T51+Sep!AC61)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str">
        <f aca="false">IF(E52=" "," ",IF(T$49="Y",Sep!M62,IF((H52+K52+L52)&gt;0,H52+K52+L52,"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IF(Employee!H$61=E$49,Employee!D$60+SUM(M52)+Sep!V62,SUM(M52)+Sep!V62)</f>
        <v>0</v>
      </c>
      <c r="W52" s="172" t="n">
        <f aca="false">IF(Employee!H$61=E$49,Employee!D$61+SUM(N52)+Sep!W62,SUM(N52)+Sep!W62)</f>
        <v>0</v>
      </c>
      <c r="X52" s="172" t="n">
        <f aca="false">IF(O52=" ",Sep!X62,O52+Sep!X62)</f>
        <v>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0</v>
      </c>
      <c r="AC52" s="172" t="n">
        <f aca="false">IF(T52=" ",Sep!AC62,T52+Sep!AC62)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str">
        <f aca="false">IF(E53=" "," ",IF(T$49="Y",Sep!M63,IF((H53+K53+L53)&gt;0,H53+K53+L53,"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IF(Employee!H$87=E$49,Employee!D$86+SUM(M53)+Sep!V63,SUM(M53)+Sep!V63)</f>
        <v>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0</v>
      </c>
      <c r="AC53" s="172" t="n">
        <f aca="false">IF(T53=" ",Sep!AC63,T53+Sep!AC63)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46326</v>
      </c>
      <c r="L9" s="149" t="s">
        <v>74</v>
      </c>
      <c r="M9" s="150" t="n">
        <f aca="false">K9+6</f>
        <v>46332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46333</v>
      </c>
      <c r="L19" s="149" t="s">
        <v>74</v>
      </c>
      <c r="M19" s="150" t="n">
        <f aca="false">K19+6</f>
        <v>46339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46340</v>
      </c>
      <c r="L29" s="149" t="s">
        <v>74</v>
      </c>
      <c r="M29" s="150" t="n">
        <f aca="false">K29+6</f>
        <v>46346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46347</v>
      </c>
      <c r="L39" s="149" t="s">
        <v>74</v>
      </c>
      <c r="M39" s="150" t="n">
        <f aca="false">K39+6</f>
        <v>46353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46327</v>
      </c>
      <c r="L49" s="149" t="s">
        <v>74</v>
      </c>
      <c r="M49" s="150" t="n">
        <f aca="false">Admin!B240</f>
        <v>46356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str">
        <f aca="false">IF(E51=" "," ",IF(T$49="Y",Oct!M51,IF((H51+K51+L51)&gt;0,H51+K51+L51,"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IF(Employee!H$35=E$49,Employee!D$34+SUM(M51)+Oct!V51,SUM(M51)+Oct!V51)</f>
        <v>0</v>
      </c>
      <c r="W51" s="172" t="n">
        <f aca="false">IF(Employee!H$35=E$49,Employee!D$35+SUM(N51)+Oct!W51,SUM(N51)+Oct!W51)</f>
        <v>0</v>
      </c>
      <c r="X51" s="172" t="n">
        <f aca="false">IF(O51=" ",Oct!X51,O51+Oct!X51)</f>
        <v>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0</v>
      </c>
      <c r="AC51" s="172" t="n">
        <f aca="false">IF(T51=" ",Oct!AC51,T51+Oct!AC51)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str">
        <f aca="false">IF(E52=" "," ",IF(T$49="Y",Oct!M52,IF((H52+K52+L52)&gt;0,H52+K52+L52,"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IF(Employee!H$61=E$49,Employee!D$60+SUM(M52)+Oct!V52,SUM(M52)+Oct!V52)</f>
        <v>0</v>
      </c>
      <c r="W52" s="172" t="n">
        <f aca="false">IF(Employee!H$61=E$49,Employee!D$61+SUM(N52)+Oct!W52,SUM(N52)+Oct!W52)</f>
        <v>0</v>
      </c>
      <c r="X52" s="172" t="n">
        <f aca="false">IF(O52=" ",Oct!X52,O52+Oct!X52)</f>
        <v>0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0</v>
      </c>
      <c r="AC52" s="172" t="n">
        <f aca="false">IF(T52=" ",Oct!AC52,T52+Oct!AC52)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str">
        <f aca="false">IF(E53=" "," ",IF(T$49="Y",Oct!M53,IF((H53+K53+L53)&gt;0,H53+K53+L53,"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IF(Employee!H$87=E$49,Employee!D$86+SUM(M53)+Oct!V53,SUM(M53)+Oct!V53)</f>
        <v>0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0</v>
      </c>
      <c r="AC53" s="172" t="n">
        <f aca="false">IF(T53=" ",Oct!AC53,T53+Oct!AC53)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Nov!M39+1</f>
        <v>46354</v>
      </c>
      <c r="L9" s="149" t="s">
        <v>74</v>
      </c>
      <c r="M9" s="150" t="n">
        <f aca="false">K9+6</f>
        <v>46360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46361</v>
      </c>
      <c r="L19" s="149" t="s">
        <v>74</v>
      </c>
      <c r="M19" s="150" t="n">
        <f aca="false">K19+6</f>
        <v>46367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46368</v>
      </c>
      <c r="L29" s="149" t="s">
        <v>74</v>
      </c>
      <c r="M29" s="150" t="n">
        <f aca="false">K29+6</f>
        <v>46374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46375</v>
      </c>
      <c r="L39" s="149" t="s">
        <v>74</v>
      </c>
      <c r="M39" s="150" t="n">
        <f aca="false">K39+6</f>
        <v>46381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46382</v>
      </c>
      <c r="L49" s="149" t="s">
        <v>74</v>
      </c>
      <c r="M49" s="150" t="n">
        <f aca="false">K49+6</f>
        <v>46388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46357</v>
      </c>
      <c r="L59" s="149" t="s">
        <v>74</v>
      </c>
      <c r="M59" s="150" t="n">
        <f aca="false">Admin!B271</f>
        <v>46387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0</v>
      </c>
      <c r="W61" s="172" t="n">
        <f aca="false">IF(Employee!H$35=E$59,Employee!D$35+SUM(N61)+Nov!W51,SUM(N61)+Nov!W51)</f>
        <v>0</v>
      </c>
      <c r="X61" s="172" t="n">
        <f aca="false">IF(O61=" ",Nov!X51,O61+Nov!X51)</f>
        <v>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0</v>
      </c>
      <c r="AC61" s="172" t="n">
        <f aca="false">IF(T61=" ",Nov!AC51,T61+Nov!AC51)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0</v>
      </c>
      <c r="W62" s="172" t="n">
        <f aca="false">IF(Employee!H$61=E$59,Employee!D$61+SUM(N62)+Nov!W52,SUM(N62)+Nov!W52)</f>
        <v>0</v>
      </c>
      <c r="X62" s="172" t="n">
        <f aca="false">IF(O62=" ",Nov!X52,O62+Nov!X52)</f>
        <v>0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0</v>
      </c>
      <c r="AC62" s="172" t="n">
        <f aca="false">IF(T62=" ",Nov!AC52,T62+Nov!AC52)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0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0</v>
      </c>
      <c r="AC63" s="172" t="n">
        <f aca="false">IF(T63=" ",Nov!AC53,T63+Nov!AC53)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Dec!M49+1</f>
        <v>46389</v>
      </c>
      <c r="L9" s="149" t="s">
        <v>74</v>
      </c>
      <c r="M9" s="150" t="n">
        <f aca="false">K9+6</f>
        <v>46395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46396</v>
      </c>
      <c r="L19" s="149" t="s">
        <v>74</v>
      </c>
      <c r="M19" s="150" t="n">
        <f aca="false">K19+6</f>
        <v>46402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46403</v>
      </c>
      <c r="L29" s="149" t="s">
        <v>74</v>
      </c>
      <c r="M29" s="150" t="n">
        <f aca="false">K29+6</f>
        <v>46409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46410</v>
      </c>
      <c r="L39" s="149" t="s">
        <v>74</v>
      </c>
      <c r="M39" s="150" t="n">
        <f aca="false">K39+6</f>
        <v>46416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46388</v>
      </c>
      <c r="L49" s="149" t="s">
        <v>74</v>
      </c>
      <c r="M49" s="150" t="n">
        <f aca="false">Admin!B302</f>
        <v>46418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str">
        <f aca="false">IF(E51=" "," ",IF(T$49="Y",Dec!M61,IF((H51+K51+L51)&gt;0,H51+K51+L51,"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IF(Employee!H$35=E$49,Employee!D$34+SUM(M51)+Dec!V61,SUM(M51)+Dec!V61)</f>
        <v>0</v>
      </c>
      <c r="W51" s="172" t="n">
        <f aca="false">IF(Employee!H$35=E$49,Employee!D$35+SUM(N51)+Dec!W61,SUM(N51)+Dec!W61)</f>
        <v>0</v>
      </c>
      <c r="X51" s="172" t="n">
        <f aca="false">IF(O51=" ",Dec!X61,O51+Dec!X61)</f>
        <v>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0</v>
      </c>
      <c r="AC51" s="172" t="n">
        <f aca="false">IF(T51=" ",Dec!AC61,T51+Dec!AC61)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str">
        <f aca="false">IF(E52=" "," ",IF(T$49="Y",Dec!M62,IF((H52+K52+L52)&gt;0,H52+K52+L52,"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IF(Employee!H$61=E$49,Employee!D$60+SUM(M52)+Dec!V62,SUM(M52)+Dec!V62)</f>
        <v>0</v>
      </c>
      <c r="W52" s="172" t="n">
        <f aca="false">IF(Employee!H$61=E$49,Employee!D$61+SUM(N52)+Dec!W62,SUM(N52)+Dec!W62)</f>
        <v>0</v>
      </c>
      <c r="X52" s="172" t="n">
        <f aca="false">IF(O52=" ",Dec!X62,O52+Dec!X62)</f>
        <v>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0</v>
      </c>
      <c r="AC52" s="172" t="n">
        <f aca="false">IF(T52=" ",Dec!AC62,T52+Dec!AC62)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str">
        <f aca="false">IF(E53=" "," ",IF(T$49="Y",Dec!M63,IF((H53+K53+L53)&gt;0,H53+K53+L53,"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IF(Employee!H$87=E$49,Employee!D$86+SUM(M53)+Dec!V63,SUM(M53)+Dec!V63)</f>
        <v>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0</v>
      </c>
      <c r="AC53" s="172" t="n">
        <f aca="false">IF(T53=" ",Dec!AC63,T53+Dec!AC63)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Jan!M39+1</f>
        <v>46417</v>
      </c>
      <c r="L9" s="149" t="s">
        <v>74</v>
      </c>
      <c r="M9" s="150" t="n">
        <f aca="false">K9+6</f>
        <v>46423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46424</v>
      </c>
      <c r="L19" s="149" t="s">
        <v>74</v>
      </c>
      <c r="M19" s="150" t="n">
        <f aca="false">K19+6</f>
        <v>46430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46431</v>
      </c>
      <c r="L29" s="149" t="s">
        <v>74</v>
      </c>
      <c r="M29" s="150" t="n">
        <f aca="false">K29+6</f>
        <v>46437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46438</v>
      </c>
      <c r="L39" s="149" t="s">
        <v>74</v>
      </c>
      <c r="M39" s="150" t="n">
        <f aca="false">K39+6</f>
        <v>46444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46419</v>
      </c>
      <c r="L49" s="149" t="s">
        <v>74</v>
      </c>
      <c r="M49" s="150" t="n">
        <f aca="false">Admin!B330</f>
        <v>46446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str">
        <f aca="false">IF(E51=" "," ",IF(T$49="Y",Jan!M51,IF((H51+K51+L51)&gt;0,H51+K51+L51,"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IF(Employee!H$35=E$49,Employee!D$34+SUM(M51)+Jan!V51,SUM(M51)+Jan!V51)</f>
        <v>0</v>
      </c>
      <c r="W51" s="172" t="n">
        <f aca="false">IF(Employee!H$35=E$49,Employee!D$35+SUM(N51)+Jan!W51,SUM(N51)+Jan!W51)</f>
        <v>0</v>
      </c>
      <c r="X51" s="172" t="n">
        <f aca="false">IF(O51=" ",Jan!X51,O51+Jan!X51)</f>
        <v>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0</v>
      </c>
      <c r="AC51" s="172" t="n">
        <f aca="false">IF(T51=" ",Jan!AC51,T51+Jan!AC51)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str">
        <f aca="false">IF(E52=" "," ",IF(T$49="Y",Jan!M52,IF((H52+K52+L52)&gt;0,H52+K52+L52,"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IF(Employee!H$61=E$49,Employee!D$60+SUM(M52)+Jan!V52,SUM(M52)+Jan!V52)</f>
        <v>0</v>
      </c>
      <c r="W52" s="172" t="n">
        <f aca="false">IF(Employee!H$61=E$49,Employee!D$61+SUM(N52)+Jan!W52,SUM(N52)+Jan!W52)</f>
        <v>0</v>
      </c>
      <c r="X52" s="172" t="n">
        <f aca="false">IF(O52=" ",Jan!X52,O52+Jan!X52)</f>
        <v>0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0</v>
      </c>
      <c r="AC52" s="172" t="n">
        <f aca="false">IF(T52=" ",Jan!AC52,T52+Jan!AC52)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str">
        <f aca="false">IF(E53=" "," ",IF(T$49="Y",Jan!M53,IF((H53+K53+L53)&gt;0,H53+K53+L53,"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IF(Employee!H$87=E$49,Employee!D$86+SUM(M53)+Jan!V53,SUM(M53)+Jan!V53)</f>
        <v>0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0</v>
      </c>
      <c r="AC53" s="172" t="n">
        <f aca="false">IF(T53=" ",Jan!AC53,T53+Jan!AC53)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Feb!M39+1</f>
        <v>46445</v>
      </c>
      <c r="L9" s="149" t="s">
        <v>74</v>
      </c>
      <c r="M9" s="150" t="n">
        <f aca="false">K9+6</f>
        <v>46451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46452</v>
      </c>
      <c r="L19" s="149" t="s">
        <v>74</v>
      </c>
      <c r="M19" s="150" t="n">
        <f aca="false">K19+6</f>
        <v>46458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46459</v>
      </c>
      <c r="L29" s="149" t="s">
        <v>74</v>
      </c>
      <c r="M29" s="150" t="n">
        <f aca="false">K29+6</f>
        <v>46465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46466</v>
      </c>
      <c r="L39" s="149" t="s">
        <v>74</v>
      </c>
      <c r="M39" s="150" t="n">
        <f aca="false">K39+6</f>
        <v>46472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46473</v>
      </c>
      <c r="L49" s="149" t="s">
        <v>74</v>
      </c>
      <c r="M49" s="150" t="n">
        <f aca="false">K49+6</f>
        <v>46479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46480</v>
      </c>
      <c r="L59" s="149" t="s">
        <v>74</v>
      </c>
      <c r="M59" s="150" t="n">
        <f aca="false">K59+4</f>
        <v>46484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46447</v>
      </c>
      <c r="L69" s="149" t="s">
        <v>74</v>
      </c>
      <c r="M69" s="150" t="n">
        <f aca="false">Admin!B361</f>
        <v>46477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0</v>
      </c>
      <c r="W71" s="172" t="n">
        <f aca="false">IF(Employee!H$35=E$69,Employee!D$35+SUM(N71)+Feb!W51,SUM(N71)+Feb!W51)</f>
        <v>0</v>
      </c>
      <c r="X71" s="172" t="n">
        <f aca="false">IF(O71=" ",Feb!X51,O71+Feb!X51)</f>
        <v>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0</v>
      </c>
      <c r="AC71" s="172" t="n">
        <f aca="false">IF(T71=" ",Feb!AC51,T71+Feb!AC51)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0</v>
      </c>
      <c r="W72" s="172" t="n">
        <f aca="false">IF(Employee!H$61=E$69,Employee!D$61+SUM(N72)+Feb!W52,SUM(N72)+Feb!W52)</f>
        <v>0</v>
      </c>
      <c r="X72" s="172" t="n">
        <f aca="false">IF(O72=" ",Feb!X52,O72+Feb!X52)</f>
        <v>0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0</v>
      </c>
      <c r="AC72" s="172" t="n">
        <f aca="false">IF(T72=" ",Feb!AC52,T72+Feb!AC52)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0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0</v>
      </c>
      <c r="AC73" s="172" t="n">
        <f aca="false">IF(T73=" ",Feb!AC53,T73+Feb!AC53)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46142</v>
      </c>
      <c r="C4" s="355" t="n">
        <f aca="false">Admin!$B$45</f>
        <v>46161</v>
      </c>
      <c r="D4" s="356" t="n">
        <f aca="false">Apr!T1+Apr!O1</f>
        <v>0</v>
      </c>
      <c r="E4" s="357" t="n">
        <f aca="false">Apr!N1</f>
        <v>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0</v>
      </c>
      <c r="M4" s="338" t="n">
        <f aca="false">(YEAR(Admin!B2)-1999)*100+1</f>
        <v>2701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46173</v>
      </c>
      <c r="C5" s="355" t="n">
        <f aca="false">Admin!$B$76</f>
        <v>46192</v>
      </c>
      <c r="D5" s="356" t="n">
        <f aca="false">May!T1+May!O1</f>
        <v>0</v>
      </c>
      <c r="E5" s="357" t="n">
        <f aca="false">May!N1</f>
        <v>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0</v>
      </c>
      <c r="M5" s="338" t="n">
        <f aca="false">M4+1</f>
        <v>2702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46203</v>
      </c>
      <c r="C6" s="355" t="n">
        <f aca="false">Admin!$B$106</f>
        <v>46222</v>
      </c>
      <c r="D6" s="356" t="n">
        <f aca="false">Jun!T1+Jun!O1</f>
        <v>0</v>
      </c>
      <c r="E6" s="357" t="n">
        <f aca="false">Jun!N1</f>
        <v>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0</v>
      </c>
      <c r="M6" s="338" t="n">
        <f aca="false">M5+1</f>
        <v>2703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46234</v>
      </c>
      <c r="C7" s="355" t="n">
        <f aca="false">Admin!$B$137</f>
        <v>46253</v>
      </c>
      <c r="D7" s="356" t="n">
        <f aca="false">Jul!T1+Jul!O1</f>
        <v>0</v>
      </c>
      <c r="E7" s="357" t="n">
        <f aca="false">Jul!N1</f>
        <v>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0</v>
      </c>
      <c r="M7" s="338" t="n">
        <f aca="false">M6+1</f>
        <v>2704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46265</v>
      </c>
      <c r="C8" s="355" t="n">
        <f aca="false">Admin!$B$168</f>
        <v>46284</v>
      </c>
      <c r="D8" s="356" t="n">
        <f aca="false">Aug!T1+Aug!O1</f>
        <v>0</v>
      </c>
      <c r="E8" s="357" t="n">
        <f aca="false">Aug!N1</f>
        <v>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0</v>
      </c>
      <c r="M8" s="338" t="n">
        <f aca="false">M7+1</f>
        <v>2705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46295</v>
      </c>
      <c r="C9" s="355" t="n">
        <f aca="false">Admin!$B$198</f>
        <v>46314</v>
      </c>
      <c r="D9" s="356" t="n">
        <f aca="false">Sep!T1+Sep!O1</f>
        <v>0</v>
      </c>
      <c r="E9" s="357" t="n">
        <f aca="false">Sep!N1</f>
        <v>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0</v>
      </c>
      <c r="M9" s="338" t="n">
        <f aca="false">M8+1</f>
        <v>2706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46326</v>
      </c>
      <c r="C10" s="355" t="n">
        <f aca="false">Admin!$B$229</f>
        <v>46345</v>
      </c>
      <c r="D10" s="356" t="n">
        <f aca="false">Oct!T1+Oct!O1</f>
        <v>0</v>
      </c>
      <c r="E10" s="357" t="n">
        <f aca="false">Oct!N1</f>
        <v>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0</v>
      </c>
      <c r="M10" s="338" t="n">
        <f aca="false">M9+1</f>
        <v>2707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46356</v>
      </c>
      <c r="C11" s="355" t="n">
        <f aca="false">Admin!$B$259</f>
        <v>46375</v>
      </c>
      <c r="D11" s="356" t="n">
        <f aca="false">Nov!T1+Nov!O1</f>
        <v>0</v>
      </c>
      <c r="E11" s="357" t="n">
        <f aca="false">Nov!N1</f>
        <v>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0</v>
      </c>
      <c r="M11" s="338" t="n">
        <f aca="false">M10+1</f>
        <v>2708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46387</v>
      </c>
      <c r="C12" s="355" t="n">
        <f aca="false">Admin!$B$290</f>
        <v>46406</v>
      </c>
      <c r="D12" s="356" t="n">
        <f aca="false">Dec!T1+Dec!O1</f>
        <v>0</v>
      </c>
      <c r="E12" s="357" t="n">
        <f aca="false">Dec!N1</f>
        <v>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0</v>
      </c>
      <c r="M12" s="338" t="n">
        <f aca="false">M11+1</f>
        <v>2709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46418</v>
      </c>
      <c r="C13" s="355" t="n">
        <f aca="false">Admin!$B$321</f>
        <v>46437</v>
      </c>
      <c r="D13" s="356" t="n">
        <f aca="false">Jan!T1+Jan!O1</f>
        <v>0</v>
      </c>
      <c r="E13" s="357" t="n">
        <f aca="false">Jan!N1</f>
        <v>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0</v>
      </c>
      <c r="M13" s="338" t="n">
        <f aca="false">M12+1</f>
        <v>2710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46446</v>
      </c>
      <c r="C14" s="355" t="n">
        <f aca="false">Admin!$B$350</f>
        <v>46466</v>
      </c>
      <c r="D14" s="356" t="n">
        <f aca="false">Feb!T1+Feb!O1</f>
        <v>0</v>
      </c>
      <c r="E14" s="357" t="n">
        <f aca="false">Feb!N1</f>
        <v>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0</v>
      </c>
      <c r="M14" s="338" t="n">
        <f aca="false">M13+1</f>
        <v>2711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46477</v>
      </c>
      <c r="C15" s="355" t="n">
        <f aca="false">Admin!$B$381</f>
        <v>46497</v>
      </c>
      <c r="D15" s="356" t="n">
        <f aca="false">Mar!T1+Mar!O1</f>
        <v>0</v>
      </c>
      <c r="E15" s="357" t="n">
        <f aca="false">Mar!N1</f>
        <v>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0</v>
      </c>
      <c r="M15" s="338" t="n">
        <f aca="false">M14+1</f>
        <v>2712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46482</v>
      </c>
      <c r="J1" s="379"/>
      <c r="K1" s="380"/>
      <c r="L1" s="380"/>
      <c r="M1" s="381"/>
      <c r="N1" s="382" t="str">
        <f aca="false">TEXT(YEAR(I1)-1,"0")&amp;"-"&amp;TEXT(YEAR(I1)-2000,"0")</f>
        <v>2026-27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46118</v>
      </c>
      <c r="C2" s="385" t="n">
        <v>1</v>
      </c>
      <c r="D2" s="385" t="n">
        <v>1</v>
      </c>
      <c r="E2" s="386" t="n">
        <f aca="false">B2</f>
        <v>46118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46119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46120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46121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46122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46123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46124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46125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46126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46127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46128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46129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46130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46131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46132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46133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46134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46135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46136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46137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46138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46139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46140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46141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46142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46143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46144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46145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46146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46147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46148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46149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46150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46151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46152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46153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46154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46155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46156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46157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46158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46159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46160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46161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46162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46163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46164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46165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46166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46167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46168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46169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46170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46171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46172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46173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46174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46175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46176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46177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46178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46179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46180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46181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46182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46183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46184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46185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46186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46187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46188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46189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46190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46191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46192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46193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46194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46195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46196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46197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46198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46199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46200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46201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46202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46203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46204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46205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46206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46207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46208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46209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46210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46211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46212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46213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46214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46215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46216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46217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46218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46219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46220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46221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46222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46223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46224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46225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46226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46227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46228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46229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46230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46231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46232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46233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46234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46235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46236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46237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46238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46239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46240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46241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46242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46243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46244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46245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46246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46247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46248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46249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46250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46251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46252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46253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46254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46255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46256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46257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46258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46259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46260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46261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46262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46263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46264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46265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46266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46267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46268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46269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46270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46271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46272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46273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46274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46275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46276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46277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46278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46279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46280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46281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46282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46283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46284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46285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46286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46287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46288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46289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46290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46291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46292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46293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46294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46295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46296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46297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46298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46299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46300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46301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46302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46303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46304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46305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46306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46307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46308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46309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46310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46311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46312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46313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46314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46315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46316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46317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46318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46319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46320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46321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46322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46323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46324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46325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46326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46327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46328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46329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46330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46331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46332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46333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46334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46335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46336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46337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46338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46339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46340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46341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46342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46343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46344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46345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46346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46347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46348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46349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46350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46351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46352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46353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46354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46355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46356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46357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46358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46359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46360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46361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46362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46363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46364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46365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46366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46367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46368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46369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46370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46371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46372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46373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46374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46375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46376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46377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46378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46379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46380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46381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46382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46383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46384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46385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46386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46387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46388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46389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46390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46391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46392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46393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46394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46395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46396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46397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46398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46399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46400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46401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46402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46403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46404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46405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46406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46407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46408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46409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46410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46411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46412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46413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46414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46415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46416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46417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46418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46419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46420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46421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46422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46423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46424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46425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46426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46427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46428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46429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46430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46431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46432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46433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46434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46435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46436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46437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46438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46439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46440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46441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46442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46443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46444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46445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46446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46447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46448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46449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46450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46451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46452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46453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46454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46455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46456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46457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46458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46459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46460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46461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46462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46463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46464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46465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46466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46467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46468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46469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46470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46471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46472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46473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46474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46475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46476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46477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46478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46479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46480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46481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46482</v>
      </c>
      <c r="C366" s="385" t="n">
        <v>53</v>
      </c>
      <c r="D366" s="385" t="n">
        <v>12</v>
      </c>
      <c r="E366" s="386" t="n">
        <f aca="false">B366</f>
        <v>46482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46483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46484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46485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46486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46487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46488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46489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46490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46491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46492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46493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46494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46495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46496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46497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