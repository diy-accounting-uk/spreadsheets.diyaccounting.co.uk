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<sst xmlns="http://schemas.openxmlformats.org/spreadsheetml/2006/main" count="1474" uniqueCount="191">
  <si>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</si>
  <si>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</si>
  <si>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</si>
  <si>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</si>
  <si>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Precision Code Trading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</si>
  <si>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</si>
  <si>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</si>
  <si>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</si>
  <si>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123 High Street</t>
  </si>
  <si>
    <t xml:space="preserve">F</t>
  </si>
  <si>
    <t xml:space="preserve">City</t>
  </si>
  <si>
    <t xml:space="preserve">Manchester</t>
  </si>
  <si>
    <t xml:space="preserve">W</t>
  </si>
  <si>
    <t xml:space="preserve">Post code</t>
  </si>
  <si>
    <t xml:space="preserve">M1 1AA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</si>
  <si>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</si>
  <si>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</si>
  <si>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</si>
  <si>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</si>
  <si>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</si>
  <si>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</si>
  <si>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</si>
  <si>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</si>
  <si>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Johnson</t>
  </si>
  <si>
    <t xml:space="preserve">*Account name</t>
  </si>
  <si>
    <t xml:space="preserve">National Insurance number</t>
  </si>
  <si>
    <t xml:space="preserve">Employee forename(s)</t>
  </si>
  <si>
    <t xml:space="preserve">Alice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</si>
  <si>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</si>
  <si>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</si>
  <si>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</si>
  <si>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</si>
  <si>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</si>
  <si>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</si>
  <si>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</si>
  <si>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</si>
  <si>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EMP001</t>
  </si>
  <si>
    <t xml:space="preserve">Limited Companies Only</t>
  </si>
  <si>
    <t xml:space="preserve">A</t>
  </si>
  <si>
    <t xml:space="preserve">Enter D  for Director</t>
  </si>
  <si>
    <t xml:space="preserve">EMPLOYEE DETAILS   02</t>
  </si>
  <si>
    <t xml:space="preserve">Employee surname</t>
  </si>
  <si>
    <t xml:space="preserve">Williams</t>
  </si>
  <si>
    <t xml:space="preserve">Bob</t>
  </si>
  <si>
    <t xml:space="preserve">EMP002</t>
  </si>
  <si>
    <t xml:space="preserve">EMPLOYEE DETAILS   03</t>
  </si>
  <si>
    <t xml:space="preserve">Smith</t>
  </si>
  <si>
    <t xml:space="preserve">Carol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</si>
  <si>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</si>
  <si>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EMP003</t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</si>
  <si>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</si>
  <si>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</si>
  <si>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</si>
  <si>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</si>
  <si>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</si>
  <si>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</si>
  <si>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</si>
  <si>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</si>
  <si>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</si>
  <si>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</si>
  <si>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</si>
  <si>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</si>
  <si>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</si>
  <si>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</si>
  <si>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</si>
  <si>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</si>
  <si>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</si>
  <si>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</si>
  <si>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</si>
  <si>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</si>
  <si>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</si>
  <si>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</si>
  <si>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</si>
  <si>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</si>
  <si>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</si>
  <si>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</si>
  <si>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</si>
  <si>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</si>
  <si>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</si>
  <si>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</si>
  <si>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</si>
  <si>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</si>
  <si>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</si>
  <si>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</si>
  <si>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</si>
  <si>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</si>
  <si>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</si>
  <si>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</si>
  <si>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</si>
  <si>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</si>
  <si>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</si>
  <si>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</si>
  <si>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</si>
  <si>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</si>
  <si>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</si>
  <si>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</si>
  <si>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Alice Johnson</t>
  </si>
  <si>
    <t xml:space="preserve">PAY-EMP001-2025-04</t>
  </si>
  <si>
    <t xml:space="preserve">Bob Williams</t>
  </si>
  <si>
    <t xml:space="preserve">PAY-EMP002-2025-04</t>
  </si>
  <si>
    <t xml:space="preserve">Carol Smith</t>
  </si>
  <si>
    <t xml:space="preserve">PAY-EMP003-2025-04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</si>
  <si>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</si>
  <si>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</si>
  <si>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</si>
  <si>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</si>
  <si>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PAY-EMP001-2025-05</t>
  </si>
  <si>
    <t xml:space="preserve">PAY-EMP002-2025-05</t>
  </si>
  <si>
    <t xml:space="preserve">PAY-EMP003-2025-05</t>
  </si>
  <si>
    <t xml:space="preserve">PAY-EMP001-2025-06</t>
  </si>
  <si>
    <t xml:space="preserve">PAY-EMP002-2025-06</t>
  </si>
  <si>
    <t xml:space="preserve">PAY-EMP003-2025-06</t>
  </si>
  <si>
    <t xml:space="preserve">PAY-EMP001-2025-07</t>
  </si>
  <si>
    <t xml:space="preserve">PAY-EMP002-2025-07</t>
  </si>
  <si>
    <t xml:space="preserve">PAY-EMP003-2025-07</t>
  </si>
  <si>
    <t xml:space="preserve">PAY-EMP001-2025-08</t>
  </si>
  <si>
    <t xml:space="preserve">PAY-EMP002-2025-08</t>
  </si>
  <si>
    <t xml:space="preserve">PAY-EMP003-2025-08</t>
  </si>
  <si>
    <t xml:space="preserve">PAY-EMP001-2025-09</t>
  </si>
  <si>
    <t xml:space="preserve">PAY-EMP002-2025-09</t>
  </si>
  <si>
    <t xml:space="preserve">PAY-EMP003-2025-09</t>
  </si>
  <si>
    <t xml:space="preserve">PAY-EMP001-2025-10</t>
  </si>
  <si>
    <t xml:space="preserve">PAY-EMP002-2025-10</t>
  </si>
  <si>
    <t xml:space="preserve">PAY-EMP003-2025-10</t>
  </si>
  <si>
    <t xml:space="preserve">PAY-EMP001-2025-11</t>
  </si>
  <si>
    <t xml:space="preserve">PAY-EMP002-2025-11</t>
  </si>
  <si>
    <t xml:space="preserve">PAY-EMP003-2025-11</t>
  </si>
  <si>
    <t xml:space="preserve">PAY-EMP001-2025-12</t>
  </si>
  <si>
    <t xml:space="preserve">PAY-EMP002-2025-12</t>
  </si>
  <si>
    <t xml:space="preserve">PAY-EMP003-2025-12</t>
  </si>
  <si>
    <t xml:space="preserve">PAY-EMP001-2026-01</t>
  </si>
  <si>
    <t xml:space="preserve">PAY-EMP002-2026-01</t>
  </si>
  <si>
    <t xml:space="preserve">PAY-EMP003-2026-01</t>
  </si>
  <si>
    <t xml:space="preserve">PAY-EMP001-2026-02</t>
  </si>
  <si>
    <t xml:space="preserve">PAY-EMP002-2026-02</t>
  </si>
  <si>
    <t xml:space="preserve">PAY-EMP003-2026-02</t>
  </si>
  <si>
    <t xml:space="preserve">PAY-EMP001-2026-03</t>
  </si>
  <si>
    <t xml:space="preserve">PAY-EMP002-2026-03</t>
  </si>
  <si>
    <t xml:space="preserve">PAY-EMP003-2026-03</t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</si>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</sst>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46118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46119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46120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 t="s">
        <v>4</v>
      </c>
      <c r="E5" s="21"/>
      <c r="F5" s="21"/>
      <c r="G5" s="13"/>
      <c r="H5" s="22" t="s">
        <v>5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6</v>
      </c>
      <c r="W5" s="10" t="n">
        <f aca="false">Admin!B5</f>
        <v>46121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7</v>
      </c>
      <c r="C6" s="13"/>
      <c r="D6" s="21" t="s">
        <v>8</v>
      </c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9</v>
      </c>
      <c r="W6" s="10" t="n">
        <f aca="false">Admin!B6</f>
        <v>46122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10</v>
      </c>
      <c r="C7" s="13"/>
      <c r="D7" s="21" t="s">
        <v>11</v>
      </c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12</v>
      </c>
      <c r="W7" s="10" t="n">
        <f aca="false">Admin!B7</f>
        <v>46123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6</v>
      </c>
      <c r="W8" s="10" t="n">
        <f aca="false">Admin!B8</f>
        <v>46124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13</v>
      </c>
      <c r="C9" s="13"/>
      <c r="D9" s="21" t="s">
        <v>14</v>
      </c>
      <c r="E9" s="13"/>
      <c r="F9" s="13"/>
      <c r="G9" s="13"/>
      <c r="H9" s="23"/>
      <c r="I9" s="13"/>
      <c r="J9" s="13"/>
      <c r="K9" s="24" t="s">
        <v>15</v>
      </c>
      <c r="L9" s="24"/>
      <c r="M9" s="25" t="n">
        <f aca="false">Admin!B2</f>
        <v>46118</v>
      </c>
      <c r="N9" s="13"/>
      <c r="O9" s="25" t="n">
        <f aca="false">Admin!I1</f>
        <v>46482</v>
      </c>
      <c r="P9" s="26"/>
      <c r="Q9" s="27"/>
      <c r="R9" s="28"/>
      <c r="S9" s="28"/>
      <c r="T9" s="18"/>
      <c r="U9" s="4"/>
      <c r="W9" s="10" t="n">
        <f aca="false">Admin!B9</f>
        <v>46125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16</v>
      </c>
      <c r="W10" s="10" t="n">
        <f aca="false">Admin!B10</f>
        <v>46126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46127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17</v>
      </c>
      <c r="W12" s="10" t="n">
        <f aca="false">Admin!B12</f>
        <v>46128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18</v>
      </c>
      <c r="C13" s="41"/>
      <c r="D13" s="42"/>
      <c r="E13" s="42"/>
      <c r="F13" s="42"/>
      <c r="G13" s="42"/>
      <c r="H13" s="43" t="s">
        <v>19</v>
      </c>
      <c r="I13" s="42"/>
      <c r="J13" s="44"/>
      <c r="K13" s="12" t="s">
        <v>20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21</v>
      </c>
      <c r="W13" s="10" t="n">
        <f aca="false">Admin!B13</f>
        <v>46129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46130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22</v>
      </c>
      <c r="C15" s="42"/>
      <c r="D15" s="53" t="s">
        <v>23</v>
      </c>
      <c r="E15" s="53"/>
      <c r="F15" s="53"/>
      <c r="G15" s="42"/>
      <c r="H15" s="54" t="s">
        <v>24</v>
      </c>
      <c r="I15" s="42"/>
      <c r="J15" s="55"/>
      <c r="K15" s="42" t="s">
        <v>25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46131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26</v>
      </c>
      <c r="C16" s="42"/>
      <c r="D16" s="53" t="s">
        <v>27</v>
      </c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46132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28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46133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46134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29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46135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46136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30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46137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46138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31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46139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06/04/26)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46140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46141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32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46142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46143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33</v>
      </c>
      <c r="C28" s="42"/>
      <c r="D28" s="77" t="s">
        <v>6</v>
      </c>
      <c r="E28" s="54" t="s">
        <v>34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46144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35</v>
      </c>
      <c r="C29" s="42"/>
      <c r="D29" s="80" t="s">
        <v>36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46145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37</v>
      </c>
      <c r="C30" s="42"/>
      <c r="D30" s="82" t="s">
        <v>38</v>
      </c>
      <c r="E30" s="42"/>
      <c r="F30" s="83" t="s">
        <v>39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46146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46147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46148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46149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46150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46151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46152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46153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46154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40</v>
      </c>
      <c r="C39" s="41"/>
      <c r="D39" s="42"/>
      <c r="E39" s="42"/>
      <c r="F39" s="42"/>
      <c r="G39" s="42"/>
      <c r="H39" s="43" t="s">
        <v>19</v>
      </c>
      <c r="I39" s="42"/>
      <c r="J39" s="44"/>
      <c r="K39" s="12" t="s">
        <v>20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46155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46156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41</v>
      </c>
      <c r="C41" s="42"/>
      <c r="D41" s="53" t="s">
        <v>42</v>
      </c>
      <c r="E41" s="53"/>
      <c r="F41" s="53"/>
      <c r="G41" s="42"/>
      <c r="H41" s="54" t="s">
        <v>24</v>
      </c>
      <c r="I41" s="42"/>
      <c r="J41" s="55"/>
      <c r="K41" s="42" t="s">
        <v>25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46157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26</v>
      </c>
      <c r="C42" s="42"/>
      <c r="D42" s="53" t="s">
        <v>43</v>
      </c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46158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28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46159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46160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29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46161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46162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30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46163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46164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31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46165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06/04/26)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46166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46167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32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46168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46169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33</v>
      </c>
      <c r="C54" s="42"/>
      <c r="D54" s="77" t="s">
        <v>6</v>
      </c>
      <c r="E54" s="54" t="s">
        <v>34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46170</v>
      </c>
      <c r="X54" s="1" t="n">
        <v>53</v>
      </c>
    </row>
    <row r="55" customFormat="false" ht="12" hidden="false" customHeight="false" outlineLevel="0" collapsed="false">
      <c r="A55" s="40"/>
      <c r="B55" s="42" t="s">
        <v>35</v>
      </c>
      <c r="C55" s="42"/>
      <c r="D55" s="80" t="s">
        <v>44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46171</v>
      </c>
    </row>
    <row r="56" customFormat="false" ht="12" hidden="false" customHeight="false" outlineLevel="0" collapsed="false">
      <c r="A56" s="40"/>
      <c r="B56" s="42" t="s">
        <v>37</v>
      </c>
      <c r="C56" s="42"/>
      <c r="D56" s="82" t="s">
        <v>38</v>
      </c>
      <c r="E56" s="42"/>
      <c r="F56" s="83" t="s">
        <v>39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46172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46173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46174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46175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46176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46177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46178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46179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46180</v>
      </c>
    </row>
    <row r="65" customFormat="false" ht="15" hidden="false" customHeight="true" outlineLevel="0" collapsed="false">
      <c r="A65" s="40"/>
      <c r="B65" s="12" t="s">
        <v>45</v>
      </c>
      <c r="C65" s="41"/>
      <c r="D65" s="42"/>
      <c r="E65" s="42"/>
      <c r="F65" s="42"/>
      <c r="G65" s="42"/>
      <c r="H65" s="43" t="s">
        <v>19</v>
      </c>
      <c r="I65" s="42"/>
      <c r="J65" s="44"/>
      <c r="K65" s="12" t="s">
        <v>20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46181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46182</v>
      </c>
    </row>
    <row r="67" customFormat="false" ht="12.65" hidden="false" customHeight="false" outlineLevel="0" collapsed="false">
      <c r="A67" s="40"/>
      <c r="B67" s="42" t="s">
        <v>41</v>
      </c>
      <c r="C67" s="42"/>
      <c r="D67" s="53" t="s">
        <v>46</v>
      </c>
      <c r="E67" s="53"/>
      <c r="F67" s="53"/>
      <c r="G67" s="42"/>
      <c r="H67" s="54" t="s">
        <v>24</v>
      </c>
      <c r="I67" s="42"/>
      <c r="J67" s="55"/>
      <c r="K67" s="42" t="s">
        <v>25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46183</v>
      </c>
    </row>
    <row r="68" customFormat="false" ht="12" hidden="false" customHeight="false" outlineLevel="0" collapsed="false">
      <c r="A68" s="40"/>
      <c r="B68" s="42" t="s">
        <v>26</v>
      </c>
      <c r="C68" s="42"/>
      <c r="D68" s="53" t="s">
        <v>47</v>
      </c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46184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28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46185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46186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29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46187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46188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30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46189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46190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31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46191</v>
      </c>
    </row>
    <row r="76" customFormat="false" ht="12" hidden="false" customHeight="false" outlineLevel="0" collapsed="false">
      <c r="A76" s="40"/>
      <c r="B76" s="42" t="str">
        <f aca="false">B24</f>
        <v>Starting date (existing = 06/04/26)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46192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46193</v>
      </c>
    </row>
    <row r="78" customFormat="false" ht="13.5" hidden="false" customHeight="true" outlineLevel="0" collapsed="false">
      <c r="A78" s="40"/>
      <c r="B78" s="42" t="s">
        <v>48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46194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46195</v>
      </c>
    </row>
    <row r="80" customFormat="false" ht="12" hidden="false" customHeight="false" outlineLevel="0" collapsed="false">
      <c r="A80" s="40"/>
      <c r="B80" s="42" t="s">
        <v>33</v>
      </c>
      <c r="C80" s="42"/>
      <c r="D80" s="77" t="s">
        <v>6</v>
      </c>
      <c r="E80" s="54" t="s">
        <v>34</v>
      </c>
      <c r="F80" s="78" t="str">
        <f aca="false">IF(D82="D","Enter M for Director","Enter M or W for Employee")</f>
        <v>Enter M for Director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46196</v>
      </c>
    </row>
    <row r="81" customFormat="false" ht="12" hidden="false" customHeight="false" outlineLevel="0" collapsed="false">
      <c r="A81" s="40"/>
      <c r="B81" s="42" t="s">
        <v>35</v>
      </c>
      <c r="C81" s="42"/>
      <c r="D81" s="80" t="s">
        <v>49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46197</v>
      </c>
    </row>
    <row r="82" customFormat="false" ht="12" hidden="false" customHeight="false" outlineLevel="0" collapsed="false">
      <c r="A82" s="40"/>
      <c r="B82" s="42" t="s">
        <v>37</v>
      </c>
      <c r="C82" s="42"/>
      <c r="D82" s="82" t="s">
        <v>16</v>
      </c>
      <c r="E82" s="42"/>
      <c r="F82" s="83" t="s">
        <v>39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46198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46199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46200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46201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46202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46203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46204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46205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46206</v>
      </c>
    </row>
    <row r="91" customFormat="false" ht="15" hidden="false" customHeight="true" outlineLevel="0" collapsed="false">
      <c r="A91" s="40"/>
      <c r="B91" s="12" t="s">
        <v>50</v>
      </c>
      <c r="C91" s="41"/>
      <c r="D91" s="42"/>
      <c r="E91" s="42"/>
      <c r="F91" s="42"/>
      <c r="G91" s="42"/>
      <c r="H91" s="43" t="s">
        <v>19</v>
      </c>
      <c r="I91" s="42"/>
      <c r="J91" s="44"/>
      <c r="K91" s="12" t="s">
        <v>20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46207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46208</v>
      </c>
    </row>
    <row r="93" customFormat="false" ht="12.65" hidden="false" customHeight="false" outlineLevel="0" collapsed="false">
      <c r="A93" s="40"/>
      <c r="B93" s="42" t="s">
        <v>41</v>
      </c>
      <c r="C93" s="42"/>
      <c r="D93" s="53"/>
      <c r="E93" s="53"/>
      <c r="F93" s="53"/>
      <c r="G93" s="42"/>
      <c r="H93" s="54" t="s">
        <v>24</v>
      </c>
      <c r="I93" s="42"/>
      <c r="J93" s="55"/>
      <c r="K93" s="42" t="s">
        <v>25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46209</v>
      </c>
    </row>
    <row r="94" customFormat="false" ht="12" hidden="false" customHeight="false" outlineLevel="0" collapsed="false">
      <c r="A94" s="40"/>
      <c r="B94" s="42" t="s">
        <v>26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46210</v>
      </c>
    </row>
    <row r="95" customFormat="false" ht="12" hidden="false" customHeight="false" outlineLevel="0" collapsed="false">
      <c r="A95" s="40"/>
      <c r="B95" s="42" t="s">
        <v>7</v>
      </c>
      <c r="C95" s="42"/>
      <c r="D95" s="53"/>
      <c r="E95" s="53"/>
      <c r="F95" s="53"/>
      <c r="G95" s="42"/>
      <c r="H95" s="54" t="s">
        <v>28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46211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46212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29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46213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46214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30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46215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46216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31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46217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06/04/26)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46218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46219</v>
      </c>
    </row>
    <row r="104" customFormat="false" ht="13.5" hidden="false" customHeight="true" outlineLevel="0" collapsed="false">
      <c r="A104" s="40"/>
      <c r="B104" s="42" t="s">
        <v>48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46220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46221</v>
      </c>
    </row>
    <row r="106" customFormat="false" ht="12" hidden="false" customHeight="false" outlineLevel="0" collapsed="false">
      <c r="A106" s="40"/>
      <c r="B106" s="42" t="s">
        <v>33</v>
      </c>
      <c r="C106" s="42"/>
      <c r="D106" s="77"/>
      <c r="E106" s="54" t="s">
        <v>34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46222</v>
      </c>
    </row>
    <row r="107" customFormat="false" ht="12" hidden="false" customHeight="false" outlineLevel="0" collapsed="false">
      <c r="A107" s="40"/>
      <c r="B107" s="42" t="s">
        <v>35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46223</v>
      </c>
    </row>
    <row r="108" customFormat="false" ht="12" hidden="false" customHeight="false" outlineLevel="0" collapsed="false">
      <c r="A108" s="40"/>
      <c r="B108" s="42" t="s">
        <v>37</v>
      </c>
      <c r="C108" s="42"/>
      <c r="D108" s="82"/>
      <c r="E108" s="42"/>
      <c r="F108" s="83" t="s">
        <v>39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46224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46225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46226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46227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46228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46229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46230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46231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46232</v>
      </c>
    </row>
    <row r="117" customFormat="false" ht="15" hidden="false" customHeight="true" outlineLevel="0" collapsed="false">
      <c r="A117" s="40"/>
      <c r="B117" s="12" t="s">
        <v>51</v>
      </c>
      <c r="C117" s="41"/>
      <c r="D117" s="42"/>
      <c r="E117" s="42"/>
      <c r="F117" s="42"/>
      <c r="G117" s="42"/>
      <c r="H117" s="43" t="s">
        <v>19</v>
      </c>
      <c r="I117" s="42"/>
      <c r="J117" s="44"/>
      <c r="K117" s="12" t="s">
        <v>20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46233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46234</v>
      </c>
    </row>
    <row r="119" customFormat="false" ht="12.65" hidden="false" customHeight="false" outlineLevel="0" collapsed="false">
      <c r="A119" s="40"/>
      <c r="B119" s="42" t="s">
        <v>41</v>
      </c>
      <c r="C119" s="42"/>
      <c r="D119" s="53"/>
      <c r="E119" s="53"/>
      <c r="F119" s="53"/>
      <c r="G119" s="42"/>
      <c r="H119" s="54" t="s">
        <v>24</v>
      </c>
      <c r="I119" s="42"/>
      <c r="J119" s="55"/>
      <c r="K119" s="42" t="s">
        <v>25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46235</v>
      </c>
    </row>
    <row r="120" customFormat="false" ht="12" hidden="false" customHeight="false" outlineLevel="0" collapsed="false">
      <c r="A120" s="40"/>
      <c r="B120" s="42" t="s">
        <v>26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46236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28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46237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46238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29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46239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46240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30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46241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46242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31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46243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06/04/26)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46244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46245</v>
      </c>
    </row>
    <row r="130" customFormat="false" ht="13.5" hidden="false" customHeight="true" outlineLevel="0" collapsed="false">
      <c r="A130" s="40"/>
      <c r="B130" s="42" t="s">
        <v>48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46246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46247</v>
      </c>
    </row>
    <row r="132" customFormat="false" ht="12" hidden="false" customHeight="false" outlineLevel="0" collapsed="false">
      <c r="A132" s="40"/>
      <c r="B132" s="42" t="s">
        <v>33</v>
      </c>
      <c r="C132" s="42"/>
      <c r="D132" s="77"/>
      <c r="E132" s="54" t="s">
        <v>34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46248</v>
      </c>
    </row>
    <row r="133" customFormat="false" ht="12" hidden="false" customHeight="false" outlineLevel="0" collapsed="false">
      <c r="A133" s="40"/>
      <c r="B133" s="42" t="s">
        <v>35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46249</v>
      </c>
    </row>
    <row r="134" customFormat="false" ht="12" hidden="false" customHeight="false" outlineLevel="0" collapsed="false">
      <c r="A134" s="40"/>
      <c r="B134" s="42" t="s">
        <v>37</v>
      </c>
      <c r="C134" s="42"/>
      <c r="D134" s="82"/>
      <c r="E134" s="42"/>
      <c r="F134" s="83" t="s">
        <v>39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46250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46251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46252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46253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46254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46255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46256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46257</v>
      </c>
    </row>
    <row r="142" customFormat="false" ht="12" hidden="false" customHeight="false" outlineLevel="0" collapsed="false">
      <c r="W142" s="10" t="n">
        <f aca="false">Admin!B142</f>
        <v>46258</v>
      </c>
    </row>
    <row r="143" customFormat="false" ht="12" hidden="false" customHeight="false" outlineLevel="0" collapsed="false">
      <c r="W143" s="10" t="n">
        <f aca="false">Admin!B143</f>
        <v>46259</v>
      </c>
    </row>
    <row r="144" customFormat="false" ht="12" hidden="false" customHeight="false" outlineLevel="0" collapsed="false">
      <c r="W144" s="10" t="n">
        <f aca="false">Admin!B144</f>
        <v>46260</v>
      </c>
    </row>
    <row r="145" customFormat="false" ht="12" hidden="false" customHeight="false" outlineLevel="0" collapsed="false">
      <c r="W145" s="10" t="n">
        <f aca="false">Admin!B145</f>
        <v>46261</v>
      </c>
    </row>
    <row r="146" customFormat="false" ht="12" hidden="false" customHeight="false" outlineLevel="0" collapsed="false">
      <c r="W146" s="10" t="n">
        <f aca="false">Admin!B146</f>
        <v>46262</v>
      </c>
    </row>
    <row r="147" customFormat="false" ht="12" hidden="false" customHeight="false" outlineLevel="0" collapsed="false">
      <c r="W147" s="10" t="n">
        <f aca="false">Admin!B147</f>
        <v>46263</v>
      </c>
    </row>
    <row r="148" customFormat="false" ht="12" hidden="false" customHeight="false" outlineLevel="0" collapsed="false">
      <c r="W148" s="10" t="n">
        <f aca="false">Admin!B148</f>
        <v>46264</v>
      </c>
    </row>
    <row r="149" customFormat="false" ht="12" hidden="false" customHeight="false" outlineLevel="0" collapsed="false">
      <c r="W149" s="10" t="n">
        <f aca="false">Admin!B149</f>
        <v>46265</v>
      </c>
    </row>
    <row r="150" customFormat="false" ht="12" hidden="false" customHeight="false" outlineLevel="0" collapsed="false">
      <c r="W150" s="10" t="n">
        <f aca="false">Admin!B150</f>
        <v>46266</v>
      </c>
    </row>
    <row r="151" customFormat="false" ht="12" hidden="false" customHeight="false" outlineLevel="0" collapsed="false">
      <c r="W151" s="10" t="n">
        <f aca="false">Admin!B151</f>
        <v>46267</v>
      </c>
    </row>
    <row r="152" customFormat="false" ht="12" hidden="false" customHeight="false" outlineLevel="0" collapsed="false">
      <c r="W152" s="10" t="n">
        <f aca="false">Admin!B152</f>
        <v>46268</v>
      </c>
    </row>
    <row r="153" customFormat="false" ht="12" hidden="false" customHeight="false" outlineLevel="0" collapsed="false">
      <c r="W153" s="10" t="n">
        <f aca="false">Admin!B153</f>
        <v>46269</v>
      </c>
    </row>
    <row r="154" customFormat="false" ht="12" hidden="false" customHeight="false" outlineLevel="0" collapsed="false">
      <c r="W154" s="10" t="n">
        <f aca="false">Admin!B154</f>
        <v>46270</v>
      </c>
    </row>
    <row r="155" customFormat="false" ht="12" hidden="false" customHeight="false" outlineLevel="0" collapsed="false">
      <c r="W155" s="10" t="n">
        <f aca="false">Admin!B155</f>
        <v>46271</v>
      </c>
    </row>
    <row r="156" customFormat="false" ht="12" hidden="false" customHeight="false" outlineLevel="0" collapsed="false">
      <c r="W156" s="10" t="n">
        <f aca="false">Admin!B156</f>
        <v>46272</v>
      </c>
    </row>
    <row r="157" customFormat="false" ht="12" hidden="false" customHeight="false" outlineLevel="0" collapsed="false">
      <c r="W157" s="10" t="n">
        <f aca="false">Admin!B157</f>
        <v>46273</v>
      </c>
    </row>
    <row r="158" customFormat="false" ht="12" hidden="false" customHeight="false" outlineLevel="0" collapsed="false">
      <c r="W158" s="10" t="n">
        <f aca="false">Admin!B158</f>
        <v>46274</v>
      </c>
    </row>
    <row r="159" customFormat="false" ht="12" hidden="false" customHeight="false" outlineLevel="0" collapsed="false">
      <c r="W159" s="10" t="n">
        <f aca="false">Admin!B159</f>
        <v>46275</v>
      </c>
    </row>
    <row r="160" customFormat="false" ht="12" hidden="false" customHeight="false" outlineLevel="0" collapsed="false">
      <c r="W160" s="10" t="n">
        <f aca="false">Admin!B160</f>
        <v>46276</v>
      </c>
    </row>
    <row r="161" customFormat="false" ht="12" hidden="false" customHeight="false" outlineLevel="0" collapsed="false">
      <c r="W161" s="10" t="n">
        <f aca="false">Admin!B161</f>
        <v>46277</v>
      </c>
    </row>
    <row r="162" customFormat="false" ht="12" hidden="false" customHeight="false" outlineLevel="0" collapsed="false">
      <c r="W162" s="10" t="n">
        <f aca="false">Admin!B162</f>
        <v>46278</v>
      </c>
    </row>
    <row r="163" customFormat="false" ht="12" hidden="false" customHeight="false" outlineLevel="0" collapsed="false">
      <c r="W163" s="10" t="n">
        <f aca="false">Admin!B163</f>
        <v>46279</v>
      </c>
    </row>
    <row r="164" customFormat="false" ht="12" hidden="false" customHeight="false" outlineLevel="0" collapsed="false">
      <c r="W164" s="10" t="n">
        <f aca="false">Admin!B164</f>
        <v>46280</v>
      </c>
    </row>
    <row r="165" customFormat="false" ht="12" hidden="false" customHeight="false" outlineLevel="0" collapsed="false">
      <c r="W165" s="10" t="n">
        <f aca="false">Admin!B165</f>
        <v>46281</v>
      </c>
    </row>
    <row r="166" customFormat="false" ht="12" hidden="false" customHeight="false" outlineLevel="0" collapsed="false">
      <c r="W166" s="10" t="n">
        <f aca="false">Admin!B166</f>
        <v>46282</v>
      </c>
    </row>
    <row r="167" customFormat="false" ht="12" hidden="false" customHeight="false" outlineLevel="0" collapsed="false">
      <c r="W167" s="10" t="n">
        <f aca="false">Admin!B167</f>
        <v>46283</v>
      </c>
    </row>
    <row r="168" customFormat="false" ht="12" hidden="false" customHeight="false" outlineLevel="0" collapsed="false">
      <c r="W168" s="10" t="n">
        <f aca="false">Admin!B168</f>
        <v>46284</v>
      </c>
    </row>
    <row r="169" customFormat="false" ht="12" hidden="false" customHeight="false" outlineLevel="0" collapsed="false">
      <c r="W169" s="10" t="n">
        <f aca="false">Admin!B169</f>
        <v>46285</v>
      </c>
    </row>
    <row r="170" customFormat="false" ht="12" hidden="false" customHeight="false" outlineLevel="0" collapsed="false">
      <c r="W170" s="10" t="n">
        <f aca="false">Admin!B170</f>
        <v>46286</v>
      </c>
    </row>
    <row r="171" customFormat="false" ht="12" hidden="false" customHeight="false" outlineLevel="0" collapsed="false">
      <c r="W171" s="10" t="n">
        <f aca="false">Admin!B171</f>
        <v>46287</v>
      </c>
    </row>
    <row r="172" customFormat="false" ht="12" hidden="false" customHeight="false" outlineLevel="0" collapsed="false">
      <c r="W172" s="10" t="n">
        <f aca="false">Admin!B172</f>
        <v>46288</v>
      </c>
    </row>
    <row r="173" customFormat="false" ht="12" hidden="false" customHeight="false" outlineLevel="0" collapsed="false">
      <c r="W173" s="10" t="n">
        <f aca="false">Admin!B173</f>
        <v>46289</v>
      </c>
    </row>
    <row r="174" customFormat="false" ht="12" hidden="false" customHeight="false" outlineLevel="0" collapsed="false">
      <c r="W174" s="10" t="n">
        <f aca="false">Admin!B174</f>
        <v>46290</v>
      </c>
    </row>
    <row r="175" customFormat="false" ht="12" hidden="false" customHeight="false" outlineLevel="0" collapsed="false">
      <c r="W175" s="10" t="n">
        <f aca="false">Admin!B175</f>
        <v>46291</v>
      </c>
    </row>
    <row r="176" customFormat="false" ht="12" hidden="false" customHeight="false" outlineLevel="0" collapsed="false">
      <c r="W176" s="10" t="n">
        <f aca="false">Admin!B176</f>
        <v>46292</v>
      </c>
    </row>
    <row r="177" customFormat="false" ht="12" hidden="false" customHeight="false" outlineLevel="0" collapsed="false">
      <c r="W177" s="10" t="n">
        <f aca="false">Admin!B177</f>
        <v>46293</v>
      </c>
    </row>
    <row r="178" customFormat="false" ht="12" hidden="false" customHeight="false" outlineLevel="0" collapsed="false">
      <c r="W178" s="10" t="n">
        <f aca="false">Admin!B178</f>
        <v>46294</v>
      </c>
    </row>
    <row r="179" customFormat="false" ht="12" hidden="false" customHeight="false" outlineLevel="0" collapsed="false">
      <c r="W179" s="10" t="n">
        <f aca="false">Admin!B179</f>
        <v>46295</v>
      </c>
    </row>
    <row r="180" customFormat="false" ht="12" hidden="false" customHeight="false" outlineLevel="0" collapsed="false">
      <c r="W180" s="10" t="n">
        <f aca="false">Admin!B180</f>
        <v>46296</v>
      </c>
    </row>
    <row r="181" customFormat="false" ht="12" hidden="false" customHeight="false" outlineLevel="0" collapsed="false">
      <c r="W181" s="10" t="n">
        <f aca="false">Admin!B181</f>
        <v>46297</v>
      </c>
    </row>
    <row r="182" customFormat="false" ht="12" hidden="false" customHeight="false" outlineLevel="0" collapsed="false">
      <c r="W182" s="10" t="n">
        <f aca="false">Admin!B182</f>
        <v>46298</v>
      </c>
    </row>
    <row r="183" customFormat="false" ht="12" hidden="false" customHeight="false" outlineLevel="0" collapsed="false">
      <c r="W183" s="10" t="n">
        <f aca="false">Admin!B183</f>
        <v>46299</v>
      </c>
    </row>
    <row r="184" customFormat="false" ht="12" hidden="false" customHeight="false" outlineLevel="0" collapsed="false">
      <c r="W184" s="10" t="n">
        <f aca="false">Admin!B184</f>
        <v>46300</v>
      </c>
    </row>
    <row r="185" customFormat="false" ht="12" hidden="false" customHeight="false" outlineLevel="0" collapsed="false">
      <c r="W185" s="10" t="n">
        <f aca="false">Admin!B185</f>
        <v>46301</v>
      </c>
    </row>
    <row r="186" customFormat="false" ht="12" hidden="false" customHeight="false" outlineLevel="0" collapsed="false">
      <c r="W186" s="10" t="n">
        <f aca="false">Admin!B186</f>
        <v>46302</v>
      </c>
    </row>
    <row r="187" customFormat="false" ht="12" hidden="false" customHeight="false" outlineLevel="0" collapsed="false">
      <c r="W187" s="10" t="n">
        <f aca="false">Admin!B187</f>
        <v>46303</v>
      </c>
    </row>
    <row r="188" customFormat="false" ht="12" hidden="false" customHeight="false" outlineLevel="0" collapsed="false">
      <c r="W188" s="10" t="n">
        <f aca="false">Admin!B188</f>
        <v>46304</v>
      </c>
    </row>
    <row r="189" customFormat="false" ht="12" hidden="false" customHeight="false" outlineLevel="0" collapsed="false">
      <c r="W189" s="10" t="n">
        <f aca="false">Admin!B189</f>
        <v>46305</v>
      </c>
    </row>
    <row r="190" customFormat="false" ht="12" hidden="false" customHeight="false" outlineLevel="0" collapsed="false">
      <c r="W190" s="10" t="n">
        <f aca="false">Admin!B190</f>
        <v>46306</v>
      </c>
    </row>
    <row r="191" customFormat="false" ht="12" hidden="false" customHeight="false" outlineLevel="0" collapsed="false">
      <c r="W191" s="10" t="n">
        <f aca="false">Admin!B191</f>
        <v>46307</v>
      </c>
    </row>
    <row r="192" customFormat="false" ht="12" hidden="false" customHeight="false" outlineLevel="0" collapsed="false">
      <c r="W192" s="10" t="n">
        <f aca="false">Admin!B192</f>
        <v>46308</v>
      </c>
    </row>
    <row r="193" customFormat="false" ht="12" hidden="false" customHeight="false" outlineLevel="0" collapsed="false">
      <c r="W193" s="10" t="n">
        <f aca="false">Admin!B193</f>
        <v>46309</v>
      </c>
    </row>
    <row r="194" customFormat="false" ht="12" hidden="false" customHeight="false" outlineLevel="0" collapsed="false">
      <c r="W194" s="10" t="n">
        <f aca="false">Admin!B194</f>
        <v>46310</v>
      </c>
    </row>
    <row r="195" customFormat="false" ht="12" hidden="false" customHeight="false" outlineLevel="0" collapsed="false">
      <c r="W195" s="10" t="n">
        <f aca="false">Admin!B195</f>
        <v>46311</v>
      </c>
    </row>
    <row r="196" customFormat="false" ht="12" hidden="false" customHeight="false" outlineLevel="0" collapsed="false">
      <c r="W196" s="10" t="n">
        <f aca="false">Admin!B196</f>
        <v>46312</v>
      </c>
    </row>
    <row r="197" customFormat="false" ht="12" hidden="false" customHeight="false" outlineLevel="0" collapsed="false">
      <c r="W197" s="10" t="n">
        <f aca="false">Admin!B197</f>
        <v>46313</v>
      </c>
    </row>
    <row r="198" customFormat="false" ht="12" hidden="false" customHeight="false" outlineLevel="0" collapsed="false">
      <c r="W198" s="10" t="n">
        <f aca="false">Admin!B198</f>
        <v>46314</v>
      </c>
    </row>
    <row r="199" customFormat="false" ht="12" hidden="false" customHeight="false" outlineLevel="0" collapsed="false">
      <c r="W199" s="10" t="n">
        <f aca="false">Admin!B199</f>
        <v>46315</v>
      </c>
    </row>
    <row r="200" customFormat="false" ht="12" hidden="false" customHeight="false" outlineLevel="0" collapsed="false">
      <c r="W200" s="10" t="n">
        <f aca="false">Admin!B200</f>
        <v>46316</v>
      </c>
    </row>
    <row r="201" customFormat="false" ht="12" hidden="false" customHeight="false" outlineLevel="0" collapsed="false">
      <c r="W201" s="10" t="n">
        <f aca="false">Admin!B201</f>
        <v>46317</v>
      </c>
    </row>
    <row r="202" customFormat="false" ht="12" hidden="false" customHeight="false" outlineLevel="0" collapsed="false">
      <c r="W202" s="10" t="n">
        <f aca="false">Admin!B202</f>
        <v>46318</v>
      </c>
    </row>
    <row r="203" customFormat="false" ht="12" hidden="false" customHeight="false" outlineLevel="0" collapsed="false">
      <c r="W203" s="10" t="n">
        <f aca="false">Admin!B203</f>
        <v>46319</v>
      </c>
    </row>
    <row r="204" customFormat="false" ht="12" hidden="false" customHeight="false" outlineLevel="0" collapsed="false">
      <c r="W204" s="10" t="n">
        <f aca="false">Admin!B204</f>
        <v>46320</v>
      </c>
    </row>
    <row r="205" customFormat="false" ht="12" hidden="false" customHeight="false" outlineLevel="0" collapsed="false">
      <c r="W205" s="10" t="n">
        <f aca="false">Admin!B205</f>
        <v>46321</v>
      </c>
    </row>
    <row r="206" customFormat="false" ht="12" hidden="false" customHeight="false" outlineLevel="0" collapsed="false">
      <c r="W206" s="10" t="n">
        <f aca="false">Admin!B206</f>
        <v>46322</v>
      </c>
    </row>
    <row r="207" customFormat="false" ht="12" hidden="false" customHeight="false" outlineLevel="0" collapsed="false">
      <c r="W207" s="10" t="n">
        <f aca="false">Admin!B207</f>
        <v>46323</v>
      </c>
    </row>
    <row r="208" customFormat="false" ht="12" hidden="false" customHeight="false" outlineLevel="0" collapsed="false">
      <c r="W208" s="10" t="n">
        <f aca="false">Admin!B208</f>
        <v>46324</v>
      </c>
    </row>
    <row r="209" customFormat="false" ht="12" hidden="false" customHeight="false" outlineLevel="0" collapsed="false">
      <c r="W209" s="10" t="n">
        <f aca="false">Admin!B209</f>
        <v>46325</v>
      </c>
    </row>
    <row r="210" customFormat="false" ht="12" hidden="false" customHeight="false" outlineLevel="0" collapsed="false">
      <c r="W210" s="10" t="n">
        <f aca="false">Admin!B210</f>
        <v>46326</v>
      </c>
    </row>
    <row r="211" customFormat="false" ht="12" hidden="false" customHeight="false" outlineLevel="0" collapsed="false">
      <c r="W211" s="10" t="n">
        <f aca="false">Admin!B211</f>
        <v>46327</v>
      </c>
    </row>
    <row r="212" customFormat="false" ht="12" hidden="false" customHeight="false" outlineLevel="0" collapsed="false">
      <c r="W212" s="10" t="n">
        <f aca="false">Admin!B212</f>
        <v>46328</v>
      </c>
    </row>
    <row r="213" customFormat="false" ht="12" hidden="false" customHeight="false" outlineLevel="0" collapsed="false">
      <c r="W213" s="10" t="n">
        <f aca="false">Admin!B213</f>
        <v>46329</v>
      </c>
    </row>
    <row r="214" customFormat="false" ht="12" hidden="false" customHeight="false" outlineLevel="0" collapsed="false">
      <c r="W214" s="10" t="n">
        <f aca="false">Admin!B214</f>
        <v>46330</v>
      </c>
    </row>
    <row r="215" customFormat="false" ht="12" hidden="false" customHeight="false" outlineLevel="0" collapsed="false">
      <c r="W215" s="10" t="n">
        <f aca="false">Admin!B215</f>
        <v>46331</v>
      </c>
    </row>
    <row r="216" customFormat="false" ht="12" hidden="false" customHeight="false" outlineLevel="0" collapsed="false">
      <c r="W216" s="10" t="n">
        <f aca="false">Admin!B216</f>
        <v>46332</v>
      </c>
    </row>
    <row r="217" customFormat="false" ht="12" hidden="false" customHeight="false" outlineLevel="0" collapsed="false">
      <c r="W217" s="10" t="n">
        <f aca="false">Admin!B217</f>
        <v>46333</v>
      </c>
    </row>
    <row r="218" customFormat="false" ht="12" hidden="false" customHeight="false" outlineLevel="0" collapsed="false">
      <c r="W218" s="10" t="n">
        <f aca="false">Admin!B218</f>
        <v>46334</v>
      </c>
    </row>
    <row r="219" customFormat="false" ht="12" hidden="false" customHeight="false" outlineLevel="0" collapsed="false">
      <c r="W219" s="10" t="n">
        <f aca="false">Admin!B219</f>
        <v>46335</v>
      </c>
    </row>
    <row r="220" customFormat="false" ht="12" hidden="false" customHeight="false" outlineLevel="0" collapsed="false">
      <c r="W220" s="10" t="n">
        <f aca="false">Admin!B220</f>
        <v>46336</v>
      </c>
    </row>
    <row r="221" customFormat="false" ht="12" hidden="false" customHeight="false" outlineLevel="0" collapsed="false">
      <c r="W221" s="10" t="n">
        <f aca="false">Admin!B221</f>
        <v>46337</v>
      </c>
    </row>
    <row r="222" customFormat="false" ht="12" hidden="false" customHeight="false" outlineLevel="0" collapsed="false">
      <c r="W222" s="10" t="n">
        <f aca="false">Admin!B222</f>
        <v>46338</v>
      </c>
    </row>
    <row r="223" customFormat="false" ht="12" hidden="false" customHeight="false" outlineLevel="0" collapsed="false">
      <c r="W223" s="10" t="n">
        <f aca="false">Admin!B223</f>
        <v>46339</v>
      </c>
    </row>
    <row r="224" customFormat="false" ht="12" hidden="false" customHeight="false" outlineLevel="0" collapsed="false">
      <c r="W224" s="10" t="n">
        <f aca="false">Admin!B224</f>
        <v>46340</v>
      </c>
    </row>
    <row r="225" customFormat="false" ht="12" hidden="false" customHeight="false" outlineLevel="0" collapsed="false">
      <c r="W225" s="10" t="n">
        <f aca="false">Admin!B225</f>
        <v>46341</v>
      </c>
    </row>
    <row r="226" customFormat="false" ht="12" hidden="false" customHeight="false" outlineLevel="0" collapsed="false">
      <c r="W226" s="10" t="n">
        <f aca="false">Admin!B226</f>
        <v>46342</v>
      </c>
    </row>
    <row r="227" customFormat="false" ht="12" hidden="false" customHeight="false" outlineLevel="0" collapsed="false">
      <c r="W227" s="10" t="n">
        <f aca="false">Admin!B227</f>
        <v>46343</v>
      </c>
    </row>
    <row r="228" customFormat="false" ht="12" hidden="false" customHeight="false" outlineLevel="0" collapsed="false">
      <c r="W228" s="10" t="n">
        <f aca="false">Admin!B228</f>
        <v>46344</v>
      </c>
    </row>
    <row r="229" customFormat="false" ht="12" hidden="false" customHeight="false" outlineLevel="0" collapsed="false">
      <c r="W229" s="10" t="n">
        <f aca="false">Admin!B229</f>
        <v>46345</v>
      </c>
    </row>
    <row r="230" customFormat="false" ht="12" hidden="false" customHeight="false" outlineLevel="0" collapsed="false">
      <c r="W230" s="10" t="n">
        <f aca="false">Admin!B230</f>
        <v>46346</v>
      </c>
    </row>
    <row r="231" customFormat="false" ht="12" hidden="false" customHeight="false" outlineLevel="0" collapsed="false">
      <c r="W231" s="10" t="n">
        <f aca="false">Admin!B231</f>
        <v>46347</v>
      </c>
    </row>
    <row r="232" customFormat="false" ht="12" hidden="false" customHeight="false" outlineLevel="0" collapsed="false">
      <c r="W232" s="10" t="n">
        <f aca="false">Admin!B232</f>
        <v>46348</v>
      </c>
    </row>
    <row r="233" customFormat="false" ht="12" hidden="false" customHeight="false" outlineLevel="0" collapsed="false">
      <c r="W233" s="10" t="n">
        <f aca="false">Admin!B233</f>
        <v>46349</v>
      </c>
    </row>
    <row r="234" customFormat="false" ht="12" hidden="false" customHeight="false" outlineLevel="0" collapsed="false">
      <c r="W234" s="10" t="n">
        <f aca="false">Admin!B234</f>
        <v>46350</v>
      </c>
    </row>
    <row r="235" customFormat="false" ht="12" hidden="false" customHeight="false" outlineLevel="0" collapsed="false">
      <c r="W235" s="10" t="n">
        <f aca="false">Admin!B235</f>
        <v>46351</v>
      </c>
    </row>
    <row r="236" customFormat="false" ht="12" hidden="false" customHeight="false" outlineLevel="0" collapsed="false">
      <c r="W236" s="10" t="n">
        <f aca="false">Admin!B236</f>
        <v>46352</v>
      </c>
    </row>
    <row r="237" customFormat="false" ht="12" hidden="false" customHeight="false" outlineLevel="0" collapsed="false">
      <c r="W237" s="10" t="n">
        <f aca="false">Admin!B237</f>
        <v>46353</v>
      </c>
    </row>
    <row r="238" customFormat="false" ht="12" hidden="false" customHeight="false" outlineLevel="0" collapsed="false">
      <c r="W238" s="10" t="n">
        <f aca="false">Admin!B238</f>
        <v>46354</v>
      </c>
    </row>
    <row r="239" customFormat="false" ht="12" hidden="false" customHeight="false" outlineLevel="0" collapsed="false">
      <c r="W239" s="10" t="n">
        <f aca="false">Admin!B239</f>
        <v>46355</v>
      </c>
    </row>
    <row r="240" customFormat="false" ht="12" hidden="false" customHeight="false" outlineLevel="0" collapsed="false">
      <c r="W240" s="10" t="n">
        <f aca="false">Admin!B240</f>
        <v>46356</v>
      </c>
    </row>
    <row r="241" customFormat="false" ht="12" hidden="false" customHeight="false" outlineLevel="0" collapsed="false">
      <c r="W241" s="10" t="n">
        <f aca="false">Admin!B241</f>
        <v>46357</v>
      </c>
    </row>
    <row r="242" customFormat="false" ht="12" hidden="false" customHeight="false" outlineLevel="0" collapsed="false">
      <c r="W242" s="10" t="n">
        <f aca="false">Admin!B242</f>
        <v>46358</v>
      </c>
    </row>
    <row r="243" customFormat="false" ht="12" hidden="false" customHeight="false" outlineLevel="0" collapsed="false">
      <c r="W243" s="10" t="n">
        <f aca="false">Admin!B243</f>
        <v>46359</v>
      </c>
    </row>
    <row r="244" customFormat="false" ht="12" hidden="false" customHeight="false" outlineLevel="0" collapsed="false">
      <c r="W244" s="10" t="n">
        <f aca="false">Admin!B244</f>
        <v>46360</v>
      </c>
    </row>
    <row r="245" customFormat="false" ht="12" hidden="false" customHeight="false" outlineLevel="0" collapsed="false">
      <c r="W245" s="10" t="n">
        <f aca="false">Admin!B245</f>
        <v>46361</v>
      </c>
    </row>
    <row r="246" customFormat="false" ht="12" hidden="false" customHeight="false" outlineLevel="0" collapsed="false">
      <c r="W246" s="10" t="n">
        <f aca="false">Admin!B246</f>
        <v>46362</v>
      </c>
    </row>
    <row r="247" customFormat="false" ht="12" hidden="false" customHeight="false" outlineLevel="0" collapsed="false">
      <c r="W247" s="10" t="n">
        <f aca="false">Admin!B247</f>
        <v>46363</v>
      </c>
    </row>
    <row r="248" customFormat="false" ht="12" hidden="false" customHeight="false" outlineLevel="0" collapsed="false">
      <c r="W248" s="10" t="n">
        <f aca="false">Admin!B248</f>
        <v>46364</v>
      </c>
    </row>
    <row r="249" customFormat="false" ht="12" hidden="false" customHeight="false" outlineLevel="0" collapsed="false">
      <c r="W249" s="10" t="n">
        <f aca="false">Admin!B249</f>
        <v>46365</v>
      </c>
    </row>
    <row r="250" customFormat="false" ht="12" hidden="false" customHeight="false" outlineLevel="0" collapsed="false">
      <c r="W250" s="10" t="n">
        <f aca="false">Admin!B250</f>
        <v>46366</v>
      </c>
    </row>
    <row r="251" customFormat="false" ht="12" hidden="false" customHeight="false" outlineLevel="0" collapsed="false">
      <c r="W251" s="10" t="n">
        <f aca="false">Admin!B251</f>
        <v>46367</v>
      </c>
    </row>
    <row r="252" customFormat="false" ht="12" hidden="false" customHeight="false" outlineLevel="0" collapsed="false">
      <c r="W252" s="10" t="n">
        <f aca="false">Admin!B252</f>
        <v>46368</v>
      </c>
    </row>
    <row r="253" customFormat="false" ht="12" hidden="false" customHeight="false" outlineLevel="0" collapsed="false">
      <c r="W253" s="10" t="n">
        <f aca="false">Admin!B253</f>
        <v>46369</v>
      </c>
    </row>
    <row r="254" customFormat="false" ht="12" hidden="false" customHeight="false" outlineLevel="0" collapsed="false">
      <c r="W254" s="10" t="n">
        <f aca="false">Admin!B254</f>
        <v>46370</v>
      </c>
    </row>
    <row r="255" customFormat="false" ht="12" hidden="false" customHeight="false" outlineLevel="0" collapsed="false">
      <c r="W255" s="10" t="n">
        <f aca="false">Admin!B255</f>
        <v>46371</v>
      </c>
    </row>
    <row r="256" customFormat="false" ht="12" hidden="false" customHeight="false" outlineLevel="0" collapsed="false">
      <c r="W256" s="10" t="n">
        <f aca="false">Admin!B256</f>
        <v>46372</v>
      </c>
    </row>
    <row r="257" customFormat="false" ht="12" hidden="false" customHeight="false" outlineLevel="0" collapsed="false">
      <c r="W257" s="10" t="n">
        <f aca="false">Admin!B257</f>
        <v>46373</v>
      </c>
    </row>
    <row r="258" customFormat="false" ht="12" hidden="false" customHeight="false" outlineLevel="0" collapsed="false">
      <c r="W258" s="10" t="n">
        <f aca="false">Admin!B258</f>
        <v>46374</v>
      </c>
    </row>
    <row r="259" customFormat="false" ht="12" hidden="false" customHeight="false" outlineLevel="0" collapsed="false">
      <c r="W259" s="10" t="n">
        <f aca="false">Admin!B259</f>
        <v>46375</v>
      </c>
    </row>
    <row r="260" customFormat="false" ht="12" hidden="false" customHeight="false" outlineLevel="0" collapsed="false">
      <c r="W260" s="10" t="n">
        <f aca="false">Admin!B260</f>
        <v>46376</v>
      </c>
    </row>
    <row r="261" customFormat="false" ht="12" hidden="false" customHeight="false" outlineLevel="0" collapsed="false">
      <c r="W261" s="10" t="n">
        <f aca="false">Admin!B261</f>
        <v>46377</v>
      </c>
    </row>
    <row r="262" customFormat="false" ht="12" hidden="false" customHeight="false" outlineLevel="0" collapsed="false">
      <c r="W262" s="10" t="n">
        <f aca="false">Admin!B262</f>
        <v>46378</v>
      </c>
    </row>
    <row r="263" customFormat="false" ht="12" hidden="false" customHeight="false" outlineLevel="0" collapsed="false">
      <c r="W263" s="10" t="n">
        <f aca="false">Admin!B263</f>
        <v>46379</v>
      </c>
    </row>
    <row r="264" customFormat="false" ht="12" hidden="false" customHeight="false" outlineLevel="0" collapsed="false">
      <c r="W264" s="10" t="n">
        <f aca="false">Admin!B264</f>
        <v>46380</v>
      </c>
    </row>
    <row r="265" customFormat="false" ht="12" hidden="false" customHeight="false" outlineLevel="0" collapsed="false">
      <c r="W265" s="10" t="n">
        <f aca="false">Admin!B265</f>
        <v>46381</v>
      </c>
    </row>
    <row r="266" customFormat="false" ht="12" hidden="false" customHeight="false" outlineLevel="0" collapsed="false">
      <c r="W266" s="10" t="n">
        <f aca="false">Admin!B266</f>
        <v>46382</v>
      </c>
    </row>
    <row r="267" customFormat="false" ht="12" hidden="false" customHeight="false" outlineLevel="0" collapsed="false">
      <c r="W267" s="10" t="n">
        <f aca="false">Admin!B267</f>
        <v>46383</v>
      </c>
    </row>
    <row r="268" customFormat="false" ht="12" hidden="false" customHeight="false" outlineLevel="0" collapsed="false">
      <c r="W268" s="10" t="n">
        <f aca="false">Admin!B268</f>
        <v>46384</v>
      </c>
    </row>
    <row r="269" customFormat="false" ht="12" hidden="false" customHeight="false" outlineLevel="0" collapsed="false">
      <c r="W269" s="10" t="n">
        <f aca="false">Admin!B269</f>
        <v>46385</v>
      </c>
    </row>
    <row r="270" customFormat="false" ht="12" hidden="false" customHeight="false" outlineLevel="0" collapsed="false">
      <c r="W270" s="10" t="n">
        <f aca="false">Admin!B270</f>
        <v>46386</v>
      </c>
    </row>
    <row r="271" customFormat="false" ht="12" hidden="false" customHeight="false" outlineLevel="0" collapsed="false">
      <c r="W271" s="10" t="n">
        <f aca="false">Admin!B271</f>
        <v>46387</v>
      </c>
    </row>
    <row r="272" customFormat="false" ht="12" hidden="false" customHeight="false" outlineLevel="0" collapsed="false">
      <c r="W272" s="10" t="n">
        <f aca="false">Admin!B272</f>
        <v>46388</v>
      </c>
    </row>
    <row r="273" customFormat="false" ht="12" hidden="false" customHeight="false" outlineLevel="0" collapsed="false">
      <c r="W273" s="10" t="n">
        <f aca="false">Admin!B273</f>
        <v>46389</v>
      </c>
    </row>
    <row r="274" customFormat="false" ht="12" hidden="false" customHeight="false" outlineLevel="0" collapsed="false">
      <c r="W274" s="10" t="n">
        <f aca="false">Admin!B274</f>
        <v>46390</v>
      </c>
    </row>
    <row r="275" customFormat="false" ht="12" hidden="false" customHeight="false" outlineLevel="0" collapsed="false">
      <c r="W275" s="10" t="n">
        <f aca="false">Admin!B275</f>
        <v>46391</v>
      </c>
    </row>
    <row r="276" customFormat="false" ht="12" hidden="false" customHeight="false" outlineLevel="0" collapsed="false">
      <c r="W276" s="10" t="n">
        <f aca="false">Admin!B276</f>
        <v>46392</v>
      </c>
    </row>
    <row r="277" customFormat="false" ht="12" hidden="false" customHeight="false" outlineLevel="0" collapsed="false">
      <c r="W277" s="10" t="n">
        <f aca="false">Admin!B277</f>
        <v>46393</v>
      </c>
    </row>
    <row r="278" customFormat="false" ht="12" hidden="false" customHeight="false" outlineLevel="0" collapsed="false">
      <c r="W278" s="10" t="n">
        <f aca="false">Admin!B278</f>
        <v>46394</v>
      </c>
    </row>
    <row r="279" customFormat="false" ht="12" hidden="false" customHeight="false" outlineLevel="0" collapsed="false">
      <c r="W279" s="10" t="n">
        <f aca="false">Admin!B279</f>
        <v>46395</v>
      </c>
    </row>
    <row r="280" customFormat="false" ht="12" hidden="false" customHeight="false" outlineLevel="0" collapsed="false">
      <c r="W280" s="10" t="n">
        <f aca="false">Admin!B280</f>
        <v>46396</v>
      </c>
    </row>
    <row r="281" customFormat="false" ht="12" hidden="false" customHeight="false" outlineLevel="0" collapsed="false">
      <c r="W281" s="10" t="n">
        <f aca="false">Admin!B281</f>
        <v>46397</v>
      </c>
    </row>
    <row r="282" customFormat="false" ht="12" hidden="false" customHeight="false" outlineLevel="0" collapsed="false">
      <c r="W282" s="10" t="n">
        <f aca="false">Admin!B282</f>
        <v>46398</v>
      </c>
    </row>
    <row r="283" customFormat="false" ht="12" hidden="false" customHeight="false" outlineLevel="0" collapsed="false">
      <c r="W283" s="10" t="n">
        <f aca="false">Admin!B283</f>
        <v>46399</v>
      </c>
    </row>
    <row r="284" customFormat="false" ht="12" hidden="false" customHeight="false" outlineLevel="0" collapsed="false">
      <c r="W284" s="10" t="n">
        <f aca="false">Admin!B284</f>
        <v>46400</v>
      </c>
    </row>
    <row r="285" customFormat="false" ht="12" hidden="false" customHeight="false" outlineLevel="0" collapsed="false">
      <c r="W285" s="10" t="n">
        <f aca="false">Admin!B285</f>
        <v>46401</v>
      </c>
    </row>
    <row r="286" customFormat="false" ht="12" hidden="false" customHeight="false" outlineLevel="0" collapsed="false">
      <c r="W286" s="10" t="n">
        <f aca="false">Admin!B286</f>
        <v>46402</v>
      </c>
    </row>
    <row r="287" customFormat="false" ht="12" hidden="false" customHeight="false" outlineLevel="0" collapsed="false">
      <c r="W287" s="10" t="n">
        <f aca="false">Admin!B287</f>
        <v>46403</v>
      </c>
    </row>
    <row r="288" customFormat="false" ht="12" hidden="false" customHeight="false" outlineLevel="0" collapsed="false">
      <c r="W288" s="10" t="n">
        <f aca="false">Admin!B288</f>
        <v>46404</v>
      </c>
    </row>
    <row r="289" customFormat="false" ht="12" hidden="false" customHeight="false" outlineLevel="0" collapsed="false">
      <c r="W289" s="10" t="n">
        <f aca="false">Admin!B289</f>
        <v>46405</v>
      </c>
    </row>
    <row r="290" customFormat="false" ht="12" hidden="false" customHeight="false" outlineLevel="0" collapsed="false">
      <c r="W290" s="10" t="n">
        <f aca="false">Admin!B290</f>
        <v>46406</v>
      </c>
    </row>
    <row r="291" customFormat="false" ht="12" hidden="false" customHeight="false" outlineLevel="0" collapsed="false">
      <c r="W291" s="10" t="n">
        <f aca="false">Admin!B291</f>
        <v>46407</v>
      </c>
    </row>
    <row r="292" customFormat="false" ht="12" hidden="false" customHeight="false" outlineLevel="0" collapsed="false">
      <c r="W292" s="10" t="n">
        <f aca="false">Admin!B292</f>
        <v>46408</v>
      </c>
    </row>
    <row r="293" customFormat="false" ht="12" hidden="false" customHeight="false" outlineLevel="0" collapsed="false">
      <c r="W293" s="10" t="n">
        <f aca="false">Admin!B293</f>
        <v>46409</v>
      </c>
    </row>
    <row r="294" customFormat="false" ht="12" hidden="false" customHeight="false" outlineLevel="0" collapsed="false">
      <c r="W294" s="10" t="n">
        <f aca="false">Admin!B294</f>
        <v>46410</v>
      </c>
    </row>
    <row r="295" customFormat="false" ht="12" hidden="false" customHeight="false" outlineLevel="0" collapsed="false">
      <c r="W295" s="10" t="n">
        <f aca="false">Admin!B295</f>
        <v>46411</v>
      </c>
    </row>
    <row r="296" customFormat="false" ht="12" hidden="false" customHeight="false" outlineLevel="0" collapsed="false">
      <c r="W296" s="10" t="n">
        <f aca="false">Admin!B296</f>
        <v>46412</v>
      </c>
    </row>
    <row r="297" customFormat="false" ht="12" hidden="false" customHeight="false" outlineLevel="0" collapsed="false">
      <c r="W297" s="10" t="n">
        <f aca="false">Admin!B297</f>
        <v>46413</v>
      </c>
    </row>
    <row r="298" customFormat="false" ht="12" hidden="false" customHeight="false" outlineLevel="0" collapsed="false">
      <c r="W298" s="10" t="n">
        <f aca="false">Admin!B298</f>
        <v>46414</v>
      </c>
    </row>
    <row r="299" customFormat="false" ht="12" hidden="false" customHeight="false" outlineLevel="0" collapsed="false">
      <c r="W299" s="10" t="n">
        <f aca="false">Admin!B299</f>
        <v>46415</v>
      </c>
    </row>
    <row r="300" customFormat="false" ht="12" hidden="false" customHeight="false" outlineLevel="0" collapsed="false">
      <c r="W300" s="10" t="n">
        <f aca="false">Admin!B300</f>
        <v>46416</v>
      </c>
    </row>
    <row r="301" customFormat="false" ht="12" hidden="false" customHeight="false" outlineLevel="0" collapsed="false">
      <c r="W301" s="10" t="n">
        <f aca="false">Admin!B301</f>
        <v>46417</v>
      </c>
    </row>
    <row r="302" customFormat="false" ht="12" hidden="false" customHeight="false" outlineLevel="0" collapsed="false">
      <c r="W302" s="10" t="n">
        <f aca="false">Admin!B302</f>
        <v>46418</v>
      </c>
    </row>
    <row r="303" customFormat="false" ht="12" hidden="false" customHeight="false" outlineLevel="0" collapsed="false">
      <c r="W303" s="10" t="n">
        <f aca="false">Admin!B303</f>
        <v>46419</v>
      </c>
    </row>
    <row r="304" customFormat="false" ht="12" hidden="false" customHeight="false" outlineLevel="0" collapsed="false">
      <c r="W304" s="10" t="n">
        <f aca="false">Admin!B304</f>
        <v>46420</v>
      </c>
    </row>
    <row r="305" customFormat="false" ht="12" hidden="false" customHeight="false" outlineLevel="0" collapsed="false">
      <c r="W305" s="10" t="n">
        <f aca="false">Admin!B305</f>
        <v>46421</v>
      </c>
    </row>
    <row r="306" customFormat="false" ht="12" hidden="false" customHeight="false" outlineLevel="0" collapsed="false">
      <c r="W306" s="10" t="n">
        <f aca="false">Admin!B306</f>
        <v>46422</v>
      </c>
    </row>
    <row r="307" customFormat="false" ht="12" hidden="false" customHeight="false" outlineLevel="0" collapsed="false">
      <c r="W307" s="10" t="n">
        <f aca="false">Admin!B307</f>
        <v>46423</v>
      </c>
    </row>
    <row r="308" customFormat="false" ht="12" hidden="false" customHeight="false" outlineLevel="0" collapsed="false">
      <c r="W308" s="10" t="n">
        <f aca="false">Admin!B308</f>
        <v>46424</v>
      </c>
    </row>
    <row r="309" customFormat="false" ht="12" hidden="false" customHeight="false" outlineLevel="0" collapsed="false">
      <c r="W309" s="10" t="n">
        <f aca="false">Admin!B309</f>
        <v>46425</v>
      </c>
    </row>
    <row r="310" customFormat="false" ht="12" hidden="false" customHeight="false" outlineLevel="0" collapsed="false">
      <c r="W310" s="10" t="n">
        <f aca="false">Admin!B310</f>
        <v>46426</v>
      </c>
    </row>
    <row r="311" customFormat="false" ht="12" hidden="false" customHeight="false" outlineLevel="0" collapsed="false">
      <c r="W311" s="10" t="n">
        <f aca="false">Admin!B311</f>
        <v>46427</v>
      </c>
    </row>
    <row r="312" customFormat="false" ht="12" hidden="false" customHeight="false" outlineLevel="0" collapsed="false">
      <c r="W312" s="10" t="n">
        <f aca="false">Admin!B312</f>
        <v>46428</v>
      </c>
    </row>
    <row r="313" customFormat="false" ht="12" hidden="false" customHeight="false" outlineLevel="0" collapsed="false">
      <c r="W313" s="10" t="n">
        <f aca="false">Admin!B313</f>
        <v>46429</v>
      </c>
    </row>
    <row r="314" customFormat="false" ht="12" hidden="false" customHeight="false" outlineLevel="0" collapsed="false">
      <c r="W314" s="10" t="n">
        <f aca="false">Admin!B314</f>
        <v>46430</v>
      </c>
    </row>
    <row r="315" customFormat="false" ht="12" hidden="false" customHeight="false" outlineLevel="0" collapsed="false">
      <c r="W315" s="10" t="n">
        <f aca="false">Admin!B315</f>
        <v>46431</v>
      </c>
    </row>
    <row r="316" customFormat="false" ht="12" hidden="false" customHeight="false" outlineLevel="0" collapsed="false">
      <c r="W316" s="10" t="n">
        <f aca="false">Admin!B316</f>
        <v>46432</v>
      </c>
    </row>
    <row r="317" customFormat="false" ht="12" hidden="false" customHeight="false" outlineLevel="0" collapsed="false">
      <c r="W317" s="10" t="n">
        <f aca="false">Admin!B317</f>
        <v>46433</v>
      </c>
    </row>
    <row r="318" customFormat="false" ht="12" hidden="false" customHeight="false" outlineLevel="0" collapsed="false">
      <c r="W318" s="10" t="n">
        <f aca="false">Admin!B318</f>
        <v>46434</v>
      </c>
    </row>
    <row r="319" customFormat="false" ht="12" hidden="false" customHeight="false" outlineLevel="0" collapsed="false">
      <c r="W319" s="10" t="n">
        <f aca="false">Admin!B319</f>
        <v>46435</v>
      </c>
    </row>
    <row r="320" customFormat="false" ht="12" hidden="false" customHeight="false" outlineLevel="0" collapsed="false">
      <c r="W320" s="10" t="n">
        <f aca="false">Admin!B320</f>
        <v>46436</v>
      </c>
    </row>
    <row r="321" customFormat="false" ht="12" hidden="false" customHeight="false" outlineLevel="0" collapsed="false">
      <c r="W321" s="10" t="n">
        <f aca="false">Admin!B321</f>
        <v>46437</v>
      </c>
    </row>
    <row r="322" customFormat="false" ht="12" hidden="false" customHeight="false" outlineLevel="0" collapsed="false">
      <c r="W322" s="10" t="n">
        <f aca="false">Admin!B322</f>
        <v>46438</v>
      </c>
    </row>
    <row r="323" customFormat="false" ht="12" hidden="false" customHeight="false" outlineLevel="0" collapsed="false">
      <c r="W323" s="10" t="n">
        <f aca="false">Admin!B323</f>
        <v>46439</v>
      </c>
    </row>
    <row r="324" customFormat="false" ht="12" hidden="false" customHeight="false" outlineLevel="0" collapsed="false">
      <c r="W324" s="10" t="n">
        <f aca="false">Admin!B324</f>
        <v>46440</v>
      </c>
    </row>
    <row r="325" customFormat="false" ht="12" hidden="false" customHeight="false" outlineLevel="0" collapsed="false">
      <c r="W325" s="10" t="n">
        <f aca="false">Admin!B325</f>
        <v>46441</v>
      </c>
    </row>
    <row r="326" customFormat="false" ht="12" hidden="false" customHeight="false" outlineLevel="0" collapsed="false">
      <c r="W326" s="10" t="n">
        <f aca="false">Admin!B326</f>
        <v>46442</v>
      </c>
    </row>
    <row r="327" customFormat="false" ht="12" hidden="false" customHeight="false" outlineLevel="0" collapsed="false">
      <c r="W327" s="10" t="n">
        <f aca="false">Admin!B327</f>
        <v>46443</v>
      </c>
    </row>
    <row r="328" customFormat="false" ht="12" hidden="false" customHeight="false" outlineLevel="0" collapsed="false">
      <c r="W328" s="10" t="n">
        <f aca="false">Admin!B328</f>
        <v>46444</v>
      </c>
    </row>
    <row r="329" customFormat="false" ht="12" hidden="false" customHeight="false" outlineLevel="0" collapsed="false">
      <c r="W329" s="10" t="n">
        <f aca="false">Admin!B329</f>
        <v>46445</v>
      </c>
    </row>
    <row r="330" customFormat="false" ht="12" hidden="false" customHeight="false" outlineLevel="0" collapsed="false">
      <c r="W330" s="10" t="n">
        <f aca="false">Admin!B330</f>
        <v>46446</v>
      </c>
    </row>
    <row r="331" customFormat="false" ht="12" hidden="false" customHeight="false" outlineLevel="0" collapsed="false">
      <c r="W331" s="10" t="n">
        <f aca="false">Admin!B331</f>
        <v>46447</v>
      </c>
    </row>
    <row r="332" customFormat="false" ht="12" hidden="false" customHeight="false" outlineLevel="0" collapsed="false">
      <c r="W332" s="10" t="n">
        <f aca="false">Admin!B332</f>
        <v>46448</v>
      </c>
    </row>
    <row r="333" customFormat="false" ht="12" hidden="false" customHeight="false" outlineLevel="0" collapsed="false">
      <c r="W333" s="10" t="n">
        <f aca="false">Admin!B333</f>
        <v>46449</v>
      </c>
    </row>
    <row r="334" customFormat="false" ht="12" hidden="false" customHeight="false" outlineLevel="0" collapsed="false">
      <c r="W334" s="10" t="n">
        <f aca="false">Admin!B334</f>
        <v>46450</v>
      </c>
    </row>
    <row r="335" customFormat="false" ht="12" hidden="false" customHeight="false" outlineLevel="0" collapsed="false">
      <c r="W335" s="10" t="n">
        <f aca="false">Admin!B335</f>
        <v>46451</v>
      </c>
    </row>
    <row r="336" customFormat="false" ht="12" hidden="false" customHeight="false" outlineLevel="0" collapsed="false">
      <c r="W336" s="10" t="n">
        <f aca="false">Admin!B336</f>
        <v>46452</v>
      </c>
    </row>
    <row r="337" customFormat="false" ht="12" hidden="false" customHeight="false" outlineLevel="0" collapsed="false">
      <c r="W337" s="10" t="n">
        <f aca="false">Admin!B337</f>
        <v>46453</v>
      </c>
    </row>
    <row r="338" customFormat="false" ht="12" hidden="false" customHeight="false" outlineLevel="0" collapsed="false">
      <c r="W338" s="10" t="n">
        <f aca="false">Admin!B338</f>
        <v>46454</v>
      </c>
    </row>
    <row r="339" customFormat="false" ht="12" hidden="false" customHeight="false" outlineLevel="0" collapsed="false">
      <c r="W339" s="10" t="n">
        <f aca="false">Admin!B339</f>
        <v>46455</v>
      </c>
    </row>
    <row r="340" customFormat="false" ht="12" hidden="false" customHeight="false" outlineLevel="0" collapsed="false">
      <c r="W340" s="10" t="n">
        <f aca="false">Admin!B340</f>
        <v>46456</v>
      </c>
    </row>
    <row r="341" customFormat="false" ht="12" hidden="false" customHeight="false" outlineLevel="0" collapsed="false">
      <c r="W341" s="10" t="n">
        <f aca="false">Admin!B341</f>
        <v>46457</v>
      </c>
    </row>
    <row r="342" customFormat="false" ht="12" hidden="false" customHeight="false" outlineLevel="0" collapsed="false">
      <c r="W342" s="10" t="n">
        <f aca="false">Admin!B342</f>
        <v>46458</v>
      </c>
    </row>
    <row r="343" customFormat="false" ht="12" hidden="false" customHeight="false" outlineLevel="0" collapsed="false">
      <c r="W343" s="10" t="n">
        <f aca="false">Admin!B343</f>
        <v>46459</v>
      </c>
    </row>
    <row r="344" customFormat="false" ht="12" hidden="false" customHeight="false" outlineLevel="0" collapsed="false">
      <c r="W344" s="10" t="n">
        <f aca="false">Admin!B344</f>
        <v>46460</v>
      </c>
    </row>
    <row r="345" customFormat="false" ht="12" hidden="false" customHeight="false" outlineLevel="0" collapsed="false">
      <c r="W345" s="10" t="n">
        <f aca="false">Admin!B345</f>
        <v>46461</v>
      </c>
    </row>
    <row r="346" customFormat="false" ht="12" hidden="false" customHeight="false" outlineLevel="0" collapsed="false">
      <c r="W346" s="10" t="n">
        <f aca="false">Admin!B346</f>
        <v>46462</v>
      </c>
    </row>
    <row r="347" customFormat="false" ht="12" hidden="false" customHeight="false" outlineLevel="0" collapsed="false">
      <c r="W347" s="10" t="n">
        <f aca="false">Admin!B347</f>
        <v>46463</v>
      </c>
    </row>
    <row r="348" customFormat="false" ht="12" hidden="false" customHeight="false" outlineLevel="0" collapsed="false">
      <c r="W348" s="10" t="n">
        <f aca="false">Admin!B348</f>
        <v>46464</v>
      </c>
    </row>
    <row r="349" customFormat="false" ht="12" hidden="false" customHeight="false" outlineLevel="0" collapsed="false">
      <c r="W349" s="10" t="n">
        <f aca="false">Admin!B349</f>
        <v>46465</v>
      </c>
    </row>
    <row r="350" customFormat="false" ht="12" hidden="false" customHeight="false" outlineLevel="0" collapsed="false">
      <c r="W350" s="10" t="n">
        <f aca="false">Admin!B350</f>
        <v>46466</v>
      </c>
    </row>
    <row r="351" customFormat="false" ht="12" hidden="false" customHeight="false" outlineLevel="0" collapsed="false">
      <c r="W351" s="10" t="n">
        <f aca="false">Admin!B351</f>
        <v>46467</v>
      </c>
    </row>
    <row r="352" customFormat="false" ht="12" hidden="false" customHeight="false" outlineLevel="0" collapsed="false">
      <c r="W352" s="10" t="n">
        <f aca="false">Admin!B352</f>
        <v>46468</v>
      </c>
    </row>
    <row r="353" customFormat="false" ht="12" hidden="false" customHeight="false" outlineLevel="0" collapsed="false">
      <c r="W353" s="10" t="n">
        <f aca="false">Admin!B353</f>
        <v>46469</v>
      </c>
    </row>
    <row r="354" customFormat="false" ht="12" hidden="false" customHeight="false" outlineLevel="0" collapsed="false">
      <c r="W354" s="10" t="n">
        <f aca="false">Admin!B354</f>
        <v>46470</v>
      </c>
    </row>
    <row r="355" customFormat="false" ht="12" hidden="false" customHeight="false" outlineLevel="0" collapsed="false">
      <c r="W355" s="10" t="n">
        <f aca="false">Admin!B355</f>
        <v>46471</v>
      </c>
    </row>
    <row r="356" customFormat="false" ht="12" hidden="false" customHeight="false" outlineLevel="0" collapsed="false">
      <c r="W356" s="10" t="n">
        <f aca="false">Admin!B356</f>
        <v>46472</v>
      </c>
    </row>
    <row r="357" customFormat="false" ht="12" hidden="false" customHeight="false" outlineLevel="0" collapsed="false">
      <c r="W357" s="10" t="n">
        <f aca="false">Admin!B357</f>
        <v>46473</v>
      </c>
    </row>
    <row r="358" customFormat="false" ht="12" hidden="false" customHeight="false" outlineLevel="0" collapsed="false">
      <c r="W358" s="10" t="n">
        <f aca="false">Admin!B358</f>
        <v>46474</v>
      </c>
    </row>
    <row r="359" customFormat="false" ht="12" hidden="false" customHeight="false" outlineLevel="0" collapsed="false">
      <c r="W359" s="10" t="n">
        <f aca="false">Admin!B359</f>
        <v>46475</v>
      </c>
    </row>
    <row r="360" customFormat="false" ht="12" hidden="false" customHeight="false" outlineLevel="0" collapsed="false">
      <c r="W360" s="10" t="n">
        <f aca="false">Admin!B360</f>
        <v>46476</v>
      </c>
    </row>
    <row r="361" customFormat="false" ht="12" hidden="false" customHeight="false" outlineLevel="0" collapsed="false">
      <c r="W361" s="10" t="n">
        <f aca="false">Admin!B361</f>
        <v>46477</v>
      </c>
    </row>
    <row r="362" customFormat="false" ht="12" hidden="false" customHeight="false" outlineLevel="0" collapsed="false">
      <c r="W362" s="10" t="n">
        <f aca="false">Admin!B362</f>
        <v>46478</v>
      </c>
    </row>
    <row r="363" customFormat="false" ht="12" hidden="false" customHeight="false" outlineLevel="0" collapsed="false">
      <c r="W363" s="10" t="n">
        <f aca="false">Admin!B363</f>
        <v>46479</v>
      </c>
    </row>
    <row r="364" customFormat="false" ht="12" hidden="false" customHeight="false" outlineLevel="0" collapsed="false">
      <c r="W364" s="10" t="n">
        <f aca="false">Admin!B364</f>
        <v>46480</v>
      </c>
    </row>
    <row r="365" customFormat="false" ht="12" hidden="false" customHeight="false" outlineLevel="0" collapsed="false">
      <c r="W365" s="10" t="n">
        <f aca="false">Admin!B365</f>
        <v>46481</v>
      </c>
    </row>
    <row r="366" customFormat="false" ht="12" hidden="false" customHeight="false" outlineLevel="0" collapsed="false">
      <c r="W366" s="10" t="n">
        <f aca="false">Admin!B366</f>
        <v>46482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">
        <v>62</v>
      </c>
      <c r="I3" s="116" t="s">
        <v>63</v>
      </c>
      <c r="J3" s="116" t="s">
        <v>64</v>
      </c>
      <c r="K3" s="117" t="s">
        <v>65</v>
      </c>
      <c r="L3" s="117" t="s">
        <v>66</v>
      </c>
      <c r="M3" s="118" t="s">
        <v>67</v>
      </c>
      <c r="N3" s="116" t="s">
        <v>68</v>
      </c>
      <c r="O3" s="116" t="s">
        <v>69</v>
      </c>
      <c r="P3" s="116" t="s">
        <v>70</v>
      </c>
      <c r="Q3" s="116" t="s">
        <v>71</v>
      </c>
      <c r="R3" s="118" t="s">
        <v>72</v>
      </c>
      <c r="S3" s="119"/>
      <c r="T3" s="116" t="s">
        <v>73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</v>
      </c>
      <c r="F9" s="144"/>
      <c r="G9" s="144"/>
      <c r="H9" s="146" t="s">
        <v>87</v>
      </c>
      <c r="I9" s="146"/>
      <c r="J9" s="146"/>
      <c r="K9" s="148" t="n">
        <f aca="false">Admin!B2</f>
        <v>46118</v>
      </c>
      <c r="L9" s="149" t="s">
        <v>88</v>
      </c>
      <c r="M9" s="150" t="n">
        <f aca="false">K9+(7-WEEKDAY(K9,2))</f>
        <v>46124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</v>
      </c>
      <c r="F19" s="144"/>
      <c r="G19" s="144"/>
      <c r="H19" s="146" t="s">
        <v>85</v>
      </c>
      <c r="I19" s="146"/>
      <c r="J19" s="146"/>
      <c r="K19" s="148" t="n">
        <f aca="false">M9+1</f>
        <v>46125</v>
      </c>
      <c r="L19" s="149" t="s">
        <v>88</v>
      </c>
      <c r="M19" s="150" t="n">
        <f aca="false">K19+6</f>
        <v>46131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</v>
      </c>
      <c r="F29" s="144"/>
      <c r="G29" s="144"/>
      <c r="H29" s="146" t="s">
        <v>85</v>
      </c>
      <c r="I29" s="146"/>
      <c r="J29" s="146"/>
      <c r="K29" s="148" t="n">
        <f aca="false">M19+1</f>
        <v>46132</v>
      </c>
      <c r="L29" s="149" t="s">
        <v>88</v>
      </c>
      <c r="M29" s="150" t="n">
        <f aca="false">K29+6</f>
        <v>46138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</v>
      </c>
      <c r="F39" s="144"/>
      <c r="G39" s="144"/>
      <c r="H39" s="146" t="s">
        <v>85</v>
      </c>
      <c r="I39" s="146"/>
      <c r="J39" s="146"/>
      <c r="K39" s="148" t="n">
        <f aca="false">M29+1</f>
        <v>46139</v>
      </c>
      <c r="L39" s="149" t="s">
        <v>88</v>
      </c>
      <c r="M39" s="150" t="n">
        <f aca="false">K39+6</f>
        <v>46145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</v>
      </c>
      <c r="F49" s="144"/>
      <c r="G49" s="144"/>
      <c r="H49" s="146" t="s">
        <v>85</v>
      </c>
      <c r="I49" s="146"/>
      <c r="J49" s="146"/>
      <c r="K49" s="215" t="n">
        <f aca="false">Admin!B2</f>
        <v>46118</v>
      </c>
      <c r="L49" s="149" t="s">
        <v>88</v>
      </c>
      <c r="M49" s="150" t="n">
        <v>45777</v>
      </c>
      <c r="N49" s="151"/>
      <c r="O49" s="198" t="s">
        <v>94</v>
      </c>
      <c r="P49" s="198"/>
      <c r="Q49" s="198"/>
      <c r="R49" s="198"/>
      <c r="S49" s="144"/>
      <c r="T49" s="216" t="s">
        <v>95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97</v>
      </c>
      <c r="T51" s="170" t="n">
        <v>382.5</v>
      </c>
      <c r="U51" s="171"/>
      <c r="V51" s="172" t="n">
        <f aca="false">IF(Employee!H$35=E$49,Employee!D$34+SUM(M51)+0,SUM(M51)+0)</f>
        <v>3500</v>
      </c>
      <c r="W51" s="172" t="n">
        <f aca="false">IF(Employee!H$35=E$49,Employee!D$35+SUM(N51)+0,SUM(N51)+0)</f>
        <v>530</v>
      </c>
      <c r="X51" s="172" t="n">
        <f aca="false">IF(O51=" ",0,O51)</f>
        <v>200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2770</v>
      </c>
      <c r="AC51" s="172" t="n">
        <f aca="false">IF(T51=" ",0,T51)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99</v>
      </c>
      <c r="T52" s="180" t="n">
        <v>187.5</v>
      </c>
      <c r="U52" s="171"/>
      <c r="V52" s="172" t="n">
        <f aca="false">IF(Employee!H$61=E$49,Employee!D$60+SUM(M52)+0,SUM(M52)+0)</f>
        <v>2200</v>
      </c>
      <c r="W52" s="172" t="n">
        <f aca="false">IF(Employee!H$61=E$49,Employee!D$61+SUM(N52)+0,SUM(N52)+0)</f>
        <v>270</v>
      </c>
      <c r="X52" s="172" t="n">
        <f aca="false">IF(O52=" ",0,O52)</f>
        <v>96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1834</v>
      </c>
      <c r="AC52" s="172" t="n">
        <f aca="false">IF(T52=" ",0,T52)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101</v>
      </c>
      <c r="T53" s="180" t="n">
        <v>7.2</v>
      </c>
      <c r="U53" s="171"/>
      <c r="V53" s="172" t="n">
        <f aca="false">IF(Employee!H$87=E$49,Employee!D$86+SUM(M53)+0,SUM(M53)+0)</f>
        <v>1048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1048</v>
      </c>
      <c r="AC53" s="172" t="n">
        <f aca="false">IF(T53=" ",0,T53)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5</v>
      </c>
      <c r="F9" s="144"/>
      <c r="G9" s="144"/>
      <c r="H9" s="146" t="s">
        <v>85</v>
      </c>
      <c r="I9" s="146"/>
      <c r="J9" s="146"/>
      <c r="K9" s="215" t="n">
        <f aca="false">Apr!M39+1</f>
        <v>46146</v>
      </c>
      <c r="L9" s="149" t="s">
        <v>88</v>
      </c>
      <c r="M9" s="150" t="n">
        <f aca="false">K9+6</f>
        <v>46152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6</v>
      </c>
      <c r="F19" s="144"/>
      <c r="G19" s="144"/>
      <c r="H19" s="146" t="s">
        <v>85</v>
      </c>
      <c r="I19" s="146"/>
      <c r="J19" s="146"/>
      <c r="K19" s="215" t="n">
        <f aca="false">M9+1</f>
        <v>46153</v>
      </c>
      <c r="L19" s="149" t="s">
        <v>88</v>
      </c>
      <c r="M19" s="150" t="n">
        <f aca="false">K19+6</f>
        <v>46159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7</v>
      </c>
      <c r="F29" s="144"/>
      <c r="G29" s="144"/>
      <c r="H29" s="146" t="s">
        <v>85</v>
      </c>
      <c r="I29" s="146"/>
      <c r="J29" s="146"/>
      <c r="K29" s="215" t="n">
        <f aca="false">M19+1</f>
        <v>46160</v>
      </c>
      <c r="L29" s="149" t="s">
        <v>88</v>
      </c>
      <c r="M29" s="150" t="n">
        <f aca="false">K29+6</f>
        <v>46166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8</v>
      </c>
      <c r="F39" s="144"/>
      <c r="G39" s="144"/>
      <c r="H39" s="146" t="s">
        <v>85</v>
      </c>
      <c r="I39" s="146"/>
      <c r="J39" s="146"/>
      <c r="K39" s="215" t="n">
        <f aca="false">M29+1</f>
        <v>46167</v>
      </c>
      <c r="L39" s="149" t="s">
        <v>88</v>
      </c>
      <c r="M39" s="150" t="n">
        <f aca="false">K39+6</f>
        <v>46173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2</v>
      </c>
      <c r="F49" s="144"/>
      <c r="G49" s="144"/>
      <c r="H49" s="146" t="s">
        <v>85</v>
      </c>
      <c r="I49" s="146"/>
      <c r="J49" s="146"/>
      <c r="K49" s="215" t="n">
        <f aca="false">Admin!B27</f>
        <v>46143</v>
      </c>
      <c r="L49" s="149" t="s">
        <v>88</v>
      </c>
      <c r="M49" s="150" t="n">
        <v>45808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106</v>
      </c>
      <c r="T51" s="170" t="n">
        <v>382.5</v>
      </c>
      <c r="U51" s="171"/>
      <c r="V51" s="172" t="n">
        <f aca="false">IF(Employee!H$35=E$49,Employee!D$34+SUM(M51)+Apr!V51,SUM(M51)+Apr!V51)</f>
        <v>7000</v>
      </c>
      <c r="W51" s="172" t="n">
        <f aca="false">IF(Employee!H$35=E$49,Employee!D$35+SUM(N51)+Apr!W51,SUM(N51)+Apr!W51)</f>
        <v>1060</v>
      </c>
      <c r="X51" s="172" t="n">
        <f aca="false">IF(O51=" ",Apr!X51,O51+Apr!X51)</f>
        <v>400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5540</v>
      </c>
      <c r="AC51" s="172" t="n">
        <f aca="false">IF(T51=" ",Apr!AC51,T51+Apr!AC51)</f>
        <v>765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107</v>
      </c>
      <c r="T52" s="180" t="n">
        <v>187.5</v>
      </c>
      <c r="U52" s="171"/>
      <c r="V52" s="172" t="n">
        <f aca="false">IF(Employee!H$61=E$49,Employee!D$60+SUM(M52)+Apr!V52,SUM(M52)+Apr!V52)</f>
        <v>4400</v>
      </c>
      <c r="W52" s="172" t="n">
        <f aca="false">IF(Employee!H$61=E$49,Employee!D$61+SUM(N52)+Apr!W52,SUM(N52)+Apr!W52)</f>
        <v>540</v>
      </c>
      <c r="X52" s="172" t="n">
        <f aca="false">IF(O52=" ",Apr!X52,O52+Apr!X52)</f>
        <v>192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3668</v>
      </c>
      <c r="AC52" s="172" t="n">
        <f aca="false">IF(T52=" ",Apr!AC52,T52+Apr!AC52)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108</v>
      </c>
      <c r="T53" s="180" t="n">
        <v>7.2</v>
      </c>
      <c r="U53" s="171"/>
      <c r="V53" s="172" t="n">
        <f aca="false">IF(Employee!H$87=E$49,Employee!D$86+SUM(M53)+Apr!V53,SUM(M53)+Apr!V53)</f>
        <v>2096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2096</v>
      </c>
      <c r="AC53" s="172" t="n">
        <f aca="false">IF(T53=" ",Apr!AC53,T53+Apr!AC53)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52</v>
      </c>
      <c r="J1" s="247"/>
      <c r="K1" s="247"/>
      <c r="L1" s="247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9</v>
      </c>
      <c r="F9" s="144"/>
      <c r="G9" s="144"/>
      <c r="H9" s="146" t="s">
        <v>85</v>
      </c>
      <c r="I9" s="146"/>
      <c r="J9" s="146"/>
      <c r="K9" s="215" t="n">
        <f aca="false">May!M39+1</f>
        <v>46174</v>
      </c>
      <c r="L9" s="149" t="s">
        <v>88</v>
      </c>
      <c r="M9" s="150" t="n">
        <f aca="false">K9+6</f>
        <v>46180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10</v>
      </c>
      <c r="F19" s="144"/>
      <c r="G19" s="144"/>
      <c r="H19" s="146" t="s">
        <v>85</v>
      </c>
      <c r="I19" s="146"/>
      <c r="J19" s="146"/>
      <c r="K19" s="215" t="n">
        <f aca="false">M9+1</f>
        <v>46181</v>
      </c>
      <c r="L19" s="149" t="s">
        <v>88</v>
      </c>
      <c r="M19" s="150" t="n">
        <f aca="false">K19+6</f>
        <v>46187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11</v>
      </c>
      <c r="F29" s="144"/>
      <c r="G29" s="144"/>
      <c r="H29" s="146" t="s">
        <v>85</v>
      </c>
      <c r="I29" s="146"/>
      <c r="J29" s="146"/>
      <c r="K29" s="215" t="n">
        <f aca="false">M19+1</f>
        <v>46188</v>
      </c>
      <c r="L29" s="149" t="s">
        <v>88</v>
      </c>
      <c r="M29" s="150" t="n">
        <f aca="false">K29+6</f>
        <v>46194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12</v>
      </c>
      <c r="F39" s="144"/>
      <c r="G39" s="144"/>
      <c r="H39" s="146" t="s">
        <v>85</v>
      </c>
      <c r="I39" s="146"/>
      <c r="J39" s="146"/>
      <c r="K39" s="215" t="n">
        <f aca="false">M29+1</f>
        <v>46195</v>
      </c>
      <c r="L39" s="149" t="s">
        <v>88</v>
      </c>
      <c r="M39" s="150" t="n">
        <f aca="false">K39+6</f>
        <v>46201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86</v>
      </c>
      <c r="C49" s="146"/>
      <c r="D49" s="146"/>
      <c r="E49" s="147" t="n">
        <v>13</v>
      </c>
      <c r="F49" s="144"/>
      <c r="G49" s="144"/>
      <c r="H49" s="146" t="s">
        <v>85</v>
      </c>
      <c r="I49" s="146"/>
      <c r="J49" s="146"/>
      <c r="K49" s="215" t="n">
        <f aca="false">M39+1</f>
        <v>46202</v>
      </c>
      <c r="L49" s="149" t="s">
        <v>88</v>
      </c>
      <c r="M49" s="150" t="n">
        <v>45838</v>
      </c>
      <c r="N49" s="151"/>
      <c r="O49" s="198" t="s">
        <v>91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89</v>
      </c>
      <c r="E51" s="213" t="str">
        <f aca="false">IF(Employee!D$28="m"," ",IF(Employee!F$24&gt;E$39," ",IF(Employee!F$26&lt;E$39," ",Employee!D$29)))</f>
        <v> </v>
      </c>
      <c r="F51" s="162" t="s">
        <v>96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109</v>
      </c>
      <c r="T51" s="170" t="n">
        <v>382.5</v>
      </c>
      <c r="U51" s="250"/>
      <c r="V51" s="172" t="n">
        <f aca="false">IF(Employee!H$34=E$49,Employee!D$34+SUM(M51)+V41,SUM(M51)+V41)</f>
        <v>3500</v>
      </c>
      <c r="W51" s="172" t="n">
        <f aca="false">IF(Employee!H$34=E$49,Employee!D$35+SUM(N51)+W41,SUM(N51)+W41)</f>
        <v>530</v>
      </c>
      <c r="X51" s="172" t="n">
        <f aca="false">IF(O51=" ",X41,O51+X41)</f>
        <v>200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2770</v>
      </c>
      <c r="AB51" s="99"/>
      <c r="AC51" s="172" t="n">
        <f aca="false">IF(T51=" ",AC41,T51+AC41)</f>
        <v>382.5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89</v>
      </c>
      <c r="E52" s="214" t="str">
        <f aca="false">IF(Employee!D$54="m"," ",IF(Employee!F$50&gt;E$39," ",IF(Employee!F$52&lt;E$39," ",Employee!D$55)))</f>
        <v> </v>
      </c>
      <c r="F52" s="175" t="s">
        <v>98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110</v>
      </c>
      <c r="T52" s="180" t="n">
        <v>187.5</v>
      </c>
      <c r="U52" s="250"/>
      <c r="V52" s="172" t="n">
        <f aca="false">IF(Employee!H$60=E$49,Employee!D$60+SUM(M52)+V42,SUM(M52)+V42)</f>
        <v>2200</v>
      </c>
      <c r="W52" s="172" t="n">
        <f aca="false">IF(Employee!H$60=E$49,Employee!D$61+SUM(N52)+W42,SUM(N52)+W42)</f>
        <v>270</v>
      </c>
      <c r="X52" s="172" t="n">
        <f aca="false">IF(O52=" ",X42,O52+X42)</f>
        <v>96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1834</v>
      </c>
      <c r="AB52" s="99"/>
      <c r="AC52" s="172" t="n">
        <f aca="false">IF(T52=" ",AC42,T52+AC42)</f>
        <v>187.5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89</v>
      </c>
      <c r="E53" s="214" t="str">
        <f aca="false">IF(Employee!D$80="m"," ",IF(Employee!F$76&gt;E$39," ",IF(Employee!F$78&lt;E$39," ",Employee!D$81)))</f>
        <v> </v>
      </c>
      <c r="F53" s="175" t="s">
        <v>100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111</v>
      </c>
      <c r="T53" s="180" t="n">
        <v>7.2</v>
      </c>
      <c r="U53" s="250"/>
      <c r="V53" s="172" t="n">
        <f aca="false">IF(Employee!H$86=E$49,Employee!D$86+SUM(M53)+V43,SUM(M53)+V43)</f>
        <v>1048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1048</v>
      </c>
      <c r="AB53" s="99"/>
      <c r="AC53" s="172" t="n">
        <f aca="false">IF(T53=" ",AC43,T53+AC43)</f>
        <v>7.2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89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89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190"/>
      <c r="I56" s="191"/>
      <c r="J56" s="191"/>
      <c r="K56" s="192"/>
      <c r="L56" s="192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3</v>
      </c>
      <c r="F59" s="144"/>
      <c r="G59" s="144"/>
      <c r="H59" s="146" t="s">
        <v>85</v>
      </c>
      <c r="I59" s="146"/>
      <c r="J59" s="146"/>
      <c r="K59" s="215" t="n">
        <f aca="false">Admin!B58</f>
        <v>46174</v>
      </c>
      <c r="L59" s="149" t="s">
        <v>88</v>
      </c>
      <c r="M59" s="150" t="n">
        <f aca="false">Admin!B87</f>
        <v>46203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7000</v>
      </c>
      <c r="W61" s="172" t="n">
        <f aca="false">IF(Employee!H$35=E$59,Employee!D$35+SUM(N61)+May!W51,SUM(N61)+May!W51)</f>
        <v>1060</v>
      </c>
      <c r="X61" s="172" t="n">
        <f aca="false">IF(O61=" ",May!X51,O61+May!X51)</f>
        <v>400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5540</v>
      </c>
      <c r="AC61" s="172" t="n">
        <f aca="false">IF(T61=" ",May!AC51,T61+May!AC51)</f>
        <v>765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4400</v>
      </c>
      <c r="W62" s="172" t="n">
        <f aca="false">IF(Employee!H$61=E$59,Employee!D$61+SUM(N62)+May!W52,SUM(N62)+May!W52)</f>
        <v>540</v>
      </c>
      <c r="X62" s="172" t="n">
        <f aca="false">IF(O62=" ",May!X52,O62+May!X52)</f>
        <v>192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3668</v>
      </c>
      <c r="AC62" s="172" t="n">
        <f aca="false">IF(T62=" ",May!AC52,T62+May!AC52)</f>
        <v>375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2096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2096</v>
      </c>
      <c r="AC63" s="172" t="n">
        <f aca="false">IF(T63=" ",May!AC53,T63+May!AC53)</f>
        <v>14.4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14</v>
      </c>
      <c r="F9" s="144"/>
      <c r="G9" s="144"/>
      <c r="H9" s="146" t="s">
        <v>85</v>
      </c>
      <c r="I9" s="146"/>
      <c r="J9" s="146"/>
      <c r="K9" s="215" t="n">
        <f aca="false">Admin!B91</f>
        <v>46207</v>
      </c>
      <c r="L9" s="149" t="s">
        <v>88</v>
      </c>
      <c r="M9" s="150" t="n">
        <f aca="false">K9+6</f>
        <v>46213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3500</v>
      </c>
      <c r="W11" s="172" t="n">
        <f aca="false">IF(Employee!H$34=E$9,Employee!D$35+SUM(N11)+Jun!W51,SUM(N11)+Jun!W51)</f>
        <v>530</v>
      </c>
      <c r="X11" s="172" t="n">
        <f aca="false">IF(O11=" ",Jun!X51,O11+Jun!X51)</f>
        <v>200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2770</v>
      </c>
      <c r="AC11" s="172" t="n">
        <f aca="false">IF(T11=" ",Jun!AC51,T11+Jun!AC51)</f>
        <v>382.5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2200</v>
      </c>
      <c r="W12" s="172" t="n">
        <f aca="false">IF(Employee!H$60=E$9,Employee!D$61+SUM(N12)+Jun!W52,SUM(N12)+Jun!W52)</f>
        <v>270</v>
      </c>
      <c r="X12" s="172" t="n">
        <f aca="false">IF(O12=" ",Jun!X52,O12+Jun!X52)</f>
        <v>96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1834</v>
      </c>
      <c r="AC12" s="172" t="n">
        <f aca="false">IF(T12=" ",Jun!AC52,T12+Jun!AC52)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1048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1048</v>
      </c>
      <c r="AC13" s="172" t="n">
        <f aca="false">IF(T13=" ",Jun!AC53,T13+Jun!AC53)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15</v>
      </c>
      <c r="F19" s="144"/>
      <c r="G19" s="144"/>
      <c r="H19" s="146" t="s">
        <v>85</v>
      </c>
      <c r="I19" s="146"/>
      <c r="J19" s="146"/>
      <c r="K19" s="215" t="n">
        <f aca="false">M9+1</f>
        <v>46214</v>
      </c>
      <c r="L19" s="149" t="s">
        <v>88</v>
      </c>
      <c r="M19" s="150" t="n">
        <f aca="false">K19+6</f>
        <v>46220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n">
        <f aca="false">IF(T21=" ",AC11,T21+AC11)</f>
        <v>382.5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16</v>
      </c>
      <c r="F29" s="144"/>
      <c r="G29" s="144"/>
      <c r="H29" s="146" t="s">
        <v>85</v>
      </c>
      <c r="I29" s="146"/>
      <c r="J29" s="146"/>
      <c r="K29" s="215" t="n">
        <f aca="false">M19+1</f>
        <v>46221</v>
      </c>
      <c r="L29" s="149" t="s">
        <v>88</v>
      </c>
      <c r="M29" s="150" t="n">
        <f aca="false">K29+6</f>
        <v>46227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n">
        <f aca="false">IF(T31=" ",AC21,T31+AC21)</f>
        <v>382.5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17</v>
      </c>
      <c r="F39" s="144"/>
      <c r="G39" s="144"/>
      <c r="H39" s="146" t="s">
        <v>85</v>
      </c>
      <c r="I39" s="146"/>
      <c r="J39" s="146"/>
      <c r="K39" s="215" t="n">
        <f aca="false">M29+1</f>
        <v>46228</v>
      </c>
      <c r="L39" s="149" t="s">
        <v>88</v>
      </c>
      <c r="M39" s="150" t="n">
        <f aca="false">K39+6</f>
        <v>46234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4</v>
      </c>
      <c r="F49" s="144"/>
      <c r="G49" s="144"/>
      <c r="H49" s="146" t="s">
        <v>85</v>
      </c>
      <c r="I49" s="146"/>
      <c r="J49" s="146"/>
      <c r="K49" s="215" t="n">
        <f aca="false">Admin!B88</f>
        <v>46204</v>
      </c>
      <c r="L49" s="149" t="s">
        <v>88</v>
      </c>
      <c r="M49" s="150" t="n">
        <v>45869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112</v>
      </c>
      <c r="T51" s="170" t="n">
        <v>382.5</v>
      </c>
      <c r="U51" s="171"/>
      <c r="V51" s="172" t="n">
        <f aca="false">IF(Employee!H$35=E$49,Employee!D$34+SUM(M51)+Jun!V61,SUM(M51)+Jun!V61)</f>
        <v>10500</v>
      </c>
      <c r="W51" s="172" t="n">
        <f aca="false">IF(Employee!H$35=E$49,Employee!D$35+SUM(N51)+Jun!W61,SUM(N51)+Jun!W61)</f>
        <v>1590</v>
      </c>
      <c r="X51" s="172" t="n">
        <f aca="false">IF(O51=" ",Jun!X61,O51+Jun!X61)</f>
        <v>600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8310</v>
      </c>
      <c r="AC51" s="172" t="n">
        <f aca="false">IF(T51=" ",Jun!AC61,T51+Jun!AC61)</f>
        <v>1147.5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113</v>
      </c>
      <c r="T52" s="180" t="n">
        <v>187.5</v>
      </c>
      <c r="U52" s="171"/>
      <c r="V52" s="172" t="n">
        <f aca="false">IF(Employee!H$61=E$49,Employee!D$60+SUM(M52)+Jun!V62,SUM(M52)+Jun!V62)</f>
        <v>6600</v>
      </c>
      <c r="W52" s="172" t="n">
        <f aca="false">IF(Employee!H$61=E$49,Employee!D$61+SUM(N52)+Jun!W62,SUM(N52)+Jun!W62)</f>
        <v>810</v>
      </c>
      <c r="X52" s="172" t="n">
        <f aca="false">IF(O52=" ",Jun!X62,O52+Jun!X62)</f>
        <v>288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5502</v>
      </c>
      <c r="AC52" s="172" t="n">
        <f aca="false">IF(T52=" ",Jun!AC62,T52+Jun!AC62)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114</v>
      </c>
      <c r="T53" s="180" t="n">
        <v>7.2</v>
      </c>
      <c r="U53" s="171"/>
      <c r="V53" s="172" t="n">
        <f aca="false">IF(Employee!H$87=E$49,Employee!D$86+SUM(M53)+Jun!V63,SUM(M53)+Jun!V63)</f>
        <v>3144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3144</v>
      </c>
      <c r="AC53" s="172" t="n">
        <f aca="false">IF(T53=" ",Jun!AC63,T53+Jun!AC63)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18</v>
      </c>
      <c r="F9" s="144"/>
      <c r="G9" s="144"/>
      <c r="H9" s="146" t="s">
        <v>85</v>
      </c>
      <c r="I9" s="146"/>
      <c r="J9" s="146"/>
      <c r="K9" s="215" t="n">
        <f aca="false">Admin!B119</f>
        <v>46235</v>
      </c>
      <c r="L9" s="149" t="s">
        <v>88</v>
      </c>
      <c r="M9" s="150" t="n">
        <f aca="false">K9+6</f>
        <v>46241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3500</v>
      </c>
      <c r="W11" s="172" t="n">
        <f aca="false">IF(Employee!H$34=E$9,Employee!D$35+SUM(N11)+Jul!W41,SUM(N11)+Jul!W41)</f>
        <v>530</v>
      </c>
      <c r="X11" s="172" t="n">
        <f aca="false">IF(O11=" ",Jul!X41,O11+Jul!X41)</f>
        <v>200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2770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2200</v>
      </c>
      <c r="W12" s="172" t="n">
        <f aca="false">IF(Employee!H$60=E$9,Employee!D$61+SUM(N12)+Jul!W42,SUM(N12)+Jul!W42)</f>
        <v>270</v>
      </c>
      <c r="X12" s="172" t="n">
        <f aca="false">IF(O12=" ",Jul!X42,O12+Jul!X42)</f>
        <v>96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1834</v>
      </c>
      <c r="AC12" s="172" t="n">
        <f aca="false">IF(T12=" ",Jul!AC42,T12+Jul!AC42)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1048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1048</v>
      </c>
      <c r="AC13" s="172" t="n">
        <f aca="false">IF(T13=" ",Jul!AC43,T13+Jul!AC43)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19</v>
      </c>
      <c r="F19" s="144"/>
      <c r="G19" s="144"/>
      <c r="H19" s="146" t="s">
        <v>85</v>
      </c>
      <c r="I19" s="146"/>
      <c r="J19" s="146"/>
      <c r="K19" s="215" t="n">
        <f aca="false">M9+1</f>
        <v>46242</v>
      </c>
      <c r="L19" s="149" t="s">
        <v>88</v>
      </c>
      <c r="M19" s="150" t="n">
        <f aca="false">K19+6</f>
        <v>46248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20</v>
      </c>
      <c r="F29" s="144"/>
      <c r="G29" s="144"/>
      <c r="H29" s="146" t="s">
        <v>85</v>
      </c>
      <c r="I29" s="146"/>
      <c r="J29" s="146"/>
      <c r="K29" s="215" t="n">
        <f aca="false">M19+1</f>
        <v>46249</v>
      </c>
      <c r="L29" s="149" t="s">
        <v>88</v>
      </c>
      <c r="M29" s="150" t="n">
        <f aca="false">K29+6</f>
        <v>46255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21</v>
      </c>
      <c r="F39" s="144"/>
      <c r="G39" s="144"/>
      <c r="H39" s="146" t="s">
        <v>85</v>
      </c>
      <c r="I39" s="146"/>
      <c r="J39" s="146"/>
      <c r="K39" s="215" t="n">
        <f aca="false">M29+1</f>
        <v>46256</v>
      </c>
      <c r="L39" s="149" t="s">
        <v>88</v>
      </c>
      <c r="M39" s="150" t="n">
        <f aca="false">K39+6</f>
        <v>46262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5</v>
      </c>
      <c r="F49" s="144"/>
      <c r="G49" s="144"/>
      <c r="H49" s="146" t="s">
        <v>85</v>
      </c>
      <c r="I49" s="146"/>
      <c r="J49" s="146"/>
      <c r="K49" s="215" t="n">
        <f aca="false">Admin!B119</f>
        <v>46235</v>
      </c>
      <c r="L49" s="149" t="s">
        <v>88</v>
      </c>
      <c r="M49" s="150" t="n">
        <v>45900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115</v>
      </c>
      <c r="T51" s="170" t="n">
        <v>382.5</v>
      </c>
      <c r="U51" s="171"/>
      <c r="V51" s="172" t="n">
        <f aca="false">IF(Employee!H$35=E$49,Employee!D$34+SUM(M51)+Jul!V51,SUM(M51)+Jul!V51)</f>
        <v>14000</v>
      </c>
      <c r="W51" s="172" t="n">
        <f aca="false">IF(Employee!H$35=E$49,Employee!D$35+SUM(N51)+Jul!W51,SUM(N51)+Jul!W51)</f>
        <v>2120</v>
      </c>
      <c r="X51" s="172" t="n">
        <f aca="false">IF(O51=" ",Jul!X51,O51+Jul!X51)</f>
        <v>800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11080</v>
      </c>
      <c r="AC51" s="172" t="n">
        <f aca="false">IF(T51=" ",Jul!AC51,T51+Jul!AC51)</f>
        <v>1530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116</v>
      </c>
      <c r="T52" s="180" t="n">
        <v>187.5</v>
      </c>
      <c r="U52" s="171"/>
      <c r="V52" s="172" t="n">
        <f aca="false">IF(Employee!H$61=E$49,Employee!D$60+SUM(M52)+Jul!V52,SUM(M52)+Jul!V52)</f>
        <v>8800</v>
      </c>
      <c r="W52" s="172" t="n">
        <f aca="false">IF(Employee!H$61=E$49,Employee!D$61+SUM(N52)+Jul!W52,SUM(N52)+Jul!W52)</f>
        <v>1080</v>
      </c>
      <c r="X52" s="172" t="n">
        <f aca="false">IF(O52=" ",Jul!X52,O52+Jul!X52)</f>
        <v>384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7336</v>
      </c>
      <c r="AC52" s="172" t="n">
        <f aca="false">IF(T52=" ",Jul!AC52,T52+Jul!AC52)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117</v>
      </c>
      <c r="T53" s="180" t="n">
        <v>7.2</v>
      </c>
      <c r="U53" s="171"/>
      <c r="V53" s="172" t="n">
        <f aca="false">IF(Employee!H$87=E$49,Employee!D$86+SUM(M53)+Jul!V53,SUM(M53)+Jul!V53)</f>
        <v>4192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4192</v>
      </c>
      <c r="AC53" s="172" t="n">
        <f aca="false">IF(T53=" ",Jul!AC53,T53+Jul!AC53)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22</v>
      </c>
      <c r="F9" s="144"/>
      <c r="G9" s="144"/>
      <c r="H9" s="146" t="s">
        <v>85</v>
      </c>
      <c r="I9" s="146"/>
      <c r="J9" s="146"/>
      <c r="K9" s="215" t="n">
        <f aca="false">Aug!M39+1</f>
        <v>46263</v>
      </c>
      <c r="L9" s="149" t="s">
        <v>88</v>
      </c>
      <c r="M9" s="150" t="n">
        <f aca="false">K9+6</f>
        <v>46269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3500</v>
      </c>
      <c r="W11" s="172" t="n">
        <f aca="false">IF(Employee!H$34=E$9,Employee!D$35+SUM(N11)+Aug!W41,SUM(N11)+Aug!W41)</f>
        <v>530</v>
      </c>
      <c r="X11" s="172" t="n">
        <f aca="false">IF(O11=" ",Aug!X41,O11+Aug!X41)</f>
        <v>200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2770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2200</v>
      </c>
      <c r="W12" s="172" t="n">
        <f aca="false">IF(Employee!H$60=E$9,Employee!D$61+SUM(N12)+Aug!W42,SUM(N12)+Aug!W42)</f>
        <v>270</v>
      </c>
      <c r="X12" s="172" t="n">
        <f aca="false">IF(O12=" ",Aug!X42,O12+Aug!X42)</f>
        <v>96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1834</v>
      </c>
      <c r="AC12" s="172" t="n">
        <f aca="false">IF(T12=" ",Aug!AC42,T12+Aug!AC42)</f>
        <v>187.5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1048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1048</v>
      </c>
      <c r="AC13" s="172" t="n">
        <f aca="false">IF(T13=" ",Aug!AC43,T13+Aug!AC43)</f>
        <v>7.2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23</v>
      </c>
      <c r="F19" s="144"/>
      <c r="G19" s="144"/>
      <c r="H19" s="146" t="s">
        <v>85</v>
      </c>
      <c r="I19" s="146"/>
      <c r="J19" s="146"/>
      <c r="K19" s="215" t="n">
        <f aca="false">M9+1</f>
        <v>46270</v>
      </c>
      <c r="L19" s="149" t="s">
        <v>88</v>
      </c>
      <c r="M19" s="150" t="n">
        <f aca="false">K19+6</f>
        <v>46276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3500</v>
      </c>
      <c r="W21" s="172" t="n">
        <f aca="false">IF(Employee!H$34=E$19,Employee!D$35+SUM(N21)+W11,SUM(N21)+W11)</f>
        <v>530</v>
      </c>
      <c r="X21" s="172" t="n">
        <f aca="false">IF(O21=" ",X11,O21+X11)</f>
        <v>200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2770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2200</v>
      </c>
      <c r="W22" s="172" t="n">
        <f aca="false">IF(Employee!H$60=E$19,Employee!D$61+SUM(N22)+W12,SUM(N22)+W12)</f>
        <v>270</v>
      </c>
      <c r="X22" s="172" t="n">
        <f aca="false">IF(O22=" ",X12,O22+X12)</f>
        <v>96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1834</v>
      </c>
      <c r="AC22" s="172" t="n">
        <f aca="false">IF(T22=" ",AC12,T22+AC12)</f>
        <v>187.5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1048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1048</v>
      </c>
      <c r="AC23" s="172" t="n">
        <f aca="false">IF(T23=" ",AC13,T23+AC13)</f>
        <v>7.2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24</v>
      </c>
      <c r="F29" s="144"/>
      <c r="G29" s="144"/>
      <c r="H29" s="146" t="s">
        <v>85</v>
      </c>
      <c r="I29" s="146"/>
      <c r="J29" s="146"/>
      <c r="K29" s="215" t="n">
        <f aca="false">M19+1</f>
        <v>46277</v>
      </c>
      <c r="L29" s="149" t="s">
        <v>88</v>
      </c>
      <c r="M29" s="150" t="n">
        <f aca="false">K29+6</f>
        <v>46283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3500</v>
      </c>
      <c r="W31" s="172" t="n">
        <f aca="false">IF(Employee!H$34=E$29,Employee!D$35+SUM(N31)+W21,SUM(N31)+W21)</f>
        <v>530</v>
      </c>
      <c r="X31" s="172" t="n">
        <f aca="false">IF(O31=" ",X21,O31+X21)</f>
        <v>200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2770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2200</v>
      </c>
      <c r="W32" s="172" t="n">
        <f aca="false">IF(Employee!H$60=E$29,Employee!D$61+SUM(N32)+W22,SUM(N32)+W22)</f>
        <v>270</v>
      </c>
      <c r="X32" s="172" t="n">
        <f aca="false">IF(O32=" ",X22,O32+X22)</f>
        <v>96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1834</v>
      </c>
      <c r="AC32" s="172" t="n">
        <f aca="false">IF(T32=" ",AC22,T32+AC22)</f>
        <v>187.5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1048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1048</v>
      </c>
      <c r="AC33" s="172" t="n">
        <f aca="false">IF(T33=" ",AC23,T33+AC23)</f>
        <v>7.2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25</v>
      </c>
      <c r="F39" s="144"/>
      <c r="G39" s="144"/>
      <c r="H39" s="146" t="s">
        <v>85</v>
      </c>
      <c r="I39" s="146"/>
      <c r="J39" s="146"/>
      <c r="K39" s="215" t="n">
        <f aca="false">M29+1</f>
        <v>46284</v>
      </c>
      <c r="L39" s="149" t="s">
        <v>88</v>
      </c>
      <c r="M39" s="150" t="n">
        <f aca="false">K39+6</f>
        <v>46290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3500</v>
      </c>
      <c r="W41" s="172" t="n">
        <f aca="false">IF(Employee!H$34=E$39,Employee!D$35+SUM(N41)+W31,SUM(N41)+W31)</f>
        <v>530</v>
      </c>
      <c r="X41" s="172" t="n">
        <f aca="false">IF(O41=" ",X31,O41+X31)</f>
        <v>200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2770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2200</v>
      </c>
      <c r="W42" s="172" t="n">
        <f aca="false">IF(Employee!H$60=E$39,Employee!D$61+SUM(N42)+W32,SUM(N42)+W32)</f>
        <v>270</v>
      </c>
      <c r="X42" s="172" t="n">
        <f aca="false">IF(O42=" ",X32,O42+X32)</f>
        <v>96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1834</v>
      </c>
      <c r="AC42" s="172" t="n">
        <f aca="false">IF(T42=" ",AC32,T42+AC32)</f>
        <v>187.5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1048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1048</v>
      </c>
      <c r="AC43" s="172" t="n">
        <f aca="false">IF(T43=" ",AC33,T43+AC33)</f>
        <v>7.2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26</v>
      </c>
      <c r="F49" s="144"/>
      <c r="G49" s="144"/>
      <c r="H49" s="146" t="s">
        <v>85</v>
      </c>
      <c r="I49" s="146"/>
      <c r="J49" s="146"/>
      <c r="K49" s="215" t="n">
        <f aca="false">Admin!B175</f>
        <v>46291</v>
      </c>
      <c r="L49" s="149" t="s">
        <v>88</v>
      </c>
      <c r="M49" s="150" t="n">
        <v>45930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118</v>
      </c>
      <c r="T51" s="170" t="n">
        <v>382.5</v>
      </c>
      <c r="U51" s="171"/>
      <c r="V51" s="172" t="n">
        <f aca="false">IF(Employee!H$34=E$49,Employee!D$34+SUM(M51)+V41,SUM(M51)+V41)</f>
        <v>7000</v>
      </c>
      <c r="W51" s="172" t="n">
        <f aca="false">IF(Employee!H$34=E$49,Employee!D$35+SUM(N51)+W41,SUM(N51)+W41)</f>
        <v>1060</v>
      </c>
      <c r="X51" s="172" t="n">
        <f aca="false">IF(O51=" ",X41,O51+X41)</f>
        <v>400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5540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119</v>
      </c>
      <c r="T52" s="180" t="n">
        <v>187.5</v>
      </c>
      <c r="U52" s="171"/>
      <c r="V52" s="172" t="n">
        <f aca="false">IF(Employee!H$60=E$49,Employee!D$60+SUM(M52)+V42,SUM(M52)+V42)</f>
        <v>4400</v>
      </c>
      <c r="W52" s="172" t="n">
        <f aca="false">IF(Employee!H$60=E$49,Employee!D$61+SUM(N52)+W42,SUM(N52)+W42)</f>
        <v>540</v>
      </c>
      <c r="X52" s="172" t="n">
        <f aca="false">IF(O52=" ",X42,O52+X42)</f>
        <v>192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3668</v>
      </c>
      <c r="AC52" s="172" t="n">
        <f aca="false">IF(T52=" ",AC42,T52+AC42)</f>
        <v>375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120</v>
      </c>
      <c r="T53" s="180" t="n">
        <v>7.2</v>
      </c>
      <c r="U53" s="171"/>
      <c r="V53" s="172" t="n">
        <f aca="false">IF(Employee!H$86=E$49,Employee!D$86+SUM(M53)+V43,SUM(M53)+V43)</f>
        <v>2096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2096</v>
      </c>
      <c r="AC53" s="172" t="n">
        <f aca="false">IF(T53=" ",AC43,T53+AC43)</f>
        <v>14.4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6</v>
      </c>
      <c r="F59" s="144"/>
      <c r="G59" s="144"/>
      <c r="H59" s="146" t="s">
        <v>85</v>
      </c>
      <c r="I59" s="146"/>
      <c r="J59" s="146"/>
      <c r="K59" s="215" t="n">
        <f aca="false">Admin!B150</f>
        <v>46266</v>
      </c>
      <c r="L59" s="149" t="s">
        <v>88</v>
      </c>
      <c r="M59" s="150" t="n">
        <f aca="false">Admin!B179</f>
        <v>46295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14000</v>
      </c>
      <c r="W61" s="172" t="n">
        <f aca="false">IF(Employee!H$35=E$59,Employee!D$35+SUM(N61)+Aug!W51,SUM(N61)+Aug!W51)</f>
        <v>2120</v>
      </c>
      <c r="X61" s="172" t="n">
        <f aca="false">IF(O61=" ",Aug!X51,O61+Aug!X51)</f>
        <v>800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11080</v>
      </c>
      <c r="AC61" s="172" t="n">
        <f aca="false">IF(T61=" ",Aug!AC51,T61+Aug!AC51)</f>
        <v>1530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8800</v>
      </c>
      <c r="W62" s="172" t="n">
        <f aca="false">IF(Employee!H$61=E$59,Employee!D$61+SUM(N62)+Aug!W52,SUM(N62)+Aug!W52)</f>
        <v>1080</v>
      </c>
      <c r="X62" s="172" t="n">
        <f aca="false">IF(O62=" ",Aug!X52,O62+Aug!X52)</f>
        <v>384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7336</v>
      </c>
      <c r="AC62" s="172" t="n">
        <f aca="false">IF(T62=" ",Aug!AC52,T62+Aug!AC52)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4192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4192</v>
      </c>
      <c r="AC63" s="172" t="n">
        <f aca="false">IF(T63=" ",Aug!AC53,T63+Aug!AC53)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27</v>
      </c>
      <c r="F9" s="144"/>
      <c r="G9" s="144"/>
      <c r="H9" s="146" t="s">
        <v>85</v>
      </c>
      <c r="I9" s="146"/>
      <c r="J9" s="146"/>
      <c r="K9" s="215" t="n">
        <f aca="false">Admin!B182</f>
        <v>46298</v>
      </c>
      <c r="L9" s="149" t="s">
        <v>88</v>
      </c>
      <c r="M9" s="150" t="n">
        <f aca="false">Admin!B188</f>
        <v>46304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7000</v>
      </c>
      <c r="W11" s="172" t="n">
        <f aca="false">IF(Employee!H$34=E$9,Employee!D$35+SUM(N11)+Sep!W51,SUM(N11)+Sep!W51)</f>
        <v>1060</v>
      </c>
      <c r="X11" s="172" t="n">
        <f aca="false">IF(O11=" ",Sep!X51,O11+Sep!X51)</f>
        <v>400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5540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4400</v>
      </c>
      <c r="W12" s="172" t="n">
        <f aca="false">IF(Employee!H$60=E$9,Employee!D$61+SUM(N12)+Sep!W52,SUM(N12)+Sep!W52)</f>
        <v>540</v>
      </c>
      <c r="X12" s="172" t="n">
        <f aca="false">IF(O12=" ",Sep!X52,O12+Sep!X52)</f>
        <v>192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3668</v>
      </c>
      <c r="AC12" s="172" t="n">
        <f aca="false">IF(T12=" ",Sep!AC52,T12+Sep!AC52)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2096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2096</v>
      </c>
      <c r="AC13" s="172" t="n">
        <f aca="false">IF(T13=" ",Sep!AC53,T13+Sep!AC53)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90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28</v>
      </c>
      <c r="F19" s="144"/>
      <c r="G19" s="144"/>
      <c r="H19" s="146" t="s">
        <v>85</v>
      </c>
      <c r="I19" s="146"/>
      <c r="J19" s="146"/>
      <c r="K19" s="215" t="n">
        <f aca="false">M9+1</f>
        <v>46305</v>
      </c>
      <c r="L19" s="149" t="s">
        <v>88</v>
      </c>
      <c r="M19" s="150" t="n">
        <f aca="false">K19+6</f>
        <v>46311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90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29</v>
      </c>
      <c r="F29" s="144"/>
      <c r="G29" s="144"/>
      <c r="H29" s="146" t="s">
        <v>85</v>
      </c>
      <c r="I29" s="146"/>
      <c r="J29" s="146"/>
      <c r="K29" s="215" t="n">
        <f aca="false">M19+1</f>
        <v>46312</v>
      </c>
      <c r="L29" s="149" t="s">
        <v>88</v>
      </c>
      <c r="M29" s="150" t="n">
        <f aca="false">K29+6</f>
        <v>46318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30</v>
      </c>
      <c r="F39" s="144"/>
      <c r="G39" s="144"/>
      <c r="H39" s="146" t="s">
        <v>85</v>
      </c>
      <c r="I39" s="146"/>
      <c r="J39" s="146"/>
      <c r="K39" s="215" t="n">
        <f aca="false">M29+1</f>
        <v>46319</v>
      </c>
      <c r="L39" s="149" t="s">
        <v>88</v>
      </c>
      <c r="M39" s="150" t="n">
        <f aca="false">K39+6</f>
        <v>46325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7</v>
      </c>
      <c r="F49" s="144"/>
      <c r="G49" s="144"/>
      <c r="H49" s="146" t="s">
        <v>85</v>
      </c>
      <c r="I49" s="146"/>
      <c r="J49" s="146"/>
      <c r="K49" s="215" t="n">
        <f aca="false">Admin!B180</f>
        <v>46296</v>
      </c>
      <c r="L49" s="149" t="s">
        <v>88</v>
      </c>
      <c r="M49" s="150" t="n">
        <v>45961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121</v>
      </c>
      <c r="T51" s="170" t="n">
        <v>382.5</v>
      </c>
      <c r="U51" s="171"/>
      <c r="V51" s="172" t="n">
        <f aca="false">IF(Employee!H$35=E$49,Employee!D$34+SUM(M51)+Sep!V61,SUM(M51)+Sep!V61)</f>
        <v>17500</v>
      </c>
      <c r="W51" s="172" t="n">
        <f aca="false">IF(Employee!H$35=E$49,Employee!D$35+SUM(N51)+Sep!W61,SUM(N51)+Sep!W61)</f>
        <v>2650</v>
      </c>
      <c r="X51" s="172" t="n">
        <f aca="false">IF(O51=" ",Sep!X61,O51+Sep!X61)</f>
        <v>1000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13850</v>
      </c>
      <c r="AC51" s="172" t="n">
        <f aca="false">IF(T51=" ",Sep!AC61,T51+Sep!AC61)</f>
        <v>1912.5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122</v>
      </c>
      <c r="T52" s="180" t="n">
        <v>187.5</v>
      </c>
      <c r="U52" s="171"/>
      <c r="V52" s="172" t="n">
        <f aca="false">IF(Employee!H$61=E$49,Employee!D$60+SUM(M52)+Sep!V62,SUM(M52)+Sep!V62)</f>
        <v>11000</v>
      </c>
      <c r="W52" s="172" t="n">
        <f aca="false">IF(Employee!H$61=E$49,Employee!D$61+SUM(N52)+Sep!W62,SUM(N52)+Sep!W62)</f>
        <v>1350</v>
      </c>
      <c r="X52" s="172" t="n">
        <f aca="false">IF(O52=" ",Sep!X62,O52+Sep!X62)</f>
        <v>480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9170</v>
      </c>
      <c r="AC52" s="172" t="n">
        <f aca="false">IF(T52=" ",Sep!AC62,T52+Sep!AC62)</f>
        <v>937.5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123</v>
      </c>
      <c r="T53" s="180" t="n">
        <v>7.2</v>
      </c>
      <c r="U53" s="171"/>
      <c r="V53" s="172" t="n">
        <f aca="false">IF(Employee!H$87=E$49,Employee!D$86+SUM(M53)+Sep!V63,SUM(M53)+Sep!V63)</f>
        <v>5240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5240</v>
      </c>
      <c r="AC53" s="172" t="n">
        <f aca="false">IF(T53=" ",Sep!AC63,T53+Sep!AC63)</f>
        <v>36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31</v>
      </c>
      <c r="F9" s="144"/>
      <c r="G9" s="144"/>
      <c r="H9" s="146" t="s">
        <v>85</v>
      </c>
      <c r="I9" s="146"/>
      <c r="J9" s="146"/>
      <c r="K9" s="215" t="n">
        <f aca="false">Admin!B210</f>
        <v>46326</v>
      </c>
      <c r="L9" s="149" t="s">
        <v>88</v>
      </c>
      <c r="M9" s="150" t="n">
        <f aca="false">K9+6</f>
        <v>46332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7000</v>
      </c>
      <c r="W11" s="172" t="n">
        <f aca="false">IF(Employee!H$34=E$9,Employee!D$35+SUM(N11)+Oct!W41,SUM(N11)+Oct!W41)</f>
        <v>1060</v>
      </c>
      <c r="X11" s="172" t="n">
        <f aca="false">IF(O11=" ",Oct!X41,O11+Oct!X41)</f>
        <v>400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5540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4400</v>
      </c>
      <c r="W12" s="172" t="n">
        <f aca="false">IF(Employee!H$60=E$9,Employee!D$61+SUM(N12)+Oct!W42,SUM(N12)+Oct!W42)</f>
        <v>540</v>
      </c>
      <c r="X12" s="172" t="n">
        <f aca="false">IF(O12=" ",Oct!X42,O12+Oct!X42)</f>
        <v>192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3668</v>
      </c>
      <c r="AC12" s="172" t="n">
        <f aca="false">IF(T12=" ",Oct!AC42,T12+Oct!AC42)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2096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2096</v>
      </c>
      <c r="AC13" s="172" t="n">
        <f aca="false">IF(T13=" ",Oct!AC43,T13+Oct!AC43)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32</v>
      </c>
      <c r="F19" s="144"/>
      <c r="G19" s="144"/>
      <c r="H19" s="146" t="s">
        <v>85</v>
      </c>
      <c r="I19" s="146"/>
      <c r="J19" s="146"/>
      <c r="K19" s="215" t="n">
        <f aca="false">M9+1</f>
        <v>46333</v>
      </c>
      <c r="L19" s="149" t="s">
        <v>88</v>
      </c>
      <c r="M19" s="150" t="n">
        <f aca="false">K19+6</f>
        <v>46339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33</v>
      </c>
      <c r="F29" s="144"/>
      <c r="G29" s="144"/>
      <c r="H29" s="146" t="s">
        <v>85</v>
      </c>
      <c r="I29" s="146"/>
      <c r="J29" s="146"/>
      <c r="K29" s="215" t="n">
        <f aca="false">M19+1</f>
        <v>46340</v>
      </c>
      <c r="L29" s="149" t="s">
        <v>88</v>
      </c>
      <c r="M29" s="150" t="n">
        <f aca="false">K29+6</f>
        <v>46346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34</v>
      </c>
      <c r="F39" s="144"/>
      <c r="G39" s="144"/>
      <c r="H39" s="146" t="s">
        <v>85</v>
      </c>
      <c r="I39" s="146"/>
      <c r="J39" s="146"/>
      <c r="K39" s="215" t="n">
        <f aca="false">M29+1</f>
        <v>46347</v>
      </c>
      <c r="L39" s="149" t="s">
        <v>88</v>
      </c>
      <c r="M39" s="150" t="n">
        <f aca="false">K39+6</f>
        <v>46353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8</v>
      </c>
      <c r="F49" s="144"/>
      <c r="G49" s="144"/>
      <c r="H49" s="146" t="s">
        <v>85</v>
      </c>
      <c r="I49" s="146"/>
      <c r="J49" s="146"/>
      <c r="K49" s="215" t="n">
        <f aca="false">Admin!B211</f>
        <v>46327</v>
      </c>
      <c r="L49" s="149" t="s">
        <v>88</v>
      </c>
      <c r="M49" s="150" t="n">
        <v>45991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124</v>
      </c>
      <c r="T51" s="170" t="n">
        <v>382.5</v>
      </c>
      <c r="U51" s="171"/>
      <c r="V51" s="172" t="n">
        <f aca="false">IF(Employee!H$35=E$49,Employee!D$34+SUM(M51)+Oct!V51,SUM(M51)+Oct!V51)</f>
        <v>21000</v>
      </c>
      <c r="W51" s="172" t="n">
        <f aca="false">IF(Employee!H$35=E$49,Employee!D$35+SUM(N51)+Oct!W51,SUM(N51)+Oct!W51)</f>
        <v>3180</v>
      </c>
      <c r="X51" s="172" t="n">
        <f aca="false">IF(O51=" ",Oct!X51,O51+Oct!X51)</f>
        <v>1200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16620</v>
      </c>
      <c r="AC51" s="172" t="n">
        <f aca="false">IF(T51=" ",Oct!AC51,T51+Oct!AC51)</f>
        <v>2295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125</v>
      </c>
      <c r="T52" s="180" t="n">
        <v>187.5</v>
      </c>
      <c r="U52" s="171"/>
      <c r="V52" s="172" t="n">
        <f aca="false">IF(Employee!H$61=E$49,Employee!D$60+SUM(M52)+Oct!V52,SUM(M52)+Oct!V52)</f>
        <v>13200</v>
      </c>
      <c r="W52" s="172" t="n">
        <f aca="false">IF(Employee!H$61=E$49,Employee!D$61+SUM(N52)+Oct!W52,SUM(N52)+Oct!W52)</f>
        <v>1620</v>
      </c>
      <c r="X52" s="172" t="n">
        <f aca="false">IF(O52=" ",Oct!X52,O52+Oct!X52)</f>
        <v>576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11004</v>
      </c>
      <c r="AC52" s="172" t="n">
        <f aca="false">IF(T52=" ",Oct!AC52,T52+Oct!AC52)</f>
        <v>1125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126</v>
      </c>
      <c r="T53" s="180" t="n">
        <v>7.2</v>
      </c>
      <c r="U53" s="171"/>
      <c r="V53" s="172" t="n">
        <f aca="false">IF(Employee!H$87=E$49,Employee!D$86+SUM(M53)+Oct!V53,SUM(M53)+Oct!V53)</f>
        <v>6288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6288</v>
      </c>
      <c r="AC53" s="172" t="n">
        <f aca="false">IF(T53=" ",Oct!AC53,T53+Oct!AC53)</f>
        <v>43.2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52</v>
      </c>
      <c r="J1" s="261"/>
      <c r="K1" s="261"/>
      <c r="L1" s="261"/>
      <c r="M1" s="248" t="n">
        <f aca="false">M16+M26+M36+M46+M56+M66</f>
        <v>6748</v>
      </c>
      <c r="N1" s="248" t="n">
        <f aca="false">N16+N26+N36+N46+N56+N66</f>
        <v>800</v>
      </c>
      <c r="O1" s="248" t="n">
        <f aca="false">O16+O26+O36+O46+O56+O66</f>
        <v>296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5652</v>
      </c>
      <c r="S1" s="249"/>
      <c r="T1" s="248" t="n">
        <f aca="false">T16+T26+T36+T46+T56+T66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35</v>
      </c>
      <c r="F9" s="144"/>
      <c r="G9" s="144"/>
      <c r="H9" s="146" t="s">
        <v>85</v>
      </c>
      <c r="I9" s="146"/>
      <c r="J9" s="146"/>
      <c r="K9" s="215" t="n">
        <f aca="false">Nov!M39+1</f>
        <v>46354</v>
      </c>
      <c r="L9" s="149" t="s">
        <v>88</v>
      </c>
      <c r="M9" s="150" t="n">
        <f aca="false">K9+6</f>
        <v>46360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7000</v>
      </c>
      <c r="W11" s="172" t="n">
        <f aca="false">IF(Employee!H$34=E$9,Employee!D$35+SUM(N11)+Nov!W41,SUM(N11)+Nov!W41)</f>
        <v>1060</v>
      </c>
      <c r="X11" s="172" t="n">
        <f aca="false">IF(O11=" ",Nov!X41,O11+Nov!X41)</f>
        <v>400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5540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4400</v>
      </c>
      <c r="W12" s="172" t="n">
        <f aca="false">IF(Employee!H$60=E$9,Employee!D$61+SUM(N12)+Nov!W42,SUM(N12)+Nov!W42)</f>
        <v>540</v>
      </c>
      <c r="X12" s="172" t="n">
        <f aca="false">IF(O12=" ",Nov!X42,O12+Nov!X42)</f>
        <v>192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3668</v>
      </c>
      <c r="AC12" s="172" t="n">
        <f aca="false">IF(T12=" ",Nov!AC42,T12+Nov!AC42)</f>
        <v>375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2096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2096</v>
      </c>
      <c r="AC13" s="172" t="n">
        <f aca="false">IF(T13=" ",Nov!AC43,T13+Nov!AC43)</f>
        <v>14.4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36</v>
      </c>
      <c r="F19" s="144"/>
      <c r="G19" s="144"/>
      <c r="H19" s="146" t="s">
        <v>85</v>
      </c>
      <c r="I19" s="146"/>
      <c r="J19" s="146"/>
      <c r="K19" s="215" t="n">
        <f aca="false">M9+1</f>
        <v>46361</v>
      </c>
      <c r="L19" s="149" t="s">
        <v>88</v>
      </c>
      <c r="M19" s="150" t="n">
        <f aca="false">K19+6</f>
        <v>46367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7000</v>
      </c>
      <c r="W21" s="172" t="n">
        <f aca="false">IF(Employee!H$34=E$19,Employee!D$35+SUM(N21)+W11,SUM(N21)+W11)</f>
        <v>1060</v>
      </c>
      <c r="X21" s="172" t="n">
        <f aca="false">IF(O21=" ",X11,O21+X11)</f>
        <v>400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5540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4400</v>
      </c>
      <c r="W22" s="172" t="n">
        <f aca="false">IF(Employee!H$60=E$19,Employee!D$61+SUM(N22)+W12,SUM(N22)+W12)</f>
        <v>540</v>
      </c>
      <c r="X22" s="172" t="n">
        <f aca="false">IF(O22=" ",X12,O22+X12)</f>
        <v>192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3668</v>
      </c>
      <c r="AC22" s="172" t="n">
        <f aca="false">IF(T22=" ",AC12,T22+AC12)</f>
        <v>375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2096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2096</v>
      </c>
      <c r="AC23" s="172" t="n">
        <f aca="false">IF(T23=" ",AC13,T23+AC13)</f>
        <v>14.4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37</v>
      </c>
      <c r="F29" s="144"/>
      <c r="G29" s="144"/>
      <c r="H29" s="146" t="s">
        <v>85</v>
      </c>
      <c r="I29" s="146"/>
      <c r="J29" s="146"/>
      <c r="K29" s="215" t="n">
        <f aca="false">M19+1</f>
        <v>46368</v>
      </c>
      <c r="L29" s="149" t="s">
        <v>88</v>
      </c>
      <c r="M29" s="150" t="n">
        <f aca="false">K29+6</f>
        <v>46374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7000</v>
      </c>
      <c r="W31" s="172" t="n">
        <f aca="false">IF(Employee!H$34=E$29,Employee!D$35+SUM(N31)+W21,SUM(N31)+W21)</f>
        <v>1060</v>
      </c>
      <c r="X31" s="172" t="n">
        <f aca="false">IF(O31=" ",X21,O31+X21)</f>
        <v>400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5540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4400</v>
      </c>
      <c r="W32" s="172" t="n">
        <f aca="false">IF(Employee!H$60=E$29,Employee!D$61+SUM(N32)+W22,SUM(N32)+W22)</f>
        <v>540</v>
      </c>
      <c r="X32" s="172" t="n">
        <f aca="false">IF(O32=" ",X22,O32+X22)</f>
        <v>192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3668</v>
      </c>
      <c r="AC32" s="172" t="n">
        <f aca="false">IF(T32=" ",AC22,T32+AC22)</f>
        <v>375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2096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2096</v>
      </c>
      <c r="AC33" s="172" t="n">
        <f aca="false">IF(T33=" ",AC23,T33+AC23)</f>
        <v>14.4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38</v>
      </c>
      <c r="F39" s="144"/>
      <c r="G39" s="144"/>
      <c r="H39" s="146" t="s">
        <v>85</v>
      </c>
      <c r="I39" s="146"/>
      <c r="J39" s="146"/>
      <c r="K39" s="215" t="n">
        <f aca="false">M29+1</f>
        <v>46375</v>
      </c>
      <c r="L39" s="149" t="s">
        <v>88</v>
      </c>
      <c r="M39" s="150" t="n">
        <f aca="false">K39+6</f>
        <v>46381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7000</v>
      </c>
      <c r="W41" s="172" t="n">
        <f aca="false">IF(Employee!H$34=E$39,Employee!D$35+SUM(N41)+W31,SUM(N41)+W31)</f>
        <v>1060</v>
      </c>
      <c r="X41" s="172" t="n">
        <f aca="false">IF(O41=" ",X31,O41+X31)</f>
        <v>400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5540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4400</v>
      </c>
      <c r="W42" s="172" t="n">
        <f aca="false">IF(Employee!H$60=E$39,Employee!D$61+SUM(N42)+W32,SUM(N42)+W32)</f>
        <v>540</v>
      </c>
      <c r="X42" s="172" t="n">
        <f aca="false">IF(O42=" ",X32,O42+X32)</f>
        <v>192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3668</v>
      </c>
      <c r="AC42" s="172" t="n">
        <f aca="false">IF(T42=" ",AC32,T42+AC32)</f>
        <v>375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2096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2096</v>
      </c>
      <c r="AC43" s="172" t="n">
        <f aca="false">IF(T43=" ",AC33,T43+AC33)</f>
        <v>14.4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39</v>
      </c>
      <c r="F49" s="144"/>
      <c r="G49" s="144"/>
      <c r="H49" s="146" t="s">
        <v>85</v>
      </c>
      <c r="I49" s="146"/>
      <c r="J49" s="146"/>
      <c r="K49" s="215" t="n">
        <f aca="false">M39+1</f>
        <v>46382</v>
      </c>
      <c r="L49" s="149" t="s">
        <v>88</v>
      </c>
      <c r="M49" s="150" t="n">
        <v>46022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127</v>
      </c>
      <c r="T51" s="170" t="n">
        <v>382.5</v>
      </c>
      <c r="U51" s="171"/>
      <c r="V51" s="172" t="n">
        <f aca="false">IF(Employee!H$34=E$49,Employee!D$34+SUM(M51)+V41,SUM(M51)+V41)</f>
        <v>10500</v>
      </c>
      <c r="W51" s="172" t="n">
        <f aca="false">IF(Employee!H$34=E$49,Employee!D$35+SUM(N51)+W41,SUM(N51)+W41)</f>
        <v>1590</v>
      </c>
      <c r="X51" s="172" t="n">
        <f aca="false">IF(O51=" ",X41,O51+X41)</f>
        <v>600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8310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128</v>
      </c>
      <c r="T52" s="180" t="n">
        <v>187.5</v>
      </c>
      <c r="U52" s="171"/>
      <c r="V52" s="172" t="n">
        <f aca="false">IF(Employee!H$60=E$49,Employee!D$60+SUM(M52)+V42,SUM(M52)+V42)</f>
        <v>6600</v>
      </c>
      <c r="W52" s="172" t="n">
        <f aca="false">IF(Employee!H$60=E$49,Employee!D$61+SUM(N52)+W42,SUM(N52)+W42)</f>
        <v>810</v>
      </c>
      <c r="X52" s="172" t="n">
        <f aca="false">IF(O52=" ",X42,O52+X42)</f>
        <v>288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5502</v>
      </c>
      <c r="AC52" s="172" t="n">
        <f aca="false">IF(T52=" ",AC42,T52+AC42)</f>
        <v>562.5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129</v>
      </c>
      <c r="T53" s="180" t="n">
        <v>7.2</v>
      </c>
      <c r="U53" s="171"/>
      <c r="V53" s="172" t="n">
        <f aca="false">IF(Employee!H$86=E$49,Employee!D$86+SUM(M53)+V43,SUM(M53)+V43)</f>
        <v>3144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3144</v>
      </c>
      <c r="AC53" s="172" t="n">
        <f aca="false">IF(T53=" ",AC43,T53+AC43)</f>
        <v>21.6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92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93</v>
      </c>
      <c r="C59" s="146"/>
      <c r="D59" s="146"/>
      <c r="E59" s="147" t="n">
        <v>9</v>
      </c>
      <c r="F59" s="144"/>
      <c r="G59" s="144"/>
      <c r="H59" s="146" t="s">
        <v>85</v>
      </c>
      <c r="I59" s="146"/>
      <c r="J59" s="146"/>
      <c r="K59" s="215" t="n">
        <f aca="false">Admin!B241</f>
        <v>46357</v>
      </c>
      <c r="L59" s="149" t="s">
        <v>88</v>
      </c>
      <c r="M59" s="150" t="n">
        <f aca="false">Admin!B271</f>
        <v>46387</v>
      </c>
      <c r="N59" s="151"/>
      <c r="O59" s="198" t="s">
        <v>105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21000</v>
      </c>
      <c r="W61" s="172" t="n">
        <f aca="false">IF(Employee!H$35=E$59,Employee!D$35+SUM(N61)+Nov!W51,SUM(N61)+Nov!W51)</f>
        <v>3180</v>
      </c>
      <c r="X61" s="172" t="n">
        <f aca="false">IF(O61=" ",Nov!X51,O61+Nov!X51)</f>
        <v>1200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16620</v>
      </c>
      <c r="AC61" s="172" t="n">
        <f aca="false">IF(T61=" ",Nov!AC51,T61+Nov!AC51)</f>
        <v>2295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13200</v>
      </c>
      <c r="W62" s="172" t="n">
        <f aca="false">IF(Employee!H$61=E$59,Employee!D$61+SUM(N62)+Nov!W52,SUM(N62)+Nov!W52)</f>
        <v>1620</v>
      </c>
      <c r="X62" s="172" t="n">
        <f aca="false">IF(O62=" ",Nov!X52,O62+Nov!X52)</f>
        <v>576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11004</v>
      </c>
      <c r="AC62" s="172" t="n">
        <f aca="false">IF(T62=" ",Nov!AC52,T62+Nov!AC52)</f>
        <v>1125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6288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6288</v>
      </c>
      <c r="AC63" s="172" t="n">
        <f aca="false">IF(T63=" ",Nov!AC53,T63+Nov!AC53)</f>
        <v>43.2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102</v>
      </c>
      <c r="G69" s="219"/>
      <c r="H69" s="219"/>
      <c r="M69" s="220" t="s">
        <v>103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104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40</v>
      </c>
      <c r="F9" s="144"/>
      <c r="G9" s="144"/>
      <c r="H9" s="146" t="s">
        <v>85</v>
      </c>
      <c r="I9" s="146"/>
      <c r="J9" s="146"/>
      <c r="K9" s="215" t="n">
        <f aca="false">Dec!M49+1</f>
        <v>46023</v>
      </c>
      <c r="L9" s="149" t="s">
        <v>88</v>
      </c>
      <c r="M9" s="150" t="n">
        <f aca="false">K9+6</f>
        <v>46029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10500</v>
      </c>
      <c r="W11" s="172" t="n">
        <f aca="false">IF(Employee!H$34=E$9,Employee!D$35+SUM(N11)+Dec!W51,SUM(N11)+Dec!W51)</f>
        <v>1590</v>
      </c>
      <c r="X11" s="172" t="n">
        <f aca="false">IF(O11=" ",Dec!X51,O11+Dec!X51)</f>
        <v>600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8310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6600</v>
      </c>
      <c r="W12" s="172" t="n">
        <f aca="false">IF(Employee!H$60=E$9,Employee!D$61+SUM(N12)+Dec!W52,SUM(N12)+Dec!W52)</f>
        <v>810</v>
      </c>
      <c r="X12" s="172" t="n">
        <f aca="false">IF(O12=" ",Dec!X52,O12+Dec!X52)</f>
        <v>288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5502</v>
      </c>
      <c r="AC12" s="172" t="n">
        <f aca="false">IF(T12=" ",Dec!AC52,T12+Dec!AC52)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3144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3144</v>
      </c>
      <c r="AC13" s="172" t="n">
        <f aca="false">IF(T13=" ",Dec!AC53,T13+Dec!AC53)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41</v>
      </c>
      <c r="F19" s="144"/>
      <c r="G19" s="144"/>
      <c r="H19" s="146" t="s">
        <v>85</v>
      </c>
      <c r="I19" s="146"/>
      <c r="J19" s="146"/>
      <c r="K19" s="215" t="n">
        <f aca="false">M9+1</f>
        <v>46030</v>
      </c>
      <c r="L19" s="149" t="s">
        <v>88</v>
      </c>
      <c r="M19" s="150" t="n">
        <f aca="false">K19+6</f>
        <v>46036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42</v>
      </c>
      <c r="F29" s="144"/>
      <c r="G29" s="144"/>
      <c r="H29" s="146" t="s">
        <v>85</v>
      </c>
      <c r="I29" s="146"/>
      <c r="J29" s="146"/>
      <c r="K29" s="215" t="n">
        <f aca="false">M19+1</f>
        <v>46037</v>
      </c>
      <c r="L29" s="149" t="s">
        <v>88</v>
      </c>
      <c r="M29" s="150" t="n">
        <f aca="false">K29+6</f>
        <v>46043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43</v>
      </c>
      <c r="F39" s="144"/>
      <c r="G39" s="144"/>
      <c r="H39" s="146" t="s">
        <v>85</v>
      </c>
      <c r="I39" s="146"/>
      <c r="J39" s="146"/>
      <c r="K39" s="215" t="n">
        <f aca="false">M29+1</f>
        <v>46044</v>
      </c>
      <c r="L39" s="149" t="s">
        <v>88</v>
      </c>
      <c r="M39" s="150" t="n">
        <f aca="false">K39+6</f>
        <v>46050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10</v>
      </c>
      <c r="F49" s="144"/>
      <c r="G49" s="144"/>
      <c r="H49" s="146" t="s">
        <v>85</v>
      </c>
      <c r="I49" s="146"/>
      <c r="J49" s="146"/>
      <c r="K49" s="215" t="n">
        <f aca="false">Admin!B272</f>
        <v>46388</v>
      </c>
      <c r="L49" s="149" t="s">
        <v>88</v>
      </c>
      <c r="M49" s="150" t="n">
        <v>46053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130</v>
      </c>
      <c r="T51" s="170" t="n">
        <v>382.5</v>
      </c>
      <c r="U51" s="171"/>
      <c r="V51" s="172" t="n">
        <f aca="false">IF(Employee!H$35=E$49,Employee!D$34+SUM(M51)+Dec!V61,SUM(M51)+Dec!V61)</f>
        <v>24500</v>
      </c>
      <c r="W51" s="172" t="n">
        <f aca="false">IF(Employee!H$35=E$49,Employee!D$35+SUM(N51)+Dec!W61,SUM(N51)+Dec!W61)</f>
        <v>3710</v>
      </c>
      <c r="X51" s="172" t="n">
        <f aca="false">IF(O51=" ",Dec!X61,O51+Dec!X61)</f>
        <v>1400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19390</v>
      </c>
      <c r="AC51" s="172" t="n">
        <f aca="false">IF(T51=" ",Dec!AC61,T51+Dec!AC61)</f>
        <v>2677.5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131</v>
      </c>
      <c r="T52" s="180" t="n">
        <v>187.5</v>
      </c>
      <c r="U52" s="171"/>
      <c r="V52" s="172" t="n">
        <f aca="false">IF(Employee!H$61=E$49,Employee!D$60+SUM(M52)+Dec!V62,SUM(M52)+Dec!V62)</f>
        <v>15400</v>
      </c>
      <c r="W52" s="172" t="n">
        <f aca="false">IF(Employee!H$61=E$49,Employee!D$61+SUM(N52)+Dec!W62,SUM(N52)+Dec!W62)</f>
        <v>1890</v>
      </c>
      <c r="X52" s="172" t="n">
        <f aca="false">IF(O52=" ",Dec!X62,O52+Dec!X62)</f>
        <v>672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12838</v>
      </c>
      <c r="AC52" s="172" t="n">
        <f aca="false">IF(T52=" ",Dec!AC62,T52+Dec!AC62)</f>
        <v>1312.5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132</v>
      </c>
      <c r="T53" s="180" t="n">
        <v>7.2</v>
      </c>
      <c r="U53" s="171"/>
      <c r="V53" s="172" t="n">
        <f aca="false">IF(Employee!H$87=E$49,Employee!D$86+SUM(M53)+Dec!V63,SUM(M53)+Dec!V63)</f>
        <v>7336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7336</v>
      </c>
      <c r="AC53" s="172" t="n">
        <f aca="false">IF(T53=" ",Dec!AC63,T53+Dec!AC63)</f>
        <v>50.4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52</v>
      </c>
      <c r="J1" s="105"/>
      <c r="K1" s="105"/>
      <c r="L1" s="105"/>
      <c r="M1" s="106" t="n">
        <f aca="false">M16+M26+M36+M46+M56</f>
        <v>6748</v>
      </c>
      <c r="N1" s="106" t="n">
        <f aca="false">N16+N26+N36+N46+N56</f>
        <v>800</v>
      </c>
      <c r="O1" s="106" t="n">
        <f aca="false">O16+O26+O36+O46+O56</f>
        <v>296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5652</v>
      </c>
      <c r="S1" s="107"/>
      <c r="T1" s="106" t="n">
        <f aca="false">T16+T26+T36+T46+T56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55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44</v>
      </c>
      <c r="F9" s="144"/>
      <c r="G9" s="144"/>
      <c r="H9" s="146" t="s">
        <v>85</v>
      </c>
      <c r="I9" s="146"/>
      <c r="J9" s="146"/>
      <c r="K9" s="215" t="n">
        <f aca="false">Jan!M39+1</f>
        <v>46051</v>
      </c>
      <c r="L9" s="149" t="s">
        <v>88</v>
      </c>
      <c r="M9" s="150" t="n">
        <f aca="false">K9+6</f>
        <v>46057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10500</v>
      </c>
      <c r="W11" s="172" t="n">
        <f aca="false">IF(Employee!H$34=E$9,Employee!D$35+SUM(N11)+Jan!W41,SUM(N11)+Jan!W41)</f>
        <v>1590</v>
      </c>
      <c r="X11" s="172" t="n">
        <f aca="false">IF(O11=" ",Jan!X41,O11+Jan!X41)</f>
        <v>600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8310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6600</v>
      </c>
      <c r="W12" s="172" t="n">
        <f aca="false">IF(Employee!H$60=E$9,Employee!D$61+SUM(N12)+Jan!W42,SUM(N12)+Jan!W42)</f>
        <v>810</v>
      </c>
      <c r="X12" s="172" t="n">
        <f aca="false">IF(O12=" ",Jan!X42,O12+Jan!X42)</f>
        <v>288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5502</v>
      </c>
      <c r="AC12" s="172" t="n">
        <f aca="false">IF(T12=" ",Jan!AC42,T12+Jan!AC42)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3144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3144</v>
      </c>
      <c r="AC13" s="172" t="n">
        <f aca="false">IF(T13=" ",Jan!AC43,T13+Jan!AC43)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45</v>
      </c>
      <c r="F19" s="144"/>
      <c r="G19" s="144"/>
      <c r="H19" s="146" t="s">
        <v>85</v>
      </c>
      <c r="I19" s="146"/>
      <c r="J19" s="146"/>
      <c r="K19" s="215" t="n">
        <f aca="false">M9+1</f>
        <v>46058</v>
      </c>
      <c r="L19" s="149" t="s">
        <v>88</v>
      </c>
      <c r="M19" s="150" t="n">
        <f aca="false">K19+6</f>
        <v>46064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46</v>
      </c>
      <c r="F29" s="144"/>
      <c r="G29" s="144"/>
      <c r="H29" s="146" t="s">
        <v>85</v>
      </c>
      <c r="I29" s="146"/>
      <c r="J29" s="146"/>
      <c r="K29" s="215" t="n">
        <f aca="false">M19+1</f>
        <v>46065</v>
      </c>
      <c r="L29" s="149" t="s">
        <v>88</v>
      </c>
      <c r="M29" s="150" t="n">
        <f aca="false">K29+6</f>
        <v>46071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47</v>
      </c>
      <c r="F39" s="144"/>
      <c r="G39" s="144"/>
      <c r="H39" s="146" t="s">
        <v>85</v>
      </c>
      <c r="I39" s="146"/>
      <c r="J39" s="146"/>
      <c r="K39" s="215" t="n">
        <f aca="false">M29+1</f>
        <v>46072</v>
      </c>
      <c r="L39" s="149" t="s">
        <v>88</v>
      </c>
      <c r="M39" s="150" t="n">
        <f aca="false">K39+6</f>
        <v>46078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92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93</v>
      </c>
      <c r="C49" s="146"/>
      <c r="D49" s="146"/>
      <c r="E49" s="147" t="n">
        <v>11</v>
      </c>
      <c r="F49" s="144"/>
      <c r="G49" s="144"/>
      <c r="H49" s="146" t="s">
        <v>85</v>
      </c>
      <c r="I49" s="146"/>
      <c r="J49" s="146"/>
      <c r="K49" s="215" t="n">
        <f aca="false">Admin!B303</f>
        <v>46419</v>
      </c>
      <c r="L49" s="149" t="s">
        <v>88</v>
      </c>
      <c r="M49" s="150" t="n">
        <v>46081</v>
      </c>
      <c r="N49" s="151"/>
      <c r="O49" s="198" t="s">
        <v>105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IF(Employee!D$28="w"," ",IF(Employee!F$24&gt;E$49," ",IF(Employee!F$26&lt;E$49," ",Employee!D$29)))</f>
        <v> </v>
      </c>
      <c r="F51" s="162" t="s">
        <v>96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252" t="n">
        <v>2770</v>
      </c>
      <c r="S51" s="107" t="s">
        <v>133</v>
      </c>
      <c r="T51" s="170" t="n">
        <v>382.5</v>
      </c>
      <c r="U51" s="171"/>
      <c r="V51" s="172" t="n">
        <f aca="false">IF(Employee!H$35=E$49,Employee!D$34+SUM(M51)+Jan!V51,SUM(M51)+Jan!V51)</f>
        <v>28000</v>
      </c>
      <c r="W51" s="172" t="n">
        <f aca="false">IF(Employee!H$35=E$49,Employee!D$35+SUM(N51)+Jan!W51,SUM(N51)+Jan!W51)</f>
        <v>4240</v>
      </c>
      <c r="X51" s="172" t="n">
        <f aca="false">IF(O51=" ",Jan!X51,O51+Jan!X51)</f>
        <v>1600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22160</v>
      </c>
      <c r="AC51" s="172" t="n">
        <f aca="false">IF(T51=" ",Jan!AC51,T51+Jan!AC51)</f>
        <v>3060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IF(Employee!D$54="w"," ",IF(Employee!F$50&gt;E$49," ",IF(Employee!F$52&lt;E$49," ",Employee!D$55)))</f>
        <v> </v>
      </c>
      <c r="F52" s="175" t="s">
        <v>98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253" t="n">
        <v>1834</v>
      </c>
      <c r="S52" s="107" t="s">
        <v>134</v>
      </c>
      <c r="T52" s="180" t="n">
        <v>187.5</v>
      </c>
      <c r="U52" s="171"/>
      <c r="V52" s="172" t="n">
        <f aca="false">IF(Employee!H$61=E$49,Employee!D$60+SUM(M52)+Jan!V52,SUM(M52)+Jan!V52)</f>
        <v>17600</v>
      </c>
      <c r="W52" s="172" t="n">
        <f aca="false">IF(Employee!H$61=E$49,Employee!D$61+SUM(N52)+Jan!W52,SUM(N52)+Jan!W52)</f>
        <v>2160</v>
      </c>
      <c r="X52" s="172" t="n">
        <f aca="false">IF(O52=" ",Jan!X52,O52+Jan!X52)</f>
        <v>768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14672</v>
      </c>
      <c r="AC52" s="172" t="n">
        <f aca="false">IF(T52=" ",Jan!AC52,T52+Jan!AC52)</f>
        <v>1500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IF(Employee!D$80="w"," ",IF(Employee!F$76&gt;E$49," ",IF(Employee!F$78&lt;E$49," ",Employee!D$81)))</f>
        <v> </v>
      </c>
      <c r="F53" s="175" t="s">
        <v>100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n">
        <v>1048</v>
      </c>
      <c r="S53" s="107" t="s">
        <v>135</v>
      </c>
      <c r="T53" s="180" t="n">
        <v>7.2</v>
      </c>
      <c r="U53" s="171"/>
      <c r="V53" s="172" t="n">
        <f aca="false">IF(Employee!H$87=E$49,Employee!D$86+SUM(M53)+Jan!V53,SUM(M53)+Jan!V53)</f>
        <v>8384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8384</v>
      </c>
      <c r="AC53" s="172" t="n">
        <f aca="false">IF(T53=" ",Jan!AC53,T53+Jan!AC53)</f>
        <v>57.6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102</v>
      </c>
      <c r="G59" s="219"/>
      <c r="H59" s="219"/>
      <c r="M59" s="220" t="s">
        <v>103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104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52</v>
      </c>
      <c r="J1" s="261"/>
      <c r="K1" s="261"/>
      <c r="L1" s="261"/>
      <c r="M1" s="248" t="n">
        <f aca="false">M16+M26+M36+M46+M56+M66+M76</f>
        <v>6748</v>
      </c>
      <c r="N1" s="248" t="n">
        <f aca="false">N16+N26+N36+N46+N56+N66+N76</f>
        <v>800</v>
      </c>
      <c r="O1" s="248" t="n">
        <f aca="false">O16+O26+O36+O46+O56+O66+O76</f>
        <v>296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5652</v>
      </c>
      <c r="S1" s="249"/>
      <c r="T1" s="248" t="n">
        <f aca="false">T16+T26+T36+T46+T56+T66+T76</f>
        <v>577.2</v>
      </c>
      <c r="U1" s="108"/>
      <c r="V1" s="109" t="s">
        <v>53</v>
      </c>
      <c r="W1" s="109"/>
      <c r="X1" s="109"/>
      <c r="Y1" s="109"/>
      <c r="Z1" s="109"/>
      <c r="AA1" s="109"/>
      <c r="AB1" s="109"/>
      <c r="AC1" s="109"/>
      <c r="AD1" s="110" t="s">
        <v>54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55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56</v>
      </c>
      <c r="C3" s="113" t="s">
        <v>57</v>
      </c>
      <c r="D3" s="113" t="s">
        <v>58</v>
      </c>
      <c r="E3" s="114" t="s">
        <v>59</v>
      </c>
      <c r="F3" s="113" t="s">
        <v>60</v>
      </c>
      <c r="G3" s="115" t="s">
        <v>61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74</v>
      </c>
      <c r="W3" s="120" t="s">
        <v>68</v>
      </c>
      <c r="X3" s="120" t="s">
        <v>69</v>
      </c>
      <c r="Y3" s="120" t="s">
        <v>75</v>
      </c>
      <c r="Z3" s="120" t="s">
        <v>71</v>
      </c>
      <c r="AA3" s="120" t="s">
        <v>76</v>
      </c>
      <c r="AB3" s="119"/>
      <c r="AC3" s="120" t="s">
        <v>73</v>
      </c>
      <c r="AD3" s="121" t="s">
        <v>77</v>
      </c>
      <c r="AE3" s="121" t="s">
        <v>78</v>
      </c>
      <c r="AF3" s="121" t="s">
        <v>79</v>
      </c>
      <c r="AG3" s="121" t="s">
        <v>80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81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82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83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84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85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86</v>
      </c>
      <c r="C9" s="146"/>
      <c r="D9" s="146"/>
      <c r="E9" s="147" t="n">
        <v>48</v>
      </c>
      <c r="F9" s="144"/>
      <c r="G9" s="144"/>
      <c r="H9" s="146" t="s">
        <v>85</v>
      </c>
      <c r="I9" s="146"/>
      <c r="J9" s="146"/>
      <c r="K9" s="215" t="n">
        <f aca="false">Feb!M39+1</f>
        <v>46079</v>
      </c>
      <c r="L9" s="149" t="s">
        <v>88</v>
      </c>
      <c r="M9" s="150" t="n">
        <f aca="false">K9+6</f>
        <v>46085</v>
      </c>
      <c r="N9" s="151"/>
      <c r="O9" s="198" t="s">
        <v>91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89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10500</v>
      </c>
      <c r="W11" s="172" t="n">
        <f aca="false">IF(Employee!H$34=E$9,Employee!D$35+SUM(N11)+Feb!W41,SUM(N11)+Feb!W41)</f>
        <v>1590</v>
      </c>
      <c r="X11" s="172" t="n">
        <f aca="false">IF(O11=" ",Feb!X41,O11+Feb!X41)</f>
        <v>600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8310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89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6600</v>
      </c>
      <c r="W12" s="172" t="n">
        <f aca="false">IF(Employee!H$60=E$9,Employee!D$61+SUM(N12)+Feb!W42,SUM(N12)+Feb!W42)</f>
        <v>810</v>
      </c>
      <c r="X12" s="172" t="n">
        <f aca="false">IF(O12=" ",Feb!X42,O12+Feb!X42)</f>
        <v>288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5502</v>
      </c>
      <c r="AC12" s="172" t="n">
        <f aca="false">IF(T12=" ",Feb!AC42,T12+Feb!AC42)</f>
        <v>562.5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89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3144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3144</v>
      </c>
      <c r="AC13" s="172" t="n">
        <f aca="false">IF(T13=" ",Feb!AC43,T13+Feb!AC43)</f>
        <v>21.6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89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89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90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84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85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86</v>
      </c>
      <c r="C19" s="146"/>
      <c r="D19" s="146"/>
      <c r="E19" s="147" t="n">
        <v>49</v>
      </c>
      <c r="F19" s="144"/>
      <c r="G19" s="144"/>
      <c r="H19" s="146" t="s">
        <v>85</v>
      </c>
      <c r="I19" s="146"/>
      <c r="J19" s="146"/>
      <c r="K19" s="215" t="n">
        <f aca="false">M9+1</f>
        <v>46086</v>
      </c>
      <c r="L19" s="149" t="s">
        <v>88</v>
      </c>
      <c r="M19" s="150" t="n">
        <f aca="false">K19+6</f>
        <v>46092</v>
      </c>
      <c r="N19" s="151"/>
      <c r="O19" s="198" t="s">
        <v>91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89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10500</v>
      </c>
      <c r="W21" s="172" t="n">
        <f aca="false">IF(Employee!H$34=E$19,Employee!D$35+SUM(N21)+W11,SUM(N21)+W11)</f>
        <v>1590</v>
      </c>
      <c r="X21" s="172" t="n">
        <f aca="false">IF(O21=" ",X11,O21+X11)</f>
        <v>600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8310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89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6600</v>
      </c>
      <c r="W22" s="172" t="n">
        <f aca="false">IF(Employee!H$60=E$19,Employee!D$61+SUM(N22)+W12,SUM(N22)+W12)</f>
        <v>810</v>
      </c>
      <c r="X22" s="172" t="n">
        <f aca="false">IF(O22=" ",X12,O22+X12)</f>
        <v>288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5502</v>
      </c>
      <c r="AC22" s="172" t="n">
        <f aca="false">IF(T22=" ",AC12,T22+AC12)</f>
        <v>562.5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89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3144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3144</v>
      </c>
      <c r="AC23" s="172" t="n">
        <f aca="false">IF(T23=" ",AC13,T23+AC13)</f>
        <v>21.6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89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89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90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84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85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86</v>
      </c>
      <c r="C29" s="146"/>
      <c r="D29" s="146"/>
      <c r="E29" s="147" t="n">
        <v>50</v>
      </c>
      <c r="F29" s="144"/>
      <c r="G29" s="144"/>
      <c r="H29" s="146" t="s">
        <v>85</v>
      </c>
      <c r="I29" s="146"/>
      <c r="J29" s="146"/>
      <c r="K29" s="215" t="n">
        <f aca="false">M19+1</f>
        <v>46093</v>
      </c>
      <c r="L29" s="149" t="s">
        <v>88</v>
      </c>
      <c r="M29" s="150" t="n">
        <f aca="false">K29+6</f>
        <v>46099</v>
      </c>
      <c r="N29" s="151"/>
      <c r="O29" s="198" t="s">
        <v>91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89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10500</v>
      </c>
      <c r="W31" s="172" t="n">
        <f aca="false">IF(Employee!H$34=E$29,Employee!D$35+SUM(N31)+W21,SUM(N31)+W21)</f>
        <v>1590</v>
      </c>
      <c r="X31" s="172" t="n">
        <f aca="false">IF(O31=" ",X21,O31+X21)</f>
        <v>600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8310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89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6600</v>
      </c>
      <c r="W32" s="172" t="n">
        <f aca="false">IF(Employee!H$60=E$29,Employee!D$61+SUM(N32)+W22,SUM(N32)+W22)</f>
        <v>810</v>
      </c>
      <c r="X32" s="172" t="n">
        <f aca="false">IF(O32=" ",X22,O32+X22)</f>
        <v>288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5502</v>
      </c>
      <c r="AC32" s="172" t="n">
        <f aca="false">IF(T32=" ",AC22,T32+AC22)</f>
        <v>562.5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89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3144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3144</v>
      </c>
      <c r="AC33" s="172" t="n">
        <f aca="false">IF(T33=" ",AC23,T33+AC23)</f>
        <v>21.6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89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89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90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84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85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86</v>
      </c>
      <c r="C39" s="146"/>
      <c r="D39" s="146"/>
      <c r="E39" s="147" t="n">
        <v>51</v>
      </c>
      <c r="F39" s="144"/>
      <c r="G39" s="144"/>
      <c r="H39" s="146" t="s">
        <v>85</v>
      </c>
      <c r="I39" s="146"/>
      <c r="J39" s="146"/>
      <c r="K39" s="215" t="n">
        <f aca="false">M29+1</f>
        <v>46100</v>
      </c>
      <c r="L39" s="149" t="s">
        <v>88</v>
      </c>
      <c r="M39" s="150" t="n">
        <f aca="false">K39+6</f>
        <v>46106</v>
      </c>
      <c r="N39" s="151"/>
      <c r="O39" s="198" t="s">
        <v>91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89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10500</v>
      </c>
      <c r="W41" s="172" t="n">
        <f aca="false">IF(Employee!H$34=E$39,Employee!D$35+SUM(N41)+W31,SUM(N41)+W31)</f>
        <v>1590</v>
      </c>
      <c r="X41" s="172" t="n">
        <f aca="false">IF(O41=" ",X31,O41+X31)</f>
        <v>600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8310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89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6600</v>
      </c>
      <c r="W42" s="172" t="n">
        <f aca="false">IF(Employee!H$60=E$39,Employee!D$61+SUM(N42)+W32,SUM(N42)+W32)</f>
        <v>810</v>
      </c>
      <c r="X42" s="172" t="n">
        <f aca="false">IF(O42=" ",X32,O42+X32)</f>
        <v>288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5502</v>
      </c>
      <c r="AC42" s="172" t="n">
        <f aca="false">IF(T42=" ",AC32,T42+AC32)</f>
        <v>562.5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89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3144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3144</v>
      </c>
      <c r="AC43" s="172" t="n">
        <f aca="false">IF(T43=" ",AC33,T43+AC33)</f>
        <v>21.6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89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89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90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84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85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86</v>
      </c>
      <c r="C49" s="146"/>
      <c r="D49" s="146"/>
      <c r="E49" s="147" t="n">
        <v>52</v>
      </c>
      <c r="F49" s="144"/>
      <c r="G49" s="144"/>
      <c r="H49" s="146" t="s">
        <v>85</v>
      </c>
      <c r="I49" s="146"/>
      <c r="J49" s="146"/>
      <c r="K49" s="215" t="n">
        <f aca="false">M39+1</f>
        <v>46107</v>
      </c>
      <c r="L49" s="149" t="s">
        <v>88</v>
      </c>
      <c r="M49" s="150" t="n">
        <v>46112</v>
      </c>
      <c r="N49" s="151"/>
      <c r="O49" s="198" t="s">
        <v>91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89</v>
      </c>
      <c r="E51" s="213" t="str">
        <f aca="false">IF(Employee!D$28="m"," ",IF(Employee!F$24&gt;E$49," ",IF(Employee!F$26&lt;E$49," ",Employee!D$29)))</f>
        <v> </v>
      </c>
      <c r="F51" s="162" t="s">
        <v>96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n">
        <v>3500</v>
      </c>
      <c r="N51" s="164" t="n">
        <v>530</v>
      </c>
      <c r="O51" s="168" t="n">
        <v>200</v>
      </c>
      <c r="P51" s="168" t="n">
        <v>0</v>
      </c>
      <c r="Q51" s="166" t="n">
        <v>0</v>
      </c>
      <c r="R51" s="169" t="n">
        <v>2770</v>
      </c>
      <c r="S51" s="107" t="s">
        <v>136</v>
      </c>
      <c r="T51" s="170" t="n">
        <v>382.5</v>
      </c>
      <c r="U51" s="171"/>
      <c r="V51" s="172" t="n">
        <f aca="false">IF(Employee!H$34=E$49,Employee!D$34+SUM(M51)+V41,SUM(M51)+V41)</f>
        <v>14000</v>
      </c>
      <c r="W51" s="172" t="n">
        <f aca="false">IF(Employee!H$34=E$49,Employee!D$35+SUM(N51)+W41,SUM(N51)+W41)</f>
        <v>2120</v>
      </c>
      <c r="X51" s="172" t="n">
        <f aca="false">IF(O51=" ",X41,O51+X41)</f>
        <v>800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11080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89</v>
      </c>
      <c r="E52" s="214" t="str">
        <f aca="false">IF(Employee!D$54="m"," ",IF(Employee!F$50&gt;E$49," ",IF(Employee!F$52&lt;E$49," ",Employee!D$55)))</f>
        <v> </v>
      </c>
      <c r="F52" s="175" t="s">
        <v>98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n">
        <v>2200</v>
      </c>
      <c r="N52" s="176" t="n">
        <v>270</v>
      </c>
      <c r="O52" s="177" t="n">
        <v>96</v>
      </c>
      <c r="P52" s="177" t="n">
        <v>0</v>
      </c>
      <c r="Q52" s="179" t="n">
        <v>0</v>
      </c>
      <c r="R52" s="167" t="n">
        <v>1834</v>
      </c>
      <c r="S52" s="107" t="s">
        <v>137</v>
      </c>
      <c r="T52" s="180" t="n">
        <v>187.5</v>
      </c>
      <c r="U52" s="171"/>
      <c r="V52" s="172" t="n">
        <f aca="false">IF(Employee!H$60=E$49,Employee!D$60+SUM(M52)+V42,SUM(M52)+V42)</f>
        <v>8800</v>
      </c>
      <c r="W52" s="172" t="n">
        <f aca="false">IF(Employee!H$60=E$49,Employee!D$61+SUM(N52)+W42,SUM(N52)+W42)</f>
        <v>1080</v>
      </c>
      <c r="X52" s="172" t="n">
        <f aca="false">IF(O52=" ",X42,O52+X42)</f>
        <v>384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7336</v>
      </c>
      <c r="AC52" s="172" t="n">
        <f aca="false">IF(T52=" ",AC42,T52+AC42)</f>
        <v>750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89</v>
      </c>
      <c r="E53" s="214" t="str">
        <f aca="false">IF(Employee!D$80="m"," ",IF(Employee!F$76&gt;E$49," ",IF(Employee!F$78&lt;E$49," ",Employee!D$81)))</f>
        <v> </v>
      </c>
      <c r="F53" s="175" t="s">
        <v>100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n">
        <v>1048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n">
        <v>1048</v>
      </c>
      <c r="S53" s="107" t="s">
        <v>138</v>
      </c>
      <c r="T53" s="180" t="n">
        <v>7.2</v>
      </c>
      <c r="U53" s="171"/>
      <c r="V53" s="172" t="n">
        <f aca="false">IF(Employee!H$86=E$49,Employee!D$86+SUM(M53)+V43,SUM(M53)+V43)</f>
        <v>4192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4192</v>
      </c>
      <c r="AC53" s="172" t="n">
        <f aca="false">IF(T53=" ",AC43,T53+AC43)</f>
        <v>28.8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89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89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90</v>
      </c>
      <c r="G56" s="207"/>
      <c r="H56" s="242"/>
      <c r="I56" s="243"/>
      <c r="J56" s="243"/>
      <c r="K56" s="244"/>
      <c r="L56" s="244"/>
      <c r="M56" s="193" t="n">
        <f aca="false">SUM(M51:M55)</f>
        <v>6748</v>
      </c>
      <c r="N56" s="193" t="n">
        <f aca="false">SUM(N51:N55)</f>
        <v>800</v>
      </c>
      <c r="O56" s="193" t="n">
        <f aca="false">SUM(O51:O55)</f>
        <v>296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5652</v>
      </c>
      <c r="S56" s="107"/>
      <c r="T56" s="193" t="n">
        <f aca="false">SUM(T51:T55)</f>
        <v>577.2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84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85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86</v>
      </c>
      <c r="C59" s="146"/>
      <c r="D59" s="146"/>
      <c r="E59" s="147" t="n">
        <v>53</v>
      </c>
      <c r="F59" s="144"/>
      <c r="G59" s="144"/>
      <c r="H59" s="146" t="s">
        <v>85</v>
      </c>
      <c r="I59" s="146"/>
      <c r="J59" s="146"/>
      <c r="K59" s="215" t="n">
        <f aca="false">M49+1</f>
        <v>46113</v>
      </c>
      <c r="L59" s="149" t="s">
        <v>88</v>
      </c>
      <c r="M59" s="150" t="n">
        <f aca="false">K59+4</f>
        <v>46117</v>
      </c>
      <c r="N59" s="151"/>
      <c r="O59" s="198" t="s">
        <v>91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139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89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14000</v>
      </c>
      <c r="W61" s="172" t="n">
        <f aca="false">IF(Employee!H$34=E$59,Employee!D$35+SUM(N61)+W51,SUM(N61)+W51)</f>
        <v>2120</v>
      </c>
      <c r="X61" s="172" t="n">
        <f aca="false">IF(O61=" ",X51,O61+X51)</f>
        <v>800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11080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89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8800</v>
      </c>
      <c r="W62" s="172" t="n">
        <f aca="false">IF(Employee!H$60=E$59,Employee!D$61+SUM(N62)+W52,SUM(N62)+W52)</f>
        <v>1080</v>
      </c>
      <c r="X62" s="172" t="n">
        <f aca="false">IF(O62=" ",X52,O62+X52)</f>
        <v>384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7336</v>
      </c>
      <c r="AC62" s="172" t="n">
        <f aca="false">IF(T62=" ",AC52,T62+AC52)</f>
        <v>750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89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4192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4192</v>
      </c>
      <c r="AC63" s="172" t="n">
        <f aca="false">IF(T63=" ",AC53,T63+AC53)</f>
        <v>28.8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89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89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90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92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85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93</v>
      </c>
      <c r="C69" s="146"/>
      <c r="D69" s="146"/>
      <c r="E69" s="147" t="n">
        <v>12</v>
      </c>
      <c r="F69" s="144"/>
      <c r="G69" s="144"/>
      <c r="H69" s="146" t="s">
        <v>85</v>
      </c>
      <c r="I69" s="146"/>
      <c r="J69" s="146"/>
      <c r="K69" s="215" t="n">
        <f aca="false">Admin!B331</f>
        <v>46447</v>
      </c>
      <c r="L69" s="149" t="s">
        <v>88</v>
      </c>
      <c r="M69" s="150" t="n">
        <f aca="false">Admin!B361</f>
        <v>46477</v>
      </c>
      <c r="N69" s="151"/>
      <c r="O69" s="198" t="s">
        <v>105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89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28000</v>
      </c>
      <c r="W71" s="172" t="n">
        <f aca="false">IF(Employee!H$35=E$69,Employee!D$35+SUM(N71)+Feb!W51,SUM(N71)+Feb!W51)</f>
        <v>4240</v>
      </c>
      <c r="X71" s="172" t="n">
        <f aca="false">IF(O71=" ",Feb!X51,O71+Feb!X51)</f>
        <v>1600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22160</v>
      </c>
      <c r="AC71" s="172" t="n">
        <f aca="false">IF(T71=" ",Feb!AC51,T71+Feb!AC51)</f>
        <v>3060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89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17600</v>
      </c>
      <c r="W72" s="172" t="n">
        <f aca="false">IF(Employee!H$61=E$69,Employee!D$61+SUM(N72)+Feb!W52,SUM(N72)+Feb!W52)</f>
        <v>2160</v>
      </c>
      <c r="X72" s="172" t="n">
        <f aca="false">IF(O72=" ",Feb!X52,O72+Feb!X52)</f>
        <v>768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14672</v>
      </c>
      <c r="AC72" s="172" t="n">
        <f aca="false">IF(T72=" ",Feb!AC52,T72+Feb!AC52)</f>
        <v>1500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89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8384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8384</v>
      </c>
      <c r="AC73" s="172" t="n">
        <f aca="false">IF(T73=" ",Feb!AC53,T73+Feb!AC53)</f>
        <v>57.6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89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89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90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102</v>
      </c>
      <c r="G79" s="219"/>
      <c r="H79" s="219"/>
      <c r="M79" s="220" t="s">
        <v>103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104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140</v>
      </c>
      <c r="C3" s="271"/>
      <c r="D3" s="271"/>
      <c r="E3" s="271"/>
      <c r="F3" s="272" t="s">
        <v>141</v>
      </c>
      <c r="G3" s="273" t="s">
        <v>142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143</v>
      </c>
      <c r="C4" s="271"/>
      <c r="D4" s="271"/>
      <c r="E4" s="271"/>
      <c r="F4" s="272" t="n">
        <v>1</v>
      </c>
      <c r="G4" s="273" t="s">
        <v>144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#VALUE!</v>
      </c>
      <c r="C7" s="282"/>
      <c r="D7" s="282"/>
      <c r="E7" s="282"/>
      <c r="F7" s="282"/>
      <c r="G7" s="283" t="e">
        <f aca="false">IF(G14=" "," ",Employee!$D$15)</f>
        <v>#VALUE!</v>
      </c>
      <c r="H7" s="283"/>
      <c r="I7" s="284" t="e">
        <f aca="false">IF(G14=" "," ",Employee!$D$16)</f>
        <v>#VALUE!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#VALUE!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#VALUE!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#VALUE!</v>
      </c>
      <c r="C9" s="288"/>
      <c r="D9" s="288"/>
      <c r="E9" s="294" t="e">
        <f aca="false">IF(M14=" "," ",Employee!$D$9)</f>
        <v>#VALUE!</v>
      </c>
      <c r="F9" s="271"/>
      <c r="G9" s="295"/>
      <c r="H9" s="296" t="s">
        <v>145</v>
      </c>
      <c r="I9" s="297" t="e">
        <f aca="true">INDIRECT($H$3&amp;"!M"&amp;$H$4+1)</f>
        <v>#REF!</v>
      </c>
      <c r="J9" s="298" t="s">
        <v>58</v>
      </c>
      <c r="K9" s="298"/>
      <c r="L9" s="296" t="s">
        <v>146</v>
      </c>
      <c r="M9" s="292" t="e">
        <f aca="false">IF(M8=" "," ",Employee!$M$15)</f>
        <v>#VALUE!</v>
      </c>
      <c r="N9" s="293"/>
    </row>
    <row r="10" customFormat="false" ht="21" hidden="false" customHeight="true" outlineLevel="0" collapsed="false">
      <c r="A10" s="287"/>
      <c r="B10" s="296" t="s">
        <v>147</v>
      </c>
      <c r="C10" s="299" t="str">
        <f aca="false">Employee!$D$29</f>
        <v>EMP001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#VALUE!</v>
      </c>
      <c r="K10" s="304"/>
      <c r="L10" s="296" t="s">
        <v>148</v>
      </c>
      <c r="M10" s="292" t="e">
        <f aca="true">IF(M8=" "," ",INDIRECT($H$3&amp;"!C"&amp;$H$4+2+C10))</f>
        <v>#VALUE!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149</v>
      </c>
      <c r="C12" s="306"/>
      <c r="D12" s="306"/>
      <c r="E12" s="306"/>
      <c r="F12" s="306"/>
      <c r="G12" s="307" t="s">
        <v>150</v>
      </c>
      <c r="H12" s="308" t="s">
        <v>151</v>
      </c>
      <c r="I12" s="308"/>
      <c r="J12" s="308"/>
      <c r="K12" s="308"/>
      <c r="L12" s="308"/>
      <c r="M12" s="309" t="s">
        <v>152</v>
      </c>
      <c r="N12" s="293"/>
    </row>
    <row r="13" s="313" customFormat="true" ht="21" hidden="false" customHeight="true" outlineLevel="0" collapsed="false">
      <c r="A13" s="287"/>
      <c r="B13" s="310" t="s">
        <v>153</v>
      </c>
      <c r="C13" s="310" t="s">
        <v>154</v>
      </c>
      <c r="D13" s="310" t="s">
        <v>155</v>
      </c>
      <c r="E13" s="310" t="s">
        <v>156</v>
      </c>
      <c r="F13" s="311" t="s">
        <v>157</v>
      </c>
      <c r="G13" s="307"/>
      <c r="H13" s="312" t="s">
        <v>158</v>
      </c>
      <c r="I13" s="310" t="s">
        <v>159</v>
      </c>
      <c r="J13" s="310" t="s">
        <v>160</v>
      </c>
      <c r="K13" s="310"/>
      <c r="L13" s="311" t="s">
        <v>71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#VALUE!</v>
      </c>
      <c r="C14" s="315" t="e">
        <f aca="true">IF(M8=" "," ",INDIRECT($H$3&amp;"!I"&amp;$H$4+2+C10))</f>
        <v>#VALUE!</v>
      </c>
      <c r="D14" s="315" t="e">
        <f aca="true">IF(M8=" "," ",INDIRECT($H$3&amp;"!J"&amp;$H$4+2+C10))</f>
        <v>#VALUE!</v>
      </c>
      <c r="E14" s="315" t="e">
        <f aca="true">IF(M8=" "," ",INDIRECT($H$3&amp;"!K"&amp;$H$4+2+C10))</f>
        <v>#VALUE!</v>
      </c>
      <c r="F14" s="316" t="e">
        <f aca="true">IF(M8=" "," ",INDIRECT($H$3&amp;"!L"&amp;$H$4+2+C10))</f>
        <v>#VALUE!</v>
      </c>
      <c r="G14" s="317" t="e">
        <f aca="true">IF(M8=" "," ",INDIRECT($H$3&amp;"!M"&amp;$H$4+2+C10))</f>
        <v>#VALUE!</v>
      </c>
      <c r="H14" s="318" t="e">
        <f aca="true">IF(M8=" "," ",INDIRECT($H$3&amp;"!N"&amp;$H$4+2+C10))</f>
        <v>#VALUE!</v>
      </c>
      <c r="I14" s="315" t="e">
        <f aca="true">IF(M8=" "," ",INDIRECT($H$3&amp;"!O"&amp;$H$4+2+C10))</f>
        <v>#VALUE!</v>
      </c>
      <c r="J14" s="315" t="e">
        <f aca="true">IF(M8=" "," ",INDIRECT($H$3&amp;"!P"&amp;$H$4+2+C10))</f>
        <v>#VALUE!</v>
      </c>
      <c r="K14" s="315"/>
      <c r="L14" s="316" t="e">
        <f aca="true">IF(M8=" "," ",INDIRECT($H$3&amp;"!Q"&amp;$H$4+2+C10))</f>
        <v>#VALUE!</v>
      </c>
      <c r="M14" s="319" t="e">
        <f aca="true">IF(M8=" "," ",INDIRECT($H$3&amp;"!R"&amp;$H$4+2+C10))</f>
        <v>#VALUE!</v>
      </c>
      <c r="N14" s="320"/>
    </row>
    <row r="15" s="324" customFormat="true" ht="21" hidden="false" customHeight="true" outlineLevel="0" collapsed="false">
      <c r="A15" s="287"/>
      <c r="B15" s="322" t="s">
        <v>161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162</v>
      </c>
      <c r="F16" s="326"/>
      <c r="G16" s="315" t="e">
        <f aca="true">IF(M8=" "," ",INDIRECT($H$3&amp;"!V"&amp;$H$4+2+C10))</f>
        <v>#VALUE!</v>
      </c>
      <c r="H16" s="315" t="e">
        <f aca="true">IF(M8=" "," ",INDIRECT($H$3&amp;"!W"&amp;$H$4+2+C10))</f>
        <v>#VALUE!</v>
      </c>
      <c r="I16" s="315" t="e">
        <f aca="true">IF(M8=" "," ",INDIRECT($H$3&amp;"!X"&amp;$H$4+2+C10))</f>
        <v>#VALUE!</v>
      </c>
      <c r="J16" s="315" t="e">
        <f aca="true">IF(M8=" "," ",INDIRECT($H$3&amp;"!Y"&amp;$H$4+2+C10))</f>
        <v>#VALUE!</v>
      </c>
      <c r="K16" s="315"/>
      <c r="L16" s="315" t="e">
        <f aca="true">IF(M8=" "," ",INDIRECT($H$3&amp;"!Z"&amp;$H$4+2+C10))</f>
        <v>#VALUE!</v>
      </c>
      <c r="M16" s="315" t="e">
        <f aca="true">IF(M8=" "," ",INDIRECT($H$3&amp;"!AA"&amp;$H$4+2+C10))</f>
        <v>#VALUE!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163</v>
      </c>
      <c r="K18" s="327"/>
      <c r="L18" s="327"/>
      <c r="M18" s="328" t="e">
        <f aca="true">IF(M8=" "," ",INDIRECT($H$3&amp;"!R"&amp;$H$4))</f>
        <v>#VALUE!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#VALUE!</v>
      </c>
      <c r="C21" s="282"/>
      <c r="D21" s="282"/>
      <c r="E21" s="282"/>
      <c r="F21" s="282"/>
      <c r="G21" s="283" t="e">
        <f aca="false">IF(G28=" "," ",Employee!$D$41)</f>
        <v>#VALUE!</v>
      </c>
      <c r="H21" s="283"/>
      <c r="I21" s="284" t="e">
        <f aca="false">IF(G28=" "," ",Employee!$D$42)</f>
        <v>#VALUE!</v>
      </c>
      <c r="J21" s="284"/>
      <c r="K21" s="284"/>
      <c r="L21" s="285" t="s">
        <v>84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#VALUE!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#VALUE!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#VALUE!</v>
      </c>
      <c r="C23" s="288"/>
      <c r="D23" s="288"/>
      <c r="E23" s="294" t="e">
        <f aca="false">IF(M28=" "," ",Employee!$D$9)</f>
        <v>#VALUE!</v>
      </c>
      <c r="F23" s="271"/>
      <c r="G23" s="295"/>
      <c r="H23" s="296" t="s">
        <v>145</v>
      </c>
      <c r="I23" s="297" t="e">
        <f aca="false">I9</f>
        <v>#REF!</v>
      </c>
      <c r="J23" s="298" t="s">
        <v>58</v>
      </c>
      <c r="K23" s="298"/>
      <c r="L23" s="296" t="s">
        <v>146</v>
      </c>
      <c r="M23" s="292" t="e">
        <f aca="false">IF(M22=" "," ",Employee!$M$41)</f>
        <v>#VALUE!</v>
      </c>
      <c r="N23" s="293"/>
    </row>
    <row r="24" customFormat="false" ht="21" hidden="false" customHeight="true" outlineLevel="0" collapsed="false">
      <c r="A24" s="287"/>
      <c r="B24" s="296" t="s">
        <v>147</v>
      </c>
      <c r="C24" s="299" t="str">
        <f aca="false">Employee!$D$55</f>
        <v>EMP002</v>
      </c>
      <c r="D24" s="334"/>
      <c r="E24" s="335"/>
      <c r="F24" s="305"/>
      <c r="G24" s="305"/>
      <c r="H24" s="302" t="s">
        <v>164</v>
      </c>
      <c r="I24" s="303" t="e">
        <f aca="false">I10</f>
        <v>#REF!</v>
      </c>
      <c r="J24" s="304" t="e">
        <f aca="true">IF(M22=" "," ",INDIRECT($H$3&amp;"!D"&amp;$H$4+2+C24))</f>
        <v>#VALUE!</v>
      </c>
      <c r="K24" s="304"/>
      <c r="L24" s="296" t="s">
        <v>148</v>
      </c>
      <c r="M24" s="292" t="e">
        <f aca="true">IF(M22=" "," ",INDIRECT($H$3&amp;"!C"&amp;$H$4+2+C24))</f>
        <v>#VALUE!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149</v>
      </c>
      <c r="C26" s="306"/>
      <c r="D26" s="306"/>
      <c r="E26" s="306"/>
      <c r="F26" s="306"/>
      <c r="G26" s="307" t="s">
        <v>150</v>
      </c>
      <c r="H26" s="306" t="s">
        <v>151</v>
      </c>
      <c r="I26" s="306"/>
      <c r="J26" s="306"/>
      <c r="K26" s="306"/>
      <c r="L26" s="306"/>
      <c r="M26" s="336" t="s">
        <v>152</v>
      </c>
      <c r="N26" s="293"/>
    </row>
    <row r="27" s="313" customFormat="true" ht="21" hidden="false" customHeight="true" outlineLevel="0" collapsed="false">
      <c r="A27" s="287"/>
      <c r="B27" s="310" t="s">
        <v>153</v>
      </c>
      <c r="C27" s="310" t="s">
        <v>154</v>
      </c>
      <c r="D27" s="310" t="s">
        <v>155</v>
      </c>
      <c r="E27" s="310" t="s">
        <v>156</v>
      </c>
      <c r="F27" s="311" t="s">
        <v>157</v>
      </c>
      <c r="G27" s="307"/>
      <c r="H27" s="310" t="s">
        <v>158</v>
      </c>
      <c r="I27" s="310" t="s">
        <v>159</v>
      </c>
      <c r="J27" s="310" t="s">
        <v>160</v>
      </c>
      <c r="K27" s="310"/>
      <c r="L27" s="311" t="s">
        <v>71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#VALUE!</v>
      </c>
      <c r="C28" s="315" t="e">
        <f aca="true">IF(M22=" "," ",INDIRECT($H$3&amp;"!I"&amp;$H$4+2+C24))</f>
        <v>#VALUE!</v>
      </c>
      <c r="D28" s="315" t="e">
        <f aca="true">IF(M22=" "," ",INDIRECT($H$3&amp;"!J"&amp;$H$4+2+C24))</f>
        <v>#VALUE!</v>
      </c>
      <c r="E28" s="315" t="e">
        <f aca="true">IF(M22=" "," ",INDIRECT($H$3&amp;"!K"&amp;$H$4+2+C24))</f>
        <v>#VALUE!</v>
      </c>
      <c r="F28" s="316" t="e">
        <f aca="true">IF(M22=" "," ",INDIRECT($H$3&amp;"!L"&amp;$H$4+2+C24))</f>
        <v>#VALUE!</v>
      </c>
      <c r="G28" s="317" t="e">
        <f aca="true">IF(M22=" "," ",INDIRECT($H$3&amp;"!M"&amp;$H$4+2+C24))</f>
        <v>#VALUE!</v>
      </c>
      <c r="H28" s="318" t="e">
        <f aca="true">IF(M22=" "," ",INDIRECT($H$3&amp;"!N"&amp;$H$4+2+C24))</f>
        <v>#VALUE!</v>
      </c>
      <c r="I28" s="315" t="e">
        <f aca="true">IF(M22=" "," ",INDIRECT($H$3&amp;"!O"&amp;$H$4+2+C24))</f>
        <v>#VALUE!</v>
      </c>
      <c r="J28" s="315" t="e">
        <f aca="true">IF(M22=" "," ",INDIRECT($H$3&amp;"!P"&amp;$H$4+2+C24))</f>
        <v>#VALUE!</v>
      </c>
      <c r="K28" s="315"/>
      <c r="L28" s="316" t="e">
        <f aca="true">IF(M22=" "," ",INDIRECT($H$3&amp;"!Q"&amp;$H$4+2+C24))</f>
        <v>#VALUE!</v>
      </c>
      <c r="M28" s="319" t="e">
        <f aca="true">IF(M22=" "," ",INDIRECT($H$3&amp;"!R"&amp;$H$4+2+C24))</f>
        <v>#VALUE!</v>
      </c>
      <c r="N28" s="293"/>
    </row>
    <row r="29" s="324" customFormat="true" ht="21" hidden="false" customHeight="true" outlineLevel="0" collapsed="false">
      <c r="A29" s="287"/>
      <c r="B29" s="322" t="s">
        <v>161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162</v>
      </c>
      <c r="F30" s="326"/>
      <c r="G30" s="315" t="e">
        <f aca="true">IF(M22=" "," ",INDIRECT($H$3&amp;"!V"&amp;$H$4+2+C24))</f>
        <v>#VALUE!</v>
      </c>
      <c r="H30" s="315" t="e">
        <f aca="true">IF(M22=" "," ",INDIRECT($H$3&amp;"!W"&amp;$H$4+2+C24))</f>
        <v>#VALUE!</v>
      </c>
      <c r="I30" s="315" t="e">
        <f aca="true">IF(M22=" "," ",INDIRECT($H$3&amp;"!X"&amp;$H$4+2+C24))</f>
        <v>#VALUE!</v>
      </c>
      <c r="J30" s="315" t="e">
        <f aca="true">IF(M22=" "," ",INDIRECT($H$3&amp;"!Y"&amp;$H$4+2+C24))</f>
        <v>#VALUE!</v>
      </c>
      <c r="K30" s="315"/>
      <c r="L30" s="315" t="e">
        <f aca="true">IF(M22=" "," ",INDIRECT($H$3&amp;"!Z"&amp;$H$4+2+C24))</f>
        <v>#VALUE!</v>
      </c>
      <c r="M30" s="315" t="e">
        <f aca="true">IF(M22=" "," ",INDIRECT($H$3&amp;"!AA"&amp;$H$4+2+C24))</f>
        <v>#VALUE!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163</v>
      </c>
      <c r="K32" s="327"/>
      <c r="L32" s="327"/>
      <c r="M32" s="328" t="e">
        <f aca="false">M18</f>
        <v>#VALUE!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#VALUE!</v>
      </c>
      <c r="C36" s="282"/>
      <c r="D36" s="282"/>
      <c r="E36" s="282"/>
      <c r="F36" s="282"/>
      <c r="G36" s="283" t="e">
        <f aca="false">IF(G43=" "," ",Employee!$D$67)</f>
        <v>#VALUE!</v>
      </c>
      <c r="H36" s="283"/>
      <c r="I36" s="284" t="e">
        <f aca="false">IF(G43=" "," ",Employee!$D$68)</f>
        <v>#VALUE!</v>
      </c>
      <c r="J36" s="284"/>
      <c r="K36" s="284"/>
      <c r="L36" s="285" t="s">
        <v>84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#VALUE!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#VALUE!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#VALUE!</v>
      </c>
      <c r="C38" s="288"/>
      <c r="D38" s="288"/>
      <c r="E38" s="294" t="e">
        <f aca="false">IF(M43=" "," ",Employee!$D$9)</f>
        <v>#VALUE!</v>
      </c>
      <c r="F38" s="271"/>
      <c r="G38" s="295"/>
      <c r="H38" s="296" t="s">
        <v>145</v>
      </c>
      <c r="I38" s="297" t="e">
        <f aca="false">I23</f>
        <v>#REF!</v>
      </c>
      <c r="J38" s="298" t="s">
        <v>58</v>
      </c>
      <c r="K38" s="298"/>
      <c r="L38" s="296" t="s">
        <v>146</v>
      </c>
      <c r="M38" s="292" t="e">
        <f aca="false">IF(M37=" "," ",Employee!$M$67)</f>
        <v>#VALUE!</v>
      </c>
      <c r="N38" s="293"/>
    </row>
    <row r="39" customFormat="false" ht="21" hidden="false" customHeight="true" outlineLevel="0" collapsed="false">
      <c r="A39" s="287"/>
      <c r="B39" s="296" t="s">
        <v>147</v>
      </c>
      <c r="C39" s="299" t="str">
        <f aca="false">Employee!$D$81</f>
        <v>EMP003</v>
      </c>
      <c r="D39" s="334"/>
      <c r="E39" s="335"/>
      <c r="F39" s="305"/>
      <c r="G39" s="305"/>
      <c r="H39" s="302" t="s">
        <v>164</v>
      </c>
      <c r="I39" s="303" t="e">
        <f aca="false">I24</f>
        <v>#REF!</v>
      </c>
      <c r="J39" s="304" t="e">
        <f aca="true">IF(M37=" "," ",INDIRECT($H$3&amp;"!D"&amp;$H$4+2+C39))</f>
        <v>#VALUE!</v>
      </c>
      <c r="K39" s="304"/>
      <c r="L39" s="296" t="s">
        <v>148</v>
      </c>
      <c r="M39" s="292" t="e">
        <f aca="true">IF(M37=" "," ",INDIRECT($H$3&amp;"!C"&amp;$H$4+2+C39))</f>
        <v>#VALUE!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149</v>
      </c>
      <c r="C41" s="306"/>
      <c r="D41" s="306"/>
      <c r="E41" s="306"/>
      <c r="F41" s="306"/>
      <c r="G41" s="307" t="s">
        <v>150</v>
      </c>
      <c r="H41" s="306" t="s">
        <v>151</v>
      </c>
      <c r="I41" s="306"/>
      <c r="J41" s="306"/>
      <c r="K41" s="306"/>
      <c r="L41" s="306"/>
      <c r="M41" s="336" t="s">
        <v>152</v>
      </c>
      <c r="N41" s="293"/>
    </row>
    <row r="42" s="313" customFormat="true" ht="21" hidden="false" customHeight="true" outlineLevel="0" collapsed="false">
      <c r="A42" s="287"/>
      <c r="B42" s="310" t="s">
        <v>153</v>
      </c>
      <c r="C42" s="310" t="s">
        <v>154</v>
      </c>
      <c r="D42" s="310" t="s">
        <v>155</v>
      </c>
      <c r="E42" s="310" t="s">
        <v>156</v>
      </c>
      <c r="F42" s="311" t="s">
        <v>157</v>
      </c>
      <c r="G42" s="307"/>
      <c r="H42" s="310" t="s">
        <v>158</v>
      </c>
      <c r="I42" s="310" t="s">
        <v>159</v>
      </c>
      <c r="J42" s="310" t="s">
        <v>160</v>
      </c>
      <c r="K42" s="310"/>
      <c r="L42" s="311" t="s">
        <v>71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#VALUE!</v>
      </c>
      <c r="C43" s="315" t="e">
        <f aca="true">IF(M37=" "," ",INDIRECT($H$3&amp;"!I"&amp;$H$4+2+C39))</f>
        <v>#VALUE!</v>
      </c>
      <c r="D43" s="315" t="e">
        <f aca="true">IF(M37=" "," ",INDIRECT($H$3&amp;"!J"&amp;$H$4+2+C39))</f>
        <v>#VALUE!</v>
      </c>
      <c r="E43" s="315" t="e">
        <f aca="true">IF(M37=" "," ",INDIRECT($H$3&amp;"!K"&amp;$H$4+2+C39))</f>
        <v>#VALUE!</v>
      </c>
      <c r="F43" s="316" t="e">
        <f aca="true">IF(M37=" "," ",INDIRECT($H$3&amp;"!L"&amp;$H$4+2+C39))</f>
        <v>#VALUE!</v>
      </c>
      <c r="G43" s="317" t="e">
        <f aca="true">IF(M37=" "," ",INDIRECT($H$3&amp;"!M"&amp;$H$4+2+C39))</f>
        <v>#VALUE!</v>
      </c>
      <c r="H43" s="318" t="e">
        <f aca="true">IF(M37=" "," ",INDIRECT($H$3&amp;"!N"&amp;$H$4+2+C39))</f>
        <v>#VALUE!</v>
      </c>
      <c r="I43" s="315" t="e">
        <f aca="true">IF(M37=" "," ",INDIRECT($H$3&amp;"!O"&amp;$H$4+2+C39))</f>
        <v>#VALUE!</v>
      </c>
      <c r="J43" s="315" t="e">
        <f aca="true">IF(M37=" "," ",INDIRECT($H$3&amp;"!P"&amp;$H$4+2+C39))</f>
        <v>#VALUE!</v>
      </c>
      <c r="K43" s="315"/>
      <c r="L43" s="316" t="e">
        <f aca="true">IF(M37=" "," ",INDIRECT($H$3&amp;"!Q"&amp;$H$4+2+C39))</f>
        <v>#VALUE!</v>
      </c>
      <c r="M43" s="319" t="e">
        <f aca="true">IF(M37=" "," ",INDIRECT($H$3&amp;"!R"&amp;$H$4+2+C39))</f>
        <v>#VALUE!</v>
      </c>
      <c r="N43" s="293"/>
    </row>
    <row r="44" s="324" customFormat="true" ht="21" hidden="false" customHeight="true" outlineLevel="0" collapsed="false">
      <c r="A44" s="287"/>
      <c r="B44" s="322" t="s">
        <v>161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162</v>
      </c>
      <c r="F45" s="326"/>
      <c r="G45" s="315" t="e">
        <f aca="true">IF(M37=" "," ",INDIRECT($H$3&amp;"!V"&amp;$H$4+2+C39))</f>
        <v>#VALUE!</v>
      </c>
      <c r="H45" s="315" t="e">
        <f aca="true">IF(M37=" "," ",INDIRECT($H$3&amp;"!W"&amp;$H$4+2+C39))</f>
        <v>#VALUE!</v>
      </c>
      <c r="I45" s="315" t="e">
        <f aca="true">IF(M37=" "," ",INDIRECT($H$3&amp;"!X"&amp;$H$4+2+C39))</f>
        <v>#VALUE!</v>
      </c>
      <c r="J45" s="315" t="e">
        <f aca="true">IF(M37=" "," ",INDIRECT($H$3&amp;"!Y"&amp;$H$4+2+C39))</f>
        <v>#VALUE!</v>
      </c>
      <c r="K45" s="315"/>
      <c r="L45" s="315" t="e">
        <f aca="true">IF(M37=" "," ",INDIRECT($H$3&amp;"!Z"&amp;$H$4+2+C39))</f>
        <v>#VALUE!</v>
      </c>
      <c r="M45" s="315" t="e">
        <f aca="true">IF(M37=" "," ",INDIRECT($H$3&amp;"!AA"&amp;$H$4+2+C39))</f>
        <v>#VALUE!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163</v>
      </c>
      <c r="K47" s="327"/>
      <c r="L47" s="327"/>
      <c r="M47" s="328" t="e">
        <f aca="false">M32</f>
        <v>#VALUE!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84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145</v>
      </c>
      <c r="I52" s="297" t="e">
        <f aca="false">I38</f>
        <v>#REF!</v>
      </c>
      <c r="J52" s="298" t="s">
        <v>58</v>
      </c>
      <c r="K52" s="298"/>
      <c r="L52" s="296" t="s">
        <v>146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147</v>
      </c>
      <c r="C53" s="299" t="n">
        <f aca="false">Employee!$D$107</f>
        <v>4</v>
      </c>
      <c r="D53" s="334"/>
      <c r="E53" s="335"/>
      <c r="F53" s="305"/>
      <c r="G53" s="305"/>
      <c r="H53" s="302" t="s">
        <v>164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148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149</v>
      </c>
      <c r="C55" s="306"/>
      <c r="D55" s="306"/>
      <c r="E55" s="306"/>
      <c r="F55" s="306"/>
      <c r="G55" s="307" t="s">
        <v>150</v>
      </c>
      <c r="H55" s="306" t="s">
        <v>151</v>
      </c>
      <c r="I55" s="306"/>
      <c r="J55" s="306"/>
      <c r="K55" s="306"/>
      <c r="L55" s="306"/>
      <c r="M55" s="336" t="s">
        <v>152</v>
      </c>
      <c r="N55" s="293"/>
    </row>
    <row r="56" s="313" customFormat="true" ht="21" hidden="false" customHeight="true" outlineLevel="0" collapsed="false">
      <c r="A56" s="287"/>
      <c r="B56" s="310" t="s">
        <v>153</v>
      </c>
      <c r="C56" s="310" t="s">
        <v>154</v>
      </c>
      <c r="D56" s="310" t="s">
        <v>155</v>
      </c>
      <c r="E56" s="310" t="s">
        <v>156</v>
      </c>
      <c r="F56" s="311" t="s">
        <v>157</v>
      </c>
      <c r="G56" s="307"/>
      <c r="H56" s="310" t="s">
        <v>158</v>
      </c>
      <c r="I56" s="310" t="s">
        <v>159</v>
      </c>
      <c r="J56" s="310" t="s">
        <v>160</v>
      </c>
      <c r="K56" s="310"/>
      <c r="L56" s="311" t="s">
        <v>71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161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162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163</v>
      </c>
      <c r="K61" s="327"/>
      <c r="L61" s="327"/>
      <c r="M61" s="328" t="e">
        <f aca="false">M47</f>
        <v>#VALUE!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84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145</v>
      </c>
      <c r="I67" s="297" t="e">
        <f aca="false">I52</f>
        <v>#REF!</v>
      </c>
      <c r="J67" s="298" t="s">
        <v>58</v>
      </c>
      <c r="K67" s="298"/>
      <c r="L67" s="296" t="s">
        <v>146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147</v>
      </c>
      <c r="C68" s="299" t="n">
        <f aca="false">Employee!$D$133</f>
        <v>5</v>
      </c>
      <c r="D68" s="334"/>
      <c r="E68" s="335"/>
      <c r="F68" s="305"/>
      <c r="G68" s="305"/>
      <c r="H68" s="302" t="s">
        <v>164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148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149</v>
      </c>
      <c r="C70" s="306"/>
      <c r="D70" s="306"/>
      <c r="E70" s="306"/>
      <c r="F70" s="306"/>
      <c r="G70" s="307" t="s">
        <v>150</v>
      </c>
      <c r="H70" s="306" t="s">
        <v>151</v>
      </c>
      <c r="I70" s="306"/>
      <c r="J70" s="306"/>
      <c r="K70" s="306"/>
      <c r="L70" s="306"/>
      <c r="M70" s="336" t="s">
        <v>152</v>
      </c>
      <c r="N70" s="293"/>
    </row>
    <row r="71" s="313" customFormat="true" ht="21" hidden="false" customHeight="true" outlineLevel="0" collapsed="false">
      <c r="A71" s="287"/>
      <c r="B71" s="310" t="s">
        <v>153</v>
      </c>
      <c r="C71" s="310" t="s">
        <v>154</v>
      </c>
      <c r="D71" s="310" t="s">
        <v>155</v>
      </c>
      <c r="E71" s="310" t="s">
        <v>156</v>
      </c>
      <c r="F71" s="311" t="s">
        <v>157</v>
      </c>
      <c r="G71" s="307"/>
      <c r="H71" s="310" t="s">
        <v>165</v>
      </c>
      <c r="I71" s="310" t="s">
        <v>159</v>
      </c>
      <c r="J71" s="310" t="s">
        <v>160</v>
      </c>
      <c r="K71" s="310"/>
      <c r="L71" s="311" t="s">
        <v>71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161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162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163</v>
      </c>
      <c r="K76" s="327"/>
      <c r="L76" s="327"/>
      <c r="M76" s="328" t="e">
        <f aca="false">M61</f>
        <v>#VALUE!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166</v>
      </c>
      <c r="C2" s="346" t="s">
        <v>167</v>
      </c>
      <c r="D2" s="345" t="s">
        <v>168</v>
      </c>
      <c r="E2" s="345" t="s">
        <v>169</v>
      </c>
      <c r="F2" s="345" t="s">
        <v>170</v>
      </c>
      <c r="G2" s="345" t="s">
        <v>171</v>
      </c>
      <c r="H2" s="345" t="s">
        <v>172</v>
      </c>
      <c r="I2" s="345" t="s">
        <v>173</v>
      </c>
      <c r="J2" s="345" t="s">
        <v>174</v>
      </c>
      <c r="K2" s="345" t="s">
        <v>175</v>
      </c>
      <c r="L2" s="346" t="s">
        <v>176</v>
      </c>
      <c r="M2" s="346" t="s">
        <v>177</v>
      </c>
      <c r="N2" s="345" t="s">
        <v>178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46142</v>
      </c>
      <c r="C4" s="355" t="n">
        <f aca="false">Admin!$B$45</f>
        <v>46161</v>
      </c>
      <c r="D4" s="356" t="n">
        <f aca="false">Apr!T1+Apr!O1</f>
        <v>873.2</v>
      </c>
      <c r="E4" s="357" t="n">
        <f aca="false">Apr!N1</f>
        <v>800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1673.2</v>
      </c>
      <c r="M4" s="338" t="n">
        <f aca="false">(YEAR(Admin!B2)-1999)*100+1</f>
        <v>2701</v>
      </c>
      <c r="N4" s="358" t="n">
        <f aca="false">N3+I4-L4</f>
        <v>1673.2</v>
      </c>
      <c r="O4" s="353"/>
    </row>
    <row r="5" customFormat="false" ht="15" hidden="false" customHeight="true" outlineLevel="0" collapsed="false">
      <c r="A5" s="349"/>
      <c r="B5" s="354" t="n">
        <f aca="false">Admin!$B$57</f>
        <v>46173</v>
      </c>
      <c r="C5" s="355" t="n">
        <f aca="false">Admin!$B$76</f>
        <v>46192</v>
      </c>
      <c r="D5" s="356" t="n">
        <f aca="false">May!T1+May!O1</f>
        <v>873.2</v>
      </c>
      <c r="E5" s="357" t="n">
        <f aca="false">May!N1</f>
        <v>800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1673.2</v>
      </c>
      <c r="M5" s="338" t="n">
        <f aca="false">M4+1</f>
        <v>2702</v>
      </c>
      <c r="N5" s="358" t="n">
        <f aca="false">N4+I5-L5</f>
        <v>3346.4</v>
      </c>
      <c r="O5" s="353"/>
    </row>
    <row r="6" customFormat="false" ht="15" hidden="false" customHeight="true" outlineLevel="0" collapsed="false">
      <c r="A6" s="349"/>
      <c r="B6" s="354" t="n">
        <f aca="false">Admin!$B$87</f>
        <v>46203</v>
      </c>
      <c r="C6" s="355" t="n">
        <f aca="false">Admin!$B$106</f>
        <v>46222</v>
      </c>
      <c r="D6" s="356" t="n">
        <f aca="false">Jun!T1+Jun!O1</f>
        <v>873.2</v>
      </c>
      <c r="E6" s="357" t="n">
        <f aca="false">Jun!N1</f>
        <v>800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1673.2</v>
      </c>
      <c r="M6" s="338" t="n">
        <f aca="false">M5+1</f>
        <v>2703</v>
      </c>
      <c r="N6" s="358" t="n">
        <f aca="false">N5+I6-L6</f>
        <v>5019.6</v>
      </c>
      <c r="O6" s="353"/>
    </row>
    <row r="7" customFormat="false" ht="15" hidden="false" customHeight="true" outlineLevel="0" collapsed="false">
      <c r="A7" s="349"/>
      <c r="B7" s="354" t="n">
        <f aca="false">Admin!$B$118</f>
        <v>46234</v>
      </c>
      <c r="C7" s="355" t="n">
        <f aca="false">Admin!$B$137</f>
        <v>46253</v>
      </c>
      <c r="D7" s="356" t="n">
        <f aca="false">Jul!T1+Jul!O1</f>
        <v>873.2</v>
      </c>
      <c r="E7" s="357" t="n">
        <f aca="false">Jul!N1</f>
        <v>800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1673.2</v>
      </c>
      <c r="M7" s="338" t="n">
        <f aca="false">M6+1</f>
        <v>2704</v>
      </c>
      <c r="N7" s="358" t="n">
        <f aca="false">N6+I7-L7</f>
        <v>6692.8</v>
      </c>
      <c r="O7" s="353"/>
    </row>
    <row r="8" customFormat="false" ht="15" hidden="false" customHeight="true" outlineLevel="0" collapsed="false">
      <c r="A8" s="349"/>
      <c r="B8" s="354" t="n">
        <f aca="false">Admin!$B$149</f>
        <v>46265</v>
      </c>
      <c r="C8" s="355" t="n">
        <f aca="false">Admin!$B$168</f>
        <v>46284</v>
      </c>
      <c r="D8" s="356" t="n">
        <f aca="false">Aug!T1+Aug!O1</f>
        <v>873.2</v>
      </c>
      <c r="E8" s="357" t="n">
        <f aca="false">Aug!N1</f>
        <v>800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1673.2</v>
      </c>
      <c r="M8" s="338" t="n">
        <f aca="false">M7+1</f>
        <v>2705</v>
      </c>
      <c r="N8" s="358" t="n">
        <f aca="false">N7+I8-L8</f>
        <v>8366</v>
      </c>
      <c r="O8" s="353"/>
    </row>
    <row r="9" customFormat="false" ht="15" hidden="false" customHeight="true" outlineLevel="0" collapsed="false">
      <c r="A9" s="349"/>
      <c r="B9" s="354" t="n">
        <f aca="false">Admin!$B$179</f>
        <v>46295</v>
      </c>
      <c r="C9" s="355" t="n">
        <f aca="false">Admin!$B$198</f>
        <v>46314</v>
      </c>
      <c r="D9" s="356" t="n">
        <f aca="false">Sep!T1+Sep!O1</f>
        <v>873.2</v>
      </c>
      <c r="E9" s="357" t="n">
        <f aca="false">Sep!N1</f>
        <v>800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1673.2</v>
      </c>
      <c r="M9" s="338" t="n">
        <f aca="false">M8+1</f>
        <v>2706</v>
      </c>
      <c r="N9" s="358" t="n">
        <f aca="false">N8+I9-L9</f>
        <v>10039.2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46326</v>
      </c>
      <c r="C10" s="355" t="n">
        <f aca="false">Admin!$B$229</f>
        <v>46345</v>
      </c>
      <c r="D10" s="356" t="n">
        <f aca="false">Oct!T1+Oct!O1</f>
        <v>873.2</v>
      </c>
      <c r="E10" s="357" t="n">
        <f aca="false">Oct!N1</f>
        <v>800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1673.2</v>
      </c>
      <c r="M10" s="338" t="n">
        <f aca="false">M9+1</f>
        <v>2707</v>
      </c>
      <c r="N10" s="358" t="n">
        <f aca="false">N9+I10-L10</f>
        <v>11712.4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46356</v>
      </c>
      <c r="C11" s="355" t="n">
        <f aca="false">Admin!$B$259</f>
        <v>46375</v>
      </c>
      <c r="D11" s="356" t="n">
        <f aca="false">Nov!T1+Nov!O1</f>
        <v>873.2</v>
      </c>
      <c r="E11" s="357" t="n">
        <f aca="false">Nov!N1</f>
        <v>800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1673.2</v>
      </c>
      <c r="M11" s="338" t="n">
        <f aca="false">M10+1</f>
        <v>2708</v>
      </c>
      <c r="N11" s="358" t="n">
        <f aca="false">N10+I11-L11</f>
        <v>13385.6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46387</v>
      </c>
      <c r="C12" s="355" t="n">
        <f aca="false">Admin!$B$290</f>
        <v>46406</v>
      </c>
      <c r="D12" s="356" t="n">
        <f aca="false">Dec!T1+Dec!O1</f>
        <v>873.2</v>
      </c>
      <c r="E12" s="357" t="n">
        <f aca="false">Dec!N1</f>
        <v>800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1673.2</v>
      </c>
      <c r="M12" s="338" t="n">
        <f aca="false">M11+1</f>
        <v>2709</v>
      </c>
      <c r="N12" s="358" t="n">
        <f aca="false">N11+I12-L12</f>
        <v>15058.8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46418</v>
      </c>
      <c r="C13" s="355" t="n">
        <f aca="false">Admin!$B$321</f>
        <v>46437</v>
      </c>
      <c r="D13" s="356" t="n">
        <f aca="false">Jan!T1+Jan!O1</f>
        <v>873.2</v>
      </c>
      <c r="E13" s="357" t="n">
        <f aca="false">Jan!N1</f>
        <v>800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1673.2</v>
      </c>
      <c r="M13" s="338" t="n">
        <f aca="false">M12+1</f>
        <v>2710</v>
      </c>
      <c r="N13" s="358" t="n">
        <f aca="false">N12+I13-L13</f>
        <v>16732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46446</v>
      </c>
      <c r="C14" s="355" t="n">
        <f aca="false">Admin!$B$350</f>
        <v>46466</v>
      </c>
      <c r="D14" s="356" t="n">
        <f aca="false">Feb!T1+Feb!O1</f>
        <v>873.2</v>
      </c>
      <c r="E14" s="357" t="n">
        <f aca="false">Feb!N1</f>
        <v>800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1673.2</v>
      </c>
      <c r="M14" s="338" t="n">
        <f aca="false">M13+1</f>
        <v>2711</v>
      </c>
      <c r="N14" s="358" t="n">
        <f aca="false">N13+I14-L14</f>
        <v>18405.2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46477</v>
      </c>
      <c r="C15" s="355" t="n">
        <f aca="false">Admin!$B$381</f>
        <v>46497</v>
      </c>
      <c r="D15" s="356" t="n">
        <f aca="false">Mar!T1+Mar!O1</f>
        <v>873.2</v>
      </c>
      <c r="E15" s="357" t="n">
        <f aca="false">Mar!N1</f>
        <v>800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1673.2</v>
      </c>
      <c r="M15" s="338" t="n">
        <f aca="false">M14+1</f>
        <v>2712</v>
      </c>
      <c r="N15" s="358" t="n">
        <f aca="false">N14+I15-L15</f>
        <v>20078.4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10478.4</v>
      </c>
      <c r="E16" s="362" t="n">
        <f aca="false">SUM(E4:E15)</f>
        <v>9600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20078.4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179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180</v>
      </c>
      <c r="B1" s="376" t="s">
        <v>181</v>
      </c>
      <c r="C1" s="375" t="s">
        <v>86</v>
      </c>
      <c r="D1" s="375" t="s">
        <v>93</v>
      </c>
      <c r="E1" s="377" t="s">
        <v>182</v>
      </c>
      <c r="F1" s="377" t="s">
        <v>183</v>
      </c>
      <c r="G1" s="378" t="s">
        <v>184</v>
      </c>
      <c r="H1" s="378"/>
      <c r="I1" s="379" t="n">
        <f aca="false">DATE(YEAR(B2)+1,MONTH(B2),DAY(B2))-1</f>
        <v>46482</v>
      </c>
      <c r="J1" s="379"/>
      <c r="K1" s="380"/>
      <c r="L1" s="380"/>
      <c r="M1" s="381"/>
      <c r="N1" s="382" t="str">
        <f aca="false">TEXT(YEAR(I1)-1,"0")&amp;"-"&amp;TEXT(YEAR(I1)-2000,"0")</f>
        <v>2026-27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46118</v>
      </c>
      <c r="C2" s="385" t="n">
        <v>1</v>
      </c>
      <c r="D2" s="385" t="n">
        <v>1</v>
      </c>
      <c r="E2" s="386" t="n">
        <f aca="false">B2</f>
        <v>46118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46119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185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46120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46121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46122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186</v>
      </c>
      <c r="I6" s="390" t="s">
        <v>187</v>
      </c>
      <c r="J6" s="390"/>
      <c r="K6" s="390" t="s">
        <v>188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46123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46124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46125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46126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46127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189</v>
      </c>
      <c r="L11" s="385" t="s">
        <v>12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46128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190</v>
      </c>
      <c r="L12" s="385" t="s">
        <v>6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46129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46130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46131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46132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46133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46134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46135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46136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46137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46138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46139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46140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46141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46142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46143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46144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46145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46146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46147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46148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46149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46150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46151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46152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46153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46154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46155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46156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46157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46158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46159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46160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46161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46162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46163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46164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46165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46166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46167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46168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46169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46170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46171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46172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46173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46174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46175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46176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46177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46178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46179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46180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46181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46182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46183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46184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46185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46186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46187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46188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46189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46190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46191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46192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46193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46194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46195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46196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46197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46198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46199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46200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46201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46202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46203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46204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46205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46206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46207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46208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46209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46210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46211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46212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46213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46214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46215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46216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46217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46218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46219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46220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46221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46222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46223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46224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46225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46226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46227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46228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46229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46230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46231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46232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46233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46234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46235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46236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46237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46238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46239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46240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46241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46242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46243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46244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46245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46246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46247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46248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46249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46250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46251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46252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46253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46254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46255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46256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46257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46258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46259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46260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46261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46262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46263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46264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46265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46266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46267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46268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46269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46270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46271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46272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46273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46274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46275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46276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46277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46278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46279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46280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46281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46282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46283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46284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46285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46286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46287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46288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46289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46290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46291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46292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46293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46294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46295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46296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46297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46298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46299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46300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46301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46302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46303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46304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46305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46306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46307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46308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46309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46310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46311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46312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46313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46314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46315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46316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46317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46318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46319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46320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46321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46322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46323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46324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46325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46326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46327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46328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46329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46330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46331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46332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46333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46334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46335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46336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46337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46338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46339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46340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46341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46342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46343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46344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46345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46346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46347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46348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46349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46350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46351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46352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46353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46354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46355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46356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46357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46358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46359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46360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46361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46362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46363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46364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46365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46366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46367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46368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46369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46370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46371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46372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46373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46374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46375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46376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46377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46378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46379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46380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46381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46382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46383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46384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46385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46386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46387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46388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46389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46390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46391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46392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46393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46394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46395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46396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46397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46398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46399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46400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46401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46402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46403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46404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46405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46406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46407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46408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46409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46410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46411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46412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46413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46414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46415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46416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46417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46418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46419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46420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46421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46422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46423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46424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46425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46426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46427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46428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46429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46430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46431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46432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46433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46434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46435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46436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46437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46438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46439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46440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46441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46442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46443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46444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46445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46446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46447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46448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46449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46450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46451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46452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46453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46454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46455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46456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46457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46458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46459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46460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46461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46462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46463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46464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46465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46466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46467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46468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46469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46470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46471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46472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46473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46474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46475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46476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46477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46478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46479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46480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46481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46482</v>
      </c>
      <c r="C366" s="385" t="n">
        <v>53</v>
      </c>
      <c r="D366" s="385" t="n">
        <v>12</v>
      </c>
      <c r="E366" s="386" t="n">
        <f aca="false">B366</f>
        <v>46482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46483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46484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46485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46486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46487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46488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46489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46490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46491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46492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46493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46494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46495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46496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46497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