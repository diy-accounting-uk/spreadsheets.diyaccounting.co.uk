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<sst xmlns="http://schemas.openxmlformats.org/spreadsheetml/2006/main" count="1438" uniqueCount="155">
  <si>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</si>
  <si>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</si>
  <si>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</si>
  <si>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</si>
  <si>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</si>
  <si>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</si>
  <si>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</si>
  <si>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</si>
  <si>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</si>
  <si>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</si>
  <si>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</si>
  <si>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</si>
  <si>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</si>
  <si>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</si>
  <si>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</si>
  <si>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</si>
  <si>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</si>
  <si>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</si>
  <si>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</si>
  <si>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</si>
  <si>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</si>
  <si>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</si>
  <si>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</si>
  <si>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</si>
  <si>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</si>
  <si>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</si>
  <si>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</si>
  <si>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</si>
  <si>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</si>
  <si>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</si>
  <si>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</si>
  <si>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</si>
  <si>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</si>
  <si>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</si>
  <si>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</si>
  <si>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</si>
  <si>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</si>
  <si>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</si>
  <si>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</si>
  <si>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</si>
  <si>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</si>
  <si>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</si>
  <si>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</si>
  <si>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</si>
  <si>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</si>
  <si>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</si>
  <si>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</si>
  <si>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</si>
  <si>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</si>
  <si>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</si>
  <si>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</si>
  <si>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</si>
  <si>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</si>
  <si>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</si>
  <si>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</si>
  <si>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</si>
  <si>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</si>
  <si>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</si>
  <si>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</si>
  <si>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</si>
  <si>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</si>
  <si>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</si>
  <si>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</si>
  <si>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</si>
  <si>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</si>
  <si>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</si>
  <si>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</si>
  <si>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</si>
  <si>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</si>
  <si>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</si>
  <si>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</si>
  <si>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</si>
  <si>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</si>
  <si>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</si>
  <si>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</si>
  <si>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</si>
  <si>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</si>
  <si>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</si>
  <si>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</si>
  <si>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</si>
  <si>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</si>
  <si>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</si>
  <si>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</si>
  <si>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</si>
  <si>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</si>
  <si>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</si>
  <si>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</si>
  <si>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</si>
  <si>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</si>
  <si>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</si>
  <si>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</si>
  <si>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</si>
  <si>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</si>
  <si>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</si>
  <si>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</si>
  <si>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</si>
  <si>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</si>
  <si>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Bob Williams</t>
  </si>
  <si>
    <t xml:space="preserve">Carol Smith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</si>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</sst>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s">
        <v>36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37</v>
      </c>
      <c r="C30" s="42"/>
      <c r="D30" s="82" t="s">
        <v>38</v>
      </c>
      <c r="E30" s="42"/>
      <c r="F30" s="83" t="s">
        <v>39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40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41</v>
      </c>
      <c r="C41" s="42"/>
      <c r="D41" s="53" t="s">
        <v>42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43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s">
        <v>44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37</v>
      </c>
      <c r="C56" s="42"/>
      <c r="D56" s="82" t="s">
        <v>38</v>
      </c>
      <c r="E56" s="42"/>
      <c r="F56" s="83" t="s">
        <v>39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45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41</v>
      </c>
      <c r="C67" s="42"/>
      <c r="D67" s="53" t="s">
        <v>46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47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48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s">
        <v>49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37</v>
      </c>
      <c r="C82" s="42"/>
      <c r="D82" s="82" t="s">
        <v>16</v>
      </c>
      <c r="E82" s="42"/>
      <c r="F82" s="83" t="s">
        <v>39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50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41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48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37</v>
      </c>
      <c r="C108" s="42"/>
      <c r="D108" s="82"/>
      <c r="E108" s="42"/>
      <c r="F108" s="83" t="s">
        <v>39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51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41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48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37</v>
      </c>
      <c r="C134" s="42"/>
      <c r="D134" s="82"/>
      <c r="E134" s="42"/>
      <c r="F134" s="83" t="s">
        <v>39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">
        <v>62</v>
      </c>
      <c r="I3" s="116" t="s">
        <v>63</v>
      </c>
      <c r="J3" s="116" t="s">
        <v>64</v>
      </c>
      <c r="K3" s="117" t="s">
        <v>65</v>
      </c>
      <c r="L3" s="117" t="s">
        <v>66</v>
      </c>
      <c r="M3" s="118" t="s">
        <v>67</v>
      </c>
      <c r="N3" s="116" t="s">
        <v>68</v>
      </c>
      <c r="O3" s="116" t="s">
        <v>69</v>
      </c>
      <c r="P3" s="116" t="s">
        <v>70</v>
      </c>
      <c r="Q3" s="116" t="s">
        <v>71</v>
      </c>
      <c r="R3" s="118" t="s">
        <v>72</v>
      </c>
      <c r="S3" s="119"/>
      <c r="T3" s="116" t="s">
        <v>73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</v>
      </c>
      <c r="F9" s="144"/>
      <c r="G9" s="144"/>
      <c r="H9" s="146" t="s">
        <v>87</v>
      </c>
      <c r="I9" s="146"/>
      <c r="J9" s="146"/>
      <c r="K9" s="148" t="n">
        <f aca="false">Admin!B2</f>
        <v>46118</v>
      </c>
      <c r="L9" s="149" t="s">
        <v>88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</v>
      </c>
      <c r="F19" s="144"/>
      <c r="G19" s="144"/>
      <c r="H19" s="146" t="s">
        <v>85</v>
      </c>
      <c r="I19" s="146"/>
      <c r="J19" s="146"/>
      <c r="K19" s="148" t="n">
        <f aca="false">M9+1</f>
        <v>46125</v>
      </c>
      <c r="L19" s="149" t="s">
        <v>88</v>
      </c>
      <c r="M19" s="150" t="n">
        <f aca="false">K19+6</f>
        <v>46131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</v>
      </c>
      <c r="F29" s="144"/>
      <c r="G29" s="144"/>
      <c r="H29" s="146" t="s">
        <v>85</v>
      </c>
      <c r="I29" s="146"/>
      <c r="J29" s="146"/>
      <c r="K29" s="148" t="n">
        <f aca="false">M19+1</f>
        <v>46132</v>
      </c>
      <c r="L29" s="149" t="s">
        <v>88</v>
      </c>
      <c r="M29" s="150" t="n">
        <f aca="false">K29+6</f>
        <v>46138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</v>
      </c>
      <c r="F39" s="144"/>
      <c r="G39" s="144"/>
      <c r="H39" s="146" t="s">
        <v>85</v>
      </c>
      <c r="I39" s="146"/>
      <c r="J39" s="146"/>
      <c r="K39" s="148" t="n">
        <f aca="false">M29+1</f>
        <v>46139</v>
      </c>
      <c r="L39" s="149" t="s">
        <v>88</v>
      </c>
      <c r="M39" s="150" t="n">
        <f aca="false">K39+6</f>
        <v>46145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</v>
      </c>
      <c r="F49" s="144"/>
      <c r="G49" s="144"/>
      <c r="H49" s="146" t="s">
        <v>85</v>
      </c>
      <c r="I49" s="146"/>
      <c r="J49" s="146"/>
      <c r="K49" s="215" t="n">
        <f aca="false">Admin!B2</f>
        <v>46118</v>
      </c>
      <c r="L49" s="149" t="s">
        <v>88</v>
      </c>
      <c r="M49" s="150" t="n">
        <v>45777</v>
      </c>
      <c r="N49" s="151"/>
      <c r="O49" s="198" t="s">
        <v>94</v>
      </c>
      <c r="P49" s="198"/>
      <c r="Q49" s="198"/>
      <c r="R49" s="198"/>
      <c r="S49" s="144"/>
      <c r="T49" s="216" t="s">
        <v>95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5</v>
      </c>
      <c r="F9" s="144"/>
      <c r="G9" s="144"/>
      <c r="H9" s="146" t="s">
        <v>85</v>
      </c>
      <c r="I9" s="146"/>
      <c r="J9" s="146"/>
      <c r="K9" s="215" t="n">
        <f aca="false">Apr!M39+1</f>
        <v>46146</v>
      </c>
      <c r="L9" s="149" t="s">
        <v>88</v>
      </c>
      <c r="M9" s="150" t="n">
        <f aca="false">K9+6</f>
        <v>46152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6</v>
      </c>
      <c r="F19" s="144"/>
      <c r="G19" s="144"/>
      <c r="H19" s="146" t="s">
        <v>85</v>
      </c>
      <c r="I19" s="146"/>
      <c r="J19" s="146"/>
      <c r="K19" s="215" t="n">
        <f aca="false">M9+1</f>
        <v>46153</v>
      </c>
      <c r="L19" s="149" t="s">
        <v>88</v>
      </c>
      <c r="M19" s="150" t="n">
        <f aca="false">K19+6</f>
        <v>46159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7</v>
      </c>
      <c r="F29" s="144"/>
      <c r="G29" s="144"/>
      <c r="H29" s="146" t="s">
        <v>85</v>
      </c>
      <c r="I29" s="146"/>
      <c r="J29" s="146"/>
      <c r="K29" s="215" t="n">
        <f aca="false">M19+1</f>
        <v>46160</v>
      </c>
      <c r="L29" s="149" t="s">
        <v>88</v>
      </c>
      <c r="M29" s="150" t="n">
        <f aca="false">K29+6</f>
        <v>46166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8</v>
      </c>
      <c r="F39" s="144"/>
      <c r="G39" s="144"/>
      <c r="H39" s="146" t="s">
        <v>85</v>
      </c>
      <c r="I39" s="146"/>
      <c r="J39" s="146"/>
      <c r="K39" s="215" t="n">
        <f aca="false">M29+1</f>
        <v>46167</v>
      </c>
      <c r="L39" s="149" t="s">
        <v>88</v>
      </c>
      <c r="M39" s="150" t="n">
        <f aca="false">K39+6</f>
        <v>46173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2</v>
      </c>
      <c r="F49" s="144"/>
      <c r="G49" s="144"/>
      <c r="H49" s="146" t="s">
        <v>85</v>
      </c>
      <c r="I49" s="146"/>
      <c r="J49" s="146"/>
      <c r="K49" s="215" t="n">
        <f aca="false">Admin!B27</f>
        <v>46143</v>
      </c>
      <c r="L49" s="149" t="s">
        <v>88</v>
      </c>
      <c r="M49" s="150" t="n">
        <v>45808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52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9</v>
      </c>
      <c r="F9" s="144"/>
      <c r="G9" s="144"/>
      <c r="H9" s="146" t="s">
        <v>85</v>
      </c>
      <c r="I9" s="146"/>
      <c r="J9" s="146"/>
      <c r="K9" s="215" t="n">
        <f aca="false">May!M39+1</f>
        <v>46174</v>
      </c>
      <c r="L9" s="149" t="s">
        <v>88</v>
      </c>
      <c r="M9" s="150" t="n">
        <f aca="false">K9+6</f>
        <v>46180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10</v>
      </c>
      <c r="F19" s="144"/>
      <c r="G19" s="144"/>
      <c r="H19" s="146" t="s">
        <v>85</v>
      </c>
      <c r="I19" s="146"/>
      <c r="J19" s="146"/>
      <c r="K19" s="215" t="n">
        <f aca="false">M9+1</f>
        <v>46181</v>
      </c>
      <c r="L19" s="149" t="s">
        <v>88</v>
      </c>
      <c r="M19" s="150" t="n">
        <f aca="false">K19+6</f>
        <v>46187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11</v>
      </c>
      <c r="F29" s="144"/>
      <c r="G29" s="144"/>
      <c r="H29" s="146" t="s">
        <v>85</v>
      </c>
      <c r="I29" s="146"/>
      <c r="J29" s="146"/>
      <c r="K29" s="215" t="n">
        <f aca="false">M19+1</f>
        <v>46188</v>
      </c>
      <c r="L29" s="149" t="s">
        <v>88</v>
      </c>
      <c r="M29" s="150" t="n">
        <f aca="false">K29+6</f>
        <v>46194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12</v>
      </c>
      <c r="F39" s="144"/>
      <c r="G39" s="144"/>
      <c r="H39" s="146" t="s">
        <v>85</v>
      </c>
      <c r="I39" s="146"/>
      <c r="J39" s="146"/>
      <c r="K39" s="215" t="n">
        <f aca="false">M29+1</f>
        <v>46195</v>
      </c>
      <c r="L39" s="149" t="s">
        <v>88</v>
      </c>
      <c r="M39" s="150" t="n">
        <f aca="false">K39+6</f>
        <v>46201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86</v>
      </c>
      <c r="C49" s="146"/>
      <c r="D49" s="146"/>
      <c r="E49" s="147" t="n">
        <v>13</v>
      </c>
      <c r="F49" s="144"/>
      <c r="G49" s="144"/>
      <c r="H49" s="146" t="s">
        <v>85</v>
      </c>
      <c r="I49" s="146"/>
      <c r="J49" s="146"/>
      <c r="K49" s="215" t="n">
        <f aca="false">M39+1</f>
        <v>46202</v>
      </c>
      <c r="L49" s="149" t="s">
        <v>88</v>
      </c>
      <c r="M49" s="150" t="n">
        <v>45838</v>
      </c>
      <c r="N49" s="151"/>
      <c r="O49" s="198" t="s">
        <v>91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89</v>
      </c>
      <c r="E51" s="213" t="str">
        <f aca="false">IF(Employee!D$28="m"," ",IF(Employee!F$24&gt;E$39," ",IF(Employee!F$26&lt;E$39," ",Employee!D$29)))</f>
        <v> </v>
      </c>
      <c r="F51" s="162" t="s">
        <v>96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250"/>
      <c r="V51" s="172" t="n">
        <f aca="false">IF(Employee!H$34=E$49,Employee!D$34+SUM(M51)+V41,SUM(M51)+V41)</f>
        <v>3500</v>
      </c>
      <c r="W51" s="172" t="n">
        <f aca="false">IF(Employee!H$34=E$49,Employee!D$35+SUM(N51)+W41,SUM(N51)+W41)</f>
        <v>530</v>
      </c>
      <c r="X51" s="172" t="n">
        <f aca="false">IF(O51=" ",X41,O51+X41)</f>
        <v>200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2770</v>
      </c>
      <c r="AB51" s="99"/>
      <c r="AC51" s="172" t="n">
        <f aca="false">IF(T51=" ",AC41,T51+AC41)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89</v>
      </c>
      <c r="E52" s="214" t="str">
        <f aca="false">IF(Employee!D$54="m"," ",IF(Employee!F$50&gt;E$39," ",IF(Employee!F$52&lt;E$39," ",Employee!D$55)))</f>
        <v> </v>
      </c>
      <c r="F52" s="175" t="s">
        <v>97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250"/>
      <c r="V52" s="172" t="n">
        <f aca="false">IF(Employee!H$60=E$49,Employee!D$60+SUM(M52)+V42,SUM(M52)+V42)</f>
        <v>2200</v>
      </c>
      <c r="W52" s="172" t="n">
        <f aca="false">IF(Employee!H$60=E$49,Employee!D$61+SUM(N52)+W42,SUM(N52)+W42)</f>
        <v>270</v>
      </c>
      <c r="X52" s="172" t="n">
        <f aca="false">IF(O52=" ",X42,O52+X42)</f>
        <v>96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1834</v>
      </c>
      <c r="AB52" s="99"/>
      <c r="AC52" s="172" t="n">
        <f aca="false">IF(T52=" ",AC42,T52+AC42)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89</v>
      </c>
      <c r="E53" s="214" t="str">
        <f aca="false">IF(Employee!D$80="m"," ",IF(Employee!F$76&gt;E$39," ",IF(Employee!F$78&lt;E$39," ",Employee!D$81)))</f>
        <v> </v>
      </c>
      <c r="F53" s="175" t="s">
        <v>98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250"/>
      <c r="V53" s="172" t="n">
        <f aca="false">IF(Employee!H$86=E$49,Employee!D$86+SUM(M53)+V43,SUM(M53)+V43)</f>
        <v>1048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1048</v>
      </c>
      <c r="AB53" s="99"/>
      <c r="AC53" s="172" t="n">
        <f aca="false">IF(T53=" ",AC43,T53+AC43)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89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89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3</v>
      </c>
      <c r="F59" s="144"/>
      <c r="G59" s="144"/>
      <c r="H59" s="146" t="s">
        <v>85</v>
      </c>
      <c r="I59" s="146"/>
      <c r="J59" s="146"/>
      <c r="K59" s="215" t="n">
        <f aca="false">Admin!B58</f>
        <v>46174</v>
      </c>
      <c r="L59" s="149" t="s">
        <v>88</v>
      </c>
      <c r="M59" s="150" t="n">
        <f aca="false">Admin!B87</f>
        <v>46203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7000</v>
      </c>
      <c r="W61" s="172" t="n">
        <f aca="false">IF(Employee!H$35=E$59,Employee!D$35+SUM(N61)+May!W51,SUM(N61)+May!W51)</f>
        <v>1060</v>
      </c>
      <c r="X61" s="172" t="n">
        <f aca="false">IF(O61=" ",May!X51,O61+May!X51)</f>
        <v>400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5540</v>
      </c>
      <c r="AC61" s="172" t="n">
        <f aca="false">IF(T61=" ",May!AC51,T61+May!AC51)</f>
        <v>765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4400</v>
      </c>
      <c r="W62" s="172" t="n">
        <f aca="false">IF(Employee!H$61=E$59,Employee!D$61+SUM(N62)+May!W52,SUM(N62)+May!W52)</f>
        <v>540</v>
      </c>
      <c r="X62" s="172" t="n">
        <f aca="false">IF(O62=" ",May!X52,O62+May!X52)</f>
        <v>192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3668</v>
      </c>
      <c r="AC62" s="172" t="n">
        <f aca="false">IF(T62=" ",May!AC52,T62+May!AC52)</f>
        <v>375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2096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2096</v>
      </c>
      <c r="AC63" s="172" t="n">
        <f aca="false">IF(T63=" ",May!AC53,T63+May!AC53)</f>
        <v>14.4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14</v>
      </c>
      <c r="F9" s="144"/>
      <c r="G9" s="144"/>
      <c r="H9" s="146" t="s">
        <v>85</v>
      </c>
      <c r="I9" s="146"/>
      <c r="J9" s="146"/>
      <c r="K9" s="215" t="n">
        <f aca="false">Admin!B91</f>
        <v>46207</v>
      </c>
      <c r="L9" s="149" t="s">
        <v>88</v>
      </c>
      <c r="M9" s="150" t="n">
        <f aca="false">K9+6</f>
        <v>46213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3500</v>
      </c>
      <c r="W11" s="172" t="n">
        <f aca="false">IF(Employee!H$34=E$9,Employee!D$35+SUM(N11)+Jun!W51,SUM(N11)+Jun!W51)</f>
        <v>530</v>
      </c>
      <c r="X11" s="172" t="n">
        <f aca="false">IF(O11=" ",Jun!X51,O11+Jun!X51)</f>
        <v>200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2770</v>
      </c>
      <c r="AC11" s="172" t="n">
        <f aca="false">IF(T11=" ",Jun!AC51,T11+Jun!AC51)</f>
        <v>382.5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2200</v>
      </c>
      <c r="W12" s="172" t="n">
        <f aca="false">IF(Employee!H$60=E$9,Employee!D$61+SUM(N12)+Jun!W52,SUM(N12)+Jun!W52)</f>
        <v>270</v>
      </c>
      <c r="X12" s="172" t="n">
        <f aca="false">IF(O12=" ",Jun!X52,O12+Jun!X52)</f>
        <v>96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1834</v>
      </c>
      <c r="AC12" s="172" t="n">
        <f aca="false">IF(T12=" ",Jun!AC52,T12+Jun!AC52)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1048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1048</v>
      </c>
      <c r="AC13" s="172" t="n">
        <f aca="false">IF(T13=" ",Jun!AC53,T13+Jun!AC53)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15</v>
      </c>
      <c r="F19" s="144"/>
      <c r="G19" s="144"/>
      <c r="H19" s="146" t="s">
        <v>85</v>
      </c>
      <c r="I19" s="146"/>
      <c r="J19" s="146"/>
      <c r="K19" s="215" t="n">
        <f aca="false">M9+1</f>
        <v>46214</v>
      </c>
      <c r="L19" s="149" t="s">
        <v>88</v>
      </c>
      <c r="M19" s="150" t="n">
        <f aca="false">K19+6</f>
        <v>46220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n">
        <f aca="false">IF(T21=" ",AC11,T21+AC11)</f>
        <v>382.5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16</v>
      </c>
      <c r="F29" s="144"/>
      <c r="G29" s="144"/>
      <c r="H29" s="146" t="s">
        <v>85</v>
      </c>
      <c r="I29" s="146"/>
      <c r="J29" s="146"/>
      <c r="K29" s="215" t="n">
        <f aca="false">M19+1</f>
        <v>46221</v>
      </c>
      <c r="L29" s="149" t="s">
        <v>88</v>
      </c>
      <c r="M29" s="150" t="n">
        <f aca="false">K29+6</f>
        <v>46227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n">
        <f aca="false">IF(T31=" ",AC21,T31+AC21)</f>
        <v>382.5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17</v>
      </c>
      <c r="F39" s="144"/>
      <c r="G39" s="144"/>
      <c r="H39" s="146" t="s">
        <v>85</v>
      </c>
      <c r="I39" s="146"/>
      <c r="J39" s="146"/>
      <c r="K39" s="215" t="n">
        <f aca="false">M29+1</f>
        <v>46228</v>
      </c>
      <c r="L39" s="149" t="s">
        <v>88</v>
      </c>
      <c r="M39" s="150" t="n">
        <f aca="false">K39+6</f>
        <v>46234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4</v>
      </c>
      <c r="F49" s="144"/>
      <c r="G49" s="144"/>
      <c r="H49" s="146" t="s">
        <v>85</v>
      </c>
      <c r="I49" s="146"/>
      <c r="J49" s="146"/>
      <c r="K49" s="215" t="n">
        <f aca="false">Admin!B88</f>
        <v>46204</v>
      </c>
      <c r="L49" s="149" t="s">
        <v>88</v>
      </c>
      <c r="M49" s="150" t="n">
        <v>45869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IF(Employee!H$35=E$49,Employee!D$34+SUM(M51)+Jun!V61,SUM(M51)+Jun!V61)</f>
        <v>10500</v>
      </c>
      <c r="W51" s="172" t="n">
        <f aca="false">IF(Employee!H$35=E$49,Employee!D$35+SUM(N51)+Jun!W61,SUM(N51)+Jun!W61)</f>
        <v>1590</v>
      </c>
      <c r="X51" s="172" t="n">
        <f aca="false">IF(O51=" ",Jun!X61,O51+Jun!X61)</f>
        <v>600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8310</v>
      </c>
      <c r="AC51" s="172" t="n">
        <f aca="false">IF(T51=" ",Jun!AC61,T51+Jun!AC61)</f>
        <v>1147.5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IF(Employee!H$61=E$49,Employee!D$60+SUM(M52)+Jun!V62,SUM(M52)+Jun!V62)</f>
        <v>6600</v>
      </c>
      <c r="W52" s="172" t="n">
        <f aca="false">IF(Employee!H$61=E$49,Employee!D$61+SUM(N52)+Jun!W62,SUM(N52)+Jun!W62)</f>
        <v>810</v>
      </c>
      <c r="X52" s="172" t="n">
        <f aca="false">IF(O52=" ",Jun!X62,O52+Jun!X62)</f>
        <v>288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5502</v>
      </c>
      <c r="AC52" s="172" t="n">
        <f aca="false">IF(T52=" ",Jun!AC62,T52+Jun!AC62)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IF(Employee!H$87=E$49,Employee!D$86+SUM(M53)+Jun!V63,SUM(M53)+Jun!V63)</f>
        <v>3144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3144</v>
      </c>
      <c r="AC53" s="172" t="n">
        <f aca="false">IF(T53=" ",Jun!AC63,T53+Jun!AC63)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18</v>
      </c>
      <c r="F9" s="144"/>
      <c r="G9" s="144"/>
      <c r="H9" s="146" t="s">
        <v>85</v>
      </c>
      <c r="I9" s="146"/>
      <c r="J9" s="146"/>
      <c r="K9" s="215" t="n">
        <f aca="false">Admin!B119</f>
        <v>46235</v>
      </c>
      <c r="L9" s="149" t="s">
        <v>88</v>
      </c>
      <c r="M9" s="150" t="n">
        <f aca="false">K9+6</f>
        <v>46241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3500</v>
      </c>
      <c r="W11" s="172" t="n">
        <f aca="false">IF(Employee!H$34=E$9,Employee!D$35+SUM(N11)+Jul!W41,SUM(N11)+Jul!W41)</f>
        <v>530</v>
      </c>
      <c r="X11" s="172" t="n">
        <f aca="false">IF(O11=" ",Jul!X41,O11+Jul!X41)</f>
        <v>200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2770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2200</v>
      </c>
      <c r="W12" s="172" t="n">
        <f aca="false">IF(Employee!H$60=E$9,Employee!D$61+SUM(N12)+Jul!W42,SUM(N12)+Jul!W42)</f>
        <v>270</v>
      </c>
      <c r="X12" s="172" t="n">
        <f aca="false">IF(O12=" ",Jul!X42,O12+Jul!X42)</f>
        <v>96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1834</v>
      </c>
      <c r="AC12" s="172" t="n">
        <f aca="false">IF(T12=" ",Jul!AC42,T12+Jul!AC42)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1048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1048</v>
      </c>
      <c r="AC13" s="172" t="n">
        <f aca="false">IF(T13=" ",Jul!AC43,T13+Jul!AC43)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19</v>
      </c>
      <c r="F19" s="144"/>
      <c r="G19" s="144"/>
      <c r="H19" s="146" t="s">
        <v>85</v>
      </c>
      <c r="I19" s="146"/>
      <c r="J19" s="146"/>
      <c r="K19" s="215" t="n">
        <f aca="false">M9+1</f>
        <v>46242</v>
      </c>
      <c r="L19" s="149" t="s">
        <v>88</v>
      </c>
      <c r="M19" s="150" t="n">
        <f aca="false">K19+6</f>
        <v>46248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20</v>
      </c>
      <c r="F29" s="144"/>
      <c r="G29" s="144"/>
      <c r="H29" s="146" t="s">
        <v>85</v>
      </c>
      <c r="I29" s="146"/>
      <c r="J29" s="146"/>
      <c r="K29" s="215" t="n">
        <f aca="false">M19+1</f>
        <v>46249</v>
      </c>
      <c r="L29" s="149" t="s">
        <v>88</v>
      </c>
      <c r="M29" s="150" t="n">
        <f aca="false">K29+6</f>
        <v>46255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21</v>
      </c>
      <c r="F39" s="144"/>
      <c r="G39" s="144"/>
      <c r="H39" s="146" t="s">
        <v>85</v>
      </c>
      <c r="I39" s="146"/>
      <c r="J39" s="146"/>
      <c r="K39" s="215" t="n">
        <f aca="false">M29+1</f>
        <v>46256</v>
      </c>
      <c r="L39" s="149" t="s">
        <v>88</v>
      </c>
      <c r="M39" s="150" t="n">
        <f aca="false">K39+6</f>
        <v>46262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5</v>
      </c>
      <c r="F49" s="144"/>
      <c r="G49" s="144"/>
      <c r="H49" s="146" t="s">
        <v>85</v>
      </c>
      <c r="I49" s="146"/>
      <c r="J49" s="146"/>
      <c r="K49" s="215" t="n">
        <f aca="false">Admin!B119</f>
        <v>46235</v>
      </c>
      <c r="L49" s="149" t="s">
        <v>88</v>
      </c>
      <c r="M49" s="150" t="n">
        <v>45900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IF(Employee!H$35=E$49,Employee!D$34+SUM(M51)+Jul!V51,SUM(M51)+Jul!V51)</f>
        <v>14000</v>
      </c>
      <c r="W51" s="172" t="n">
        <f aca="false">IF(Employee!H$35=E$49,Employee!D$35+SUM(N51)+Jul!W51,SUM(N51)+Jul!W51)</f>
        <v>2120</v>
      </c>
      <c r="X51" s="172" t="n">
        <f aca="false">IF(O51=" ",Jul!X51,O51+Jul!X51)</f>
        <v>800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11080</v>
      </c>
      <c r="AC51" s="172" t="n">
        <f aca="false">IF(T51=" ",Jul!AC51,T51+Jul!AC51)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IF(Employee!H$61=E$49,Employee!D$60+SUM(M52)+Jul!V52,SUM(M52)+Jul!V52)</f>
        <v>8800</v>
      </c>
      <c r="W52" s="172" t="n">
        <f aca="false">IF(Employee!H$61=E$49,Employee!D$61+SUM(N52)+Jul!W52,SUM(N52)+Jul!W52)</f>
        <v>1080</v>
      </c>
      <c r="X52" s="172" t="n">
        <f aca="false">IF(O52=" ",Jul!X52,O52+Jul!X52)</f>
        <v>384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7336</v>
      </c>
      <c r="AC52" s="172" t="n">
        <f aca="false">IF(T52=" ",Jul!AC52,T52+Jul!AC52)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IF(Employee!H$87=E$49,Employee!D$86+SUM(M53)+Jul!V53,SUM(M53)+Jul!V53)</f>
        <v>4192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4192</v>
      </c>
      <c r="AC53" s="172" t="n">
        <f aca="false">IF(T53=" ",Jul!AC53,T53+Jul!AC53)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22</v>
      </c>
      <c r="F9" s="144"/>
      <c r="G9" s="144"/>
      <c r="H9" s="146" t="s">
        <v>85</v>
      </c>
      <c r="I9" s="146"/>
      <c r="J9" s="146"/>
      <c r="K9" s="215" t="n">
        <f aca="false">Aug!M39+1</f>
        <v>46263</v>
      </c>
      <c r="L9" s="149" t="s">
        <v>88</v>
      </c>
      <c r="M9" s="150" t="n">
        <f aca="false">K9+6</f>
        <v>46269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3500</v>
      </c>
      <c r="W11" s="172" t="n">
        <f aca="false">IF(Employee!H$34=E$9,Employee!D$35+SUM(N11)+Aug!W41,SUM(N11)+Aug!W41)</f>
        <v>530</v>
      </c>
      <c r="X11" s="172" t="n">
        <f aca="false">IF(O11=" ",Aug!X41,O11+Aug!X41)</f>
        <v>200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2770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2200</v>
      </c>
      <c r="W12" s="172" t="n">
        <f aca="false">IF(Employee!H$60=E$9,Employee!D$61+SUM(N12)+Aug!W42,SUM(N12)+Aug!W42)</f>
        <v>270</v>
      </c>
      <c r="X12" s="172" t="n">
        <f aca="false">IF(O12=" ",Aug!X42,O12+Aug!X42)</f>
        <v>96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1834</v>
      </c>
      <c r="AC12" s="172" t="n">
        <f aca="false">IF(T12=" ",Aug!AC42,T12+Aug!AC42)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1048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1048</v>
      </c>
      <c r="AC13" s="172" t="n">
        <f aca="false">IF(T13=" ",Aug!AC43,T13+Aug!AC43)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23</v>
      </c>
      <c r="F19" s="144"/>
      <c r="G19" s="144"/>
      <c r="H19" s="146" t="s">
        <v>85</v>
      </c>
      <c r="I19" s="146"/>
      <c r="J19" s="146"/>
      <c r="K19" s="215" t="n">
        <f aca="false">M9+1</f>
        <v>46270</v>
      </c>
      <c r="L19" s="149" t="s">
        <v>88</v>
      </c>
      <c r="M19" s="150" t="n">
        <f aca="false">K19+6</f>
        <v>46276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24</v>
      </c>
      <c r="F29" s="144"/>
      <c r="G29" s="144"/>
      <c r="H29" s="146" t="s">
        <v>85</v>
      </c>
      <c r="I29" s="146"/>
      <c r="J29" s="146"/>
      <c r="K29" s="215" t="n">
        <f aca="false">M19+1</f>
        <v>46277</v>
      </c>
      <c r="L29" s="149" t="s">
        <v>88</v>
      </c>
      <c r="M29" s="150" t="n">
        <f aca="false">K29+6</f>
        <v>46283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25</v>
      </c>
      <c r="F39" s="144"/>
      <c r="G39" s="144"/>
      <c r="H39" s="146" t="s">
        <v>85</v>
      </c>
      <c r="I39" s="146"/>
      <c r="J39" s="146"/>
      <c r="K39" s="215" t="n">
        <f aca="false">M29+1</f>
        <v>46284</v>
      </c>
      <c r="L39" s="149" t="s">
        <v>88</v>
      </c>
      <c r="M39" s="150" t="n">
        <f aca="false">K39+6</f>
        <v>46290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26</v>
      </c>
      <c r="F49" s="144"/>
      <c r="G49" s="144"/>
      <c r="H49" s="146" t="s">
        <v>85</v>
      </c>
      <c r="I49" s="146"/>
      <c r="J49" s="146"/>
      <c r="K49" s="215" t="n">
        <f aca="false">Admin!B175</f>
        <v>46291</v>
      </c>
      <c r="L49" s="149" t="s">
        <v>88</v>
      </c>
      <c r="M49" s="150" t="n">
        <v>45930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7000</v>
      </c>
      <c r="W51" s="172" t="n">
        <f aca="false">IF(Employee!H$34=E$49,Employee!D$35+SUM(N51)+W41,SUM(N51)+W41)</f>
        <v>1060</v>
      </c>
      <c r="X51" s="172" t="n">
        <f aca="false">IF(O51=" ",X41,O51+X41)</f>
        <v>400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5540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4400</v>
      </c>
      <c r="W52" s="172" t="n">
        <f aca="false">IF(Employee!H$60=E$49,Employee!D$61+SUM(N52)+W42,SUM(N52)+W42)</f>
        <v>540</v>
      </c>
      <c r="X52" s="172" t="n">
        <f aca="false">IF(O52=" ",X42,O52+X42)</f>
        <v>192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3668</v>
      </c>
      <c r="AC52" s="172" t="n">
        <f aca="false">IF(T52=" ",AC42,T52+AC42)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2096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2096</v>
      </c>
      <c r="AC53" s="172" t="n">
        <f aca="false">IF(T53=" ",AC43,T53+AC43)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6</v>
      </c>
      <c r="F59" s="144"/>
      <c r="G59" s="144"/>
      <c r="H59" s="146" t="s">
        <v>85</v>
      </c>
      <c r="I59" s="146"/>
      <c r="J59" s="146"/>
      <c r="K59" s="215" t="n">
        <f aca="false">Admin!B150</f>
        <v>46266</v>
      </c>
      <c r="L59" s="149" t="s">
        <v>88</v>
      </c>
      <c r="M59" s="150" t="n">
        <f aca="false">Admin!B179</f>
        <v>46295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14000</v>
      </c>
      <c r="W61" s="172" t="n">
        <f aca="false">IF(Employee!H$35=E$59,Employee!D$35+SUM(N61)+Aug!W51,SUM(N61)+Aug!W51)</f>
        <v>2120</v>
      </c>
      <c r="X61" s="172" t="n">
        <f aca="false">IF(O61=" ",Aug!X51,O61+Aug!X51)</f>
        <v>800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11080</v>
      </c>
      <c r="AC61" s="172" t="n">
        <f aca="false">IF(T61=" ",Aug!AC51,T61+Aug!AC51)</f>
        <v>1530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8800</v>
      </c>
      <c r="W62" s="172" t="n">
        <f aca="false">IF(Employee!H$61=E$59,Employee!D$61+SUM(N62)+Aug!W52,SUM(N62)+Aug!W52)</f>
        <v>1080</v>
      </c>
      <c r="X62" s="172" t="n">
        <f aca="false">IF(O62=" ",Aug!X52,O62+Aug!X52)</f>
        <v>384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7336</v>
      </c>
      <c r="AC62" s="172" t="n">
        <f aca="false">IF(T62=" ",Aug!AC52,T62+Aug!AC52)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4192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4192</v>
      </c>
      <c r="AC63" s="172" t="n">
        <f aca="false">IF(T63=" ",Aug!AC53,T63+Aug!AC53)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27</v>
      </c>
      <c r="F9" s="144"/>
      <c r="G9" s="144"/>
      <c r="H9" s="146" t="s">
        <v>85</v>
      </c>
      <c r="I9" s="146"/>
      <c r="J9" s="146"/>
      <c r="K9" s="215" t="n">
        <f aca="false">Admin!B182</f>
        <v>46298</v>
      </c>
      <c r="L9" s="149" t="s">
        <v>88</v>
      </c>
      <c r="M9" s="150" t="n">
        <f aca="false">Admin!B188</f>
        <v>46304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7000</v>
      </c>
      <c r="W11" s="172" t="n">
        <f aca="false">IF(Employee!H$34=E$9,Employee!D$35+SUM(N11)+Sep!W51,SUM(N11)+Sep!W51)</f>
        <v>1060</v>
      </c>
      <c r="X11" s="172" t="n">
        <f aca="false">IF(O11=" ",Sep!X51,O11+Sep!X51)</f>
        <v>400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5540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4400</v>
      </c>
      <c r="W12" s="172" t="n">
        <f aca="false">IF(Employee!H$60=E$9,Employee!D$61+SUM(N12)+Sep!W52,SUM(N12)+Sep!W52)</f>
        <v>540</v>
      </c>
      <c r="X12" s="172" t="n">
        <f aca="false">IF(O12=" ",Sep!X52,O12+Sep!X52)</f>
        <v>192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3668</v>
      </c>
      <c r="AC12" s="172" t="n">
        <f aca="false">IF(T12=" ",Sep!AC52,T12+Sep!AC52)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2096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2096</v>
      </c>
      <c r="AC13" s="172" t="n">
        <f aca="false">IF(T13=" ",Sep!AC53,T13+Sep!AC53)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28</v>
      </c>
      <c r="F19" s="144"/>
      <c r="G19" s="144"/>
      <c r="H19" s="146" t="s">
        <v>85</v>
      </c>
      <c r="I19" s="146"/>
      <c r="J19" s="146"/>
      <c r="K19" s="215" t="n">
        <f aca="false">M9+1</f>
        <v>46305</v>
      </c>
      <c r="L19" s="149" t="s">
        <v>88</v>
      </c>
      <c r="M19" s="150" t="n">
        <f aca="false">K19+6</f>
        <v>46311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29</v>
      </c>
      <c r="F29" s="144"/>
      <c r="G29" s="144"/>
      <c r="H29" s="146" t="s">
        <v>85</v>
      </c>
      <c r="I29" s="146"/>
      <c r="J29" s="146"/>
      <c r="K29" s="215" t="n">
        <f aca="false">M19+1</f>
        <v>46312</v>
      </c>
      <c r="L29" s="149" t="s">
        <v>88</v>
      </c>
      <c r="M29" s="150" t="n">
        <f aca="false">K29+6</f>
        <v>46318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30</v>
      </c>
      <c r="F39" s="144"/>
      <c r="G39" s="144"/>
      <c r="H39" s="146" t="s">
        <v>85</v>
      </c>
      <c r="I39" s="146"/>
      <c r="J39" s="146"/>
      <c r="K39" s="215" t="n">
        <f aca="false">M29+1</f>
        <v>46319</v>
      </c>
      <c r="L39" s="149" t="s">
        <v>88</v>
      </c>
      <c r="M39" s="150" t="n">
        <f aca="false">K39+6</f>
        <v>46325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7</v>
      </c>
      <c r="F49" s="144"/>
      <c r="G49" s="144"/>
      <c r="H49" s="146" t="s">
        <v>85</v>
      </c>
      <c r="I49" s="146"/>
      <c r="J49" s="146"/>
      <c r="K49" s="215" t="n">
        <f aca="false">Admin!B180</f>
        <v>46296</v>
      </c>
      <c r="L49" s="149" t="s">
        <v>88</v>
      </c>
      <c r="M49" s="150" t="n">
        <v>45961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IF(Employee!H$35=E$49,Employee!D$34+SUM(M51)+Sep!V61,SUM(M51)+Sep!V61)</f>
        <v>17500</v>
      </c>
      <c r="W51" s="172" t="n">
        <f aca="false">IF(Employee!H$35=E$49,Employee!D$35+SUM(N51)+Sep!W61,SUM(N51)+Sep!W61)</f>
        <v>2650</v>
      </c>
      <c r="X51" s="172" t="n">
        <f aca="false">IF(O51=" ",Sep!X61,O51+Sep!X61)</f>
        <v>1000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13850</v>
      </c>
      <c r="AC51" s="172" t="n">
        <f aca="false">IF(T51=" ",Sep!AC61,T51+Sep!AC61)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IF(Employee!H$61=E$49,Employee!D$60+SUM(M52)+Sep!V62,SUM(M52)+Sep!V62)</f>
        <v>11000</v>
      </c>
      <c r="W52" s="172" t="n">
        <f aca="false">IF(Employee!H$61=E$49,Employee!D$61+SUM(N52)+Sep!W62,SUM(N52)+Sep!W62)</f>
        <v>1350</v>
      </c>
      <c r="X52" s="172" t="n">
        <f aca="false">IF(O52=" ",Sep!X62,O52+Sep!X62)</f>
        <v>480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9170</v>
      </c>
      <c r="AC52" s="172" t="n">
        <f aca="false">IF(T52=" ",Sep!AC62,T52+Sep!AC62)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IF(Employee!H$87=E$49,Employee!D$86+SUM(M53)+Sep!V63,SUM(M53)+Sep!V63)</f>
        <v>5240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5240</v>
      </c>
      <c r="AC53" s="172" t="n">
        <f aca="false">IF(T53=" ",Sep!AC63,T53+Sep!AC63)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31</v>
      </c>
      <c r="F9" s="144"/>
      <c r="G9" s="144"/>
      <c r="H9" s="146" t="s">
        <v>85</v>
      </c>
      <c r="I9" s="146"/>
      <c r="J9" s="146"/>
      <c r="K9" s="215" t="n">
        <f aca="false">Admin!B210</f>
        <v>46326</v>
      </c>
      <c r="L9" s="149" t="s">
        <v>88</v>
      </c>
      <c r="M9" s="150" t="n">
        <f aca="false">K9+6</f>
        <v>46332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7000</v>
      </c>
      <c r="W11" s="172" t="n">
        <f aca="false">IF(Employee!H$34=E$9,Employee!D$35+SUM(N11)+Oct!W41,SUM(N11)+Oct!W41)</f>
        <v>1060</v>
      </c>
      <c r="X11" s="172" t="n">
        <f aca="false">IF(O11=" ",Oct!X41,O11+Oct!X41)</f>
        <v>400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5540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4400</v>
      </c>
      <c r="W12" s="172" t="n">
        <f aca="false">IF(Employee!H$60=E$9,Employee!D$61+SUM(N12)+Oct!W42,SUM(N12)+Oct!W42)</f>
        <v>540</v>
      </c>
      <c r="X12" s="172" t="n">
        <f aca="false">IF(O12=" ",Oct!X42,O12+Oct!X42)</f>
        <v>192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3668</v>
      </c>
      <c r="AC12" s="172" t="n">
        <f aca="false">IF(T12=" ",Oct!AC42,T12+Oct!AC42)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2096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2096</v>
      </c>
      <c r="AC13" s="172" t="n">
        <f aca="false">IF(T13=" ",Oct!AC43,T13+Oct!AC43)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32</v>
      </c>
      <c r="F19" s="144"/>
      <c r="G19" s="144"/>
      <c r="H19" s="146" t="s">
        <v>85</v>
      </c>
      <c r="I19" s="146"/>
      <c r="J19" s="146"/>
      <c r="K19" s="215" t="n">
        <f aca="false">M9+1</f>
        <v>46333</v>
      </c>
      <c r="L19" s="149" t="s">
        <v>88</v>
      </c>
      <c r="M19" s="150" t="n">
        <f aca="false">K19+6</f>
        <v>46339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33</v>
      </c>
      <c r="F29" s="144"/>
      <c r="G29" s="144"/>
      <c r="H29" s="146" t="s">
        <v>85</v>
      </c>
      <c r="I29" s="146"/>
      <c r="J29" s="146"/>
      <c r="K29" s="215" t="n">
        <f aca="false">M19+1</f>
        <v>46340</v>
      </c>
      <c r="L29" s="149" t="s">
        <v>88</v>
      </c>
      <c r="M29" s="150" t="n">
        <f aca="false">K29+6</f>
        <v>46346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34</v>
      </c>
      <c r="F39" s="144"/>
      <c r="G39" s="144"/>
      <c r="H39" s="146" t="s">
        <v>85</v>
      </c>
      <c r="I39" s="146"/>
      <c r="J39" s="146"/>
      <c r="K39" s="215" t="n">
        <f aca="false">M29+1</f>
        <v>46347</v>
      </c>
      <c r="L39" s="149" t="s">
        <v>88</v>
      </c>
      <c r="M39" s="150" t="n">
        <f aca="false">K39+6</f>
        <v>46353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8</v>
      </c>
      <c r="F49" s="144"/>
      <c r="G49" s="144"/>
      <c r="H49" s="146" t="s">
        <v>85</v>
      </c>
      <c r="I49" s="146"/>
      <c r="J49" s="146"/>
      <c r="K49" s="215" t="n">
        <f aca="false">Admin!B211</f>
        <v>46327</v>
      </c>
      <c r="L49" s="149" t="s">
        <v>88</v>
      </c>
      <c r="M49" s="150" t="n">
        <v>45991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IF(Employee!H$35=E$49,Employee!D$34+SUM(M51)+Oct!V51,SUM(M51)+Oct!V51)</f>
        <v>21000</v>
      </c>
      <c r="W51" s="172" t="n">
        <f aca="false">IF(Employee!H$35=E$49,Employee!D$35+SUM(N51)+Oct!W51,SUM(N51)+Oct!W51)</f>
        <v>3180</v>
      </c>
      <c r="X51" s="172" t="n">
        <f aca="false">IF(O51=" ",Oct!X51,O51+Oct!X51)</f>
        <v>1200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16620</v>
      </c>
      <c r="AC51" s="172" t="n">
        <f aca="false">IF(T51=" ",Oct!AC51,T51+Oct!AC51)</f>
        <v>2295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IF(Employee!H$61=E$49,Employee!D$60+SUM(M52)+Oct!V52,SUM(M52)+Oct!V52)</f>
        <v>13200</v>
      </c>
      <c r="W52" s="172" t="n">
        <f aca="false">IF(Employee!H$61=E$49,Employee!D$61+SUM(N52)+Oct!W52,SUM(N52)+Oct!W52)</f>
        <v>1620</v>
      </c>
      <c r="X52" s="172" t="n">
        <f aca="false">IF(O52=" ",Oct!X52,O52+Oct!X52)</f>
        <v>576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11004</v>
      </c>
      <c r="AC52" s="172" t="n">
        <f aca="false">IF(T52=" ",Oct!AC52,T52+Oct!AC52)</f>
        <v>1125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IF(Employee!H$87=E$49,Employee!D$86+SUM(M53)+Oct!V53,SUM(M53)+Oct!V53)</f>
        <v>6288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6288</v>
      </c>
      <c r="AC53" s="172" t="n">
        <f aca="false">IF(T53=" ",Oct!AC53,T53+Oct!AC53)</f>
        <v>43.2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35</v>
      </c>
      <c r="F9" s="144"/>
      <c r="G9" s="144"/>
      <c r="H9" s="146" t="s">
        <v>85</v>
      </c>
      <c r="I9" s="146"/>
      <c r="J9" s="146"/>
      <c r="K9" s="215" t="n">
        <f aca="false">Nov!M39+1</f>
        <v>46354</v>
      </c>
      <c r="L9" s="149" t="s">
        <v>88</v>
      </c>
      <c r="M9" s="150" t="n">
        <f aca="false">K9+6</f>
        <v>46360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7000</v>
      </c>
      <c r="W11" s="172" t="n">
        <f aca="false">IF(Employee!H$34=E$9,Employee!D$35+SUM(N11)+Nov!W41,SUM(N11)+Nov!W41)</f>
        <v>1060</v>
      </c>
      <c r="X11" s="172" t="n">
        <f aca="false">IF(O11=" ",Nov!X41,O11+Nov!X41)</f>
        <v>400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5540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4400</v>
      </c>
      <c r="W12" s="172" t="n">
        <f aca="false">IF(Employee!H$60=E$9,Employee!D$61+SUM(N12)+Nov!W42,SUM(N12)+Nov!W42)</f>
        <v>540</v>
      </c>
      <c r="X12" s="172" t="n">
        <f aca="false">IF(O12=" ",Nov!X42,O12+Nov!X42)</f>
        <v>192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3668</v>
      </c>
      <c r="AC12" s="172" t="n">
        <f aca="false">IF(T12=" ",Nov!AC42,T12+Nov!AC42)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2096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2096</v>
      </c>
      <c r="AC13" s="172" t="n">
        <f aca="false">IF(T13=" ",Nov!AC43,T13+Nov!AC43)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36</v>
      </c>
      <c r="F19" s="144"/>
      <c r="G19" s="144"/>
      <c r="H19" s="146" t="s">
        <v>85</v>
      </c>
      <c r="I19" s="146"/>
      <c r="J19" s="146"/>
      <c r="K19" s="215" t="n">
        <f aca="false">M9+1</f>
        <v>46361</v>
      </c>
      <c r="L19" s="149" t="s">
        <v>88</v>
      </c>
      <c r="M19" s="150" t="n">
        <f aca="false">K19+6</f>
        <v>46367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37</v>
      </c>
      <c r="F29" s="144"/>
      <c r="G29" s="144"/>
      <c r="H29" s="146" t="s">
        <v>85</v>
      </c>
      <c r="I29" s="146"/>
      <c r="J29" s="146"/>
      <c r="K29" s="215" t="n">
        <f aca="false">M19+1</f>
        <v>46368</v>
      </c>
      <c r="L29" s="149" t="s">
        <v>88</v>
      </c>
      <c r="M29" s="150" t="n">
        <f aca="false">K29+6</f>
        <v>46374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38</v>
      </c>
      <c r="F39" s="144"/>
      <c r="G39" s="144"/>
      <c r="H39" s="146" t="s">
        <v>85</v>
      </c>
      <c r="I39" s="146"/>
      <c r="J39" s="146"/>
      <c r="K39" s="215" t="n">
        <f aca="false">M29+1</f>
        <v>46375</v>
      </c>
      <c r="L39" s="149" t="s">
        <v>88</v>
      </c>
      <c r="M39" s="150" t="n">
        <f aca="false">K39+6</f>
        <v>46381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39</v>
      </c>
      <c r="F49" s="144"/>
      <c r="G49" s="144"/>
      <c r="H49" s="146" t="s">
        <v>85</v>
      </c>
      <c r="I49" s="146"/>
      <c r="J49" s="146"/>
      <c r="K49" s="215" t="n">
        <f aca="false">M39+1</f>
        <v>46382</v>
      </c>
      <c r="L49" s="149" t="s">
        <v>88</v>
      </c>
      <c r="M49" s="150" t="n">
        <v>46022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10500</v>
      </c>
      <c r="W51" s="172" t="n">
        <f aca="false">IF(Employee!H$34=E$49,Employee!D$35+SUM(N51)+W41,SUM(N51)+W41)</f>
        <v>1590</v>
      </c>
      <c r="X51" s="172" t="n">
        <f aca="false">IF(O51=" ",X41,O51+X41)</f>
        <v>600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8310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6600</v>
      </c>
      <c r="W52" s="172" t="n">
        <f aca="false">IF(Employee!H$60=E$49,Employee!D$61+SUM(N52)+W42,SUM(N52)+W42)</f>
        <v>810</v>
      </c>
      <c r="X52" s="172" t="n">
        <f aca="false">IF(O52=" ",X42,O52+X42)</f>
        <v>288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5502</v>
      </c>
      <c r="AC52" s="172" t="n">
        <f aca="false">IF(T52=" ",AC42,T52+AC42)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3144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3144</v>
      </c>
      <c r="AC53" s="172" t="n">
        <f aca="false">IF(T53=" ",AC43,T53+AC43)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9</v>
      </c>
      <c r="F59" s="144"/>
      <c r="G59" s="144"/>
      <c r="H59" s="146" t="s">
        <v>85</v>
      </c>
      <c r="I59" s="146"/>
      <c r="J59" s="146"/>
      <c r="K59" s="215" t="n">
        <f aca="false">Admin!B241</f>
        <v>46357</v>
      </c>
      <c r="L59" s="149" t="s">
        <v>88</v>
      </c>
      <c r="M59" s="150" t="n">
        <f aca="false">Admin!B271</f>
        <v>46387</v>
      </c>
      <c r="N59" s="151"/>
      <c r="O59" s="198" t="s">
        <v>102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21000</v>
      </c>
      <c r="W61" s="172" t="n">
        <f aca="false">IF(Employee!H$35=E$59,Employee!D$35+SUM(N61)+Nov!W51,SUM(N61)+Nov!W51)</f>
        <v>3180</v>
      </c>
      <c r="X61" s="172" t="n">
        <f aca="false">IF(O61=" ",Nov!X51,O61+Nov!X51)</f>
        <v>1200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16620</v>
      </c>
      <c r="AC61" s="172" t="n">
        <f aca="false">IF(T61=" ",Nov!AC51,T61+Nov!AC51)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13200</v>
      </c>
      <c r="W62" s="172" t="n">
        <f aca="false">IF(Employee!H$61=E$59,Employee!D$61+SUM(N62)+Nov!W52,SUM(N62)+Nov!W52)</f>
        <v>1620</v>
      </c>
      <c r="X62" s="172" t="n">
        <f aca="false">IF(O62=" ",Nov!X52,O62+Nov!X52)</f>
        <v>576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11004</v>
      </c>
      <c r="AC62" s="172" t="n">
        <f aca="false">IF(T62=" ",Nov!AC52,T62+Nov!AC52)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6288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6288</v>
      </c>
      <c r="AC63" s="172" t="n">
        <f aca="false">IF(T63=" ",Nov!AC53,T63+Nov!AC53)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99</v>
      </c>
      <c r="G69" s="219"/>
      <c r="H69" s="219"/>
      <c r="M69" s="220" t="s">
        <v>100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101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40</v>
      </c>
      <c r="F9" s="144"/>
      <c r="G9" s="144"/>
      <c r="H9" s="146" t="s">
        <v>85</v>
      </c>
      <c r="I9" s="146"/>
      <c r="J9" s="146"/>
      <c r="K9" s="215" t="n">
        <f aca="false">Dec!M49+1</f>
        <v>46023</v>
      </c>
      <c r="L9" s="149" t="s">
        <v>88</v>
      </c>
      <c r="M9" s="150" t="n">
        <f aca="false">K9+6</f>
        <v>46029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10500</v>
      </c>
      <c r="W11" s="172" t="n">
        <f aca="false">IF(Employee!H$34=E$9,Employee!D$35+SUM(N11)+Dec!W51,SUM(N11)+Dec!W51)</f>
        <v>1590</v>
      </c>
      <c r="X11" s="172" t="n">
        <f aca="false">IF(O11=" ",Dec!X51,O11+Dec!X51)</f>
        <v>600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8310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6600</v>
      </c>
      <c r="W12" s="172" t="n">
        <f aca="false">IF(Employee!H$60=E$9,Employee!D$61+SUM(N12)+Dec!W52,SUM(N12)+Dec!W52)</f>
        <v>810</v>
      </c>
      <c r="X12" s="172" t="n">
        <f aca="false">IF(O12=" ",Dec!X52,O12+Dec!X52)</f>
        <v>288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5502</v>
      </c>
      <c r="AC12" s="172" t="n">
        <f aca="false">IF(T12=" ",Dec!AC52,T12+Dec!AC52)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3144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3144</v>
      </c>
      <c r="AC13" s="172" t="n">
        <f aca="false">IF(T13=" ",Dec!AC53,T13+Dec!AC53)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41</v>
      </c>
      <c r="F19" s="144"/>
      <c r="G19" s="144"/>
      <c r="H19" s="146" t="s">
        <v>85</v>
      </c>
      <c r="I19" s="146"/>
      <c r="J19" s="146"/>
      <c r="K19" s="215" t="n">
        <f aca="false">M9+1</f>
        <v>46030</v>
      </c>
      <c r="L19" s="149" t="s">
        <v>88</v>
      </c>
      <c r="M19" s="150" t="n">
        <f aca="false">K19+6</f>
        <v>46036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42</v>
      </c>
      <c r="F29" s="144"/>
      <c r="G29" s="144"/>
      <c r="H29" s="146" t="s">
        <v>85</v>
      </c>
      <c r="I29" s="146"/>
      <c r="J29" s="146"/>
      <c r="K29" s="215" t="n">
        <f aca="false">M19+1</f>
        <v>46037</v>
      </c>
      <c r="L29" s="149" t="s">
        <v>88</v>
      </c>
      <c r="M29" s="150" t="n">
        <f aca="false">K29+6</f>
        <v>46043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43</v>
      </c>
      <c r="F39" s="144"/>
      <c r="G39" s="144"/>
      <c r="H39" s="146" t="s">
        <v>85</v>
      </c>
      <c r="I39" s="146"/>
      <c r="J39" s="146"/>
      <c r="K39" s="215" t="n">
        <f aca="false">M29+1</f>
        <v>46044</v>
      </c>
      <c r="L39" s="149" t="s">
        <v>88</v>
      </c>
      <c r="M39" s="150" t="n">
        <f aca="false">K39+6</f>
        <v>46050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10</v>
      </c>
      <c r="F49" s="144"/>
      <c r="G49" s="144"/>
      <c r="H49" s="146" t="s">
        <v>85</v>
      </c>
      <c r="I49" s="146"/>
      <c r="J49" s="146"/>
      <c r="K49" s="215" t="n">
        <f aca="false">Admin!B272</f>
        <v>46388</v>
      </c>
      <c r="L49" s="149" t="s">
        <v>88</v>
      </c>
      <c r="M49" s="150" t="n">
        <v>46053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IF(Employee!H$35=E$49,Employee!D$34+SUM(M51)+Dec!V61,SUM(M51)+Dec!V61)</f>
        <v>24500</v>
      </c>
      <c r="W51" s="172" t="n">
        <f aca="false">IF(Employee!H$35=E$49,Employee!D$35+SUM(N51)+Dec!W61,SUM(N51)+Dec!W61)</f>
        <v>3710</v>
      </c>
      <c r="X51" s="172" t="n">
        <f aca="false">IF(O51=" ",Dec!X61,O51+Dec!X61)</f>
        <v>1400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19390</v>
      </c>
      <c r="AC51" s="172" t="n">
        <f aca="false">IF(T51=" ",Dec!AC61,T51+Dec!AC61)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IF(Employee!H$61=E$49,Employee!D$60+SUM(M52)+Dec!V62,SUM(M52)+Dec!V62)</f>
        <v>15400</v>
      </c>
      <c r="W52" s="172" t="n">
        <f aca="false">IF(Employee!H$61=E$49,Employee!D$61+SUM(N52)+Dec!W62,SUM(N52)+Dec!W62)</f>
        <v>1890</v>
      </c>
      <c r="X52" s="172" t="n">
        <f aca="false">IF(O52=" ",Dec!X62,O52+Dec!X62)</f>
        <v>672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12838</v>
      </c>
      <c r="AC52" s="172" t="n">
        <f aca="false">IF(T52=" ",Dec!AC62,T52+Dec!AC62)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IF(Employee!H$87=E$49,Employee!D$86+SUM(M53)+Dec!V63,SUM(M53)+Dec!V63)</f>
        <v>7336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7336</v>
      </c>
      <c r="AC53" s="172" t="n">
        <f aca="false">IF(T53=" ",Dec!AC63,T53+Dec!AC63)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44</v>
      </c>
      <c r="F9" s="144"/>
      <c r="G9" s="144"/>
      <c r="H9" s="146" t="s">
        <v>85</v>
      </c>
      <c r="I9" s="146"/>
      <c r="J9" s="146"/>
      <c r="K9" s="215" t="n">
        <f aca="false">Jan!M39+1</f>
        <v>46051</v>
      </c>
      <c r="L9" s="149" t="s">
        <v>88</v>
      </c>
      <c r="M9" s="150" t="n">
        <f aca="false">K9+6</f>
        <v>46057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10500</v>
      </c>
      <c r="W11" s="172" t="n">
        <f aca="false">IF(Employee!H$34=E$9,Employee!D$35+SUM(N11)+Jan!W41,SUM(N11)+Jan!W41)</f>
        <v>1590</v>
      </c>
      <c r="X11" s="172" t="n">
        <f aca="false">IF(O11=" ",Jan!X41,O11+Jan!X41)</f>
        <v>600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8310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6600</v>
      </c>
      <c r="W12" s="172" t="n">
        <f aca="false">IF(Employee!H$60=E$9,Employee!D$61+SUM(N12)+Jan!W42,SUM(N12)+Jan!W42)</f>
        <v>810</v>
      </c>
      <c r="X12" s="172" t="n">
        <f aca="false">IF(O12=" ",Jan!X42,O12+Jan!X42)</f>
        <v>288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5502</v>
      </c>
      <c r="AC12" s="172" t="n">
        <f aca="false">IF(T12=" ",Jan!AC42,T12+Jan!AC42)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3144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3144</v>
      </c>
      <c r="AC13" s="172" t="n">
        <f aca="false">IF(T13=" ",Jan!AC43,T13+Jan!AC43)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45</v>
      </c>
      <c r="F19" s="144"/>
      <c r="G19" s="144"/>
      <c r="H19" s="146" t="s">
        <v>85</v>
      </c>
      <c r="I19" s="146"/>
      <c r="J19" s="146"/>
      <c r="K19" s="215" t="n">
        <f aca="false">M9+1</f>
        <v>46058</v>
      </c>
      <c r="L19" s="149" t="s">
        <v>88</v>
      </c>
      <c r="M19" s="150" t="n">
        <f aca="false">K19+6</f>
        <v>46064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46</v>
      </c>
      <c r="F29" s="144"/>
      <c r="G29" s="144"/>
      <c r="H29" s="146" t="s">
        <v>85</v>
      </c>
      <c r="I29" s="146"/>
      <c r="J29" s="146"/>
      <c r="K29" s="215" t="n">
        <f aca="false">M19+1</f>
        <v>46065</v>
      </c>
      <c r="L29" s="149" t="s">
        <v>88</v>
      </c>
      <c r="M29" s="150" t="n">
        <f aca="false">K29+6</f>
        <v>46071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47</v>
      </c>
      <c r="F39" s="144"/>
      <c r="G39" s="144"/>
      <c r="H39" s="146" t="s">
        <v>85</v>
      </c>
      <c r="I39" s="146"/>
      <c r="J39" s="146"/>
      <c r="K39" s="215" t="n">
        <f aca="false">M29+1</f>
        <v>46072</v>
      </c>
      <c r="L39" s="149" t="s">
        <v>88</v>
      </c>
      <c r="M39" s="150" t="n">
        <f aca="false">K39+6</f>
        <v>46078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11</v>
      </c>
      <c r="F49" s="144"/>
      <c r="G49" s="144"/>
      <c r="H49" s="146" t="s">
        <v>85</v>
      </c>
      <c r="I49" s="146"/>
      <c r="J49" s="146"/>
      <c r="K49" s="215" t="n">
        <f aca="false">Admin!B303</f>
        <v>46419</v>
      </c>
      <c r="L49" s="149" t="s">
        <v>88</v>
      </c>
      <c r="M49" s="150" t="n">
        <v>46081</v>
      </c>
      <c r="N49" s="151"/>
      <c r="O49" s="198" t="s">
        <v>102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/>
      <c r="T51" s="170" t="n">
        <v>382.5</v>
      </c>
      <c r="U51" s="171"/>
      <c r="V51" s="172" t="n">
        <f aca="false">IF(Employee!H$35=E$49,Employee!D$34+SUM(M51)+Jan!V51,SUM(M51)+Jan!V51)</f>
        <v>28000</v>
      </c>
      <c r="W51" s="172" t="n">
        <f aca="false">IF(Employee!H$35=E$49,Employee!D$35+SUM(N51)+Jan!W51,SUM(N51)+Jan!W51)</f>
        <v>4240</v>
      </c>
      <c r="X51" s="172" t="n">
        <f aca="false">IF(O51=" ",Jan!X51,O51+Jan!X51)</f>
        <v>1600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22160</v>
      </c>
      <c r="AC51" s="172" t="n">
        <f aca="false">IF(T51=" ",Jan!AC51,T51+Jan!AC51)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97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/>
      <c r="T52" s="180" t="n">
        <v>187.5</v>
      </c>
      <c r="U52" s="171"/>
      <c r="V52" s="172" t="n">
        <f aca="false">IF(Employee!H$61=E$49,Employee!D$60+SUM(M52)+Jan!V52,SUM(M52)+Jan!V52)</f>
        <v>17600</v>
      </c>
      <c r="W52" s="172" t="n">
        <f aca="false">IF(Employee!H$61=E$49,Employee!D$61+SUM(N52)+Jan!W52,SUM(N52)+Jan!W52)</f>
        <v>2160</v>
      </c>
      <c r="X52" s="172" t="n">
        <f aca="false">IF(O52=" ",Jan!X52,O52+Jan!X52)</f>
        <v>768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14672</v>
      </c>
      <c r="AC52" s="172" t="n">
        <f aca="false">IF(T52=" ",Jan!AC52,T52+Jan!AC52)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98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/>
      <c r="T53" s="180" t="n">
        <v>7.2</v>
      </c>
      <c r="U53" s="171"/>
      <c r="V53" s="172" t="n">
        <f aca="false">IF(Employee!H$87=E$49,Employee!D$86+SUM(M53)+Jan!V53,SUM(M53)+Jan!V53)</f>
        <v>8384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8384</v>
      </c>
      <c r="AC53" s="172" t="n">
        <f aca="false">IF(T53=" ",Jan!AC53,T53+Jan!AC53)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99</v>
      </c>
      <c r="G59" s="219"/>
      <c r="H59" s="219"/>
      <c r="M59" s="220" t="s">
        <v>100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101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52</v>
      </c>
      <c r="J1" s="261"/>
      <c r="K1" s="261"/>
      <c r="L1" s="261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48</v>
      </c>
      <c r="F9" s="144"/>
      <c r="G9" s="144"/>
      <c r="H9" s="146" t="s">
        <v>85</v>
      </c>
      <c r="I9" s="146"/>
      <c r="J9" s="146"/>
      <c r="K9" s="215" t="n">
        <f aca="false">Feb!M39+1</f>
        <v>46079</v>
      </c>
      <c r="L9" s="149" t="s">
        <v>88</v>
      </c>
      <c r="M9" s="150" t="n">
        <f aca="false">K9+6</f>
        <v>46085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10500</v>
      </c>
      <c r="W11" s="172" t="n">
        <f aca="false">IF(Employee!H$34=E$9,Employee!D$35+SUM(N11)+Feb!W41,SUM(N11)+Feb!W41)</f>
        <v>1590</v>
      </c>
      <c r="X11" s="172" t="n">
        <f aca="false">IF(O11=" ",Feb!X41,O11+Feb!X41)</f>
        <v>600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8310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6600</v>
      </c>
      <c r="W12" s="172" t="n">
        <f aca="false">IF(Employee!H$60=E$9,Employee!D$61+SUM(N12)+Feb!W42,SUM(N12)+Feb!W42)</f>
        <v>810</v>
      </c>
      <c r="X12" s="172" t="n">
        <f aca="false">IF(O12=" ",Feb!X42,O12+Feb!X42)</f>
        <v>288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5502</v>
      </c>
      <c r="AC12" s="172" t="n">
        <f aca="false">IF(T12=" ",Feb!AC42,T12+Feb!AC42)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3144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3144</v>
      </c>
      <c r="AC13" s="172" t="n">
        <f aca="false">IF(T13=" ",Feb!AC43,T13+Feb!AC43)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49</v>
      </c>
      <c r="F19" s="144"/>
      <c r="G19" s="144"/>
      <c r="H19" s="146" t="s">
        <v>85</v>
      </c>
      <c r="I19" s="146"/>
      <c r="J19" s="146"/>
      <c r="K19" s="215" t="n">
        <f aca="false">M9+1</f>
        <v>46086</v>
      </c>
      <c r="L19" s="149" t="s">
        <v>88</v>
      </c>
      <c r="M19" s="150" t="n">
        <f aca="false">K19+6</f>
        <v>46092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50</v>
      </c>
      <c r="F29" s="144"/>
      <c r="G29" s="144"/>
      <c r="H29" s="146" t="s">
        <v>85</v>
      </c>
      <c r="I29" s="146"/>
      <c r="J29" s="146"/>
      <c r="K29" s="215" t="n">
        <f aca="false">M19+1</f>
        <v>46093</v>
      </c>
      <c r="L29" s="149" t="s">
        <v>88</v>
      </c>
      <c r="M29" s="150" t="n">
        <f aca="false">K29+6</f>
        <v>46099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51</v>
      </c>
      <c r="F39" s="144"/>
      <c r="G39" s="144"/>
      <c r="H39" s="146" t="s">
        <v>85</v>
      </c>
      <c r="I39" s="146"/>
      <c r="J39" s="146"/>
      <c r="K39" s="215" t="n">
        <f aca="false">M29+1</f>
        <v>46100</v>
      </c>
      <c r="L39" s="149" t="s">
        <v>88</v>
      </c>
      <c r="M39" s="150" t="n">
        <f aca="false">K39+6</f>
        <v>46106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52</v>
      </c>
      <c r="F49" s="144"/>
      <c r="G49" s="144"/>
      <c r="H49" s="146" t="s">
        <v>85</v>
      </c>
      <c r="I49" s="146"/>
      <c r="J49" s="146"/>
      <c r="K49" s="215" t="n">
        <f aca="false">M39+1</f>
        <v>46107</v>
      </c>
      <c r="L49" s="149" t="s">
        <v>88</v>
      </c>
      <c r="M49" s="150" t="n">
        <v>46112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/>
      <c r="T51" s="170" t="n">
        <v>382.5</v>
      </c>
      <c r="U51" s="171"/>
      <c r="V51" s="172" t="n">
        <f aca="false">IF(Employee!H$34=E$49,Employee!D$34+SUM(M51)+V41,SUM(M51)+V41)</f>
        <v>14000</v>
      </c>
      <c r="W51" s="172" t="n">
        <f aca="false">IF(Employee!H$34=E$49,Employee!D$35+SUM(N51)+W41,SUM(N51)+W41)</f>
        <v>2120</v>
      </c>
      <c r="X51" s="172" t="n">
        <f aca="false">IF(O51=" ",X41,O51+X41)</f>
        <v>800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11080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97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/>
      <c r="T52" s="180" t="n">
        <v>187.5</v>
      </c>
      <c r="U52" s="171"/>
      <c r="V52" s="172" t="n">
        <f aca="false">IF(Employee!H$60=E$49,Employee!D$60+SUM(M52)+V42,SUM(M52)+V42)</f>
        <v>8800</v>
      </c>
      <c r="W52" s="172" t="n">
        <f aca="false">IF(Employee!H$60=E$49,Employee!D$61+SUM(N52)+W42,SUM(N52)+W42)</f>
        <v>1080</v>
      </c>
      <c r="X52" s="172" t="n">
        <f aca="false">IF(O52=" ",X42,O52+X42)</f>
        <v>384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7336</v>
      </c>
      <c r="AC52" s="172" t="n">
        <f aca="false">IF(T52=" ",AC42,T52+AC42)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98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/>
      <c r="T53" s="180" t="n">
        <v>7.2</v>
      </c>
      <c r="U53" s="171"/>
      <c r="V53" s="172" t="n">
        <f aca="false">IF(Employee!H$86=E$49,Employee!D$86+SUM(M53)+V43,SUM(M53)+V43)</f>
        <v>4192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4192</v>
      </c>
      <c r="AC53" s="172" t="n">
        <f aca="false">IF(T53=" ",AC43,T53+AC43)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84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86</v>
      </c>
      <c r="C59" s="146"/>
      <c r="D59" s="146"/>
      <c r="E59" s="147" t="n">
        <v>53</v>
      </c>
      <c r="F59" s="144"/>
      <c r="G59" s="144"/>
      <c r="H59" s="146" t="s">
        <v>85</v>
      </c>
      <c r="I59" s="146"/>
      <c r="J59" s="146"/>
      <c r="K59" s="215" t="n">
        <f aca="false">M49+1</f>
        <v>46113</v>
      </c>
      <c r="L59" s="149" t="s">
        <v>88</v>
      </c>
      <c r="M59" s="150" t="n">
        <f aca="false">K59+4</f>
        <v>46117</v>
      </c>
      <c r="N59" s="151"/>
      <c r="O59" s="198" t="s">
        <v>91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103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14000</v>
      </c>
      <c r="W61" s="172" t="n">
        <f aca="false">IF(Employee!H$34=E$59,Employee!D$35+SUM(N61)+W51,SUM(N61)+W51)</f>
        <v>2120</v>
      </c>
      <c r="X61" s="172" t="n">
        <f aca="false">IF(O61=" ",X51,O61+X51)</f>
        <v>800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11080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8800</v>
      </c>
      <c r="W62" s="172" t="n">
        <f aca="false">IF(Employee!H$60=E$59,Employee!D$61+SUM(N62)+W52,SUM(N62)+W52)</f>
        <v>1080</v>
      </c>
      <c r="X62" s="172" t="n">
        <f aca="false">IF(O62=" ",X52,O62+X52)</f>
        <v>384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7336</v>
      </c>
      <c r="AC62" s="172" t="n">
        <f aca="false">IF(T62=" ",AC52,T62+AC52)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4192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4192</v>
      </c>
      <c r="AC63" s="172" t="n">
        <f aca="false">IF(T63=" ",AC53,T63+AC53)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92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85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93</v>
      </c>
      <c r="C69" s="146"/>
      <c r="D69" s="146"/>
      <c r="E69" s="147" t="n">
        <v>12</v>
      </c>
      <c r="F69" s="144"/>
      <c r="G69" s="144"/>
      <c r="H69" s="146" t="s">
        <v>85</v>
      </c>
      <c r="I69" s="146"/>
      <c r="J69" s="146"/>
      <c r="K69" s="215" t="n">
        <f aca="false">Admin!B331</f>
        <v>46447</v>
      </c>
      <c r="L69" s="149" t="s">
        <v>88</v>
      </c>
      <c r="M69" s="150" t="n">
        <f aca="false">Admin!B361</f>
        <v>46477</v>
      </c>
      <c r="N69" s="151"/>
      <c r="O69" s="198" t="s">
        <v>102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89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28000</v>
      </c>
      <c r="W71" s="172" t="n">
        <f aca="false">IF(Employee!H$35=E$69,Employee!D$35+SUM(N71)+Feb!W51,SUM(N71)+Feb!W51)</f>
        <v>4240</v>
      </c>
      <c r="X71" s="172" t="n">
        <f aca="false">IF(O71=" ",Feb!X51,O71+Feb!X51)</f>
        <v>1600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22160</v>
      </c>
      <c r="AC71" s="172" t="n">
        <f aca="false">IF(T71=" ",Feb!AC51,T71+Feb!AC51)</f>
        <v>3060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89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17600</v>
      </c>
      <c r="W72" s="172" t="n">
        <f aca="false">IF(Employee!H$61=E$69,Employee!D$61+SUM(N72)+Feb!W52,SUM(N72)+Feb!W52)</f>
        <v>2160</v>
      </c>
      <c r="X72" s="172" t="n">
        <f aca="false">IF(O72=" ",Feb!X52,O72+Feb!X52)</f>
        <v>768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14672</v>
      </c>
      <c r="AC72" s="172" t="n">
        <f aca="false">IF(T72=" ",Feb!AC52,T72+Feb!AC52)</f>
        <v>1500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89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8384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8384</v>
      </c>
      <c r="AC73" s="172" t="n">
        <f aca="false">IF(T73=" ",Feb!AC53,T73+Feb!AC53)</f>
        <v>57.6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89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89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90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99</v>
      </c>
      <c r="G79" s="219"/>
      <c r="H79" s="219"/>
      <c r="M79" s="220" t="s">
        <v>100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101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104</v>
      </c>
      <c r="C3" s="271"/>
      <c r="D3" s="271"/>
      <c r="E3" s="271"/>
      <c r="F3" s="272" t="s">
        <v>105</v>
      </c>
      <c r="G3" s="273" t="s">
        <v>106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107</v>
      </c>
      <c r="C4" s="271"/>
      <c r="D4" s="271"/>
      <c r="E4" s="271"/>
      <c r="F4" s="272" t="n">
        <v>1</v>
      </c>
      <c r="G4" s="273" t="s">
        <v>108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#VALUE!</v>
      </c>
      <c r="C7" s="282"/>
      <c r="D7" s="282"/>
      <c r="E7" s="282"/>
      <c r="F7" s="282"/>
      <c r="G7" s="283" t="e">
        <f aca="false">IF(G14=" "," ",Employee!$D$15)</f>
        <v>#VALUE!</v>
      </c>
      <c r="H7" s="283"/>
      <c r="I7" s="284" t="e">
        <f aca="false">IF(G14=" "," ",Employee!$D$16)</f>
        <v>#VALUE!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#VALUE!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#VALUE!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#VALUE!</v>
      </c>
      <c r="C9" s="288"/>
      <c r="D9" s="288"/>
      <c r="E9" s="294" t="e">
        <f aca="false">IF(M14=" "," ",Employee!$D$9)</f>
        <v>#VALUE!</v>
      </c>
      <c r="F9" s="271"/>
      <c r="G9" s="295"/>
      <c r="H9" s="296" t="s">
        <v>109</v>
      </c>
      <c r="I9" s="297" t="e">
        <f aca="true">INDIRECT($H$3&amp;"!M"&amp;$H$4+1)</f>
        <v>#REF!</v>
      </c>
      <c r="J9" s="298" t="s">
        <v>58</v>
      </c>
      <c r="K9" s="298"/>
      <c r="L9" s="296" t="s">
        <v>110</v>
      </c>
      <c r="M9" s="292" t="e">
        <f aca="false">IF(M8=" "," ",Employee!$M$15)</f>
        <v>#VALUE!</v>
      </c>
      <c r="N9" s="293"/>
    </row>
    <row r="10" customFormat="false" ht="21" hidden="false" customHeight="true" outlineLevel="0" collapsed="false">
      <c r="A10" s="287"/>
      <c r="B10" s="296" t="s">
        <v>111</v>
      </c>
      <c r="C10" s="299" t="str">
        <f aca="false">Employee!$D$29</f>
        <v>EMP001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#VALUE!</v>
      </c>
      <c r="K10" s="304"/>
      <c r="L10" s="296" t="s">
        <v>112</v>
      </c>
      <c r="M10" s="292" t="e">
        <f aca="true">IF(M8=" "," ",INDIRECT($H$3&amp;"!C"&amp;$H$4+2+C10))</f>
        <v>#VALUE!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113</v>
      </c>
      <c r="C12" s="306"/>
      <c r="D12" s="306"/>
      <c r="E12" s="306"/>
      <c r="F12" s="306"/>
      <c r="G12" s="307" t="s">
        <v>114</v>
      </c>
      <c r="H12" s="308" t="s">
        <v>115</v>
      </c>
      <c r="I12" s="308"/>
      <c r="J12" s="308"/>
      <c r="K12" s="308"/>
      <c r="L12" s="308"/>
      <c r="M12" s="309" t="s">
        <v>116</v>
      </c>
      <c r="N12" s="293"/>
    </row>
    <row r="13" s="313" customFormat="true" ht="21" hidden="false" customHeight="true" outlineLevel="0" collapsed="false">
      <c r="A13" s="287"/>
      <c r="B13" s="310" t="s">
        <v>117</v>
      </c>
      <c r="C13" s="310" t="s">
        <v>118</v>
      </c>
      <c r="D13" s="310" t="s">
        <v>119</v>
      </c>
      <c r="E13" s="310" t="s">
        <v>120</v>
      </c>
      <c r="F13" s="311" t="s">
        <v>121</v>
      </c>
      <c r="G13" s="307"/>
      <c r="H13" s="312" t="s">
        <v>122</v>
      </c>
      <c r="I13" s="310" t="s">
        <v>123</v>
      </c>
      <c r="J13" s="310" t="s">
        <v>124</v>
      </c>
      <c r="K13" s="310"/>
      <c r="L13" s="311" t="s">
        <v>71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#VALUE!</v>
      </c>
      <c r="C14" s="315" t="e">
        <f aca="true">IF(M8=" "," ",INDIRECT($H$3&amp;"!I"&amp;$H$4+2+C10))</f>
        <v>#VALUE!</v>
      </c>
      <c r="D14" s="315" t="e">
        <f aca="true">IF(M8=" "," ",INDIRECT($H$3&amp;"!J"&amp;$H$4+2+C10))</f>
        <v>#VALUE!</v>
      </c>
      <c r="E14" s="315" t="e">
        <f aca="true">IF(M8=" "," ",INDIRECT($H$3&amp;"!K"&amp;$H$4+2+C10))</f>
        <v>#VALUE!</v>
      </c>
      <c r="F14" s="316" t="e">
        <f aca="true">IF(M8=" "," ",INDIRECT($H$3&amp;"!L"&amp;$H$4+2+C10))</f>
        <v>#VALUE!</v>
      </c>
      <c r="G14" s="317" t="e">
        <f aca="true">IF(M8=" "," ",INDIRECT($H$3&amp;"!M"&amp;$H$4+2+C10))</f>
        <v>#VALUE!</v>
      </c>
      <c r="H14" s="318" t="e">
        <f aca="true">IF(M8=" "," ",INDIRECT($H$3&amp;"!N"&amp;$H$4+2+C10))</f>
        <v>#VALUE!</v>
      </c>
      <c r="I14" s="315" t="e">
        <f aca="true">IF(M8=" "," ",INDIRECT($H$3&amp;"!O"&amp;$H$4+2+C10))</f>
        <v>#VALUE!</v>
      </c>
      <c r="J14" s="315" t="e">
        <f aca="true">IF(M8=" "," ",INDIRECT($H$3&amp;"!P"&amp;$H$4+2+C10))</f>
        <v>#VALUE!</v>
      </c>
      <c r="K14" s="315"/>
      <c r="L14" s="316" t="e">
        <f aca="true">IF(M8=" "," ",INDIRECT($H$3&amp;"!Q"&amp;$H$4+2+C10))</f>
        <v>#VALUE!</v>
      </c>
      <c r="M14" s="319" t="e">
        <f aca="true">IF(M8=" "," ",INDIRECT($H$3&amp;"!R"&amp;$H$4+2+C10))</f>
        <v>#VALUE!</v>
      </c>
      <c r="N14" s="320"/>
    </row>
    <row r="15" s="324" customFormat="true" ht="21" hidden="false" customHeight="true" outlineLevel="0" collapsed="false">
      <c r="A15" s="287"/>
      <c r="B15" s="322" t="s">
        <v>125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126</v>
      </c>
      <c r="F16" s="326"/>
      <c r="G16" s="315" t="e">
        <f aca="true">IF(M8=" "," ",INDIRECT($H$3&amp;"!V"&amp;$H$4+2+C10))</f>
        <v>#VALUE!</v>
      </c>
      <c r="H16" s="315" t="e">
        <f aca="true">IF(M8=" "," ",INDIRECT($H$3&amp;"!W"&amp;$H$4+2+C10))</f>
        <v>#VALUE!</v>
      </c>
      <c r="I16" s="315" t="e">
        <f aca="true">IF(M8=" "," ",INDIRECT($H$3&amp;"!X"&amp;$H$4+2+C10))</f>
        <v>#VALUE!</v>
      </c>
      <c r="J16" s="315" t="e">
        <f aca="true">IF(M8=" "," ",INDIRECT($H$3&amp;"!Y"&amp;$H$4+2+C10))</f>
        <v>#VALUE!</v>
      </c>
      <c r="K16" s="315"/>
      <c r="L16" s="315" t="e">
        <f aca="true">IF(M8=" "," ",INDIRECT($H$3&amp;"!Z"&amp;$H$4+2+C10))</f>
        <v>#VALUE!</v>
      </c>
      <c r="M16" s="315" t="e">
        <f aca="true">IF(M8=" "," ",INDIRECT($H$3&amp;"!AA"&amp;$H$4+2+C10))</f>
        <v>#VALUE!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127</v>
      </c>
      <c r="K18" s="327"/>
      <c r="L18" s="327"/>
      <c r="M18" s="328" t="e">
        <f aca="true">IF(M8=" "," ",INDIRECT($H$3&amp;"!R"&amp;$H$4))</f>
        <v>#VALUE!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#VALUE!</v>
      </c>
      <c r="C21" s="282"/>
      <c r="D21" s="282"/>
      <c r="E21" s="282"/>
      <c r="F21" s="282"/>
      <c r="G21" s="283" t="e">
        <f aca="false">IF(G28=" "," ",Employee!$D$41)</f>
        <v>#VALUE!</v>
      </c>
      <c r="H21" s="283"/>
      <c r="I21" s="284" t="e">
        <f aca="false">IF(G28=" "," ",Employee!$D$42)</f>
        <v>#VALUE!</v>
      </c>
      <c r="J21" s="284"/>
      <c r="K21" s="284"/>
      <c r="L21" s="285" t="s">
        <v>84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#VALUE!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#VALUE!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#VALUE!</v>
      </c>
      <c r="C23" s="288"/>
      <c r="D23" s="288"/>
      <c r="E23" s="294" t="e">
        <f aca="false">IF(M28=" "," ",Employee!$D$9)</f>
        <v>#VALUE!</v>
      </c>
      <c r="F23" s="271"/>
      <c r="G23" s="295"/>
      <c r="H23" s="296" t="s">
        <v>109</v>
      </c>
      <c r="I23" s="297" t="e">
        <f aca="false">I9</f>
        <v>#REF!</v>
      </c>
      <c r="J23" s="298" t="s">
        <v>58</v>
      </c>
      <c r="K23" s="298"/>
      <c r="L23" s="296" t="s">
        <v>110</v>
      </c>
      <c r="M23" s="292" t="e">
        <f aca="false">IF(M22=" "," ",Employee!$M$41)</f>
        <v>#VALUE!</v>
      </c>
      <c r="N23" s="293"/>
    </row>
    <row r="24" customFormat="false" ht="21" hidden="false" customHeight="true" outlineLevel="0" collapsed="false">
      <c r="A24" s="287"/>
      <c r="B24" s="296" t="s">
        <v>111</v>
      </c>
      <c r="C24" s="299" t="str">
        <f aca="false">Employee!$D$55</f>
        <v>EMP002</v>
      </c>
      <c r="D24" s="334"/>
      <c r="E24" s="335"/>
      <c r="F24" s="305"/>
      <c r="G24" s="305"/>
      <c r="H24" s="302" t="s">
        <v>128</v>
      </c>
      <c r="I24" s="303" t="e">
        <f aca="false">I10</f>
        <v>#REF!</v>
      </c>
      <c r="J24" s="304" t="e">
        <f aca="true">IF(M22=" "," ",INDIRECT($H$3&amp;"!D"&amp;$H$4+2+C24))</f>
        <v>#VALUE!</v>
      </c>
      <c r="K24" s="304"/>
      <c r="L24" s="296" t="s">
        <v>112</v>
      </c>
      <c r="M24" s="292" t="e">
        <f aca="true">IF(M22=" "," ",INDIRECT($H$3&amp;"!C"&amp;$H$4+2+C24))</f>
        <v>#VALUE!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113</v>
      </c>
      <c r="C26" s="306"/>
      <c r="D26" s="306"/>
      <c r="E26" s="306"/>
      <c r="F26" s="306"/>
      <c r="G26" s="307" t="s">
        <v>114</v>
      </c>
      <c r="H26" s="306" t="s">
        <v>115</v>
      </c>
      <c r="I26" s="306"/>
      <c r="J26" s="306"/>
      <c r="K26" s="306"/>
      <c r="L26" s="306"/>
      <c r="M26" s="336" t="s">
        <v>116</v>
      </c>
      <c r="N26" s="293"/>
    </row>
    <row r="27" s="313" customFormat="true" ht="21" hidden="false" customHeight="true" outlineLevel="0" collapsed="false">
      <c r="A27" s="287"/>
      <c r="B27" s="310" t="s">
        <v>117</v>
      </c>
      <c r="C27" s="310" t="s">
        <v>118</v>
      </c>
      <c r="D27" s="310" t="s">
        <v>119</v>
      </c>
      <c r="E27" s="310" t="s">
        <v>120</v>
      </c>
      <c r="F27" s="311" t="s">
        <v>121</v>
      </c>
      <c r="G27" s="307"/>
      <c r="H27" s="310" t="s">
        <v>122</v>
      </c>
      <c r="I27" s="310" t="s">
        <v>123</v>
      </c>
      <c r="J27" s="310" t="s">
        <v>124</v>
      </c>
      <c r="K27" s="310"/>
      <c r="L27" s="311" t="s">
        <v>71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#VALUE!</v>
      </c>
      <c r="C28" s="315" t="e">
        <f aca="true">IF(M22=" "," ",INDIRECT($H$3&amp;"!I"&amp;$H$4+2+C24))</f>
        <v>#VALUE!</v>
      </c>
      <c r="D28" s="315" t="e">
        <f aca="true">IF(M22=" "," ",INDIRECT($H$3&amp;"!J"&amp;$H$4+2+C24))</f>
        <v>#VALUE!</v>
      </c>
      <c r="E28" s="315" t="e">
        <f aca="true">IF(M22=" "," ",INDIRECT($H$3&amp;"!K"&amp;$H$4+2+C24))</f>
        <v>#VALUE!</v>
      </c>
      <c r="F28" s="316" t="e">
        <f aca="true">IF(M22=" "," ",INDIRECT($H$3&amp;"!L"&amp;$H$4+2+C24))</f>
        <v>#VALUE!</v>
      </c>
      <c r="G28" s="317" t="e">
        <f aca="true">IF(M22=" "," ",INDIRECT($H$3&amp;"!M"&amp;$H$4+2+C24))</f>
        <v>#VALUE!</v>
      </c>
      <c r="H28" s="318" t="e">
        <f aca="true">IF(M22=" "," ",INDIRECT($H$3&amp;"!N"&amp;$H$4+2+C24))</f>
        <v>#VALUE!</v>
      </c>
      <c r="I28" s="315" t="e">
        <f aca="true">IF(M22=" "," ",INDIRECT($H$3&amp;"!O"&amp;$H$4+2+C24))</f>
        <v>#VALUE!</v>
      </c>
      <c r="J28" s="315" t="e">
        <f aca="true">IF(M22=" "," ",INDIRECT($H$3&amp;"!P"&amp;$H$4+2+C24))</f>
        <v>#VALUE!</v>
      </c>
      <c r="K28" s="315"/>
      <c r="L28" s="316" t="e">
        <f aca="true">IF(M22=" "," ",INDIRECT($H$3&amp;"!Q"&amp;$H$4+2+C24))</f>
        <v>#VALUE!</v>
      </c>
      <c r="M28" s="319" t="e">
        <f aca="true">IF(M22=" "," ",INDIRECT($H$3&amp;"!R"&amp;$H$4+2+C24))</f>
        <v>#VALUE!</v>
      </c>
      <c r="N28" s="293"/>
    </row>
    <row r="29" s="324" customFormat="true" ht="21" hidden="false" customHeight="true" outlineLevel="0" collapsed="false">
      <c r="A29" s="287"/>
      <c r="B29" s="322" t="s">
        <v>125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126</v>
      </c>
      <c r="F30" s="326"/>
      <c r="G30" s="315" t="e">
        <f aca="true">IF(M22=" "," ",INDIRECT($H$3&amp;"!V"&amp;$H$4+2+C24))</f>
        <v>#VALUE!</v>
      </c>
      <c r="H30" s="315" t="e">
        <f aca="true">IF(M22=" "," ",INDIRECT($H$3&amp;"!W"&amp;$H$4+2+C24))</f>
        <v>#VALUE!</v>
      </c>
      <c r="I30" s="315" t="e">
        <f aca="true">IF(M22=" "," ",INDIRECT($H$3&amp;"!X"&amp;$H$4+2+C24))</f>
        <v>#VALUE!</v>
      </c>
      <c r="J30" s="315" t="e">
        <f aca="true">IF(M22=" "," ",INDIRECT($H$3&amp;"!Y"&amp;$H$4+2+C24))</f>
        <v>#VALUE!</v>
      </c>
      <c r="K30" s="315"/>
      <c r="L30" s="315" t="e">
        <f aca="true">IF(M22=" "," ",INDIRECT($H$3&amp;"!Z"&amp;$H$4+2+C24))</f>
        <v>#VALUE!</v>
      </c>
      <c r="M30" s="315" t="e">
        <f aca="true">IF(M22=" "," ",INDIRECT($H$3&amp;"!AA"&amp;$H$4+2+C24))</f>
        <v>#VALUE!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127</v>
      </c>
      <c r="K32" s="327"/>
      <c r="L32" s="327"/>
      <c r="M32" s="328" t="e">
        <f aca="false">M18</f>
        <v>#VALUE!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#VALUE!</v>
      </c>
      <c r="C36" s="282"/>
      <c r="D36" s="282"/>
      <c r="E36" s="282"/>
      <c r="F36" s="282"/>
      <c r="G36" s="283" t="e">
        <f aca="false">IF(G43=" "," ",Employee!$D$67)</f>
        <v>#VALUE!</v>
      </c>
      <c r="H36" s="283"/>
      <c r="I36" s="284" t="e">
        <f aca="false">IF(G43=" "," ",Employee!$D$68)</f>
        <v>#VALUE!</v>
      </c>
      <c r="J36" s="284"/>
      <c r="K36" s="284"/>
      <c r="L36" s="285" t="s">
        <v>84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#VALUE!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#VALUE!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#VALUE!</v>
      </c>
      <c r="C38" s="288"/>
      <c r="D38" s="288"/>
      <c r="E38" s="294" t="e">
        <f aca="false">IF(M43=" "," ",Employee!$D$9)</f>
        <v>#VALUE!</v>
      </c>
      <c r="F38" s="271"/>
      <c r="G38" s="295"/>
      <c r="H38" s="296" t="s">
        <v>109</v>
      </c>
      <c r="I38" s="297" t="e">
        <f aca="false">I23</f>
        <v>#REF!</v>
      </c>
      <c r="J38" s="298" t="s">
        <v>58</v>
      </c>
      <c r="K38" s="298"/>
      <c r="L38" s="296" t="s">
        <v>110</v>
      </c>
      <c r="M38" s="292" t="e">
        <f aca="false">IF(M37=" "," ",Employee!$M$67)</f>
        <v>#VALUE!</v>
      </c>
      <c r="N38" s="293"/>
    </row>
    <row r="39" customFormat="false" ht="21" hidden="false" customHeight="true" outlineLevel="0" collapsed="false">
      <c r="A39" s="287"/>
      <c r="B39" s="296" t="s">
        <v>111</v>
      </c>
      <c r="C39" s="299" t="str">
        <f aca="false">Employee!$D$81</f>
        <v>EMP003</v>
      </c>
      <c r="D39" s="334"/>
      <c r="E39" s="335"/>
      <c r="F39" s="305"/>
      <c r="G39" s="305"/>
      <c r="H39" s="302" t="s">
        <v>128</v>
      </c>
      <c r="I39" s="303" t="e">
        <f aca="false">I24</f>
        <v>#REF!</v>
      </c>
      <c r="J39" s="304" t="e">
        <f aca="true">IF(M37=" "," ",INDIRECT($H$3&amp;"!D"&amp;$H$4+2+C39))</f>
        <v>#VALUE!</v>
      </c>
      <c r="K39" s="304"/>
      <c r="L39" s="296" t="s">
        <v>112</v>
      </c>
      <c r="M39" s="292" t="e">
        <f aca="true">IF(M37=" "," ",INDIRECT($H$3&amp;"!C"&amp;$H$4+2+C39))</f>
        <v>#VALUE!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113</v>
      </c>
      <c r="C41" s="306"/>
      <c r="D41" s="306"/>
      <c r="E41" s="306"/>
      <c r="F41" s="306"/>
      <c r="G41" s="307" t="s">
        <v>114</v>
      </c>
      <c r="H41" s="306" t="s">
        <v>115</v>
      </c>
      <c r="I41" s="306"/>
      <c r="J41" s="306"/>
      <c r="K41" s="306"/>
      <c r="L41" s="306"/>
      <c r="M41" s="336" t="s">
        <v>116</v>
      </c>
      <c r="N41" s="293"/>
    </row>
    <row r="42" s="313" customFormat="true" ht="21" hidden="false" customHeight="true" outlineLevel="0" collapsed="false">
      <c r="A42" s="287"/>
      <c r="B42" s="310" t="s">
        <v>117</v>
      </c>
      <c r="C42" s="310" t="s">
        <v>118</v>
      </c>
      <c r="D42" s="310" t="s">
        <v>119</v>
      </c>
      <c r="E42" s="310" t="s">
        <v>120</v>
      </c>
      <c r="F42" s="311" t="s">
        <v>121</v>
      </c>
      <c r="G42" s="307"/>
      <c r="H42" s="310" t="s">
        <v>122</v>
      </c>
      <c r="I42" s="310" t="s">
        <v>123</v>
      </c>
      <c r="J42" s="310" t="s">
        <v>124</v>
      </c>
      <c r="K42" s="310"/>
      <c r="L42" s="311" t="s">
        <v>71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#VALUE!</v>
      </c>
      <c r="C43" s="315" t="e">
        <f aca="true">IF(M37=" "," ",INDIRECT($H$3&amp;"!I"&amp;$H$4+2+C39))</f>
        <v>#VALUE!</v>
      </c>
      <c r="D43" s="315" t="e">
        <f aca="true">IF(M37=" "," ",INDIRECT($H$3&amp;"!J"&amp;$H$4+2+C39))</f>
        <v>#VALUE!</v>
      </c>
      <c r="E43" s="315" t="e">
        <f aca="true">IF(M37=" "," ",INDIRECT($H$3&amp;"!K"&amp;$H$4+2+C39))</f>
        <v>#VALUE!</v>
      </c>
      <c r="F43" s="316" t="e">
        <f aca="true">IF(M37=" "," ",INDIRECT($H$3&amp;"!L"&amp;$H$4+2+C39))</f>
        <v>#VALUE!</v>
      </c>
      <c r="G43" s="317" t="e">
        <f aca="true">IF(M37=" "," ",INDIRECT($H$3&amp;"!M"&amp;$H$4+2+C39))</f>
        <v>#VALUE!</v>
      </c>
      <c r="H43" s="318" t="e">
        <f aca="true">IF(M37=" "," ",INDIRECT($H$3&amp;"!N"&amp;$H$4+2+C39))</f>
        <v>#VALUE!</v>
      </c>
      <c r="I43" s="315" t="e">
        <f aca="true">IF(M37=" "," ",INDIRECT($H$3&amp;"!O"&amp;$H$4+2+C39))</f>
        <v>#VALUE!</v>
      </c>
      <c r="J43" s="315" t="e">
        <f aca="true">IF(M37=" "," ",INDIRECT($H$3&amp;"!P"&amp;$H$4+2+C39))</f>
        <v>#VALUE!</v>
      </c>
      <c r="K43" s="315"/>
      <c r="L43" s="316" t="e">
        <f aca="true">IF(M37=" "," ",INDIRECT($H$3&amp;"!Q"&amp;$H$4+2+C39))</f>
        <v>#VALUE!</v>
      </c>
      <c r="M43" s="319" t="e">
        <f aca="true">IF(M37=" "," ",INDIRECT($H$3&amp;"!R"&amp;$H$4+2+C39))</f>
        <v>#VALUE!</v>
      </c>
      <c r="N43" s="293"/>
    </row>
    <row r="44" s="324" customFormat="true" ht="21" hidden="false" customHeight="true" outlineLevel="0" collapsed="false">
      <c r="A44" s="287"/>
      <c r="B44" s="322" t="s">
        <v>125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126</v>
      </c>
      <c r="F45" s="326"/>
      <c r="G45" s="315" t="e">
        <f aca="true">IF(M37=" "," ",INDIRECT($H$3&amp;"!V"&amp;$H$4+2+C39))</f>
        <v>#VALUE!</v>
      </c>
      <c r="H45" s="315" t="e">
        <f aca="true">IF(M37=" "," ",INDIRECT($H$3&amp;"!W"&amp;$H$4+2+C39))</f>
        <v>#VALUE!</v>
      </c>
      <c r="I45" s="315" t="e">
        <f aca="true">IF(M37=" "," ",INDIRECT($H$3&amp;"!X"&amp;$H$4+2+C39))</f>
        <v>#VALUE!</v>
      </c>
      <c r="J45" s="315" t="e">
        <f aca="true">IF(M37=" "," ",INDIRECT($H$3&amp;"!Y"&amp;$H$4+2+C39))</f>
        <v>#VALUE!</v>
      </c>
      <c r="K45" s="315"/>
      <c r="L45" s="315" t="e">
        <f aca="true">IF(M37=" "," ",INDIRECT($H$3&amp;"!Z"&amp;$H$4+2+C39))</f>
        <v>#VALUE!</v>
      </c>
      <c r="M45" s="315" t="e">
        <f aca="true">IF(M37=" "," ",INDIRECT($H$3&amp;"!AA"&amp;$H$4+2+C39))</f>
        <v>#VALUE!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127</v>
      </c>
      <c r="K47" s="327"/>
      <c r="L47" s="327"/>
      <c r="M47" s="328" t="e">
        <f aca="false">M32</f>
        <v>#VALUE!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84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109</v>
      </c>
      <c r="I52" s="297" t="e">
        <f aca="false">I38</f>
        <v>#REF!</v>
      </c>
      <c r="J52" s="298" t="s">
        <v>58</v>
      </c>
      <c r="K52" s="298"/>
      <c r="L52" s="296" t="s">
        <v>110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111</v>
      </c>
      <c r="C53" s="299" t="n">
        <f aca="false">Employee!$D$107</f>
        <v>4</v>
      </c>
      <c r="D53" s="334"/>
      <c r="E53" s="335"/>
      <c r="F53" s="305"/>
      <c r="G53" s="305"/>
      <c r="H53" s="302" t="s">
        <v>128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112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113</v>
      </c>
      <c r="C55" s="306"/>
      <c r="D55" s="306"/>
      <c r="E55" s="306"/>
      <c r="F55" s="306"/>
      <c r="G55" s="307" t="s">
        <v>114</v>
      </c>
      <c r="H55" s="306" t="s">
        <v>115</v>
      </c>
      <c r="I55" s="306"/>
      <c r="J55" s="306"/>
      <c r="K55" s="306"/>
      <c r="L55" s="306"/>
      <c r="M55" s="336" t="s">
        <v>116</v>
      </c>
      <c r="N55" s="293"/>
    </row>
    <row r="56" s="313" customFormat="true" ht="21" hidden="false" customHeight="true" outlineLevel="0" collapsed="false">
      <c r="A56" s="287"/>
      <c r="B56" s="310" t="s">
        <v>117</v>
      </c>
      <c r="C56" s="310" t="s">
        <v>118</v>
      </c>
      <c r="D56" s="310" t="s">
        <v>119</v>
      </c>
      <c r="E56" s="310" t="s">
        <v>120</v>
      </c>
      <c r="F56" s="311" t="s">
        <v>121</v>
      </c>
      <c r="G56" s="307"/>
      <c r="H56" s="310" t="s">
        <v>122</v>
      </c>
      <c r="I56" s="310" t="s">
        <v>123</v>
      </c>
      <c r="J56" s="310" t="s">
        <v>124</v>
      </c>
      <c r="K56" s="310"/>
      <c r="L56" s="311" t="s">
        <v>71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125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126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127</v>
      </c>
      <c r="K61" s="327"/>
      <c r="L61" s="327"/>
      <c r="M61" s="328" t="e">
        <f aca="false">M47</f>
        <v>#VALUE!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84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109</v>
      </c>
      <c r="I67" s="297" t="e">
        <f aca="false">I52</f>
        <v>#REF!</v>
      </c>
      <c r="J67" s="298" t="s">
        <v>58</v>
      </c>
      <c r="K67" s="298"/>
      <c r="L67" s="296" t="s">
        <v>110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111</v>
      </c>
      <c r="C68" s="299" t="n">
        <f aca="false">Employee!$D$133</f>
        <v>5</v>
      </c>
      <c r="D68" s="334"/>
      <c r="E68" s="335"/>
      <c r="F68" s="305"/>
      <c r="G68" s="305"/>
      <c r="H68" s="302" t="s">
        <v>128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112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113</v>
      </c>
      <c r="C70" s="306"/>
      <c r="D70" s="306"/>
      <c r="E70" s="306"/>
      <c r="F70" s="306"/>
      <c r="G70" s="307" t="s">
        <v>114</v>
      </c>
      <c r="H70" s="306" t="s">
        <v>115</v>
      </c>
      <c r="I70" s="306"/>
      <c r="J70" s="306"/>
      <c r="K70" s="306"/>
      <c r="L70" s="306"/>
      <c r="M70" s="336" t="s">
        <v>116</v>
      </c>
      <c r="N70" s="293"/>
    </row>
    <row r="71" s="313" customFormat="true" ht="21" hidden="false" customHeight="true" outlineLevel="0" collapsed="false">
      <c r="A71" s="287"/>
      <c r="B71" s="310" t="s">
        <v>117</v>
      </c>
      <c r="C71" s="310" t="s">
        <v>118</v>
      </c>
      <c r="D71" s="310" t="s">
        <v>119</v>
      </c>
      <c r="E71" s="310" t="s">
        <v>120</v>
      </c>
      <c r="F71" s="311" t="s">
        <v>121</v>
      </c>
      <c r="G71" s="307"/>
      <c r="H71" s="310" t="s">
        <v>129</v>
      </c>
      <c r="I71" s="310" t="s">
        <v>123</v>
      </c>
      <c r="J71" s="310" t="s">
        <v>124</v>
      </c>
      <c r="K71" s="310"/>
      <c r="L71" s="311" t="s">
        <v>71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125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126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127</v>
      </c>
      <c r="K76" s="327"/>
      <c r="L76" s="327"/>
      <c r="M76" s="328" t="e">
        <f aca="false">M61</f>
        <v>#VALUE!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130</v>
      </c>
      <c r="C2" s="346" t="s">
        <v>131</v>
      </c>
      <c r="D2" s="345" t="s">
        <v>132</v>
      </c>
      <c r="E2" s="345" t="s">
        <v>133</v>
      </c>
      <c r="F2" s="345" t="s">
        <v>134</v>
      </c>
      <c r="G2" s="345" t="s">
        <v>135</v>
      </c>
      <c r="H2" s="345" t="s">
        <v>136</v>
      </c>
      <c r="I2" s="345" t="s">
        <v>137</v>
      </c>
      <c r="J2" s="345" t="s">
        <v>138</v>
      </c>
      <c r="K2" s="345" t="s">
        <v>139</v>
      </c>
      <c r="L2" s="346" t="s">
        <v>140</v>
      </c>
      <c r="M2" s="346" t="s">
        <v>141</v>
      </c>
      <c r="N2" s="345" t="s">
        <v>142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46142</v>
      </c>
      <c r="C4" s="355" t="n">
        <f aca="false">Admin!$B$45</f>
        <v>46161</v>
      </c>
      <c r="D4" s="356" t="n">
        <f aca="false">Apr!T1+Apr!O1</f>
        <v>873.2</v>
      </c>
      <c r="E4" s="357" t="n">
        <f aca="false">Apr!N1</f>
        <v>800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1673.2</v>
      </c>
      <c r="M4" s="338" t="n">
        <f aca="false">(YEAR(Admin!B2)-1999)*100+1</f>
        <v>2701</v>
      </c>
      <c r="N4" s="358" t="n">
        <f aca="false">N3+I4-L4</f>
        <v>1673.2</v>
      </c>
      <c r="O4" s="353"/>
    </row>
    <row r="5" customFormat="false" ht="15" hidden="false" customHeight="true" outlineLevel="0" collapsed="false">
      <c r="A5" s="349"/>
      <c r="B5" s="354" t="n">
        <f aca="false">Admin!$B$57</f>
        <v>46173</v>
      </c>
      <c r="C5" s="355" t="n">
        <f aca="false">Admin!$B$76</f>
        <v>46192</v>
      </c>
      <c r="D5" s="356" t="n">
        <f aca="false">May!T1+May!O1</f>
        <v>873.2</v>
      </c>
      <c r="E5" s="357" t="n">
        <f aca="false">May!N1</f>
        <v>800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1673.2</v>
      </c>
      <c r="M5" s="338" t="n">
        <f aca="false">M4+1</f>
        <v>2702</v>
      </c>
      <c r="N5" s="358" t="n">
        <f aca="false">N4+I5-L5</f>
        <v>3346.4</v>
      </c>
      <c r="O5" s="353"/>
    </row>
    <row r="6" customFormat="false" ht="15" hidden="false" customHeight="true" outlineLevel="0" collapsed="false">
      <c r="A6" s="349"/>
      <c r="B6" s="354" t="n">
        <f aca="false">Admin!$B$87</f>
        <v>46203</v>
      </c>
      <c r="C6" s="355" t="n">
        <f aca="false">Admin!$B$106</f>
        <v>46222</v>
      </c>
      <c r="D6" s="356" t="n">
        <f aca="false">Jun!T1+Jun!O1</f>
        <v>873.2</v>
      </c>
      <c r="E6" s="357" t="n">
        <f aca="false">Jun!N1</f>
        <v>800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1673.2</v>
      </c>
      <c r="M6" s="338" t="n">
        <f aca="false">M5+1</f>
        <v>2703</v>
      </c>
      <c r="N6" s="358" t="n">
        <f aca="false">N5+I6-L6</f>
        <v>5019.6</v>
      </c>
      <c r="O6" s="353"/>
    </row>
    <row r="7" customFormat="false" ht="15" hidden="false" customHeight="true" outlineLevel="0" collapsed="false">
      <c r="A7" s="349"/>
      <c r="B7" s="354" t="n">
        <f aca="false">Admin!$B$118</f>
        <v>46234</v>
      </c>
      <c r="C7" s="355" t="n">
        <f aca="false">Admin!$B$137</f>
        <v>46253</v>
      </c>
      <c r="D7" s="356" t="n">
        <f aca="false">Jul!T1+Jul!O1</f>
        <v>873.2</v>
      </c>
      <c r="E7" s="357" t="n">
        <f aca="false">Jul!N1</f>
        <v>800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1673.2</v>
      </c>
      <c r="M7" s="338" t="n">
        <f aca="false">M6+1</f>
        <v>2704</v>
      </c>
      <c r="N7" s="358" t="n">
        <f aca="false">N6+I7-L7</f>
        <v>6692.8</v>
      </c>
      <c r="O7" s="353"/>
    </row>
    <row r="8" customFormat="false" ht="15" hidden="false" customHeight="true" outlineLevel="0" collapsed="false">
      <c r="A8" s="349"/>
      <c r="B8" s="354" t="n">
        <f aca="false">Admin!$B$149</f>
        <v>46265</v>
      </c>
      <c r="C8" s="355" t="n">
        <f aca="false">Admin!$B$168</f>
        <v>46284</v>
      </c>
      <c r="D8" s="356" t="n">
        <f aca="false">Aug!T1+Aug!O1</f>
        <v>873.2</v>
      </c>
      <c r="E8" s="357" t="n">
        <f aca="false">Aug!N1</f>
        <v>800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1673.2</v>
      </c>
      <c r="M8" s="338" t="n">
        <f aca="false">M7+1</f>
        <v>2705</v>
      </c>
      <c r="N8" s="358" t="n">
        <f aca="false">N7+I8-L8</f>
        <v>8366</v>
      </c>
      <c r="O8" s="353"/>
    </row>
    <row r="9" customFormat="false" ht="15" hidden="false" customHeight="true" outlineLevel="0" collapsed="false">
      <c r="A9" s="349"/>
      <c r="B9" s="354" t="n">
        <f aca="false">Admin!$B$179</f>
        <v>46295</v>
      </c>
      <c r="C9" s="355" t="n">
        <f aca="false">Admin!$B$198</f>
        <v>46314</v>
      </c>
      <c r="D9" s="356" t="n">
        <f aca="false">Sep!T1+Sep!O1</f>
        <v>873.2</v>
      </c>
      <c r="E9" s="357" t="n">
        <f aca="false">Sep!N1</f>
        <v>800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1673.2</v>
      </c>
      <c r="M9" s="338" t="n">
        <f aca="false">M8+1</f>
        <v>2706</v>
      </c>
      <c r="N9" s="358" t="n">
        <f aca="false">N8+I9-L9</f>
        <v>10039.2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46326</v>
      </c>
      <c r="C10" s="355" t="n">
        <f aca="false">Admin!$B$229</f>
        <v>46345</v>
      </c>
      <c r="D10" s="356" t="n">
        <f aca="false">Oct!T1+Oct!O1</f>
        <v>873.2</v>
      </c>
      <c r="E10" s="357" t="n">
        <f aca="false">Oct!N1</f>
        <v>800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1673.2</v>
      </c>
      <c r="M10" s="338" t="n">
        <f aca="false">M9+1</f>
        <v>2707</v>
      </c>
      <c r="N10" s="358" t="n">
        <f aca="false">N9+I10-L10</f>
        <v>11712.4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46356</v>
      </c>
      <c r="C11" s="355" t="n">
        <f aca="false">Admin!$B$259</f>
        <v>46375</v>
      </c>
      <c r="D11" s="356" t="n">
        <f aca="false">Nov!T1+Nov!O1</f>
        <v>873.2</v>
      </c>
      <c r="E11" s="357" t="n">
        <f aca="false">Nov!N1</f>
        <v>800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1673.2</v>
      </c>
      <c r="M11" s="338" t="n">
        <f aca="false">M10+1</f>
        <v>2708</v>
      </c>
      <c r="N11" s="358" t="n">
        <f aca="false">N10+I11-L11</f>
        <v>13385.6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46387</v>
      </c>
      <c r="C12" s="355" t="n">
        <f aca="false">Admin!$B$290</f>
        <v>46406</v>
      </c>
      <c r="D12" s="356" t="n">
        <f aca="false">Dec!T1+Dec!O1</f>
        <v>873.2</v>
      </c>
      <c r="E12" s="357" t="n">
        <f aca="false">Dec!N1</f>
        <v>800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1673.2</v>
      </c>
      <c r="M12" s="338" t="n">
        <f aca="false">M11+1</f>
        <v>2709</v>
      </c>
      <c r="N12" s="358" t="n">
        <f aca="false">N11+I12-L12</f>
        <v>15058.8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46418</v>
      </c>
      <c r="C13" s="355" t="n">
        <f aca="false">Admin!$B$321</f>
        <v>46437</v>
      </c>
      <c r="D13" s="356" t="n">
        <f aca="false">Jan!T1+Jan!O1</f>
        <v>873.2</v>
      </c>
      <c r="E13" s="357" t="n">
        <f aca="false">Jan!N1</f>
        <v>800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1673.2</v>
      </c>
      <c r="M13" s="338" t="n">
        <f aca="false">M12+1</f>
        <v>2710</v>
      </c>
      <c r="N13" s="358" t="n">
        <f aca="false">N12+I13-L13</f>
        <v>16732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46446</v>
      </c>
      <c r="C14" s="355" t="n">
        <f aca="false">Admin!$B$350</f>
        <v>46466</v>
      </c>
      <c r="D14" s="356" t="n">
        <f aca="false">Feb!T1+Feb!O1</f>
        <v>873.2</v>
      </c>
      <c r="E14" s="357" t="n">
        <f aca="false">Feb!N1</f>
        <v>800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1673.2</v>
      </c>
      <c r="M14" s="338" t="n">
        <f aca="false">M13+1</f>
        <v>2711</v>
      </c>
      <c r="N14" s="358" t="n">
        <f aca="false">N13+I14-L14</f>
        <v>18405.2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46477</v>
      </c>
      <c r="C15" s="355" t="n">
        <f aca="false">Admin!$B$381</f>
        <v>46497</v>
      </c>
      <c r="D15" s="356" t="n">
        <f aca="false">Mar!T1+Mar!O1</f>
        <v>873.2</v>
      </c>
      <c r="E15" s="357" t="n">
        <f aca="false">Mar!N1</f>
        <v>800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1673.2</v>
      </c>
      <c r="M15" s="338" t="n">
        <f aca="false">M14+1</f>
        <v>2712</v>
      </c>
      <c r="N15" s="358" t="n">
        <f aca="false">N14+I15-L15</f>
        <v>20078.4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10478.4</v>
      </c>
      <c r="E16" s="362" t="n">
        <f aca="false">SUM(E4:E15)</f>
        <v>9600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20078.4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143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144</v>
      </c>
      <c r="B1" s="376" t="s">
        <v>145</v>
      </c>
      <c r="C1" s="375" t="s">
        <v>86</v>
      </c>
      <c r="D1" s="375" t="s">
        <v>93</v>
      </c>
      <c r="E1" s="377" t="s">
        <v>146</v>
      </c>
      <c r="F1" s="377" t="s">
        <v>147</v>
      </c>
      <c r="G1" s="378" t="s">
        <v>148</v>
      </c>
      <c r="H1" s="378"/>
      <c r="I1" s="379" t="n">
        <f aca="false">DATE(YEAR(B2)+1,MONTH(B2),DAY(B2))-1</f>
        <v>46482</v>
      </c>
      <c r="J1" s="379"/>
      <c r="K1" s="380"/>
      <c r="L1" s="380"/>
      <c r="M1" s="381"/>
      <c r="N1" s="382" t="str">
        <f aca="false">TEXT(YEAR(I1)-1,"0")&amp;"-"&amp;TEXT(YEAR(I1)-2000,"0")</f>
        <v>2026-27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46118</v>
      </c>
      <c r="C2" s="385" t="n">
        <v>1</v>
      </c>
      <c r="D2" s="385" t="n">
        <v>1</v>
      </c>
      <c r="E2" s="386" t="n">
        <f aca="false">B2</f>
        <v>46118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46119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149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46120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46121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46122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150</v>
      </c>
      <c r="I6" s="390" t="s">
        <v>151</v>
      </c>
      <c r="J6" s="390"/>
      <c r="K6" s="390" t="s">
        <v>152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46123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46124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46125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46126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46127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153</v>
      </c>
      <c r="L11" s="385" t="s">
        <v>12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46128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154</v>
      </c>
      <c r="L12" s="385" t="s">
        <v>6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46129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46130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46131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46132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46133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46134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46135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46136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46137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46138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46139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46140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46141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46142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46143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46144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46145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46146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46147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46148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46149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46150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46151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46152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46153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46154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46155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46156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46157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46158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46159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46160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46161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46162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46163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46164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46165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46166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46167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46168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46169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46170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46171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46172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46173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46174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46175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46176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46177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46178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46179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46180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46181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46182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46183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46184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46185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46186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46187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46188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46189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46190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46191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46192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46193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46194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46195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46196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46197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46198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46199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46200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46201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46202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46203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46204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46205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46206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46207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46208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46209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46210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46211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46212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46213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46214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46215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46216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46217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46218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46219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46220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46221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46222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46223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46224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46225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46226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46227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46228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46229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46230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46231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46232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46233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46234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46235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46236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46237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46238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46239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46240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46241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46242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46243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46244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46245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46246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46247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46248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46249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46250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46251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46252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46253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46254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46255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46256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46257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46258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46259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46260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46261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46262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46263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46264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46265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46266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46267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46268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46269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46270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46271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46272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46273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46274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46275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46276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46277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46278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46279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46280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46281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46282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46283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46284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46285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46286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46287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46288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46289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46290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46291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46292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46293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46294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46295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46296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46297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46298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46299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46300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46301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46302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46303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46304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46305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46306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46307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46308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46309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46310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46311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46312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46313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46314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46315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46316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46317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46318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46319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46320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46321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46322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46323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46324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46325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46326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46327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46328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46329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46330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46331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46332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46333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46334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46335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46336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46337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46338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46339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46340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46341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46342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46343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46344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46345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46346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46347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46348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46349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46350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46351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46352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46353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46354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46355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46356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46357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46358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46359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46360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46361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46362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46363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46364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46365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46366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46367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46368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46369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46370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46371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46372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46373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46374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46375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46376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46377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46378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46379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46380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46381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46382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46383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46384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46385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46386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46387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46388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46389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46390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46391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46392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46393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46394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46395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46396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46397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46398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46399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46400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46401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46402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46403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46404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46405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46406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46407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46408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46409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46410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46411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46412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46413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46414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46415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46416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46417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46418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46419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46420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46421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46422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46423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46424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46425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46426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46427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46428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46429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46430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46431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46432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46433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46434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46435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46436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46437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46438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46439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46440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46441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46442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46443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46444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46445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46446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46447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46448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46449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46450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46451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46452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46453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46454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46455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46456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46457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46458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46459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46460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46461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46462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46463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46464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46465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46466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46467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46468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46469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46470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46471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46472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46473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46474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46475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46476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46477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46478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46479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46480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46481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46482</v>
      </c>
      <c r="C366" s="385" t="n">
        <v>53</v>
      </c>
      <c r="D366" s="385" t="n">
        <v>12</v>
      </c>
      <c r="E366" s="386" t="n">
        <f aca="false">B366</f>
        <v>46482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46483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46484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46485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46486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46487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46488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46489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46490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46491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46492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46493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46494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46495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46496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46497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