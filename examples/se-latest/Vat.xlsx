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worksheets/sheet1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ATQtr1" sheetId="1" state="visible" r:id="rId3"/>
    <sheet name="VATQtr2" sheetId="2" state="visible" r:id="rId4"/>
    <sheet name="VATQtr3" sheetId="3" state="visible" r:id="rId5"/>
    <sheet name="VATQtr4" sheetId="4" state="visible" r:id="rId6"/>
    <sheet name="VATQtr5" sheetId="5" state="visible" r:id="rId7"/>
    <sheet name="Vatinterface" sheetId="6" state="visible" r:id="rId8"/>
    <sheet name="S02Y1" sheetId="7" state="visible" r:id="rId9"/>
    <sheet name="S03Y1" sheetId="8" state="visible" r:id="rId10"/>
    <sheet name="S04Y2" sheetId="9" state="visible" r:id="rId11"/>
    <sheet name="S05Y2" sheetId="10" state="visible" r:id="rId12"/>
    <sheet name="S06Y2" sheetId="11" state="visible" r:id="rId13"/>
    <sheet name="P02Y1" sheetId="12" state="visible" r:id="rId14"/>
    <sheet name="P03Y1" sheetId="13" state="visible" r:id="rId15"/>
    <sheet name="P04Y2" sheetId="14" state="visible" r:id="rId16"/>
    <sheet name="P05Y2" sheetId="15" state="visible" r:id="rId17"/>
    <sheet name="P06Y2" sheetId="16" state="visible" r:id="rId18"/>
  </sheets>
  <externalReferences>
    <externalReference r:id="rId19"/>
    <externalReference r:id="rId20"/>
    <externalReference r:id="rId21"/>
  </externalReferences>
  <definedNames>
    <definedName function="false" hidden="false" localSheetId="0" name="_xlnm.Print_Area" vbProcedure="false">VATQtr1!$A$1:$I$32</definedName>
    <definedName function="false" hidden="false" localSheetId="1" name="_xlnm.Print_Area" vbProcedure="false">VATQtr2!$A$1:$I$32</definedName>
    <definedName function="false" hidden="false" localSheetId="2" name="_xlnm.Print_Area" vbProcedure="false">VATQtr3!$A$1:$I$32</definedName>
    <definedName function="false" hidden="false" localSheetId="3" name="_xlnm.Print_Area" vbProcedure="false">VATQtr4!$A$1:$I$32</definedName>
    <definedName function="false" hidden="false" localSheetId="4" name="_xlnm.Print_Area" vbProcedure="false">VATQtr5!$A$1:$I$32</definedName>
    <definedName function="false" hidden="false" localSheetId="0" name="_xlnm_Print_Area" vbProcedure="false">VATQtr1!$A$1:$I$32</definedName>
    <definedName function="false" hidden="false" localSheetId="1" name="_xlnm_Print_Area" vbProcedure="false">VATQtr2!$A$1:$I$32</definedName>
    <definedName function="false" hidden="false" localSheetId="2" name="_xlnm_Print_Area" vbProcedure="false">VATQtr3!$A$1:$I$32</definedName>
    <definedName function="false" hidden="false" localSheetId="3" name="_xlnm_Print_Area" vbProcedure="false">VATQtr4!$A$1:$I$32</definedName>
    <definedName function="false" hidden="false" localSheetId="4" name="_xlnm_Print_Area" vbProcedure="false">VATQtr5!$A$1:$I$32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<sst xmlns="http://schemas.openxmlformats.org/spreadsheetml/2006/main" count="206" uniqueCount="59">
  <si>
    <t xml:space="preserve">Value  Added  Tax  Return</t>
  </si>
  <si>
    <t xml:space="preserve">Copy values in boxes to your Vat return</t>
  </si>
  <si>
    <t xml:space="preserve">To calculate vat payable                       1.Click Cell G5 Vat Period                       2.Click down arrow                              3.Select Vat quarter end date</t>
  </si>
  <si>
    <t xml:space="preserve">VAT Period ends</t>
  </si>
  <si>
    <t xml:space="preserve">Due date:</t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</si>
  <si>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sales</t>
    </r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</si>
  <si>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purchases </t>
    </r>
    <r>
      <rPr>
        <sz val="10"/>
        <rFont val="Times New Roman"/>
        <family val="1"/>
        <charset val="1"/>
      </rPr>
      <t xml:space="preserve">from </t>
    </r>
    <r>
      <rPr>
        <b val="true"/>
        <sz val="10"/>
        <rFont val="Times New Roman"/>
        <family val="1"/>
        <charset val="1"/>
      </rPr>
      <t xml:space="preserve">other EU states</t>
    </r>
  </si>
  <si>
    <r>
      <rPr>
        <sz val="10"/>
        <rFont val="Times New Roman"/>
        <family val="1"/>
        <charset val="1"/>
      </rPr>
      <t xml:space="preserve">VAT reclaimed on </t>
    </r>
    <r>
      <rPr>
        <b val="true"/>
        <sz val="10"/>
        <rFont val="Times New Roman"/>
        <family val="1"/>
        <charset val="1"/>
      </rPr>
      <t xml:space="preserve">purchases</t>
    </r>
  </si>
  <si>
    <r>
      <rPr>
        <sz val="10"/>
        <rFont val="Times New Roman"/>
        <family val="1"/>
        <charset val="1"/>
      </rPr>
      <t xml:space="preserve">Total value of </t>
    </r>
    <r>
      <rPr>
        <b val="true"/>
        <sz val="10"/>
        <rFont val="Times New Roman"/>
        <family val="1"/>
        <charset val="1"/>
      </rPr>
      <t xml:space="preserve">purchases</t>
    </r>
    <r>
      <rPr>
        <sz val="10"/>
        <rFont val="Times New Roman"/>
        <family val="1"/>
        <charset val="1"/>
      </rPr>
      <t xml:space="preserve"> excluding VAT</t>
    </r>
  </si>
  <si>
    <t xml:space="preserve">Note: </t>
  </si>
  <si>
    <t xml:space="preserve">Box 2 is set to zero, any amounts due should be calculated and inserted manually</t>
  </si>
  <si>
    <t xml:space="preserve">If goods are bought or sold to other EU states boxes 8 &amp; 9 on the return will require completion</t>
  </si>
  <si>
    <t xml:space="preserve">Vat returns must be received by HM Customs &amp; Excise on or before the due date to avoid surcharges</t>
  </si>
  <si>
    <t xml:space="preserve">Make cheques payable to "H M Customs and Excise" and write your VAT registration number on the back</t>
  </si>
  <si>
    <t xml:space="preserve">Quote your VAT registration number as a reference if paying direct by bank</t>
  </si>
  <si>
    <t xml:space="preserve">Account Name: HMCE VAT: Account No: 52055000 Sort Code: 10 00 00 </t>
  </si>
  <si>
    <t xml:space="preserve">Vat Period End</t>
  </si>
  <si>
    <t xml:space="preserve">Final Date for Vat Payment</t>
  </si>
  <si>
    <t xml:space="preserve">Month         Sales</t>
  </si>
  <si>
    <t xml:space="preserve">Quarter Sales          Net of Vat</t>
  </si>
  <si>
    <t xml:space="preserve">Month Vat Output</t>
  </si>
  <si>
    <t xml:space="preserve">Quarter Vat Due       Sales</t>
  </si>
  <si>
    <t xml:space="preserve">Month Purchases</t>
  </si>
  <si>
    <t xml:space="preserve">Quarter Purchases Net of vat</t>
  </si>
  <si>
    <t xml:space="preserve">Month Vat Input</t>
  </si>
  <si>
    <t xml:space="preserve">Quarter Vat Reclaimed Purchases</t>
  </si>
  <si>
    <t xml:space="preserve">Flat rate Scheme Applied</t>
  </si>
  <si>
    <t xml:space="preserve">USE FOR VAT PERIODS OUTSIDE FINANCIAL YEAR</t>
  </si>
  <si>
    <t xml:space="preserve">Total for Month</t>
  </si>
  <si>
    <t xml:space="preserve">Sales      Date</t>
  </si>
  <si>
    <t xml:space="preserve">Customer Name</t>
  </si>
  <si>
    <t xml:space="preserve">Sales Invoice Number or reference</t>
  </si>
  <si>
    <t xml:space="preserve">Sales Value including   Vat</t>
  </si>
  <si>
    <t xml:space="preserve">Sales         Net of Vat</t>
  </si>
  <si>
    <t xml:space="preserve">Vat       Output</t>
  </si>
  <si>
    <t xml:space="preserve">Acme Corp</t>
  </si>
  <si>
    <t xml:space="preserve">INV-0801</t>
  </si>
  <si>
    <t xml:space="preserve">Entries below this row are not included in Row 1 Totals</t>
  </si>
  <si>
    <t xml:space="preserve">Beta Systems</t>
  </si>
  <si>
    <t xml:space="preserve">INV-0802</t>
  </si>
  <si>
    <t xml:space="preserve">INV-1301</t>
  </si>
  <si>
    <t xml:space="preserve">Gamma Ltd</t>
  </si>
  <si>
    <t xml:space="preserve">INV-1302</t>
  </si>
  <si>
    <t xml:space="preserve">INV-1303</t>
  </si>
  <si>
    <t xml:space="preserve">Purchase Invoice Number or Reference</t>
  </si>
  <si>
    <t xml:space="preserve">Purchase Date</t>
  </si>
  <si>
    <t xml:space="preserve">Purchase Description</t>
  </si>
  <si>
    <t xml:space="preserve">Total Purchase Value incl Vat</t>
  </si>
  <si>
    <t xml:space="preserve">Purchases           Net of Vat</t>
  </si>
  <si>
    <t xml:space="preserve">Vat Input</t>
  </si>
  <si>
    <t xml:space="preserve">TechParts Ltd</t>
  </si>
  <si>
    <t xml:space="preserve">TP-2402</t>
  </si>
  <si>
    <t xml:space="preserve">WorkSpace Ltd</t>
  </si>
  <si>
    <t xml:space="preserve">WS-2402</t>
  </si>
  <si>
    <t xml:space="preserve">Shell</t>
  </si>
  <si>
    <t xml:space="preserve">SH-2604</t>
  </si>
  <si>
    <t xml:space="preserve">BT Business</t>
  </si>
  <si>
    <t xml:space="preserve">BT-2605</t>
  </si>
  <si>
    <t xml:space="preserve">WS-2606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</si>
</sst>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_ ;[RED]\-#,##0.00\ "/>
    <numFmt numFmtId="166" formatCode="[$-F800]dddd&quot;, &quot;mmmm\ dd&quot;, &quot;yyyy"/>
    <numFmt numFmtId="167" formatCode="dd\-mmm\-yy"/>
    <numFmt numFmtId="168" formatCode="[$-809]dd\ mmmm\ yyyy;@"/>
    <numFmt numFmtId="169" formatCode="#,##0_ ;[RED]\-#,##0\ "/>
    <numFmt numFmtId="170" formatCode="0"/>
    <numFmt numFmtId="171" formatCode="#,##0"/>
    <numFmt numFmtId="172" formatCode="#,##0.0_ ;[RED]\-#,##0.0\ "/>
    <numFmt numFmtId="173" formatCode="0.00"/>
  </numFmts>
  <fonts count="2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b val="true"/>
      <sz val="10"/>
      <color rgb="FFFFFFFF"/>
      <name val="Times New Roman"/>
      <family val="1"/>
      <charset val="1"/>
    </font>
    <font>
      <b val="true"/>
      <sz val="10"/>
      <name val="Times New Roman"/>
      <family val="1"/>
      <charset val="1"/>
    </font>
    <font>
      <b val="true"/>
      <sz val="12"/>
      <color rgb="FF008000"/>
      <name val="Arial"/>
      <family val="2"/>
      <charset val="1"/>
    </font>
    <font>
      <sz val="8"/>
      <color rgb="FFFFFFFF"/>
      <name val="Times New Roman"/>
      <family val="1"/>
      <charset val="1"/>
    </font>
    <font>
      <sz val="8"/>
      <color rgb="FFCCFFCC"/>
      <name val="Arial"/>
      <family val="2"/>
      <charset val="1"/>
    </font>
    <font>
      <b val="true"/>
      <i val="true"/>
      <sz val="10"/>
      <color rgb="FFFF00FF"/>
      <name val="Arial"/>
      <family val="2"/>
      <charset val="1"/>
    </font>
    <font>
      <b val="true"/>
      <sz val="10"/>
      <color rgb="FFFF00FF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sz val="8"/>
      <color rgb="FF339966"/>
      <name val="Times New Roman"/>
      <family val="1"/>
      <charset val="1"/>
    </font>
    <font>
      <b val="true"/>
      <sz val="9"/>
      <color rgb="FFFFFFFF"/>
      <name val="Arial"/>
      <family val="2"/>
      <charset val="1"/>
    </font>
    <font>
      <sz val="10"/>
      <color rgb="FFCCFFFF"/>
      <name val="Times New Roman"/>
      <family val="1"/>
      <charset val="1"/>
    </font>
    <font>
      <b val="true"/>
      <sz val="10"/>
      <color rgb="FF000080"/>
      <name val="Times New Roman"/>
      <family val="1"/>
      <charset val="1"/>
    </font>
    <font>
      <i val="true"/>
      <sz val="9"/>
      <color rgb="FFFF00FF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sz val="8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339966"/>
        <bgColor rgb="FF008080"/>
      </patternFill>
    </fill>
    <fill>
      <patternFill patternType="solid">
        <fgColor rgb="FFFFFFCC"/>
        <bgColor rgb="FFFFFFFF"/>
      </patternFill>
    </fill>
    <fill>
      <patternFill patternType="solid">
        <fgColor rgb="FFCCFFFF"/>
        <bgColor rgb="FFCCFFFF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11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2" fillId="2" borderId="6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5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3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6" fontId="16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right" vertical="center" textRotation="0" wrapText="false" indent="1" shrinkToFit="false"/>
      <protection locked="true" hidden="true"/>
    </xf>
    <xf numFmtId="164" fontId="17" fillId="3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6" fontId="1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6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9" fillId="2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6" fillId="2" borderId="0" xfId="0" applyFont="true" applyBorder="false" applyAlignment="true" applyProtection="true">
      <alignment horizontal="left" vertical="center" textRotation="0" wrapText="false" indent="2" shrinkToFit="false"/>
      <protection locked="true" hidden="true"/>
    </xf>
    <xf numFmtId="164" fontId="6" fillId="2" borderId="1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6" fillId="2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9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4" fontId="20" fillId="2" borderId="4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2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1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5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22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22" fillId="4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13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4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5" fillId="4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3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2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5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externalLink" Target="externalLinks/externalLink1.xml"/><Relationship Id="rId20" Type="http://schemas.openxmlformats.org/officeDocument/2006/relationships/externalLink" Target="externalLinks/externalLink2.xml"/><Relationship Id="rId21" Type="http://schemas.openxmlformats.org/officeDocument/2006/relationships/externalLink" Target="externalLinks/externalLink3.xml"/><Relationship Id="rId22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2347b8ca/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2347b8ca/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2347b8ca/Purchas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46081</v>
          </cell>
        </row>
        <row r="3">
          <cell r="B3">
            <v>46112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6">
          <cell r="B16">
            <v>46477</v>
          </cell>
        </row>
        <row r="18">
          <cell r="B18">
            <v>46507</v>
          </cell>
        </row>
        <row r="19">
          <cell r="B19">
            <v>46538</v>
          </cell>
        </row>
        <row r="20">
          <cell r="B20">
            <v>46568</v>
          </cell>
        </row>
        <row r="25">
          <cell r="B25">
            <v>46599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5566.66666666667</v>
          </cell>
          <cell r="I1">
            <v>27833.3333333333</v>
          </cell>
        </row>
      </sheetData>
      <sheetData sheetId="2">
        <row r="1">
          <cell r="H1">
            <v>5486.66666666667</v>
          </cell>
          <cell r="I1">
            <v>27433.3333333333</v>
          </cell>
        </row>
        <row r="4">
          <cell r="H4">
            <v>0</v>
          </cell>
        </row>
      </sheetData>
      <sheetData sheetId="3">
        <row r="1">
          <cell r="H1">
            <v>5866.66666666667</v>
          </cell>
          <cell r="I1">
            <v>29333.3333333333</v>
          </cell>
        </row>
        <row r="4">
          <cell r="H4">
            <v>0</v>
          </cell>
        </row>
      </sheetData>
      <sheetData sheetId="4">
        <row r="1">
          <cell r="H1">
            <v>5626.66666666667</v>
          </cell>
          <cell r="I1">
            <v>28133.3333333333</v>
          </cell>
        </row>
        <row r="4">
          <cell r="H4">
            <v>0</v>
          </cell>
        </row>
      </sheetData>
      <sheetData sheetId="5">
        <row r="1">
          <cell r="H1">
            <v>6003.33333333333</v>
          </cell>
          <cell r="I1">
            <v>30016.6666666667</v>
          </cell>
        </row>
        <row r="4">
          <cell r="H4">
            <v>0</v>
          </cell>
        </row>
      </sheetData>
      <sheetData sheetId="6">
        <row r="1">
          <cell r="H1">
            <v>5626.66666666667</v>
          </cell>
          <cell r="I1">
            <v>28133.3333333333</v>
          </cell>
        </row>
        <row r="4">
          <cell r="H4">
            <v>0</v>
          </cell>
        </row>
      </sheetData>
      <sheetData sheetId="7">
        <row r="1">
          <cell r="H1">
            <v>8426.66666666667</v>
          </cell>
          <cell r="I1">
            <v>42133.3333333333</v>
          </cell>
        </row>
        <row r="4">
          <cell r="H4">
            <v>0</v>
          </cell>
        </row>
      </sheetData>
      <sheetData sheetId="8">
        <row r="1">
          <cell r="H1">
            <v>5886.66666666667</v>
          </cell>
          <cell r="I1">
            <v>29433.3333333333</v>
          </cell>
        </row>
        <row r="4">
          <cell r="H4">
            <v>0</v>
          </cell>
        </row>
      </sheetData>
      <sheetData sheetId="9">
        <row r="1">
          <cell r="H1">
            <v>5466.66666666667</v>
          </cell>
          <cell r="I1">
            <v>27333.3333333333</v>
          </cell>
        </row>
        <row r="4">
          <cell r="H4">
            <v>0</v>
          </cell>
        </row>
      </sheetData>
      <sheetData sheetId="10">
        <row r="1">
          <cell r="H1">
            <v>5906.66666666667</v>
          </cell>
          <cell r="I1">
            <v>29533.3333333333</v>
          </cell>
        </row>
        <row r="4">
          <cell r="H4">
            <v>0</v>
          </cell>
        </row>
      </sheetData>
      <sheetData sheetId="11">
        <row r="1">
          <cell r="H1">
            <v>5726.66666666667</v>
          </cell>
          <cell r="I1">
            <v>28633.3333333333</v>
          </cell>
        </row>
        <row r="4">
          <cell r="H4">
            <v>0</v>
          </cell>
        </row>
      </sheetData>
      <sheetData sheetId="12">
        <row r="1">
          <cell r="H1">
            <v>5226.66666666667</v>
          </cell>
          <cell r="I1">
            <v>26133.3333333333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845.5</v>
          </cell>
          <cell r="I1">
            <v>4265.75</v>
          </cell>
        </row>
      </sheetData>
      <sheetData sheetId="2">
        <row r="1">
          <cell r="H1">
            <v>1053.5</v>
          </cell>
          <cell r="I1">
            <v>5321.5</v>
          </cell>
        </row>
      </sheetData>
      <sheetData sheetId="3">
        <row r="1">
          <cell r="H1">
            <v>4094.5</v>
          </cell>
          <cell r="I1">
            <v>20562.5</v>
          </cell>
        </row>
      </sheetData>
      <sheetData sheetId="4">
        <row r="1">
          <cell r="H1">
            <v>1506.5</v>
          </cell>
          <cell r="I1">
            <v>7552.75</v>
          </cell>
        </row>
      </sheetData>
      <sheetData sheetId="5">
        <row r="1">
          <cell r="H1">
            <v>786.166666666667</v>
          </cell>
          <cell r="I1">
            <v>3969.08333333333</v>
          </cell>
        </row>
      </sheetData>
      <sheetData sheetId="6">
        <row r="1">
          <cell r="H1">
            <v>2217.16666666667</v>
          </cell>
          <cell r="I1">
            <v>11157.8333333333</v>
          </cell>
        </row>
      </sheetData>
      <sheetData sheetId="7">
        <row r="1">
          <cell r="H1">
            <v>7160.5</v>
          </cell>
          <cell r="I1">
            <v>35845.25</v>
          </cell>
        </row>
      </sheetData>
      <sheetData sheetId="8">
        <row r="1">
          <cell r="H1">
            <v>1139.5</v>
          </cell>
          <cell r="I1">
            <v>5778.5</v>
          </cell>
        </row>
      </sheetData>
      <sheetData sheetId="9">
        <row r="1">
          <cell r="H1">
            <v>1567</v>
          </cell>
          <cell r="I1">
            <v>7884.5</v>
          </cell>
        </row>
      </sheetData>
      <sheetData sheetId="10">
        <row r="1">
          <cell r="H1">
            <v>745.5</v>
          </cell>
          <cell r="I1">
            <v>3765.75</v>
          </cell>
        </row>
      </sheetData>
      <sheetData sheetId="11">
        <row r="1">
          <cell r="H1">
            <v>727.5</v>
          </cell>
          <cell r="I1">
            <v>3669</v>
          </cell>
        </row>
      </sheetData>
      <sheetData sheetId="12">
        <row r="1">
          <cell r="H1">
            <v>611.333333333333</v>
          </cell>
          <cell r="I1">
            <v>3115.16666666667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46203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46234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16920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16920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5993.5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10926.5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84599.9999999999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30149.75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46295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46326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17256.6666666667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17256.6666666667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4509.83333333334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12746.8333333333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86283.3333333333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22679.6666666666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46387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46418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19780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19780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9867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9913.00000000001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98899.9999999999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49508.25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46477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46507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16860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16860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2084.33333333333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14775.6666666667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84299.9999999999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10549.9166666667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46568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46599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1100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1100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180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920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5500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900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63" width="1.99"/>
    <col collapsed="false" customWidth="true" hidden="false" outlineLevel="0" max="3" min="2" style="64" width="24.82"/>
    <col collapsed="false" customWidth="true" hidden="false" outlineLevel="0" max="11" min="4" style="65" width="10.66"/>
    <col collapsed="false" customWidth="true" hidden="false" outlineLevel="0" max="12" min="12" style="63" width="1.66"/>
    <col collapsed="false" customWidth="false" hidden="false" outlineLevel="0" max="13" min="13" style="66" width="9.15"/>
    <col collapsed="false" customWidth="true" hidden="false" outlineLevel="0" max="14" min="14" style="63" width="1.66"/>
    <col collapsed="false" customWidth="false" hidden="false" outlineLevel="0" max="257" min="15" style="63" width="9.15"/>
  </cols>
  <sheetData>
    <row r="1" customFormat="false" ht="9" hidden="false" customHeight="true" outlineLevel="0" collapsed="false">
      <c r="A1" s="67"/>
      <c r="B1" s="68"/>
      <c r="C1" s="68"/>
      <c r="D1" s="69"/>
      <c r="E1" s="69"/>
      <c r="F1" s="69"/>
      <c r="G1" s="69"/>
      <c r="H1" s="69"/>
      <c r="I1" s="69"/>
      <c r="J1" s="69"/>
      <c r="K1" s="69"/>
      <c r="L1" s="70"/>
      <c r="M1" s="71"/>
      <c r="N1" s="72"/>
    </row>
    <row r="2" customFormat="false" ht="37.5" hidden="false" customHeight="true" outlineLevel="0" collapsed="false">
      <c r="A2" s="73"/>
      <c r="B2" s="74" t="s">
        <v>16</v>
      </c>
      <c r="C2" s="74" t="s">
        <v>17</v>
      </c>
      <c r="D2" s="75" t="s">
        <v>18</v>
      </c>
      <c r="E2" s="75" t="s">
        <v>19</v>
      </c>
      <c r="F2" s="75" t="s">
        <v>20</v>
      </c>
      <c r="G2" s="76" t="s">
        <v>21</v>
      </c>
      <c r="H2" s="75" t="s">
        <v>22</v>
      </c>
      <c r="I2" s="75" t="s">
        <v>23</v>
      </c>
      <c r="J2" s="75" t="s">
        <v>24</v>
      </c>
      <c r="K2" s="76" t="s">
        <v>25</v>
      </c>
      <c r="L2" s="77"/>
      <c r="M2" s="78" t="s">
        <v>26</v>
      </c>
      <c r="N2" s="79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80"/>
      <c r="AH2" s="80"/>
      <c r="AI2" s="80"/>
      <c r="AJ2" s="80"/>
      <c r="AK2" s="80"/>
      <c r="AL2" s="80"/>
      <c r="AM2" s="80"/>
      <c r="AN2" s="80"/>
      <c r="AO2" s="80"/>
      <c r="AP2" s="80"/>
      <c r="AQ2" s="80"/>
      <c r="AR2" s="80"/>
      <c r="AS2" s="80"/>
      <c r="AT2" s="80"/>
      <c r="AU2" s="80"/>
      <c r="AV2" s="80"/>
      <c r="AW2" s="80"/>
      <c r="AX2" s="80"/>
      <c r="AY2" s="80"/>
      <c r="AZ2" s="80"/>
      <c r="BA2" s="80"/>
      <c r="BB2" s="80"/>
      <c r="BC2" s="80"/>
      <c r="BD2" s="80"/>
      <c r="BE2" s="80"/>
      <c r="BF2" s="80"/>
      <c r="BG2" s="80"/>
      <c r="BH2" s="80"/>
      <c r="BI2" s="80"/>
      <c r="BJ2" s="80"/>
      <c r="BK2" s="80"/>
      <c r="BL2" s="80"/>
      <c r="BM2" s="80"/>
      <c r="BN2" s="80"/>
      <c r="BO2" s="80"/>
      <c r="BP2" s="80"/>
      <c r="BQ2" s="80"/>
      <c r="BR2" s="80"/>
      <c r="BS2" s="80"/>
      <c r="BT2" s="80"/>
      <c r="BU2" s="80"/>
      <c r="BV2" s="80"/>
      <c r="BW2" s="80"/>
      <c r="BX2" s="80"/>
      <c r="BY2" s="80"/>
      <c r="BZ2" s="80"/>
      <c r="CA2" s="80"/>
      <c r="CB2" s="80"/>
      <c r="CC2" s="80"/>
      <c r="CD2" s="80"/>
      <c r="CE2" s="80"/>
      <c r="CF2" s="80"/>
      <c r="CG2" s="80"/>
      <c r="CH2" s="80"/>
      <c r="CI2" s="80"/>
      <c r="CJ2" s="80"/>
      <c r="CK2" s="80"/>
      <c r="CL2" s="80"/>
      <c r="CM2" s="80"/>
      <c r="CN2" s="80"/>
      <c r="CO2" s="80"/>
      <c r="CP2" s="80"/>
      <c r="CQ2" s="80"/>
      <c r="CR2" s="80"/>
      <c r="CS2" s="80"/>
      <c r="CT2" s="80"/>
      <c r="CU2" s="80"/>
      <c r="CV2" s="80"/>
      <c r="CW2" s="80"/>
      <c r="CX2" s="80"/>
      <c r="CY2" s="80"/>
      <c r="CZ2" s="80"/>
      <c r="DA2" s="80"/>
      <c r="DB2" s="80"/>
      <c r="DC2" s="80"/>
      <c r="DD2" s="80"/>
      <c r="DE2" s="80"/>
      <c r="DF2" s="80"/>
      <c r="DG2" s="80"/>
      <c r="DH2" s="80"/>
      <c r="DI2" s="80"/>
      <c r="DJ2" s="80"/>
      <c r="DK2" s="80"/>
      <c r="DL2" s="80"/>
      <c r="DM2" s="80"/>
      <c r="DN2" s="80"/>
      <c r="DO2" s="80"/>
      <c r="DP2" s="80"/>
      <c r="DQ2" s="80"/>
      <c r="DR2" s="80"/>
      <c r="DS2" s="80"/>
      <c r="DT2" s="80"/>
      <c r="DU2" s="80"/>
      <c r="DV2" s="80"/>
      <c r="DW2" s="80"/>
      <c r="DX2" s="80"/>
      <c r="DY2" s="80"/>
      <c r="DZ2" s="80"/>
      <c r="EA2" s="80"/>
      <c r="EB2" s="80"/>
      <c r="EC2" s="80"/>
      <c r="ED2" s="80"/>
      <c r="EE2" s="80"/>
      <c r="EF2" s="80"/>
      <c r="EG2" s="80"/>
      <c r="EH2" s="80"/>
      <c r="EI2" s="80"/>
      <c r="EJ2" s="80"/>
      <c r="EK2" s="80"/>
      <c r="EL2" s="80"/>
      <c r="EM2" s="80"/>
      <c r="EN2" s="80"/>
      <c r="EO2" s="80"/>
      <c r="EP2" s="80"/>
      <c r="EQ2" s="80"/>
      <c r="ER2" s="80"/>
      <c r="ES2" s="80"/>
      <c r="ET2" s="80"/>
      <c r="EU2" s="80"/>
      <c r="EV2" s="80"/>
      <c r="EW2" s="80"/>
      <c r="EX2" s="80"/>
      <c r="EY2" s="80"/>
      <c r="EZ2" s="80"/>
      <c r="FA2" s="80"/>
      <c r="FB2" s="80"/>
      <c r="FC2" s="80"/>
      <c r="FD2" s="80"/>
      <c r="FE2" s="80"/>
      <c r="FF2" s="80"/>
      <c r="FG2" s="80"/>
      <c r="FH2" s="80"/>
      <c r="FI2" s="80"/>
      <c r="FJ2" s="80"/>
      <c r="FK2" s="80"/>
      <c r="FL2" s="80"/>
      <c r="FM2" s="80"/>
      <c r="FN2" s="80"/>
      <c r="FO2" s="80"/>
      <c r="FP2" s="80"/>
      <c r="FQ2" s="80"/>
      <c r="FR2" s="80"/>
      <c r="FS2" s="80"/>
      <c r="FT2" s="80"/>
      <c r="FU2" s="80"/>
      <c r="FV2" s="80"/>
      <c r="FW2" s="80"/>
      <c r="FX2" s="80"/>
      <c r="FY2" s="80"/>
      <c r="FZ2" s="80"/>
      <c r="GA2" s="80"/>
      <c r="GB2" s="80"/>
      <c r="GC2" s="80"/>
      <c r="GD2" s="80"/>
      <c r="GE2" s="80"/>
      <c r="GF2" s="80"/>
      <c r="GG2" s="80"/>
      <c r="GH2" s="80"/>
      <c r="GI2" s="80"/>
      <c r="GJ2" s="80"/>
      <c r="GK2" s="80"/>
      <c r="GL2" s="80"/>
      <c r="GM2" s="80"/>
      <c r="GN2" s="80"/>
      <c r="GO2" s="80"/>
      <c r="GP2" s="80"/>
      <c r="GQ2" s="80"/>
      <c r="GR2" s="80"/>
      <c r="GS2" s="80"/>
      <c r="GT2" s="80"/>
      <c r="GU2" s="80"/>
      <c r="GV2" s="80"/>
      <c r="GW2" s="80"/>
      <c r="GX2" s="80"/>
      <c r="GY2" s="80"/>
      <c r="GZ2" s="80"/>
      <c r="HA2" s="80"/>
      <c r="HB2" s="80"/>
      <c r="HC2" s="80"/>
      <c r="HD2" s="80"/>
      <c r="HE2" s="80"/>
      <c r="HF2" s="80"/>
      <c r="HG2" s="80"/>
      <c r="HH2" s="80"/>
      <c r="HI2" s="80"/>
      <c r="HJ2" s="80"/>
      <c r="HK2" s="80"/>
      <c r="HL2" s="80"/>
      <c r="HM2" s="80"/>
      <c r="HN2" s="80"/>
      <c r="HO2" s="80"/>
      <c r="HP2" s="80"/>
      <c r="HQ2" s="80"/>
      <c r="HR2" s="80"/>
      <c r="HS2" s="80"/>
      <c r="HT2" s="80"/>
      <c r="HU2" s="80"/>
      <c r="HV2" s="80"/>
      <c r="HW2" s="80"/>
      <c r="HX2" s="80"/>
      <c r="HY2" s="80"/>
      <c r="HZ2" s="80"/>
      <c r="IA2" s="80"/>
      <c r="IB2" s="80"/>
      <c r="IC2" s="80"/>
      <c r="ID2" s="80"/>
      <c r="IE2" s="80"/>
      <c r="IF2" s="80"/>
      <c r="IG2" s="80"/>
      <c r="IH2" s="80"/>
      <c r="II2" s="80"/>
      <c r="IJ2" s="80"/>
      <c r="IK2" s="80"/>
      <c r="IL2" s="80"/>
      <c r="IM2" s="80"/>
      <c r="IN2" s="80"/>
      <c r="IO2" s="80"/>
      <c r="IP2" s="80"/>
      <c r="IQ2" s="80"/>
      <c r="IR2" s="80"/>
      <c r="IS2" s="80"/>
      <c r="IT2" s="80"/>
      <c r="IU2" s="80"/>
      <c r="IV2" s="80"/>
      <c r="IW2" s="80"/>
    </row>
    <row r="3" customFormat="false" ht="11.25" hidden="false" customHeight="true" outlineLevel="0" collapsed="false">
      <c r="A3" s="73"/>
      <c r="B3" s="81"/>
      <c r="C3" s="81"/>
      <c r="D3" s="82"/>
      <c r="E3" s="83"/>
      <c r="F3" s="83"/>
      <c r="G3" s="83"/>
      <c r="H3" s="83"/>
      <c r="I3" s="83"/>
      <c r="J3" s="83"/>
      <c r="K3" s="83"/>
      <c r="L3" s="77"/>
      <c r="M3" s="77"/>
      <c r="N3" s="79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  <c r="AC3" s="80"/>
      <c r="AD3" s="80"/>
      <c r="AE3" s="80"/>
      <c r="AF3" s="80"/>
      <c r="AG3" s="80"/>
      <c r="AH3" s="80"/>
      <c r="AI3" s="80"/>
      <c r="AJ3" s="80"/>
      <c r="AK3" s="80"/>
      <c r="AL3" s="80"/>
      <c r="AM3" s="80"/>
      <c r="AN3" s="80"/>
      <c r="AO3" s="80"/>
      <c r="AP3" s="80"/>
      <c r="AQ3" s="80"/>
      <c r="AR3" s="80"/>
      <c r="AS3" s="80"/>
      <c r="AT3" s="80"/>
      <c r="AU3" s="80"/>
      <c r="AV3" s="80"/>
      <c r="AW3" s="80"/>
      <c r="AX3" s="80"/>
      <c r="AY3" s="80"/>
      <c r="AZ3" s="80"/>
      <c r="BA3" s="80"/>
      <c r="BB3" s="80"/>
      <c r="BC3" s="80"/>
      <c r="BD3" s="80"/>
      <c r="BE3" s="80"/>
      <c r="BF3" s="80"/>
      <c r="BG3" s="80"/>
      <c r="BH3" s="80"/>
      <c r="BI3" s="80"/>
      <c r="BJ3" s="80"/>
      <c r="BK3" s="80"/>
      <c r="BL3" s="80"/>
      <c r="BM3" s="80"/>
      <c r="BN3" s="80"/>
      <c r="BO3" s="80"/>
      <c r="BP3" s="80"/>
      <c r="BQ3" s="80"/>
      <c r="BR3" s="80"/>
      <c r="BS3" s="80"/>
      <c r="BT3" s="80"/>
      <c r="BU3" s="80"/>
      <c r="BV3" s="80"/>
      <c r="BW3" s="80"/>
      <c r="BX3" s="80"/>
      <c r="BY3" s="80"/>
      <c r="BZ3" s="80"/>
      <c r="CA3" s="80"/>
      <c r="CB3" s="80"/>
      <c r="CC3" s="80"/>
      <c r="CD3" s="80"/>
      <c r="CE3" s="80"/>
      <c r="CF3" s="80"/>
      <c r="CG3" s="80"/>
      <c r="CH3" s="80"/>
      <c r="CI3" s="80"/>
      <c r="CJ3" s="80"/>
      <c r="CK3" s="80"/>
      <c r="CL3" s="80"/>
      <c r="CM3" s="80"/>
      <c r="CN3" s="80"/>
      <c r="CO3" s="80"/>
      <c r="CP3" s="80"/>
      <c r="CQ3" s="80"/>
      <c r="CR3" s="80"/>
      <c r="CS3" s="80"/>
      <c r="CT3" s="80"/>
      <c r="CU3" s="80"/>
      <c r="CV3" s="80"/>
      <c r="CW3" s="80"/>
      <c r="CX3" s="80"/>
      <c r="CY3" s="80"/>
      <c r="CZ3" s="80"/>
      <c r="DA3" s="80"/>
      <c r="DB3" s="80"/>
      <c r="DC3" s="80"/>
      <c r="DD3" s="80"/>
      <c r="DE3" s="80"/>
      <c r="DF3" s="80"/>
      <c r="DG3" s="80"/>
      <c r="DH3" s="80"/>
      <c r="DI3" s="80"/>
      <c r="DJ3" s="80"/>
      <c r="DK3" s="80"/>
      <c r="DL3" s="80"/>
      <c r="DM3" s="80"/>
      <c r="DN3" s="80"/>
      <c r="DO3" s="80"/>
      <c r="DP3" s="80"/>
      <c r="DQ3" s="80"/>
      <c r="DR3" s="80"/>
      <c r="DS3" s="80"/>
      <c r="DT3" s="80"/>
      <c r="DU3" s="80"/>
      <c r="DV3" s="80"/>
      <c r="DW3" s="80"/>
      <c r="DX3" s="80"/>
      <c r="DY3" s="80"/>
      <c r="DZ3" s="80"/>
      <c r="EA3" s="80"/>
      <c r="EB3" s="80"/>
      <c r="EC3" s="80"/>
      <c r="ED3" s="80"/>
      <c r="EE3" s="80"/>
      <c r="EF3" s="80"/>
      <c r="EG3" s="80"/>
      <c r="EH3" s="80"/>
      <c r="EI3" s="80"/>
      <c r="EJ3" s="80"/>
      <c r="EK3" s="80"/>
      <c r="EL3" s="80"/>
      <c r="EM3" s="80"/>
      <c r="EN3" s="80"/>
      <c r="EO3" s="80"/>
      <c r="EP3" s="80"/>
      <c r="EQ3" s="80"/>
      <c r="ER3" s="80"/>
      <c r="ES3" s="80"/>
      <c r="ET3" s="80"/>
      <c r="EU3" s="80"/>
      <c r="EV3" s="80"/>
      <c r="EW3" s="80"/>
      <c r="EX3" s="80"/>
      <c r="EY3" s="80"/>
      <c r="EZ3" s="80"/>
      <c r="FA3" s="80"/>
      <c r="FB3" s="80"/>
      <c r="FC3" s="80"/>
      <c r="FD3" s="80"/>
      <c r="FE3" s="80"/>
      <c r="FF3" s="80"/>
      <c r="FG3" s="80"/>
      <c r="FH3" s="80"/>
      <c r="FI3" s="80"/>
      <c r="FJ3" s="80"/>
      <c r="FK3" s="80"/>
      <c r="FL3" s="80"/>
      <c r="FM3" s="80"/>
      <c r="FN3" s="80"/>
      <c r="FO3" s="80"/>
      <c r="FP3" s="80"/>
      <c r="FQ3" s="80"/>
      <c r="FR3" s="80"/>
      <c r="FS3" s="80"/>
      <c r="FT3" s="80"/>
      <c r="FU3" s="80"/>
      <c r="FV3" s="80"/>
      <c r="FW3" s="80"/>
      <c r="FX3" s="80"/>
      <c r="FY3" s="80"/>
      <c r="FZ3" s="80"/>
      <c r="GA3" s="80"/>
      <c r="GB3" s="80"/>
      <c r="GC3" s="80"/>
      <c r="GD3" s="80"/>
      <c r="GE3" s="80"/>
      <c r="GF3" s="80"/>
      <c r="GG3" s="80"/>
      <c r="GH3" s="80"/>
      <c r="GI3" s="80"/>
      <c r="GJ3" s="80"/>
      <c r="GK3" s="80"/>
      <c r="GL3" s="80"/>
      <c r="GM3" s="80"/>
      <c r="GN3" s="80"/>
      <c r="GO3" s="80"/>
      <c r="GP3" s="80"/>
      <c r="GQ3" s="80"/>
      <c r="GR3" s="80"/>
      <c r="GS3" s="80"/>
      <c r="GT3" s="80"/>
      <c r="GU3" s="80"/>
      <c r="GV3" s="80"/>
      <c r="GW3" s="80"/>
      <c r="GX3" s="80"/>
      <c r="GY3" s="80"/>
      <c r="GZ3" s="80"/>
      <c r="HA3" s="80"/>
      <c r="HB3" s="80"/>
      <c r="HC3" s="80"/>
      <c r="HD3" s="80"/>
      <c r="HE3" s="80"/>
      <c r="HF3" s="80"/>
      <c r="HG3" s="80"/>
      <c r="HH3" s="80"/>
      <c r="HI3" s="80"/>
      <c r="HJ3" s="80"/>
      <c r="HK3" s="80"/>
      <c r="HL3" s="80"/>
      <c r="HM3" s="80"/>
      <c r="HN3" s="80"/>
      <c r="HO3" s="80"/>
      <c r="HP3" s="80"/>
      <c r="HQ3" s="80"/>
      <c r="HR3" s="80"/>
      <c r="HS3" s="80"/>
      <c r="HT3" s="80"/>
      <c r="HU3" s="80"/>
      <c r="HV3" s="80"/>
      <c r="HW3" s="80"/>
      <c r="HX3" s="80"/>
      <c r="HY3" s="80"/>
      <c r="HZ3" s="80"/>
      <c r="IA3" s="80"/>
      <c r="IB3" s="80"/>
      <c r="IC3" s="80"/>
      <c r="ID3" s="80"/>
      <c r="IE3" s="80"/>
      <c r="IF3" s="80"/>
      <c r="IG3" s="80"/>
      <c r="IH3" s="80"/>
      <c r="II3" s="80"/>
      <c r="IJ3" s="80"/>
      <c r="IK3" s="80"/>
      <c r="IL3" s="80"/>
      <c r="IM3" s="80"/>
      <c r="IN3" s="80"/>
      <c r="IO3" s="80"/>
      <c r="IP3" s="80"/>
      <c r="IQ3" s="80"/>
      <c r="IR3" s="80"/>
      <c r="IS3" s="80"/>
      <c r="IT3" s="80"/>
      <c r="IU3" s="80"/>
      <c r="IV3" s="80"/>
      <c r="IW3" s="80"/>
    </row>
    <row r="4" customFormat="false" ht="12" hidden="false" customHeight="false" outlineLevel="0" collapsed="false">
      <c r="A4" s="84"/>
      <c r="B4" s="85" t="n">
        <f aca="false">[1]Admin!$B$2</f>
        <v>46081</v>
      </c>
      <c r="C4" s="85" t="n">
        <f aca="false">B5</f>
        <v>46112</v>
      </c>
      <c r="D4" s="86" t="n">
        <f aca="false">S02Y1!$G$1</f>
        <v>4000</v>
      </c>
      <c r="E4" s="87"/>
      <c r="F4" s="87" t="n">
        <f aca="false">S02Y1!$F$1</f>
        <v>800</v>
      </c>
      <c r="G4" s="87"/>
      <c r="H4" s="87" t="n">
        <f aca="false">P02Y1!$I$1</f>
        <v>600</v>
      </c>
      <c r="I4" s="87"/>
      <c r="J4" s="87" t="n">
        <f aca="false">P02Y1!$H$1</f>
        <v>120</v>
      </c>
      <c r="K4" s="87"/>
      <c r="L4" s="88"/>
      <c r="M4" s="89" t="n">
        <f aca="false">IF([2]Apr!$H$4&gt;0,[2]Apr!$H$4,0)</f>
        <v>0</v>
      </c>
      <c r="N4" s="90"/>
    </row>
    <row r="5" customFormat="false" ht="12" hidden="false" customHeight="false" outlineLevel="0" collapsed="false">
      <c r="A5" s="84"/>
      <c r="B5" s="85" t="n">
        <f aca="false">[1]Admin!$B$3</f>
        <v>46112</v>
      </c>
      <c r="C5" s="85" t="n">
        <f aca="false">B6</f>
        <v>46142</v>
      </c>
      <c r="D5" s="86" t="n">
        <f aca="false">S03Y1!$G$1</f>
        <v>2000</v>
      </c>
      <c r="E5" s="87"/>
      <c r="F5" s="87" t="n">
        <f aca="false">S03Y1!$F$1</f>
        <v>400</v>
      </c>
      <c r="G5" s="87"/>
      <c r="H5" s="87" t="n">
        <f aca="false">P03Y1!$I$1</f>
        <v>1000</v>
      </c>
      <c r="I5" s="87"/>
      <c r="J5" s="87" t="n">
        <f aca="false">P03Y1!$H$1</f>
        <v>200</v>
      </c>
      <c r="K5" s="87"/>
      <c r="L5" s="88"/>
      <c r="M5" s="89" t="n">
        <f aca="false">IF([2]Apr!$H$4&gt;0,[2]Apr!$H$4,0)</f>
        <v>0</v>
      </c>
      <c r="N5" s="90"/>
    </row>
    <row r="6" customFormat="false" ht="12" hidden="false" customHeight="false" outlineLevel="0" collapsed="false">
      <c r="A6" s="84"/>
      <c r="B6" s="85" t="n">
        <f aca="false">[1]Admin!$B$5</f>
        <v>46142</v>
      </c>
      <c r="C6" s="85" t="n">
        <f aca="false">B7</f>
        <v>46173</v>
      </c>
      <c r="D6" s="86" t="n">
        <f aca="false">[2]Apr!$I$1</f>
        <v>27833.3333333333</v>
      </c>
      <c r="E6" s="87" t="n">
        <f aca="false">SUM(D4:D6)</f>
        <v>33833.3333333333</v>
      </c>
      <c r="F6" s="87" t="n">
        <f aca="false">[2]Apr!$H$1</f>
        <v>5566.66666666667</v>
      </c>
      <c r="G6" s="87" t="n">
        <f aca="false">SUM(F4:F6)</f>
        <v>6766.66666666667</v>
      </c>
      <c r="H6" s="87" t="n">
        <f aca="false">[3]Apr!$I$1</f>
        <v>4265.75</v>
      </c>
      <c r="I6" s="87" t="n">
        <f aca="false">SUM(H4:H6)</f>
        <v>5865.75</v>
      </c>
      <c r="J6" s="87" t="n">
        <f aca="false">[3]Apr!$H$1</f>
        <v>845.5</v>
      </c>
      <c r="K6" s="87" t="n">
        <f aca="false">SUM(J4:J6)</f>
        <v>1165.5</v>
      </c>
      <c r="L6" s="88"/>
      <c r="M6" s="89" t="n">
        <f aca="false">IF([2]Apr!$H$4&gt;0,[2]Apr!$H$4,0)</f>
        <v>0</v>
      </c>
      <c r="N6" s="90"/>
    </row>
    <row r="7" customFormat="false" ht="12" hidden="false" customHeight="false" outlineLevel="0" collapsed="false">
      <c r="A7" s="84"/>
      <c r="B7" s="85" t="n">
        <f aca="false">[1]Admin!$B$6</f>
        <v>46173</v>
      </c>
      <c r="C7" s="85" t="n">
        <f aca="false">B8</f>
        <v>46203</v>
      </c>
      <c r="D7" s="86" t="n">
        <f aca="false">[2]May!$I$1</f>
        <v>27433.3333333333</v>
      </c>
      <c r="E7" s="87" t="n">
        <f aca="false">SUM(D5:D7)</f>
        <v>57266.6666666666</v>
      </c>
      <c r="F7" s="87" t="n">
        <f aca="false">[2]May!$H$1</f>
        <v>5486.66666666667</v>
      </c>
      <c r="G7" s="87" t="n">
        <f aca="false">SUM(F5:F7)</f>
        <v>11453.3333333333</v>
      </c>
      <c r="H7" s="87" t="n">
        <f aca="false">[3]May!$I$1</f>
        <v>5321.5</v>
      </c>
      <c r="I7" s="87" t="n">
        <f aca="false">SUM(H5:H7)</f>
        <v>10587.25</v>
      </c>
      <c r="J7" s="87" t="n">
        <f aca="false">[3]May!$H$1</f>
        <v>1053.5</v>
      </c>
      <c r="K7" s="87" t="n">
        <f aca="false">SUM(J5:J7)</f>
        <v>2099</v>
      </c>
      <c r="L7" s="88"/>
      <c r="M7" s="89" t="n">
        <f aca="false">IF([2]May!$H$4&gt;0,[2]May!$H$4,0)</f>
        <v>0</v>
      </c>
      <c r="N7" s="90"/>
    </row>
    <row r="8" customFormat="false" ht="12" hidden="false" customHeight="false" outlineLevel="0" collapsed="false">
      <c r="A8" s="84"/>
      <c r="B8" s="85" t="n">
        <f aca="false">[1]Admin!$B$7</f>
        <v>46203</v>
      </c>
      <c r="C8" s="85" t="n">
        <f aca="false">B9</f>
        <v>46234</v>
      </c>
      <c r="D8" s="86" t="n">
        <f aca="false">[2]Jun!$I$1</f>
        <v>29333.3333333333</v>
      </c>
      <c r="E8" s="87" t="n">
        <f aca="false">SUM(D6:D8)</f>
        <v>84599.9999999999</v>
      </c>
      <c r="F8" s="87" t="n">
        <f aca="false">[2]Jun!$H$1</f>
        <v>5866.66666666667</v>
      </c>
      <c r="G8" s="87" t="n">
        <f aca="false">SUM(F6:F8)</f>
        <v>16920</v>
      </c>
      <c r="H8" s="87" t="n">
        <f aca="false">[3]Jun!$I$1</f>
        <v>20562.5</v>
      </c>
      <c r="I8" s="87" t="n">
        <f aca="false">SUM(H6:H8)</f>
        <v>30149.75</v>
      </c>
      <c r="J8" s="87" t="n">
        <f aca="false">[3]Jun!$H$1</f>
        <v>4094.5</v>
      </c>
      <c r="K8" s="87" t="n">
        <f aca="false">SUM(J6:J8)</f>
        <v>5993.5</v>
      </c>
      <c r="L8" s="88"/>
      <c r="M8" s="89" t="n">
        <f aca="false">IF([2]Jun!$H$4&gt;0,[2]Jun!$H$4,0)</f>
        <v>0</v>
      </c>
      <c r="N8" s="90"/>
    </row>
    <row r="9" customFormat="false" ht="12" hidden="false" customHeight="false" outlineLevel="0" collapsed="false">
      <c r="A9" s="84"/>
      <c r="B9" s="85" t="n">
        <f aca="false">[1]Admin!$B$8</f>
        <v>46234</v>
      </c>
      <c r="C9" s="85" t="n">
        <f aca="false">B10</f>
        <v>46265</v>
      </c>
      <c r="D9" s="86" t="n">
        <f aca="false">[2]Jul!$I$1</f>
        <v>28133.3333333333</v>
      </c>
      <c r="E9" s="87" t="n">
        <f aca="false">SUM(D7:D9)</f>
        <v>84899.9999999999</v>
      </c>
      <c r="F9" s="87" t="n">
        <f aca="false">[2]Jul!$H$1</f>
        <v>5626.66666666667</v>
      </c>
      <c r="G9" s="87" t="n">
        <f aca="false">SUM(F7:F9)</f>
        <v>16980</v>
      </c>
      <c r="H9" s="87" t="n">
        <f aca="false">[3]Jul!$I$1</f>
        <v>7552.75</v>
      </c>
      <c r="I9" s="87" t="n">
        <f aca="false">SUM(H7:H9)</f>
        <v>33436.75</v>
      </c>
      <c r="J9" s="87" t="n">
        <f aca="false">[3]Jul!$H$1</f>
        <v>1506.5</v>
      </c>
      <c r="K9" s="87" t="n">
        <f aca="false">SUM(J7:J9)</f>
        <v>6654.5</v>
      </c>
      <c r="L9" s="88"/>
      <c r="M9" s="89" t="n">
        <f aca="false">IF([2]Jul!$H$4&gt;0,[2]Jul!$H$4,0)</f>
        <v>0</v>
      </c>
      <c r="N9" s="90"/>
    </row>
    <row r="10" customFormat="false" ht="12" hidden="false" customHeight="false" outlineLevel="0" collapsed="false">
      <c r="A10" s="84"/>
      <c r="B10" s="85" t="n">
        <f aca="false">[1]Admin!$B$9</f>
        <v>46265</v>
      </c>
      <c r="C10" s="85" t="n">
        <f aca="false">B11</f>
        <v>46295</v>
      </c>
      <c r="D10" s="86" t="n">
        <f aca="false">[2]Aug!$I$1</f>
        <v>30016.6666666667</v>
      </c>
      <c r="E10" s="87" t="n">
        <f aca="false">SUM(D8:D10)</f>
        <v>87483.3333333333</v>
      </c>
      <c r="F10" s="87" t="n">
        <f aca="false">[2]Aug!$H$1</f>
        <v>6003.33333333333</v>
      </c>
      <c r="G10" s="87" t="n">
        <f aca="false">SUM(F8:F10)</f>
        <v>17496.6666666667</v>
      </c>
      <c r="H10" s="87" t="n">
        <f aca="false">[3]Aug!$I$1</f>
        <v>3969.08333333333</v>
      </c>
      <c r="I10" s="87" t="n">
        <f aca="false">SUM(H8:H10)</f>
        <v>32084.3333333333</v>
      </c>
      <c r="J10" s="87" t="n">
        <f aca="false">[3]Aug!$H$1</f>
        <v>786.166666666667</v>
      </c>
      <c r="K10" s="87" t="n">
        <f aca="false">SUM(J8:J10)</f>
        <v>6387.16666666667</v>
      </c>
      <c r="L10" s="88"/>
      <c r="M10" s="89" t="n">
        <f aca="false">IF([2]Aug!$H$4&gt;0,[2]Aug!$H$4,0)</f>
        <v>0</v>
      </c>
      <c r="N10" s="90"/>
    </row>
    <row r="11" customFormat="false" ht="12" hidden="false" customHeight="false" outlineLevel="0" collapsed="false">
      <c r="A11" s="84"/>
      <c r="B11" s="85" t="n">
        <f aca="false">[1]Admin!$B$10</f>
        <v>46295</v>
      </c>
      <c r="C11" s="85" t="n">
        <f aca="false">B12</f>
        <v>46326</v>
      </c>
      <c r="D11" s="86" t="n">
        <f aca="false">[2]Sep!$I$1</f>
        <v>28133.3333333333</v>
      </c>
      <c r="E11" s="87" t="n">
        <f aca="false">SUM(D9:D11)</f>
        <v>86283.3333333333</v>
      </c>
      <c r="F11" s="87" t="n">
        <f aca="false">[2]Sep!$H$1</f>
        <v>5626.66666666667</v>
      </c>
      <c r="G11" s="87" t="n">
        <f aca="false">SUM(F9:F11)</f>
        <v>17256.6666666667</v>
      </c>
      <c r="H11" s="87" t="n">
        <f aca="false">[3]Sep!$I$1</f>
        <v>11157.8333333333</v>
      </c>
      <c r="I11" s="87" t="n">
        <f aca="false">SUM(H9:H11)</f>
        <v>22679.6666666666</v>
      </c>
      <c r="J11" s="87" t="n">
        <f aca="false">[3]Sep!$H$1</f>
        <v>2217.16666666667</v>
      </c>
      <c r="K11" s="87" t="n">
        <f aca="false">SUM(J9:J11)</f>
        <v>4509.83333333334</v>
      </c>
      <c r="L11" s="88"/>
      <c r="M11" s="89" t="n">
        <f aca="false">IF([2]Sep!$H$4&gt;0,[2]Sep!$H$4,0)</f>
        <v>0</v>
      </c>
      <c r="N11" s="90"/>
    </row>
    <row r="12" customFormat="false" ht="12" hidden="false" customHeight="false" outlineLevel="0" collapsed="false">
      <c r="A12" s="84"/>
      <c r="B12" s="85" t="n">
        <f aca="false">[1]Admin!$B$11</f>
        <v>46326</v>
      </c>
      <c r="C12" s="85" t="n">
        <f aca="false">B13</f>
        <v>46356</v>
      </c>
      <c r="D12" s="86" t="n">
        <f aca="false">[2]Oct!$I$1</f>
        <v>42133.3333333333</v>
      </c>
      <c r="E12" s="87" t="n">
        <f aca="false">SUM(D10:D12)</f>
        <v>100283.333333333</v>
      </c>
      <c r="F12" s="87" t="n">
        <f aca="false">[2]Oct!$H$1</f>
        <v>8426.66666666667</v>
      </c>
      <c r="G12" s="87" t="n">
        <f aca="false">SUM(F10:F12)</f>
        <v>20056.6666666667</v>
      </c>
      <c r="H12" s="87" t="n">
        <f aca="false">[3]Oct!$I$1</f>
        <v>35845.25</v>
      </c>
      <c r="I12" s="87" t="n">
        <f aca="false">SUM(H10:H12)</f>
        <v>50972.1666666666</v>
      </c>
      <c r="J12" s="87" t="n">
        <f aca="false">[3]Oct!$H$1</f>
        <v>7160.5</v>
      </c>
      <c r="K12" s="87" t="n">
        <f aca="false">SUM(J10:J12)</f>
        <v>10163.8333333333</v>
      </c>
      <c r="L12" s="88"/>
      <c r="M12" s="89" t="n">
        <f aca="false">IF([2]Oct!$H$4&gt;0,[2]Oct!$H$4,0)</f>
        <v>0</v>
      </c>
      <c r="N12" s="90"/>
    </row>
    <row r="13" customFormat="false" ht="12" hidden="false" customHeight="false" outlineLevel="0" collapsed="false">
      <c r="A13" s="84"/>
      <c r="B13" s="85" t="n">
        <f aca="false">[1]Admin!$B$12</f>
        <v>46356</v>
      </c>
      <c r="C13" s="85" t="n">
        <f aca="false">B14</f>
        <v>46387</v>
      </c>
      <c r="D13" s="86" t="n">
        <f aca="false">[2]Nov!$I$1</f>
        <v>29433.3333333333</v>
      </c>
      <c r="E13" s="87" t="n">
        <f aca="false">SUM(D11:D13)</f>
        <v>99699.9999999999</v>
      </c>
      <c r="F13" s="87" t="n">
        <f aca="false">[2]Nov!$H$1</f>
        <v>5886.66666666667</v>
      </c>
      <c r="G13" s="87" t="n">
        <f aca="false">SUM(F11:F13)</f>
        <v>19940</v>
      </c>
      <c r="H13" s="87" t="n">
        <f aca="false">[3]Nov!$I$1</f>
        <v>5778.5</v>
      </c>
      <c r="I13" s="87" t="n">
        <f aca="false">SUM(H11:H13)</f>
        <v>52781.5833333333</v>
      </c>
      <c r="J13" s="87" t="n">
        <f aca="false">[3]Nov!$H$1</f>
        <v>1139.5</v>
      </c>
      <c r="K13" s="87" t="n">
        <f aca="false">SUM(J11:J13)</f>
        <v>10517.1666666667</v>
      </c>
      <c r="L13" s="88"/>
      <c r="M13" s="89" t="n">
        <f aca="false">IF([2]Nov!$H$4&gt;0,[2]Nov!$H$4,0)</f>
        <v>0</v>
      </c>
      <c r="N13" s="90"/>
    </row>
    <row r="14" customFormat="false" ht="12" hidden="false" customHeight="false" outlineLevel="0" collapsed="false">
      <c r="A14" s="84"/>
      <c r="B14" s="85" t="n">
        <f aca="false">[1]Admin!$B$13</f>
        <v>46387</v>
      </c>
      <c r="C14" s="85" t="n">
        <f aca="false">B15</f>
        <v>46418</v>
      </c>
      <c r="D14" s="86" t="n">
        <f aca="false">[2]Dec!$I$1</f>
        <v>27333.3333333333</v>
      </c>
      <c r="E14" s="87" t="n">
        <f aca="false">SUM(D12:D14)</f>
        <v>98899.9999999999</v>
      </c>
      <c r="F14" s="87" t="n">
        <f aca="false">[2]Dec!$H$1</f>
        <v>5466.66666666667</v>
      </c>
      <c r="G14" s="87" t="n">
        <f aca="false">SUM(F12:F14)</f>
        <v>19780</v>
      </c>
      <c r="H14" s="87" t="n">
        <f aca="false">[3]Dec!$I$1</f>
        <v>7884.5</v>
      </c>
      <c r="I14" s="87" t="n">
        <f aca="false">SUM(H12:H14)</f>
        <v>49508.25</v>
      </c>
      <c r="J14" s="87" t="n">
        <f aca="false">[3]Dec!$H$1</f>
        <v>1567</v>
      </c>
      <c r="K14" s="87" t="n">
        <f aca="false">SUM(J12:J14)</f>
        <v>9867</v>
      </c>
      <c r="L14" s="88"/>
      <c r="M14" s="89" t="n">
        <f aca="false">IF([2]Dec!$H$4&gt;0,[2]Dec!$H$4,0)</f>
        <v>0</v>
      </c>
      <c r="N14" s="90"/>
    </row>
    <row r="15" customFormat="false" ht="12" hidden="false" customHeight="false" outlineLevel="0" collapsed="false">
      <c r="A15" s="84"/>
      <c r="B15" s="85" t="n">
        <f aca="false">[1]Admin!$B$14</f>
        <v>46418</v>
      </c>
      <c r="C15" s="85" t="n">
        <f aca="false">B16</f>
        <v>46446</v>
      </c>
      <c r="D15" s="86" t="n">
        <f aca="false">[2]Jan!$I$1</f>
        <v>29533.3333333333</v>
      </c>
      <c r="E15" s="87" t="n">
        <f aca="false">SUM(D13:D15)</f>
        <v>86299.9999999999</v>
      </c>
      <c r="F15" s="87" t="n">
        <f aca="false">[2]Jan!$H$1</f>
        <v>5906.66666666667</v>
      </c>
      <c r="G15" s="87" t="n">
        <f aca="false">SUM(F13:F15)</f>
        <v>17260</v>
      </c>
      <c r="H15" s="87" t="n">
        <f aca="false">[3]Jan!$I$1</f>
        <v>3765.75</v>
      </c>
      <c r="I15" s="87" t="n">
        <f aca="false">SUM(H13:H15)</f>
        <v>17428.75</v>
      </c>
      <c r="J15" s="87" t="n">
        <f aca="false">[3]Jan!$H$1</f>
        <v>745.5</v>
      </c>
      <c r="K15" s="87" t="n">
        <f aca="false">SUM(J13:J15)</f>
        <v>3452</v>
      </c>
      <c r="L15" s="88"/>
      <c r="M15" s="89" t="n">
        <f aca="false">IF([2]Jan!$H$4&gt;0,[2]Jan!$H$4,0)</f>
        <v>0</v>
      </c>
      <c r="N15" s="90"/>
    </row>
    <row r="16" customFormat="false" ht="12" hidden="false" customHeight="false" outlineLevel="0" collapsed="false">
      <c r="A16" s="84"/>
      <c r="B16" s="85" t="n">
        <f aca="false">[1]Admin!$B$15</f>
        <v>46446</v>
      </c>
      <c r="C16" s="85" t="n">
        <f aca="false">B17</f>
        <v>46477</v>
      </c>
      <c r="D16" s="86" t="n">
        <f aca="false">[2]Feb!$I$1</f>
        <v>28633.3333333333</v>
      </c>
      <c r="E16" s="87" t="n">
        <f aca="false">SUM(D14:D16)</f>
        <v>85499.9999999999</v>
      </c>
      <c r="F16" s="87" t="n">
        <f aca="false">[2]Feb!$H$1</f>
        <v>5726.66666666667</v>
      </c>
      <c r="G16" s="87" t="n">
        <f aca="false">SUM(F14:F16)</f>
        <v>17100</v>
      </c>
      <c r="H16" s="87" t="n">
        <f aca="false">[3]Feb!$I$1</f>
        <v>3669</v>
      </c>
      <c r="I16" s="87" t="n">
        <f aca="false">SUM(H14:H16)</f>
        <v>15319.25</v>
      </c>
      <c r="J16" s="87" t="n">
        <f aca="false">[3]Feb!$H$1</f>
        <v>727.5</v>
      </c>
      <c r="K16" s="87" t="n">
        <f aca="false">SUM(J14:J16)</f>
        <v>3040</v>
      </c>
      <c r="L16" s="88"/>
      <c r="M16" s="89" t="n">
        <f aca="false">IF([2]Feb!$H$4&gt;0,[2]Feb!$H$4,0)</f>
        <v>0</v>
      </c>
      <c r="N16" s="90"/>
    </row>
    <row r="17" customFormat="false" ht="12" hidden="false" customHeight="false" outlineLevel="0" collapsed="false">
      <c r="A17" s="84"/>
      <c r="B17" s="85" t="n">
        <f aca="false">[1]Admin!$B$16</f>
        <v>46477</v>
      </c>
      <c r="C17" s="85" t="n">
        <f aca="false">B18</f>
        <v>46507</v>
      </c>
      <c r="D17" s="86" t="n">
        <f aca="false">[2]Mar!$I$1</f>
        <v>26133.3333333333</v>
      </c>
      <c r="E17" s="87" t="n">
        <f aca="false">SUM(D15:D17)</f>
        <v>84299.9999999999</v>
      </c>
      <c r="F17" s="87" t="n">
        <f aca="false">[2]Mar!$H$1</f>
        <v>5226.66666666667</v>
      </c>
      <c r="G17" s="87" t="n">
        <f aca="false">SUM(F15:F17)</f>
        <v>16860</v>
      </c>
      <c r="H17" s="87" t="n">
        <f aca="false">[3]Mar!$I$1</f>
        <v>3115.16666666667</v>
      </c>
      <c r="I17" s="87" t="n">
        <f aca="false">SUM(H15:H17)</f>
        <v>10549.9166666667</v>
      </c>
      <c r="J17" s="87" t="n">
        <f aca="false">[3]Mar!$H$1</f>
        <v>611.333333333333</v>
      </c>
      <c r="K17" s="87" t="n">
        <f aca="false">SUM(J15:J17)</f>
        <v>2084.33333333333</v>
      </c>
      <c r="L17" s="88"/>
      <c r="M17" s="89" t="n">
        <f aca="false">IF([2]Mar!$H$4&gt;0,[2]Mar!$H$4,0)</f>
        <v>0</v>
      </c>
      <c r="N17" s="90"/>
    </row>
    <row r="18" customFormat="false" ht="12" hidden="false" customHeight="false" outlineLevel="0" collapsed="false">
      <c r="A18" s="84"/>
      <c r="B18" s="85" t="n">
        <f aca="false">[1]Admin!$B$18</f>
        <v>46507</v>
      </c>
      <c r="C18" s="85" t="n">
        <f aca="false">B19</f>
        <v>46538</v>
      </c>
      <c r="D18" s="86" t="n">
        <f aca="false">S04Y2!$G$1</f>
        <v>3000</v>
      </c>
      <c r="E18" s="87" t="n">
        <f aca="false">SUM(D16:D18)</f>
        <v>57766.6666666666</v>
      </c>
      <c r="F18" s="87" t="n">
        <f aca="false">S04Y2!$F$1</f>
        <v>600</v>
      </c>
      <c r="G18" s="87" t="n">
        <f aca="false">SUM(F16:F18)</f>
        <v>11553.3333333333</v>
      </c>
      <c r="H18" s="87" t="n">
        <f aca="false">P04Y2!$I$1</f>
        <v>200</v>
      </c>
      <c r="I18" s="87" t="n">
        <f aca="false">SUM(H16:H18)</f>
        <v>6984.16666666667</v>
      </c>
      <c r="J18" s="87" t="n">
        <f aca="false">P04Y2!$H$1</f>
        <v>40</v>
      </c>
      <c r="K18" s="87" t="n">
        <f aca="false">SUM(J16:J18)</f>
        <v>1378.83333333333</v>
      </c>
      <c r="L18" s="88"/>
      <c r="M18" s="89" t="n">
        <f aca="false">IF([2]Mar!$H$4&gt;0,[2]Mar!$H$4,0)</f>
        <v>0</v>
      </c>
      <c r="N18" s="90"/>
    </row>
    <row r="19" customFormat="false" ht="12" hidden="false" customHeight="false" outlineLevel="0" collapsed="false">
      <c r="A19" s="84"/>
      <c r="B19" s="85" t="n">
        <f aca="false">[1]Admin!$B$19</f>
        <v>46538</v>
      </c>
      <c r="C19" s="85" t="n">
        <f aca="false">[1]Admin!$B$20</f>
        <v>46568</v>
      </c>
      <c r="D19" s="86" t="n">
        <f aca="false">S05Y2!$G$1</f>
        <v>1500</v>
      </c>
      <c r="E19" s="87" t="n">
        <f aca="false">SUM(D17:D19)</f>
        <v>30633.3333333333</v>
      </c>
      <c r="F19" s="87" t="n">
        <f aca="false">S05Y2!$F$1</f>
        <v>300</v>
      </c>
      <c r="G19" s="87" t="n">
        <f aca="false">SUM(F17:F19)</f>
        <v>6126.66666666667</v>
      </c>
      <c r="H19" s="87" t="n">
        <f aca="false">P05Y2!$I$1</f>
        <v>300</v>
      </c>
      <c r="I19" s="87" t="n">
        <f aca="false">SUM(H17:H19)</f>
        <v>3615.16666666667</v>
      </c>
      <c r="J19" s="87" t="n">
        <f aca="false">P05Y2!$H$1</f>
        <v>60</v>
      </c>
      <c r="K19" s="87" t="n">
        <f aca="false">SUM(J17:J19)</f>
        <v>711.333333333333</v>
      </c>
      <c r="L19" s="88"/>
      <c r="M19" s="89" t="n">
        <f aca="false">IF([2]Mar!$H$4&gt;0,[2]Mar!$H$4,0)</f>
        <v>0</v>
      </c>
      <c r="N19" s="90"/>
    </row>
    <row r="20" customFormat="false" ht="12" hidden="false" customHeight="false" outlineLevel="0" collapsed="false">
      <c r="A20" s="84"/>
      <c r="B20" s="85" t="n">
        <f aca="false">[1]Admin!$B$20</f>
        <v>46568</v>
      </c>
      <c r="C20" s="91" t="n">
        <f aca="false">[1]Admin!$B$25</f>
        <v>46599</v>
      </c>
      <c r="D20" s="86" t="n">
        <f aca="false">S06Y2!$G$1</f>
        <v>1000</v>
      </c>
      <c r="E20" s="87" t="n">
        <f aca="false">SUM(D18:D20)</f>
        <v>5500</v>
      </c>
      <c r="F20" s="87" t="n">
        <f aca="false">S06Y2!$F$1</f>
        <v>200</v>
      </c>
      <c r="G20" s="87" t="n">
        <f aca="false">SUM(F18:F20)</f>
        <v>1100</v>
      </c>
      <c r="H20" s="87" t="n">
        <f aca="false">P06Y2!$I$1</f>
        <v>400</v>
      </c>
      <c r="I20" s="87" t="n">
        <f aca="false">SUM(H18:H20)</f>
        <v>900</v>
      </c>
      <c r="J20" s="87" t="n">
        <f aca="false">P06Y2!$H$1</f>
        <v>80</v>
      </c>
      <c r="K20" s="87" t="n">
        <f aca="false">SUM(J18:J20)</f>
        <v>180</v>
      </c>
      <c r="L20" s="88"/>
      <c r="M20" s="89" t="n">
        <f aca="false">IF([2]Mar!$H$4&gt;0,[2]Mar!$H$4,0)</f>
        <v>0</v>
      </c>
      <c r="N20" s="90"/>
    </row>
    <row r="21" customFormat="false" ht="9" hidden="false" customHeight="true" outlineLevel="0" collapsed="false">
      <c r="A21" s="92"/>
      <c r="B21" s="93"/>
      <c r="C21" s="93"/>
      <c r="D21" s="94"/>
      <c r="E21" s="94"/>
      <c r="F21" s="94"/>
      <c r="G21" s="94"/>
      <c r="H21" s="94"/>
      <c r="I21" s="94"/>
      <c r="J21" s="94"/>
      <c r="K21" s="94"/>
      <c r="L21" s="95"/>
      <c r="M21" s="96"/>
      <c r="N21" s="97"/>
    </row>
  </sheetData>
  <printOptions headings="false" gridLines="false" gridLinesSet="true" horizontalCentered="true" verticalCentered="false"/>
  <pageMargins left="0.551388888888889" right="0.551388888888889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customFormat="fals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4800</v>
      </c>
      <c r="F1" s="106" t="n">
        <f aca="false">SUM(F5:F200)</f>
        <v>800</v>
      </c>
      <c r="G1" s="106" t="n">
        <f aca="false">SUM(G5:G200)</f>
        <v>4000</v>
      </c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  <c r="EL1" s="107"/>
      <c r="EM1" s="107"/>
      <c r="EN1" s="107"/>
      <c r="EO1" s="107"/>
      <c r="EP1" s="107"/>
      <c r="EQ1" s="107"/>
      <c r="ER1" s="107"/>
      <c r="ES1" s="107"/>
      <c r="ET1" s="107"/>
      <c r="EU1" s="107"/>
      <c r="EV1" s="107"/>
      <c r="EW1" s="107"/>
      <c r="EX1" s="107"/>
      <c r="EY1" s="107"/>
      <c r="EZ1" s="107"/>
      <c r="FA1" s="107"/>
      <c r="FB1" s="107"/>
      <c r="FC1" s="107"/>
      <c r="FD1" s="107"/>
      <c r="FE1" s="107"/>
      <c r="FF1" s="107"/>
      <c r="FG1" s="107"/>
      <c r="FH1" s="107"/>
      <c r="FI1" s="107"/>
      <c r="FJ1" s="107"/>
      <c r="FK1" s="107"/>
      <c r="FL1" s="107"/>
      <c r="FM1" s="107"/>
      <c r="FN1" s="107"/>
      <c r="FO1" s="107"/>
      <c r="FP1" s="107"/>
      <c r="FQ1" s="107"/>
      <c r="FR1" s="107"/>
      <c r="FS1" s="107"/>
      <c r="FT1" s="107"/>
      <c r="FU1" s="107"/>
      <c r="FV1" s="107"/>
      <c r="FW1" s="107"/>
      <c r="FX1" s="107"/>
      <c r="FY1" s="107"/>
      <c r="FZ1" s="107"/>
      <c r="GA1" s="107"/>
      <c r="GB1" s="107"/>
      <c r="GC1" s="107"/>
      <c r="GD1" s="107"/>
      <c r="GE1" s="107"/>
      <c r="GF1" s="107"/>
      <c r="GG1" s="107"/>
      <c r="GH1" s="107"/>
      <c r="GI1" s="107"/>
      <c r="GJ1" s="107"/>
      <c r="GK1" s="107"/>
      <c r="GL1" s="107"/>
      <c r="GM1" s="107"/>
      <c r="GN1" s="107"/>
      <c r="GO1" s="107"/>
      <c r="GP1" s="107"/>
      <c r="GQ1" s="107"/>
      <c r="GR1" s="107"/>
      <c r="GS1" s="107"/>
      <c r="GT1" s="107"/>
      <c r="GU1" s="107"/>
      <c r="GV1" s="107"/>
      <c r="GW1" s="107"/>
      <c r="GX1" s="107"/>
      <c r="GY1" s="107"/>
      <c r="GZ1" s="107"/>
      <c r="HA1" s="107"/>
      <c r="HB1" s="107"/>
      <c r="HC1" s="107"/>
      <c r="HD1" s="107"/>
      <c r="HE1" s="107"/>
      <c r="HF1" s="107"/>
      <c r="HG1" s="107"/>
      <c r="HH1" s="107"/>
      <c r="HI1" s="107"/>
      <c r="HJ1" s="107"/>
      <c r="HK1" s="107"/>
      <c r="HL1" s="107"/>
      <c r="HM1" s="107"/>
      <c r="HN1" s="107"/>
      <c r="HO1" s="107"/>
      <c r="HP1" s="107"/>
      <c r="HQ1" s="107"/>
      <c r="HR1" s="107"/>
      <c r="HS1" s="107"/>
      <c r="HT1" s="107"/>
      <c r="HU1" s="107"/>
      <c r="HV1" s="107"/>
      <c r="HW1" s="107"/>
      <c r="HX1" s="107"/>
      <c r="HY1" s="107"/>
      <c r="HZ1" s="107"/>
      <c r="IA1" s="107"/>
      <c r="IB1" s="107"/>
      <c r="IC1" s="107"/>
      <c r="ID1" s="107"/>
      <c r="IE1" s="107"/>
      <c r="IF1" s="107"/>
      <c r="IG1" s="107"/>
      <c r="IH1" s="107"/>
      <c r="II1" s="107"/>
      <c r="IJ1" s="107"/>
      <c r="IK1" s="107"/>
      <c r="IL1" s="107"/>
      <c r="IM1" s="107"/>
      <c r="IN1" s="107"/>
      <c r="IO1" s="107"/>
      <c r="IP1" s="107"/>
      <c r="IQ1" s="107"/>
      <c r="IR1" s="107"/>
      <c r="IS1" s="107"/>
      <c r="IT1" s="107"/>
      <c r="IU1" s="107"/>
      <c r="IV1" s="107"/>
      <c r="IW1" s="107"/>
    </row>
    <row r="2" customFormat="fals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[2]OpeningDebtors!$H$2</f>
        <v>20</v>
      </c>
      <c r="G2" s="109" t="s">
        <v>33</v>
      </c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07"/>
      <c r="AS2" s="107"/>
      <c r="AT2" s="107"/>
      <c r="AU2" s="107"/>
      <c r="AV2" s="107"/>
      <c r="AW2" s="107"/>
      <c r="AX2" s="107"/>
      <c r="AY2" s="107"/>
      <c r="AZ2" s="107"/>
      <c r="BA2" s="107"/>
      <c r="BB2" s="107"/>
      <c r="BC2" s="107"/>
      <c r="BD2" s="107"/>
      <c r="BE2" s="107"/>
      <c r="BF2" s="107"/>
      <c r="BG2" s="107"/>
      <c r="BH2" s="107"/>
      <c r="BI2" s="107"/>
      <c r="BJ2" s="107"/>
      <c r="BK2" s="107"/>
      <c r="BL2" s="107"/>
      <c r="BM2" s="107"/>
      <c r="BN2" s="107"/>
      <c r="BO2" s="107"/>
      <c r="BP2" s="107"/>
      <c r="BQ2" s="107"/>
      <c r="BR2" s="107"/>
      <c r="BS2" s="107"/>
      <c r="BT2" s="107"/>
      <c r="BU2" s="107"/>
      <c r="BV2" s="107"/>
      <c r="BW2" s="107"/>
      <c r="BX2" s="107"/>
      <c r="BY2" s="107"/>
      <c r="BZ2" s="107"/>
      <c r="CA2" s="107"/>
      <c r="CB2" s="107"/>
      <c r="CC2" s="107"/>
      <c r="CD2" s="107"/>
      <c r="CE2" s="107"/>
      <c r="CF2" s="107"/>
      <c r="CG2" s="107"/>
      <c r="CH2" s="107"/>
      <c r="CI2" s="107"/>
      <c r="CJ2" s="107"/>
      <c r="CK2" s="107"/>
      <c r="CL2" s="107"/>
      <c r="CM2" s="107"/>
      <c r="CN2" s="107"/>
      <c r="CO2" s="107"/>
      <c r="CP2" s="107"/>
      <c r="CQ2" s="107"/>
      <c r="CR2" s="107"/>
      <c r="CS2" s="107"/>
      <c r="CT2" s="107"/>
      <c r="CU2" s="107"/>
      <c r="CV2" s="107"/>
      <c r="CW2" s="107"/>
      <c r="CX2" s="107"/>
      <c r="CY2" s="107"/>
      <c r="CZ2" s="107"/>
      <c r="DA2" s="107"/>
      <c r="DB2" s="107"/>
      <c r="DC2" s="107"/>
      <c r="DD2" s="107"/>
      <c r="DE2" s="107"/>
      <c r="DF2" s="107"/>
      <c r="DG2" s="107"/>
      <c r="DH2" s="107"/>
      <c r="DI2" s="107"/>
      <c r="DJ2" s="107"/>
      <c r="DK2" s="107"/>
      <c r="DL2" s="107"/>
      <c r="DM2" s="107"/>
      <c r="DN2" s="107"/>
      <c r="DO2" s="107"/>
      <c r="DP2" s="107"/>
      <c r="DQ2" s="107"/>
      <c r="DR2" s="107"/>
      <c r="DS2" s="107"/>
      <c r="DT2" s="107"/>
      <c r="DU2" s="107"/>
      <c r="DV2" s="107"/>
      <c r="DW2" s="107"/>
      <c r="DX2" s="107"/>
      <c r="DY2" s="107"/>
      <c r="DZ2" s="107"/>
      <c r="EA2" s="107"/>
      <c r="EB2" s="107"/>
      <c r="EC2" s="107"/>
      <c r="ED2" s="107"/>
      <c r="EE2" s="107"/>
      <c r="EF2" s="107"/>
      <c r="EG2" s="107"/>
      <c r="EH2" s="107"/>
      <c r="EI2" s="107"/>
      <c r="EJ2" s="107"/>
      <c r="EK2" s="107"/>
      <c r="EL2" s="107"/>
      <c r="EM2" s="107"/>
      <c r="EN2" s="107"/>
      <c r="EO2" s="107"/>
      <c r="EP2" s="107"/>
      <c r="EQ2" s="107"/>
      <c r="ER2" s="107"/>
      <c r="ES2" s="107"/>
      <c r="ET2" s="107"/>
      <c r="EU2" s="107"/>
      <c r="EV2" s="107"/>
      <c r="EW2" s="107"/>
      <c r="EX2" s="107"/>
      <c r="EY2" s="107"/>
      <c r="EZ2" s="107"/>
      <c r="FA2" s="107"/>
      <c r="FB2" s="107"/>
      <c r="FC2" s="107"/>
      <c r="FD2" s="107"/>
      <c r="FE2" s="107"/>
      <c r="FF2" s="107"/>
      <c r="FG2" s="107"/>
      <c r="FH2" s="107"/>
      <c r="FI2" s="107"/>
      <c r="FJ2" s="107"/>
      <c r="FK2" s="107"/>
      <c r="FL2" s="107"/>
      <c r="FM2" s="107"/>
      <c r="FN2" s="107"/>
      <c r="FO2" s="107"/>
      <c r="FP2" s="107"/>
      <c r="FQ2" s="107"/>
      <c r="FR2" s="107"/>
      <c r="FS2" s="107"/>
      <c r="FT2" s="107"/>
      <c r="FU2" s="107"/>
      <c r="FV2" s="107"/>
      <c r="FW2" s="107"/>
      <c r="FX2" s="107"/>
      <c r="FY2" s="107"/>
      <c r="FZ2" s="107"/>
      <c r="GA2" s="107"/>
      <c r="GB2" s="107"/>
      <c r="GC2" s="107"/>
      <c r="GD2" s="107"/>
      <c r="GE2" s="107"/>
      <c r="GF2" s="107"/>
      <c r="GG2" s="107"/>
      <c r="GH2" s="107"/>
      <c r="GI2" s="107"/>
      <c r="GJ2" s="107"/>
      <c r="GK2" s="107"/>
      <c r="GL2" s="107"/>
      <c r="GM2" s="107"/>
      <c r="GN2" s="107"/>
      <c r="GO2" s="107"/>
      <c r="GP2" s="107"/>
      <c r="GQ2" s="107"/>
      <c r="GR2" s="107"/>
      <c r="GS2" s="107"/>
      <c r="GT2" s="107"/>
      <c r="GU2" s="107"/>
      <c r="GV2" s="107"/>
      <c r="GW2" s="107"/>
      <c r="GX2" s="107"/>
      <c r="GY2" s="107"/>
      <c r="GZ2" s="107"/>
      <c r="HA2" s="107"/>
      <c r="HB2" s="107"/>
      <c r="HC2" s="107"/>
      <c r="HD2" s="107"/>
      <c r="HE2" s="107"/>
      <c r="HF2" s="107"/>
      <c r="HG2" s="107"/>
      <c r="HH2" s="107"/>
      <c r="HI2" s="107"/>
      <c r="HJ2" s="107"/>
      <c r="HK2" s="107"/>
      <c r="HL2" s="107"/>
      <c r="HM2" s="107"/>
      <c r="HN2" s="107"/>
      <c r="HO2" s="107"/>
      <c r="HP2" s="107"/>
      <c r="HQ2" s="107"/>
      <c r="HR2" s="107"/>
      <c r="HS2" s="107"/>
      <c r="HT2" s="107"/>
      <c r="HU2" s="107"/>
      <c r="HV2" s="107"/>
      <c r="HW2" s="107"/>
      <c r="HX2" s="107"/>
      <c r="HY2" s="107"/>
      <c r="HZ2" s="107"/>
      <c r="IA2" s="107"/>
      <c r="IB2" s="107"/>
      <c r="IC2" s="107"/>
      <c r="ID2" s="107"/>
      <c r="IE2" s="107"/>
      <c r="IF2" s="107"/>
      <c r="IG2" s="107"/>
      <c r="IH2" s="107"/>
      <c r="II2" s="107"/>
      <c r="IJ2" s="107"/>
      <c r="IK2" s="107"/>
      <c r="IL2" s="107"/>
      <c r="IM2" s="107"/>
      <c r="IN2" s="107"/>
      <c r="IO2" s="107"/>
      <c r="IP2" s="107"/>
      <c r="IQ2" s="107"/>
      <c r="IR2" s="107"/>
      <c r="IS2" s="107"/>
      <c r="IT2" s="107"/>
      <c r="IU2" s="107"/>
      <c r="IV2" s="107"/>
      <c r="IW2" s="107"/>
    </row>
    <row r="3" customFormat="fals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  <c r="AJ3" s="113"/>
      <c r="AK3" s="113"/>
      <c r="AL3" s="113"/>
      <c r="AM3" s="113"/>
      <c r="AN3" s="113"/>
      <c r="AO3" s="113"/>
      <c r="AP3" s="113"/>
      <c r="AQ3" s="113"/>
      <c r="AR3" s="113"/>
      <c r="AS3" s="113"/>
      <c r="AT3" s="113"/>
      <c r="AU3" s="113"/>
      <c r="AV3" s="113"/>
      <c r="AW3" s="113"/>
      <c r="AX3" s="113"/>
      <c r="AY3" s="113"/>
      <c r="AZ3" s="113"/>
      <c r="BA3" s="113"/>
      <c r="BB3" s="113"/>
      <c r="BC3" s="113"/>
      <c r="BD3" s="113"/>
      <c r="BE3" s="113"/>
      <c r="BF3" s="113"/>
      <c r="BG3" s="113"/>
      <c r="BH3" s="113"/>
      <c r="BI3" s="113"/>
      <c r="BJ3" s="113"/>
      <c r="BK3" s="113"/>
      <c r="BL3" s="113"/>
      <c r="BM3" s="113"/>
      <c r="BN3" s="113"/>
      <c r="BO3" s="113"/>
      <c r="BP3" s="113"/>
      <c r="BQ3" s="113"/>
      <c r="BR3" s="113"/>
      <c r="BS3" s="113"/>
      <c r="BT3" s="113"/>
      <c r="BU3" s="113"/>
      <c r="BV3" s="113"/>
      <c r="BW3" s="113"/>
      <c r="BX3" s="113"/>
      <c r="BY3" s="113"/>
      <c r="BZ3" s="113"/>
      <c r="CA3" s="113"/>
      <c r="CB3" s="113"/>
      <c r="CC3" s="113"/>
      <c r="CD3" s="113"/>
      <c r="CE3" s="113"/>
      <c r="CF3" s="113"/>
      <c r="CG3" s="113"/>
      <c r="CH3" s="113"/>
      <c r="CI3" s="113"/>
      <c r="CJ3" s="113"/>
      <c r="CK3" s="113"/>
      <c r="CL3" s="113"/>
      <c r="CM3" s="113"/>
      <c r="CN3" s="113"/>
      <c r="CO3" s="113"/>
      <c r="CP3" s="113"/>
      <c r="CQ3" s="113"/>
      <c r="CR3" s="113"/>
      <c r="CS3" s="113"/>
      <c r="CT3" s="113"/>
      <c r="CU3" s="113"/>
      <c r="CV3" s="113"/>
      <c r="CW3" s="113"/>
      <c r="CX3" s="113"/>
      <c r="CY3" s="113"/>
      <c r="CZ3" s="113"/>
      <c r="DA3" s="113"/>
      <c r="DB3" s="113"/>
      <c r="DC3" s="113"/>
      <c r="DD3" s="113"/>
      <c r="DE3" s="113"/>
      <c r="DF3" s="113"/>
      <c r="DG3" s="113"/>
      <c r="DH3" s="113"/>
      <c r="DI3" s="113"/>
      <c r="DJ3" s="113"/>
      <c r="DK3" s="113"/>
      <c r="DL3" s="113"/>
      <c r="DM3" s="113"/>
      <c r="DN3" s="113"/>
      <c r="DO3" s="113"/>
      <c r="DP3" s="113"/>
      <c r="DQ3" s="113"/>
      <c r="DR3" s="113"/>
      <c r="DS3" s="113"/>
      <c r="DT3" s="113"/>
      <c r="DU3" s="113"/>
      <c r="DV3" s="113"/>
      <c r="DW3" s="113"/>
      <c r="DX3" s="113"/>
      <c r="DY3" s="113"/>
      <c r="DZ3" s="113"/>
      <c r="EA3" s="113"/>
      <c r="EB3" s="113"/>
      <c r="EC3" s="113"/>
      <c r="ED3" s="113"/>
      <c r="EE3" s="113"/>
      <c r="EF3" s="113"/>
      <c r="EG3" s="113"/>
      <c r="EH3" s="113"/>
      <c r="EI3" s="113"/>
      <c r="EJ3" s="113"/>
      <c r="EK3" s="113"/>
      <c r="EL3" s="113"/>
      <c r="EM3" s="113"/>
      <c r="EN3" s="113"/>
      <c r="EO3" s="113"/>
      <c r="EP3" s="113"/>
      <c r="EQ3" s="113"/>
      <c r="ER3" s="113"/>
      <c r="ES3" s="113"/>
      <c r="ET3" s="113"/>
      <c r="EU3" s="113"/>
      <c r="EV3" s="113"/>
      <c r="EW3" s="113"/>
      <c r="EX3" s="113"/>
      <c r="EY3" s="113"/>
      <c r="EZ3" s="113"/>
      <c r="FA3" s="113"/>
      <c r="FB3" s="113"/>
      <c r="FC3" s="113"/>
      <c r="FD3" s="113"/>
      <c r="FE3" s="113"/>
      <c r="FF3" s="113"/>
      <c r="FG3" s="113"/>
      <c r="FH3" s="113"/>
      <c r="FI3" s="113"/>
      <c r="FJ3" s="113"/>
      <c r="FK3" s="113"/>
      <c r="FL3" s="113"/>
      <c r="FM3" s="113"/>
      <c r="FN3" s="113"/>
      <c r="FO3" s="113"/>
      <c r="FP3" s="113"/>
      <c r="FQ3" s="113"/>
      <c r="FR3" s="113"/>
      <c r="FS3" s="113"/>
      <c r="FT3" s="113"/>
      <c r="FU3" s="113"/>
      <c r="FV3" s="113"/>
      <c r="FW3" s="113"/>
      <c r="FX3" s="113"/>
      <c r="FY3" s="113"/>
      <c r="FZ3" s="113"/>
      <c r="GA3" s="113"/>
      <c r="GB3" s="113"/>
      <c r="GC3" s="113"/>
      <c r="GD3" s="113"/>
      <c r="GE3" s="113"/>
      <c r="GF3" s="113"/>
      <c r="GG3" s="113"/>
      <c r="GH3" s="113"/>
      <c r="GI3" s="113"/>
      <c r="GJ3" s="113"/>
      <c r="GK3" s="113"/>
      <c r="GL3" s="113"/>
      <c r="GM3" s="113"/>
      <c r="GN3" s="113"/>
      <c r="GO3" s="113"/>
      <c r="GP3" s="113"/>
      <c r="GQ3" s="113"/>
      <c r="GR3" s="113"/>
      <c r="GS3" s="113"/>
      <c r="GT3" s="113"/>
      <c r="GU3" s="113"/>
      <c r="GV3" s="113"/>
      <c r="GW3" s="113"/>
      <c r="GX3" s="113"/>
      <c r="GY3" s="113"/>
      <c r="GZ3" s="113"/>
      <c r="HA3" s="113"/>
      <c r="HB3" s="113"/>
      <c r="HC3" s="113"/>
      <c r="HD3" s="113"/>
      <c r="HE3" s="113"/>
      <c r="HF3" s="113"/>
      <c r="HG3" s="113"/>
      <c r="HH3" s="113"/>
      <c r="HI3" s="113"/>
      <c r="HJ3" s="113"/>
      <c r="HK3" s="113"/>
      <c r="HL3" s="113"/>
      <c r="HM3" s="113"/>
      <c r="HN3" s="113"/>
      <c r="HO3" s="113"/>
      <c r="HP3" s="113"/>
      <c r="HQ3" s="113"/>
      <c r="HR3" s="113"/>
      <c r="HS3" s="113"/>
      <c r="HT3" s="113"/>
      <c r="HU3" s="113"/>
      <c r="HV3" s="113"/>
      <c r="HW3" s="113"/>
      <c r="HX3" s="113"/>
      <c r="HY3" s="113"/>
      <c r="HZ3" s="113"/>
      <c r="IA3" s="113"/>
      <c r="IB3" s="113"/>
      <c r="IC3" s="113"/>
      <c r="ID3" s="113"/>
      <c r="IE3" s="113"/>
      <c r="IF3" s="113"/>
      <c r="IG3" s="113"/>
      <c r="IH3" s="113"/>
      <c r="II3" s="113"/>
      <c r="IJ3" s="113"/>
      <c r="IK3" s="113"/>
      <c r="IL3" s="113"/>
      <c r="IM3" s="113"/>
      <c r="IN3" s="113"/>
      <c r="IO3" s="113"/>
      <c r="IP3" s="113"/>
      <c r="IQ3" s="113"/>
      <c r="IR3" s="113"/>
      <c r="IS3" s="113"/>
      <c r="IT3" s="113"/>
      <c r="IU3" s="113"/>
      <c r="IV3" s="113"/>
      <c r="IW3" s="113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[2]OpeningDebtors!$H$4</f>
        <v>0</v>
      </c>
      <c r="G4" s="109"/>
    </row>
    <row r="5" customFormat="false" ht="12.75" hidden="false" customHeight="false" outlineLevel="0" collapsed="false">
      <c r="A5" s="98" t="n">
        <v>46067</v>
      </c>
      <c r="B5" s="99" t="s">
        <v>35</v>
      </c>
      <c r="C5" s="100" t="s">
        <v>36</v>
      </c>
      <c r="E5" s="99" t="n">
        <v>4800</v>
      </c>
      <c r="F5" s="99" t="n">
        <f aca="false">IF(F$4&gt;0,(IF(E5&lt;&gt;0,E5*F$4/100," ")),IF(E5&lt;&gt;0,E5*F$2/(100+F$2)," "))</f>
        <v>800</v>
      </c>
      <c r="G5" s="99" t="n">
        <f aca="false">IF((E5&lt;&gt;0),E5-F5," ")</f>
        <v>4000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customFormat="fals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2400</v>
      </c>
      <c r="F1" s="106" t="n">
        <f aca="false">SUM(F5:F200)</f>
        <v>400</v>
      </c>
      <c r="G1" s="106" t="n">
        <f aca="false">SUM(G5:G200)</f>
        <v>2000</v>
      </c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  <c r="EL1" s="107"/>
      <c r="EM1" s="107"/>
      <c r="EN1" s="107"/>
      <c r="EO1" s="107"/>
      <c r="EP1" s="107"/>
      <c r="EQ1" s="107"/>
      <c r="ER1" s="107"/>
      <c r="ES1" s="107"/>
      <c r="ET1" s="107"/>
      <c r="EU1" s="107"/>
      <c r="EV1" s="107"/>
      <c r="EW1" s="107"/>
      <c r="EX1" s="107"/>
      <c r="EY1" s="107"/>
      <c r="EZ1" s="107"/>
      <c r="FA1" s="107"/>
      <c r="FB1" s="107"/>
      <c r="FC1" s="107"/>
      <c r="FD1" s="107"/>
      <c r="FE1" s="107"/>
      <c r="FF1" s="107"/>
      <c r="FG1" s="107"/>
      <c r="FH1" s="107"/>
      <c r="FI1" s="107"/>
      <c r="FJ1" s="107"/>
      <c r="FK1" s="107"/>
      <c r="FL1" s="107"/>
      <c r="FM1" s="107"/>
      <c r="FN1" s="107"/>
      <c r="FO1" s="107"/>
      <c r="FP1" s="107"/>
      <c r="FQ1" s="107"/>
      <c r="FR1" s="107"/>
      <c r="FS1" s="107"/>
      <c r="FT1" s="107"/>
      <c r="FU1" s="107"/>
      <c r="FV1" s="107"/>
      <c r="FW1" s="107"/>
      <c r="FX1" s="107"/>
      <c r="FY1" s="107"/>
      <c r="FZ1" s="107"/>
      <c r="GA1" s="107"/>
      <c r="GB1" s="107"/>
      <c r="GC1" s="107"/>
      <c r="GD1" s="107"/>
      <c r="GE1" s="107"/>
      <c r="GF1" s="107"/>
      <c r="GG1" s="107"/>
      <c r="GH1" s="107"/>
      <c r="GI1" s="107"/>
      <c r="GJ1" s="107"/>
      <c r="GK1" s="107"/>
      <c r="GL1" s="107"/>
      <c r="GM1" s="107"/>
      <c r="GN1" s="107"/>
      <c r="GO1" s="107"/>
      <c r="GP1" s="107"/>
      <c r="GQ1" s="107"/>
      <c r="GR1" s="107"/>
      <c r="GS1" s="107"/>
      <c r="GT1" s="107"/>
      <c r="GU1" s="107"/>
      <c r="GV1" s="107"/>
      <c r="GW1" s="107"/>
      <c r="GX1" s="107"/>
      <c r="GY1" s="107"/>
      <c r="GZ1" s="107"/>
      <c r="HA1" s="107"/>
      <c r="HB1" s="107"/>
      <c r="HC1" s="107"/>
      <c r="HD1" s="107"/>
      <c r="HE1" s="107"/>
      <c r="HF1" s="107"/>
      <c r="HG1" s="107"/>
      <c r="HH1" s="107"/>
      <c r="HI1" s="107"/>
      <c r="HJ1" s="107"/>
      <c r="HK1" s="107"/>
      <c r="HL1" s="107"/>
      <c r="HM1" s="107"/>
      <c r="HN1" s="107"/>
      <c r="HO1" s="107"/>
      <c r="HP1" s="107"/>
      <c r="HQ1" s="107"/>
      <c r="HR1" s="107"/>
      <c r="HS1" s="107"/>
      <c r="HT1" s="107"/>
      <c r="HU1" s="107"/>
      <c r="HV1" s="107"/>
      <c r="HW1" s="107"/>
      <c r="HX1" s="107"/>
      <c r="HY1" s="107"/>
      <c r="HZ1" s="107"/>
      <c r="IA1" s="107"/>
      <c r="IB1" s="107"/>
      <c r="IC1" s="107"/>
      <c r="ID1" s="107"/>
      <c r="IE1" s="107"/>
      <c r="IF1" s="107"/>
      <c r="IG1" s="107"/>
      <c r="IH1" s="107"/>
      <c r="II1" s="107"/>
      <c r="IJ1" s="107"/>
      <c r="IK1" s="107"/>
      <c r="IL1" s="107"/>
      <c r="IM1" s="107"/>
      <c r="IN1" s="107"/>
      <c r="IO1" s="107"/>
      <c r="IP1" s="107"/>
      <c r="IQ1" s="107"/>
      <c r="IR1" s="107"/>
      <c r="IS1" s="107"/>
      <c r="IT1" s="107"/>
      <c r="IU1" s="107"/>
      <c r="IV1" s="107"/>
      <c r="IW1" s="107"/>
    </row>
    <row r="2" customFormat="fals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[2]OpeningDebtors!$H$2</f>
        <v>20</v>
      </c>
      <c r="G2" s="109" t="s">
        <v>33</v>
      </c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07"/>
      <c r="AS2" s="107"/>
      <c r="AT2" s="107"/>
      <c r="AU2" s="107"/>
      <c r="AV2" s="107"/>
      <c r="AW2" s="107"/>
      <c r="AX2" s="107"/>
      <c r="AY2" s="107"/>
      <c r="AZ2" s="107"/>
      <c r="BA2" s="107"/>
      <c r="BB2" s="107"/>
      <c r="BC2" s="107"/>
      <c r="BD2" s="107"/>
      <c r="BE2" s="107"/>
      <c r="BF2" s="107"/>
      <c r="BG2" s="107"/>
      <c r="BH2" s="107"/>
      <c r="BI2" s="107"/>
      <c r="BJ2" s="107"/>
      <c r="BK2" s="107"/>
      <c r="BL2" s="107"/>
      <c r="BM2" s="107"/>
      <c r="BN2" s="107"/>
      <c r="BO2" s="107"/>
      <c r="BP2" s="107"/>
      <c r="BQ2" s="107"/>
      <c r="BR2" s="107"/>
      <c r="BS2" s="107"/>
      <c r="BT2" s="107"/>
      <c r="BU2" s="107"/>
      <c r="BV2" s="107"/>
      <c r="BW2" s="107"/>
      <c r="BX2" s="107"/>
      <c r="BY2" s="107"/>
      <c r="BZ2" s="107"/>
      <c r="CA2" s="107"/>
      <c r="CB2" s="107"/>
      <c r="CC2" s="107"/>
      <c r="CD2" s="107"/>
      <c r="CE2" s="107"/>
      <c r="CF2" s="107"/>
      <c r="CG2" s="107"/>
      <c r="CH2" s="107"/>
      <c r="CI2" s="107"/>
      <c r="CJ2" s="107"/>
      <c r="CK2" s="107"/>
      <c r="CL2" s="107"/>
      <c r="CM2" s="107"/>
      <c r="CN2" s="107"/>
      <c r="CO2" s="107"/>
      <c r="CP2" s="107"/>
      <c r="CQ2" s="107"/>
      <c r="CR2" s="107"/>
      <c r="CS2" s="107"/>
      <c r="CT2" s="107"/>
      <c r="CU2" s="107"/>
      <c r="CV2" s="107"/>
      <c r="CW2" s="107"/>
      <c r="CX2" s="107"/>
      <c r="CY2" s="107"/>
      <c r="CZ2" s="107"/>
      <c r="DA2" s="107"/>
      <c r="DB2" s="107"/>
      <c r="DC2" s="107"/>
      <c r="DD2" s="107"/>
      <c r="DE2" s="107"/>
      <c r="DF2" s="107"/>
      <c r="DG2" s="107"/>
      <c r="DH2" s="107"/>
      <c r="DI2" s="107"/>
      <c r="DJ2" s="107"/>
      <c r="DK2" s="107"/>
      <c r="DL2" s="107"/>
      <c r="DM2" s="107"/>
      <c r="DN2" s="107"/>
      <c r="DO2" s="107"/>
      <c r="DP2" s="107"/>
      <c r="DQ2" s="107"/>
      <c r="DR2" s="107"/>
      <c r="DS2" s="107"/>
      <c r="DT2" s="107"/>
      <c r="DU2" s="107"/>
      <c r="DV2" s="107"/>
      <c r="DW2" s="107"/>
      <c r="DX2" s="107"/>
      <c r="DY2" s="107"/>
      <c r="DZ2" s="107"/>
      <c r="EA2" s="107"/>
      <c r="EB2" s="107"/>
      <c r="EC2" s="107"/>
      <c r="ED2" s="107"/>
      <c r="EE2" s="107"/>
      <c r="EF2" s="107"/>
      <c r="EG2" s="107"/>
      <c r="EH2" s="107"/>
      <c r="EI2" s="107"/>
      <c r="EJ2" s="107"/>
      <c r="EK2" s="107"/>
      <c r="EL2" s="107"/>
      <c r="EM2" s="107"/>
      <c r="EN2" s="107"/>
      <c r="EO2" s="107"/>
      <c r="EP2" s="107"/>
      <c r="EQ2" s="107"/>
      <c r="ER2" s="107"/>
      <c r="ES2" s="107"/>
      <c r="ET2" s="107"/>
      <c r="EU2" s="107"/>
      <c r="EV2" s="107"/>
      <c r="EW2" s="107"/>
      <c r="EX2" s="107"/>
      <c r="EY2" s="107"/>
      <c r="EZ2" s="107"/>
      <c r="FA2" s="107"/>
      <c r="FB2" s="107"/>
      <c r="FC2" s="107"/>
      <c r="FD2" s="107"/>
      <c r="FE2" s="107"/>
      <c r="FF2" s="107"/>
      <c r="FG2" s="107"/>
      <c r="FH2" s="107"/>
      <c r="FI2" s="107"/>
      <c r="FJ2" s="107"/>
      <c r="FK2" s="107"/>
      <c r="FL2" s="107"/>
      <c r="FM2" s="107"/>
      <c r="FN2" s="107"/>
      <c r="FO2" s="107"/>
      <c r="FP2" s="107"/>
      <c r="FQ2" s="107"/>
      <c r="FR2" s="107"/>
      <c r="FS2" s="107"/>
      <c r="FT2" s="107"/>
      <c r="FU2" s="107"/>
      <c r="FV2" s="107"/>
      <c r="FW2" s="107"/>
      <c r="FX2" s="107"/>
      <c r="FY2" s="107"/>
      <c r="FZ2" s="107"/>
      <c r="GA2" s="107"/>
      <c r="GB2" s="107"/>
      <c r="GC2" s="107"/>
      <c r="GD2" s="107"/>
      <c r="GE2" s="107"/>
      <c r="GF2" s="107"/>
      <c r="GG2" s="107"/>
      <c r="GH2" s="107"/>
      <c r="GI2" s="107"/>
      <c r="GJ2" s="107"/>
      <c r="GK2" s="107"/>
      <c r="GL2" s="107"/>
      <c r="GM2" s="107"/>
      <c r="GN2" s="107"/>
      <c r="GO2" s="107"/>
      <c r="GP2" s="107"/>
      <c r="GQ2" s="107"/>
      <c r="GR2" s="107"/>
      <c r="GS2" s="107"/>
      <c r="GT2" s="107"/>
      <c r="GU2" s="107"/>
      <c r="GV2" s="107"/>
      <c r="GW2" s="107"/>
      <c r="GX2" s="107"/>
      <c r="GY2" s="107"/>
      <c r="GZ2" s="107"/>
      <c r="HA2" s="107"/>
      <c r="HB2" s="107"/>
      <c r="HC2" s="107"/>
      <c r="HD2" s="107"/>
      <c r="HE2" s="107"/>
      <c r="HF2" s="107"/>
      <c r="HG2" s="107"/>
      <c r="HH2" s="107"/>
      <c r="HI2" s="107"/>
      <c r="HJ2" s="107"/>
      <c r="HK2" s="107"/>
      <c r="HL2" s="107"/>
      <c r="HM2" s="107"/>
      <c r="HN2" s="107"/>
      <c r="HO2" s="107"/>
      <c r="HP2" s="107"/>
      <c r="HQ2" s="107"/>
      <c r="HR2" s="107"/>
      <c r="HS2" s="107"/>
      <c r="HT2" s="107"/>
      <c r="HU2" s="107"/>
      <c r="HV2" s="107"/>
      <c r="HW2" s="107"/>
      <c r="HX2" s="107"/>
      <c r="HY2" s="107"/>
      <c r="HZ2" s="107"/>
      <c r="IA2" s="107"/>
      <c r="IB2" s="107"/>
      <c r="IC2" s="107"/>
      <c r="ID2" s="107"/>
      <c r="IE2" s="107"/>
      <c r="IF2" s="107"/>
      <c r="IG2" s="107"/>
      <c r="IH2" s="107"/>
      <c r="II2" s="107"/>
      <c r="IJ2" s="107"/>
      <c r="IK2" s="107"/>
      <c r="IL2" s="107"/>
      <c r="IM2" s="107"/>
      <c r="IN2" s="107"/>
      <c r="IO2" s="107"/>
      <c r="IP2" s="107"/>
      <c r="IQ2" s="107"/>
      <c r="IR2" s="107"/>
      <c r="IS2" s="107"/>
      <c r="IT2" s="107"/>
      <c r="IU2" s="107"/>
      <c r="IV2" s="107"/>
      <c r="IW2" s="107"/>
    </row>
    <row r="3" customFormat="fals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  <c r="AJ3" s="113"/>
      <c r="AK3" s="113"/>
      <c r="AL3" s="113"/>
      <c r="AM3" s="113"/>
      <c r="AN3" s="113"/>
      <c r="AO3" s="113"/>
      <c r="AP3" s="113"/>
      <c r="AQ3" s="113"/>
      <c r="AR3" s="113"/>
      <c r="AS3" s="113"/>
      <c r="AT3" s="113"/>
      <c r="AU3" s="113"/>
      <c r="AV3" s="113"/>
      <c r="AW3" s="113"/>
      <c r="AX3" s="113"/>
      <c r="AY3" s="113"/>
      <c r="AZ3" s="113"/>
      <c r="BA3" s="113"/>
      <c r="BB3" s="113"/>
      <c r="BC3" s="113"/>
      <c r="BD3" s="113"/>
      <c r="BE3" s="113"/>
      <c r="BF3" s="113"/>
      <c r="BG3" s="113"/>
      <c r="BH3" s="113"/>
      <c r="BI3" s="113"/>
      <c r="BJ3" s="113"/>
      <c r="BK3" s="113"/>
      <c r="BL3" s="113"/>
      <c r="BM3" s="113"/>
      <c r="BN3" s="113"/>
      <c r="BO3" s="113"/>
      <c r="BP3" s="113"/>
      <c r="BQ3" s="113"/>
      <c r="BR3" s="113"/>
      <c r="BS3" s="113"/>
      <c r="BT3" s="113"/>
      <c r="BU3" s="113"/>
      <c r="BV3" s="113"/>
      <c r="BW3" s="113"/>
      <c r="BX3" s="113"/>
      <c r="BY3" s="113"/>
      <c r="BZ3" s="113"/>
      <c r="CA3" s="113"/>
      <c r="CB3" s="113"/>
      <c r="CC3" s="113"/>
      <c r="CD3" s="113"/>
      <c r="CE3" s="113"/>
      <c r="CF3" s="113"/>
      <c r="CG3" s="113"/>
      <c r="CH3" s="113"/>
      <c r="CI3" s="113"/>
      <c r="CJ3" s="113"/>
      <c r="CK3" s="113"/>
      <c r="CL3" s="113"/>
      <c r="CM3" s="113"/>
      <c r="CN3" s="113"/>
      <c r="CO3" s="113"/>
      <c r="CP3" s="113"/>
      <c r="CQ3" s="113"/>
      <c r="CR3" s="113"/>
      <c r="CS3" s="113"/>
      <c r="CT3" s="113"/>
      <c r="CU3" s="113"/>
      <c r="CV3" s="113"/>
      <c r="CW3" s="113"/>
      <c r="CX3" s="113"/>
      <c r="CY3" s="113"/>
      <c r="CZ3" s="113"/>
      <c r="DA3" s="113"/>
      <c r="DB3" s="113"/>
      <c r="DC3" s="113"/>
      <c r="DD3" s="113"/>
      <c r="DE3" s="113"/>
      <c r="DF3" s="113"/>
      <c r="DG3" s="113"/>
      <c r="DH3" s="113"/>
      <c r="DI3" s="113"/>
      <c r="DJ3" s="113"/>
      <c r="DK3" s="113"/>
      <c r="DL3" s="113"/>
      <c r="DM3" s="113"/>
      <c r="DN3" s="113"/>
      <c r="DO3" s="113"/>
      <c r="DP3" s="113"/>
      <c r="DQ3" s="113"/>
      <c r="DR3" s="113"/>
      <c r="DS3" s="113"/>
      <c r="DT3" s="113"/>
      <c r="DU3" s="113"/>
      <c r="DV3" s="113"/>
      <c r="DW3" s="113"/>
      <c r="DX3" s="113"/>
      <c r="DY3" s="113"/>
      <c r="DZ3" s="113"/>
      <c r="EA3" s="113"/>
      <c r="EB3" s="113"/>
      <c r="EC3" s="113"/>
      <c r="ED3" s="113"/>
      <c r="EE3" s="113"/>
      <c r="EF3" s="113"/>
      <c r="EG3" s="113"/>
      <c r="EH3" s="113"/>
      <c r="EI3" s="113"/>
      <c r="EJ3" s="113"/>
      <c r="EK3" s="113"/>
      <c r="EL3" s="113"/>
      <c r="EM3" s="113"/>
      <c r="EN3" s="113"/>
      <c r="EO3" s="113"/>
      <c r="EP3" s="113"/>
      <c r="EQ3" s="113"/>
      <c r="ER3" s="113"/>
      <c r="ES3" s="113"/>
      <c r="ET3" s="113"/>
      <c r="EU3" s="113"/>
      <c r="EV3" s="113"/>
      <c r="EW3" s="113"/>
      <c r="EX3" s="113"/>
      <c r="EY3" s="113"/>
      <c r="EZ3" s="113"/>
      <c r="FA3" s="113"/>
      <c r="FB3" s="113"/>
      <c r="FC3" s="113"/>
      <c r="FD3" s="113"/>
      <c r="FE3" s="113"/>
      <c r="FF3" s="113"/>
      <c r="FG3" s="113"/>
      <c r="FH3" s="113"/>
      <c r="FI3" s="113"/>
      <c r="FJ3" s="113"/>
      <c r="FK3" s="113"/>
      <c r="FL3" s="113"/>
      <c r="FM3" s="113"/>
      <c r="FN3" s="113"/>
      <c r="FO3" s="113"/>
      <c r="FP3" s="113"/>
      <c r="FQ3" s="113"/>
      <c r="FR3" s="113"/>
      <c r="FS3" s="113"/>
      <c r="FT3" s="113"/>
      <c r="FU3" s="113"/>
      <c r="FV3" s="113"/>
      <c r="FW3" s="113"/>
      <c r="FX3" s="113"/>
      <c r="FY3" s="113"/>
      <c r="FZ3" s="113"/>
      <c r="GA3" s="113"/>
      <c r="GB3" s="113"/>
      <c r="GC3" s="113"/>
      <c r="GD3" s="113"/>
      <c r="GE3" s="113"/>
      <c r="GF3" s="113"/>
      <c r="GG3" s="113"/>
      <c r="GH3" s="113"/>
      <c r="GI3" s="113"/>
      <c r="GJ3" s="113"/>
      <c r="GK3" s="113"/>
      <c r="GL3" s="113"/>
      <c r="GM3" s="113"/>
      <c r="GN3" s="113"/>
      <c r="GO3" s="113"/>
      <c r="GP3" s="113"/>
      <c r="GQ3" s="113"/>
      <c r="GR3" s="113"/>
      <c r="GS3" s="113"/>
      <c r="GT3" s="113"/>
      <c r="GU3" s="113"/>
      <c r="GV3" s="113"/>
      <c r="GW3" s="113"/>
      <c r="GX3" s="113"/>
      <c r="GY3" s="113"/>
      <c r="GZ3" s="113"/>
      <c r="HA3" s="113"/>
      <c r="HB3" s="113"/>
      <c r="HC3" s="113"/>
      <c r="HD3" s="113"/>
      <c r="HE3" s="113"/>
      <c r="HF3" s="113"/>
      <c r="HG3" s="113"/>
      <c r="HH3" s="113"/>
      <c r="HI3" s="113"/>
      <c r="HJ3" s="113"/>
      <c r="HK3" s="113"/>
      <c r="HL3" s="113"/>
      <c r="HM3" s="113"/>
      <c r="HN3" s="113"/>
      <c r="HO3" s="113"/>
      <c r="HP3" s="113"/>
      <c r="HQ3" s="113"/>
      <c r="HR3" s="113"/>
      <c r="HS3" s="113"/>
      <c r="HT3" s="113"/>
      <c r="HU3" s="113"/>
      <c r="HV3" s="113"/>
      <c r="HW3" s="113"/>
      <c r="HX3" s="113"/>
      <c r="HY3" s="113"/>
      <c r="HZ3" s="113"/>
      <c r="IA3" s="113"/>
      <c r="IB3" s="113"/>
      <c r="IC3" s="113"/>
      <c r="ID3" s="113"/>
      <c r="IE3" s="113"/>
      <c r="IF3" s="113"/>
      <c r="IG3" s="113"/>
      <c r="IH3" s="113"/>
      <c r="II3" s="113"/>
      <c r="IJ3" s="113"/>
      <c r="IK3" s="113"/>
      <c r="IL3" s="113"/>
      <c r="IM3" s="113"/>
      <c r="IN3" s="113"/>
      <c r="IO3" s="113"/>
      <c r="IP3" s="113"/>
      <c r="IQ3" s="113"/>
      <c r="IR3" s="113"/>
      <c r="IS3" s="113"/>
      <c r="IT3" s="113"/>
      <c r="IU3" s="113"/>
      <c r="IV3" s="113"/>
      <c r="IW3" s="113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[2]OpeningDebtors!$H$4</f>
        <v>0</v>
      </c>
      <c r="G4" s="109"/>
    </row>
    <row r="5" customFormat="false" ht="12.75" hidden="false" customHeight="false" outlineLevel="0" collapsed="false">
      <c r="A5" s="98" t="n">
        <v>46099</v>
      </c>
      <c r="B5" s="99" t="s">
        <v>38</v>
      </c>
      <c r="C5" s="100" t="s">
        <v>39</v>
      </c>
      <c r="E5" s="99" t="n">
        <v>2400</v>
      </c>
      <c r="F5" s="99" t="n">
        <f aca="false">IF(F$4&gt;0,(IF(E5&lt;&gt;0,E5*F$4/100," ")),IF(E5&lt;&gt;0,E5*F$2/(100+F$2)," "))</f>
        <v>400</v>
      </c>
      <c r="G5" s="99" t="n">
        <f aca="false">IF((E5&lt;&gt;0),E5-F5," ")</f>
        <v>2000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customFormat="fals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3600</v>
      </c>
      <c r="F1" s="106" t="n">
        <f aca="false">SUM(F5:F200)</f>
        <v>600</v>
      </c>
      <c r="G1" s="106" t="n">
        <f aca="false">SUM(G5:G200)</f>
        <v>3000</v>
      </c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  <c r="EL1" s="107"/>
      <c r="EM1" s="107"/>
      <c r="EN1" s="107"/>
      <c r="EO1" s="107"/>
      <c r="EP1" s="107"/>
      <c r="EQ1" s="107"/>
      <c r="ER1" s="107"/>
      <c r="ES1" s="107"/>
      <c r="ET1" s="107"/>
      <c r="EU1" s="107"/>
      <c r="EV1" s="107"/>
      <c r="EW1" s="107"/>
      <c r="EX1" s="107"/>
      <c r="EY1" s="107"/>
      <c r="EZ1" s="107"/>
      <c r="FA1" s="107"/>
      <c r="FB1" s="107"/>
      <c r="FC1" s="107"/>
      <c r="FD1" s="107"/>
      <c r="FE1" s="107"/>
      <c r="FF1" s="107"/>
      <c r="FG1" s="107"/>
      <c r="FH1" s="107"/>
      <c r="FI1" s="107"/>
      <c r="FJ1" s="107"/>
      <c r="FK1" s="107"/>
      <c r="FL1" s="107"/>
      <c r="FM1" s="107"/>
      <c r="FN1" s="107"/>
      <c r="FO1" s="107"/>
      <c r="FP1" s="107"/>
      <c r="FQ1" s="107"/>
      <c r="FR1" s="107"/>
      <c r="FS1" s="107"/>
      <c r="FT1" s="107"/>
      <c r="FU1" s="107"/>
      <c r="FV1" s="107"/>
      <c r="FW1" s="107"/>
      <c r="FX1" s="107"/>
      <c r="FY1" s="107"/>
      <c r="FZ1" s="107"/>
      <c r="GA1" s="107"/>
      <c r="GB1" s="107"/>
      <c r="GC1" s="107"/>
      <c r="GD1" s="107"/>
      <c r="GE1" s="107"/>
      <c r="GF1" s="107"/>
      <c r="GG1" s="107"/>
      <c r="GH1" s="107"/>
      <c r="GI1" s="107"/>
      <c r="GJ1" s="107"/>
      <c r="GK1" s="107"/>
      <c r="GL1" s="107"/>
      <c r="GM1" s="107"/>
      <c r="GN1" s="107"/>
      <c r="GO1" s="107"/>
      <c r="GP1" s="107"/>
      <c r="GQ1" s="107"/>
      <c r="GR1" s="107"/>
      <c r="GS1" s="107"/>
      <c r="GT1" s="107"/>
      <c r="GU1" s="107"/>
      <c r="GV1" s="107"/>
      <c r="GW1" s="107"/>
      <c r="GX1" s="107"/>
      <c r="GY1" s="107"/>
      <c r="GZ1" s="107"/>
      <c r="HA1" s="107"/>
      <c r="HB1" s="107"/>
      <c r="HC1" s="107"/>
      <c r="HD1" s="107"/>
      <c r="HE1" s="107"/>
      <c r="HF1" s="107"/>
      <c r="HG1" s="107"/>
      <c r="HH1" s="107"/>
      <c r="HI1" s="107"/>
      <c r="HJ1" s="107"/>
      <c r="HK1" s="107"/>
      <c r="HL1" s="107"/>
      <c r="HM1" s="107"/>
      <c r="HN1" s="107"/>
      <c r="HO1" s="107"/>
      <c r="HP1" s="107"/>
      <c r="HQ1" s="107"/>
      <c r="HR1" s="107"/>
      <c r="HS1" s="107"/>
      <c r="HT1" s="107"/>
      <c r="HU1" s="107"/>
      <c r="HV1" s="107"/>
      <c r="HW1" s="107"/>
      <c r="HX1" s="107"/>
      <c r="HY1" s="107"/>
      <c r="HZ1" s="107"/>
      <c r="IA1" s="107"/>
      <c r="IB1" s="107"/>
      <c r="IC1" s="107"/>
      <c r="ID1" s="107"/>
      <c r="IE1" s="107"/>
      <c r="IF1" s="107"/>
      <c r="IG1" s="107"/>
      <c r="IH1" s="107"/>
      <c r="II1" s="107"/>
      <c r="IJ1" s="107"/>
      <c r="IK1" s="107"/>
      <c r="IL1" s="107"/>
      <c r="IM1" s="107"/>
      <c r="IN1" s="107"/>
      <c r="IO1" s="107"/>
      <c r="IP1" s="107"/>
      <c r="IQ1" s="107"/>
      <c r="IR1" s="107"/>
      <c r="IS1" s="107"/>
      <c r="IT1" s="107"/>
      <c r="IU1" s="107"/>
      <c r="IV1" s="107"/>
      <c r="IW1" s="107"/>
    </row>
    <row r="2" customFormat="fals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07"/>
      <c r="AS2" s="107"/>
      <c r="AT2" s="107"/>
      <c r="AU2" s="107"/>
      <c r="AV2" s="107"/>
      <c r="AW2" s="107"/>
      <c r="AX2" s="107"/>
      <c r="AY2" s="107"/>
      <c r="AZ2" s="107"/>
      <c r="BA2" s="107"/>
      <c r="BB2" s="107"/>
      <c r="BC2" s="107"/>
      <c r="BD2" s="107"/>
      <c r="BE2" s="107"/>
      <c r="BF2" s="107"/>
      <c r="BG2" s="107"/>
      <c r="BH2" s="107"/>
      <c r="BI2" s="107"/>
      <c r="BJ2" s="107"/>
      <c r="BK2" s="107"/>
      <c r="BL2" s="107"/>
      <c r="BM2" s="107"/>
      <c r="BN2" s="107"/>
      <c r="BO2" s="107"/>
      <c r="BP2" s="107"/>
      <c r="BQ2" s="107"/>
      <c r="BR2" s="107"/>
      <c r="BS2" s="107"/>
      <c r="BT2" s="107"/>
      <c r="BU2" s="107"/>
      <c r="BV2" s="107"/>
      <c r="BW2" s="107"/>
      <c r="BX2" s="107"/>
      <c r="BY2" s="107"/>
      <c r="BZ2" s="107"/>
      <c r="CA2" s="107"/>
      <c r="CB2" s="107"/>
      <c r="CC2" s="107"/>
      <c r="CD2" s="107"/>
      <c r="CE2" s="107"/>
      <c r="CF2" s="107"/>
      <c r="CG2" s="107"/>
      <c r="CH2" s="107"/>
      <c r="CI2" s="107"/>
      <c r="CJ2" s="107"/>
      <c r="CK2" s="107"/>
      <c r="CL2" s="107"/>
      <c r="CM2" s="107"/>
      <c r="CN2" s="107"/>
      <c r="CO2" s="107"/>
      <c r="CP2" s="107"/>
      <c r="CQ2" s="107"/>
      <c r="CR2" s="107"/>
      <c r="CS2" s="107"/>
      <c r="CT2" s="107"/>
      <c r="CU2" s="107"/>
      <c r="CV2" s="107"/>
      <c r="CW2" s="107"/>
      <c r="CX2" s="107"/>
      <c r="CY2" s="107"/>
      <c r="CZ2" s="107"/>
      <c r="DA2" s="107"/>
      <c r="DB2" s="107"/>
      <c r="DC2" s="107"/>
      <c r="DD2" s="107"/>
      <c r="DE2" s="107"/>
      <c r="DF2" s="107"/>
      <c r="DG2" s="107"/>
      <c r="DH2" s="107"/>
      <c r="DI2" s="107"/>
      <c r="DJ2" s="107"/>
      <c r="DK2" s="107"/>
      <c r="DL2" s="107"/>
      <c r="DM2" s="107"/>
      <c r="DN2" s="107"/>
      <c r="DO2" s="107"/>
      <c r="DP2" s="107"/>
      <c r="DQ2" s="107"/>
      <c r="DR2" s="107"/>
      <c r="DS2" s="107"/>
      <c r="DT2" s="107"/>
      <c r="DU2" s="107"/>
      <c r="DV2" s="107"/>
      <c r="DW2" s="107"/>
      <c r="DX2" s="107"/>
      <c r="DY2" s="107"/>
      <c r="DZ2" s="107"/>
      <c r="EA2" s="107"/>
      <c r="EB2" s="107"/>
      <c r="EC2" s="107"/>
      <c r="ED2" s="107"/>
      <c r="EE2" s="107"/>
      <c r="EF2" s="107"/>
      <c r="EG2" s="107"/>
      <c r="EH2" s="107"/>
      <c r="EI2" s="107"/>
      <c r="EJ2" s="107"/>
      <c r="EK2" s="107"/>
      <c r="EL2" s="107"/>
      <c r="EM2" s="107"/>
      <c r="EN2" s="107"/>
      <c r="EO2" s="107"/>
      <c r="EP2" s="107"/>
      <c r="EQ2" s="107"/>
      <c r="ER2" s="107"/>
      <c r="ES2" s="107"/>
      <c r="ET2" s="107"/>
      <c r="EU2" s="107"/>
      <c r="EV2" s="107"/>
      <c r="EW2" s="107"/>
      <c r="EX2" s="107"/>
      <c r="EY2" s="107"/>
      <c r="EZ2" s="107"/>
      <c r="FA2" s="107"/>
      <c r="FB2" s="107"/>
      <c r="FC2" s="107"/>
      <c r="FD2" s="107"/>
      <c r="FE2" s="107"/>
      <c r="FF2" s="107"/>
      <c r="FG2" s="107"/>
      <c r="FH2" s="107"/>
      <c r="FI2" s="107"/>
      <c r="FJ2" s="107"/>
      <c r="FK2" s="107"/>
      <c r="FL2" s="107"/>
      <c r="FM2" s="107"/>
      <c r="FN2" s="107"/>
      <c r="FO2" s="107"/>
      <c r="FP2" s="107"/>
      <c r="FQ2" s="107"/>
      <c r="FR2" s="107"/>
      <c r="FS2" s="107"/>
      <c r="FT2" s="107"/>
      <c r="FU2" s="107"/>
      <c r="FV2" s="107"/>
      <c r="FW2" s="107"/>
      <c r="FX2" s="107"/>
      <c r="FY2" s="107"/>
      <c r="FZ2" s="107"/>
      <c r="GA2" s="107"/>
      <c r="GB2" s="107"/>
      <c r="GC2" s="107"/>
      <c r="GD2" s="107"/>
      <c r="GE2" s="107"/>
      <c r="GF2" s="107"/>
      <c r="GG2" s="107"/>
      <c r="GH2" s="107"/>
      <c r="GI2" s="107"/>
      <c r="GJ2" s="107"/>
      <c r="GK2" s="107"/>
      <c r="GL2" s="107"/>
      <c r="GM2" s="107"/>
      <c r="GN2" s="107"/>
      <c r="GO2" s="107"/>
      <c r="GP2" s="107"/>
      <c r="GQ2" s="107"/>
      <c r="GR2" s="107"/>
      <c r="GS2" s="107"/>
      <c r="GT2" s="107"/>
      <c r="GU2" s="107"/>
      <c r="GV2" s="107"/>
      <c r="GW2" s="107"/>
      <c r="GX2" s="107"/>
      <c r="GY2" s="107"/>
      <c r="GZ2" s="107"/>
      <c r="HA2" s="107"/>
      <c r="HB2" s="107"/>
      <c r="HC2" s="107"/>
      <c r="HD2" s="107"/>
      <c r="HE2" s="107"/>
      <c r="HF2" s="107"/>
      <c r="HG2" s="107"/>
      <c r="HH2" s="107"/>
      <c r="HI2" s="107"/>
      <c r="HJ2" s="107"/>
      <c r="HK2" s="107"/>
      <c r="HL2" s="107"/>
      <c r="HM2" s="107"/>
      <c r="HN2" s="107"/>
      <c r="HO2" s="107"/>
      <c r="HP2" s="107"/>
      <c r="HQ2" s="107"/>
      <c r="HR2" s="107"/>
      <c r="HS2" s="107"/>
      <c r="HT2" s="107"/>
      <c r="HU2" s="107"/>
      <c r="HV2" s="107"/>
      <c r="HW2" s="107"/>
      <c r="HX2" s="107"/>
      <c r="HY2" s="107"/>
      <c r="HZ2" s="107"/>
      <c r="IA2" s="107"/>
      <c r="IB2" s="107"/>
      <c r="IC2" s="107"/>
      <c r="ID2" s="107"/>
      <c r="IE2" s="107"/>
      <c r="IF2" s="107"/>
      <c r="IG2" s="107"/>
      <c r="IH2" s="107"/>
      <c r="II2" s="107"/>
      <c r="IJ2" s="107"/>
      <c r="IK2" s="107"/>
      <c r="IL2" s="107"/>
      <c r="IM2" s="107"/>
      <c r="IN2" s="107"/>
      <c r="IO2" s="107"/>
      <c r="IP2" s="107"/>
      <c r="IQ2" s="107"/>
      <c r="IR2" s="107"/>
      <c r="IS2" s="107"/>
      <c r="IT2" s="107"/>
      <c r="IU2" s="107"/>
      <c r="IV2" s="107"/>
      <c r="IW2" s="107"/>
    </row>
    <row r="3" customFormat="fals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  <c r="AJ3" s="113"/>
      <c r="AK3" s="113"/>
      <c r="AL3" s="113"/>
      <c r="AM3" s="113"/>
      <c r="AN3" s="113"/>
      <c r="AO3" s="113"/>
      <c r="AP3" s="113"/>
      <c r="AQ3" s="113"/>
      <c r="AR3" s="113"/>
      <c r="AS3" s="113"/>
      <c r="AT3" s="113"/>
      <c r="AU3" s="113"/>
      <c r="AV3" s="113"/>
      <c r="AW3" s="113"/>
      <c r="AX3" s="113"/>
      <c r="AY3" s="113"/>
      <c r="AZ3" s="113"/>
      <c r="BA3" s="113"/>
      <c r="BB3" s="113"/>
      <c r="BC3" s="113"/>
      <c r="BD3" s="113"/>
      <c r="BE3" s="113"/>
      <c r="BF3" s="113"/>
      <c r="BG3" s="113"/>
      <c r="BH3" s="113"/>
      <c r="BI3" s="113"/>
      <c r="BJ3" s="113"/>
      <c r="BK3" s="113"/>
      <c r="BL3" s="113"/>
      <c r="BM3" s="113"/>
      <c r="BN3" s="113"/>
      <c r="BO3" s="113"/>
      <c r="BP3" s="113"/>
      <c r="BQ3" s="113"/>
      <c r="BR3" s="113"/>
      <c r="BS3" s="113"/>
      <c r="BT3" s="113"/>
      <c r="BU3" s="113"/>
      <c r="BV3" s="113"/>
      <c r="BW3" s="113"/>
      <c r="BX3" s="113"/>
      <c r="BY3" s="113"/>
      <c r="BZ3" s="113"/>
      <c r="CA3" s="113"/>
      <c r="CB3" s="113"/>
      <c r="CC3" s="113"/>
      <c r="CD3" s="113"/>
      <c r="CE3" s="113"/>
      <c r="CF3" s="113"/>
      <c r="CG3" s="113"/>
      <c r="CH3" s="113"/>
      <c r="CI3" s="113"/>
      <c r="CJ3" s="113"/>
      <c r="CK3" s="113"/>
      <c r="CL3" s="113"/>
      <c r="CM3" s="113"/>
      <c r="CN3" s="113"/>
      <c r="CO3" s="113"/>
      <c r="CP3" s="113"/>
      <c r="CQ3" s="113"/>
      <c r="CR3" s="113"/>
      <c r="CS3" s="113"/>
      <c r="CT3" s="113"/>
      <c r="CU3" s="113"/>
      <c r="CV3" s="113"/>
      <c r="CW3" s="113"/>
      <c r="CX3" s="113"/>
      <c r="CY3" s="113"/>
      <c r="CZ3" s="113"/>
      <c r="DA3" s="113"/>
      <c r="DB3" s="113"/>
      <c r="DC3" s="113"/>
      <c r="DD3" s="113"/>
      <c r="DE3" s="113"/>
      <c r="DF3" s="113"/>
      <c r="DG3" s="113"/>
      <c r="DH3" s="113"/>
      <c r="DI3" s="113"/>
      <c r="DJ3" s="113"/>
      <c r="DK3" s="113"/>
      <c r="DL3" s="113"/>
      <c r="DM3" s="113"/>
      <c r="DN3" s="113"/>
      <c r="DO3" s="113"/>
      <c r="DP3" s="113"/>
      <c r="DQ3" s="113"/>
      <c r="DR3" s="113"/>
      <c r="DS3" s="113"/>
      <c r="DT3" s="113"/>
      <c r="DU3" s="113"/>
      <c r="DV3" s="113"/>
      <c r="DW3" s="113"/>
      <c r="DX3" s="113"/>
      <c r="DY3" s="113"/>
      <c r="DZ3" s="113"/>
      <c r="EA3" s="113"/>
      <c r="EB3" s="113"/>
      <c r="EC3" s="113"/>
      <c r="ED3" s="113"/>
      <c r="EE3" s="113"/>
      <c r="EF3" s="113"/>
      <c r="EG3" s="113"/>
      <c r="EH3" s="113"/>
      <c r="EI3" s="113"/>
      <c r="EJ3" s="113"/>
      <c r="EK3" s="113"/>
      <c r="EL3" s="113"/>
      <c r="EM3" s="113"/>
      <c r="EN3" s="113"/>
      <c r="EO3" s="113"/>
      <c r="EP3" s="113"/>
      <c r="EQ3" s="113"/>
      <c r="ER3" s="113"/>
      <c r="ES3" s="113"/>
      <c r="ET3" s="113"/>
      <c r="EU3" s="113"/>
      <c r="EV3" s="113"/>
      <c r="EW3" s="113"/>
      <c r="EX3" s="113"/>
      <c r="EY3" s="113"/>
      <c r="EZ3" s="113"/>
      <c r="FA3" s="113"/>
      <c r="FB3" s="113"/>
      <c r="FC3" s="113"/>
      <c r="FD3" s="113"/>
      <c r="FE3" s="113"/>
      <c r="FF3" s="113"/>
      <c r="FG3" s="113"/>
      <c r="FH3" s="113"/>
      <c r="FI3" s="113"/>
      <c r="FJ3" s="113"/>
      <c r="FK3" s="113"/>
      <c r="FL3" s="113"/>
      <c r="FM3" s="113"/>
      <c r="FN3" s="113"/>
      <c r="FO3" s="113"/>
      <c r="FP3" s="113"/>
      <c r="FQ3" s="113"/>
      <c r="FR3" s="113"/>
      <c r="FS3" s="113"/>
      <c r="FT3" s="113"/>
      <c r="FU3" s="113"/>
      <c r="FV3" s="113"/>
      <c r="FW3" s="113"/>
      <c r="FX3" s="113"/>
      <c r="FY3" s="113"/>
      <c r="FZ3" s="113"/>
      <c r="GA3" s="113"/>
      <c r="GB3" s="113"/>
      <c r="GC3" s="113"/>
      <c r="GD3" s="113"/>
      <c r="GE3" s="113"/>
      <c r="GF3" s="113"/>
      <c r="GG3" s="113"/>
      <c r="GH3" s="113"/>
      <c r="GI3" s="113"/>
      <c r="GJ3" s="113"/>
      <c r="GK3" s="113"/>
      <c r="GL3" s="113"/>
      <c r="GM3" s="113"/>
      <c r="GN3" s="113"/>
      <c r="GO3" s="113"/>
      <c r="GP3" s="113"/>
      <c r="GQ3" s="113"/>
      <c r="GR3" s="113"/>
      <c r="GS3" s="113"/>
      <c r="GT3" s="113"/>
      <c r="GU3" s="113"/>
      <c r="GV3" s="113"/>
      <c r="GW3" s="113"/>
      <c r="GX3" s="113"/>
      <c r="GY3" s="113"/>
      <c r="GZ3" s="113"/>
      <c r="HA3" s="113"/>
      <c r="HB3" s="113"/>
      <c r="HC3" s="113"/>
      <c r="HD3" s="113"/>
      <c r="HE3" s="113"/>
      <c r="HF3" s="113"/>
      <c r="HG3" s="113"/>
      <c r="HH3" s="113"/>
      <c r="HI3" s="113"/>
      <c r="HJ3" s="113"/>
      <c r="HK3" s="113"/>
      <c r="HL3" s="113"/>
      <c r="HM3" s="113"/>
      <c r="HN3" s="113"/>
      <c r="HO3" s="113"/>
      <c r="HP3" s="113"/>
      <c r="HQ3" s="113"/>
      <c r="HR3" s="113"/>
      <c r="HS3" s="113"/>
      <c r="HT3" s="113"/>
      <c r="HU3" s="113"/>
      <c r="HV3" s="113"/>
      <c r="HW3" s="113"/>
      <c r="HX3" s="113"/>
      <c r="HY3" s="113"/>
      <c r="HZ3" s="113"/>
      <c r="IA3" s="113"/>
      <c r="IB3" s="113"/>
      <c r="IC3" s="113"/>
      <c r="ID3" s="113"/>
      <c r="IE3" s="113"/>
      <c r="IF3" s="113"/>
      <c r="IG3" s="113"/>
      <c r="IH3" s="113"/>
      <c r="II3" s="113"/>
      <c r="IJ3" s="113"/>
      <c r="IK3" s="113"/>
      <c r="IL3" s="113"/>
      <c r="IM3" s="113"/>
      <c r="IN3" s="113"/>
      <c r="IO3" s="113"/>
      <c r="IP3" s="113"/>
      <c r="IQ3" s="113"/>
      <c r="IR3" s="113"/>
      <c r="IS3" s="113"/>
      <c r="IT3" s="113"/>
      <c r="IU3" s="113"/>
      <c r="IV3" s="113"/>
      <c r="IW3" s="113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A5" s="98" t="n">
        <v>46487</v>
      </c>
      <c r="B5" s="99" t="s">
        <v>35</v>
      </c>
      <c r="C5" s="100" t="s">
        <v>40</v>
      </c>
      <c r="E5" s="99" t="n">
        <v>3600</v>
      </c>
      <c r="F5" s="99" t="n">
        <f aca="false">IF(F$4&gt;0,(IF(E5&lt;&gt;0,E5*F$4/100," ")),IF(E5&lt;&gt;0,E5*F$2/(100+F$2)," "))</f>
        <v>600</v>
      </c>
      <c r="G5" s="99" t="n">
        <f aca="false">IF((E5&lt;&gt;0),E5-F5," ")</f>
        <v>3000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customFormat="fals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1800</v>
      </c>
      <c r="F1" s="106" t="n">
        <f aca="false">SUM(F5:F200)</f>
        <v>300</v>
      </c>
      <c r="G1" s="106" t="n">
        <f aca="false">SUM(G5:G200)</f>
        <v>1500</v>
      </c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  <c r="EL1" s="107"/>
      <c r="EM1" s="107"/>
      <c r="EN1" s="107"/>
      <c r="EO1" s="107"/>
      <c r="EP1" s="107"/>
      <c r="EQ1" s="107"/>
      <c r="ER1" s="107"/>
      <c r="ES1" s="107"/>
      <c r="ET1" s="107"/>
      <c r="EU1" s="107"/>
      <c r="EV1" s="107"/>
      <c r="EW1" s="107"/>
      <c r="EX1" s="107"/>
      <c r="EY1" s="107"/>
      <c r="EZ1" s="107"/>
      <c r="FA1" s="107"/>
      <c r="FB1" s="107"/>
      <c r="FC1" s="107"/>
      <c r="FD1" s="107"/>
      <c r="FE1" s="107"/>
      <c r="FF1" s="107"/>
      <c r="FG1" s="107"/>
      <c r="FH1" s="107"/>
      <c r="FI1" s="107"/>
      <c r="FJ1" s="107"/>
      <c r="FK1" s="107"/>
      <c r="FL1" s="107"/>
      <c r="FM1" s="107"/>
      <c r="FN1" s="107"/>
      <c r="FO1" s="107"/>
      <c r="FP1" s="107"/>
      <c r="FQ1" s="107"/>
      <c r="FR1" s="107"/>
      <c r="FS1" s="107"/>
      <c r="FT1" s="107"/>
      <c r="FU1" s="107"/>
      <c r="FV1" s="107"/>
      <c r="FW1" s="107"/>
      <c r="FX1" s="107"/>
      <c r="FY1" s="107"/>
      <c r="FZ1" s="107"/>
      <c r="GA1" s="107"/>
      <c r="GB1" s="107"/>
      <c r="GC1" s="107"/>
      <c r="GD1" s="107"/>
      <c r="GE1" s="107"/>
      <c r="GF1" s="107"/>
      <c r="GG1" s="107"/>
      <c r="GH1" s="107"/>
      <c r="GI1" s="107"/>
      <c r="GJ1" s="107"/>
      <c r="GK1" s="107"/>
      <c r="GL1" s="107"/>
      <c r="GM1" s="107"/>
      <c r="GN1" s="107"/>
      <c r="GO1" s="107"/>
      <c r="GP1" s="107"/>
      <c r="GQ1" s="107"/>
      <c r="GR1" s="107"/>
      <c r="GS1" s="107"/>
      <c r="GT1" s="107"/>
      <c r="GU1" s="107"/>
      <c r="GV1" s="107"/>
      <c r="GW1" s="107"/>
      <c r="GX1" s="107"/>
      <c r="GY1" s="107"/>
      <c r="GZ1" s="107"/>
      <c r="HA1" s="107"/>
      <c r="HB1" s="107"/>
      <c r="HC1" s="107"/>
      <c r="HD1" s="107"/>
      <c r="HE1" s="107"/>
      <c r="HF1" s="107"/>
      <c r="HG1" s="107"/>
      <c r="HH1" s="107"/>
      <c r="HI1" s="107"/>
      <c r="HJ1" s="107"/>
      <c r="HK1" s="107"/>
      <c r="HL1" s="107"/>
      <c r="HM1" s="107"/>
      <c r="HN1" s="107"/>
      <c r="HO1" s="107"/>
      <c r="HP1" s="107"/>
      <c r="HQ1" s="107"/>
      <c r="HR1" s="107"/>
      <c r="HS1" s="107"/>
      <c r="HT1" s="107"/>
      <c r="HU1" s="107"/>
      <c r="HV1" s="107"/>
      <c r="HW1" s="107"/>
      <c r="HX1" s="107"/>
      <c r="HY1" s="107"/>
      <c r="HZ1" s="107"/>
      <c r="IA1" s="107"/>
      <c r="IB1" s="107"/>
      <c r="IC1" s="107"/>
      <c r="ID1" s="107"/>
      <c r="IE1" s="107"/>
      <c r="IF1" s="107"/>
      <c r="IG1" s="107"/>
      <c r="IH1" s="107"/>
      <c r="II1" s="107"/>
      <c r="IJ1" s="107"/>
      <c r="IK1" s="107"/>
      <c r="IL1" s="107"/>
      <c r="IM1" s="107"/>
      <c r="IN1" s="107"/>
      <c r="IO1" s="107"/>
      <c r="IP1" s="107"/>
      <c r="IQ1" s="107"/>
      <c r="IR1" s="107"/>
      <c r="IS1" s="107"/>
      <c r="IT1" s="107"/>
      <c r="IU1" s="107"/>
      <c r="IV1" s="107"/>
      <c r="IW1" s="107"/>
    </row>
    <row r="2" customFormat="fals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07"/>
      <c r="AS2" s="107"/>
      <c r="AT2" s="107"/>
      <c r="AU2" s="107"/>
      <c r="AV2" s="107"/>
      <c r="AW2" s="107"/>
      <c r="AX2" s="107"/>
      <c r="AY2" s="107"/>
      <c r="AZ2" s="107"/>
      <c r="BA2" s="107"/>
      <c r="BB2" s="107"/>
      <c r="BC2" s="107"/>
      <c r="BD2" s="107"/>
      <c r="BE2" s="107"/>
      <c r="BF2" s="107"/>
      <c r="BG2" s="107"/>
      <c r="BH2" s="107"/>
      <c r="BI2" s="107"/>
      <c r="BJ2" s="107"/>
      <c r="BK2" s="107"/>
      <c r="BL2" s="107"/>
      <c r="BM2" s="107"/>
      <c r="BN2" s="107"/>
      <c r="BO2" s="107"/>
      <c r="BP2" s="107"/>
      <c r="BQ2" s="107"/>
      <c r="BR2" s="107"/>
      <c r="BS2" s="107"/>
      <c r="BT2" s="107"/>
      <c r="BU2" s="107"/>
      <c r="BV2" s="107"/>
      <c r="BW2" s="107"/>
      <c r="BX2" s="107"/>
      <c r="BY2" s="107"/>
      <c r="BZ2" s="107"/>
      <c r="CA2" s="107"/>
      <c r="CB2" s="107"/>
      <c r="CC2" s="107"/>
      <c r="CD2" s="107"/>
      <c r="CE2" s="107"/>
      <c r="CF2" s="107"/>
      <c r="CG2" s="107"/>
      <c r="CH2" s="107"/>
      <c r="CI2" s="107"/>
      <c r="CJ2" s="107"/>
      <c r="CK2" s="107"/>
      <c r="CL2" s="107"/>
      <c r="CM2" s="107"/>
      <c r="CN2" s="107"/>
      <c r="CO2" s="107"/>
      <c r="CP2" s="107"/>
      <c r="CQ2" s="107"/>
      <c r="CR2" s="107"/>
      <c r="CS2" s="107"/>
      <c r="CT2" s="107"/>
      <c r="CU2" s="107"/>
      <c r="CV2" s="107"/>
      <c r="CW2" s="107"/>
      <c r="CX2" s="107"/>
      <c r="CY2" s="107"/>
      <c r="CZ2" s="107"/>
      <c r="DA2" s="107"/>
      <c r="DB2" s="107"/>
      <c r="DC2" s="107"/>
      <c r="DD2" s="107"/>
      <c r="DE2" s="107"/>
      <c r="DF2" s="107"/>
      <c r="DG2" s="107"/>
      <c r="DH2" s="107"/>
      <c r="DI2" s="107"/>
      <c r="DJ2" s="107"/>
      <c r="DK2" s="107"/>
      <c r="DL2" s="107"/>
      <c r="DM2" s="107"/>
      <c r="DN2" s="107"/>
      <c r="DO2" s="107"/>
      <c r="DP2" s="107"/>
      <c r="DQ2" s="107"/>
      <c r="DR2" s="107"/>
      <c r="DS2" s="107"/>
      <c r="DT2" s="107"/>
      <c r="DU2" s="107"/>
      <c r="DV2" s="107"/>
      <c r="DW2" s="107"/>
      <c r="DX2" s="107"/>
      <c r="DY2" s="107"/>
      <c r="DZ2" s="107"/>
      <c r="EA2" s="107"/>
      <c r="EB2" s="107"/>
      <c r="EC2" s="107"/>
      <c r="ED2" s="107"/>
      <c r="EE2" s="107"/>
      <c r="EF2" s="107"/>
      <c r="EG2" s="107"/>
      <c r="EH2" s="107"/>
      <c r="EI2" s="107"/>
      <c r="EJ2" s="107"/>
      <c r="EK2" s="107"/>
      <c r="EL2" s="107"/>
      <c r="EM2" s="107"/>
      <c r="EN2" s="107"/>
      <c r="EO2" s="107"/>
      <c r="EP2" s="107"/>
      <c r="EQ2" s="107"/>
      <c r="ER2" s="107"/>
      <c r="ES2" s="107"/>
      <c r="ET2" s="107"/>
      <c r="EU2" s="107"/>
      <c r="EV2" s="107"/>
      <c r="EW2" s="107"/>
      <c r="EX2" s="107"/>
      <c r="EY2" s="107"/>
      <c r="EZ2" s="107"/>
      <c r="FA2" s="107"/>
      <c r="FB2" s="107"/>
      <c r="FC2" s="107"/>
      <c r="FD2" s="107"/>
      <c r="FE2" s="107"/>
      <c r="FF2" s="107"/>
      <c r="FG2" s="107"/>
      <c r="FH2" s="107"/>
      <c r="FI2" s="107"/>
      <c r="FJ2" s="107"/>
      <c r="FK2" s="107"/>
      <c r="FL2" s="107"/>
      <c r="FM2" s="107"/>
      <c r="FN2" s="107"/>
      <c r="FO2" s="107"/>
      <c r="FP2" s="107"/>
      <c r="FQ2" s="107"/>
      <c r="FR2" s="107"/>
      <c r="FS2" s="107"/>
      <c r="FT2" s="107"/>
      <c r="FU2" s="107"/>
      <c r="FV2" s="107"/>
      <c r="FW2" s="107"/>
      <c r="FX2" s="107"/>
      <c r="FY2" s="107"/>
      <c r="FZ2" s="107"/>
      <c r="GA2" s="107"/>
      <c r="GB2" s="107"/>
      <c r="GC2" s="107"/>
      <c r="GD2" s="107"/>
      <c r="GE2" s="107"/>
      <c r="GF2" s="107"/>
      <c r="GG2" s="107"/>
      <c r="GH2" s="107"/>
      <c r="GI2" s="107"/>
      <c r="GJ2" s="107"/>
      <c r="GK2" s="107"/>
      <c r="GL2" s="107"/>
      <c r="GM2" s="107"/>
      <c r="GN2" s="107"/>
      <c r="GO2" s="107"/>
      <c r="GP2" s="107"/>
      <c r="GQ2" s="107"/>
      <c r="GR2" s="107"/>
      <c r="GS2" s="107"/>
      <c r="GT2" s="107"/>
      <c r="GU2" s="107"/>
      <c r="GV2" s="107"/>
      <c r="GW2" s="107"/>
      <c r="GX2" s="107"/>
      <c r="GY2" s="107"/>
      <c r="GZ2" s="107"/>
      <c r="HA2" s="107"/>
      <c r="HB2" s="107"/>
      <c r="HC2" s="107"/>
      <c r="HD2" s="107"/>
      <c r="HE2" s="107"/>
      <c r="HF2" s="107"/>
      <c r="HG2" s="107"/>
      <c r="HH2" s="107"/>
      <c r="HI2" s="107"/>
      <c r="HJ2" s="107"/>
      <c r="HK2" s="107"/>
      <c r="HL2" s="107"/>
      <c r="HM2" s="107"/>
      <c r="HN2" s="107"/>
      <c r="HO2" s="107"/>
      <c r="HP2" s="107"/>
      <c r="HQ2" s="107"/>
      <c r="HR2" s="107"/>
      <c r="HS2" s="107"/>
      <c r="HT2" s="107"/>
      <c r="HU2" s="107"/>
      <c r="HV2" s="107"/>
      <c r="HW2" s="107"/>
      <c r="HX2" s="107"/>
      <c r="HY2" s="107"/>
      <c r="HZ2" s="107"/>
      <c r="IA2" s="107"/>
      <c r="IB2" s="107"/>
      <c r="IC2" s="107"/>
      <c r="ID2" s="107"/>
      <c r="IE2" s="107"/>
      <c r="IF2" s="107"/>
      <c r="IG2" s="107"/>
      <c r="IH2" s="107"/>
      <c r="II2" s="107"/>
      <c r="IJ2" s="107"/>
      <c r="IK2" s="107"/>
      <c r="IL2" s="107"/>
      <c r="IM2" s="107"/>
      <c r="IN2" s="107"/>
      <c r="IO2" s="107"/>
      <c r="IP2" s="107"/>
      <c r="IQ2" s="107"/>
      <c r="IR2" s="107"/>
      <c r="IS2" s="107"/>
      <c r="IT2" s="107"/>
      <c r="IU2" s="107"/>
      <c r="IV2" s="107"/>
      <c r="IW2" s="107"/>
    </row>
    <row r="3" customFormat="fals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  <c r="AJ3" s="113"/>
      <c r="AK3" s="113"/>
      <c r="AL3" s="113"/>
      <c r="AM3" s="113"/>
      <c r="AN3" s="113"/>
      <c r="AO3" s="113"/>
      <c r="AP3" s="113"/>
      <c r="AQ3" s="113"/>
      <c r="AR3" s="113"/>
      <c r="AS3" s="113"/>
      <c r="AT3" s="113"/>
      <c r="AU3" s="113"/>
      <c r="AV3" s="113"/>
      <c r="AW3" s="113"/>
      <c r="AX3" s="113"/>
      <c r="AY3" s="113"/>
      <c r="AZ3" s="113"/>
      <c r="BA3" s="113"/>
      <c r="BB3" s="113"/>
      <c r="BC3" s="113"/>
      <c r="BD3" s="113"/>
      <c r="BE3" s="113"/>
      <c r="BF3" s="113"/>
      <c r="BG3" s="113"/>
      <c r="BH3" s="113"/>
      <c r="BI3" s="113"/>
      <c r="BJ3" s="113"/>
      <c r="BK3" s="113"/>
      <c r="BL3" s="113"/>
      <c r="BM3" s="113"/>
      <c r="BN3" s="113"/>
      <c r="BO3" s="113"/>
      <c r="BP3" s="113"/>
      <c r="BQ3" s="113"/>
      <c r="BR3" s="113"/>
      <c r="BS3" s="113"/>
      <c r="BT3" s="113"/>
      <c r="BU3" s="113"/>
      <c r="BV3" s="113"/>
      <c r="BW3" s="113"/>
      <c r="BX3" s="113"/>
      <c r="BY3" s="113"/>
      <c r="BZ3" s="113"/>
      <c r="CA3" s="113"/>
      <c r="CB3" s="113"/>
      <c r="CC3" s="113"/>
      <c r="CD3" s="113"/>
      <c r="CE3" s="113"/>
      <c r="CF3" s="113"/>
      <c r="CG3" s="113"/>
      <c r="CH3" s="113"/>
      <c r="CI3" s="113"/>
      <c r="CJ3" s="113"/>
      <c r="CK3" s="113"/>
      <c r="CL3" s="113"/>
      <c r="CM3" s="113"/>
      <c r="CN3" s="113"/>
      <c r="CO3" s="113"/>
      <c r="CP3" s="113"/>
      <c r="CQ3" s="113"/>
      <c r="CR3" s="113"/>
      <c r="CS3" s="113"/>
      <c r="CT3" s="113"/>
      <c r="CU3" s="113"/>
      <c r="CV3" s="113"/>
      <c r="CW3" s="113"/>
      <c r="CX3" s="113"/>
      <c r="CY3" s="113"/>
      <c r="CZ3" s="113"/>
      <c r="DA3" s="113"/>
      <c r="DB3" s="113"/>
      <c r="DC3" s="113"/>
      <c r="DD3" s="113"/>
      <c r="DE3" s="113"/>
      <c r="DF3" s="113"/>
      <c r="DG3" s="113"/>
      <c r="DH3" s="113"/>
      <c r="DI3" s="113"/>
      <c r="DJ3" s="113"/>
      <c r="DK3" s="113"/>
      <c r="DL3" s="113"/>
      <c r="DM3" s="113"/>
      <c r="DN3" s="113"/>
      <c r="DO3" s="113"/>
      <c r="DP3" s="113"/>
      <c r="DQ3" s="113"/>
      <c r="DR3" s="113"/>
      <c r="DS3" s="113"/>
      <c r="DT3" s="113"/>
      <c r="DU3" s="113"/>
      <c r="DV3" s="113"/>
      <c r="DW3" s="113"/>
      <c r="DX3" s="113"/>
      <c r="DY3" s="113"/>
      <c r="DZ3" s="113"/>
      <c r="EA3" s="113"/>
      <c r="EB3" s="113"/>
      <c r="EC3" s="113"/>
      <c r="ED3" s="113"/>
      <c r="EE3" s="113"/>
      <c r="EF3" s="113"/>
      <c r="EG3" s="113"/>
      <c r="EH3" s="113"/>
      <c r="EI3" s="113"/>
      <c r="EJ3" s="113"/>
      <c r="EK3" s="113"/>
      <c r="EL3" s="113"/>
      <c r="EM3" s="113"/>
      <c r="EN3" s="113"/>
      <c r="EO3" s="113"/>
      <c r="EP3" s="113"/>
      <c r="EQ3" s="113"/>
      <c r="ER3" s="113"/>
      <c r="ES3" s="113"/>
      <c r="ET3" s="113"/>
      <c r="EU3" s="113"/>
      <c r="EV3" s="113"/>
      <c r="EW3" s="113"/>
      <c r="EX3" s="113"/>
      <c r="EY3" s="113"/>
      <c r="EZ3" s="113"/>
      <c r="FA3" s="113"/>
      <c r="FB3" s="113"/>
      <c r="FC3" s="113"/>
      <c r="FD3" s="113"/>
      <c r="FE3" s="113"/>
      <c r="FF3" s="113"/>
      <c r="FG3" s="113"/>
      <c r="FH3" s="113"/>
      <c r="FI3" s="113"/>
      <c r="FJ3" s="113"/>
      <c r="FK3" s="113"/>
      <c r="FL3" s="113"/>
      <c r="FM3" s="113"/>
      <c r="FN3" s="113"/>
      <c r="FO3" s="113"/>
      <c r="FP3" s="113"/>
      <c r="FQ3" s="113"/>
      <c r="FR3" s="113"/>
      <c r="FS3" s="113"/>
      <c r="FT3" s="113"/>
      <c r="FU3" s="113"/>
      <c r="FV3" s="113"/>
      <c r="FW3" s="113"/>
      <c r="FX3" s="113"/>
      <c r="FY3" s="113"/>
      <c r="FZ3" s="113"/>
      <c r="GA3" s="113"/>
      <c r="GB3" s="113"/>
      <c r="GC3" s="113"/>
      <c r="GD3" s="113"/>
      <c r="GE3" s="113"/>
      <c r="GF3" s="113"/>
      <c r="GG3" s="113"/>
      <c r="GH3" s="113"/>
      <c r="GI3" s="113"/>
      <c r="GJ3" s="113"/>
      <c r="GK3" s="113"/>
      <c r="GL3" s="113"/>
      <c r="GM3" s="113"/>
      <c r="GN3" s="113"/>
      <c r="GO3" s="113"/>
      <c r="GP3" s="113"/>
      <c r="GQ3" s="113"/>
      <c r="GR3" s="113"/>
      <c r="GS3" s="113"/>
      <c r="GT3" s="113"/>
      <c r="GU3" s="113"/>
      <c r="GV3" s="113"/>
      <c r="GW3" s="113"/>
      <c r="GX3" s="113"/>
      <c r="GY3" s="113"/>
      <c r="GZ3" s="113"/>
      <c r="HA3" s="113"/>
      <c r="HB3" s="113"/>
      <c r="HC3" s="113"/>
      <c r="HD3" s="113"/>
      <c r="HE3" s="113"/>
      <c r="HF3" s="113"/>
      <c r="HG3" s="113"/>
      <c r="HH3" s="113"/>
      <c r="HI3" s="113"/>
      <c r="HJ3" s="113"/>
      <c r="HK3" s="113"/>
      <c r="HL3" s="113"/>
      <c r="HM3" s="113"/>
      <c r="HN3" s="113"/>
      <c r="HO3" s="113"/>
      <c r="HP3" s="113"/>
      <c r="HQ3" s="113"/>
      <c r="HR3" s="113"/>
      <c r="HS3" s="113"/>
      <c r="HT3" s="113"/>
      <c r="HU3" s="113"/>
      <c r="HV3" s="113"/>
      <c r="HW3" s="113"/>
      <c r="HX3" s="113"/>
      <c r="HY3" s="113"/>
      <c r="HZ3" s="113"/>
      <c r="IA3" s="113"/>
      <c r="IB3" s="113"/>
      <c r="IC3" s="113"/>
      <c r="ID3" s="113"/>
      <c r="IE3" s="113"/>
      <c r="IF3" s="113"/>
      <c r="IG3" s="113"/>
      <c r="IH3" s="113"/>
      <c r="II3" s="113"/>
      <c r="IJ3" s="113"/>
      <c r="IK3" s="113"/>
      <c r="IL3" s="113"/>
      <c r="IM3" s="113"/>
      <c r="IN3" s="113"/>
      <c r="IO3" s="113"/>
      <c r="IP3" s="113"/>
      <c r="IQ3" s="113"/>
      <c r="IR3" s="113"/>
      <c r="IS3" s="113"/>
      <c r="IT3" s="113"/>
      <c r="IU3" s="113"/>
      <c r="IV3" s="113"/>
      <c r="IW3" s="113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A5" s="98" t="n">
        <v>46519</v>
      </c>
      <c r="B5" s="99" t="s">
        <v>41</v>
      </c>
      <c r="C5" s="100" t="s">
        <v>42</v>
      </c>
      <c r="E5" s="99" t="n">
        <v>1800</v>
      </c>
      <c r="F5" s="99" t="n">
        <f aca="false">IF(F$4&gt;0,(IF(E5&lt;&gt;0,E5*F$4/100," ")),IF(E5&lt;&gt;0,E5*F$2/(100+F$2)," "))</f>
        <v>300</v>
      </c>
      <c r="G5" s="99" t="n">
        <f aca="false">IF((E5&lt;&gt;0),E5-F5," ")</f>
        <v>1500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customFormat="fals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1200</v>
      </c>
      <c r="F1" s="106" t="n">
        <f aca="false">SUM(F5:F200)</f>
        <v>200</v>
      </c>
      <c r="G1" s="106" t="n">
        <f aca="false">SUM(G5:G200)</f>
        <v>1000</v>
      </c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  <c r="EL1" s="107"/>
      <c r="EM1" s="107"/>
      <c r="EN1" s="107"/>
      <c r="EO1" s="107"/>
      <c r="EP1" s="107"/>
      <c r="EQ1" s="107"/>
      <c r="ER1" s="107"/>
      <c r="ES1" s="107"/>
      <c r="ET1" s="107"/>
      <c r="EU1" s="107"/>
      <c r="EV1" s="107"/>
      <c r="EW1" s="107"/>
      <c r="EX1" s="107"/>
      <c r="EY1" s="107"/>
      <c r="EZ1" s="107"/>
      <c r="FA1" s="107"/>
      <c r="FB1" s="107"/>
      <c r="FC1" s="107"/>
      <c r="FD1" s="107"/>
      <c r="FE1" s="107"/>
      <c r="FF1" s="107"/>
      <c r="FG1" s="107"/>
      <c r="FH1" s="107"/>
      <c r="FI1" s="107"/>
      <c r="FJ1" s="107"/>
      <c r="FK1" s="107"/>
      <c r="FL1" s="107"/>
      <c r="FM1" s="107"/>
      <c r="FN1" s="107"/>
      <c r="FO1" s="107"/>
      <c r="FP1" s="107"/>
      <c r="FQ1" s="107"/>
      <c r="FR1" s="107"/>
      <c r="FS1" s="107"/>
      <c r="FT1" s="107"/>
      <c r="FU1" s="107"/>
      <c r="FV1" s="107"/>
      <c r="FW1" s="107"/>
      <c r="FX1" s="107"/>
      <c r="FY1" s="107"/>
      <c r="FZ1" s="107"/>
      <c r="GA1" s="107"/>
      <c r="GB1" s="107"/>
      <c r="GC1" s="107"/>
      <c r="GD1" s="107"/>
      <c r="GE1" s="107"/>
      <c r="GF1" s="107"/>
      <c r="GG1" s="107"/>
      <c r="GH1" s="107"/>
      <c r="GI1" s="107"/>
      <c r="GJ1" s="107"/>
      <c r="GK1" s="107"/>
      <c r="GL1" s="107"/>
      <c r="GM1" s="107"/>
      <c r="GN1" s="107"/>
      <c r="GO1" s="107"/>
      <c r="GP1" s="107"/>
      <c r="GQ1" s="107"/>
      <c r="GR1" s="107"/>
      <c r="GS1" s="107"/>
      <c r="GT1" s="107"/>
      <c r="GU1" s="107"/>
      <c r="GV1" s="107"/>
      <c r="GW1" s="107"/>
      <c r="GX1" s="107"/>
      <c r="GY1" s="107"/>
      <c r="GZ1" s="107"/>
      <c r="HA1" s="107"/>
      <c r="HB1" s="107"/>
      <c r="HC1" s="107"/>
      <c r="HD1" s="107"/>
      <c r="HE1" s="107"/>
      <c r="HF1" s="107"/>
      <c r="HG1" s="107"/>
      <c r="HH1" s="107"/>
      <c r="HI1" s="107"/>
      <c r="HJ1" s="107"/>
      <c r="HK1" s="107"/>
      <c r="HL1" s="107"/>
      <c r="HM1" s="107"/>
      <c r="HN1" s="107"/>
      <c r="HO1" s="107"/>
      <c r="HP1" s="107"/>
      <c r="HQ1" s="107"/>
      <c r="HR1" s="107"/>
      <c r="HS1" s="107"/>
      <c r="HT1" s="107"/>
      <c r="HU1" s="107"/>
      <c r="HV1" s="107"/>
      <c r="HW1" s="107"/>
      <c r="HX1" s="107"/>
      <c r="HY1" s="107"/>
      <c r="HZ1" s="107"/>
      <c r="IA1" s="107"/>
      <c r="IB1" s="107"/>
      <c r="IC1" s="107"/>
      <c r="ID1" s="107"/>
      <c r="IE1" s="107"/>
      <c r="IF1" s="107"/>
      <c r="IG1" s="107"/>
      <c r="IH1" s="107"/>
      <c r="II1" s="107"/>
      <c r="IJ1" s="107"/>
      <c r="IK1" s="107"/>
      <c r="IL1" s="107"/>
      <c r="IM1" s="107"/>
      <c r="IN1" s="107"/>
      <c r="IO1" s="107"/>
      <c r="IP1" s="107"/>
      <c r="IQ1" s="107"/>
      <c r="IR1" s="107"/>
      <c r="IS1" s="107"/>
      <c r="IT1" s="107"/>
      <c r="IU1" s="107"/>
      <c r="IV1" s="107"/>
      <c r="IW1" s="107"/>
    </row>
    <row r="2" customFormat="fals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07"/>
      <c r="AS2" s="107"/>
      <c r="AT2" s="107"/>
      <c r="AU2" s="107"/>
      <c r="AV2" s="107"/>
      <c r="AW2" s="107"/>
      <c r="AX2" s="107"/>
      <c r="AY2" s="107"/>
      <c r="AZ2" s="107"/>
      <c r="BA2" s="107"/>
      <c r="BB2" s="107"/>
      <c r="BC2" s="107"/>
      <c r="BD2" s="107"/>
      <c r="BE2" s="107"/>
      <c r="BF2" s="107"/>
      <c r="BG2" s="107"/>
      <c r="BH2" s="107"/>
      <c r="BI2" s="107"/>
      <c r="BJ2" s="107"/>
      <c r="BK2" s="107"/>
      <c r="BL2" s="107"/>
      <c r="BM2" s="107"/>
      <c r="BN2" s="107"/>
      <c r="BO2" s="107"/>
      <c r="BP2" s="107"/>
      <c r="BQ2" s="107"/>
      <c r="BR2" s="107"/>
      <c r="BS2" s="107"/>
      <c r="BT2" s="107"/>
      <c r="BU2" s="107"/>
      <c r="BV2" s="107"/>
      <c r="BW2" s="107"/>
      <c r="BX2" s="107"/>
      <c r="BY2" s="107"/>
      <c r="BZ2" s="107"/>
      <c r="CA2" s="107"/>
      <c r="CB2" s="107"/>
      <c r="CC2" s="107"/>
      <c r="CD2" s="107"/>
      <c r="CE2" s="107"/>
      <c r="CF2" s="107"/>
      <c r="CG2" s="107"/>
      <c r="CH2" s="107"/>
      <c r="CI2" s="107"/>
      <c r="CJ2" s="107"/>
      <c r="CK2" s="107"/>
      <c r="CL2" s="107"/>
      <c r="CM2" s="107"/>
      <c r="CN2" s="107"/>
      <c r="CO2" s="107"/>
      <c r="CP2" s="107"/>
      <c r="CQ2" s="107"/>
      <c r="CR2" s="107"/>
      <c r="CS2" s="107"/>
      <c r="CT2" s="107"/>
      <c r="CU2" s="107"/>
      <c r="CV2" s="107"/>
      <c r="CW2" s="107"/>
      <c r="CX2" s="107"/>
      <c r="CY2" s="107"/>
      <c r="CZ2" s="107"/>
      <c r="DA2" s="107"/>
      <c r="DB2" s="107"/>
      <c r="DC2" s="107"/>
      <c r="DD2" s="107"/>
      <c r="DE2" s="107"/>
      <c r="DF2" s="107"/>
      <c r="DG2" s="107"/>
      <c r="DH2" s="107"/>
      <c r="DI2" s="107"/>
      <c r="DJ2" s="107"/>
      <c r="DK2" s="107"/>
      <c r="DL2" s="107"/>
      <c r="DM2" s="107"/>
      <c r="DN2" s="107"/>
      <c r="DO2" s="107"/>
      <c r="DP2" s="107"/>
      <c r="DQ2" s="107"/>
      <c r="DR2" s="107"/>
      <c r="DS2" s="107"/>
      <c r="DT2" s="107"/>
      <c r="DU2" s="107"/>
      <c r="DV2" s="107"/>
      <c r="DW2" s="107"/>
      <c r="DX2" s="107"/>
      <c r="DY2" s="107"/>
      <c r="DZ2" s="107"/>
      <c r="EA2" s="107"/>
      <c r="EB2" s="107"/>
      <c r="EC2" s="107"/>
      <c r="ED2" s="107"/>
      <c r="EE2" s="107"/>
      <c r="EF2" s="107"/>
      <c r="EG2" s="107"/>
      <c r="EH2" s="107"/>
      <c r="EI2" s="107"/>
      <c r="EJ2" s="107"/>
      <c r="EK2" s="107"/>
      <c r="EL2" s="107"/>
      <c r="EM2" s="107"/>
      <c r="EN2" s="107"/>
      <c r="EO2" s="107"/>
      <c r="EP2" s="107"/>
      <c r="EQ2" s="107"/>
      <c r="ER2" s="107"/>
      <c r="ES2" s="107"/>
      <c r="ET2" s="107"/>
      <c r="EU2" s="107"/>
      <c r="EV2" s="107"/>
      <c r="EW2" s="107"/>
      <c r="EX2" s="107"/>
      <c r="EY2" s="107"/>
      <c r="EZ2" s="107"/>
      <c r="FA2" s="107"/>
      <c r="FB2" s="107"/>
      <c r="FC2" s="107"/>
      <c r="FD2" s="107"/>
      <c r="FE2" s="107"/>
      <c r="FF2" s="107"/>
      <c r="FG2" s="107"/>
      <c r="FH2" s="107"/>
      <c r="FI2" s="107"/>
      <c r="FJ2" s="107"/>
      <c r="FK2" s="107"/>
      <c r="FL2" s="107"/>
      <c r="FM2" s="107"/>
      <c r="FN2" s="107"/>
      <c r="FO2" s="107"/>
      <c r="FP2" s="107"/>
      <c r="FQ2" s="107"/>
      <c r="FR2" s="107"/>
      <c r="FS2" s="107"/>
      <c r="FT2" s="107"/>
      <c r="FU2" s="107"/>
      <c r="FV2" s="107"/>
      <c r="FW2" s="107"/>
      <c r="FX2" s="107"/>
      <c r="FY2" s="107"/>
      <c r="FZ2" s="107"/>
      <c r="GA2" s="107"/>
      <c r="GB2" s="107"/>
      <c r="GC2" s="107"/>
      <c r="GD2" s="107"/>
      <c r="GE2" s="107"/>
      <c r="GF2" s="107"/>
      <c r="GG2" s="107"/>
      <c r="GH2" s="107"/>
      <c r="GI2" s="107"/>
      <c r="GJ2" s="107"/>
      <c r="GK2" s="107"/>
      <c r="GL2" s="107"/>
      <c r="GM2" s="107"/>
      <c r="GN2" s="107"/>
      <c r="GO2" s="107"/>
      <c r="GP2" s="107"/>
      <c r="GQ2" s="107"/>
      <c r="GR2" s="107"/>
      <c r="GS2" s="107"/>
      <c r="GT2" s="107"/>
      <c r="GU2" s="107"/>
      <c r="GV2" s="107"/>
      <c r="GW2" s="107"/>
      <c r="GX2" s="107"/>
      <c r="GY2" s="107"/>
      <c r="GZ2" s="107"/>
      <c r="HA2" s="107"/>
      <c r="HB2" s="107"/>
      <c r="HC2" s="107"/>
      <c r="HD2" s="107"/>
      <c r="HE2" s="107"/>
      <c r="HF2" s="107"/>
      <c r="HG2" s="107"/>
      <c r="HH2" s="107"/>
      <c r="HI2" s="107"/>
      <c r="HJ2" s="107"/>
      <c r="HK2" s="107"/>
      <c r="HL2" s="107"/>
      <c r="HM2" s="107"/>
      <c r="HN2" s="107"/>
      <c r="HO2" s="107"/>
      <c r="HP2" s="107"/>
      <c r="HQ2" s="107"/>
      <c r="HR2" s="107"/>
      <c r="HS2" s="107"/>
      <c r="HT2" s="107"/>
      <c r="HU2" s="107"/>
      <c r="HV2" s="107"/>
      <c r="HW2" s="107"/>
      <c r="HX2" s="107"/>
      <c r="HY2" s="107"/>
      <c r="HZ2" s="107"/>
      <c r="IA2" s="107"/>
      <c r="IB2" s="107"/>
      <c r="IC2" s="107"/>
      <c r="ID2" s="107"/>
      <c r="IE2" s="107"/>
      <c r="IF2" s="107"/>
      <c r="IG2" s="107"/>
      <c r="IH2" s="107"/>
      <c r="II2" s="107"/>
      <c r="IJ2" s="107"/>
      <c r="IK2" s="107"/>
      <c r="IL2" s="107"/>
      <c r="IM2" s="107"/>
      <c r="IN2" s="107"/>
      <c r="IO2" s="107"/>
      <c r="IP2" s="107"/>
      <c r="IQ2" s="107"/>
      <c r="IR2" s="107"/>
      <c r="IS2" s="107"/>
      <c r="IT2" s="107"/>
      <c r="IU2" s="107"/>
      <c r="IV2" s="107"/>
      <c r="IW2" s="107"/>
    </row>
    <row r="3" customFormat="fals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  <c r="AJ3" s="113"/>
      <c r="AK3" s="113"/>
      <c r="AL3" s="113"/>
      <c r="AM3" s="113"/>
      <c r="AN3" s="113"/>
      <c r="AO3" s="113"/>
      <c r="AP3" s="113"/>
      <c r="AQ3" s="113"/>
      <c r="AR3" s="113"/>
      <c r="AS3" s="113"/>
      <c r="AT3" s="113"/>
      <c r="AU3" s="113"/>
      <c r="AV3" s="113"/>
      <c r="AW3" s="113"/>
      <c r="AX3" s="113"/>
      <c r="AY3" s="113"/>
      <c r="AZ3" s="113"/>
      <c r="BA3" s="113"/>
      <c r="BB3" s="113"/>
      <c r="BC3" s="113"/>
      <c r="BD3" s="113"/>
      <c r="BE3" s="113"/>
      <c r="BF3" s="113"/>
      <c r="BG3" s="113"/>
      <c r="BH3" s="113"/>
      <c r="BI3" s="113"/>
      <c r="BJ3" s="113"/>
      <c r="BK3" s="113"/>
      <c r="BL3" s="113"/>
      <c r="BM3" s="113"/>
      <c r="BN3" s="113"/>
      <c r="BO3" s="113"/>
      <c r="BP3" s="113"/>
      <c r="BQ3" s="113"/>
      <c r="BR3" s="113"/>
      <c r="BS3" s="113"/>
      <c r="BT3" s="113"/>
      <c r="BU3" s="113"/>
      <c r="BV3" s="113"/>
      <c r="BW3" s="113"/>
      <c r="BX3" s="113"/>
      <c r="BY3" s="113"/>
      <c r="BZ3" s="113"/>
      <c r="CA3" s="113"/>
      <c r="CB3" s="113"/>
      <c r="CC3" s="113"/>
      <c r="CD3" s="113"/>
      <c r="CE3" s="113"/>
      <c r="CF3" s="113"/>
      <c r="CG3" s="113"/>
      <c r="CH3" s="113"/>
      <c r="CI3" s="113"/>
      <c r="CJ3" s="113"/>
      <c r="CK3" s="113"/>
      <c r="CL3" s="113"/>
      <c r="CM3" s="113"/>
      <c r="CN3" s="113"/>
      <c r="CO3" s="113"/>
      <c r="CP3" s="113"/>
      <c r="CQ3" s="113"/>
      <c r="CR3" s="113"/>
      <c r="CS3" s="113"/>
      <c r="CT3" s="113"/>
      <c r="CU3" s="113"/>
      <c r="CV3" s="113"/>
      <c r="CW3" s="113"/>
      <c r="CX3" s="113"/>
      <c r="CY3" s="113"/>
      <c r="CZ3" s="113"/>
      <c r="DA3" s="113"/>
      <c r="DB3" s="113"/>
      <c r="DC3" s="113"/>
      <c r="DD3" s="113"/>
      <c r="DE3" s="113"/>
      <c r="DF3" s="113"/>
      <c r="DG3" s="113"/>
      <c r="DH3" s="113"/>
      <c r="DI3" s="113"/>
      <c r="DJ3" s="113"/>
      <c r="DK3" s="113"/>
      <c r="DL3" s="113"/>
      <c r="DM3" s="113"/>
      <c r="DN3" s="113"/>
      <c r="DO3" s="113"/>
      <c r="DP3" s="113"/>
      <c r="DQ3" s="113"/>
      <c r="DR3" s="113"/>
      <c r="DS3" s="113"/>
      <c r="DT3" s="113"/>
      <c r="DU3" s="113"/>
      <c r="DV3" s="113"/>
      <c r="DW3" s="113"/>
      <c r="DX3" s="113"/>
      <c r="DY3" s="113"/>
      <c r="DZ3" s="113"/>
      <c r="EA3" s="113"/>
      <c r="EB3" s="113"/>
      <c r="EC3" s="113"/>
      <c r="ED3" s="113"/>
      <c r="EE3" s="113"/>
      <c r="EF3" s="113"/>
      <c r="EG3" s="113"/>
      <c r="EH3" s="113"/>
      <c r="EI3" s="113"/>
      <c r="EJ3" s="113"/>
      <c r="EK3" s="113"/>
      <c r="EL3" s="113"/>
      <c r="EM3" s="113"/>
      <c r="EN3" s="113"/>
      <c r="EO3" s="113"/>
      <c r="EP3" s="113"/>
      <c r="EQ3" s="113"/>
      <c r="ER3" s="113"/>
      <c r="ES3" s="113"/>
      <c r="ET3" s="113"/>
      <c r="EU3" s="113"/>
      <c r="EV3" s="113"/>
      <c r="EW3" s="113"/>
      <c r="EX3" s="113"/>
      <c r="EY3" s="113"/>
      <c r="EZ3" s="113"/>
      <c r="FA3" s="113"/>
      <c r="FB3" s="113"/>
      <c r="FC3" s="113"/>
      <c r="FD3" s="113"/>
      <c r="FE3" s="113"/>
      <c r="FF3" s="113"/>
      <c r="FG3" s="113"/>
      <c r="FH3" s="113"/>
      <c r="FI3" s="113"/>
      <c r="FJ3" s="113"/>
      <c r="FK3" s="113"/>
      <c r="FL3" s="113"/>
      <c r="FM3" s="113"/>
      <c r="FN3" s="113"/>
      <c r="FO3" s="113"/>
      <c r="FP3" s="113"/>
      <c r="FQ3" s="113"/>
      <c r="FR3" s="113"/>
      <c r="FS3" s="113"/>
      <c r="FT3" s="113"/>
      <c r="FU3" s="113"/>
      <c r="FV3" s="113"/>
      <c r="FW3" s="113"/>
      <c r="FX3" s="113"/>
      <c r="FY3" s="113"/>
      <c r="FZ3" s="113"/>
      <c r="GA3" s="113"/>
      <c r="GB3" s="113"/>
      <c r="GC3" s="113"/>
      <c r="GD3" s="113"/>
      <c r="GE3" s="113"/>
      <c r="GF3" s="113"/>
      <c r="GG3" s="113"/>
      <c r="GH3" s="113"/>
      <c r="GI3" s="113"/>
      <c r="GJ3" s="113"/>
      <c r="GK3" s="113"/>
      <c r="GL3" s="113"/>
      <c r="GM3" s="113"/>
      <c r="GN3" s="113"/>
      <c r="GO3" s="113"/>
      <c r="GP3" s="113"/>
      <c r="GQ3" s="113"/>
      <c r="GR3" s="113"/>
      <c r="GS3" s="113"/>
      <c r="GT3" s="113"/>
      <c r="GU3" s="113"/>
      <c r="GV3" s="113"/>
      <c r="GW3" s="113"/>
      <c r="GX3" s="113"/>
      <c r="GY3" s="113"/>
      <c r="GZ3" s="113"/>
      <c r="HA3" s="113"/>
      <c r="HB3" s="113"/>
      <c r="HC3" s="113"/>
      <c r="HD3" s="113"/>
      <c r="HE3" s="113"/>
      <c r="HF3" s="113"/>
      <c r="HG3" s="113"/>
      <c r="HH3" s="113"/>
      <c r="HI3" s="113"/>
      <c r="HJ3" s="113"/>
      <c r="HK3" s="113"/>
      <c r="HL3" s="113"/>
      <c r="HM3" s="113"/>
      <c r="HN3" s="113"/>
      <c r="HO3" s="113"/>
      <c r="HP3" s="113"/>
      <c r="HQ3" s="113"/>
      <c r="HR3" s="113"/>
      <c r="HS3" s="113"/>
      <c r="HT3" s="113"/>
      <c r="HU3" s="113"/>
      <c r="HV3" s="113"/>
      <c r="HW3" s="113"/>
      <c r="HX3" s="113"/>
      <c r="HY3" s="113"/>
      <c r="HZ3" s="113"/>
      <c r="IA3" s="113"/>
      <c r="IB3" s="113"/>
      <c r="IC3" s="113"/>
      <c r="ID3" s="113"/>
      <c r="IE3" s="113"/>
      <c r="IF3" s="113"/>
      <c r="IG3" s="113"/>
      <c r="IH3" s="113"/>
      <c r="II3" s="113"/>
      <c r="IJ3" s="113"/>
      <c r="IK3" s="113"/>
      <c r="IL3" s="113"/>
      <c r="IM3" s="113"/>
      <c r="IN3" s="113"/>
      <c r="IO3" s="113"/>
      <c r="IP3" s="113"/>
      <c r="IQ3" s="113"/>
      <c r="IR3" s="113"/>
      <c r="IS3" s="113"/>
      <c r="IT3" s="113"/>
      <c r="IU3" s="113"/>
      <c r="IV3" s="113"/>
      <c r="IW3" s="113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A5" s="98" t="n">
        <v>46549</v>
      </c>
      <c r="B5" s="99" t="s">
        <v>38</v>
      </c>
      <c r="C5" s="100" t="s">
        <v>43</v>
      </c>
      <c r="E5" s="99" t="n">
        <v>1200</v>
      </c>
      <c r="F5" s="99" t="n">
        <f aca="false">IF(F$4&gt;0,(IF(E5&lt;&gt;0,E5*F$4/100," ")),IF(E5&lt;&gt;0,E5*F$2/(100+F$2)," "))</f>
        <v>200</v>
      </c>
      <c r="G5" s="99" t="n">
        <f aca="false">IF((E5&lt;&gt;0),E5-F5," ")</f>
        <v>1000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customFormat="fals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720</v>
      </c>
      <c r="H1" s="106" t="n">
        <f aca="false">SUM(H5:H200)</f>
        <v>120</v>
      </c>
      <c r="I1" s="106" t="n">
        <f aca="false">SUM(I5:I200)</f>
        <v>600</v>
      </c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2"/>
      <c r="BK1" s="102"/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2"/>
      <c r="CO1" s="102"/>
      <c r="CP1" s="102"/>
      <c r="CQ1" s="102"/>
      <c r="CR1" s="102"/>
      <c r="CS1" s="102"/>
      <c r="CT1" s="102"/>
      <c r="CU1" s="102"/>
      <c r="CV1" s="102"/>
      <c r="CW1" s="102"/>
      <c r="CX1" s="102"/>
      <c r="CY1" s="102"/>
      <c r="CZ1" s="102"/>
      <c r="DA1" s="102"/>
      <c r="DB1" s="102"/>
      <c r="DC1" s="102"/>
      <c r="DD1" s="102"/>
      <c r="DE1" s="102"/>
      <c r="DF1" s="102"/>
      <c r="DG1" s="102"/>
      <c r="DH1" s="102"/>
      <c r="DI1" s="102"/>
      <c r="DJ1" s="102"/>
      <c r="DK1" s="102"/>
      <c r="DL1" s="102"/>
      <c r="DM1" s="102"/>
      <c r="DN1" s="102"/>
      <c r="DO1" s="102"/>
      <c r="DP1" s="102"/>
      <c r="DQ1" s="102"/>
      <c r="DR1" s="102"/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2"/>
      <c r="EW1" s="102"/>
      <c r="EX1" s="102"/>
      <c r="EY1" s="102"/>
      <c r="EZ1" s="102"/>
      <c r="FA1" s="102"/>
      <c r="FB1" s="102"/>
      <c r="FC1" s="102"/>
      <c r="FD1" s="102"/>
      <c r="FE1" s="102"/>
      <c r="FF1" s="102"/>
      <c r="FG1" s="102"/>
      <c r="FH1" s="102"/>
      <c r="FI1" s="102"/>
      <c r="FJ1" s="102"/>
      <c r="FK1" s="102"/>
      <c r="FL1" s="102"/>
      <c r="FM1" s="102"/>
      <c r="FN1" s="102"/>
      <c r="FO1" s="102"/>
      <c r="FP1" s="102"/>
      <c r="FQ1" s="102"/>
      <c r="FR1" s="102"/>
      <c r="FS1" s="102"/>
      <c r="FT1" s="102"/>
      <c r="FU1" s="102"/>
      <c r="FV1" s="102"/>
      <c r="FW1" s="102"/>
      <c r="FX1" s="102"/>
      <c r="FY1" s="102"/>
      <c r="FZ1" s="102"/>
      <c r="GA1" s="102"/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2"/>
      <c r="HF1" s="102"/>
      <c r="HG1" s="102"/>
      <c r="HH1" s="102"/>
      <c r="HI1" s="102"/>
      <c r="HJ1" s="102"/>
      <c r="HK1" s="102"/>
      <c r="HL1" s="102"/>
      <c r="HM1" s="102"/>
      <c r="HN1" s="102"/>
      <c r="HO1" s="102"/>
      <c r="HP1" s="102"/>
      <c r="HQ1" s="102"/>
      <c r="HR1" s="102"/>
      <c r="HS1" s="102"/>
      <c r="HT1" s="102"/>
      <c r="HU1" s="102"/>
      <c r="HV1" s="102"/>
      <c r="HW1" s="102"/>
      <c r="HX1" s="102"/>
      <c r="HY1" s="102"/>
      <c r="HZ1" s="102"/>
      <c r="IA1" s="102"/>
      <c r="IB1" s="102"/>
      <c r="IC1" s="102"/>
      <c r="ID1" s="102"/>
      <c r="IE1" s="102"/>
      <c r="IF1" s="102"/>
      <c r="IG1" s="102"/>
      <c r="IH1" s="102"/>
      <c r="II1" s="102"/>
      <c r="IJ1" s="102"/>
      <c r="IK1" s="102"/>
      <c r="IL1" s="102"/>
      <c r="IM1" s="102"/>
      <c r="IN1" s="102"/>
      <c r="IO1" s="102"/>
      <c r="IP1" s="102"/>
      <c r="IQ1" s="102"/>
      <c r="IR1" s="102"/>
      <c r="IS1" s="102"/>
      <c r="IT1" s="102"/>
      <c r="IU1" s="102"/>
      <c r="IV1" s="102"/>
      <c r="IW1" s="102"/>
    </row>
    <row r="2" customFormat="fals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[3]OpeningCreditors!$H$2</f>
        <v>20</v>
      </c>
      <c r="I2" s="109" t="s">
        <v>48</v>
      </c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  <c r="AL2" s="131"/>
      <c r="AM2" s="131"/>
      <c r="AN2" s="131"/>
      <c r="AO2" s="131"/>
      <c r="AP2" s="131"/>
      <c r="AQ2" s="131"/>
      <c r="AR2" s="131"/>
      <c r="AS2" s="131"/>
      <c r="AT2" s="131"/>
      <c r="AU2" s="131"/>
      <c r="AV2" s="131"/>
      <c r="AW2" s="131"/>
      <c r="AX2" s="131"/>
      <c r="AY2" s="131"/>
      <c r="AZ2" s="131"/>
      <c r="BA2" s="131"/>
      <c r="BB2" s="131"/>
      <c r="BC2" s="131"/>
      <c r="BD2" s="131"/>
      <c r="BE2" s="131"/>
      <c r="BF2" s="131"/>
      <c r="BG2" s="131"/>
      <c r="BH2" s="131"/>
      <c r="BI2" s="131"/>
      <c r="BJ2" s="131"/>
      <c r="BK2" s="131"/>
      <c r="BL2" s="131"/>
      <c r="BM2" s="131"/>
      <c r="BN2" s="131"/>
      <c r="BO2" s="131"/>
      <c r="BP2" s="131"/>
      <c r="BQ2" s="131"/>
      <c r="BR2" s="131"/>
      <c r="BS2" s="131"/>
      <c r="BT2" s="131"/>
      <c r="BU2" s="131"/>
      <c r="BV2" s="131"/>
      <c r="BW2" s="131"/>
      <c r="BX2" s="131"/>
      <c r="BY2" s="131"/>
      <c r="BZ2" s="131"/>
      <c r="CA2" s="131"/>
      <c r="CB2" s="131"/>
      <c r="CC2" s="131"/>
      <c r="CD2" s="131"/>
      <c r="CE2" s="131"/>
      <c r="CF2" s="131"/>
      <c r="CG2" s="131"/>
      <c r="CH2" s="131"/>
      <c r="CI2" s="131"/>
      <c r="CJ2" s="131"/>
      <c r="CK2" s="131"/>
      <c r="CL2" s="131"/>
      <c r="CM2" s="131"/>
      <c r="CN2" s="131"/>
      <c r="CO2" s="131"/>
      <c r="CP2" s="131"/>
      <c r="CQ2" s="131"/>
      <c r="CR2" s="131"/>
      <c r="CS2" s="131"/>
      <c r="CT2" s="131"/>
      <c r="CU2" s="131"/>
      <c r="CV2" s="131"/>
      <c r="CW2" s="131"/>
      <c r="CX2" s="131"/>
      <c r="CY2" s="131"/>
      <c r="CZ2" s="131"/>
      <c r="DA2" s="131"/>
      <c r="DB2" s="131"/>
      <c r="DC2" s="131"/>
      <c r="DD2" s="131"/>
      <c r="DE2" s="131"/>
      <c r="DF2" s="131"/>
      <c r="DG2" s="131"/>
      <c r="DH2" s="131"/>
      <c r="DI2" s="131"/>
      <c r="DJ2" s="131"/>
      <c r="DK2" s="131"/>
      <c r="DL2" s="131"/>
      <c r="DM2" s="131"/>
      <c r="DN2" s="131"/>
      <c r="DO2" s="131"/>
      <c r="DP2" s="131"/>
      <c r="DQ2" s="131"/>
      <c r="DR2" s="131"/>
      <c r="DS2" s="131"/>
      <c r="DT2" s="131"/>
      <c r="DU2" s="131"/>
      <c r="DV2" s="131"/>
      <c r="DW2" s="131"/>
      <c r="DX2" s="131"/>
      <c r="DY2" s="131"/>
      <c r="DZ2" s="131"/>
      <c r="EA2" s="131"/>
      <c r="EB2" s="131"/>
      <c r="EC2" s="131"/>
      <c r="ED2" s="131"/>
      <c r="EE2" s="131"/>
      <c r="EF2" s="131"/>
      <c r="EG2" s="131"/>
      <c r="EH2" s="131"/>
      <c r="EI2" s="131"/>
      <c r="EJ2" s="131"/>
      <c r="EK2" s="131"/>
      <c r="EL2" s="131"/>
      <c r="EM2" s="131"/>
      <c r="EN2" s="131"/>
      <c r="EO2" s="131"/>
      <c r="EP2" s="131"/>
      <c r="EQ2" s="131"/>
      <c r="ER2" s="131"/>
      <c r="ES2" s="131"/>
      <c r="ET2" s="131"/>
      <c r="EU2" s="131"/>
      <c r="EV2" s="131"/>
      <c r="EW2" s="131"/>
      <c r="EX2" s="131"/>
      <c r="EY2" s="131"/>
      <c r="EZ2" s="131"/>
      <c r="FA2" s="131"/>
      <c r="FB2" s="131"/>
      <c r="FC2" s="131"/>
      <c r="FD2" s="131"/>
      <c r="FE2" s="131"/>
      <c r="FF2" s="131"/>
      <c r="FG2" s="131"/>
      <c r="FH2" s="131"/>
      <c r="FI2" s="131"/>
      <c r="FJ2" s="131"/>
      <c r="FK2" s="131"/>
      <c r="FL2" s="131"/>
      <c r="FM2" s="131"/>
      <c r="FN2" s="131"/>
      <c r="FO2" s="131"/>
      <c r="FP2" s="131"/>
      <c r="FQ2" s="131"/>
      <c r="FR2" s="131"/>
      <c r="FS2" s="131"/>
      <c r="FT2" s="131"/>
      <c r="FU2" s="131"/>
      <c r="FV2" s="131"/>
      <c r="FW2" s="131"/>
      <c r="FX2" s="131"/>
      <c r="FY2" s="131"/>
      <c r="FZ2" s="131"/>
      <c r="GA2" s="131"/>
      <c r="GB2" s="131"/>
      <c r="GC2" s="131"/>
      <c r="GD2" s="131"/>
      <c r="GE2" s="131"/>
      <c r="GF2" s="131"/>
      <c r="GG2" s="131"/>
      <c r="GH2" s="131"/>
      <c r="GI2" s="131"/>
      <c r="GJ2" s="131"/>
      <c r="GK2" s="131"/>
      <c r="GL2" s="131"/>
      <c r="GM2" s="131"/>
      <c r="GN2" s="131"/>
      <c r="GO2" s="131"/>
      <c r="GP2" s="131"/>
      <c r="GQ2" s="131"/>
      <c r="GR2" s="131"/>
      <c r="GS2" s="131"/>
      <c r="GT2" s="131"/>
      <c r="GU2" s="131"/>
      <c r="GV2" s="131"/>
      <c r="GW2" s="131"/>
      <c r="GX2" s="131"/>
      <c r="GY2" s="131"/>
      <c r="GZ2" s="131"/>
      <c r="HA2" s="131"/>
      <c r="HB2" s="131"/>
      <c r="HC2" s="131"/>
      <c r="HD2" s="131"/>
      <c r="HE2" s="131"/>
      <c r="HF2" s="131"/>
      <c r="HG2" s="131"/>
      <c r="HH2" s="131"/>
      <c r="HI2" s="131"/>
      <c r="HJ2" s="131"/>
      <c r="HK2" s="131"/>
      <c r="HL2" s="131"/>
      <c r="HM2" s="131"/>
      <c r="HN2" s="131"/>
      <c r="HO2" s="131"/>
      <c r="HP2" s="131"/>
      <c r="HQ2" s="131"/>
      <c r="HR2" s="131"/>
      <c r="HS2" s="131"/>
      <c r="HT2" s="131"/>
      <c r="HU2" s="131"/>
      <c r="HV2" s="131"/>
      <c r="HW2" s="131"/>
      <c r="HX2" s="131"/>
      <c r="HY2" s="131"/>
      <c r="HZ2" s="131"/>
      <c r="IA2" s="131"/>
      <c r="IB2" s="131"/>
      <c r="IC2" s="131"/>
      <c r="ID2" s="131"/>
      <c r="IE2" s="131"/>
      <c r="IF2" s="131"/>
      <c r="IG2" s="131"/>
      <c r="IH2" s="131"/>
      <c r="II2" s="131"/>
      <c r="IJ2" s="131"/>
      <c r="IK2" s="131"/>
      <c r="IL2" s="131"/>
      <c r="IM2" s="131"/>
      <c r="IN2" s="131"/>
      <c r="IO2" s="131"/>
      <c r="IP2" s="131"/>
      <c r="IQ2" s="131"/>
      <c r="IR2" s="131"/>
      <c r="IS2" s="131"/>
      <c r="IT2" s="131"/>
      <c r="IU2" s="131"/>
      <c r="IV2" s="131"/>
      <c r="IW2" s="131"/>
    </row>
    <row r="3" customFormat="fals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  <c r="AJ3" s="132"/>
      <c r="AK3" s="132"/>
      <c r="AL3" s="132"/>
      <c r="AM3" s="132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32"/>
      <c r="BB3" s="132"/>
      <c r="BC3" s="132"/>
      <c r="BD3" s="132"/>
      <c r="BE3" s="132"/>
      <c r="BF3" s="132"/>
      <c r="BG3" s="132"/>
      <c r="BH3" s="132"/>
      <c r="BI3" s="132"/>
      <c r="BJ3" s="132"/>
      <c r="BK3" s="132"/>
      <c r="BL3" s="132"/>
      <c r="BM3" s="132"/>
      <c r="BN3" s="132"/>
      <c r="BO3" s="132"/>
      <c r="BP3" s="132"/>
      <c r="BQ3" s="132"/>
      <c r="BR3" s="132"/>
      <c r="BS3" s="132"/>
      <c r="BT3" s="132"/>
      <c r="BU3" s="132"/>
      <c r="BV3" s="132"/>
      <c r="BW3" s="132"/>
      <c r="BX3" s="132"/>
      <c r="BY3" s="132"/>
      <c r="BZ3" s="132"/>
      <c r="CA3" s="132"/>
      <c r="CB3" s="132"/>
      <c r="CC3" s="132"/>
      <c r="CD3" s="132"/>
      <c r="CE3" s="132"/>
      <c r="CF3" s="132"/>
      <c r="CG3" s="132"/>
      <c r="CH3" s="132"/>
      <c r="CI3" s="132"/>
      <c r="CJ3" s="132"/>
      <c r="CK3" s="132"/>
      <c r="CL3" s="132"/>
      <c r="CM3" s="132"/>
      <c r="CN3" s="132"/>
      <c r="CO3" s="132"/>
      <c r="CP3" s="132"/>
      <c r="CQ3" s="132"/>
      <c r="CR3" s="132"/>
      <c r="CS3" s="132"/>
      <c r="CT3" s="132"/>
      <c r="CU3" s="132"/>
      <c r="CV3" s="132"/>
      <c r="CW3" s="132"/>
      <c r="CX3" s="132"/>
      <c r="CY3" s="132"/>
      <c r="CZ3" s="132"/>
      <c r="DA3" s="132"/>
      <c r="DB3" s="132"/>
      <c r="DC3" s="132"/>
      <c r="DD3" s="132"/>
      <c r="DE3" s="132"/>
      <c r="DF3" s="132"/>
      <c r="DG3" s="132"/>
      <c r="DH3" s="132"/>
      <c r="DI3" s="132"/>
      <c r="DJ3" s="132"/>
      <c r="DK3" s="132"/>
      <c r="DL3" s="132"/>
      <c r="DM3" s="132"/>
      <c r="DN3" s="132"/>
      <c r="DO3" s="132"/>
      <c r="DP3" s="132"/>
      <c r="DQ3" s="132"/>
      <c r="DR3" s="132"/>
      <c r="DS3" s="132"/>
      <c r="DT3" s="132"/>
      <c r="DU3" s="132"/>
      <c r="DV3" s="132"/>
      <c r="DW3" s="132"/>
      <c r="DX3" s="132"/>
      <c r="DY3" s="132"/>
      <c r="DZ3" s="132"/>
      <c r="EA3" s="132"/>
      <c r="EB3" s="132"/>
      <c r="EC3" s="132"/>
      <c r="ED3" s="132"/>
      <c r="EE3" s="132"/>
      <c r="EF3" s="132"/>
      <c r="EG3" s="132"/>
      <c r="EH3" s="132"/>
      <c r="EI3" s="132"/>
      <c r="EJ3" s="132"/>
      <c r="EK3" s="132"/>
      <c r="EL3" s="132"/>
      <c r="EM3" s="132"/>
      <c r="EN3" s="132"/>
      <c r="EO3" s="132"/>
      <c r="EP3" s="132"/>
      <c r="EQ3" s="132"/>
      <c r="ER3" s="132"/>
      <c r="ES3" s="132"/>
      <c r="ET3" s="132"/>
      <c r="EU3" s="132"/>
      <c r="EV3" s="132"/>
      <c r="EW3" s="132"/>
      <c r="EX3" s="132"/>
      <c r="EY3" s="132"/>
      <c r="EZ3" s="132"/>
      <c r="FA3" s="132"/>
      <c r="FB3" s="132"/>
      <c r="FC3" s="132"/>
      <c r="FD3" s="132"/>
      <c r="FE3" s="132"/>
      <c r="FF3" s="132"/>
      <c r="FG3" s="132"/>
      <c r="FH3" s="132"/>
      <c r="FI3" s="132"/>
      <c r="FJ3" s="132"/>
      <c r="FK3" s="132"/>
      <c r="FL3" s="132"/>
      <c r="FM3" s="132"/>
      <c r="FN3" s="132"/>
      <c r="FO3" s="132"/>
      <c r="FP3" s="132"/>
      <c r="FQ3" s="132"/>
      <c r="FR3" s="132"/>
      <c r="FS3" s="132"/>
      <c r="FT3" s="132"/>
      <c r="FU3" s="132"/>
      <c r="FV3" s="132"/>
      <c r="FW3" s="132"/>
      <c r="FX3" s="132"/>
      <c r="FY3" s="132"/>
      <c r="FZ3" s="132"/>
      <c r="GA3" s="132"/>
      <c r="GB3" s="132"/>
      <c r="GC3" s="132"/>
      <c r="GD3" s="132"/>
      <c r="GE3" s="132"/>
      <c r="GF3" s="132"/>
      <c r="GG3" s="132"/>
      <c r="GH3" s="132"/>
      <c r="GI3" s="132"/>
      <c r="GJ3" s="132"/>
      <c r="GK3" s="132"/>
      <c r="GL3" s="132"/>
      <c r="GM3" s="132"/>
      <c r="GN3" s="132"/>
      <c r="GO3" s="132"/>
      <c r="GP3" s="132"/>
      <c r="GQ3" s="132"/>
      <c r="GR3" s="132"/>
      <c r="GS3" s="132"/>
      <c r="GT3" s="132"/>
      <c r="GU3" s="132"/>
      <c r="GV3" s="132"/>
      <c r="GW3" s="132"/>
      <c r="GX3" s="132"/>
      <c r="GY3" s="132"/>
      <c r="GZ3" s="132"/>
      <c r="HA3" s="132"/>
      <c r="HB3" s="132"/>
      <c r="HC3" s="132"/>
      <c r="HD3" s="132"/>
      <c r="HE3" s="132"/>
      <c r="HF3" s="132"/>
      <c r="HG3" s="132"/>
      <c r="HH3" s="132"/>
      <c r="HI3" s="132"/>
      <c r="HJ3" s="132"/>
      <c r="HK3" s="132"/>
      <c r="HL3" s="132"/>
      <c r="HM3" s="132"/>
      <c r="HN3" s="132"/>
      <c r="HO3" s="132"/>
      <c r="HP3" s="132"/>
      <c r="HQ3" s="132"/>
      <c r="HR3" s="132"/>
      <c r="HS3" s="132"/>
      <c r="HT3" s="132"/>
      <c r="HU3" s="132"/>
      <c r="HV3" s="132"/>
      <c r="HW3" s="132"/>
      <c r="HX3" s="132"/>
      <c r="HY3" s="132"/>
      <c r="HZ3" s="132"/>
      <c r="IA3" s="132"/>
      <c r="IB3" s="132"/>
      <c r="IC3" s="132"/>
      <c r="ID3" s="132"/>
      <c r="IE3" s="132"/>
      <c r="IF3" s="132"/>
      <c r="IG3" s="132"/>
      <c r="IH3" s="132"/>
      <c r="II3" s="132"/>
      <c r="IJ3" s="132"/>
      <c r="IK3" s="132"/>
      <c r="IL3" s="132"/>
      <c r="IM3" s="132"/>
      <c r="IN3" s="132"/>
      <c r="IO3" s="132"/>
      <c r="IP3" s="132"/>
      <c r="IQ3" s="132"/>
      <c r="IR3" s="132"/>
      <c r="IS3" s="132"/>
      <c r="IT3" s="132"/>
      <c r="IU3" s="132"/>
      <c r="IV3" s="132"/>
      <c r="IW3" s="132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46073</v>
      </c>
      <c r="B5" s="124" t="s">
        <v>50</v>
      </c>
      <c r="C5" s="122" t="s">
        <v>51</v>
      </c>
      <c r="E5" s="124"/>
      <c r="F5" s="120"/>
      <c r="G5" s="133" t="n">
        <v>720</v>
      </c>
      <c r="H5" s="125" t="n">
        <f aca="false">IF(G5&lt;&gt;0,G5*H$2/(100+H$2)," ")</f>
        <v>120</v>
      </c>
      <c r="I5" s="125" t="n">
        <f aca="false">IF((G5&lt;&gt;0),G5-H5," ")</f>
        <v>600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customFormat="fals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1200</v>
      </c>
      <c r="H1" s="106" t="n">
        <f aca="false">SUM(H5:H200)</f>
        <v>200</v>
      </c>
      <c r="I1" s="106" t="n">
        <f aca="false">SUM(I5:I200)</f>
        <v>1000</v>
      </c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2"/>
      <c r="BK1" s="102"/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2"/>
      <c r="CO1" s="102"/>
      <c r="CP1" s="102"/>
      <c r="CQ1" s="102"/>
      <c r="CR1" s="102"/>
      <c r="CS1" s="102"/>
      <c r="CT1" s="102"/>
      <c r="CU1" s="102"/>
      <c r="CV1" s="102"/>
      <c r="CW1" s="102"/>
      <c r="CX1" s="102"/>
      <c r="CY1" s="102"/>
      <c r="CZ1" s="102"/>
      <c r="DA1" s="102"/>
      <c r="DB1" s="102"/>
      <c r="DC1" s="102"/>
      <c r="DD1" s="102"/>
      <c r="DE1" s="102"/>
      <c r="DF1" s="102"/>
      <c r="DG1" s="102"/>
      <c r="DH1" s="102"/>
      <c r="DI1" s="102"/>
      <c r="DJ1" s="102"/>
      <c r="DK1" s="102"/>
      <c r="DL1" s="102"/>
      <c r="DM1" s="102"/>
      <c r="DN1" s="102"/>
      <c r="DO1" s="102"/>
      <c r="DP1" s="102"/>
      <c r="DQ1" s="102"/>
      <c r="DR1" s="102"/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2"/>
      <c r="EW1" s="102"/>
      <c r="EX1" s="102"/>
      <c r="EY1" s="102"/>
      <c r="EZ1" s="102"/>
      <c r="FA1" s="102"/>
      <c r="FB1" s="102"/>
      <c r="FC1" s="102"/>
      <c r="FD1" s="102"/>
      <c r="FE1" s="102"/>
      <c r="FF1" s="102"/>
      <c r="FG1" s="102"/>
      <c r="FH1" s="102"/>
      <c r="FI1" s="102"/>
      <c r="FJ1" s="102"/>
      <c r="FK1" s="102"/>
      <c r="FL1" s="102"/>
      <c r="FM1" s="102"/>
      <c r="FN1" s="102"/>
      <c r="FO1" s="102"/>
      <c r="FP1" s="102"/>
      <c r="FQ1" s="102"/>
      <c r="FR1" s="102"/>
      <c r="FS1" s="102"/>
      <c r="FT1" s="102"/>
      <c r="FU1" s="102"/>
      <c r="FV1" s="102"/>
      <c r="FW1" s="102"/>
      <c r="FX1" s="102"/>
      <c r="FY1" s="102"/>
      <c r="FZ1" s="102"/>
      <c r="GA1" s="102"/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2"/>
      <c r="HF1" s="102"/>
      <c r="HG1" s="102"/>
      <c r="HH1" s="102"/>
      <c r="HI1" s="102"/>
      <c r="HJ1" s="102"/>
      <c r="HK1" s="102"/>
      <c r="HL1" s="102"/>
      <c r="HM1" s="102"/>
      <c r="HN1" s="102"/>
      <c r="HO1" s="102"/>
      <c r="HP1" s="102"/>
      <c r="HQ1" s="102"/>
      <c r="HR1" s="102"/>
      <c r="HS1" s="102"/>
      <c r="HT1" s="102"/>
      <c r="HU1" s="102"/>
      <c r="HV1" s="102"/>
      <c r="HW1" s="102"/>
      <c r="HX1" s="102"/>
      <c r="HY1" s="102"/>
      <c r="HZ1" s="102"/>
      <c r="IA1" s="102"/>
      <c r="IB1" s="102"/>
      <c r="IC1" s="102"/>
      <c r="ID1" s="102"/>
      <c r="IE1" s="102"/>
      <c r="IF1" s="102"/>
      <c r="IG1" s="102"/>
      <c r="IH1" s="102"/>
      <c r="II1" s="102"/>
      <c r="IJ1" s="102"/>
      <c r="IK1" s="102"/>
      <c r="IL1" s="102"/>
      <c r="IM1" s="102"/>
      <c r="IN1" s="102"/>
      <c r="IO1" s="102"/>
      <c r="IP1" s="102"/>
      <c r="IQ1" s="102"/>
      <c r="IR1" s="102"/>
      <c r="IS1" s="102"/>
      <c r="IT1" s="102"/>
      <c r="IU1" s="102"/>
      <c r="IV1" s="102"/>
      <c r="IW1" s="102"/>
    </row>
    <row r="2" customFormat="fals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[3]OpeningCreditors!$H$2</f>
        <v>20</v>
      </c>
      <c r="I2" s="109" t="s">
        <v>48</v>
      </c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  <c r="AL2" s="131"/>
      <c r="AM2" s="131"/>
      <c r="AN2" s="131"/>
      <c r="AO2" s="131"/>
      <c r="AP2" s="131"/>
      <c r="AQ2" s="131"/>
      <c r="AR2" s="131"/>
      <c r="AS2" s="131"/>
      <c r="AT2" s="131"/>
      <c r="AU2" s="131"/>
      <c r="AV2" s="131"/>
      <c r="AW2" s="131"/>
      <c r="AX2" s="131"/>
      <c r="AY2" s="131"/>
      <c r="AZ2" s="131"/>
      <c r="BA2" s="131"/>
      <c r="BB2" s="131"/>
      <c r="BC2" s="131"/>
      <c r="BD2" s="131"/>
      <c r="BE2" s="131"/>
      <c r="BF2" s="131"/>
      <c r="BG2" s="131"/>
      <c r="BH2" s="131"/>
      <c r="BI2" s="131"/>
      <c r="BJ2" s="131"/>
      <c r="BK2" s="131"/>
      <c r="BL2" s="131"/>
      <c r="BM2" s="131"/>
      <c r="BN2" s="131"/>
      <c r="BO2" s="131"/>
      <c r="BP2" s="131"/>
      <c r="BQ2" s="131"/>
      <c r="BR2" s="131"/>
      <c r="BS2" s="131"/>
      <c r="BT2" s="131"/>
      <c r="BU2" s="131"/>
      <c r="BV2" s="131"/>
      <c r="BW2" s="131"/>
      <c r="BX2" s="131"/>
      <c r="BY2" s="131"/>
      <c r="BZ2" s="131"/>
      <c r="CA2" s="131"/>
      <c r="CB2" s="131"/>
      <c r="CC2" s="131"/>
      <c r="CD2" s="131"/>
      <c r="CE2" s="131"/>
      <c r="CF2" s="131"/>
      <c r="CG2" s="131"/>
      <c r="CH2" s="131"/>
      <c r="CI2" s="131"/>
      <c r="CJ2" s="131"/>
      <c r="CK2" s="131"/>
      <c r="CL2" s="131"/>
      <c r="CM2" s="131"/>
      <c r="CN2" s="131"/>
      <c r="CO2" s="131"/>
      <c r="CP2" s="131"/>
      <c r="CQ2" s="131"/>
      <c r="CR2" s="131"/>
      <c r="CS2" s="131"/>
      <c r="CT2" s="131"/>
      <c r="CU2" s="131"/>
      <c r="CV2" s="131"/>
      <c r="CW2" s="131"/>
      <c r="CX2" s="131"/>
      <c r="CY2" s="131"/>
      <c r="CZ2" s="131"/>
      <c r="DA2" s="131"/>
      <c r="DB2" s="131"/>
      <c r="DC2" s="131"/>
      <c r="DD2" s="131"/>
      <c r="DE2" s="131"/>
      <c r="DF2" s="131"/>
      <c r="DG2" s="131"/>
      <c r="DH2" s="131"/>
      <c r="DI2" s="131"/>
      <c r="DJ2" s="131"/>
      <c r="DK2" s="131"/>
      <c r="DL2" s="131"/>
      <c r="DM2" s="131"/>
      <c r="DN2" s="131"/>
      <c r="DO2" s="131"/>
      <c r="DP2" s="131"/>
      <c r="DQ2" s="131"/>
      <c r="DR2" s="131"/>
      <c r="DS2" s="131"/>
      <c r="DT2" s="131"/>
      <c r="DU2" s="131"/>
      <c r="DV2" s="131"/>
      <c r="DW2" s="131"/>
      <c r="DX2" s="131"/>
      <c r="DY2" s="131"/>
      <c r="DZ2" s="131"/>
      <c r="EA2" s="131"/>
      <c r="EB2" s="131"/>
      <c r="EC2" s="131"/>
      <c r="ED2" s="131"/>
      <c r="EE2" s="131"/>
      <c r="EF2" s="131"/>
      <c r="EG2" s="131"/>
      <c r="EH2" s="131"/>
      <c r="EI2" s="131"/>
      <c r="EJ2" s="131"/>
      <c r="EK2" s="131"/>
      <c r="EL2" s="131"/>
      <c r="EM2" s="131"/>
      <c r="EN2" s="131"/>
      <c r="EO2" s="131"/>
      <c r="EP2" s="131"/>
      <c r="EQ2" s="131"/>
      <c r="ER2" s="131"/>
      <c r="ES2" s="131"/>
      <c r="ET2" s="131"/>
      <c r="EU2" s="131"/>
      <c r="EV2" s="131"/>
      <c r="EW2" s="131"/>
      <c r="EX2" s="131"/>
      <c r="EY2" s="131"/>
      <c r="EZ2" s="131"/>
      <c r="FA2" s="131"/>
      <c r="FB2" s="131"/>
      <c r="FC2" s="131"/>
      <c r="FD2" s="131"/>
      <c r="FE2" s="131"/>
      <c r="FF2" s="131"/>
      <c r="FG2" s="131"/>
      <c r="FH2" s="131"/>
      <c r="FI2" s="131"/>
      <c r="FJ2" s="131"/>
      <c r="FK2" s="131"/>
      <c r="FL2" s="131"/>
      <c r="FM2" s="131"/>
      <c r="FN2" s="131"/>
      <c r="FO2" s="131"/>
      <c r="FP2" s="131"/>
      <c r="FQ2" s="131"/>
      <c r="FR2" s="131"/>
      <c r="FS2" s="131"/>
      <c r="FT2" s="131"/>
      <c r="FU2" s="131"/>
      <c r="FV2" s="131"/>
      <c r="FW2" s="131"/>
      <c r="FX2" s="131"/>
      <c r="FY2" s="131"/>
      <c r="FZ2" s="131"/>
      <c r="GA2" s="131"/>
      <c r="GB2" s="131"/>
      <c r="GC2" s="131"/>
      <c r="GD2" s="131"/>
      <c r="GE2" s="131"/>
      <c r="GF2" s="131"/>
      <c r="GG2" s="131"/>
      <c r="GH2" s="131"/>
      <c r="GI2" s="131"/>
      <c r="GJ2" s="131"/>
      <c r="GK2" s="131"/>
      <c r="GL2" s="131"/>
      <c r="GM2" s="131"/>
      <c r="GN2" s="131"/>
      <c r="GO2" s="131"/>
      <c r="GP2" s="131"/>
      <c r="GQ2" s="131"/>
      <c r="GR2" s="131"/>
      <c r="GS2" s="131"/>
      <c r="GT2" s="131"/>
      <c r="GU2" s="131"/>
      <c r="GV2" s="131"/>
      <c r="GW2" s="131"/>
      <c r="GX2" s="131"/>
      <c r="GY2" s="131"/>
      <c r="GZ2" s="131"/>
      <c r="HA2" s="131"/>
      <c r="HB2" s="131"/>
      <c r="HC2" s="131"/>
      <c r="HD2" s="131"/>
      <c r="HE2" s="131"/>
      <c r="HF2" s="131"/>
      <c r="HG2" s="131"/>
      <c r="HH2" s="131"/>
      <c r="HI2" s="131"/>
      <c r="HJ2" s="131"/>
      <c r="HK2" s="131"/>
      <c r="HL2" s="131"/>
      <c r="HM2" s="131"/>
      <c r="HN2" s="131"/>
      <c r="HO2" s="131"/>
      <c r="HP2" s="131"/>
      <c r="HQ2" s="131"/>
      <c r="HR2" s="131"/>
      <c r="HS2" s="131"/>
      <c r="HT2" s="131"/>
      <c r="HU2" s="131"/>
      <c r="HV2" s="131"/>
      <c r="HW2" s="131"/>
      <c r="HX2" s="131"/>
      <c r="HY2" s="131"/>
      <c r="HZ2" s="131"/>
      <c r="IA2" s="131"/>
      <c r="IB2" s="131"/>
      <c r="IC2" s="131"/>
      <c r="ID2" s="131"/>
      <c r="IE2" s="131"/>
      <c r="IF2" s="131"/>
      <c r="IG2" s="131"/>
      <c r="IH2" s="131"/>
      <c r="II2" s="131"/>
      <c r="IJ2" s="131"/>
      <c r="IK2" s="131"/>
      <c r="IL2" s="131"/>
      <c r="IM2" s="131"/>
      <c r="IN2" s="131"/>
      <c r="IO2" s="131"/>
      <c r="IP2" s="131"/>
      <c r="IQ2" s="131"/>
      <c r="IR2" s="131"/>
      <c r="IS2" s="131"/>
      <c r="IT2" s="131"/>
      <c r="IU2" s="131"/>
      <c r="IV2" s="131"/>
      <c r="IW2" s="131"/>
    </row>
    <row r="3" customFormat="fals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  <c r="AJ3" s="132"/>
      <c r="AK3" s="132"/>
      <c r="AL3" s="132"/>
      <c r="AM3" s="132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32"/>
      <c r="BB3" s="132"/>
      <c r="BC3" s="132"/>
      <c r="BD3" s="132"/>
      <c r="BE3" s="132"/>
      <c r="BF3" s="132"/>
      <c r="BG3" s="132"/>
      <c r="BH3" s="132"/>
      <c r="BI3" s="132"/>
      <c r="BJ3" s="132"/>
      <c r="BK3" s="132"/>
      <c r="BL3" s="132"/>
      <c r="BM3" s="132"/>
      <c r="BN3" s="132"/>
      <c r="BO3" s="132"/>
      <c r="BP3" s="132"/>
      <c r="BQ3" s="132"/>
      <c r="BR3" s="132"/>
      <c r="BS3" s="132"/>
      <c r="BT3" s="132"/>
      <c r="BU3" s="132"/>
      <c r="BV3" s="132"/>
      <c r="BW3" s="132"/>
      <c r="BX3" s="132"/>
      <c r="BY3" s="132"/>
      <c r="BZ3" s="132"/>
      <c r="CA3" s="132"/>
      <c r="CB3" s="132"/>
      <c r="CC3" s="132"/>
      <c r="CD3" s="132"/>
      <c r="CE3" s="132"/>
      <c r="CF3" s="132"/>
      <c r="CG3" s="132"/>
      <c r="CH3" s="132"/>
      <c r="CI3" s="132"/>
      <c r="CJ3" s="132"/>
      <c r="CK3" s="132"/>
      <c r="CL3" s="132"/>
      <c r="CM3" s="132"/>
      <c r="CN3" s="132"/>
      <c r="CO3" s="132"/>
      <c r="CP3" s="132"/>
      <c r="CQ3" s="132"/>
      <c r="CR3" s="132"/>
      <c r="CS3" s="132"/>
      <c r="CT3" s="132"/>
      <c r="CU3" s="132"/>
      <c r="CV3" s="132"/>
      <c r="CW3" s="132"/>
      <c r="CX3" s="132"/>
      <c r="CY3" s="132"/>
      <c r="CZ3" s="132"/>
      <c r="DA3" s="132"/>
      <c r="DB3" s="132"/>
      <c r="DC3" s="132"/>
      <c r="DD3" s="132"/>
      <c r="DE3" s="132"/>
      <c r="DF3" s="132"/>
      <c r="DG3" s="132"/>
      <c r="DH3" s="132"/>
      <c r="DI3" s="132"/>
      <c r="DJ3" s="132"/>
      <c r="DK3" s="132"/>
      <c r="DL3" s="132"/>
      <c r="DM3" s="132"/>
      <c r="DN3" s="132"/>
      <c r="DO3" s="132"/>
      <c r="DP3" s="132"/>
      <c r="DQ3" s="132"/>
      <c r="DR3" s="132"/>
      <c r="DS3" s="132"/>
      <c r="DT3" s="132"/>
      <c r="DU3" s="132"/>
      <c r="DV3" s="132"/>
      <c r="DW3" s="132"/>
      <c r="DX3" s="132"/>
      <c r="DY3" s="132"/>
      <c r="DZ3" s="132"/>
      <c r="EA3" s="132"/>
      <c r="EB3" s="132"/>
      <c r="EC3" s="132"/>
      <c r="ED3" s="132"/>
      <c r="EE3" s="132"/>
      <c r="EF3" s="132"/>
      <c r="EG3" s="132"/>
      <c r="EH3" s="132"/>
      <c r="EI3" s="132"/>
      <c r="EJ3" s="132"/>
      <c r="EK3" s="132"/>
      <c r="EL3" s="132"/>
      <c r="EM3" s="132"/>
      <c r="EN3" s="132"/>
      <c r="EO3" s="132"/>
      <c r="EP3" s="132"/>
      <c r="EQ3" s="132"/>
      <c r="ER3" s="132"/>
      <c r="ES3" s="132"/>
      <c r="ET3" s="132"/>
      <c r="EU3" s="132"/>
      <c r="EV3" s="132"/>
      <c r="EW3" s="132"/>
      <c r="EX3" s="132"/>
      <c r="EY3" s="132"/>
      <c r="EZ3" s="132"/>
      <c r="FA3" s="132"/>
      <c r="FB3" s="132"/>
      <c r="FC3" s="132"/>
      <c r="FD3" s="132"/>
      <c r="FE3" s="132"/>
      <c r="FF3" s="132"/>
      <c r="FG3" s="132"/>
      <c r="FH3" s="132"/>
      <c r="FI3" s="132"/>
      <c r="FJ3" s="132"/>
      <c r="FK3" s="132"/>
      <c r="FL3" s="132"/>
      <c r="FM3" s="132"/>
      <c r="FN3" s="132"/>
      <c r="FO3" s="132"/>
      <c r="FP3" s="132"/>
      <c r="FQ3" s="132"/>
      <c r="FR3" s="132"/>
      <c r="FS3" s="132"/>
      <c r="FT3" s="132"/>
      <c r="FU3" s="132"/>
      <c r="FV3" s="132"/>
      <c r="FW3" s="132"/>
      <c r="FX3" s="132"/>
      <c r="FY3" s="132"/>
      <c r="FZ3" s="132"/>
      <c r="GA3" s="132"/>
      <c r="GB3" s="132"/>
      <c r="GC3" s="132"/>
      <c r="GD3" s="132"/>
      <c r="GE3" s="132"/>
      <c r="GF3" s="132"/>
      <c r="GG3" s="132"/>
      <c r="GH3" s="132"/>
      <c r="GI3" s="132"/>
      <c r="GJ3" s="132"/>
      <c r="GK3" s="132"/>
      <c r="GL3" s="132"/>
      <c r="GM3" s="132"/>
      <c r="GN3" s="132"/>
      <c r="GO3" s="132"/>
      <c r="GP3" s="132"/>
      <c r="GQ3" s="132"/>
      <c r="GR3" s="132"/>
      <c r="GS3" s="132"/>
      <c r="GT3" s="132"/>
      <c r="GU3" s="132"/>
      <c r="GV3" s="132"/>
      <c r="GW3" s="132"/>
      <c r="GX3" s="132"/>
      <c r="GY3" s="132"/>
      <c r="GZ3" s="132"/>
      <c r="HA3" s="132"/>
      <c r="HB3" s="132"/>
      <c r="HC3" s="132"/>
      <c r="HD3" s="132"/>
      <c r="HE3" s="132"/>
      <c r="HF3" s="132"/>
      <c r="HG3" s="132"/>
      <c r="HH3" s="132"/>
      <c r="HI3" s="132"/>
      <c r="HJ3" s="132"/>
      <c r="HK3" s="132"/>
      <c r="HL3" s="132"/>
      <c r="HM3" s="132"/>
      <c r="HN3" s="132"/>
      <c r="HO3" s="132"/>
      <c r="HP3" s="132"/>
      <c r="HQ3" s="132"/>
      <c r="HR3" s="132"/>
      <c r="HS3" s="132"/>
      <c r="HT3" s="132"/>
      <c r="HU3" s="132"/>
      <c r="HV3" s="132"/>
      <c r="HW3" s="132"/>
      <c r="HX3" s="132"/>
      <c r="HY3" s="132"/>
      <c r="HZ3" s="132"/>
      <c r="IA3" s="132"/>
      <c r="IB3" s="132"/>
      <c r="IC3" s="132"/>
      <c r="ID3" s="132"/>
      <c r="IE3" s="132"/>
      <c r="IF3" s="132"/>
      <c r="IG3" s="132"/>
      <c r="IH3" s="132"/>
      <c r="II3" s="132"/>
      <c r="IJ3" s="132"/>
      <c r="IK3" s="132"/>
      <c r="IL3" s="132"/>
      <c r="IM3" s="132"/>
      <c r="IN3" s="132"/>
      <c r="IO3" s="132"/>
      <c r="IP3" s="132"/>
      <c r="IQ3" s="132"/>
      <c r="IR3" s="132"/>
      <c r="IS3" s="132"/>
      <c r="IT3" s="132"/>
      <c r="IU3" s="132"/>
      <c r="IV3" s="132"/>
      <c r="IW3" s="132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46105</v>
      </c>
      <c r="B5" s="124" t="s">
        <v>52</v>
      </c>
      <c r="C5" s="122" t="s">
        <v>53</v>
      </c>
      <c r="E5" s="124"/>
      <c r="F5" s="120"/>
      <c r="G5" s="133" t="n">
        <v>1200</v>
      </c>
      <c r="H5" s="125" t="n">
        <f aca="false">IF(G5&lt;&gt;0,G5*H$2/(100+H$2)," ")</f>
        <v>200</v>
      </c>
      <c r="I5" s="125" t="n">
        <f aca="false">IF((G5&lt;&gt;0),G5-H5," ")</f>
        <v>1000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customFormat="fals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240</v>
      </c>
      <c r="H1" s="106" t="n">
        <f aca="false">SUM(H5:H200)</f>
        <v>40</v>
      </c>
      <c r="I1" s="106" t="n">
        <f aca="false">SUM(I5:I200)</f>
        <v>200</v>
      </c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2"/>
      <c r="BK1" s="102"/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2"/>
      <c r="CO1" s="102"/>
      <c r="CP1" s="102"/>
      <c r="CQ1" s="102"/>
      <c r="CR1" s="102"/>
      <c r="CS1" s="102"/>
      <c r="CT1" s="102"/>
      <c r="CU1" s="102"/>
      <c r="CV1" s="102"/>
      <c r="CW1" s="102"/>
      <c r="CX1" s="102"/>
      <c r="CY1" s="102"/>
      <c r="CZ1" s="102"/>
      <c r="DA1" s="102"/>
      <c r="DB1" s="102"/>
      <c r="DC1" s="102"/>
      <c r="DD1" s="102"/>
      <c r="DE1" s="102"/>
      <c r="DF1" s="102"/>
      <c r="DG1" s="102"/>
      <c r="DH1" s="102"/>
      <c r="DI1" s="102"/>
      <c r="DJ1" s="102"/>
      <c r="DK1" s="102"/>
      <c r="DL1" s="102"/>
      <c r="DM1" s="102"/>
      <c r="DN1" s="102"/>
      <c r="DO1" s="102"/>
      <c r="DP1" s="102"/>
      <c r="DQ1" s="102"/>
      <c r="DR1" s="102"/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2"/>
      <c r="EW1" s="102"/>
      <c r="EX1" s="102"/>
      <c r="EY1" s="102"/>
      <c r="EZ1" s="102"/>
      <c r="FA1" s="102"/>
      <c r="FB1" s="102"/>
      <c r="FC1" s="102"/>
      <c r="FD1" s="102"/>
      <c r="FE1" s="102"/>
      <c r="FF1" s="102"/>
      <c r="FG1" s="102"/>
      <c r="FH1" s="102"/>
      <c r="FI1" s="102"/>
      <c r="FJ1" s="102"/>
      <c r="FK1" s="102"/>
      <c r="FL1" s="102"/>
      <c r="FM1" s="102"/>
      <c r="FN1" s="102"/>
      <c r="FO1" s="102"/>
      <c r="FP1" s="102"/>
      <c r="FQ1" s="102"/>
      <c r="FR1" s="102"/>
      <c r="FS1" s="102"/>
      <c r="FT1" s="102"/>
      <c r="FU1" s="102"/>
      <c r="FV1" s="102"/>
      <c r="FW1" s="102"/>
      <c r="FX1" s="102"/>
      <c r="FY1" s="102"/>
      <c r="FZ1" s="102"/>
      <c r="GA1" s="102"/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2"/>
      <c r="HF1" s="102"/>
      <c r="HG1" s="102"/>
      <c r="HH1" s="102"/>
      <c r="HI1" s="102"/>
      <c r="HJ1" s="102"/>
      <c r="HK1" s="102"/>
      <c r="HL1" s="102"/>
      <c r="HM1" s="102"/>
      <c r="HN1" s="102"/>
      <c r="HO1" s="102"/>
      <c r="HP1" s="102"/>
      <c r="HQ1" s="102"/>
      <c r="HR1" s="102"/>
      <c r="HS1" s="102"/>
      <c r="HT1" s="102"/>
      <c r="HU1" s="102"/>
      <c r="HV1" s="102"/>
      <c r="HW1" s="102"/>
      <c r="HX1" s="102"/>
      <c r="HY1" s="102"/>
      <c r="HZ1" s="102"/>
      <c r="IA1" s="102"/>
      <c r="IB1" s="102"/>
      <c r="IC1" s="102"/>
      <c r="ID1" s="102"/>
      <c r="IE1" s="102"/>
      <c r="IF1" s="102"/>
      <c r="IG1" s="102"/>
      <c r="IH1" s="102"/>
      <c r="II1" s="102"/>
      <c r="IJ1" s="102"/>
      <c r="IK1" s="102"/>
      <c r="IL1" s="102"/>
      <c r="IM1" s="102"/>
      <c r="IN1" s="102"/>
      <c r="IO1" s="102"/>
      <c r="IP1" s="102"/>
      <c r="IQ1" s="102"/>
      <c r="IR1" s="102"/>
      <c r="IS1" s="102"/>
      <c r="IT1" s="102"/>
      <c r="IU1" s="102"/>
      <c r="IV1" s="102"/>
      <c r="IW1" s="102"/>
    </row>
    <row r="2" customFormat="fals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[3]ClosingCreditors!$H$2</f>
        <v>20</v>
      </c>
      <c r="I2" s="109" t="s">
        <v>48</v>
      </c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  <c r="AL2" s="131"/>
      <c r="AM2" s="131"/>
      <c r="AN2" s="131"/>
      <c r="AO2" s="131"/>
      <c r="AP2" s="131"/>
      <c r="AQ2" s="131"/>
      <c r="AR2" s="131"/>
      <c r="AS2" s="131"/>
      <c r="AT2" s="131"/>
      <c r="AU2" s="131"/>
      <c r="AV2" s="131"/>
      <c r="AW2" s="131"/>
      <c r="AX2" s="131"/>
      <c r="AY2" s="131"/>
      <c r="AZ2" s="131"/>
      <c r="BA2" s="131"/>
      <c r="BB2" s="131"/>
      <c r="BC2" s="131"/>
      <c r="BD2" s="131"/>
      <c r="BE2" s="131"/>
      <c r="BF2" s="131"/>
      <c r="BG2" s="131"/>
      <c r="BH2" s="131"/>
      <c r="BI2" s="131"/>
      <c r="BJ2" s="131"/>
      <c r="BK2" s="131"/>
      <c r="BL2" s="131"/>
      <c r="BM2" s="131"/>
      <c r="BN2" s="131"/>
      <c r="BO2" s="131"/>
      <c r="BP2" s="131"/>
      <c r="BQ2" s="131"/>
      <c r="BR2" s="131"/>
      <c r="BS2" s="131"/>
      <c r="BT2" s="131"/>
      <c r="BU2" s="131"/>
      <c r="BV2" s="131"/>
      <c r="BW2" s="131"/>
      <c r="BX2" s="131"/>
      <c r="BY2" s="131"/>
      <c r="BZ2" s="131"/>
      <c r="CA2" s="131"/>
      <c r="CB2" s="131"/>
      <c r="CC2" s="131"/>
      <c r="CD2" s="131"/>
      <c r="CE2" s="131"/>
      <c r="CF2" s="131"/>
      <c r="CG2" s="131"/>
      <c r="CH2" s="131"/>
      <c r="CI2" s="131"/>
      <c r="CJ2" s="131"/>
      <c r="CK2" s="131"/>
      <c r="CL2" s="131"/>
      <c r="CM2" s="131"/>
      <c r="CN2" s="131"/>
      <c r="CO2" s="131"/>
      <c r="CP2" s="131"/>
      <c r="CQ2" s="131"/>
      <c r="CR2" s="131"/>
      <c r="CS2" s="131"/>
      <c r="CT2" s="131"/>
      <c r="CU2" s="131"/>
      <c r="CV2" s="131"/>
      <c r="CW2" s="131"/>
      <c r="CX2" s="131"/>
      <c r="CY2" s="131"/>
      <c r="CZ2" s="131"/>
      <c r="DA2" s="131"/>
      <c r="DB2" s="131"/>
      <c r="DC2" s="131"/>
      <c r="DD2" s="131"/>
      <c r="DE2" s="131"/>
      <c r="DF2" s="131"/>
      <c r="DG2" s="131"/>
      <c r="DH2" s="131"/>
      <c r="DI2" s="131"/>
      <c r="DJ2" s="131"/>
      <c r="DK2" s="131"/>
      <c r="DL2" s="131"/>
      <c r="DM2" s="131"/>
      <c r="DN2" s="131"/>
      <c r="DO2" s="131"/>
      <c r="DP2" s="131"/>
      <c r="DQ2" s="131"/>
      <c r="DR2" s="131"/>
      <c r="DS2" s="131"/>
      <c r="DT2" s="131"/>
      <c r="DU2" s="131"/>
      <c r="DV2" s="131"/>
      <c r="DW2" s="131"/>
      <c r="DX2" s="131"/>
      <c r="DY2" s="131"/>
      <c r="DZ2" s="131"/>
      <c r="EA2" s="131"/>
      <c r="EB2" s="131"/>
      <c r="EC2" s="131"/>
      <c r="ED2" s="131"/>
      <c r="EE2" s="131"/>
      <c r="EF2" s="131"/>
      <c r="EG2" s="131"/>
      <c r="EH2" s="131"/>
      <c r="EI2" s="131"/>
      <c r="EJ2" s="131"/>
      <c r="EK2" s="131"/>
      <c r="EL2" s="131"/>
      <c r="EM2" s="131"/>
      <c r="EN2" s="131"/>
      <c r="EO2" s="131"/>
      <c r="EP2" s="131"/>
      <c r="EQ2" s="131"/>
      <c r="ER2" s="131"/>
      <c r="ES2" s="131"/>
      <c r="ET2" s="131"/>
      <c r="EU2" s="131"/>
      <c r="EV2" s="131"/>
      <c r="EW2" s="131"/>
      <c r="EX2" s="131"/>
      <c r="EY2" s="131"/>
      <c r="EZ2" s="131"/>
      <c r="FA2" s="131"/>
      <c r="FB2" s="131"/>
      <c r="FC2" s="131"/>
      <c r="FD2" s="131"/>
      <c r="FE2" s="131"/>
      <c r="FF2" s="131"/>
      <c r="FG2" s="131"/>
      <c r="FH2" s="131"/>
      <c r="FI2" s="131"/>
      <c r="FJ2" s="131"/>
      <c r="FK2" s="131"/>
      <c r="FL2" s="131"/>
      <c r="FM2" s="131"/>
      <c r="FN2" s="131"/>
      <c r="FO2" s="131"/>
      <c r="FP2" s="131"/>
      <c r="FQ2" s="131"/>
      <c r="FR2" s="131"/>
      <c r="FS2" s="131"/>
      <c r="FT2" s="131"/>
      <c r="FU2" s="131"/>
      <c r="FV2" s="131"/>
      <c r="FW2" s="131"/>
      <c r="FX2" s="131"/>
      <c r="FY2" s="131"/>
      <c r="FZ2" s="131"/>
      <c r="GA2" s="131"/>
      <c r="GB2" s="131"/>
      <c r="GC2" s="131"/>
      <c r="GD2" s="131"/>
      <c r="GE2" s="131"/>
      <c r="GF2" s="131"/>
      <c r="GG2" s="131"/>
      <c r="GH2" s="131"/>
      <c r="GI2" s="131"/>
      <c r="GJ2" s="131"/>
      <c r="GK2" s="131"/>
      <c r="GL2" s="131"/>
      <c r="GM2" s="131"/>
      <c r="GN2" s="131"/>
      <c r="GO2" s="131"/>
      <c r="GP2" s="131"/>
      <c r="GQ2" s="131"/>
      <c r="GR2" s="131"/>
      <c r="GS2" s="131"/>
      <c r="GT2" s="131"/>
      <c r="GU2" s="131"/>
      <c r="GV2" s="131"/>
      <c r="GW2" s="131"/>
      <c r="GX2" s="131"/>
      <c r="GY2" s="131"/>
      <c r="GZ2" s="131"/>
      <c r="HA2" s="131"/>
      <c r="HB2" s="131"/>
      <c r="HC2" s="131"/>
      <c r="HD2" s="131"/>
      <c r="HE2" s="131"/>
      <c r="HF2" s="131"/>
      <c r="HG2" s="131"/>
      <c r="HH2" s="131"/>
      <c r="HI2" s="131"/>
      <c r="HJ2" s="131"/>
      <c r="HK2" s="131"/>
      <c r="HL2" s="131"/>
      <c r="HM2" s="131"/>
      <c r="HN2" s="131"/>
      <c r="HO2" s="131"/>
      <c r="HP2" s="131"/>
      <c r="HQ2" s="131"/>
      <c r="HR2" s="131"/>
      <c r="HS2" s="131"/>
      <c r="HT2" s="131"/>
      <c r="HU2" s="131"/>
      <c r="HV2" s="131"/>
      <c r="HW2" s="131"/>
      <c r="HX2" s="131"/>
      <c r="HY2" s="131"/>
      <c r="HZ2" s="131"/>
      <c r="IA2" s="131"/>
      <c r="IB2" s="131"/>
      <c r="IC2" s="131"/>
      <c r="ID2" s="131"/>
      <c r="IE2" s="131"/>
      <c r="IF2" s="131"/>
      <c r="IG2" s="131"/>
      <c r="IH2" s="131"/>
      <c r="II2" s="131"/>
      <c r="IJ2" s="131"/>
      <c r="IK2" s="131"/>
      <c r="IL2" s="131"/>
      <c r="IM2" s="131"/>
      <c r="IN2" s="131"/>
      <c r="IO2" s="131"/>
      <c r="IP2" s="131"/>
      <c r="IQ2" s="131"/>
      <c r="IR2" s="131"/>
      <c r="IS2" s="131"/>
      <c r="IT2" s="131"/>
      <c r="IU2" s="131"/>
      <c r="IV2" s="131"/>
      <c r="IW2" s="131"/>
    </row>
    <row r="3" customFormat="fals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  <c r="AJ3" s="132"/>
      <c r="AK3" s="132"/>
      <c r="AL3" s="132"/>
      <c r="AM3" s="132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32"/>
      <c r="BB3" s="132"/>
      <c r="BC3" s="132"/>
      <c r="BD3" s="132"/>
      <c r="BE3" s="132"/>
      <c r="BF3" s="132"/>
      <c r="BG3" s="132"/>
      <c r="BH3" s="132"/>
      <c r="BI3" s="132"/>
      <c r="BJ3" s="132"/>
      <c r="BK3" s="132"/>
      <c r="BL3" s="132"/>
      <c r="BM3" s="132"/>
      <c r="BN3" s="132"/>
      <c r="BO3" s="132"/>
      <c r="BP3" s="132"/>
      <c r="BQ3" s="132"/>
      <c r="BR3" s="132"/>
      <c r="BS3" s="132"/>
      <c r="BT3" s="132"/>
      <c r="BU3" s="132"/>
      <c r="BV3" s="132"/>
      <c r="BW3" s="132"/>
      <c r="BX3" s="132"/>
      <c r="BY3" s="132"/>
      <c r="BZ3" s="132"/>
      <c r="CA3" s="132"/>
      <c r="CB3" s="132"/>
      <c r="CC3" s="132"/>
      <c r="CD3" s="132"/>
      <c r="CE3" s="132"/>
      <c r="CF3" s="132"/>
      <c r="CG3" s="132"/>
      <c r="CH3" s="132"/>
      <c r="CI3" s="132"/>
      <c r="CJ3" s="132"/>
      <c r="CK3" s="132"/>
      <c r="CL3" s="132"/>
      <c r="CM3" s="132"/>
      <c r="CN3" s="132"/>
      <c r="CO3" s="132"/>
      <c r="CP3" s="132"/>
      <c r="CQ3" s="132"/>
      <c r="CR3" s="132"/>
      <c r="CS3" s="132"/>
      <c r="CT3" s="132"/>
      <c r="CU3" s="132"/>
      <c r="CV3" s="132"/>
      <c r="CW3" s="132"/>
      <c r="CX3" s="132"/>
      <c r="CY3" s="132"/>
      <c r="CZ3" s="132"/>
      <c r="DA3" s="132"/>
      <c r="DB3" s="132"/>
      <c r="DC3" s="132"/>
      <c r="DD3" s="132"/>
      <c r="DE3" s="132"/>
      <c r="DF3" s="132"/>
      <c r="DG3" s="132"/>
      <c r="DH3" s="132"/>
      <c r="DI3" s="132"/>
      <c r="DJ3" s="132"/>
      <c r="DK3" s="132"/>
      <c r="DL3" s="132"/>
      <c r="DM3" s="132"/>
      <c r="DN3" s="132"/>
      <c r="DO3" s="132"/>
      <c r="DP3" s="132"/>
      <c r="DQ3" s="132"/>
      <c r="DR3" s="132"/>
      <c r="DS3" s="132"/>
      <c r="DT3" s="132"/>
      <c r="DU3" s="132"/>
      <c r="DV3" s="132"/>
      <c r="DW3" s="132"/>
      <c r="DX3" s="132"/>
      <c r="DY3" s="132"/>
      <c r="DZ3" s="132"/>
      <c r="EA3" s="132"/>
      <c r="EB3" s="132"/>
      <c r="EC3" s="132"/>
      <c r="ED3" s="132"/>
      <c r="EE3" s="132"/>
      <c r="EF3" s="132"/>
      <c r="EG3" s="132"/>
      <c r="EH3" s="132"/>
      <c r="EI3" s="132"/>
      <c r="EJ3" s="132"/>
      <c r="EK3" s="132"/>
      <c r="EL3" s="132"/>
      <c r="EM3" s="132"/>
      <c r="EN3" s="132"/>
      <c r="EO3" s="132"/>
      <c r="EP3" s="132"/>
      <c r="EQ3" s="132"/>
      <c r="ER3" s="132"/>
      <c r="ES3" s="132"/>
      <c r="ET3" s="132"/>
      <c r="EU3" s="132"/>
      <c r="EV3" s="132"/>
      <c r="EW3" s="132"/>
      <c r="EX3" s="132"/>
      <c r="EY3" s="132"/>
      <c r="EZ3" s="132"/>
      <c r="FA3" s="132"/>
      <c r="FB3" s="132"/>
      <c r="FC3" s="132"/>
      <c r="FD3" s="132"/>
      <c r="FE3" s="132"/>
      <c r="FF3" s="132"/>
      <c r="FG3" s="132"/>
      <c r="FH3" s="132"/>
      <c r="FI3" s="132"/>
      <c r="FJ3" s="132"/>
      <c r="FK3" s="132"/>
      <c r="FL3" s="132"/>
      <c r="FM3" s="132"/>
      <c r="FN3" s="132"/>
      <c r="FO3" s="132"/>
      <c r="FP3" s="132"/>
      <c r="FQ3" s="132"/>
      <c r="FR3" s="132"/>
      <c r="FS3" s="132"/>
      <c r="FT3" s="132"/>
      <c r="FU3" s="132"/>
      <c r="FV3" s="132"/>
      <c r="FW3" s="132"/>
      <c r="FX3" s="132"/>
      <c r="FY3" s="132"/>
      <c r="FZ3" s="132"/>
      <c r="GA3" s="132"/>
      <c r="GB3" s="132"/>
      <c r="GC3" s="132"/>
      <c r="GD3" s="132"/>
      <c r="GE3" s="132"/>
      <c r="GF3" s="132"/>
      <c r="GG3" s="132"/>
      <c r="GH3" s="132"/>
      <c r="GI3" s="132"/>
      <c r="GJ3" s="132"/>
      <c r="GK3" s="132"/>
      <c r="GL3" s="132"/>
      <c r="GM3" s="132"/>
      <c r="GN3" s="132"/>
      <c r="GO3" s="132"/>
      <c r="GP3" s="132"/>
      <c r="GQ3" s="132"/>
      <c r="GR3" s="132"/>
      <c r="GS3" s="132"/>
      <c r="GT3" s="132"/>
      <c r="GU3" s="132"/>
      <c r="GV3" s="132"/>
      <c r="GW3" s="132"/>
      <c r="GX3" s="132"/>
      <c r="GY3" s="132"/>
      <c r="GZ3" s="132"/>
      <c r="HA3" s="132"/>
      <c r="HB3" s="132"/>
      <c r="HC3" s="132"/>
      <c r="HD3" s="132"/>
      <c r="HE3" s="132"/>
      <c r="HF3" s="132"/>
      <c r="HG3" s="132"/>
      <c r="HH3" s="132"/>
      <c r="HI3" s="132"/>
      <c r="HJ3" s="132"/>
      <c r="HK3" s="132"/>
      <c r="HL3" s="132"/>
      <c r="HM3" s="132"/>
      <c r="HN3" s="132"/>
      <c r="HO3" s="132"/>
      <c r="HP3" s="132"/>
      <c r="HQ3" s="132"/>
      <c r="HR3" s="132"/>
      <c r="HS3" s="132"/>
      <c r="HT3" s="132"/>
      <c r="HU3" s="132"/>
      <c r="HV3" s="132"/>
      <c r="HW3" s="132"/>
      <c r="HX3" s="132"/>
      <c r="HY3" s="132"/>
      <c r="HZ3" s="132"/>
      <c r="IA3" s="132"/>
      <c r="IB3" s="132"/>
      <c r="IC3" s="132"/>
      <c r="ID3" s="132"/>
      <c r="IE3" s="132"/>
      <c r="IF3" s="132"/>
      <c r="IG3" s="132"/>
      <c r="IH3" s="132"/>
      <c r="II3" s="132"/>
      <c r="IJ3" s="132"/>
      <c r="IK3" s="132"/>
      <c r="IL3" s="132"/>
      <c r="IM3" s="132"/>
      <c r="IN3" s="132"/>
      <c r="IO3" s="132"/>
      <c r="IP3" s="132"/>
      <c r="IQ3" s="132"/>
      <c r="IR3" s="132"/>
      <c r="IS3" s="132"/>
      <c r="IT3" s="132"/>
      <c r="IU3" s="132"/>
      <c r="IV3" s="132"/>
      <c r="IW3" s="132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46492</v>
      </c>
      <c r="B5" s="124" t="s">
        <v>54</v>
      </c>
      <c r="C5" s="122" t="s">
        <v>55</v>
      </c>
      <c r="E5" s="124"/>
      <c r="F5" s="120"/>
      <c r="G5" s="133" t="n">
        <v>240</v>
      </c>
      <c r="H5" s="125" t="n">
        <f aca="false">IF(G5&lt;&gt;0,G5*H$2/(100+H$2)," ")</f>
        <v>40</v>
      </c>
      <c r="I5" s="125" t="n">
        <f aca="false">IF((G5&lt;&gt;0),G5-H5," ")</f>
        <v>200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customFormat="fals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360</v>
      </c>
      <c r="H1" s="106" t="n">
        <f aca="false">SUM(H5:H200)</f>
        <v>60</v>
      </c>
      <c r="I1" s="106" t="n">
        <f aca="false">SUM(I5:I200)</f>
        <v>300</v>
      </c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2"/>
      <c r="BK1" s="102"/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2"/>
      <c r="CO1" s="102"/>
      <c r="CP1" s="102"/>
      <c r="CQ1" s="102"/>
      <c r="CR1" s="102"/>
      <c r="CS1" s="102"/>
      <c r="CT1" s="102"/>
      <c r="CU1" s="102"/>
      <c r="CV1" s="102"/>
      <c r="CW1" s="102"/>
      <c r="CX1" s="102"/>
      <c r="CY1" s="102"/>
      <c r="CZ1" s="102"/>
      <c r="DA1" s="102"/>
      <c r="DB1" s="102"/>
      <c r="DC1" s="102"/>
      <c r="DD1" s="102"/>
      <c r="DE1" s="102"/>
      <c r="DF1" s="102"/>
      <c r="DG1" s="102"/>
      <c r="DH1" s="102"/>
      <c r="DI1" s="102"/>
      <c r="DJ1" s="102"/>
      <c r="DK1" s="102"/>
      <c r="DL1" s="102"/>
      <c r="DM1" s="102"/>
      <c r="DN1" s="102"/>
      <c r="DO1" s="102"/>
      <c r="DP1" s="102"/>
      <c r="DQ1" s="102"/>
      <c r="DR1" s="102"/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2"/>
      <c r="EW1" s="102"/>
      <c r="EX1" s="102"/>
      <c r="EY1" s="102"/>
      <c r="EZ1" s="102"/>
      <c r="FA1" s="102"/>
      <c r="FB1" s="102"/>
      <c r="FC1" s="102"/>
      <c r="FD1" s="102"/>
      <c r="FE1" s="102"/>
      <c r="FF1" s="102"/>
      <c r="FG1" s="102"/>
      <c r="FH1" s="102"/>
      <c r="FI1" s="102"/>
      <c r="FJ1" s="102"/>
      <c r="FK1" s="102"/>
      <c r="FL1" s="102"/>
      <c r="FM1" s="102"/>
      <c r="FN1" s="102"/>
      <c r="FO1" s="102"/>
      <c r="FP1" s="102"/>
      <c r="FQ1" s="102"/>
      <c r="FR1" s="102"/>
      <c r="FS1" s="102"/>
      <c r="FT1" s="102"/>
      <c r="FU1" s="102"/>
      <c r="FV1" s="102"/>
      <c r="FW1" s="102"/>
      <c r="FX1" s="102"/>
      <c r="FY1" s="102"/>
      <c r="FZ1" s="102"/>
      <c r="GA1" s="102"/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2"/>
      <c r="HF1" s="102"/>
      <c r="HG1" s="102"/>
      <c r="HH1" s="102"/>
      <c r="HI1" s="102"/>
      <c r="HJ1" s="102"/>
      <c r="HK1" s="102"/>
      <c r="HL1" s="102"/>
      <c r="HM1" s="102"/>
      <c r="HN1" s="102"/>
      <c r="HO1" s="102"/>
      <c r="HP1" s="102"/>
      <c r="HQ1" s="102"/>
      <c r="HR1" s="102"/>
      <c r="HS1" s="102"/>
      <c r="HT1" s="102"/>
      <c r="HU1" s="102"/>
      <c r="HV1" s="102"/>
      <c r="HW1" s="102"/>
      <c r="HX1" s="102"/>
      <c r="HY1" s="102"/>
      <c r="HZ1" s="102"/>
      <c r="IA1" s="102"/>
      <c r="IB1" s="102"/>
      <c r="IC1" s="102"/>
      <c r="ID1" s="102"/>
      <c r="IE1" s="102"/>
      <c r="IF1" s="102"/>
      <c r="IG1" s="102"/>
      <c r="IH1" s="102"/>
      <c r="II1" s="102"/>
      <c r="IJ1" s="102"/>
      <c r="IK1" s="102"/>
      <c r="IL1" s="102"/>
      <c r="IM1" s="102"/>
      <c r="IN1" s="102"/>
      <c r="IO1" s="102"/>
      <c r="IP1" s="102"/>
      <c r="IQ1" s="102"/>
      <c r="IR1" s="102"/>
      <c r="IS1" s="102"/>
      <c r="IT1" s="102"/>
      <c r="IU1" s="102"/>
      <c r="IV1" s="102"/>
      <c r="IW1" s="102"/>
    </row>
    <row r="2" customFormat="fals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[3]ClosingCreditors!$H$2</f>
        <v>20</v>
      </c>
      <c r="I2" s="109" t="s">
        <v>48</v>
      </c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  <c r="AL2" s="131"/>
      <c r="AM2" s="131"/>
      <c r="AN2" s="131"/>
      <c r="AO2" s="131"/>
      <c r="AP2" s="131"/>
      <c r="AQ2" s="131"/>
      <c r="AR2" s="131"/>
      <c r="AS2" s="131"/>
      <c r="AT2" s="131"/>
      <c r="AU2" s="131"/>
      <c r="AV2" s="131"/>
      <c r="AW2" s="131"/>
      <c r="AX2" s="131"/>
      <c r="AY2" s="131"/>
      <c r="AZ2" s="131"/>
      <c r="BA2" s="131"/>
      <c r="BB2" s="131"/>
      <c r="BC2" s="131"/>
      <c r="BD2" s="131"/>
      <c r="BE2" s="131"/>
      <c r="BF2" s="131"/>
      <c r="BG2" s="131"/>
      <c r="BH2" s="131"/>
      <c r="BI2" s="131"/>
      <c r="BJ2" s="131"/>
      <c r="BK2" s="131"/>
      <c r="BL2" s="131"/>
      <c r="BM2" s="131"/>
      <c r="BN2" s="131"/>
      <c r="BO2" s="131"/>
      <c r="BP2" s="131"/>
      <c r="BQ2" s="131"/>
      <c r="BR2" s="131"/>
      <c r="BS2" s="131"/>
      <c r="BT2" s="131"/>
      <c r="BU2" s="131"/>
      <c r="BV2" s="131"/>
      <c r="BW2" s="131"/>
      <c r="BX2" s="131"/>
      <c r="BY2" s="131"/>
      <c r="BZ2" s="131"/>
      <c r="CA2" s="131"/>
      <c r="CB2" s="131"/>
      <c r="CC2" s="131"/>
      <c r="CD2" s="131"/>
      <c r="CE2" s="131"/>
      <c r="CF2" s="131"/>
      <c r="CG2" s="131"/>
      <c r="CH2" s="131"/>
      <c r="CI2" s="131"/>
      <c r="CJ2" s="131"/>
      <c r="CK2" s="131"/>
      <c r="CL2" s="131"/>
      <c r="CM2" s="131"/>
      <c r="CN2" s="131"/>
      <c r="CO2" s="131"/>
      <c r="CP2" s="131"/>
      <c r="CQ2" s="131"/>
      <c r="CR2" s="131"/>
      <c r="CS2" s="131"/>
      <c r="CT2" s="131"/>
      <c r="CU2" s="131"/>
      <c r="CV2" s="131"/>
      <c r="CW2" s="131"/>
      <c r="CX2" s="131"/>
      <c r="CY2" s="131"/>
      <c r="CZ2" s="131"/>
      <c r="DA2" s="131"/>
      <c r="DB2" s="131"/>
      <c r="DC2" s="131"/>
      <c r="DD2" s="131"/>
      <c r="DE2" s="131"/>
      <c r="DF2" s="131"/>
      <c r="DG2" s="131"/>
      <c r="DH2" s="131"/>
      <c r="DI2" s="131"/>
      <c r="DJ2" s="131"/>
      <c r="DK2" s="131"/>
      <c r="DL2" s="131"/>
      <c r="DM2" s="131"/>
      <c r="DN2" s="131"/>
      <c r="DO2" s="131"/>
      <c r="DP2" s="131"/>
      <c r="DQ2" s="131"/>
      <c r="DR2" s="131"/>
      <c r="DS2" s="131"/>
      <c r="DT2" s="131"/>
      <c r="DU2" s="131"/>
      <c r="DV2" s="131"/>
      <c r="DW2" s="131"/>
      <c r="DX2" s="131"/>
      <c r="DY2" s="131"/>
      <c r="DZ2" s="131"/>
      <c r="EA2" s="131"/>
      <c r="EB2" s="131"/>
      <c r="EC2" s="131"/>
      <c r="ED2" s="131"/>
      <c r="EE2" s="131"/>
      <c r="EF2" s="131"/>
      <c r="EG2" s="131"/>
      <c r="EH2" s="131"/>
      <c r="EI2" s="131"/>
      <c r="EJ2" s="131"/>
      <c r="EK2" s="131"/>
      <c r="EL2" s="131"/>
      <c r="EM2" s="131"/>
      <c r="EN2" s="131"/>
      <c r="EO2" s="131"/>
      <c r="EP2" s="131"/>
      <c r="EQ2" s="131"/>
      <c r="ER2" s="131"/>
      <c r="ES2" s="131"/>
      <c r="ET2" s="131"/>
      <c r="EU2" s="131"/>
      <c r="EV2" s="131"/>
      <c r="EW2" s="131"/>
      <c r="EX2" s="131"/>
      <c r="EY2" s="131"/>
      <c r="EZ2" s="131"/>
      <c r="FA2" s="131"/>
      <c r="FB2" s="131"/>
      <c r="FC2" s="131"/>
      <c r="FD2" s="131"/>
      <c r="FE2" s="131"/>
      <c r="FF2" s="131"/>
      <c r="FG2" s="131"/>
      <c r="FH2" s="131"/>
      <c r="FI2" s="131"/>
      <c r="FJ2" s="131"/>
      <c r="FK2" s="131"/>
      <c r="FL2" s="131"/>
      <c r="FM2" s="131"/>
      <c r="FN2" s="131"/>
      <c r="FO2" s="131"/>
      <c r="FP2" s="131"/>
      <c r="FQ2" s="131"/>
      <c r="FR2" s="131"/>
      <c r="FS2" s="131"/>
      <c r="FT2" s="131"/>
      <c r="FU2" s="131"/>
      <c r="FV2" s="131"/>
      <c r="FW2" s="131"/>
      <c r="FX2" s="131"/>
      <c r="FY2" s="131"/>
      <c r="FZ2" s="131"/>
      <c r="GA2" s="131"/>
      <c r="GB2" s="131"/>
      <c r="GC2" s="131"/>
      <c r="GD2" s="131"/>
      <c r="GE2" s="131"/>
      <c r="GF2" s="131"/>
      <c r="GG2" s="131"/>
      <c r="GH2" s="131"/>
      <c r="GI2" s="131"/>
      <c r="GJ2" s="131"/>
      <c r="GK2" s="131"/>
      <c r="GL2" s="131"/>
      <c r="GM2" s="131"/>
      <c r="GN2" s="131"/>
      <c r="GO2" s="131"/>
      <c r="GP2" s="131"/>
      <c r="GQ2" s="131"/>
      <c r="GR2" s="131"/>
      <c r="GS2" s="131"/>
      <c r="GT2" s="131"/>
      <c r="GU2" s="131"/>
      <c r="GV2" s="131"/>
      <c r="GW2" s="131"/>
      <c r="GX2" s="131"/>
      <c r="GY2" s="131"/>
      <c r="GZ2" s="131"/>
      <c r="HA2" s="131"/>
      <c r="HB2" s="131"/>
      <c r="HC2" s="131"/>
      <c r="HD2" s="131"/>
      <c r="HE2" s="131"/>
      <c r="HF2" s="131"/>
      <c r="HG2" s="131"/>
      <c r="HH2" s="131"/>
      <c r="HI2" s="131"/>
      <c r="HJ2" s="131"/>
      <c r="HK2" s="131"/>
      <c r="HL2" s="131"/>
      <c r="HM2" s="131"/>
      <c r="HN2" s="131"/>
      <c r="HO2" s="131"/>
      <c r="HP2" s="131"/>
      <c r="HQ2" s="131"/>
      <c r="HR2" s="131"/>
      <c r="HS2" s="131"/>
      <c r="HT2" s="131"/>
      <c r="HU2" s="131"/>
      <c r="HV2" s="131"/>
      <c r="HW2" s="131"/>
      <c r="HX2" s="131"/>
      <c r="HY2" s="131"/>
      <c r="HZ2" s="131"/>
      <c r="IA2" s="131"/>
      <c r="IB2" s="131"/>
      <c r="IC2" s="131"/>
      <c r="ID2" s="131"/>
      <c r="IE2" s="131"/>
      <c r="IF2" s="131"/>
      <c r="IG2" s="131"/>
      <c r="IH2" s="131"/>
      <c r="II2" s="131"/>
      <c r="IJ2" s="131"/>
      <c r="IK2" s="131"/>
      <c r="IL2" s="131"/>
      <c r="IM2" s="131"/>
      <c r="IN2" s="131"/>
      <c r="IO2" s="131"/>
      <c r="IP2" s="131"/>
      <c r="IQ2" s="131"/>
      <c r="IR2" s="131"/>
      <c r="IS2" s="131"/>
      <c r="IT2" s="131"/>
      <c r="IU2" s="131"/>
      <c r="IV2" s="131"/>
      <c r="IW2" s="131"/>
    </row>
    <row r="3" customFormat="fals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  <c r="AJ3" s="132"/>
      <c r="AK3" s="132"/>
      <c r="AL3" s="132"/>
      <c r="AM3" s="132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32"/>
      <c r="BB3" s="132"/>
      <c r="BC3" s="132"/>
      <c r="BD3" s="132"/>
      <c r="BE3" s="132"/>
      <c r="BF3" s="132"/>
      <c r="BG3" s="132"/>
      <c r="BH3" s="132"/>
      <c r="BI3" s="132"/>
      <c r="BJ3" s="132"/>
      <c r="BK3" s="132"/>
      <c r="BL3" s="132"/>
      <c r="BM3" s="132"/>
      <c r="BN3" s="132"/>
      <c r="BO3" s="132"/>
      <c r="BP3" s="132"/>
      <c r="BQ3" s="132"/>
      <c r="BR3" s="132"/>
      <c r="BS3" s="132"/>
      <c r="BT3" s="132"/>
      <c r="BU3" s="132"/>
      <c r="BV3" s="132"/>
      <c r="BW3" s="132"/>
      <c r="BX3" s="132"/>
      <c r="BY3" s="132"/>
      <c r="BZ3" s="132"/>
      <c r="CA3" s="132"/>
      <c r="CB3" s="132"/>
      <c r="CC3" s="132"/>
      <c r="CD3" s="132"/>
      <c r="CE3" s="132"/>
      <c r="CF3" s="132"/>
      <c r="CG3" s="132"/>
      <c r="CH3" s="132"/>
      <c r="CI3" s="132"/>
      <c r="CJ3" s="132"/>
      <c r="CK3" s="132"/>
      <c r="CL3" s="132"/>
      <c r="CM3" s="132"/>
      <c r="CN3" s="132"/>
      <c r="CO3" s="132"/>
      <c r="CP3" s="132"/>
      <c r="CQ3" s="132"/>
      <c r="CR3" s="132"/>
      <c r="CS3" s="132"/>
      <c r="CT3" s="132"/>
      <c r="CU3" s="132"/>
      <c r="CV3" s="132"/>
      <c r="CW3" s="132"/>
      <c r="CX3" s="132"/>
      <c r="CY3" s="132"/>
      <c r="CZ3" s="132"/>
      <c r="DA3" s="132"/>
      <c r="DB3" s="132"/>
      <c r="DC3" s="132"/>
      <c r="DD3" s="132"/>
      <c r="DE3" s="132"/>
      <c r="DF3" s="132"/>
      <c r="DG3" s="132"/>
      <c r="DH3" s="132"/>
      <c r="DI3" s="132"/>
      <c r="DJ3" s="132"/>
      <c r="DK3" s="132"/>
      <c r="DL3" s="132"/>
      <c r="DM3" s="132"/>
      <c r="DN3" s="132"/>
      <c r="DO3" s="132"/>
      <c r="DP3" s="132"/>
      <c r="DQ3" s="132"/>
      <c r="DR3" s="132"/>
      <c r="DS3" s="132"/>
      <c r="DT3" s="132"/>
      <c r="DU3" s="132"/>
      <c r="DV3" s="132"/>
      <c r="DW3" s="132"/>
      <c r="DX3" s="132"/>
      <c r="DY3" s="132"/>
      <c r="DZ3" s="132"/>
      <c r="EA3" s="132"/>
      <c r="EB3" s="132"/>
      <c r="EC3" s="132"/>
      <c r="ED3" s="132"/>
      <c r="EE3" s="132"/>
      <c r="EF3" s="132"/>
      <c r="EG3" s="132"/>
      <c r="EH3" s="132"/>
      <c r="EI3" s="132"/>
      <c r="EJ3" s="132"/>
      <c r="EK3" s="132"/>
      <c r="EL3" s="132"/>
      <c r="EM3" s="132"/>
      <c r="EN3" s="132"/>
      <c r="EO3" s="132"/>
      <c r="EP3" s="132"/>
      <c r="EQ3" s="132"/>
      <c r="ER3" s="132"/>
      <c r="ES3" s="132"/>
      <c r="ET3" s="132"/>
      <c r="EU3" s="132"/>
      <c r="EV3" s="132"/>
      <c r="EW3" s="132"/>
      <c r="EX3" s="132"/>
      <c r="EY3" s="132"/>
      <c r="EZ3" s="132"/>
      <c r="FA3" s="132"/>
      <c r="FB3" s="132"/>
      <c r="FC3" s="132"/>
      <c r="FD3" s="132"/>
      <c r="FE3" s="132"/>
      <c r="FF3" s="132"/>
      <c r="FG3" s="132"/>
      <c r="FH3" s="132"/>
      <c r="FI3" s="132"/>
      <c r="FJ3" s="132"/>
      <c r="FK3" s="132"/>
      <c r="FL3" s="132"/>
      <c r="FM3" s="132"/>
      <c r="FN3" s="132"/>
      <c r="FO3" s="132"/>
      <c r="FP3" s="132"/>
      <c r="FQ3" s="132"/>
      <c r="FR3" s="132"/>
      <c r="FS3" s="132"/>
      <c r="FT3" s="132"/>
      <c r="FU3" s="132"/>
      <c r="FV3" s="132"/>
      <c r="FW3" s="132"/>
      <c r="FX3" s="132"/>
      <c r="FY3" s="132"/>
      <c r="FZ3" s="132"/>
      <c r="GA3" s="132"/>
      <c r="GB3" s="132"/>
      <c r="GC3" s="132"/>
      <c r="GD3" s="132"/>
      <c r="GE3" s="132"/>
      <c r="GF3" s="132"/>
      <c r="GG3" s="132"/>
      <c r="GH3" s="132"/>
      <c r="GI3" s="132"/>
      <c r="GJ3" s="132"/>
      <c r="GK3" s="132"/>
      <c r="GL3" s="132"/>
      <c r="GM3" s="132"/>
      <c r="GN3" s="132"/>
      <c r="GO3" s="132"/>
      <c r="GP3" s="132"/>
      <c r="GQ3" s="132"/>
      <c r="GR3" s="132"/>
      <c r="GS3" s="132"/>
      <c r="GT3" s="132"/>
      <c r="GU3" s="132"/>
      <c r="GV3" s="132"/>
      <c r="GW3" s="132"/>
      <c r="GX3" s="132"/>
      <c r="GY3" s="132"/>
      <c r="GZ3" s="132"/>
      <c r="HA3" s="132"/>
      <c r="HB3" s="132"/>
      <c r="HC3" s="132"/>
      <c r="HD3" s="132"/>
      <c r="HE3" s="132"/>
      <c r="HF3" s="132"/>
      <c r="HG3" s="132"/>
      <c r="HH3" s="132"/>
      <c r="HI3" s="132"/>
      <c r="HJ3" s="132"/>
      <c r="HK3" s="132"/>
      <c r="HL3" s="132"/>
      <c r="HM3" s="132"/>
      <c r="HN3" s="132"/>
      <c r="HO3" s="132"/>
      <c r="HP3" s="132"/>
      <c r="HQ3" s="132"/>
      <c r="HR3" s="132"/>
      <c r="HS3" s="132"/>
      <c r="HT3" s="132"/>
      <c r="HU3" s="132"/>
      <c r="HV3" s="132"/>
      <c r="HW3" s="132"/>
      <c r="HX3" s="132"/>
      <c r="HY3" s="132"/>
      <c r="HZ3" s="132"/>
      <c r="IA3" s="132"/>
      <c r="IB3" s="132"/>
      <c r="IC3" s="132"/>
      <c r="ID3" s="132"/>
      <c r="IE3" s="132"/>
      <c r="IF3" s="132"/>
      <c r="IG3" s="132"/>
      <c r="IH3" s="132"/>
      <c r="II3" s="132"/>
      <c r="IJ3" s="132"/>
      <c r="IK3" s="132"/>
      <c r="IL3" s="132"/>
      <c r="IM3" s="132"/>
      <c r="IN3" s="132"/>
      <c r="IO3" s="132"/>
      <c r="IP3" s="132"/>
      <c r="IQ3" s="132"/>
      <c r="IR3" s="132"/>
      <c r="IS3" s="132"/>
      <c r="IT3" s="132"/>
      <c r="IU3" s="132"/>
      <c r="IV3" s="132"/>
      <c r="IW3" s="132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46526</v>
      </c>
      <c r="B5" s="124" t="s">
        <v>56</v>
      </c>
      <c r="C5" s="122" t="s">
        <v>57</v>
      </c>
      <c r="E5" s="124"/>
      <c r="F5" s="120"/>
      <c r="G5" s="133" t="n">
        <v>360</v>
      </c>
      <c r="H5" s="125" t="n">
        <f aca="false">IF(G5&lt;&gt;0,G5*H$2/(100+H$2)," ")</f>
        <v>60</v>
      </c>
      <c r="I5" s="125" t="n">
        <f aca="false">IF((G5&lt;&gt;0),G5-H5," ")</f>
        <v>300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customFormat="fals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480</v>
      </c>
      <c r="H1" s="106" t="n">
        <f aca="false">SUM(H5:H200)</f>
        <v>80</v>
      </c>
      <c r="I1" s="106" t="n">
        <f aca="false">SUM(I5:I200)</f>
        <v>400</v>
      </c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2"/>
      <c r="BK1" s="102"/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2"/>
      <c r="CO1" s="102"/>
      <c r="CP1" s="102"/>
      <c r="CQ1" s="102"/>
      <c r="CR1" s="102"/>
      <c r="CS1" s="102"/>
      <c r="CT1" s="102"/>
      <c r="CU1" s="102"/>
      <c r="CV1" s="102"/>
      <c r="CW1" s="102"/>
      <c r="CX1" s="102"/>
      <c r="CY1" s="102"/>
      <c r="CZ1" s="102"/>
      <c r="DA1" s="102"/>
      <c r="DB1" s="102"/>
      <c r="DC1" s="102"/>
      <c r="DD1" s="102"/>
      <c r="DE1" s="102"/>
      <c r="DF1" s="102"/>
      <c r="DG1" s="102"/>
      <c r="DH1" s="102"/>
      <c r="DI1" s="102"/>
      <c r="DJ1" s="102"/>
      <c r="DK1" s="102"/>
      <c r="DL1" s="102"/>
      <c r="DM1" s="102"/>
      <c r="DN1" s="102"/>
      <c r="DO1" s="102"/>
      <c r="DP1" s="102"/>
      <c r="DQ1" s="102"/>
      <c r="DR1" s="102"/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2"/>
      <c r="EW1" s="102"/>
      <c r="EX1" s="102"/>
      <c r="EY1" s="102"/>
      <c r="EZ1" s="102"/>
      <c r="FA1" s="102"/>
      <c r="FB1" s="102"/>
      <c r="FC1" s="102"/>
      <c r="FD1" s="102"/>
      <c r="FE1" s="102"/>
      <c r="FF1" s="102"/>
      <c r="FG1" s="102"/>
      <c r="FH1" s="102"/>
      <c r="FI1" s="102"/>
      <c r="FJ1" s="102"/>
      <c r="FK1" s="102"/>
      <c r="FL1" s="102"/>
      <c r="FM1" s="102"/>
      <c r="FN1" s="102"/>
      <c r="FO1" s="102"/>
      <c r="FP1" s="102"/>
      <c r="FQ1" s="102"/>
      <c r="FR1" s="102"/>
      <c r="FS1" s="102"/>
      <c r="FT1" s="102"/>
      <c r="FU1" s="102"/>
      <c r="FV1" s="102"/>
      <c r="FW1" s="102"/>
      <c r="FX1" s="102"/>
      <c r="FY1" s="102"/>
      <c r="FZ1" s="102"/>
      <c r="GA1" s="102"/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2"/>
      <c r="HF1" s="102"/>
      <c r="HG1" s="102"/>
      <c r="HH1" s="102"/>
      <c r="HI1" s="102"/>
      <c r="HJ1" s="102"/>
      <c r="HK1" s="102"/>
      <c r="HL1" s="102"/>
      <c r="HM1" s="102"/>
      <c r="HN1" s="102"/>
      <c r="HO1" s="102"/>
      <c r="HP1" s="102"/>
      <c r="HQ1" s="102"/>
      <c r="HR1" s="102"/>
      <c r="HS1" s="102"/>
      <c r="HT1" s="102"/>
      <c r="HU1" s="102"/>
      <c r="HV1" s="102"/>
      <c r="HW1" s="102"/>
      <c r="HX1" s="102"/>
      <c r="HY1" s="102"/>
      <c r="HZ1" s="102"/>
      <c r="IA1" s="102"/>
      <c r="IB1" s="102"/>
      <c r="IC1" s="102"/>
      <c r="ID1" s="102"/>
      <c r="IE1" s="102"/>
      <c r="IF1" s="102"/>
      <c r="IG1" s="102"/>
      <c r="IH1" s="102"/>
      <c r="II1" s="102"/>
      <c r="IJ1" s="102"/>
      <c r="IK1" s="102"/>
      <c r="IL1" s="102"/>
      <c r="IM1" s="102"/>
      <c r="IN1" s="102"/>
      <c r="IO1" s="102"/>
      <c r="IP1" s="102"/>
      <c r="IQ1" s="102"/>
      <c r="IR1" s="102"/>
      <c r="IS1" s="102"/>
      <c r="IT1" s="102"/>
      <c r="IU1" s="102"/>
      <c r="IV1" s="102"/>
      <c r="IW1" s="102"/>
    </row>
    <row r="2" customFormat="fals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[3]ClosingCreditors!$H$2</f>
        <v>20</v>
      </c>
      <c r="I2" s="109" t="s">
        <v>48</v>
      </c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  <c r="AL2" s="131"/>
      <c r="AM2" s="131"/>
      <c r="AN2" s="131"/>
      <c r="AO2" s="131"/>
      <c r="AP2" s="131"/>
      <c r="AQ2" s="131"/>
      <c r="AR2" s="131"/>
      <c r="AS2" s="131"/>
      <c r="AT2" s="131"/>
      <c r="AU2" s="131"/>
      <c r="AV2" s="131"/>
      <c r="AW2" s="131"/>
      <c r="AX2" s="131"/>
      <c r="AY2" s="131"/>
      <c r="AZ2" s="131"/>
      <c r="BA2" s="131"/>
      <c r="BB2" s="131"/>
      <c r="BC2" s="131"/>
      <c r="BD2" s="131"/>
      <c r="BE2" s="131"/>
      <c r="BF2" s="131"/>
      <c r="BG2" s="131"/>
      <c r="BH2" s="131"/>
      <c r="BI2" s="131"/>
      <c r="BJ2" s="131"/>
      <c r="BK2" s="131"/>
      <c r="BL2" s="131"/>
      <c r="BM2" s="131"/>
      <c r="BN2" s="131"/>
      <c r="BO2" s="131"/>
      <c r="BP2" s="131"/>
      <c r="BQ2" s="131"/>
      <c r="BR2" s="131"/>
      <c r="BS2" s="131"/>
      <c r="BT2" s="131"/>
      <c r="BU2" s="131"/>
      <c r="BV2" s="131"/>
      <c r="BW2" s="131"/>
      <c r="BX2" s="131"/>
      <c r="BY2" s="131"/>
      <c r="BZ2" s="131"/>
      <c r="CA2" s="131"/>
      <c r="CB2" s="131"/>
      <c r="CC2" s="131"/>
      <c r="CD2" s="131"/>
      <c r="CE2" s="131"/>
      <c r="CF2" s="131"/>
      <c r="CG2" s="131"/>
      <c r="CH2" s="131"/>
      <c r="CI2" s="131"/>
      <c r="CJ2" s="131"/>
      <c r="CK2" s="131"/>
      <c r="CL2" s="131"/>
      <c r="CM2" s="131"/>
      <c r="CN2" s="131"/>
      <c r="CO2" s="131"/>
      <c r="CP2" s="131"/>
      <c r="CQ2" s="131"/>
      <c r="CR2" s="131"/>
      <c r="CS2" s="131"/>
      <c r="CT2" s="131"/>
      <c r="CU2" s="131"/>
      <c r="CV2" s="131"/>
      <c r="CW2" s="131"/>
      <c r="CX2" s="131"/>
      <c r="CY2" s="131"/>
      <c r="CZ2" s="131"/>
      <c r="DA2" s="131"/>
      <c r="DB2" s="131"/>
      <c r="DC2" s="131"/>
      <c r="DD2" s="131"/>
      <c r="DE2" s="131"/>
      <c r="DF2" s="131"/>
      <c r="DG2" s="131"/>
      <c r="DH2" s="131"/>
      <c r="DI2" s="131"/>
      <c r="DJ2" s="131"/>
      <c r="DK2" s="131"/>
      <c r="DL2" s="131"/>
      <c r="DM2" s="131"/>
      <c r="DN2" s="131"/>
      <c r="DO2" s="131"/>
      <c r="DP2" s="131"/>
      <c r="DQ2" s="131"/>
      <c r="DR2" s="131"/>
      <c r="DS2" s="131"/>
      <c r="DT2" s="131"/>
      <c r="DU2" s="131"/>
      <c r="DV2" s="131"/>
      <c r="DW2" s="131"/>
      <c r="DX2" s="131"/>
      <c r="DY2" s="131"/>
      <c r="DZ2" s="131"/>
      <c r="EA2" s="131"/>
      <c r="EB2" s="131"/>
      <c r="EC2" s="131"/>
      <c r="ED2" s="131"/>
      <c r="EE2" s="131"/>
      <c r="EF2" s="131"/>
      <c r="EG2" s="131"/>
      <c r="EH2" s="131"/>
      <c r="EI2" s="131"/>
      <c r="EJ2" s="131"/>
      <c r="EK2" s="131"/>
      <c r="EL2" s="131"/>
      <c r="EM2" s="131"/>
      <c r="EN2" s="131"/>
      <c r="EO2" s="131"/>
      <c r="EP2" s="131"/>
      <c r="EQ2" s="131"/>
      <c r="ER2" s="131"/>
      <c r="ES2" s="131"/>
      <c r="ET2" s="131"/>
      <c r="EU2" s="131"/>
      <c r="EV2" s="131"/>
      <c r="EW2" s="131"/>
      <c r="EX2" s="131"/>
      <c r="EY2" s="131"/>
      <c r="EZ2" s="131"/>
      <c r="FA2" s="131"/>
      <c r="FB2" s="131"/>
      <c r="FC2" s="131"/>
      <c r="FD2" s="131"/>
      <c r="FE2" s="131"/>
      <c r="FF2" s="131"/>
      <c r="FG2" s="131"/>
      <c r="FH2" s="131"/>
      <c r="FI2" s="131"/>
      <c r="FJ2" s="131"/>
      <c r="FK2" s="131"/>
      <c r="FL2" s="131"/>
      <c r="FM2" s="131"/>
      <c r="FN2" s="131"/>
      <c r="FO2" s="131"/>
      <c r="FP2" s="131"/>
      <c r="FQ2" s="131"/>
      <c r="FR2" s="131"/>
      <c r="FS2" s="131"/>
      <c r="FT2" s="131"/>
      <c r="FU2" s="131"/>
      <c r="FV2" s="131"/>
      <c r="FW2" s="131"/>
      <c r="FX2" s="131"/>
      <c r="FY2" s="131"/>
      <c r="FZ2" s="131"/>
      <c r="GA2" s="131"/>
      <c r="GB2" s="131"/>
      <c r="GC2" s="131"/>
      <c r="GD2" s="131"/>
      <c r="GE2" s="131"/>
      <c r="GF2" s="131"/>
      <c r="GG2" s="131"/>
      <c r="GH2" s="131"/>
      <c r="GI2" s="131"/>
      <c r="GJ2" s="131"/>
      <c r="GK2" s="131"/>
      <c r="GL2" s="131"/>
      <c r="GM2" s="131"/>
      <c r="GN2" s="131"/>
      <c r="GO2" s="131"/>
      <c r="GP2" s="131"/>
      <c r="GQ2" s="131"/>
      <c r="GR2" s="131"/>
      <c r="GS2" s="131"/>
      <c r="GT2" s="131"/>
      <c r="GU2" s="131"/>
      <c r="GV2" s="131"/>
      <c r="GW2" s="131"/>
      <c r="GX2" s="131"/>
      <c r="GY2" s="131"/>
      <c r="GZ2" s="131"/>
      <c r="HA2" s="131"/>
      <c r="HB2" s="131"/>
      <c r="HC2" s="131"/>
      <c r="HD2" s="131"/>
      <c r="HE2" s="131"/>
      <c r="HF2" s="131"/>
      <c r="HG2" s="131"/>
      <c r="HH2" s="131"/>
      <c r="HI2" s="131"/>
      <c r="HJ2" s="131"/>
      <c r="HK2" s="131"/>
      <c r="HL2" s="131"/>
      <c r="HM2" s="131"/>
      <c r="HN2" s="131"/>
      <c r="HO2" s="131"/>
      <c r="HP2" s="131"/>
      <c r="HQ2" s="131"/>
      <c r="HR2" s="131"/>
      <c r="HS2" s="131"/>
      <c r="HT2" s="131"/>
      <c r="HU2" s="131"/>
      <c r="HV2" s="131"/>
      <c r="HW2" s="131"/>
      <c r="HX2" s="131"/>
      <c r="HY2" s="131"/>
      <c r="HZ2" s="131"/>
      <c r="IA2" s="131"/>
      <c r="IB2" s="131"/>
      <c r="IC2" s="131"/>
      <c r="ID2" s="131"/>
      <c r="IE2" s="131"/>
      <c r="IF2" s="131"/>
      <c r="IG2" s="131"/>
      <c r="IH2" s="131"/>
      <c r="II2" s="131"/>
      <c r="IJ2" s="131"/>
      <c r="IK2" s="131"/>
      <c r="IL2" s="131"/>
      <c r="IM2" s="131"/>
      <c r="IN2" s="131"/>
      <c r="IO2" s="131"/>
      <c r="IP2" s="131"/>
      <c r="IQ2" s="131"/>
      <c r="IR2" s="131"/>
      <c r="IS2" s="131"/>
      <c r="IT2" s="131"/>
      <c r="IU2" s="131"/>
      <c r="IV2" s="131"/>
      <c r="IW2" s="131"/>
    </row>
    <row r="3" customFormat="fals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  <c r="AJ3" s="132"/>
      <c r="AK3" s="132"/>
      <c r="AL3" s="132"/>
      <c r="AM3" s="132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32"/>
      <c r="BB3" s="132"/>
      <c r="BC3" s="132"/>
      <c r="BD3" s="132"/>
      <c r="BE3" s="132"/>
      <c r="BF3" s="132"/>
      <c r="BG3" s="132"/>
      <c r="BH3" s="132"/>
      <c r="BI3" s="132"/>
      <c r="BJ3" s="132"/>
      <c r="BK3" s="132"/>
      <c r="BL3" s="132"/>
      <c r="BM3" s="132"/>
      <c r="BN3" s="132"/>
      <c r="BO3" s="132"/>
      <c r="BP3" s="132"/>
      <c r="BQ3" s="132"/>
      <c r="BR3" s="132"/>
      <c r="BS3" s="132"/>
      <c r="BT3" s="132"/>
      <c r="BU3" s="132"/>
      <c r="BV3" s="132"/>
      <c r="BW3" s="132"/>
      <c r="BX3" s="132"/>
      <c r="BY3" s="132"/>
      <c r="BZ3" s="132"/>
      <c r="CA3" s="132"/>
      <c r="CB3" s="132"/>
      <c r="CC3" s="132"/>
      <c r="CD3" s="132"/>
      <c r="CE3" s="132"/>
      <c r="CF3" s="132"/>
      <c r="CG3" s="132"/>
      <c r="CH3" s="132"/>
      <c r="CI3" s="132"/>
      <c r="CJ3" s="132"/>
      <c r="CK3" s="132"/>
      <c r="CL3" s="132"/>
      <c r="CM3" s="132"/>
      <c r="CN3" s="132"/>
      <c r="CO3" s="132"/>
      <c r="CP3" s="132"/>
      <c r="CQ3" s="132"/>
      <c r="CR3" s="132"/>
      <c r="CS3" s="132"/>
      <c r="CT3" s="132"/>
      <c r="CU3" s="132"/>
      <c r="CV3" s="132"/>
      <c r="CW3" s="132"/>
      <c r="CX3" s="132"/>
      <c r="CY3" s="132"/>
      <c r="CZ3" s="132"/>
      <c r="DA3" s="132"/>
      <c r="DB3" s="132"/>
      <c r="DC3" s="132"/>
      <c r="DD3" s="132"/>
      <c r="DE3" s="132"/>
      <c r="DF3" s="132"/>
      <c r="DG3" s="132"/>
      <c r="DH3" s="132"/>
      <c r="DI3" s="132"/>
      <c r="DJ3" s="132"/>
      <c r="DK3" s="132"/>
      <c r="DL3" s="132"/>
      <c r="DM3" s="132"/>
      <c r="DN3" s="132"/>
      <c r="DO3" s="132"/>
      <c r="DP3" s="132"/>
      <c r="DQ3" s="132"/>
      <c r="DR3" s="132"/>
      <c r="DS3" s="132"/>
      <c r="DT3" s="132"/>
      <c r="DU3" s="132"/>
      <c r="DV3" s="132"/>
      <c r="DW3" s="132"/>
      <c r="DX3" s="132"/>
      <c r="DY3" s="132"/>
      <c r="DZ3" s="132"/>
      <c r="EA3" s="132"/>
      <c r="EB3" s="132"/>
      <c r="EC3" s="132"/>
      <c r="ED3" s="132"/>
      <c r="EE3" s="132"/>
      <c r="EF3" s="132"/>
      <c r="EG3" s="132"/>
      <c r="EH3" s="132"/>
      <c r="EI3" s="132"/>
      <c r="EJ3" s="132"/>
      <c r="EK3" s="132"/>
      <c r="EL3" s="132"/>
      <c r="EM3" s="132"/>
      <c r="EN3" s="132"/>
      <c r="EO3" s="132"/>
      <c r="EP3" s="132"/>
      <c r="EQ3" s="132"/>
      <c r="ER3" s="132"/>
      <c r="ES3" s="132"/>
      <c r="ET3" s="132"/>
      <c r="EU3" s="132"/>
      <c r="EV3" s="132"/>
      <c r="EW3" s="132"/>
      <c r="EX3" s="132"/>
      <c r="EY3" s="132"/>
      <c r="EZ3" s="132"/>
      <c r="FA3" s="132"/>
      <c r="FB3" s="132"/>
      <c r="FC3" s="132"/>
      <c r="FD3" s="132"/>
      <c r="FE3" s="132"/>
      <c r="FF3" s="132"/>
      <c r="FG3" s="132"/>
      <c r="FH3" s="132"/>
      <c r="FI3" s="132"/>
      <c r="FJ3" s="132"/>
      <c r="FK3" s="132"/>
      <c r="FL3" s="132"/>
      <c r="FM3" s="132"/>
      <c r="FN3" s="132"/>
      <c r="FO3" s="132"/>
      <c r="FP3" s="132"/>
      <c r="FQ3" s="132"/>
      <c r="FR3" s="132"/>
      <c r="FS3" s="132"/>
      <c r="FT3" s="132"/>
      <c r="FU3" s="132"/>
      <c r="FV3" s="132"/>
      <c r="FW3" s="132"/>
      <c r="FX3" s="132"/>
      <c r="FY3" s="132"/>
      <c r="FZ3" s="132"/>
      <c r="GA3" s="132"/>
      <c r="GB3" s="132"/>
      <c r="GC3" s="132"/>
      <c r="GD3" s="132"/>
      <c r="GE3" s="132"/>
      <c r="GF3" s="132"/>
      <c r="GG3" s="132"/>
      <c r="GH3" s="132"/>
      <c r="GI3" s="132"/>
      <c r="GJ3" s="132"/>
      <c r="GK3" s="132"/>
      <c r="GL3" s="132"/>
      <c r="GM3" s="132"/>
      <c r="GN3" s="132"/>
      <c r="GO3" s="132"/>
      <c r="GP3" s="132"/>
      <c r="GQ3" s="132"/>
      <c r="GR3" s="132"/>
      <c r="GS3" s="132"/>
      <c r="GT3" s="132"/>
      <c r="GU3" s="132"/>
      <c r="GV3" s="132"/>
      <c r="GW3" s="132"/>
      <c r="GX3" s="132"/>
      <c r="GY3" s="132"/>
      <c r="GZ3" s="132"/>
      <c r="HA3" s="132"/>
      <c r="HB3" s="132"/>
      <c r="HC3" s="132"/>
      <c r="HD3" s="132"/>
      <c r="HE3" s="132"/>
      <c r="HF3" s="132"/>
      <c r="HG3" s="132"/>
      <c r="HH3" s="132"/>
      <c r="HI3" s="132"/>
      <c r="HJ3" s="132"/>
      <c r="HK3" s="132"/>
      <c r="HL3" s="132"/>
      <c r="HM3" s="132"/>
      <c r="HN3" s="132"/>
      <c r="HO3" s="132"/>
      <c r="HP3" s="132"/>
      <c r="HQ3" s="132"/>
      <c r="HR3" s="132"/>
      <c r="HS3" s="132"/>
      <c r="HT3" s="132"/>
      <c r="HU3" s="132"/>
      <c r="HV3" s="132"/>
      <c r="HW3" s="132"/>
      <c r="HX3" s="132"/>
      <c r="HY3" s="132"/>
      <c r="HZ3" s="132"/>
      <c r="IA3" s="132"/>
      <c r="IB3" s="132"/>
      <c r="IC3" s="132"/>
      <c r="ID3" s="132"/>
      <c r="IE3" s="132"/>
      <c r="IF3" s="132"/>
      <c r="IG3" s="132"/>
      <c r="IH3" s="132"/>
      <c r="II3" s="132"/>
      <c r="IJ3" s="132"/>
      <c r="IK3" s="132"/>
      <c r="IL3" s="132"/>
      <c r="IM3" s="132"/>
      <c r="IN3" s="132"/>
      <c r="IO3" s="132"/>
      <c r="IP3" s="132"/>
      <c r="IQ3" s="132"/>
      <c r="IR3" s="132"/>
      <c r="IS3" s="132"/>
      <c r="IT3" s="132"/>
      <c r="IU3" s="132"/>
      <c r="IV3" s="132"/>
      <c r="IW3" s="132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46554</v>
      </c>
      <c r="B5" s="124" t="s">
        <v>52</v>
      </c>
      <c r="C5" s="122" t="s">
        <v>58</v>
      </c>
      <c r="E5" s="124"/>
      <c r="F5" s="120"/>
      <c r="G5" s="133" t="n">
        <v>480</v>
      </c>
      <c r="H5" s="125" t="n">
        <f aca="false">IF(G5&lt;&gt;0,G5*H$2/(100+H$2)," ")</f>
        <v>80</v>
      </c>
      <c r="I5" s="125" t="n">
        <f aca="false">IF((G5&lt;&gt;0),G5-H5," ")</f>
        <v>400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2006-06-05T10:56:36Z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2007-02-10T23:38:25Z</cp:lastPrinted>
  <dcterms:modified xsi:type="dcterms:W3CDTF">2025-04-03T22:49:40Z</dcterms:modified>
  <cp:revision>0</cp:revision>
  <dc:subject/>
  <dc:title>Vat returns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