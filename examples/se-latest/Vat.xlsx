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TQtr1" sheetId="1" state="visible" r:id="rId3"/>
    <sheet name="VATQtr2" sheetId="2" state="visible" r:id="rId4"/>
    <sheet name="VATQtr3" sheetId="3" state="visible" r:id="rId5"/>
    <sheet name="VATQtr4" sheetId="4" state="visible" r:id="rId6"/>
    <sheet name="VATQtr5" sheetId="5" state="visible" r:id="rId7"/>
    <sheet name="Vatinterface" sheetId="6" state="visible" r:id="rId8"/>
    <sheet name="S02Y1" sheetId="7" state="visible" r:id="rId9"/>
    <sheet name="S03Y1" sheetId="8" state="visible" r:id="rId10"/>
    <sheet name="S04Y2" sheetId="9" state="visible" r:id="rId11"/>
    <sheet name="S05Y2" sheetId="10" state="visible" r:id="rId12"/>
    <sheet name="S06Y2" sheetId="11" state="visible" r:id="rId13"/>
    <sheet name="P02Y1" sheetId="12" state="visible" r:id="rId14"/>
    <sheet name="P03Y1" sheetId="13" state="visible" r:id="rId15"/>
    <sheet name="P04Y2" sheetId="14" state="visible" r:id="rId16"/>
    <sheet name="P05Y2" sheetId="15" state="visible" r:id="rId17"/>
    <sheet name="P06Y2" sheetId="16" state="visible" r:id="rId18"/>
  </sheets>
  <externalReferences>
    <externalReference r:id="rId19"/>
    <externalReference r:id="rId20"/>
    <externalReference r:id="rId21"/>
  </externalReferences>
  <definedNames>
    <definedName function="false" hidden="false" localSheetId="0" name="_xlnm.Print_Area" vbProcedure="false">VATQtr1!$A$1:$I$32</definedName>
    <definedName function="false" hidden="false" localSheetId="1" name="_xlnm.Print_Area" vbProcedure="false">VATQtr2!$A$1:$I$32</definedName>
    <definedName function="false" hidden="false" localSheetId="2" name="_xlnm.Print_Area" vbProcedure="false">VATQtr3!$A$1:$I$32</definedName>
    <definedName function="false" hidden="false" localSheetId="3" name="_xlnm.Print_Area" vbProcedure="false">VATQtr4!$A$1:$I$32</definedName>
    <definedName function="false" hidden="false" localSheetId="4" name="_xlnm.Print_Area" vbProcedure="false">VATQtr5!$A$1:$I$32</definedName>
    <definedName function="false" hidden="false" localSheetId="0" name="_xlnm_Print_Area" vbProcedure="false">VATQtr1!$A$1:$I$32</definedName>
    <definedName function="false" hidden="false" localSheetId="1" name="_xlnm_Print_Area" vbProcedure="false">VATQtr2!$A$1:$I$32</definedName>
    <definedName function="false" hidden="false" localSheetId="2" name="_xlnm_Print_Area" vbProcedure="false">VATQtr3!$A$1:$I$32</definedName>
    <definedName function="false" hidden="false" localSheetId="3" name="_xlnm_Print_Area" vbProcedure="false">VATQtr4!$A$1:$I$32</definedName>
    <definedName function="false" hidden="false" localSheetId="4" name="_xlnm_Print_Area" vbProcedure="false">VATQtr5!$A$1:$I$32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<sst xmlns="http://schemas.openxmlformats.org/spreadsheetml/2006/main" count="206" uniqueCount="59">
  <si>
    <t xml:space="preserve">Value  Added  Tax  Return</t>
  </si>
  <si>
    <t xml:space="preserve">Copy values in boxes to your Vat return</t>
  </si>
  <si>
    <t xml:space="preserve">To calculate vat payable                       1.Click Cell G5 Vat Period                       2.Click down arrow                              3.Select Vat quarter end date</t>
  </si>
  <si>
    <t xml:space="preserve">VAT Period ends</t>
  </si>
  <si>
    <t xml:space="preserve">Due date:</t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</si>
  <si>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sales</t>
    </r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</si>
  <si>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purchases </t>
    </r>
    <r>
      <rPr>
        <sz val="10"/>
        <rFont val="Times New Roman"/>
        <family val="1"/>
        <charset val="1"/>
      </rPr>
      <t xml:space="preserve">from </t>
    </r>
    <r>
      <rPr>
        <b val="true"/>
        <sz val="10"/>
        <rFont val="Times New Roman"/>
        <family val="1"/>
        <charset val="1"/>
      </rPr>
      <t xml:space="preserve">other EU states</t>
    </r>
  </si>
  <si>
    <r>
      <rPr>
        <sz val="10"/>
        <rFont val="Times New Roman"/>
        <family val="1"/>
        <charset val="1"/>
      </rPr>
      <t xml:space="preserve">VAT reclaimed on </t>
    </r>
    <r>
      <rPr>
        <b val="true"/>
        <sz val="10"/>
        <rFont val="Times New Roman"/>
        <family val="1"/>
        <charset val="1"/>
      </rPr>
      <t xml:space="preserve">purchases</t>
    </r>
  </si>
  <si>
    <r>
      <rPr>
        <sz val="10"/>
        <rFont val="Times New Roman"/>
        <family val="1"/>
        <charset val="1"/>
      </rPr>
      <t xml:space="preserve">Total value of </t>
    </r>
    <r>
      <rPr>
        <b val="true"/>
        <sz val="10"/>
        <rFont val="Times New Roman"/>
        <family val="1"/>
        <charset val="1"/>
      </rPr>
      <t xml:space="preserve">purchases</t>
    </r>
    <r>
      <rPr>
        <sz val="10"/>
        <rFont val="Times New Roman"/>
        <family val="1"/>
        <charset val="1"/>
      </rPr>
      <t xml:space="preserve"> excluding VAT</t>
    </r>
  </si>
  <si>
    <t xml:space="preserve">Note: </t>
  </si>
  <si>
    <t xml:space="preserve">Box 2 is set to zero, any amounts due should be calculated and inserted manually</t>
  </si>
  <si>
    <t xml:space="preserve">If goods are bought or sold to other EU states boxes 8 &amp; 9 on the return will require completion</t>
  </si>
  <si>
    <t xml:space="preserve">Vat returns must be received by HM Customs &amp; Excise on or before the due date to avoid surcharges</t>
  </si>
  <si>
    <t xml:space="preserve">Make cheques payable to "H M Customs and Excise" and write your VAT registration number on the back</t>
  </si>
  <si>
    <t xml:space="preserve">Quote your VAT registration number as a reference if paying direct by bank</t>
  </si>
  <si>
    <t xml:space="preserve">Account Name: HMCE VAT: Account No: 52055000 Sort Code: 10 00 00 </t>
  </si>
  <si>
    <t xml:space="preserve">Vat Period End</t>
  </si>
  <si>
    <t xml:space="preserve">Final Date for Vat Payment</t>
  </si>
  <si>
    <t xml:space="preserve">Month         Sales</t>
  </si>
  <si>
    <t xml:space="preserve">Quarter Sales          Net of Vat</t>
  </si>
  <si>
    <t xml:space="preserve">Month Vat Output</t>
  </si>
  <si>
    <t xml:space="preserve">Quarter Vat Due       Sales</t>
  </si>
  <si>
    <t xml:space="preserve">Month Purchases</t>
  </si>
  <si>
    <t xml:space="preserve">Quarter Purchases Net of vat</t>
  </si>
  <si>
    <t xml:space="preserve">Month Vat Input</t>
  </si>
  <si>
    <t xml:space="preserve">Quarter Vat Reclaimed Purchases</t>
  </si>
  <si>
    <t xml:space="preserve">Flat rate Scheme Applied</t>
  </si>
  <si>
    <t xml:space="preserve">USE FOR VAT PERIODS OUTSIDE FINANCIAL YEAR</t>
  </si>
  <si>
    <t xml:space="preserve">Total for Month</t>
  </si>
  <si>
    <t xml:space="preserve">Sales      Date</t>
  </si>
  <si>
    <t xml:space="preserve">Customer Name</t>
  </si>
  <si>
    <t xml:space="preserve">Sales Invoice Number or reference</t>
  </si>
  <si>
    <t xml:space="preserve">Sales Value including   Vat</t>
  </si>
  <si>
    <t xml:space="preserve">Sales         Net of Vat</t>
  </si>
  <si>
    <t xml:space="preserve">Vat       Output</t>
  </si>
  <si>
    <t xml:space="preserve">Acme Corp</t>
  </si>
  <si>
    <t xml:space="preserve">INV-0801</t>
  </si>
  <si>
    <t xml:space="preserve">Entries below this row are not included in Row 1 Totals</t>
  </si>
  <si>
    <t xml:space="preserve">Beta Systems</t>
  </si>
  <si>
    <t xml:space="preserve">INV-0802</t>
  </si>
  <si>
    <t xml:space="preserve">INV-1301</t>
  </si>
  <si>
    <t xml:space="preserve">Gamma Ltd</t>
  </si>
  <si>
    <t xml:space="preserve">INV-1302</t>
  </si>
  <si>
    <t xml:space="preserve">INV-1303</t>
  </si>
  <si>
    <t xml:space="preserve">Purchase Invoice Number or Reference</t>
  </si>
  <si>
    <t xml:space="preserve">Purchase Date</t>
  </si>
  <si>
    <t xml:space="preserve">Purchase Description</t>
  </si>
  <si>
    <t xml:space="preserve">Total Purchase Value incl Vat</t>
  </si>
  <si>
    <t xml:space="preserve">Purchases           Net of Vat</t>
  </si>
  <si>
    <t xml:space="preserve">Vat Input</t>
  </si>
  <si>
    <t xml:space="preserve">TechParts Ltd</t>
  </si>
  <si>
    <t xml:space="preserve">TP-2402</t>
  </si>
  <si>
    <t xml:space="preserve">WorkSpace Ltd</t>
  </si>
  <si>
    <t xml:space="preserve">WS-2402</t>
  </si>
  <si>
    <t xml:space="preserve">Shell</t>
  </si>
  <si>
    <t xml:space="preserve">SH-2604</t>
  </si>
  <si>
    <t xml:space="preserve">BT Business</t>
  </si>
  <si>
    <t xml:space="preserve">BT-2605</t>
  </si>
  <si>
    <t xml:space="preserve">WS-2606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</si>
</sst>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 ;[RED]\-#,##0.00\ "/>
    <numFmt numFmtId="166" formatCode="[$-F800]dddd&quot;, &quot;mmmm\ dd&quot;, &quot;yyyy"/>
    <numFmt numFmtId="167" formatCode="dd\-mmm\-yy"/>
    <numFmt numFmtId="168" formatCode="[$-809]dd\ mmmm\ yyyy;@"/>
    <numFmt numFmtId="169" formatCode="#,##0_ ;[RED]\-#,##0\ "/>
    <numFmt numFmtId="170" formatCode="0"/>
    <numFmt numFmtId="171" formatCode="#,##0"/>
    <numFmt numFmtId="172" formatCode="#,##0.0_ ;[RED]\-#,##0.0\ "/>
    <numFmt numFmtId="173" formatCode="0.00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008000"/>
      <name val="Arial"/>
      <family val="2"/>
      <charset val="1"/>
    </font>
    <font>
      <sz val="8"/>
      <color rgb="FFFFFFFF"/>
      <name val="Times New Roman"/>
      <family val="1"/>
      <charset val="1"/>
    </font>
    <font>
      <sz val="8"/>
      <color rgb="FFCCFFCC"/>
      <name val="Arial"/>
      <family val="2"/>
      <charset val="1"/>
    </font>
    <font>
      <b val="true"/>
      <i val="true"/>
      <sz val="10"/>
      <color rgb="FFFF00FF"/>
      <name val="Arial"/>
      <family val="2"/>
      <charset val="1"/>
    </font>
    <font>
      <b val="true"/>
      <sz val="10"/>
      <color rgb="FFFF00FF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sz val="8"/>
      <color rgb="FF339966"/>
      <name val="Times New Roman"/>
      <family val="1"/>
      <charset val="1"/>
    </font>
    <font>
      <b val="true"/>
      <sz val="9"/>
      <color rgb="FFFFFFFF"/>
      <name val="Arial"/>
      <family val="2"/>
      <charset val="1"/>
    </font>
    <font>
      <sz val="10"/>
      <color rgb="FFCCFFFF"/>
      <name val="Times New Roman"/>
      <family val="1"/>
      <charset val="1"/>
    </font>
    <font>
      <b val="true"/>
      <sz val="10"/>
      <color rgb="FF000080"/>
      <name val="Times New Roman"/>
      <family val="1"/>
      <charset val="1"/>
    </font>
    <font>
      <i val="true"/>
      <sz val="9"/>
      <color rgb="FFFF00FF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8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9966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2" fillId="2" borderId="6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6" fontId="16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right" vertical="center" textRotation="0" wrapText="false" indent="1" shrinkToFit="false"/>
      <protection locked="true" hidden="true"/>
    </xf>
    <xf numFmtId="164" fontId="17" fillId="3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6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9" fillId="2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2" shrinkToFit="false"/>
      <protection locked="true" hidden="true"/>
    </xf>
    <xf numFmtId="164" fontId="6" fillId="2" borderId="1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9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20" fillId="2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2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1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5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22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2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3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5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externalLink" Target="externalLinks/externalLink1.xml"/><Relationship Id="rId20" Type="http://schemas.openxmlformats.org/officeDocument/2006/relationships/externalLink" Target="externalLinks/externalLink2.xml"/><Relationship Id="rId21" Type="http://schemas.openxmlformats.org/officeDocument/2006/relationships/externalLink" Target="externalLinks/externalLink3.xml"/><Relationship Id="rId22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9cf26625/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9cf26625/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9cf26625/Purchas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46081</v>
          </cell>
        </row>
        <row r="3">
          <cell r="B3">
            <v>46112</v>
          </cell>
        </row>
        <row r="5">
          <cell r="B5">
            <v>46142</v>
          </cell>
        </row>
        <row r="6">
          <cell r="B6">
            <v>46173</v>
          </cell>
        </row>
        <row r="7">
          <cell r="B7">
            <v>46203</v>
          </cell>
        </row>
        <row r="8">
          <cell r="B8">
            <v>46234</v>
          </cell>
        </row>
        <row r="9">
          <cell r="B9">
            <v>46265</v>
          </cell>
        </row>
        <row r="10">
          <cell r="B10">
            <v>46295</v>
          </cell>
        </row>
        <row r="11">
          <cell r="B11">
            <v>46326</v>
          </cell>
        </row>
        <row r="12">
          <cell r="B12">
            <v>46356</v>
          </cell>
        </row>
        <row r="13">
          <cell r="B13">
            <v>46387</v>
          </cell>
        </row>
        <row r="14">
          <cell r="B14">
            <v>46418</v>
          </cell>
        </row>
        <row r="15">
          <cell r="B15">
            <v>46446</v>
          </cell>
        </row>
        <row r="16">
          <cell r="B16">
            <v>46477</v>
          </cell>
        </row>
        <row r="18">
          <cell r="B18">
            <v>46507</v>
          </cell>
        </row>
        <row r="19">
          <cell r="B19">
            <v>46538</v>
          </cell>
        </row>
        <row r="20">
          <cell r="B20">
            <v>46568</v>
          </cell>
        </row>
        <row r="25">
          <cell r="B25">
            <v>46599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5566.66666666667</v>
          </cell>
          <cell r="I1">
            <v>27833.3333333333</v>
          </cell>
        </row>
      </sheetData>
      <sheetData sheetId="2">
        <row r="1">
          <cell r="H1">
            <v>5486.66666666667</v>
          </cell>
          <cell r="I1">
            <v>27433.3333333333</v>
          </cell>
        </row>
        <row r="4">
          <cell r="H4">
            <v>0</v>
          </cell>
        </row>
      </sheetData>
      <sheetData sheetId="3">
        <row r="1">
          <cell r="H1">
            <v>5866.66666666667</v>
          </cell>
          <cell r="I1">
            <v>29333.3333333333</v>
          </cell>
        </row>
        <row r="4">
          <cell r="H4">
            <v>0</v>
          </cell>
        </row>
      </sheetData>
      <sheetData sheetId="4">
        <row r="1">
          <cell r="H1">
            <v>5626.66666666667</v>
          </cell>
          <cell r="I1">
            <v>28133.3333333333</v>
          </cell>
        </row>
        <row r="4">
          <cell r="H4">
            <v>0</v>
          </cell>
        </row>
      </sheetData>
      <sheetData sheetId="5">
        <row r="1">
          <cell r="H1">
            <v>6003.33333333333</v>
          </cell>
          <cell r="I1">
            <v>30016.6666666667</v>
          </cell>
        </row>
        <row r="4">
          <cell r="H4">
            <v>0</v>
          </cell>
        </row>
      </sheetData>
      <sheetData sheetId="6">
        <row r="1">
          <cell r="H1">
            <v>5626.66666666667</v>
          </cell>
          <cell r="I1">
            <v>28133.3333333333</v>
          </cell>
        </row>
        <row r="4">
          <cell r="H4">
            <v>0</v>
          </cell>
        </row>
      </sheetData>
      <sheetData sheetId="7">
        <row r="1">
          <cell r="H1">
            <v>8426.66666666667</v>
          </cell>
          <cell r="I1">
            <v>42133.3333333333</v>
          </cell>
        </row>
        <row r="4">
          <cell r="H4">
            <v>0</v>
          </cell>
        </row>
      </sheetData>
      <sheetData sheetId="8">
        <row r="1">
          <cell r="H1">
            <v>5886.66666666667</v>
          </cell>
          <cell r="I1">
            <v>29433.3333333333</v>
          </cell>
        </row>
        <row r="4">
          <cell r="H4">
            <v>0</v>
          </cell>
        </row>
      </sheetData>
      <sheetData sheetId="9">
        <row r="1">
          <cell r="H1">
            <v>5466.66666666667</v>
          </cell>
          <cell r="I1">
            <v>27333.3333333333</v>
          </cell>
        </row>
        <row r="4">
          <cell r="H4">
            <v>0</v>
          </cell>
        </row>
      </sheetData>
      <sheetData sheetId="10">
        <row r="1">
          <cell r="H1">
            <v>5906.66666666667</v>
          </cell>
          <cell r="I1">
            <v>29533.3333333333</v>
          </cell>
        </row>
        <row r="4">
          <cell r="H4">
            <v>0</v>
          </cell>
        </row>
      </sheetData>
      <sheetData sheetId="11">
        <row r="1">
          <cell r="H1">
            <v>5726.66666666667</v>
          </cell>
          <cell r="I1">
            <v>28633.3333333333</v>
          </cell>
        </row>
        <row r="4">
          <cell r="H4">
            <v>0</v>
          </cell>
        </row>
      </sheetData>
      <sheetData sheetId="12">
        <row r="1">
          <cell r="H1">
            <v>5226.66666666667</v>
          </cell>
          <cell r="I1">
            <v>26133.3333333333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845.5</v>
          </cell>
          <cell r="I1">
            <v>4274.25</v>
          </cell>
        </row>
      </sheetData>
      <sheetData sheetId="2">
        <row r="1">
          <cell r="H1">
            <v>1053.5</v>
          </cell>
          <cell r="I1">
            <v>5333.5</v>
          </cell>
        </row>
      </sheetData>
      <sheetData sheetId="3">
        <row r="1">
          <cell r="H1">
            <v>4094.5</v>
          </cell>
          <cell r="I1">
            <v>20582.5</v>
          </cell>
        </row>
      </sheetData>
      <sheetData sheetId="4">
        <row r="1">
          <cell r="H1">
            <v>1506.5</v>
          </cell>
          <cell r="I1">
            <v>7557.25</v>
          </cell>
        </row>
      </sheetData>
      <sheetData sheetId="5">
        <row r="1">
          <cell r="H1">
            <v>786.166666666667</v>
          </cell>
          <cell r="I1">
            <v>3977.58333333333</v>
          </cell>
        </row>
      </sheetData>
      <sheetData sheetId="6">
        <row r="1">
          <cell r="H1">
            <v>2217.16666666667</v>
          </cell>
          <cell r="I1">
            <v>11173.8333333333</v>
          </cell>
        </row>
      </sheetData>
      <sheetData sheetId="7">
        <row r="1">
          <cell r="H1">
            <v>7160.5</v>
          </cell>
          <cell r="I1">
            <v>35854.75</v>
          </cell>
        </row>
      </sheetData>
      <sheetData sheetId="8">
        <row r="1">
          <cell r="H1">
            <v>1139.5</v>
          </cell>
          <cell r="I1">
            <v>5796.5</v>
          </cell>
        </row>
      </sheetData>
      <sheetData sheetId="9">
        <row r="1">
          <cell r="H1">
            <v>1567</v>
          </cell>
          <cell r="I1">
            <v>7895.5</v>
          </cell>
        </row>
      </sheetData>
      <sheetData sheetId="10">
        <row r="1">
          <cell r="H1">
            <v>745.5</v>
          </cell>
          <cell r="I1">
            <v>3774.25</v>
          </cell>
        </row>
      </sheetData>
      <sheetData sheetId="11">
        <row r="1">
          <cell r="H1">
            <v>727.5</v>
          </cell>
          <cell r="I1">
            <v>3676</v>
          </cell>
        </row>
      </sheetData>
      <sheetData sheetId="12">
        <row r="1">
          <cell r="H1">
            <v>611.333333333333</v>
          </cell>
          <cell r="I1">
            <v>3128.16666666667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46142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46173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46203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46203</v>
      </c>
      <c r="H5" s="13"/>
      <c r="I5" s="14"/>
      <c r="K5" s="15" t="n">
        <f aca="false">[1]Admin!$B$8</f>
        <v>46234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46265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46234</v>
      </c>
      <c r="H7" s="13"/>
      <c r="I7" s="14"/>
      <c r="K7" s="15" t="n">
        <f aca="false">[1]Admin!$B$10</f>
        <v>46295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46326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16920</v>
      </c>
      <c r="H9" s="13"/>
      <c r="I9" s="14"/>
      <c r="K9" s="15" t="n">
        <f aca="false">[1]Admin!$B$12</f>
        <v>46356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46387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46418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46446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16920</v>
      </c>
      <c r="H13" s="13"/>
      <c r="I13" s="14"/>
      <c r="K13" s="15" t="n">
        <f aca="false">[1]Admin!$B$16</f>
        <v>46477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46507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5993.5</v>
      </c>
      <c r="H15" s="13"/>
      <c r="I15" s="14"/>
      <c r="K15" s="15" t="n">
        <f aca="false">[1]Admin!$B$19</f>
        <v>46538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 t="n">
        <f aca="false">[1]Admin!$B$20</f>
        <v>46568</v>
      </c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10926.5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84599.9999999999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30190.25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46142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46173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46203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46295</v>
      </c>
      <c r="H5" s="13"/>
      <c r="I5" s="14"/>
      <c r="K5" s="15" t="n">
        <f aca="false">[1]Admin!$B$8</f>
        <v>46234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46265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46326</v>
      </c>
      <c r="H7" s="13"/>
      <c r="I7" s="14"/>
      <c r="K7" s="15" t="n">
        <f aca="false">[1]Admin!$B$10</f>
        <v>46295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46326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17256.6666666667</v>
      </c>
      <c r="H9" s="13"/>
      <c r="I9" s="14"/>
      <c r="K9" s="15" t="n">
        <f aca="false">[1]Admin!$B$12</f>
        <v>46356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46387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46418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46446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17256.6666666667</v>
      </c>
      <c r="H13" s="13"/>
      <c r="I13" s="14"/>
      <c r="K13" s="15" t="n">
        <f aca="false">[1]Admin!$B$16</f>
        <v>46477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46507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4509.83333333334</v>
      </c>
      <c r="H15" s="13"/>
      <c r="I15" s="14"/>
      <c r="K15" s="15" t="n">
        <f aca="false">[1]Admin!$B$19</f>
        <v>46538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 t="n">
        <f aca="false">[1]Admin!$B$20</f>
        <v>46568</v>
      </c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12746.8333333333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86283.3333333333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22708.6666666666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46142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46173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46203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46387</v>
      </c>
      <c r="H5" s="13"/>
      <c r="I5" s="14"/>
      <c r="K5" s="15" t="n">
        <f aca="false">[1]Admin!$B$8</f>
        <v>46234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46265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46418</v>
      </c>
      <c r="H7" s="13"/>
      <c r="I7" s="14"/>
      <c r="K7" s="15" t="n">
        <f aca="false">[1]Admin!$B$10</f>
        <v>46295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46326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19780</v>
      </c>
      <c r="H9" s="13"/>
      <c r="I9" s="14"/>
      <c r="K9" s="15" t="n">
        <f aca="false">[1]Admin!$B$12</f>
        <v>46356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46387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46418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46446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19780</v>
      </c>
      <c r="H13" s="13"/>
      <c r="I13" s="14"/>
      <c r="K13" s="15" t="n">
        <f aca="false">[1]Admin!$B$16</f>
        <v>46477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46507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9867</v>
      </c>
      <c r="H15" s="13"/>
      <c r="I15" s="14"/>
      <c r="K15" s="15" t="n">
        <f aca="false">[1]Admin!$B$19</f>
        <v>46538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 t="n">
        <f aca="false">[1]Admin!$B$20</f>
        <v>46568</v>
      </c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9913.00000000001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98899.9999999999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49546.75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46142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46173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46203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46477</v>
      </c>
      <c r="H5" s="13"/>
      <c r="I5" s="14"/>
      <c r="K5" s="15" t="n">
        <f aca="false">[1]Admin!$B$8</f>
        <v>46234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46265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46507</v>
      </c>
      <c r="H7" s="13"/>
      <c r="I7" s="14"/>
      <c r="K7" s="15" t="n">
        <f aca="false">[1]Admin!$B$10</f>
        <v>46295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46326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16860</v>
      </c>
      <c r="H9" s="13"/>
      <c r="I9" s="14"/>
      <c r="K9" s="15" t="n">
        <f aca="false">[1]Admin!$B$12</f>
        <v>46356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46387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46418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46446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16860</v>
      </c>
      <c r="H13" s="13"/>
      <c r="I13" s="14"/>
      <c r="K13" s="15" t="n">
        <f aca="false">[1]Admin!$B$16</f>
        <v>46477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46507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2084.33333333333</v>
      </c>
      <c r="H15" s="13"/>
      <c r="I15" s="14"/>
      <c r="K15" s="15" t="n">
        <f aca="false">[1]Admin!$B$19</f>
        <v>46538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 t="n">
        <f aca="false">[1]Admin!$B$20</f>
        <v>46568</v>
      </c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14775.6666666667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84299.9999999999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10578.4166666667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[1]Admin!$B$5</f>
        <v>46142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[1]Admin!$B$6</f>
        <v>46173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[1]Admin!$B$7</f>
        <v>46203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46568</v>
      </c>
      <c r="H5" s="13"/>
      <c r="I5" s="14"/>
      <c r="K5" s="15" t="n">
        <f aca="false">[1]Admin!$B$8</f>
        <v>46234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[1]Admin!$B$9</f>
        <v>46265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LOOKUP(G$5,Vatinterface!B:B,Vatinterface!C:C)</f>
        <v>46599</v>
      </c>
      <c r="H7" s="13"/>
      <c r="I7" s="14"/>
      <c r="K7" s="15" t="n">
        <f aca="false">[1]Admin!$B$10</f>
        <v>46295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[1]Admin!$B$11</f>
        <v>46326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LOOKUP(G$5,Vatinterface!B:B,Vatinterface!G:G)</f>
        <v>1100</v>
      </c>
      <c r="H9" s="13"/>
      <c r="I9" s="14"/>
      <c r="K9" s="15" t="n">
        <f aca="false">[1]Admin!$B$12</f>
        <v>46356</v>
      </c>
    </row>
    <row r="10" customFormat="false" ht="15" hidden="false" customHeight="true" outlineLevel="0" collapsed="false">
      <c r="A10" s="38"/>
      <c r="B10" s="39"/>
      <c r="C10" s="39"/>
      <c r="D10" s="39"/>
      <c r="E10" s="39"/>
      <c r="F10" s="40"/>
      <c r="G10" s="41"/>
      <c r="H10" s="13"/>
      <c r="I10" s="14"/>
      <c r="K10" s="15" t="n">
        <f aca="false">[1]Admin!$B$13</f>
        <v>46387</v>
      </c>
    </row>
    <row r="11" customFormat="false" ht="15" hidden="false" customHeight="true" outlineLevel="0" collapsed="false">
      <c r="A11" s="38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[1]Admin!$B$14</f>
        <v>46418</v>
      </c>
    </row>
    <row r="12" customFormat="false" ht="15" hidden="false" customHeight="true" outlineLevel="0" collapsed="false">
      <c r="A12" s="38"/>
      <c r="B12" s="39"/>
      <c r="C12" s="39"/>
      <c r="D12" s="39"/>
      <c r="E12" s="39"/>
      <c r="F12" s="40"/>
      <c r="G12" s="41"/>
      <c r="H12" s="13"/>
      <c r="I12" s="14"/>
      <c r="K12" s="15" t="n">
        <f aca="false">[1]Admin!$B$15</f>
        <v>46446</v>
      </c>
    </row>
    <row r="13" customFormat="false" ht="15" hidden="false" customHeight="true" outlineLevel="0" collapsed="false">
      <c r="A13" s="38"/>
      <c r="B13" s="35" t="s">
        <v>5</v>
      </c>
      <c r="C13" s="35"/>
      <c r="D13" s="35"/>
      <c r="E13" s="35"/>
      <c r="F13" s="36" t="n">
        <v>3</v>
      </c>
      <c r="G13" s="37" t="n">
        <f aca="false">G9+G11</f>
        <v>1100</v>
      </c>
      <c r="H13" s="13"/>
      <c r="I13" s="14"/>
      <c r="K13" s="15" t="n">
        <f aca="false">[1]Admin!$B$16</f>
        <v>46477</v>
      </c>
    </row>
    <row r="14" customFormat="false" ht="12" hidden="false" customHeight="true" outlineLevel="0" collapsed="false">
      <c r="A14" s="38"/>
      <c r="B14" s="13"/>
      <c r="C14" s="13"/>
      <c r="D14" s="13"/>
      <c r="E14" s="13"/>
      <c r="F14" s="25"/>
      <c r="G14" s="41"/>
      <c r="H14" s="13"/>
      <c r="I14" s="14"/>
      <c r="K14" s="15" t="n">
        <f aca="false">[1]Admin!$B$18</f>
        <v>46507</v>
      </c>
    </row>
    <row r="15" customFormat="false" ht="15" hidden="false" customHeight="true" outlineLevel="0" collapsed="false">
      <c r="A15" s="38"/>
      <c r="B15" s="35" t="s">
        <v>7</v>
      </c>
      <c r="C15" s="35"/>
      <c r="D15" s="35"/>
      <c r="E15" s="35"/>
      <c r="F15" s="36" t="n">
        <v>4</v>
      </c>
      <c r="G15" s="37" t="n">
        <f aca="false">LOOKUP(G$5,Vatinterface!B:B,Vatinterface!K:K)</f>
        <v>180</v>
      </c>
      <c r="H15" s="13"/>
      <c r="I15" s="14"/>
      <c r="K15" s="15" t="n">
        <f aca="false">[1]Admin!$B$19</f>
        <v>46538</v>
      </c>
    </row>
    <row r="16" customFormat="false" ht="12.75" hidden="false" customHeight="false" outlineLevel="0" collapsed="false">
      <c r="A16" s="38"/>
      <c r="B16" s="13"/>
      <c r="C16" s="13"/>
      <c r="D16" s="13"/>
      <c r="E16" s="13"/>
      <c r="F16" s="25"/>
      <c r="G16" s="41"/>
      <c r="H16" s="13"/>
      <c r="I16" s="14"/>
      <c r="K16" s="15" t="n">
        <f aca="false">[1]Admin!$B$20</f>
        <v>46568</v>
      </c>
    </row>
    <row r="17" customFormat="false" ht="15" hidden="false" customHeight="true" outlineLevel="0" collapsed="false">
      <c r="A17" s="38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920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1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IF(LOOKUP(G$5,Vatinterface!B:B,Vatinterface!M:M)&gt;0,"FLAT RATE SCHEME APPLIED"," ")</f>
        <v> </v>
      </c>
      <c r="C19" s="48"/>
      <c r="D19" s="48"/>
      <c r="E19" s="49" t="str">
        <f aca="false">IF(LOOKUP(G$5,Vatinterface!B:B,Vatinterface!M:M)&gt;0,LOOKUP(G$5,Vatinterface!B:B,Vatinterface!M:M)," ")</f>
        <v> </v>
      </c>
      <c r="F19" s="25"/>
      <c r="G19" s="41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1"/>
      <c r="H20" s="13"/>
      <c r="I20" s="14"/>
    </row>
    <row r="21" customFormat="false" ht="15" hidden="false" customHeight="true" outlineLevel="0" collapsed="false">
      <c r="A21" s="38"/>
      <c r="B21" s="35" t="str">
        <f aca="false">IF(LOOKUP(G$5,Vatinterface!B:B,Vatinterface!M:M)&gt;0,"Total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IF(LOOKUP(G$5,Vatinterface!B:B,Vatinterface!M:M)&gt;0,(LOOKUP(G$5,Vatinterface!B:B,Vatinterface!E:E)+LOOKUP(G$5,Vatinterface!B:B,Vatinterface!G:G)),LOOKUP(G$5,Vatinterface!B:B,Vatinterface!E:E))</f>
        <v>5500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1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LOOKUP(G$5,Vatinterface!B:B,Vatinterface!I:I)</f>
        <v>900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63" width="1.99"/>
    <col collapsed="false" customWidth="true" hidden="false" outlineLevel="0" max="3" min="2" style="64" width="24.82"/>
    <col collapsed="false" customWidth="true" hidden="false" outlineLevel="0" max="11" min="4" style="65" width="10.66"/>
    <col collapsed="false" customWidth="true" hidden="false" outlineLevel="0" max="12" min="12" style="63" width="1.66"/>
    <col collapsed="false" customWidth="false" hidden="false" outlineLevel="0" max="13" min="13" style="66" width="9.15"/>
    <col collapsed="false" customWidth="true" hidden="false" outlineLevel="0" max="14" min="14" style="63" width="1.66"/>
    <col collapsed="false" customWidth="false" hidden="false" outlineLevel="0" max="257" min="15" style="63" width="9.15"/>
  </cols>
  <sheetData>
    <row r="1" customFormat="false" ht="9" hidden="false" customHeight="true" outlineLevel="0" collapsed="false">
      <c r="A1" s="67"/>
      <c r="B1" s="68"/>
      <c r="C1" s="68"/>
      <c r="D1" s="69"/>
      <c r="E1" s="69"/>
      <c r="F1" s="69"/>
      <c r="G1" s="69"/>
      <c r="H1" s="69"/>
      <c r="I1" s="69"/>
      <c r="J1" s="69"/>
      <c r="K1" s="69"/>
      <c r="L1" s="70"/>
      <c r="M1" s="71"/>
      <c r="N1" s="72"/>
    </row>
    <row r="2" customFormat="false" ht="37.5" hidden="false" customHeight="true" outlineLevel="0" collapsed="false">
      <c r="A2" s="73"/>
      <c r="B2" s="74" t="s">
        <v>16</v>
      </c>
      <c r="C2" s="74" t="s">
        <v>17</v>
      </c>
      <c r="D2" s="75" t="s">
        <v>18</v>
      </c>
      <c r="E2" s="75" t="s">
        <v>19</v>
      </c>
      <c r="F2" s="75" t="s">
        <v>20</v>
      </c>
      <c r="G2" s="76" t="s">
        <v>21</v>
      </c>
      <c r="H2" s="75" t="s">
        <v>22</v>
      </c>
      <c r="I2" s="75" t="s">
        <v>23</v>
      </c>
      <c r="J2" s="75" t="s">
        <v>24</v>
      </c>
      <c r="K2" s="76" t="s">
        <v>25</v>
      </c>
      <c r="L2" s="77"/>
      <c r="M2" s="78" t="s">
        <v>26</v>
      </c>
      <c r="N2" s="79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</row>
    <row r="3" customFormat="false" ht="11.25" hidden="false" customHeight="true" outlineLevel="0" collapsed="false">
      <c r="A3" s="73"/>
      <c r="B3" s="81"/>
      <c r="C3" s="81"/>
      <c r="D3" s="82"/>
      <c r="E3" s="83"/>
      <c r="F3" s="83"/>
      <c r="G3" s="83"/>
      <c r="H3" s="83"/>
      <c r="I3" s="83"/>
      <c r="J3" s="83"/>
      <c r="K3" s="83"/>
      <c r="L3" s="77"/>
      <c r="M3" s="77"/>
      <c r="N3" s="79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  <c r="FU3" s="80"/>
      <c r="FV3" s="80"/>
      <c r="FW3" s="80"/>
      <c r="FX3" s="80"/>
      <c r="FY3" s="80"/>
      <c r="FZ3" s="80"/>
      <c r="GA3" s="80"/>
      <c r="GB3" s="80"/>
      <c r="GC3" s="80"/>
      <c r="GD3" s="80"/>
      <c r="GE3" s="80"/>
      <c r="GF3" s="80"/>
      <c r="GG3" s="80"/>
      <c r="GH3" s="80"/>
      <c r="GI3" s="80"/>
      <c r="GJ3" s="80"/>
      <c r="GK3" s="80"/>
      <c r="GL3" s="80"/>
      <c r="GM3" s="80"/>
      <c r="GN3" s="80"/>
      <c r="GO3" s="80"/>
      <c r="GP3" s="80"/>
      <c r="GQ3" s="80"/>
      <c r="GR3" s="80"/>
      <c r="GS3" s="80"/>
      <c r="GT3" s="80"/>
      <c r="GU3" s="80"/>
      <c r="GV3" s="80"/>
      <c r="GW3" s="80"/>
      <c r="GX3" s="80"/>
      <c r="GY3" s="80"/>
      <c r="GZ3" s="80"/>
      <c r="HA3" s="80"/>
      <c r="HB3" s="80"/>
      <c r="HC3" s="80"/>
      <c r="HD3" s="80"/>
      <c r="HE3" s="80"/>
      <c r="HF3" s="80"/>
      <c r="HG3" s="80"/>
      <c r="HH3" s="80"/>
      <c r="HI3" s="80"/>
      <c r="HJ3" s="80"/>
      <c r="HK3" s="80"/>
      <c r="HL3" s="80"/>
      <c r="HM3" s="80"/>
      <c r="HN3" s="80"/>
      <c r="HO3" s="80"/>
      <c r="HP3" s="80"/>
      <c r="HQ3" s="80"/>
      <c r="HR3" s="80"/>
      <c r="HS3" s="80"/>
      <c r="HT3" s="80"/>
      <c r="HU3" s="80"/>
      <c r="HV3" s="80"/>
      <c r="HW3" s="80"/>
      <c r="HX3" s="80"/>
      <c r="HY3" s="80"/>
      <c r="HZ3" s="80"/>
      <c r="IA3" s="80"/>
      <c r="IB3" s="80"/>
      <c r="IC3" s="80"/>
      <c r="ID3" s="80"/>
      <c r="IE3" s="80"/>
      <c r="IF3" s="80"/>
      <c r="IG3" s="80"/>
      <c r="IH3" s="80"/>
      <c r="II3" s="80"/>
      <c r="IJ3" s="80"/>
      <c r="IK3" s="80"/>
      <c r="IL3" s="80"/>
      <c r="IM3" s="80"/>
      <c r="IN3" s="80"/>
      <c r="IO3" s="80"/>
      <c r="IP3" s="80"/>
      <c r="IQ3" s="80"/>
      <c r="IR3" s="80"/>
      <c r="IS3" s="80"/>
      <c r="IT3" s="80"/>
      <c r="IU3" s="80"/>
      <c r="IV3" s="80"/>
      <c r="IW3" s="80"/>
    </row>
    <row r="4" customFormat="false" ht="12" hidden="false" customHeight="false" outlineLevel="0" collapsed="false">
      <c r="A4" s="84"/>
      <c r="B4" s="85" t="n">
        <f aca="false">[1]Admin!$B$2</f>
        <v>46081</v>
      </c>
      <c r="C4" s="85" t="n">
        <f aca="false">B5</f>
        <v>46112</v>
      </c>
      <c r="D4" s="86" t="n">
        <f aca="false">S02Y1!$G$1</f>
        <v>4000</v>
      </c>
      <c r="E4" s="87"/>
      <c r="F4" s="87" t="n">
        <f aca="false">S02Y1!$F$1</f>
        <v>800</v>
      </c>
      <c r="G4" s="87"/>
      <c r="H4" s="87" t="n">
        <f aca="false">P02Y1!$I$1</f>
        <v>600</v>
      </c>
      <c r="I4" s="87"/>
      <c r="J4" s="87" t="n">
        <f aca="false">P02Y1!$H$1</f>
        <v>120</v>
      </c>
      <c r="K4" s="87"/>
      <c r="L4" s="88"/>
      <c r="M4" s="89" t="n">
        <f aca="false">IF([2]Apr!$H$4&gt;0,[2]Apr!$H$4,0)</f>
        <v>0</v>
      </c>
      <c r="N4" s="90"/>
    </row>
    <row r="5" customFormat="false" ht="12" hidden="false" customHeight="false" outlineLevel="0" collapsed="false">
      <c r="A5" s="84"/>
      <c r="B5" s="85" t="n">
        <f aca="false">[1]Admin!$B$3</f>
        <v>46112</v>
      </c>
      <c r="C5" s="85" t="n">
        <f aca="false">B6</f>
        <v>46142</v>
      </c>
      <c r="D5" s="86" t="n">
        <f aca="false">S03Y1!$G$1</f>
        <v>2000</v>
      </c>
      <c r="E5" s="87"/>
      <c r="F5" s="87" t="n">
        <f aca="false">S03Y1!$F$1</f>
        <v>400</v>
      </c>
      <c r="G5" s="87"/>
      <c r="H5" s="87" t="n">
        <f aca="false">P03Y1!$I$1</f>
        <v>1000</v>
      </c>
      <c r="I5" s="87"/>
      <c r="J5" s="87" t="n">
        <f aca="false">P03Y1!$H$1</f>
        <v>200</v>
      </c>
      <c r="K5" s="87"/>
      <c r="L5" s="88"/>
      <c r="M5" s="89" t="n">
        <f aca="false">IF([2]Apr!$H$4&gt;0,[2]Apr!$H$4,0)</f>
        <v>0</v>
      </c>
      <c r="N5" s="90"/>
    </row>
    <row r="6" customFormat="false" ht="12" hidden="false" customHeight="false" outlineLevel="0" collapsed="false">
      <c r="A6" s="84"/>
      <c r="B6" s="85" t="n">
        <f aca="false">[1]Admin!$B$5</f>
        <v>46142</v>
      </c>
      <c r="C6" s="85" t="n">
        <f aca="false">B7</f>
        <v>46173</v>
      </c>
      <c r="D6" s="86" t="n">
        <f aca="false">[2]Apr!$I$1</f>
        <v>27833.3333333333</v>
      </c>
      <c r="E6" s="87" t="n">
        <f aca="false">SUM(D4:D6)</f>
        <v>33833.3333333333</v>
      </c>
      <c r="F6" s="87" t="n">
        <f aca="false">[2]Apr!$H$1</f>
        <v>5566.66666666667</v>
      </c>
      <c r="G6" s="87" t="n">
        <f aca="false">SUM(F4:F6)</f>
        <v>6766.66666666667</v>
      </c>
      <c r="H6" s="87" t="n">
        <f aca="false">[3]Apr!$I$1</f>
        <v>4274.25</v>
      </c>
      <c r="I6" s="87" t="n">
        <f aca="false">SUM(H4:H6)</f>
        <v>5874.25</v>
      </c>
      <c r="J6" s="87" t="n">
        <f aca="false">[3]Apr!$H$1</f>
        <v>845.5</v>
      </c>
      <c r="K6" s="87" t="n">
        <f aca="false">SUM(J4:J6)</f>
        <v>1165.5</v>
      </c>
      <c r="L6" s="88"/>
      <c r="M6" s="89" t="n">
        <f aca="false">IF([2]Apr!$H$4&gt;0,[2]Apr!$H$4,0)</f>
        <v>0</v>
      </c>
      <c r="N6" s="90"/>
    </row>
    <row r="7" customFormat="false" ht="12" hidden="false" customHeight="false" outlineLevel="0" collapsed="false">
      <c r="A7" s="84"/>
      <c r="B7" s="85" t="n">
        <f aca="false">[1]Admin!$B$6</f>
        <v>46173</v>
      </c>
      <c r="C7" s="85" t="n">
        <f aca="false">B8</f>
        <v>46203</v>
      </c>
      <c r="D7" s="86" t="n">
        <f aca="false">[2]May!$I$1</f>
        <v>27433.3333333333</v>
      </c>
      <c r="E7" s="87" t="n">
        <f aca="false">SUM(D5:D7)</f>
        <v>57266.6666666666</v>
      </c>
      <c r="F7" s="87" t="n">
        <f aca="false">[2]May!$H$1</f>
        <v>5486.66666666667</v>
      </c>
      <c r="G7" s="87" t="n">
        <f aca="false">SUM(F5:F7)</f>
        <v>11453.3333333333</v>
      </c>
      <c r="H7" s="87" t="n">
        <f aca="false">[3]May!$I$1</f>
        <v>5333.5</v>
      </c>
      <c r="I7" s="87" t="n">
        <f aca="false">SUM(H5:H7)</f>
        <v>10607.75</v>
      </c>
      <c r="J7" s="87" t="n">
        <f aca="false">[3]May!$H$1</f>
        <v>1053.5</v>
      </c>
      <c r="K7" s="87" t="n">
        <f aca="false">SUM(J5:J7)</f>
        <v>2099</v>
      </c>
      <c r="L7" s="88"/>
      <c r="M7" s="89" t="n">
        <f aca="false">IF([2]May!$H$4&gt;0,[2]May!$H$4,0)</f>
        <v>0</v>
      </c>
      <c r="N7" s="90"/>
    </row>
    <row r="8" customFormat="false" ht="12" hidden="false" customHeight="false" outlineLevel="0" collapsed="false">
      <c r="A8" s="84"/>
      <c r="B8" s="85" t="n">
        <f aca="false">[1]Admin!$B$7</f>
        <v>46203</v>
      </c>
      <c r="C8" s="85" t="n">
        <f aca="false">B9</f>
        <v>46234</v>
      </c>
      <c r="D8" s="86" t="n">
        <f aca="false">[2]Jun!$I$1</f>
        <v>29333.3333333333</v>
      </c>
      <c r="E8" s="87" t="n">
        <f aca="false">SUM(D6:D8)</f>
        <v>84599.9999999999</v>
      </c>
      <c r="F8" s="87" t="n">
        <f aca="false">[2]Jun!$H$1</f>
        <v>5866.66666666667</v>
      </c>
      <c r="G8" s="87" t="n">
        <f aca="false">SUM(F6:F8)</f>
        <v>16920</v>
      </c>
      <c r="H8" s="87" t="n">
        <f aca="false">[3]Jun!$I$1</f>
        <v>20582.5</v>
      </c>
      <c r="I8" s="87" t="n">
        <f aca="false">SUM(H6:H8)</f>
        <v>30190.25</v>
      </c>
      <c r="J8" s="87" t="n">
        <f aca="false">[3]Jun!$H$1</f>
        <v>4094.5</v>
      </c>
      <c r="K8" s="87" t="n">
        <f aca="false">SUM(J6:J8)</f>
        <v>5993.5</v>
      </c>
      <c r="L8" s="88"/>
      <c r="M8" s="89" t="n">
        <f aca="false">IF([2]Jun!$H$4&gt;0,[2]Jun!$H$4,0)</f>
        <v>0</v>
      </c>
      <c r="N8" s="90"/>
    </row>
    <row r="9" customFormat="false" ht="12" hidden="false" customHeight="false" outlineLevel="0" collapsed="false">
      <c r="A9" s="84"/>
      <c r="B9" s="85" t="n">
        <f aca="false">[1]Admin!$B$8</f>
        <v>46234</v>
      </c>
      <c r="C9" s="85" t="n">
        <f aca="false">B10</f>
        <v>46265</v>
      </c>
      <c r="D9" s="86" t="n">
        <f aca="false">[2]Jul!$I$1</f>
        <v>28133.3333333333</v>
      </c>
      <c r="E9" s="87" t="n">
        <f aca="false">SUM(D7:D9)</f>
        <v>84899.9999999999</v>
      </c>
      <c r="F9" s="87" t="n">
        <f aca="false">[2]Jul!$H$1</f>
        <v>5626.66666666667</v>
      </c>
      <c r="G9" s="87" t="n">
        <f aca="false">SUM(F7:F9)</f>
        <v>16980</v>
      </c>
      <c r="H9" s="87" t="n">
        <f aca="false">[3]Jul!$I$1</f>
        <v>7557.25</v>
      </c>
      <c r="I9" s="87" t="n">
        <f aca="false">SUM(H7:H9)</f>
        <v>33473.25</v>
      </c>
      <c r="J9" s="87" t="n">
        <f aca="false">[3]Jul!$H$1</f>
        <v>1506.5</v>
      </c>
      <c r="K9" s="87" t="n">
        <f aca="false">SUM(J7:J9)</f>
        <v>6654.5</v>
      </c>
      <c r="L9" s="88"/>
      <c r="M9" s="89" t="n">
        <f aca="false">IF([2]Jul!$H$4&gt;0,[2]Jul!$H$4,0)</f>
        <v>0</v>
      </c>
      <c r="N9" s="90"/>
    </row>
    <row r="10" customFormat="false" ht="12" hidden="false" customHeight="false" outlineLevel="0" collapsed="false">
      <c r="A10" s="84"/>
      <c r="B10" s="85" t="n">
        <f aca="false">[1]Admin!$B$9</f>
        <v>46265</v>
      </c>
      <c r="C10" s="85" t="n">
        <f aca="false">B11</f>
        <v>46295</v>
      </c>
      <c r="D10" s="86" t="n">
        <f aca="false">[2]Aug!$I$1</f>
        <v>30016.6666666667</v>
      </c>
      <c r="E10" s="87" t="n">
        <f aca="false">SUM(D8:D10)</f>
        <v>87483.3333333333</v>
      </c>
      <c r="F10" s="87" t="n">
        <f aca="false">[2]Aug!$H$1</f>
        <v>6003.33333333333</v>
      </c>
      <c r="G10" s="87" t="n">
        <f aca="false">SUM(F8:F10)</f>
        <v>17496.6666666667</v>
      </c>
      <c r="H10" s="87" t="n">
        <f aca="false">[3]Aug!$I$1</f>
        <v>3977.58333333333</v>
      </c>
      <c r="I10" s="87" t="n">
        <f aca="false">SUM(H8:H10)</f>
        <v>32117.3333333333</v>
      </c>
      <c r="J10" s="87" t="n">
        <f aca="false">[3]Aug!$H$1</f>
        <v>786.166666666667</v>
      </c>
      <c r="K10" s="87" t="n">
        <f aca="false">SUM(J8:J10)</f>
        <v>6387.16666666667</v>
      </c>
      <c r="L10" s="88"/>
      <c r="M10" s="89" t="n">
        <f aca="false">IF([2]Aug!$H$4&gt;0,[2]Aug!$H$4,0)</f>
        <v>0</v>
      </c>
      <c r="N10" s="90"/>
    </row>
    <row r="11" customFormat="false" ht="12" hidden="false" customHeight="false" outlineLevel="0" collapsed="false">
      <c r="A11" s="84"/>
      <c r="B11" s="85" t="n">
        <f aca="false">[1]Admin!$B$10</f>
        <v>46295</v>
      </c>
      <c r="C11" s="85" t="n">
        <f aca="false">B12</f>
        <v>46326</v>
      </c>
      <c r="D11" s="86" t="n">
        <f aca="false">[2]Sep!$I$1</f>
        <v>28133.3333333333</v>
      </c>
      <c r="E11" s="87" t="n">
        <f aca="false">SUM(D9:D11)</f>
        <v>86283.3333333333</v>
      </c>
      <c r="F11" s="87" t="n">
        <f aca="false">[2]Sep!$H$1</f>
        <v>5626.66666666667</v>
      </c>
      <c r="G11" s="87" t="n">
        <f aca="false">SUM(F9:F11)</f>
        <v>17256.6666666667</v>
      </c>
      <c r="H11" s="87" t="n">
        <f aca="false">[3]Sep!$I$1</f>
        <v>11173.8333333333</v>
      </c>
      <c r="I11" s="87" t="n">
        <f aca="false">SUM(H9:H11)</f>
        <v>22708.6666666666</v>
      </c>
      <c r="J11" s="87" t="n">
        <f aca="false">[3]Sep!$H$1</f>
        <v>2217.16666666667</v>
      </c>
      <c r="K11" s="87" t="n">
        <f aca="false">SUM(J9:J11)</f>
        <v>4509.83333333334</v>
      </c>
      <c r="L11" s="88"/>
      <c r="M11" s="89" t="n">
        <f aca="false">IF([2]Sep!$H$4&gt;0,[2]Sep!$H$4,0)</f>
        <v>0</v>
      </c>
      <c r="N11" s="90"/>
    </row>
    <row r="12" customFormat="false" ht="12" hidden="false" customHeight="false" outlineLevel="0" collapsed="false">
      <c r="A12" s="84"/>
      <c r="B12" s="85" t="n">
        <f aca="false">[1]Admin!$B$11</f>
        <v>46326</v>
      </c>
      <c r="C12" s="85" t="n">
        <f aca="false">B13</f>
        <v>46356</v>
      </c>
      <c r="D12" s="86" t="n">
        <f aca="false">[2]Oct!$I$1</f>
        <v>42133.3333333333</v>
      </c>
      <c r="E12" s="87" t="n">
        <f aca="false">SUM(D10:D12)</f>
        <v>100283.333333333</v>
      </c>
      <c r="F12" s="87" t="n">
        <f aca="false">[2]Oct!$H$1</f>
        <v>8426.66666666667</v>
      </c>
      <c r="G12" s="87" t="n">
        <f aca="false">SUM(F10:F12)</f>
        <v>20056.6666666667</v>
      </c>
      <c r="H12" s="87" t="n">
        <f aca="false">[3]Oct!$I$1</f>
        <v>35854.75</v>
      </c>
      <c r="I12" s="87" t="n">
        <f aca="false">SUM(H10:H12)</f>
        <v>51006.1666666666</v>
      </c>
      <c r="J12" s="87" t="n">
        <f aca="false">[3]Oct!$H$1</f>
        <v>7160.5</v>
      </c>
      <c r="K12" s="87" t="n">
        <f aca="false">SUM(J10:J12)</f>
        <v>10163.8333333333</v>
      </c>
      <c r="L12" s="88"/>
      <c r="M12" s="89" t="n">
        <f aca="false">IF([2]Oct!$H$4&gt;0,[2]Oct!$H$4,0)</f>
        <v>0</v>
      </c>
      <c r="N12" s="90"/>
    </row>
    <row r="13" customFormat="false" ht="12" hidden="false" customHeight="false" outlineLevel="0" collapsed="false">
      <c r="A13" s="84"/>
      <c r="B13" s="85" t="n">
        <f aca="false">[1]Admin!$B$12</f>
        <v>46356</v>
      </c>
      <c r="C13" s="85" t="n">
        <f aca="false">B14</f>
        <v>46387</v>
      </c>
      <c r="D13" s="86" t="n">
        <f aca="false">[2]Nov!$I$1</f>
        <v>29433.3333333333</v>
      </c>
      <c r="E13" s="87" t="n">
        <f aca="false">SUM(D11:D13)</f>
        <v>99699.9999999999</v>
      </c>
      <c r="F13" s="87" t="n">
        <f aca="false">[2]Nov!$H$1</f>
        <v>5886.66666666667</v>
      </c>
      <c r="G13" s="87" t="n">
        <f aca="false">SUM(F11:F13)</f>
        <v>19940</v>
      </c>
      <c r="H13" s="87" t="n">
        <f aca="false">[3]Nov!$I$1</f>
        <v>5796.5</v>
      </c>
      <c r="I13" s="87" t="n">
        <f aca="false">SUM(H11:H13)</f>
        <v>52825.0833333333</v>
      </c>
      <c r="J13" s="87" t="n">
        <f aca="false">[3]Nov!$H$1</f>
        <v>1139.5</v>
      </c>
      <c r="K13" s="87" t="n">
        <f aca="false">SUM(J11:J13)</f>
        <v>10517.1666666667</v>
      </c>
      <c r="L13" s="88"/>
      <c r="M13" s="89" t="n">
        <f aca="false">IF([2]Nov!$H$4&gt;0,[2]Nov!$H$4,0)</f>
        <v>0</v>
      </c>
      <c r="N13" s="90"/>
    </row>
    <row r="14" customFormat="false" ht="12" hidden="false" customHeight="false" outlineLevel="0" collapsed="false">
      <c r="A14" s="84"/>
      <c r="B14" s="85" t="n">
        <f aca="false">[1]Admin!$B$13</f>
        <v>46387</v>
      </c>
      <c r="C14" s="85" t="n">
        <f aca="false">B15</f>
        <v>46418</v>
      </c>
      <c r="D14" s="86" t="n">
        <f aca="false">[2]Dec!$I$1</f>
        <v>27333.3333333333</v>
      </c>
      <c r="E14" s="87" t="n">
        <f aca="false">SUM(D12:D14)</f>
        <v>98899.9999999999</v>
      </c>
      <c r="F14" s="87" t="n">
        <f aca="false">[2]Dec!$H$1</f>
        <v>5466.66666666667</v>
      </c>
      <c r="G14" s="87" t="n">
        <f aca="false">SUM(F12:F14)</f>
        <v>19780</v>
      </c>
      <c r="H14" s="87" t="n">
        <f aca="false">[3]Dec!$I$1</f>
        <v>7895.5</v>
      </c>
      <c r="I14" s="87" t="n">
        <f aca="false">SUM(H12:H14)</f>
        <v>49546.75</v>
      </c>
      <c r="J14" s="87" t="n">
        <f aca="false">[3]Dec!$H$1</f>
        <v>1567</v>
      </c>
      <c r="K14" s="87" t="n">
        <f aca="false">SUM(J12:J14)</f>
        <v>9867</v>
      </c>
      <c r="L14" s="88"/>
      <c r="M14" s="89" t="n">
        <f aca="false">IF([2]Dec!$H$4&gt;0,[2]Dec!$H$4,0)</f>
        <v>0</v>
      </c>
      <c r="N14" s="90"/>
    </row>
    <row r="15" customFormat="false" ht="12" hidden="false" customHeight="false" outlineLevel="0" collapsed="false">
      <c r="A15" s="84"/>
      <c r="B15" s="85" t="n">
        <f aca="false">[1]Admin!$B$14</f>
        <v>46418</v>
      </c>
      <c r="C15" s="85" t="n">
        <f aca="false">B16</f>
        <v>46446</v>
      </c>
      <c r="D15" s="86" t="n">
        <f aca="false">[2]Jan!$I$1</f>
        <v>29533.3333333333</v>
      </c>
      <c r="E15" s="87" t="n">
        <f aca="false">SUM(D13:D15)</f>
        <v>86299.9999999999</v>
      </c>
      <c r="F15" s="87" t="n">
        <f aca="false">[2]Jan!$H$1</f>
        <v>5906.66666666667</v>
      </c>
      <c r="G15" s="87" t="n">
        <f aca="false">SUM(F13:F15)</f>
        <v>17260</v>
      </c>
      <c r="H15" s="87" t="n">
        <f aca="false">[3]Jan!$I$1</f>
        <v>3774.25</v>
      </c>
      <c r="I15" s="87" t="n">
        <f aca="false">SUM(H13:H15)</f>
        <v>17466.25</v>
      </c>
      <c r="J15" s="87" t="n">
        <f aca="false">[3]Jan!$H$1</f>
        <v>745.5</v>
      </c>
      <c r="K15" s="87" t="n">
        <f aca="false">SUM(J13:J15)</f>
        <v>3452</v>
      </c>
      <c r="L15" s="88"/>
      <c r="M15" s="89" t="n">
        <f aca="false">IF([2]Jan!$H$4&gt;0,[2]Jan!$H$4,0)</f>
        <v>0</v>
      </c>
      <c r="N15" s="90"/>
    </row>
    <row r="16" customFormat="false" ht="12" hidden="false" customHeight="false" outlineLevel="0" collapsed="false">
      <c r="A16" s="84"/>
      <c r="B16" s="85" t="n">
        <f aca="false">[1]Admin!$B$15</f>
        <v>46446</v>
      </c>
      <c r="C16" s="85" t="n">
        <f aca="false">B17</f>
        <v>46477</v>
      </c>
      <c r="D16" s="86" t="n">
        <f aca="false">[2]Feb!$I$1</f>
        <v>28633.3333333333</v>
      </c>
      <c r="E16" s="87" t="n">
        <f aca="false">SUM(D14:D16)</f>
        <v>85499.9999999999</v>
      </c>
      <c r="F16" s="87" t="n">
        <f aca="false">[2]Feb!$H$1</f>
        <v>5726.66666666667</v>
      </c>
      <c r="G16" s="87" t="n">
        <f aca="false">SUM(F14:F16)</f>
        <v>17100</v>
      </c>
      <c r="H16" s="87" t="n">
        <f aca="false">[3]Feb!$I$1</f>
        <v>3676</v>
      </c>
      <c r="I16" s="87" t="n">
        <f aca="false">SUM(H14:H16)</f>
        <v>15345.75</v>
      </c>
      <c r="J16" s="87" t="n">
        <f aca="false">[3]Feb!$H$1</f>
        <v>727.5</v>
      </c>
      <c r="K16" s="87" t="n">
        <f aca="false">SUM(J14:J16)</f>
        <v>3040</v>
      </c>
      <c r="L16" s="88"/>
      <c r="M16" s="89" t="n">
        <f aca="false">IF([2]Feb!$H$4&gt;0,[2]Feb!$H$4,0)</f>
        <v>0</v>
      </c>
      <c r="N16" s="90"/>
    </row>
    <row r="17" customFormat="false" ht="12" hidden="false" customHeight="false" outlineLevel="0" collapsed="false">
      <c r="A17" s="84"/>
      <c r="B17" s="85" t="n">
        <f aca="false">[1]Admin!$B$16</f>
        <v>46477</v>
      </c>
      <c r="C17" s="85" t="n">
        <f aca="false">B18</f>
        <v>46507</v>
      </c>
      <c r="D17" s="86" t="n">
        <f aca="false">[2]Mar!$I$1</f>
        <v>26133.3333333333</v>
      </c>
      <c r="E17" s="87" t="n">
        <f aca="false">SUM(D15:D17)</f>
        <v>84299.9999999999</v>
      </c>
      <c r="F17" s="87" t="n">
        <f aca="false">[2]Mar!$H$1</f>
        <v>5226.66666666667</v>
      </c>
      <c r="G17" s="87" t="n">
        <f aca="false">SUM(F15:F17)</f>
        <v>16860</v>
      </c>
      <c r="H17" s="87" t="n">
        <f aca="false">[3]Mar!$I$1</f>
        <v>3128.16666666667</v>
      </c>
      <c r="I17" s="87" t="n">
        <f aca="false">SUM(H15:H17)</f>
        <v>10578.4166666667</v>
      </c>
      <c r="J17" s="87" t="n">
        <f aca="false">[3]Mar!$H$1</f>
        <v>611.333333333333</v>
      </c>
      <c r="K17" s="87" t="n">
        <f aca="false">SUM(J15:J17)</f>
        <v>2084.33333333333</v>
      </c>
      <c r="L17" s="88"/>
      <c r="M17" s="89" t="n">
        <f aca="false">IF([2]Mar!$H$4&gt;0,[2]Mar!$H$4,0)</f>
        <v>0</v>
      </c>
      <c r="N17" s="90"/>
    </row>
    <row r="18" customFormat="false" ht="12" hidden="false" customHeight="false" outlineLevel="0" collapsed="false">
      <c r="A18" s="84"/>
      <c r="B18" s="85" t="n">
        <f aca="false">[1]Admin!$B$18</f>
        <v>46507</v>
      </c>
      <c r="C18" s="85" t="n">
        <f aca="false">B19</f>
        <v>46538</v>
      </c>
      <c r="D18" s="86" t="n">
        <f aca="false">S04Y2!$G$1</f>
        <v>3000</v>
      </c>
      <c r="E18" s="87" t="n">
        <f aca="false">SUM(D16:D18)</f>
        <v>57766.6666666666</v>
      </c>
      <c r="F18" s="87" t="n">
        <f aca="false">S04Y2!$F$1</f>
        <v>600</v>
      </c>
      <c r="G18" s="87" t="n">
        <f aca="false">SUM(F16:F18)</f>
        <v>11553.3333333333</v>
      </c>
      <c r="H18" s="87" t="n">
        <f aca="false">P04Y2!$I$1</f>
        <v>200</v>
      </c>
      <c r="I18" s="87" t="n">
        <f aca="false">SUM(H16:H18)</f>
        <v>7004.16666666667</v>
      </c>
      <c r="J18" s="87" t="n">
        <f aca="false">P04Y2!$H$1</f>
        <v>40</v>
      </c>
      <c r="K18" s="87" t="n">
        <f aca="false">SUM(J16:J18)</f>
        <v>1378.83333333333</v>
      </c>
      <c r="L18" s="88"/>
      <c r="M18" s="89" t="n">
        <f aca="false">IF([2]Mar!$H$4&gt;0,[2]Mar!$H$4,0)</f>
        <v>0</v>
      </c>
      <c r="N18" s="90"/>
    </row>
    <row r="19" customFormat="false" ht="12" hidden="false" customHeight="false" outlineLevel="0" collapsed="false">
      <c r="A19" s="84"/>
      <c r="B19" s="85" t="n">
        <f aca="false">[1]Admin!$B$19</f>
        <v>46538</v>
      </c>
      <c r="C19" s="85" t="n">
        <f aca="false">[1]Admin!$B$20</f>
        <v>46568</v>
      </c>
      <c r="D19" s="86" t="n">
        <f aca="false">S05Y2!$G$1</f>
        <v>1500</v>
      </c>
      <c r="E19" s="87" t="n">
        <f aca="false">SUM(D17:D19)</f>
        <v>30633.3333333333</v>
      </c>
      <c r="F19" s="87" t="n">
        <f aca="false">S05Y2!$F$1</f>
        <v>300</v>
      </c>
      <c r="G19" s="87" t="n">
        <f aca="false">SUM(F17:F19)</f>
        <v>6126.66666666667</v>
      </c>
      <c r="H19" s="87" t="n">
        <f aca="false">P05Y2!$I$1</f>
        <v>300</v>
      </c>
      <c r="I19" s="87" t="n">
        <f aca="false">SUM(H17:H19)</f>
        <v>3628.16666666667</v>
      </c>
      <c r="J19" s="87" t="n">
        <f aca="false">P05Y2!$H$1</f>
        <v>60</v>
      </c>
      <c r="K19" s="87" t="n">
        <f aca="false">SUM(J17:J19)</f>
        <v>711.333333333333</v>
      </c>
      <c r="L19" s="88"/>
      <c r="M19" s="89" t="n">
        <f aca="false">IF([2]Mar!$H$4&gt;0,[2]Mar!$H$4,0)</f>
        <v>0</v>
      </c>
      <c r="N19" s="90"/>
    </row>
    <row r="20" customFormat="false" ht="12" hidden="false" customHeight="false" outlineLevel="0" collapsed="false">
      <c r="A20" s="84"/>
      <c r="B20" s="85" t="n">
        <f aca="false">[1]Admin!$B$20</f>
        <v>46568</v>
      </c>
      <c r="C20" s="91" t="n">
        <f aca="false">[1]Admin!$B$25</f>
        <v>46599</v>
      </c>
      <c r="D20" s="86" t="n">
        <f aca="false">S06Y2!$G$1</f>
        <v>1000</v>
      </c>
      <c r="E20" s="87" t="n">
        <f aca="false">SUM(D18:D20)</f>
        <v>5500</v>
      </c>
      <c r="F20" s="87" t="n">
        <f aca="false">S06Y2!$F$1</f>
        <v>200</v>
      </c>
      <c r="G20" s="87" t="n">
        <f aca="false">SUM(F18:F20)</f>
        <v>1100</v>
      </c>
      <c r="H20" s="87" t="n">
        <f aca="false">P06Y2!$I$1</f>
        <v>400</v>
      </c>
      <c r="I20" s="87" t="n">
        <f aca="false">SUM(H18:H20)</f>
        <v>900</v>
      </c>
      <c r="J20" s="87" t="n">
        <f aca="false">P06Y2!$H$1</f>
        <v>80</v>
      </c>
      <c r="K20" s="87" t="n">
        <f aca="false">SUM(J18:J20)</f>
        <v>180</v>
      </c>
      <c r="L20" s="88"/>
      <c r="M20" s="89" t="n">
        <f aca="false">IF([2]Mar!$H$4&gt;0,[2]Mar!$H$4,0)</f>
        <v>0</v>
      </c>
      <c r="N20" s="90"/>
    </row>
    <row r="21" customFormat="false" ht="9" hidden="false" customHeight="true" outlineLevel="0" collapsed="false">
      <c r="A21" s="92"/>
      <c r="B21" s="93"/>
      <c r="C21" s="93"/>
      <c r="D21" s="94"/>
      <c r="E21" s="94"/>
      <c r="F21" s="94"/>
      <c r="G21" s="94"/>
      <c r="H21" s="94"/>
      <c r="I21" s="94"/>
      <c r="J21" s="94"/>
      <c r="K21" s="94"/>
      <c r="L21" s="95"/>
      <c r="M21" s="96"/>
      <c r="N21" s="97"/>
    </row>
  </sheetData>
  <printOptions headings="false" gridLines="false" gridLinesSet="true" horizontalCentered="true" verticalCentered="false"/>
  <pageMargins left="0.551388888888889" right="0.551388888888889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customFormat="fals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4800</v>
      </c>
      <c r="F1" s="106" t="n">
        <f aca="false">SUM(F5:F200)</f>
        <v>800</v>
      </c>
      <c r="G1" s="106" t="n">
        <f aca="false">SUM(G5:G200)</f>
        <v>4000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</row>
    <row r="2" customFormat="fals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[2]OpeningDebtors!$H$2</f>
        <v>20</v>
      </c>
      <c r="G2" s="109" t="s">
        <v>33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  <c r="IS2" s="107"/>
      <c r="IT2" s="107"/>
      <c r="IU2" s="107"/>
      <c r="IV2" s="107"/>
      <c r="IW2" s="107"/>
    </row>
    <row r="3" customFormat="fals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3"/>
      <c r="FY3" s="113"/>
      <c r="FZ3" s="113"/>
      <c r="GA3" s="113"/>
      <c r="GB3" s="113"/>
      <c r="GC3" s="113"/>
      <c r="GD3" s="113"/>
      <c r="GE3" s="113"/>
      <c r="GF3" s="113"/>
      <c r="GG3" s="113"/>
      <c r="GH3" s="113"/>
      <c r="GI3" s="113"/>
      <c r="GJ3" s="113"/>
      <c r="GK3" s="113"/>
      <c r="GL3" s="113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113"/>
      <c r="GZ3" s="113"/>
      <c r="HA3" s="113"/>
      <c r="HB3" s="113"/>
      <c r="HC3" s="113"/>
      <c r="HD3" s="113"/>
      <c r="HE3" s="113"/>
      <c r="HF3" s="113"/>
      <c r="HG3" s="113"/>
      <c r="HH3" s="113"/>
      <c r="HI3" s="113"/>
      <c r="HJ3" s="113"/>
      <c r="HK3" s="113"/>
      <c r="HL3" s="113"/>
      <c r="HM3" s="113"/>
      <c r="HN3" s="113"/>
      <c r="HO3" s="113"/>
      <c r="HP3" s="113"/>
      <c r="HQ3" s="113"/>
      <c r="HR3" s="113"/>
      <c r="HS3" s="113"/>
      <c r="HT3" s="113"/>
      <c r="HU3" s="113"/>
      <c r="HV3" s="113"/>
      <c r="HW3" s="113"/>
      <c r="HX3" s="113"/>
      <c r="HY3" s="113"/>
      <c r="HZ3" s="113"/>
      <c r="IA3" s="113"/>
      <c r="IB3" s="113"/>
      <c r="IC3" s="113"/>
      <c r="ID3" s="113"/>
      <c r="IE3" s="113"/>
      <c r="IF3" s="113"/>
      <c r="IG3" s="113"/>
      <c r="IH3" s="113"/>
      <c r="II3" s="113"/>
      <c r="IJ3" s="113"/>
      <c r="IK3" s="113"/>
      <c r="IL3" s="113"/>
      <c r="IM3" s="113"/>
      <c r="IN3" s="113"/>
      <c r="IO3" s="113"/>
      <c r="IP3" s="113"/>
      <c r="IQ3" s="113"/>
      <c r="IR3" s="113"/>
      <c r="IS3" s="113"/>
      <c r="IT3" s="113"/>
      <c r="IU3" s="113"/>
      <c r="IV3" s="113"/>
      <c r="IW3" s="113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[2]OpeningDebtors!$H$4</f>
        <v>0</v>
      </c>
      <c r="G4" s="109"/>
    </row>
    <row r="5" customFormat="false" ht="12.75" hidden="false" customHeight="false" outlineLevel="0" collapsed="false">
      <c r="A5" s="98" t="n">
        <v>46067</v>
      </c>
      <c r="B5" s="99" t="s">
        <v>35</v>
      </c>
      <c r="C5" s="100" t="s">
        <v>36</v>
      </c>
      <c r="E5" s="99" t="n">
        <v>4800</v>
      </c>
      <c r="F5" s="99" t="n">
        <f aca="false">IF(F$4&gt;0,(IF(E5&lt;&gt;0,E5*F$4/100," ")),IF(E5&lt;&gt;0,E5*F$2/(100+F$2)," "))</f>
        <v>800</v>
      </c>
      <c r="G5" s="99" t="n">
        <f aca="false">IF((E5&lt;&gt;0),E5-F5," ")</f>
        <v>4000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customFormat="fals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2400</v>
      </c>
      <c r="F1" s="106" t="n">
        <f aca="false">SUM(F5:F200)</f>
        <v>400</v>
      </c>
      <c r="G1" s="106" t="n">
        <f aca="false">SUM(G5:G200)</f>
        <v>2000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</row>
    <row r="2" customFormat="fals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[2]OpeningDebtors!$H$2</f>
        <v>20</v>
      </c>
      <c r="G2" s="109" t="s">
        <v>33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  <c r="IS2" s="107"/>
      <c r="IT2" s="107"/>
      <c r="IU2" s="107"/>
      <c r="IV2" s="107"/>
      <c r="IW2" s="107"/>
    </row>
    <row r="3" customFormat="fals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3"/>
      <c r="FY3" s="113"/>
      <c r="FZ3" s="113"/>
      <c r="GA3" s="113"/>
      <c r="GB3" s="113"/>
      <c r="GC3" s="113"/>
      <c r="GD3" s="113"/>
      <c r="GE3" s="113"/>
      <c r="GF3" s="113"/>
      <c r="GG3" s="113"/>
      <c r="GH3" s="113"/>
      <c r="GI3" s="113"/>
      <c r="GJ3" s="113"/>
      <c r="GK3" s="113"/>
      <c r="GL3" s="113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113"/>
      <c r="GZ3" s="113"/>
      <c r="HA3" s="113"/>
      <c r="HB3" s="113"/>
      <c r="HC3" s="113"/>
      <c r="HD3" s="113"/>
      <c r="HE3" s="113"/>
      <c r="HF3" s="113"/>
      <c r="HG3" s="113"/>
      <c r="HH3" s="113"/>
      <c r="HI3" s="113"/>
      <c r="HJ3" s="113"/>
      <c r="HK3" s="113"/>
      <c r="HL3" s="113"/>
      <c r="HM3" s="113"/>
      <c r="HN3" s="113"/>
      <c r="HO3" s="113"/>
      <c r="HP3" s="113"/>
      <c r="HQ3" s="113"/>
      <c r="HR3" s="113"/>
      <c r="HS3" s="113"/>
      <c r="HT3" s="113"/>
      <c r="HU3" s="113"/>
      <c r="HV3" s="113"/>
      <c r="HW3" s="113"/>
      <c r="HX3" s="113"/>
      <c r="HY3" s="113"/>
      <c r="HZ3" s="113"/>
      <c r="IA3" s="113"/>
      <c r="IB3" s="113"/>
      <c r="IC3" s="113"/>
      <c r="ID3" s="113"/>
      <c r="IE3" s="113"/>
      <c r="IF3" s="113"/>
      <c r="IG3" s="113"/>
      <c r="IH3" s="113"/>
      <c r="II3" s="113"/>
      <c r="IJ3" s="113"/>
      <c r="IK3" s="113"/>
      <c r="IL3" s="113"/>
      <c r="IM3" s="113"/>
      <c r="IN3" s="113"/>
      <c r="IO3" s="113"/>
      <c r="IP3" s="113"/>
      <c r="IQ3" s="113"/>
      <c r="IR3" s="113"/>
      <c r="IS3" s="113"/>
      <c r="IT3" s="113"/>
      <c r="IU3" s="113"/>
      <c r="IV3" s="113"/>
      <c r="IW3" s="113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[2]OpeningDebtors!$H$4</f>
        <v>0</v>
      </c>
      <c r="G4" s="109"/>
    </row>
    <row r="5" customFormat="false" ht="12.75" hidden="false" customHeight="false" outlineLevel="0" collapsed="false">
      <c r="A5" s="98" t="n">
        <v>46099</v>
      </c>
      <c r="B5" s="99" t="s">
        <v>38</v>
      </c>
      <c r="C5" s="100" t="s">
        <v>39</v>
      </c>
      <c r="E5" s="99" t="n">
        <v>2400</v>
      </c>
      <c r="F5" s="99" t="n">
        <f aca="false">IF(F$4&gt;0,(IF(E5&lt;&gt;0,E5*F$4/100," ")),IF(E5&lt;&gt;0,E5*F$2/(100+F$2)," "))</f>
        <v>400</v>
      </c>
      <c r="G5" s="99" t="n">
        <f aca="false">IF((E5&lt;&gt;0),E5-F5," ")</f>
        <v>2000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customFormat="fals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3600</v>
      </c>
      <c r="F1" s="106" t="n">
        <f aca="false">SUM(F5:F200)</f>
        <v>600</v>
      </c>
      <c r="G1" s="106" t="n">
        <f aca="false">SUM(G5:G200)</f>
        <v>3000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</row>
    <row r="2" customFormat="fals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  <c r="IS2" s="107"/>
      <c r="IT2" s="107"/>
      <c r="IU2" s="107"/>
      <c r="IV2" s="107"/>
      <c r="IW2" s="107"/>
    </row>
    <row r="3" customFormat="fals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3"/>
      <c r="FY3" s="113"/>
      <c r="FZ3" s="113"/>
      <c r="GA3" s="113"/>
      <c r="GB3" s="113"/>
      <c r="GC3" s="113"/>
      <c r="GD3" s="113"/>
      <c r="GE3" s="113"/>
      <c r="GF3" s="113"/>
      <c r="GG3" s="113"/>
      <c r="GH3" s="113"/>
      <c r="GI3" s="113"/>
      <c r="GJ3" s="113"/>
      <c r="GK3" s="113"/>
      <c r="GL3" s="113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113"/>
      <c r="GZ3" s="113"/>
      <c r="HA3" s="113"/>
      <c r="HB3" s="113"/>
      <c r="HC3" s="113"/>
      <c r="HD3" s="113"/>
      <c r="HE3" s="113"/>
      <c r="HF3" s="113"/>
      <c r="HG3" s="113"/>
      <c r="HH3" s="113"/>
      <c r="HI3" s="113"/>
      <c r="HJ3" s="113"/>
      <c r="HK3" s="113"/>
      <c r="HL3" s="113"/>
      <c r="HM3" s="113"/>
      <c r="HN3" s="113"/>
      <c r="HO3" s="113"/>
      <c r="HP3" s="113"/>
      <c r="HQ3" s="113"/>
      <c r="HR3" s="113"/>
      <c r="HS3" s="113"/>
      <c r="HT3" s="113"/>
      <c r="HU3" s="113"/>
      <c r="HV3" s="113"/>
      <c r="HW3" s="113"/>
      <c r="HX3" s="113"/>
      <c r="HY3" s="113"/>
      <c r="HZ3" s="113"/>
      <c r="IA3" s="113"/>
      <c r="IB3" s="113"/>
      <c r="IC3" s="113"/>
      <c r="ID3" s="113"/>
      <c r="IE3" s="113"/>
      <c r="IF3" s="113"/>
      <c r="IG3" s="113"/>
      <c r="IH3" s="113"/>
      <c r="II3" s="113"/>
      <c r="IJ3" s="113"/>
      <c r="IK3" s="113"/>
      <c r="IL3" s="113"/>
      <c r="IM3" s="113"/>
      <c r="IN3" s="113"/>
      <c r="IO3" s="113"/>
      <c r="IP3" s="113"/>
      <c r="IQ3" s="113"/>
      <c r="IR3" s="113"/>
      <c r="IS3" s="113"/>
      <c r="IT3" s="113"/>
      <c r="IU3" s="113"/>
      <c r="IV3" s="113"/>
      <c r="IW3" s="113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A5" s="98" t="n">
        <v>46487</v>
      </c>
      <c r="B5" s="99" t="s">
        <v>35</v>
      </c>
      <c r="C5" s="100" t="s">
        <v>40</v>
      </c>
      <c r="E5" s="99" t="n">
        <v>3600</v>
      </c>
      <c r="F5" s="99" t="n">
        <f aca="false">IF(F$4&gt;0,(IF(E5&lt;&gt;0,E5*F$4/100," ")),IF(E5&lt;&gt;0,E5*F$2/(100+F$2)," "))</f>
        <v>600</v>
      </c>
      <c r="G5" s="99" t="n">
        <f aca="false">IF((E5&lt;&gt;0),E5-F5," ")</f>
        <v>3000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customFormat="fals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1800</v>
      </c>
      <c r="F1" s="106" t="n">
        <f aca="false">SUM(F5:F200)</f>
        <v>300</v>
      </c>
      <c r="G1" s="106" t="n">
        <f aca="false">SUM(G5:G200)</f>
        <v>1500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</row>
    <row r="2" customFormat="fals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  <c r="IS2" s="107"/>
      <c r="IT2" s="107"/>
      <c r="IU2" s="107"/>
      <c r="IV2" s="107"/>
      <c r="IW2" s="107"/>
    </row>
    <row r="3" customFormat="fals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3"/>
      <c r="FY3" s="113"/>
      <c r="FZ3" s="113"/>
      <c r="GA3" s="113"/>
      <c r="GB3" s="113"/>
      <c r="GC3" s="113"/>
      <c r="GD3" s="113"/>
      <c r="GE3" s="113"/>
      <c r="GF3" s="113"/>
      <c r="GG3" s="113"/>
      <c r="GH3" s="113"/>
      <c r="GI3" s="113"/>
      <c r="GJ3" s="113"/>
      <c r="GK3" s="113"/>
      <c r="GL3" s="113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113"/>
      <c r="GZ3" s="113"/>
      <c r="HA3" s="113"/>
      <c r="HB3" s="113"/>
      <c r="HC3" s="113"/>
      <c r="HD3" s="113"/>
      <c r="HE3" s="113"/>
      <c r="HF3" s="113"/>
      <c r="HG3" s="113"/>
      <c r="HH3" s="113"/>
      <c r="HI3" s="113"/>
      <c r="HJ3" s="113"/>
      <c r="HK3" s="113"/>
      <c r="HL3" s="113"/>
      <c r="HM3" s="113"/>
      <c r="HN3" s="113"/>
      <c r="HO3" s="113"/>
      <c r="HP3" s="113"/>
      <c r="HQ3" s="113"/>
      <c r="HR3" s="113"/>
      <c r="HS3" s="113"/>
      <c r="HT3" s="113"/>
      <c r="HU3" s="113"/>
      <c r="HV3" s="113"/>
      <c r="HW3" s="113"/>
      <c r="HX3" s="113"/>
      <c r="HY3" s="113"/>
      <c r="HZ3" s="113"/>
      <c r="IA3" s="113"/>
      <c r="IB3" s="113"/>
      <c r="IC3" s="113"/>
      <c r="ID3" s="113"/>
      <c r="IE3" s="113"/>
      <c r="IF3" s="113"/>
      <c r="IG3" s="113"/>
      <c r="IH3" s="113"/>
      <c r="II3" s="113"/>
      <c r="IJ3" s="113"/>
      <c r="IK3" s="113"/>
      <c r="IL3" s="113"/>
      <c r="IM3" s="113"/>
      <c r="IN3" s="113"/>
      <c r="IO3" s="113"/>
      <c r="IP3" s="113"/>
      <c r="IQ3" s="113"/>
      <c r="IR3" s="113"/>
      <c r="IS3" s="113"/>
      <c r="IT3" s="113"/>
      <c r="IU3" s="113"/>
      <c r="IV3" s="113"/>
      <c r="IW3" s="113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A5" s="98" t="n">
        <v>46519</v>
      </c>
      <c r="B5" s="99" t="s">
        <v>41</v>
      </c>
      <c r="C5" s="100" t="s">
        <v>42</v>
      </c>
      <c r="E5" s="99" t="n">
        <v>1800</v>
      </c>
      <c r="F5" s="99" t="n">
        <f aca="false">IF(F$4&gt;0,(IF(E5&lt;&gt;0,E5*F$4/100," ")),IF(E5&lt;&gt;0,E5*F$2/(100+F$2)," "))</f>
        <v>300</v>
      </c>
      <c r="G5" s="99" t="n">
        <f aca="false">IF((E5&lt;&gt;0),E5-F5," ")</f>
        <v>1500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3" min="3" style="100" width="12.82"/>
    <col collapsed="false" customWidth="true" hidden="false" outlineLevel="0" max="4" min="4" style="101" width="7.66"/>
    <col collapsed="false" customWidth="true" hidden="false" outlineLevel="0" max="5" min="5" style="99" width="9.66"/>
    <col collapsed="false" customWidth="true" hidden="false" outlineLevel="0" max="6" min="6" style="99" width="8.66"/>
    <col collapsed="false" customWidth="true" hidden="false" outlineLevel="0" max="7" min="7" style="99" width="9.66"/>
    <col collapsed="false" customWidth="false" hidden="false" outlineLevel="0" max="257" min="8" style="102" width="9.15"/>
  </cols>
  <sheetData>
    <row r="1" customFormat="false" ht="28.5" hidden="false" customHeight="true" outlineLevel="0" collapsed="false">
      <c r="A1" s="103" t="s">
        <v>27</v>
      </c>
      <c r="B1" s="103"/>
      <c r="C1" s="104" t="s">
        <v>28</v>
      </c>
      <c r="D1" s="105"/>
      <c r="E1" s="106" t="n">
        <f aca="false">SUM(E5:E200)</f>
        <v>1200</v>
      </c>
      <c r="F1" s="106" t="n">
        <f aca="false">SUM(F5:F200)</f>
        <v>200</v>
      </c>
      <c r="G1" s="106" t="n">
        <f aca="false">SUM(G5:G200)</f>
        <v>1000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</row>
    <row r="2" customFormat="false" ht="12.75" hidden="false" customHeight="true" outlineLevel="0" collapsed="false">
      <c r="A2" s="108" t="s">
        <v>29</v>
      </c>
      <c r="B2" s="109" t="s">
        <v>30</v>
      </c>
      <c r="C2" s="110" t="s">
        <v>31</v>
      </c>
      <c r="D2" s="111"/>
      <c r="E2" s="109" t="s">
        <v>32</v>
      </c>
      <c r="F2" s="112" t="n">
        <f aca="false">[2]ClosingDebtors!$H$2</f>
        <v>20</v>
      </c>
      <c r="G2" s="109" t="s">
        <v>33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  <c r="IS2" s="107"/>
      <c r="IT2" s="107"/>
      <c r="IU2" s="107"/>
      <c r="IV2" s="107"/>
      <c r="IW2" s="107"/>
    </row>
    <row r="3" customFormat="false" ht="22.35" hidden="false" customHeight="false" outlineLevel="0" collapsed="false">
      <c r="A3" s="108"/>
      <c r="B3" s="109"/>
      <c r="C3" s="110"/>
      <c r="D3" s="111"/>
      <c r="E3" s="109"/>
      <c r="F3" s="109" t="s">
        <v>34</v>
      </c>
      <c r="G3" s="109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3"/>
      <c r="FY3" s="113"/>
      <c r="FZ3" s="113"/>
      <c r="GA3" s="113"/>
      <c r="GB3" s="113"/>
      <c r="GC3" s="113"/>
      <c r="GD3" s="113"/>
      <c r="GE3" s="113"/>
      <c r="GF3" s="113"/>
      <c r="GG3" s="113"/>
      <c r="GH3" s="113"/>
      <c r="GI3" s="113"/>
      <c r="GJ3" s="113"/>
      <c r="GK3" s="113"/>
      <c r="GL3" s="113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113"/>
      <c r="GZ3" s="113"/>
      <c r="HA3" s="113"/>
      <c r="HB3" s="113"/>
      <c r="HC3" s="113"/>
      <c r="HD3" s="113"/>
      <c r="HE3" s="113"/>
      <c r="HF3" s="113"/>
      <c r="HG3" s="113"/>
      <c r="HH3" s="113"/>
      <c r="HI3" s="113"/>
      <c r="HJ3" s="113"/>
      <c r="HK3" s="113"/>
      <c r="HL3" s="113"/>
      <c r="HM3" s="113"/>
      <c r="HN3" s="113"/>
      <c r="HO3" s="113"/>
      <c r="HP3" s="113"/>
      <c r="HQ3" s="113"/>
      <c r="HR3" s="113"/>
      <c r="HS3" s="113"/>
      <c r="HT3" s="113"/>
      <c r="HU3" s="113"/>
      <c r="HV3" s="113"/>
      <c r="HW3" s="113"/>
      <c r="HX3" s="113"/>
      <c r="HY3" s="113"/>
      <c r="HZ3" s="113"/>
      <c r="IA3" s="113"/>
      <c r="IB3" s="113"/>
      <c r="IC3" s="113"/>
      <c r="ID3" s="113"/>
      <c r="IE3" s="113"/>
      <c r="IF3" s="113"/>
      <c r="IG3" s="113"/>
      <c r="IH3" s="113"/>
      <c r="II3" s="113"/>
      <c r="IJ3" s="113"/>
      <c r="IK3" s="113"/>
      <c r="IL3" s="113"/>
      <c r="IM3" s="113"/>
      <c r="IN3" s="113"/>
      <c r="IO3" s="113"/>
      <c r="IP3" s="113"/>
      <c r="IQ3" s="113"/>
      <c r="IR3" s="113"/>
      <c r="IS3" s="113"/>
      <c r="IT3" s="113"/>
      <c r="IU3" s="113"/>
      <c r="IV3" s="113"/>
      <c r="IW3" s="113"/>
    </row>
    <row r="4" customFormat="false" ht="12.75" hidden="false" customHeight="false" outlineLevel="0" collapsed="false">
      <c r="A4" s="108"/>
      <c r="B4" s="108"/>
      <c r="C4" s="108"/>
      <c r="D4" s="111"/>
      <c r="E4" s="109"/>
      <c r="F4" s="114" t="n">
        <f aca="false">[2]ClosingDebtors!$H$4</f>
        <v>0</v>
      </c>
      <c r="G4" s="109"/>
    </row>
    <row r="5" customFormat="false" ht="12.75" hidden="false" customHeight="false" outlineLevel="0" collapsed="false">
      <c r="A5" s="98" t="n">
        <v>46549</v>
      </c>
      <c r="B5" s="99" t="s">
        <v>38</v>
      </c>
      <c r="C5" s="100" t="s">
        <v>43</v>
      </c>
      <c r="E5" s="99" t="n">
        <v>1200</v>
      </c>
      <c r="F5" s="99" t="n">
        <f aca="false">IF(F$4&gt;0,(IF(E5&lt;&gt;0,E5*F$4/100," ")),IF(E5&lt;&gt;0,E5*F$2/(100+F$2)," "))</f>
        <v>200</v>
      </c>
      <c r="G5" s="99" t="n">
        <f aca="false">IF((E5&lt;&gt;0),E5-F5," ")</f>
        <v>1000</v>
      </c>
    </row>
    <row r="6" customFormat="false" ht="12.75" hidden="false" customHeight="false" outlineLevel="0" collapsed="false">
      <c r="F6" s="99" t="str">
        <f aca="false">IF(F$4&gt;0,(IF(E6&lt;&gt;0,E6*F$4/100," ")),IF(E6&lt;&gt;0,E6*F$2/(100+F$2)," "))</f>
        <v> </v>
      </c>
      <c r="G6" s="99" t="str">
        <f aca="false">IF((E6&lt;&gt;0),E6-F6," ")</f>
        <v> </v>
      </c>
    </row>
    <row r="7" customFormat="false" ht="12.75" hidden="false" customHeight="false" outlineLevel="0" collapsed="false">
      <c r="F7" s="99" t="str">
        <f aca="false">IF(F$4&gt;0,(IF(E7&lt;&gt;0,E7*F$4/100," ")),IF(E7&lt;&gt;0,E7*F$2/(100+F$2)," "))</f>
        <v> </v>
      </c>
      <c r="G7" s="99" t="str">
        <f aca="false">IF((E7&lt;&gt;0),E7-F7," ")</f>
        <v> </v>
      </c>
    </row>
    <row r="8" customFormat="false" ht="12.75" hidden="false" customHeight="false" outlineLevel="0" collapsed="false">
      <c r="F8" s="99" t="str">
        <f aca="false">IF(F$4&gt;0,(IF(E8&lt;&gt;0,E8*F$4/100," ")),IF(E8&lt;&gt;0,E8*F$2/(100+F$2)," "))</f>
        <v> </v>
      </c>
      <c r="G8" s="99" t="str">
        <f aca="false">IF((E8&lt;&gt;0),E8-F8," ")</f>
        <v> </v>
      </c>
    </row>
    <row r="9" customFormat="false" ht="12.75" hidden="false" customHeight="false" outlineLevel="0" collapsed="false">
      <c r="F9" s="99" t="str">
        <f aca="false">IF(F$4&gt;0,(IF(E9&lt;&gt;0,E9*F$4/100," ")),IF(E9&lt;&gt;0,E9*F$2/(100+F$2)," "))</f>
        <v> </v>
      </c>
      <c r="G9" s="99" t="str">
        <f aca="false">IF((E9&lt;&gt;0),E9-F9," ")</f>
        <v> </v>
      </c>
    </row>
    <row r="10" customFormat="false" ht="12.75" hidden="false" customHeight="false" outlineLevel="0" collapsed="false">
      <c r="F10" s="99" t="str">
        <f aca="false">IF(F$4&gt;0,(IF(E10&lt;&gt;0,E10*F$4/100," ")),IF(E10&lt;&gt;0,E10*F$2/(100+F$2)," "))</f>
        <v> </v>
      </c>
      <c r="G10" s="99" t="str">
        <f aca="false">IF((E10&lt;&gt;0),E10-F10," ")</f>
        <v> </v>
      </c>
    </row>
    <row r="11" customFormat="false" ht="12.75" hidden="false" customHeight="false" outlineLevel="0" collapsed="false">
      <c r="F11" s="99" t="str">
        <f aca="false">IF(F$4&gt;0,(IF(E11&lt;&gt;0,E11*F$4/100," ")),IF(E11&lt;&gt;0,E11*F$2/(100+F$2)," "))</f>
        <v> </v>
      </c>
      <c r="G11" s="99" t="str">
        <f aca="false">IF((E11&lt;&gt;0),E11-F11," ")</f>
        <v> </v>
      </c>
    </row>
    <row r="12" customFormat="false" ht="12.75" hidden="false" customHeight="false" outlineLevel="0" collapsed="false">
      <c r="F12" s="99" t="str">
        <f aca="false">IF(F$4&gt;0,(IF(E12&lt;&gt;0,E12*F$4/100," ")),IF(E12&lt;&gt;0,E12*F$2/(100+F$2)," "))</f>
        <v> </v>
      </c>
      <c r="G12" s="99" t="str">
        <f aca="false">IF((E12&lt;&gt;0),E12-F12," ")</f>
        <v> </v>
      </c>
    </row>
    <row r="13" customFormat="false" ht="12.75" hidden="false" customHeight="false" outlineLevel="0" collapsed="false">
      <c r="F13" s="99" t="str">
        <f aca="false">IF(F$4&gt;0,(IF(E13&lt;&gt;0,E13*F$4/100," ")),IF(E13&lt;&gt;0,E13*F$2/(100+F$2)," "))</f>
        <v> </v>
      </c>
      <c r="G13" s="99" t="str">
        <f aca="false">IF((E13&lt;&gt;0),E13-F13," ")</f>
        <v> </v>
      </c>
    </row>
    <row r="14" customFormat="false" ht="12.75" hidden="false" customHeight="false" outlineLevel="0" collapsed="false">
      <c r="F14" s="99" t="str">
        <f aca="false">IF(F$4&gt;0,(IF(E14&lt;&gt;0,E14*F$4/100," ")),IF(E14&lt;&gt;0,E14*F$2/(100+F$2)," "))</f>
        <v> </v>
      </c>
      <c r="G14" s="99" t="str">
        <f aca="false">IF((E14&lt;&gt;0),E14-F14," ")</f>
        <v> </v>
      </c>
    </row>
    <row r="15" customFormat="false" ht="12.75" hidden="false" customHeight="false" outlineLevel="0" collapsed="false">
      <c r="F15" s="99" t="str">
        <f aca="false">IF(F$4&gt;0,(IF(E15&lt;&gt;0,E15*F$4/100," ")),IF(E15&lt;&gt;0,E15*F$2/(100+F$2)," "))</f>
        <v> </v>
      </c>
      <c r="G15" s="99" t="str">
        <f aca="false">IF((E15&lt;&gt;0),E15-F15," ")</f>
        <v> </v>
      </c>
    </row>
    <row r="16" customFormat="false" ht="12.75" hidden="false" customHeight="false" outlineLevel="0" collapsed="false">
      <c r="F16" s="99" t="str">
        <f aca="false">IF(F$4&gt;0,(IF(E16&lt;&gt;0,E16*F$4/100," ")),IF(E16&lt;&gt;0,E16*F$2/(100+F$2)," "))</f>
        <v> </v>
      </c>
      <c r="G16" s="99" t="str">
        <f aca="false">IF((E16&lt;&gt;0),E16-F16," ")</f>
        <v> </v>
      </c>
    </row>
    <row r="17" customFormat="false" ht="12.75" hidden="false" customHeight="false" outlineLevel="0" collapsed="false">
      <c r="F17" s="99" t="str">
        <f aca="false">IF(F$4&gt;0,(IF(E17&lt;&gt;0,E17*F$4/100," ")),IF(E17&lt;&gt;0,E17*F$2/(100+F$2)," "))</f>
        <v> </v>
      </c>
      <c r="G17" s="99" t="str">
        <f aca="false">IF((E17&lt;&gt;0),E17-F17," ")</f>
        <v> </v>
      </c>
    </row>
    <row r="18" customFormat="false" ht="12.75" hidden="false" customHeight="false" outlineLevel="0" collapsed="false">
      <c r="F18" s="99" t="str">
        <f aca="false">IF(F$4&gt;0,(IF(E18&lt;&gt;0,E18*F$4/100," ")),IF(E18&lt;&gt;0,E18*F$2/(100+F$2)," "))</f>
        <v> </v>
      </c>
      <c r="G18" s="99" t="str">
        <f aca="false">IF((E18&lt;&gt;0),E18-F18," ")</f>
        <v> </v>
      </c>
    </row>
    <row r="19" customFormat="false" ht="12.75" hidden="false" customHeight="false" outlineLevel="0" collapsed="false">
      <c r="F19" s="99" t="str">
        <f aca="false">IF(F$4&gt;0,(IF(E19&lt;&gt;0,E19*F$4/100," ")),IF(E19&lt;&gt;0,E19*F$2/(100+F$2)," "))</f>
        <v> </v>
      </c>
      <c r="G19" s="99" t="str">
        <f aca="false">IF((E19&lt;&gt;0),E19-F19," ")</f>
        <v> </v>
      </c>
    </row>
    <row r="20" customFormat="false" ht="12.75" hidden="false" customHeight="false" outlineLevel="0" collapsed="false">
      <c r="F20" s="99" t="str">
        <f aca="false">IF(F$4&gt;0,(IF(E20&lt;&gt;0,E20*F$4/100," ")),IF(E20&lt;&gt;0,E20*F$2/(100+F$2)," "))</f>
        <v> </v>
      </c>
      <c r="G20" s="99" t="str">
        <f aca="false">IF((E20&lt;&gt;0),E20-F20," ")</f>
        <v> </v>
      </c>
    </row>
    <row r="21" customFormat="false" ht="12.75" hidden="false" customHeight="false" outlineLevel="0" collapsed="false">
      <c r="F21" s="99" t="str">
        <f aca="false">IF(F$4&gt;0,(IF(E21&lt;&gt;0,E21*F$4/100," ")),IF(E21&lt;&gt;0,E21*F$2/(100+F$2)," "))</f>
        <v> </v>
      </c>
      <c r="G21" s="99" t="str">
        <f aca="false">IF((E21&lt;&gt;0),E21-F21," ")</f>
        <v> </v>
      </c>
    </row>
    <row r="22" customFormat="false" ht="12.75" hidden="false" customHeight="false" outlineLevel="0" collapsed="false">
      <c r="F22" s="99" t="str">
        <f aca="false">IF(F$4&gt;0,(IF(E22&lt;&gt;0,E22*F$4/100," ")),IF(E22&lt;&gt;0,E22*F$2/(100+F$2)," "))</f>
        <v> </v>
      </c>
      <c r="G22" s="99" t="str">
        <f aca="false">IF((E22&lt;&gt;0),E22-F22," ")</f>
        <v> </v>
      </c>
    </row>
    <row r="23" customFormat="false" ht="12.75" hidden="false" customHeight="false" outlineLevel="0" collapsed="false">
      <c r="F23" s="99" t="str">
        <f aca="false">IF(F$4&gt;0,(IF(E23&lt;&gt;0,E23*F$4/100," ")),IF(E23&lt;&gt;0,E23*F$2/(100+F$2)," "))</f>
        <v> </v>
      </c>
      <c r="G23" s="99" t="str">
        <f aca="false">IF((E23&lt;&gt;0),E23-F23," ")</f>
        <v> </v>
      </c>
    </row>
    <row r="24" customFormat="false" ht="12.75" hidden="false" customHeight="false" outlineLevel="0" collapsed="false">
      <c r="F24" s="99" t="str">
        <f aca="false">IF(F$4&gt;0,(IF(E24&lt;&gt;0,E24*F$4/100," ")),IF(E24&lt;&gt;0,E24*F$2/(100+F$2)," "))</f>
        <v> </v>
      </c>
      <c r="G24" s="99" t="str">
        <f aca="false">IF((E24&lt;&gt;0),E24-F24," ")</f>
        <v> </v>
      </c>
    </row>
    <row r="25" customFormat="false" ht="12.75" hidden="false" customHeight="false" outlineLevel="0" collapsed="false">
      <c r="F25" s="99" t="str">
        <f aca="false">IF(F$4&gt;0,(IF(E25&lt;&gt;0,E25*F$4/100," ")),IF(E25&lt;&gt;0,E25*F$2/(100+F$2)," "))</f>
        <v> </v>
      </c>
      <c r="G25" s="99" t="str">
        <f aca="false">IF((E25&lt;&gt;0),E25-F25," ")</f>
        <v> </v>
      </c>
    </row>
    <row r="26" customFormat="false" ht="12.75" hidden="false" customHeight="false" outlineLevel="0" collapsed="false">
      <c r="F26" s="99" t="str">
        <f aca="false">IF(F$4&gt;0,(IF(E26&lt;&gt;0,E26*F$4/100," ")),IF(E26&lt;&gt;0,E26*F$2/(100+F$2)," "))</f>
        <v> </v>
      </c>
      <c r="G26" s="99" t="str">
        <f aca="false">IF((E26&lt;&gt;0),E26-F26," ")</f>
        <v> </v>
      </c>
    </row>
    <row r="27" customFormat="false" ht="12.75" hidden="false" customHeight="false" outlineLevel="0" collapsed="false">
      <c r="F27" s="99" t="str">
        <f aca="false">IF(F$4&gt;0,(IF(E27&lt;&gt;0,E27*F$4/100," ")),IF(E27&lt;&gt;0,E27*F$2/(100+F$2)," "))</f>
        <v> </v>
      </c>
      <c r="G27" s="99" t="str">
        <f aca="false">IF((E27&lt;&gt;0),E27-F27," ")</f>
        <v> </v>
      </c>
    </row>
    <row r="28" customFormat="false" ht="12.75" hidden="false" customHeight="false" outlineLevel="0" collapsed="false">
      <c r="F28" s="99" t="str">
        <f aca="false">IF(F$4&gt;0,(IF(E28&lt;&gt;0,E28*F$4/100," ")),IF(E28&lt;&gt;0,E28*F$2/(100+F$2)," "))</f>
        <v> </v>
      </c>
      <c r="G28" s="99" t="str">
        <f aca="false">IF((E28&lt;&gt;0),E28-F28," ")</f>
        <v> </v>
      </c>
    </row>
    <row r="29" customFormat="false" ht="12.75" hidden="false" customHeight="false" outlineLevel="0" collapsed="false">
      <c r="F29" s="99" t="str">
        <f aca="false">IF(F$4&gt;0,(IF(E29&lt;&gt;0,E29*F$4/100," ")),IF(E29&lt;&gt;0,E29*F$2/(100+F$2)," "))</f>
        <v> </v>
      </c>
      <c r="G29" s="99" t="str">
        <f aca="false">IF((E29&lt;&gt;0),E29-F29," ")</f>
        <v> </v>
      </c>
    </row>
    <row r="30" customFormat="false" ht="12.75" hidden="false" customHeight="false" outlineLevel="0" collapsed="false">
      <c r="F30" s="99" t="str">
        <f aca="false">IF(F$4&gt;0,(IF(E30&lt;&gt;0,E30*F$4/100," ")),IF(E30&lt;&gt;0,E30*F$2/(100+F$2)," "))</f>
        <v> </v>
      </c>
      <c r="G30" s="99" t="str">
        <f aca="false">IF((E30&lt;&gt;0),E30-F30," ")</f>
        <v> </v>
      </c>
    </row>
    <row r="31" customFormat="false" ht="12.75" hidden="false" customHeight="false" outlineLevel="0" collapsed="false">
      <c r="F31" s="99" t="str">
        <f aca="false">IF(F$4&gt;0,(IF(E31&lt;&gt;0,E31*F$4/100," ")),IF(E31&lt;&gt;0,E31*F$2/(100+F$2)," "))</f>
        <v> </v>
      </c>
      <c r="G31" s="99" t="str">
        <f aca="false">IF((E31&lt;&gt;0),E31-F31," ")</f>
        <v> </v>
      </c>
    </row>
    <row r="32" customFormat="false" ht="12.75" hidden="false" customHeight="false" outlineLevel="0" collapsed="false">
      <c r="F32" s="99" t="str">
        <f aca="false">IF(F$4&gt;0,(IF(E32&lt;&gt;0,E32*F$4/100," ")),IF(E32&lt;&gt;0,E32*F$2/(100+F$2)," "))</f>
        <v> </v>
      </c>
      <c r="G32" s="99" t="str">
        <f aca="false">IF((E32&lt;&gt;0),E32-F32," ")</f>
        <v> </v>
      </c>
    </row>
    <row r="33" customFormat="false" ht="12.75" hidden="false" customHeight="false" outlineLevel="0" collapsed="false">
      <c r="F33" s="99" t="str">
        <f aca="false">IF(F$4&gt;0,(IF(E33&lt;&gt;0,E33*F$4/100," ")),IF(E33&lt;&gt;0,E33*F$2/(100+F$2)," "))</f>
        <v> </v>
      </c>
      <c r="G33" s="99" t="str">
        <f aca="false">IF((E33&lt;&gt;0),E33-F33," ")</f>
        <v> </v>
      </c>
    </row>
    <row r="34" customFormat="false" ht="12.75" hidden="false" customHeight="false" outlineLevel="0" collapsed="false">
      <c r="F34" s="99" t="str">
        <f aca="false">IF(F$4&gt;0,(IF(E34&lt;&gt;0,E34*F$4/100," ")),IF(E34&lt;&gt;0,E34*F$2/(100+F$2)," "))</f>
        <v> </v>
      </c>
      <c r="G34" s="99" t="str">
        <f aca="false">IF((E34&lt;&gt;0),E34-F34," ")</f>
        <v> </v>
      </c>
    </row>
    <row r="35" customFormat="false" ht="12.75" hidden="false" customHeight="false" outlineLevel="0" collapsed="false">
      <c r="F35" s="99" t="str">
        <f aca="false">IF(F$4&gt;0,(IF(E35&lt;&gt;0,E35*F$4/100," ")),IF(E35&lt;&gt;0,E35*F$2/(100+F$2)," "))</f>
        <v> </v>
      </c>
      <c r="G35" s="99" t="str">
        <f aca="false">IF((E35&lt;&gt;0),E35-F35," ")</f>
        <v> </v>
      </c>
    </row>
    <row r="36" customFormat="false" ht="12.75" hidden="false" customHeight="false" outlineLevel="0" collapsed="false">
      <c r="F36" s="99" t="str">
        <f aca="false">IF(F$4&gt;0,(IF(E36&lt;&gt;0,E36*F$4/100," ")),IF(E36&lt;&gt;0,E36*F$2/(100+F$2)," "))</f>
        <v> </v>
      </c>
      <c r="G36" s="99" t="str">
        <f aca="false">IF((E36&lt;&gt;0),E36-F36," ")</f>
        <v> </v>
      </c>
    </row>
    <row r="37" customFormat="false" ht="12.75" hidden="false" customHeight="false" outlineLevel="0" collapsed="false">
      <c r="F37" s="99" t="str">
        <f aca="false">IF(F$4&gt;0,(IF(E37&lt;&gt;0,E37*F$4/100," ")),IF(E37&lt;&gt;0,E37*F$2/(100+F$2)," "))</f>
        <v> </v>
      </c>
      <c r="G37" s="99" t="str">
        <f aca="false">IF((E37&lt;&gt;0),E37-F37," ")</f>
        <v> </v>
      </c>
    </row>
    <row r="38" customFormat="false" ht="12.75" hidden="false" customHeight="false" outlineLevel="0" collapsed="false">
      <c r="F38" s="99" t="str">
        <f aca="false">IF(F$4&gt;0,(IF(E38&lt;&gt;0,E38*F$4/100," ")),IF(E38&lt;&gt;0,E38*F$2/(100+F$2)," "))</f>
        <v> </v>
      </c>
      <c r="G38" s="99" t="str">
        <f aca="false">IF((E38&lt;&gt;0),E38-F38," ")</f>
        <v> </v>
      </c>
    </row>
    <row r="39" customFormat="false" ht="12.75" hidden="false" customHeight="false" outlineLevel="0" collapsed="false">
      <c r="F39" s="99" t="str">
        <f aca="false">IF(F$4&gt;0,(IF(E39&lt;&gt;0,E39*F$4/100," ")),IF(E39&lt;&gt;0,E39*F$2/(100+F$2)," "))</f>
        <v> </v>
      </c>
      <c r="G39" s="99" t="str">
        <f aca="false">IF((E39&lt;&gt;0),E39-F39," ")</f>
        <v> </v>
      </c>
    </row>
    <row r="40" customFormat="false" ht="12.75" hidden="false" customHeight="false" outlineLevel="0" collapsed="false">
      <c r="F40" s="99" t="str">
        <f aca="false">IF(F$4&gt;0,(IF(E40&lt;&gt;0,E40*F$4/100," ")),IF(E40&lt;&gt;0,E40*F$2/(100+F$2)," "))</f>
        <v> </v>
      </c>
      <c r="G40" s="99" t="str">
        <f aca="false">IF((E40&lt;&gt;0),E40-F40," ")</f>
        <v> </v>
      </c>
    </row>
    <row r="41" customFormat="false" ht="12.75" hidden="false" customHeight="false" outlineLevel="0" collapsed="false">
      <c r="F41" s="99" t="str">
        <f aca="false">IF(F$4&gt;0,(IF(E41&lt;&gt;0,E41*F$4/100," ")),IF(E41&lt;&gt;0,E41*F$2/(100+F$2)," "))</f>
        <v> </v>
      </c>
      <c r="G41" s="99" t="str">
        <f aca="false">IF((E41&lt;&gt;0),E41-F41," ")</f>
        <v> </v>
      </c>
    </row>
    <row r="42" customFormat="false" ht="12.75" hidden="false" customHeight="false" outlineLevel="0" collapsed="false">
      <c r="F42" s="99" t="str">
        <f aca="false">IF(F$4&gt;0,(IF(E42&lt;&gt;0,E42*F$4/100," ")),IF(E42&lt;&gt;0,E42*F$2/(100+F$2)," "))</f>
        <v> </v>
      </c>
      <c r="G42" s="99" t="str">
        <f aca="false">IF((E42&lt;&gt;0),E42-F42," ")</f>
        <v> </v>
      </c>
    </row>
    <row r="43" customFormat="false" ht="12.75" hidden="false" customHeight="false" outlineLevel="0" collapsed="false">
      <c r="F43" s="99" t="str">
        <f aca="false">IF(F$4&gt;0,(IF(E43&lt;&gt;0,E43*F$4/100," ")),IF(E43&lt;&gt;0,E43*F$2/(100+F$2)," "))</f>
        <v> </v>
      </c>
      <c r="G43" s="99" t="str">
        <f aca="false">IF((E43&lt;&gt;0),E43-F43," ")</f>
        <v> </v>
      </c>
    </row>
    <row r="44" customFormat="false" ht="12.75" hidden="false" customHeight="false" outlineLevel="0" collapsed="false">
      <c r="F44" s="99" t="str">
        <f aca="false">IF(F$4&gt;0,(IF(E44&lt;&gt;0,E44*F$4/100," ")),IF(E44&lt;&gt;0,E44*F$2/(100+F$2)," "))</f>
        <v> </v>
      </c>
      <c r="G44" s="99" t="str">
        <f aca="false">IF((E44&lt;&gt;0),E44-F44," ")</f>
        <v> </v>
      </c>
    </row>
    <row r="45" customFormat="false" ht="12.75" hidden="false" customHeight="false" outlineLevel="0" collapsed="false">
      <c r="F45" s="99" t="str">
        <f aca="false">IF(F$4&gt;0,(IF(E45&lt;&gt;0,E45*F$4/100," ")),IF(E45&lt;&gt;0,E45*F$2/(100+F$2)," "))</f>
        <v> </v>
      </c>
      <c r="G45" s="99" t="str">
        <f aca="false">IF((E45&lt;&gt;0),E45-F45," ")</f>
        <v> </v>
      </c>
    </row>
    <row r="46" customFormat="false" ht="12.75" hidden="false" customHeight="false" outlineLevel="0" collapsed="false">
      <c r="F46" s="99" t="str">
        <f aca="false">IF(F$4&gt;0,(IF(E46&lt;&gt;0,E46*F$4/100," ")),IF(E46&lt;&gt;0,E46*F$2/(100+F$2)," "))</f>
        <v> </v>
      </c>
      <c r="G46" s="99" t="str">
        <f aca="false">IF((E46&lt;&gt;0),E46-F46," ")</f>
        <v> </v>
      </c>
    </row>
    <row r="47" customFormat="false" ht="12.75" hidden="false" customHeight="false" outlineLevel="0" collapsed="false">
      <c r="F47" s="99" t="str">
        <f aca="false">IF(F$4&gt;0,(IF(E47&lt;&gt;0,E47*F$4/100," ")),IF(E47&lt;&gt;0,E47*F$2/(100+F$2)," "))</f>
        <v> </v>
      </c>
      <c r="G47" s="99" t="str">
        <f aca="false">IF((E47&lt;&gt;0),E47-F47," ")</f>
        <v> </v>
      </c>
    </row>
    <row r="48" customFormat="false" ht="12.75" hidden="false" customHeight="false" outlineLevel="0" collapsed="false">
      <c r="F48" s="99" t="str">
        <f aca="false">IF(F$4&gt;0,(IF(E48&lt;&gt;0,E48*F$4/100," ")),IF(E48&lt;&gt;0,E48*F$2/(100+F$2)," "))</f>
        <v> </v>
      </c>
      <c r="G48" s="99" t="str">
        <f aca="false">IF((E48&lt;&gt;0),E48-F48," ")</f>
        <v> </v>
      </c>
    </row>
    <row r="49" customFormat="false" ht="12.75" hidden="false" customHeight="false" outlineLevel="0" collapsed="false">
      <c r="F49" s="99" t="str">
        <f aca="false">IF(F$4&gt;0,(IF(E49&lt;&gt;0,E49*F$4/100," ")),IF(E49&lt;&gt;0,E49*F$2/(100+F$2)," "))</f>
        <v> </v>
      </c>
      <c r="G49" s="99" t="str">
        <f aca="false">IF((E49&lt;&gt;0),E49-F49," ")</f>
        <v> </v>
      </c>
    </row>
    <row r="50" customFormat="false" ht="12.75" hidden="false" customHeight="false" outlineLevel="0" collapsed="false">
      <c r="F50" s="99" t="str">
        <f aca="false">IF(F$4&gt;0,(IF(E50&lt;&gt;0,E50*F$4/100," ")),IF(E50&lt;&gt;0,E50*F$2/(100+F$2)," "))</f>
        <v> </v>
      </c>
      <c r="G50" s="99" t="str">
        <f aca="false">IF((E50&lt;&gt;0),E50-F50," ")</f>
        <v> </v>
      </c>
    </row>
    <row r="51" customFormat="false" ht="12.75" hidden="false" customHeight="false" outlineLevel="0" collapsed="false">
      <c r="F51" s="99" t="str">
        <f aca="false">IF(F$4&gt;0,(IF(E51&lt;&gt;0,E51*F$4/100," ")),IF(E51&lt;&gt;0,E51*F$2/(100+F$2)," "))</f>
        <v> </v>
      </c>
      <c r="G51" s="99" t="str">
        <f aca="false">IF((E51&lt;&gt;0),E51-F51," ")</f>
        <v> </v>
      </c>
    </row>
    <row r="52" customFormat="false" ht="12.75" hidden="false" customHeight="false" outlineLevel="0" collapsed="false">
      <c r="F52" s="99" t="str">
        <f aca="false">IF(F$4&gt;0,(IF(E52&lt;&gt;0,E52*F$4/100," ")),IF(E52&lt;&gt;0,E52*F$2/(100+F$2)," "))</f>
        <v> </v>
      </c>
      <c r="G52" s="99" t="str">
        <f aca="false">IF((E52&lt;&gt;0),E52-F52," ")</f>
        <v> </v>
      </c>
    </row>
    <row r="53" customFormat="false" ht="12.75" hidden="false" customHeight="false" outlineLevel="0" collapsed="false">
      <c r="F53" s="99" t="str">
        <f aca="false">IF(F$4&gt;0,(IF(E53&lt;&gt;0,E53*F$4/100," ")),IF(E53&lt;&gt;0,E53*F$2/(100+F$2)," "))</f>
        <v> </v>
      </c>
      <c r="G53" s="99" t="str">
        <f aca="false">IF((E53&lt;&gt;0),E53-F53," ")</f>
        <v> </v>
      </c>
    </row>
    <row r="54" customFormat="false" ht="12.75" hidden="false" customHeight="false" outlineLevel="0" collapsed="false">
      <c r="F54" s="99" t="str">
        <f aca="false">IF(F$4&gt;0,(IF(E54&lt;&gt;0,E54*F$4/100," ")),IF(E54&lt;&gt;0,E54*F$2/(100+F$2)," "))</f>
        <v> </v>
      </c>
      <c r="G54" s="99" t="str">
        <f aca="false">IF((E54&lt;&gt;0),E54-F54," ")</f>
        <v> </v>
      </c>
    </row>
    <row r="55" customFormat="false" ht="12.75" hidden="false" customHeight="false" outlineLevel="0" collapsed="false">
      <c r="F55" s="99" t="str">
        <f aca="false">IF(F$4&gt;0,(IF(E55&lt;&gt;0,E55*F$4/100," ")),IF(E55&lt;&gt;0,E55*F$2/(100+F$2)," "))</f>
        <v> </v>
      </c>
      <c r="G55" s="99" t="str">
        <f aca="false">IF((E55&lt;&gt;0),E55-F55," ")</f>
        <v> </v>
      </c>
    </row>
    <row r="56" customFormat="false" ht="12.75" hidden="false" customHeight="false" outlineLevel="0" collapsed="false">
      <c r="F56" s="99" t="str">
        <f aca="false">IF(F$4&gt;0,(IF(E56&lt;&gt;0,E56*F$4/100," ")),IF(E56&lt;&gt;0,E56*F$2/(100+F$2)," "))</f>
        <v> </v>
      </c>
      <c r="G56" s="99" t="str">
        <f aca="false">IF((E56&lt;&gt;0),E56-F56," ")</f>
        <v> </v>
      </c>
    </row>
    <row r="57" customFormat="false" ht="12.75" hidden="false" customHeight="false" outlineLevel="0" collapsed="false">
      <c r="F57" s="99" t="str">
        <f aca="false">IF(F$4&gt;0,(IF(E57&lt;&gt;0,E57*F$4/100," ")),IF(E57&lt;&gt;0,E57*F$2/(100+F$2)," "))</f>
        <v> </v>
      </c>
      <c r="G57" s="99" t="str">
        <f aca="false">IF((E57&lt;&gt;0),E57-F57," ")</f>
        <v> </v>
      </c>
    </row>
    <row r="58" customFormat="false" ht="12.75" hidden="false" customHeight="false" outlineLevel="0" collapsed="false">
      <c r="F58" s="99" t="str">
        <f aca="false">IF(F$4&gt;0,(IF(E58&lt;&gt;0,E58*F$4/100," ")),IF(E58&lt;&gt;0,E58*F$2/(100+F$2)," "))</f>
        <v> </v>
      </c>
      <c r="G58" s="99" t="str">
        <f aca="false">IF((E58&lt;&gt;0),E58-F58," ")</f>
        <v> </v>
      </c>
    </row>
    <row r="59" customFormat="false" ht="12.75" hidden="false" customHeight="false" outlineLevel="0" collapsed="false">
      <c r="F59" s="99" t="str">
        <f aca="false">IF(F$4&gt;0,(IF(E59&lt;&gt;0,E59*F$4/100," ")),IF(E59&lt;&gt;0,E59*F$2/(100+F$2)," "))</f>
        <v> </v>
      </c>
      <c r="G59" s="99" t="str">
        <f aca="false">IF((E59&lt;&gt;0),E59-F59," ")</f>
        <v> </v>
      </c>
    </row>
    <row r="60" customFormat="false" ht="12.75" hidden="false" customHeight="false" outlineLevel="0" collapsed="false">
      <c r="F60" s="99" t="str">
        <f aca="false">IF(F$4&gt;0,(IF(E60&lt;&gt;0,E60*F$4/100," ")),IF(E60&lt;&gt;0,E60*F$2/(100+F$2)," "))</f>
        <v> </v>
      </c>
      <c r="G60" s="99" t="str">
        <f aca="false">IF((E60&lt;&gt;0),E60-F60," ")</f>
        <v> </v>
      </c>
    </row>
    <row r="61" customFormat="false" ht="12.75" hidden="false" customHeight="false" outlineLevel="0" collapsed="false">
      <c r="F61" s="99" t="str">
        <f aca="false">IF(F$4&gt;0,(IF(E61&lt;&gt;0,E61*F$4/100," ")),IF(E61&lt;&gt;0,E61*F$2/(100+F$2)," "))</f>
        <v> </v>
      </c>
      <c r="G61" s="99" t="str">
        <f aca="false">IF((E61&lt;&gt;0),E61-F61," ")</f>
        <v> </v>
      </c>
    </row>
    <row r="62" customFormat="false" ht="12.75" hidden="false" customHeight="false" outlineLevel="0" collapsed="false">
      <c r="F62" s="99" t="str">
        <f aca="false">IF(F$4&gt;0,(IF(E62&lt;&gt;0,E62*F$4/100," ")),IF(E62&lt;&gt;0,E62*F$2/(100+F$2)," "))</f>
        <v> </v>
      </c>
      <c r="G62" s="99" t="str">
        <f aca="false">IF((E62&lt;&gt;0),E62-F62," ")</f>
        <v> </v>
      </c>
    </row>
    <row r="63" customFormat="false" ht="12.75" hidden="false" customHeight="false" outlineLevel="0" collapsed="false">
      <c r="F63" s="99" t="str">
        <f aca="false">IF(F$4&gt;0,(IF(E63&lt;&gt;0,E63*F$4/100," ")),IF(E63&lt;&gt;0,E63*F$2/(100+F$2)," "))</f>
        <v> </v>
      </c>
      <c r="G63" s="99" t="str">
        <f aca="false">IF((E63&lt;&gt;0),E63-F63," ")</f>
        <v> </v>
      </c>
    </row>
    <row r="64" customFormat="false" ht="12.75" hidden="false" customHeight="false" outlineLevel="0" collapsed="false">
      <c r="F64" s="99" t="str">
        <f aca="false">IF(F$4&gt;0,(IF(E64&lt;&gt;0,E64*F$4/100," ")),IF(E64&lt;&gt;0,E64*F$2/(100+F$2)," "))</f>
        <v> </v>
      </c>
      <c r="G64" s="99" t="str">
        <f aca="false">IF((E64&lt;&gt;0),E64-F64," ")</f>
        <v> </v>
      </c>
    </row>
    <row r="65" customFormat="false" ht="12.75" hidden="false" customHeight="false" outlineLevel="0" collapsed="false">
      <c r="F65" s="99" t="str">
        <f aca="false">IF(F$4&gt;0,(IF(E65&lt;&gt;0,E65*F$4/100," ")),IF(E65&lt;&gt;0,E65*F$2/(100+F$2)," "))</f>
        <v> </v>
      </c>
      <c r="G65" s="99" t="str">
        <f aca="false">IF((E65&lt;&gt;0),E65-F65," ")</f>
        <v> </v>
      </c>
    </row>
    <row r="66" customFormat="false" ht="12.75" hidden="false" customHeight="false" outlineLevel="0" collapsed="false">
      <c r="F66" s="99" t="str">
        <f aca="false">IF(F$4&gt;0,(IF(E66&lt;&gt;0,E66*F$4/100," ")),IF(E66&lt;&gt;0,E66*F$2/(100+F$2)," "))</f>
        <v> </v>
      </c>
      <c r="G66" s="99" t="str">
        <f aca="false">IF((E66&lt;&gt;0),E66-F66," ")</f>
        <v> </v>
      </c>
    </row>
    <row r="67" customFormat="false" ht="12.75" hidden="false" customHeight="false" outlineLevel="0" collapsed="false">
      <c r="F67" s="99" t="str">
        <f aca="false">IF(F$4&gt;0,(IF(E67&lt;&gt;0,E67*F$4/100," ")),IF(E67&lt;&gt;0,E67*F$2/(100+F$2)," "))</f>
        <v> </v>
      </c>
      <c r="G67" s="99" t="str">
        <f aca="false">IF((E67&lt;&gt;0),E67-F67," ")</f>
        <v> </v>
      </c>
    </row>
    <row r="68" customFormat="false" ht="12.75" hidden="false" customHeight="false" outlineLevel="0" collapsed="false">
      <c r="F68" s="99" t="str">
        <f aca="false">IF(F$4&gt;0,(IF(E68&lt;&gt;0,E68*F$4/100," ")),IF(E68&lt;&gt;0,E68*F$2/(100+F$2)," "))</f>
        <v> </v>
      </c>
      <c r="G68" s="99" t="str">
        <f aca="false">IF((E68&lt;&gt;0),E68-F68," ")</f>
        <v> </v>
      </c>
    </row>
    <row r="69" customFormat="false" ht="12.75" hidden="false" customHeight="false" outlineLevel="0" collapsed="false">
      <c r="F69" s="99" t="str">
        <f aca="false">IF(F$4&gt;0,(IF(E69&lt;&gt;0,E69*F$4/100," ")),IF(E69&lt;&gt;0,E69*F$2/(100+F$2)," "))</f>
        <v> </v>
      </c>
      <c r="G69" s="99" t="str">
        <f aca="false">IF((E69&lt;&gt;0),E69-F69," ")</f>
        <v> </v>
      </c>
    </row>
    <row r="70" customFormat="false" ht="12.75" hidden="false" customHeight="false" outlineLevel="0" collapsed="false">
      <c r="F70" s="99" t="str">
        <f aca="false">IF(F$4&gt;0,(IF(E70&lt;&gt;0,E70*F$4/100," ")),IF(E70&lt;&gt;0,E70*F$2/(100+F$2)," "))</f>
        <v> </v>
      </c>
      <c r="G70" s="99" t="str">
        <f aca="false">IF((E70&lt;&gt;0),E70-F70," ")</f>
        <v> </v>
      </c>
    </row>
    <row r="71" customFormat="false" ht="12.75" hidden="false" customHeight="false" outlineLevel="0" collapsed="false">
      <c r="F71" s="99" t="str">
        <f aca="false">IF(F$4&gt;0,(IF(E71&lt;&gt;0,E71*F$4/100," ")),IF(E71&lt;&gt;0,E71*F$2/(100+F$2)," "))</f>
        <v> </v>
      </c>
      <c r="G71" s="99" t="str">
        <f aca="false">IF((E71&lt;&gt;0),E71-F71," ")</f>
        <v> </v>
      </c>
    </row>
    <row r="72" customFormat="false" ht="12.75" hidden="false" customHeight="false" outlineLevel="0" collapsed="false">
      <c r="F72" s="99" t="str">
        <f aca="false">IF(F$4&gt;0,(IF(E72&lt;&gt;0,E72*F$4/100," ")),IF(E72&lt;&gt;0,E72*F$2/(100+F$2)," "))</f>
        <v> </v>
      </c>
      <c r="G72" s="99" t="str">
        <f aca="false">IF((E72&lt;&gt;0),E72-F72," ")</f>
        <v> </v>
      </c>
    </row>
    <row r="73" customFormat="false" ht="12.75" hidden="false" customHeight="false" outlineLevel="0" collapsed="false">
      <c r="F73" s="99" t="str">
        <f aca="false">IF(F$4&gt;0,(IF(E73&lt;&gt;0,E73*F$4/100," ")),IF(E73&lt;&gt;0,E73*F$2/(100+F$2)," "))</f>
        <v> </v>
      </c>
      <c r="G73" s="99" t="str">
        <f aca="false">IF((E73&lt;&gt;0),E73-F73," ")</f>
        <v> </v>
      </c>
    </row>
    <row r="74" customFormat="false" ht="12.75" hidden="false" customHeight="false" outlineLevel="0" collapsed="false">
      <c r="F74" s="99" t="str">
        <f aca="false">IF(F$4&gt;0,(IF(E74&lt;&gt;0,E74*F$4/100," ")),IF(E74&lt;&gt;0,E74*F$2/(100+F$2)," "))</f>
        <v> </v>
      </c>
      <c r="G74" s="99" t="str">
        <f aca="false">IF((E74&lt;&gt;0),E74-F74," ")</f>
        <v> </v>
      </c>
    </row>
    <row r="75" customFormat="false" ht="12.75" hidden="false" customHeight="false" outlineLevel="0" collapsed="false">
      <c r="F75" s="99" t="str">
        <f aca="false">IF(F$4&gt;0,(IF(E75&lt;&gt;0,E75*F$4/100," ")),IF(E75&lt;&gt;0,E75*F$2/(100+F$2)," "))</f>
        <v> </v>
      </c>
      <c r="G75" s="99" t="str">
        <f aca="false">IF((E75&lt;&gt;0),E75-F75," ")</f>
        <v> </v>
      </c>
    </row>
    <row r="76" customFormat="false" ht="12.75" hidden="false" customHeight="false" outlineLevel="0" collapsed="false">
      <c r="F76" s="99" t="str">
        <f aca="false">IF(F$4&gt;0,(IF(E76&lt;&gt;0,E76*F$4/100," ")),IF(E76&lt;&gt;0,E76*F$2/(100+F$2)," "))</f>
        <v> </v>
      </c>
      <c r="G76" s="99" t="str">
        <f aca="false">IF((E76&lt;&gt;0),E76-F76," ")</f>
        <v> </v>
      </c>
    </row>
    <row r="77" customFormat="false" ht="12.75" hidden="false" customHeight="false" outlineLevel="0" collapsed="false">
      <c r="F77" s="99" t="str">
        <f aca="false">IF(F$4&gt;0,(IF(E77&lt;&gt;0,E77*F$4/100," ")),IF(E77&lt;&gt;0,E77*F$2/(100+F$2)," "))</f>
        <v> </v>
      </c>
      <c r="G77" s="99" t="str">
        <f aca="false">IF((E77&lt;&gt;0),E77-F77," ")</f>
        <v> </v>
      </c>
    </row>
    <row r="78" customFormat="false" ht="12.75" hidden="false" customHeight="false" outlineLevel="0" collapsed="false">
      <c r="F78" s="99" t="str">
        <f aca="false">IF(F$4&gt;0,(IF(E78&lt;&gt;0,E78*F$4/100," ")),IF(E78&lt;&gt;0,E78*F$2/(100+F$2)," "))</f>
        <v> </v>
      </c>
      <c r="G78" s="99" t="str">
        <f aca="false">IF((E78&lt;&gt;0),E78-F78," ")</f>
        <v> </v>
      </c>
    </row>
    <row r="79" customFormat="false" ht="12.75" hidden="false" customHeight="false" outlineLevel="0" collapsed="false">
      <c r="F79" s="99" t="str">
        <f aca="false">IF(F$4&gt;0,(IF(E79&lt;&gt;0,E79*F$4/100," ")),IF(E79&lt;&gt;0,E79*F$2/(100+F$2)," "))</f>
        <v> </v>
      </c>
      <c r="G79" s="99" t="str">
        <f aca="false">IF((E79&lt;&gt;0),E79-F79," ")</f>
        <v> </v>
      </c>
    </row>
    <row r="80" customFormat="false" ht="12.75" hidden="false" customHeight="false" outlineLevel="0" collapsed="false">
      <c r="F80" s="99" t="str">
        <f aca="false">IF(F$4&gt;0,(IF(E80&lt;&gt;0,E80*F$4/100," ")),IF(E80&lt;&gt;0,E80*F$2/(100+F$2)," "))</f>
        <v> </v>
      </c>
      <c r="G80" s="99" t="str">
        <f aca="false">IF((E80&lt;&gt;0),E80-F80," ")</f>
        <v> </v>
      </c>
    </row>
    <row r="81" customFormat="false" ht="12.75" hidden="false" customHeight="false" outlineLevel="0" collapsed="false">
      <c r="F81" s="99" t="str">
        <f aca="false">IF(F$4&gt;0,(IF(E81&lt;&gt;0,E81*F$4/100," ")),IF(E81&lt;&gt;0,E81*F$2/(100+F$2)," "))</f>
        <v> </v>
      </c>
      <c r="G81" s="99" t="str">
        <f aca="false">IF((E81&lt;&gt;0),E81-F81," ")</f>
        <v> </v>
      </c>
    </row>
    <row r="82" customFormat="false" ht="12.75" hidden="false" customHeight="false" outlineLevel="0" collapsed="false">
      <c r="F82" s="99" t="str">
        <f aca="false">IF(F$4&gt;0,(IF(E82&lt;&gt;0,E82*F$4/100," ")),IF(E82&lt;&gt;0,E82*F$2/(100+F$2)," "))</f>
        <v> </v>
      </c>
      <c r="G82" s="99" t="str">
        <f aca="false">IF((E82&lt;&gt;0),E82-F82," ")</f>
        <v> </v>
      </c>
    </row>
    <row r="83" customFormat="false" ht="12.75" hidden="false" customHeight="false" outlineLevel="0" collapsed="false">
      <c r="F83" s="99" t="str">
        <f aca="false">IF(F$4&gt;0,(IF(E83&lt;&gt;0,E83*F$4/100," ")),IF(E83&lt;&gt;0,E83*F$2/(100+F$2)," "))</f>
        <v> </v>
      </c>
      <c r="G83" s="99" t="str">
        <f aca="false">IF((E83&lt;&gt;0),E83-F83," ")</f>
        <v> </v>
      </c>
    </row>
    <row r="84" customFormat="false" ht="12.75" hidden="false" customHeight="false" outlineLevel="0" collapsed="false">
      <c r="F84" s="99" t="str">
        <f aca="false">IF(F$4&gt;0,(IF(E84&lt;&gt;0,E84*F$4/100," ")),IF(E84&lt;&gt;0,E84*F$2/(100+F$2)," "))</f>
        <v> </v>
      </c>
      <c r="G84" s="99" t="str">
        <f aca="false">IF((E84&lt;&gt;0),E84-F84," ")</f>
        <v> </v>
      </c>
    </row>
    <row r="85" customFormat="false" ht="12.75" hidden="false" customHeight="false" outlineLevel="0" collapsed="false">
      <c r="F85" s="99" t="str">
        <f aca="false">IF(F$4&gt;0,(IF(E85&lt;&gt;0,E85*F$4/100," ")),IF(E85&lt;&gt;0,E85*F$2/(100+F$2)," "))</f>
        <v> </v>
      </c>
      <c r="G85" s="99" t="str">
        <f aca="false">IF((E85&lt;&gt;0),E85-F85," ")</f>
        <v> </v>
      </c>
    </row>
    <row r="86" customFormat="false" ht="12.75" hidden="false" customHeight="false" outlineLevel="0" collapsed="false">
      <c r="F86" s="99" t="str">
        <f aca="false">IF(F$4&gt;0,(IF(E86&lt;&gt;0,E86*F$4/100," ")),IF(E86&lt;&gt;0,E86*F$2/(100+F$2)," "))</f>
        <v> </v>
      </c>
      <c r="G86" s="99" t="str">
        <f aca="false">IF((E86&lt;&gt;0),E86-F86," ")</f>
        <v> </v>
      </c>
    </row>
    <row r="87" customFormat="false" ht="12.75" hidden="false" customHeight="false" outlineLevel="0" collapsed="false">
      <c r="F87" s="99" t="str">
        <f aca="false">IF(F$4&gt;0,(IF(E87&lt;&gt;0,E87*F$4/100," ")),IF(E87&lt;&gt;0,E87*F$2/(100+F$2)," "))</f>
        <v> </v>
      </c>
      <c r="G87" s="99" t="str">
        <f aca="false">IF((E87&lt;&gt;0),E87-F87," ")</f>
        <v> </v>
      </c>
    </row>
    <row r="88" customFormat="false" ht="12.75" hidden="false" customHeight="false" outlineLevel="0" collapsed="false">
      <c r="F88" s="99" t="str">
        <f aca="false">IF(F$4&gt;0,(IF(E88&lt;&gt;0,E88*F$4/100," ")),IF(E88&lt;&gt;0,E88*F$2/(100+F$2)," "))</f>
        <v> </v>
      </c>
      <c r="G88" s="99" t="str">
        <f aca="false">IF((E88&lt;&gt;0),E88-F88," ")</f>
        <v> </v>
      </c>
    </row>
    <row r="89" customFormat="false" ht="12.75" hidden="false" customHeight="false" outlineLevel="0" collapsed="false">
      <c r="F89" s="99" t="str">
        <f aca="false">IF(F$4&gt;0,(IF(E89&lt;&gt;0,E89*F$4/100," ")),IF(E89&lt;&gt;0,E89*F$2/(100+F$2)," "))</f>
        <v> </v>
      </c>
      <c r="G89" s="99" t="str">
        <f aca="false">IF((E89&lt;&gt;0),E89-F89," ")</f>
        <v> </v>
      </c>
    </row>
    <row r="90" customFormat="false" ht="12.75" hidden="false" customHeight="false" outlineLevel="0" collapsed="false">
      <c r="F90" s="99" t="str">
        <f aca="false">IF(F$4&gt;0,(IF(E90&lt;&gt;0,E90*F$4/100," ")),IF(E90&lt;&gt;0,E90*F$2/(100+F$2)," "))</f>
        <v> </v>
      </c>
      <c r="G90" s="99" t="str">
        <f aca="false">IF((E90&lt;&gt;0),E90-F90," ")</f>
        <v> </v>
      </c>
    </row>
    <row r="91" customFormat="false" ht="12.75" hidden="false" customHeight="false" outlineLevel="0" collapsed="false">
      <c r="F91" s="99" t="str">
        <f aca="false">IF(F$4&gt;0,(IF(E91&lt;&gt;0,E91*F$4/100," ")),IF(E91&lt;&gt;0,E91*F$2/(100+F$2)," "))</f>
        <v> </v>
      </c>
      <c r="G91" s="99" t="str">
        <f aca="false">IF((E91&lt;&gt;0),E91-F91," ")</f>
        <v> </v>
      </c>
    </row>
    <row r="92" customFormat="false" ht="12.75" hidden="false" customHeight="false" outlineLevel="0" collapsed="false">
      <c r="F92" s="99" t="str">
        <f aca="false">IF(F$4&gt;0,(IF(E92&lt;&gt;0,E92*F$4/100," ")),IF(E92&lt;&gt;0,E92*F$2/(100+F$2)," "))</f>
        <v> </v>
      </c>
      <c r="G92" s="99" t="str">
        <f aca="false">IF((E92&lt;&gt;0),E92-F92," ")</f>
        <v> </v>
      </c>
    </row>
    <row r="93" customFormat="false" ht="12.75" hidden="false" customHeight="false" outlineLevel="0" collapsed="false">
      <c r="F93" s="99" t="str">
        <f aca="false">IF(F$4&gt;0,(IF(E93&lt;&gt;0,E93*F$4/100," ")),IF(E93&lt;&gt;0,E93*F$2/(100+F$2)," "))</f>
        <v> </v>
      </c>
      <c r="G93" s="99" t="str">
        <f aca="false">IF((E93&lt;&gt;0),E93-F93," ")</f>
        <v> </v>
      </c>
    </row>
    <row r="94" customFormat="false" ht="12.75" hidden="false" customHeight="false" outlineLevel="0" collapsed="false">
      <c r="F94" s="99" t="str">
        <f aca="false">IF(F$4&gt;0,(IF(E94&lt;&gt;0,E94*F$4/100," ")),IF(E94&lt;&gt;0,E94*F$2/(100+F$2)," "))</f>
        <v> </v>
      </c>
      <c r="G94" s="99" t="str">
        <f aca="false">IF((E94&lt;&gt;0),E94-F94," ")</f>
        <v> </v>
      </c>
    </row>
    <row r="95" customFormat="false" ht="12.75" hidden="false" customHeight="false" outlineLevel="0" collapsed="false">
      <c r="F95" s="99" t="str">
        <f aca="false">IF(F$4&gt;0,(IF(E95&lt;&gt;0,E95*F$4/100," ")),IF(E95&lt;&gt;0,E95*F$2/(100+F$2)," "))</f>
        <v> </v>
      </c>
      <c r="G95" s="99" t="str">
        <f aca="false">IF((E95&lt;&gt;0),E95-F95," ")</f>
        <v> </v>
      </c>
    </row>
    <row r="96" customFormat="false" ht="12.75" hidden="false" customHeight="false" outlineLevel="0" collapsed="false">
      <c r="F96" s="99" t="str">
        <f aca="false">IF(F$4&gt;0,(IF(E96&lt;&gt;0,E96*F$4/100," ")),IF(E96&lt;&gt;0,E96*F$2/(100+F$2)," "))</f>
        <v> </v>
      </c>
      <c r="G96" s="99" t="str">
        <f aca="false">IF((E96&lt;&gt;0),E96-F96," ")</f>
        <v> </v>
      </c>
    </row>
    <row r="97" customFormat="false" ht="12.75" hidden="false" customHeight="false" outlineLevel="0" collapsed="false">
      <c r="F97" s="99" t="str">
        <f aca="false">IF(F$4&gt;0,(IF(E97&lt;&gt;0,E97*F$4/100," ")),IF(E97&lt;&gt;0,E97*F$2/(100+F$2)," "))</f>
        <v> </v>
      </c>
      <c r="G97" s="99" t="str">
        <f aca="false">IF((E97&lt;&gt;0),E97-F97," ")</f>
        <v> </v>
      </c>
    </row>
    <row r="98" customFormat="false" ht="12.75" hidden="false" customHeight="false" outlineLevel="0" collapsed="false">
      <c r="F98" s="99" t="str">
        <f aca="false">IF(F$4&gt;0,(IF(E98&lt;&gt;0,E98*F$4/100," ")),IF(E98&lt;&gt;0,E98*F$2/(100+F$2)," "))</f>
        <v> </v>
      </c>
      <c r="G98" s="99" t="str">
        <f aca="false">IF((E98&lt;&gt;0),E98-F98," ")</f>
        <v> </v>
      </c>
    </row>
    <row r="99" customFormat="false" ht="12.75" hidden="false" customHeight="false" outlineLevel="0" collapsed="false">
      <c r="F99" s="99" t="str">
        <f aca="false">IF(F$4&gt;0,(IF(E99&lt;&gt;0,E99*F$4/100," ")),IF(E99&lt;&gt;0,E99*F$2/(100+F$2)," "))</f>
        <v> </v>
      </c>
      <c r="G99" s="99" t="str">
        <f aca="false">IF((E99&lt;&gt;0),E99-F99," ")</f>
        <v> </v>
      </c>
    </row>
    <row r="100" customFormat="false" ht="12.75" hidden="false" customHeight="false" outlineLevel="0" collapsed="false">
      <c r="F100" s="99" t="str">
        <f aca="false">IF(F$4&gt;0,(IF(E100&lt;&gt;0,E100*F$4/100," ")),IF(E100&lt;&gt;0,E100*F$2/(100+F$2)," "))</f>
        <v> </v>
      </c>
      <c r="G100" s="99" t="str">
        <f aca="false">IF((E100&lt;&gt;0),E100-F100," ")</f>
        <v> </v>
      </c>
    </row>
    <row r="101" customFormat="false" ht="12.75" hidden="false" customHeight="false" outlineLevel="0" collapsed="false">
      <c r="F101" s="99" t="str">
        <f aca="false">IF(F$4&gt;0,(IF(E101&lt;&gt;0,E101*F$4/100," ")),IF(E101&lt;&gt;0,E101*F$2/(100+F$2)," "))</f>
        <v> </v>
      </c>
      <c r="G101" s="99" t="str">
        <f aca="false">IF((E101&lt;&gt;0),E101-F101," ")</f>
        <v> </v>
      </c>
    </row>
    <row r="102" customFormat="false" ht="12.75" hidden="false" customHeight="false" outlineLevel="0" collapsed="false">
      <c r="F102" s="99" t="str">
        <f aca="false">IF(F$4&gt;0,(IF(E102&lt;&gt;0,E102*F$4/100," ")),IF(E102&lt;&gt;0,E102*F$2/(100+F$2)," "))</f>
        <v> </v>
      </c>
      <c r="G102" s="99" t="str">
        <f aca="false">IF((E102&lt;&gt;0),E102-F102," ")</f>
        <v> </v>
      </c>
    </row>
    <row r="103" customFormat="false" ht="12.75" hidden="false" customHeight="false" outlineLevel="0" collapsed="false">
      <c r="F103" s="99" t="str">
        <f aca="false">IF(F$4&gt;0,(IF(E103&lt;&gt;0,E103*F$4/100," ")),IF(E103&lt;&gt;0,E103*F$2/(100+F$2)," "))</f>
        <v> </v>
      </c>
      <c r="G103" s="99" t="str">
        <f aca="false">IF((E103&lt;&gt;0),E103-F103," ")</f>
        <v> </v>
      </c>
    </row>
    <row r="104" customFormat="false" ht="12.75" hidden="false" customHeight="false" outlineLevel="0" collapsed="false">
      <c r="F104" s="99" t="str">
        <f aca="false">IF(F$4&gt;0,(IF(E104&lt;&gt;0,E104*F$4/100," ")),IF(E104&lt;&gt;0,E104*F$2/(100+F$2)," "))</f>
        <v> </v>
      </c>
      <c r="G104" s="99" t="str">
        <f aca="false">IF((E104&lt;&gt;0),E104-F104," ")</f>
        <v> </v>
      </c>
    </row>
    <row r="105" customFormat="false" ht="12.75" hidden="false" customHeight="false" outlineLevel="0" collapsed="false">
      <c r="F105" s="99" t="str">
        <f aca="false">IF(F$4&gt;0,(IF(E105&lt;&gt;0,E105*F$4/100," ")),IF(E105&lt;&gt;0,E105*F$2/(100+F$2)," "))</f>
        <v> </v>
      </c>
      <c r="G105" s="99" t="str">
        <f aca="false">IF((E105&lt;&gt;0),E105-F105," ")</f>
        <v> </v>
      </c>
    </row>
    <row r="106" customFormat="false" ht="12.75" hidden="false" customHeight="false" outlineLevel="0" collapsed="false">
      <c r="F106" s="99" t="str">
        <f aca="false">IF(F$4&gt;0,(IF(E106&lt;&gt;0,E106*F$4/100," ")),IF(E106&lt;&gt;0,E106*F$2/(100+F$2)," "))</f>
        <v> </v>
      </c>
      <c r="G106" s="99" t="str">
        <f aca="false">IF((E106&lt;&gt;0),E106-F106," ")</f>
        <v> </v>
      </c>
    </row>
    <row r="107" customFormat="false" ht="12.75" hidden="false" customHeight="false" outlineLevel="0" collapsed="false">
      <c r="F107" s="99" t="str">
        <f aca="false">IF(F$4&gt;0,(IF(E107&lt;&gt;0,E107*F$4/100," ")),IF(E107&lt;&gt;0,E107*F$2/(100+F$2)," "))</f>
        <v> </v>
      </c>
      <c r="G107" s="99" t="str">
        <f aca="false">IF((E107&lt;&gt;0),E107-F107," ")</f>
        <v> </v>
      </c>
    </row>
    <row r="108" customFormat="false" ht="12.75" hidden="false" customHeight="false" outlineLevel="0" collapsed="false">
      <c r="F108" s="99" t="str">
        <f aca="false">IF(F$4&gt;0,(IF(E108&lt;&gt;0,E108*F$4/100," ")),IF(E108&lt;&gt;0,E108*F$2/(100+F$2)," "))</f>
        <v> </v>
      </c>
      <c r="G108" s="99" t="str">
        <f aca="false">IF((E108&lt;&gt;0),E108-F108," ")</f>
        <v> </v>
      </c>
    </row>
    <row r="109" customFormat="false" ht="12.75" hidden="false" customHeight="false" outlineLevel="0" collapsed="false">
      <c r="F109" s="99" t="str">
        <f aca="false">IF(F$4&gt;0,(IF(E109&lt;&gt;0,E109*F$4/100," ")),IF(E109&lt;&gt;0,E109*F$2/(100+F$2)," "))</f>
        <v> </v>
      </c>
      <c r="G109" s="99" t="str">
        <f aca="false">IF((E109&lt;&gt;0),E109-F109," ")</f>
        <v> </v>
      </c>
    </row>
    <row r="110" customFormat="false" ht="12.75" hidden="false" customHeight="false" outlineLevel="0" collapsed="false">
      <c r="F110" s="99" t="str">
        <f aca="false">IF(F$4&gt;0,(IF(E110&lt;&gt;0,E110*F$4/100," ")),IF(E110&lt;&gt;0,E110*F$2/(100+F$2)," "))</f>
        <v> </v>
      </c>
      <c r="G110" s="99" t="str">
        <f aca="false">IF((E110&lt;&gt;0),E110-F110," ")</f>
        <v> </v>
      </c>
    </row>
    <row r="111" customFormat="false" ht="12.75" hidden="false" customHeight="false" outlineLevel="0" collapsed="false">
      <c r="F111" s="99" t="str">
        <f aca="false">IF(F$4&gt;0,(IF(E111&lt;&gt;0,E111*F$4/100," ")),IF(E111&lt;&gt;0,E111*F$2/(100+F$2)," "))</f>
        <v> </v>
      </c>
      <c r="G111" s="99" t="str">
        <f aca="false">IF((E111&lt;&gt;0),E111-F111," ")</f>
        <v> </v>
      </c>
    </row>
    <row r="112" customFormat="false" ht="12.75" hidden="false" customHeight="false" outlineLevel="0" collapsed="false">
      <c r="F112" s="99" t="str">
        <f aca="false">IF(F$4&gt;0,(IF(E112&lt;&gt;0,E112*F$4/100," ")),IF(E112&lt;&gt;0,E112*F$2/(100+F$2)," "))</f>
        <v> </v>
      </c>
      <c r="G112" s="99" t="str">
        <f aca="false">IF((E112&lt;&gt;0),E112-F112," ")</f>
        <v> </v>
      </c>
    </row>
    <row r="113" customFormat="false" ht="12.75" hidden="false" customHeight="false" outlineLevel="0" collapsed="false">
      <c r="F113" s="99" t="str">
        <f aca="false">IF(F$4&gt;0,(IF(E113&lt;&gt;0,E113*F$4/100," ")),IF(E113&lt;&gt;0,E113*F$2/(100+F$2)," "))</f>
        <v> </v>
      </c>
      <c r="G113" s="99" t="str">
        <f aca="false">IF((E113&lt;&gt;0),E113-F113," ")</f>
        <v> </v>
      </c>
    </row>
    <row r="114" customFormat="false" ht="12.75" hidden="false" customHeight="false" outlineLevel="0" collapsed="false">
      <c r="F114" s="99" t="str">
        <f aca="false">IF(F$4&gt;0,(IF(E114&lt;&gt;0,E114*F$4/100," ")),IF(E114&lt;&gt;0,E114*F$2/(100+F$2)," "))</f>
        <v> </v>
      </c>
      <c r="G114" s="99" t="str">
        <f aca="false">IF((E114&lt;&gt;0),E114-F114," ")</f>
        <v> </v>
      </c>
    </row>
    <row r="115" customFormat="false" ht="12.75" hidden="false" customHeight="false" outlineLevel="0" collapsed="false">
      <c r="F115" s="99" t="str">
        <f aca="false">IF(F$4&gt;0,(IF(E115&lt;&gt;0,E115*F$4/100," ")),IF(E115&lt;&gt;0,E115*F$2/(100+F$2)," "))</f>
        <v> </v>
      </c>
      <c r="G115" s="99" t="str">
        <f aca="false">IF((E115&lt;&gt;0),E115-F115," ")</f>
        <v> </v>
      </c>
    </row>
    <row r="116" customFormat="false" ht="12.75" hidden="false" customHeight="false" outlineLevel="0" collapsed="false">
      <c r="F116" s="99" t="str">
        <f aca="false">IF(F$4&gt;0,(IF(E116&lt;&gt;0,E116*F$4/100," ")),IF(E116&lt;&gt;0,E116*F$2/(100+F$2)," "))</f>
        <v> </v>
      </c>
      <c r="G116" s="99" t="str">
        <f aca="false">IF((E116&lt;&gt;0),E116-F116," ")</f>
        <v> </v>
      </c>
    </row>
    <row r="117" customFormat="false" ht="12.75" hidden="false" customHeight="false" outlineLevel="0" collapsed="false">
      <c r="F117" s="99" t="str">
        <f aca="false">IF(F$4&gt;0,(IF(E117&lt;&gt;0,E117*F$4/100," ")),IF(E117&lt;&gt;0,E117*F$2/(100+F$2)," "))</f>
        <v> </v>
      </c>
      <c r="G117" s="99" t="str">
        <f aca="false">IF((E117&lt;&gt;0),E117-F117," ")</f>
        <v> </v>
      </c>
    </row>
    <row r="118" customFormat="false" ht="12.75" hidden="false" customHeight="false" outlineLevel="0" collapsed="false">
      <c r="F118" s="99" t="str">
        <f aca="false">IF(F$4&gt;0,(IF(E118&lt;&gt;0,E118*F$4/100," ")),IF(E118&lt;&gt;0,E118*F$2/(100+F$2)," "))</f>
        <v> </v>
      </c>
      <c r="G118" s="99" t="str">
        <f aca="false">IF((E118&lt;&gt;0),E118-F118," ")</f>
        <v> </v>
      </c>
    </row>
    <row r="119" customFormat="false" ht="12.75" hidden="false" customHeight="false" outlineLevel="0" collapsed="false">
      <c r="F119" s="99" t="str">
        <f aca="false">IF(F$4&gt;0,(IF(E119&lt;&gt;0,E119*F$4/100," ")),IF(E119&lt;&gt;0,E119*F$2/(100+F$2)," "))</f>
        <v> </v>
      </c>
      <c r="G119" s="99" t="str">
        <f aca="false">IF((E119&lt;&gt;0),E119-F119," ")</f>
        <v> </v>
      </c>
    </row>
    <row r="120" customFormat="false" ht="12.75" hidden="false" customHeight="false" outlineLevel="0" collapsed="false">
      <c r="F120" s="99" t="str">
        <f aca="false">IF(F$4&gt;0,(IF(E120&lt;&gt;0,E120*F$4/100," ")),IF(E120&lt;&gt;0,E120*F$2/(100+F$2)," "))</f>
        <v> </v>
      </c>
      <c r="G120" s="99" t="str">
        <f aca="false">IF((E120&lt;&gt;0),E120-F120," ")</f>
        <v> </v>
      </c>
    </row>
    <row r="121" customFormat="false" ht="12.75" hidden="false" customHeight="false" outlineLevel="0" collapsed="false">
      <c r="F121" s="99" t="str">
        <f aca="false">IF(F$4&gt;0,(IF(E121&lt;&gt;0,E121*F$4/100," ")),IF(E121&lt;&gt;0,E121*F$2/(100+F$2)," "))</f>
        <v> </v>
      </c>
      <c r="G121" s="99" t="str">
        <f aca="false">IF((E121&lt;&gt;0),E121-F121," ")</f>
        <v> </v>
      </c>
    </row>
    <row r="122" customFormat="false" ht="12.75" hidden="false" customHeight="false" outlineLevel="0" collapsed="false">
      <c r="F122" s="99" t="str">
        <f aca="false">IF(F$4&gt;0,(IF(E122&lt;&gt;0,E122*F$4/100," ")),IF(E122&lt;&gt;0,E122*F$2/(100+F$2)," "))</f>
        <v> </v>
      </c>
      <c r="G122" s="99" t="str">
        <f aca="false">IF((E122&lt;&gt;0),E122-F122," ")</f>
        <v> </v>
      </c>
    </row>
    <row r="123" customFormat="false" ht="12.75" hidden="false" customHeight="false" outlineLevel="0" collapsed="false">
      <c r="F123" s="99" t="str">
        <f aca="false">IF(F$4&gt;0,(IF(E123&lt;&gt;0,E123*F$4/100," ")),IF(E123&lt;&gt;0,E123*F$2/(100+F$2)," "))</f>
        <v> </v>
      </c>
      <c r="G123" s="99" t="str">
        <f aca="false">IF((E123&lt;&gt;0),E123-F123," ")</f>
        <v> </v>
      </c>
    </row>
    <row r="124" customFormat="false" ht="12.75" hidden="false" customHeight="false" outlineLevel="0" collapsed="false">
      <c r="F124" s="99" t="str">
        <f aca="false">IF(F$4&gt;0,(IF(E124&lt;&gt;0,E124*F$4/100," ")),IF(E124&lt;&gt;0,E124*F$2/(100+F$2)," "))</f>
        <v> </v>
      </c>
      <c r="G124" s="99" t="str">
        <f aca="false">IF((E124&lt;&gt;0),E124-F124," ")</f>
        <v> </v>
      </c>
    </row>
    <row r="125" customFormat="false" ht="12.75" hidden="false" customHeight="false" outlineLevel="0" collapsed="false">
      <c r="F125" s="99" t="str">
        <f aca="false">IF(F$4&gt;0,(IF(E125&lt;&gt;0,E125*F$4/100," ")),IF(E125&lt;&gt;0,E125*F$2/(100+F$2)," "))</f>
        <v> </v>
      </c>
      <c r="G125" s="99" t="str">
        <f aca="false">IF((E125&lt;&gt;0),E125-F125," ")</f>
        <v> </v>
      </c>
    </row>
    <row r="126" customFormat="false" ht="12.75" hidden="false" customHeight="false" outlineLevel="0" collapsed="false">
      <c r="F126" s="99" t="str">
        <f aca="false">IF(F$4&gt;0,(IF(E126&lt;&gt;0,E126*F$4/100," ")),IF(E126&lt;&gt;0,E126*F$2/(100+F$2)," "))</f>
        <v> </v>
      </c>
      <c r="G126" s="99" t="str">
        <f aca="false">IF((E126&lt;&gt;0),E126-F126," ")</f>
        <v> </v>
      </c>
    </row>
    <row r="127" customFormat="false" ht="12.75" hidden="false" customHeight="false" outlineLevel="0" collapsed="false">
      <c r="F127" s="99" t="str">
        <f aca="false">IF(F$4&gt;0,(IF(E127&lt;&gt;0,E127*F$4/100," ")),IF(E127&lt;&gt;0,E127*F$2/(100+F$2)," "))</f>
        <v> </v>
      </c>
      <c r="G127" s="99" t="str">
        <f aca="false">IF((E127&lt;&gt;0),E127-F127," ")</f>
        <v> </v>
      </c>
    </row>
    <row r="128" customFormat="false" ht="12.75" hidden="false" customHeight="false" outlineLevel="0" collapsed="false">
      <c r="F128" s="99" t="str">
        <f aca="false">IF(F$4&gt;0,(IF(E128&lt;&gt;0,E128*F$4/100," ")),IF(E128&lt;&gt;0,E128*F$2/(100+F$2)," "))</f>
        <v> </v>
      </c>
      <c r="G128" s="99" t="str">
        <f aca="false">IF((E128&lt;&gt;0),E128-F128," ")</f>
        <v> </v>
      </c>
    </row>
    <row r="129" customFormat="false" ht="12.75" hidden="false" customHeight="false" outlineLevel="0" collapsed="false">
      <c r="F129" s="99" t="str">
        <f aca="false">IF(F$4&gt;0,(IF(E129&lt;&gt;0,E129*F$4/100," ")),IF(E129&lt;&gt;0,E129*F$2/(100+F$2)," "))</f>
        <v> </v>
      </c>
      <c r="G129" s="99" t="str">
        <f aca="false">IF((E129&lt;&gt;0),E129-F129," ")</f>
        <v> </v>
      </c>
    </row>
    <row r="130" customFormat="false" ht="12.75" hidden="false" customHeight="false" outlineLevel="0" collapsed="false">
      <c r="F130" s="99" t="str">
        <f aca="false">IF(F$4&gt;0,(IF(E130&lt;&gt;0,E130*F$4/100," ")),IF(E130&lt;&gt;0,E130*F$2/(100+F$2)," "))</f>
        <v> </v>
      </c>
      <c r="G130" s="99" t="str">
        <f aca="false">IF((E130&lt;&gt;0),E130-F130," ")</f>
        <v> </v>
      </c>
    </row>
    <row r="131" customFormat="false" ht="12.75" hidden="false" customHeight="false" outlineLevel="0" collapsed="false">
      <c r="F131" s="99" t="str">
        <f aca="false">IF(F$4&gt;0,(IF(E131&lt;&gt;0,E131*F$4/100," ")),IF(E131&lt;&gt;0,E131*F$2/(100+F$2)," "))</f>
        <v> </v>
      </c>
      <c r="G131" s="99" t="str">
        <f aca="false">IF((E131&lt;&gt;0),E131-F131," ")</f>
        <v> </v>
      </c>
    </row>
    <row r="132" customFormat="false" ht="12.75" hidden="false" customHeight="false" outlineLevel="0" collapsed="false">
      <c r="F132" s="99" t="str">
        <f aca="false">IF(F$4&gt;0,(IF(E132&lt;&gt;0,E132*F$4/100," ")),IF(E132&lt;&gt;0,E132*F$2/(100+F$2)," "))</f>
        <v> </v>
      </c>
      <c r="G132" s="99" t="str">
        <f aca="false">IF((E132&lt;&gt;0),E132-F132," ")</f>
        <v> </v>
      </c>
    </row>
    <row r="133" customFormat="false" ht="12.75" hidden="false" customHeight="false" outlineLevel="0" collapsed="false">
      <c r="F133" s="99" t="str">
        <f aca="false">IF(F$4&gt;0,(IF(E133&lt;&gt;0,E133*F$4/100," ")),IF(E133&lt;&gt;0,E133*F$2/(100+F$2)," "))</f>
        <v> </v>
      </c>
      <c r="G133" s="99" t="str">
        <f aca="false">IF((E133&lt;&gt;0),E133-F133," ")</f>
        <v> </v>
      </c>
    </row>
    <row r="134" customFormat="false" ht="12.75" hidden="false" customHeight="false" outlineLevel="0" collapsed="false">
      <c r="F134" s="99" t="str">
        <f aca="false">IF(F$4&gt;0,(IF(E134&lt;&gt;0,E134*F$4/100," ")),IF(E134&lt;&gt;0,E134*F$2/(100+F$2)," "))</f>
        <v> </v>
      </c>
      <c r="G134" s="99" t="str">
        <f aca="false">IF((E134&lt;&gt;0),E134-F134," ")</f>
        <v> </v>
      </c>
    </row>
    <row r="135" customFormat="false" ht="12.75" hidden="false" customHeight="false" outlineLevel="0" collapsed="false">
      <c r="F135" s="99" t="str">
        <f aca="false">IF(F$4&gt;0,(IF(E135&lt;&gt;0,E135*F$4/100," ")),IF(E135&lt;&gt;0,E135*F$2/(100+F$2)," "))</f>
        <v> </v>
      </c>
      <c r="G135" s="99" t="str">
        <f aca="false">IF((E135&lt;&gt;0),E135-F135," ")</f>
        <v> </v>
      </c>
    </row>
    <row r="136" customFormat="false" ht="12.75" hidden="false" customHeight="false" outlineLevel="0" collapsed="false">
      <c r="F136" s="99" t="str">
        <f aca="false">IF(F$4&gt;0,(IF(E136&lt;&gt;0,E136*F$4/100," ")),IF(E136&lt;&gt;0,E136*F$2/(100+F$2)," "))</f>
        <v> </v>
      </c>
      <c r="G136" s="99" t="str">
        <f aca="false">IF((E136&lt;&gt;0),E136-F136," ")</f>
        <v> </v>
      </c>
    </row>
    <row r="137" customFormat="false" ht="12.75" hidden="false" customHeight="false" outlineLevel="0" collapsed="false">
      <c r="F137" s="99" t="str">
        <f aca="false">IF(F$4&gt;0,(IF(E137&lt;&gt;0,E137*F$4/100," ")),IF(E137&lt;&gt;0,E137*F$2/(100+F$2)," "))</f>
        <v> </v>
      </c>
      <c r="G137" s="99" t="str">
        <f aca="false">IF((E137&lt;&gt;0),E137-F137," ")</f>
        <v> </v>
      </c>
    </row>
    <row r="138" customFormat="false" ht="12.75" hidden="false" customHeight="false" outlineLevel="0" collapsed="false">
      <c r="F138" s="99" t="str">
        <f aca="false">IF(F$4&gt;0,(IF(E138&lt;&gt;0,E138*F$4/100," ")),IF(E138&lt;&gt;0,E138*F$2/(100+F$2)," "))</f>
        <v> </v>
      </c>
      <c r="G138" s="99" t="str">
        <f aca="false">IF((E138&lt;&gt;0),E138-F138," ")</f>
        <v> </v>
      </c>
    </row>
    <row r="139" customFormat="false" ht="12.75" hidden="false" customHeight="false" outlineLevel="0" collapsed="false">
      <c r="F139" s="99" t="str">
        <f aca="false">IF(F$4&gt;0,(IF(E139&lt;&gt;0,E139*F$4/100," ")),IF(E139&lt;&gt;0,E139*F$2/(100+F$2)," "))</f>
        <v> </v>
      </c>
      <c r="G139" s="99" t="str">
        <f aca="false">IF((E139&lt;&gt;0),E139-F139," ")</f>
        <v> </v>
      </c>
    </row>
    <row r="140" customFormat="false" ht="12.75" hidden="false" customHeight="false" outlineLevel="0" collapsed="false">
      <c r="F140" s="99" t="str">
        <f aca="false">IF(F$4&gt;0,(IF(E140&lt;&gt;0,E140*F$4/100," ")),IF(E140&lt;&gt;0,E140*F$2/(100+F$2)," "))</f>
        <v> </v>
      </c>
      <c r="G140" s="99" t="str">
        <f aca="false">IF((E140&lt;&gt;0),E140-F140," ")</f>
        <v> </v>
      </c>
    </row>
    <row r="141" customFormat="false" ht="12.75" hidden="false" customHeight="false" outlineLevel="0" collapsed="false">
      <c r="F141" s="99" t="str">
        <f aca="false">IF(F$4&gt;0,(IF(E141&lt;&gt;0,E141*F$4/100," ")),IF(E141&lt;&gt;0,E141*F$2/(100+F$2)," "))</f>
        <v> </v>
      </c>
      <c r="G141" s="99" t="str">
        <f aca="false">IF((E141&lt;&gt;0),E141-F141," ")</f>
        <v> </v>
      </c>
    </row>
    <row r="142" customFormat="false" ht="12.75" hidden="false" customHeight="false" outlineLevel="0" collapsed="false">
      <c r="F142" s="99" t="str">
        <f aca="false">IF(F$4&gt;0,(IF(E142&lt;&gt;0,E142*F$4/100," ")),IF(E142&lt;&gt;0,E142*F$2/(100+F$2)," "))</f>
        <v> </v>
      </c>
      <c r="G142" s="99" t="str">
        <f aca="false">IF((E142&lt;&gt;0),E142-F142," ")</f>
        <v> </v>
      </c>
    </row>
    <row r="143" customFormat="false" ht="12.75" hidden="false" customHeight="false" outlineLevel="0" collapsed="false">
      <c r="F143" s="99" t="str">
        <f aca="false">IF(F$4&gt;0,(IF(E143&lt;&gt;0,E143*F$4/100," ")),IF(E143&lt;&gt;0,E143*F$2/(100+F$2)," "))</f>
        <v> </v>
      </c>
      <c r="G143" s="99" t="str">
        <f aca="false">IF((E143&lt;&gt;0),E143-F143," ")</f>
        <v> </v>
      </c>
    </row>
    <row r="144" customFormat="false" ht="12.75" hidden="false" customHeight="false" outlineLevel="0" collapsed="false">
      <c r="F144" s="99" t="str">
        <f aca="false">IF(F$4&gt;0,(IF(E144&lt;&gt;0,E144*F$4/100," ")),IF(E144&lt;&gt;0,E144*F$2/(100+F$2)," "))</f>
        <v> </v>
      </c>
      <c r="G144" s="99" t="str">
        <f aca="false">IF((E144&lt;&gt;0),E144-F144," ")</f>
        <v> </v>
      </c>
    </row>
    <row r="145" customFormat="false" ht="12.75" hidden="false" customHeight="false" outlineLevel="0" collapsed="false">
      <c r="F145" s="99" t="str">
        <f aca="false">IF(F$4&gt;0,(IF(E145&lt;&gt;0,E145*F$4/100," ")),IF(E145&lt;&gt;0,E145*F$2/(100+F$2)," "))</f>
        <v> </v>
      </c>
      <c r="G145" s="99" t="str">
        <f aca="false">IF((E145&lt;&gt;0),E145-F145," ")</f>
        <v> </v>
      </c>
    </row>
    <row r="146" customFormat="false" ht="12.75" hidden="false" customHeight="false" outlineLevel="0" collapsed="false">
      <c r="F146" s="99" t="str">
        <f aca="false">IF(F$4&gt;0,(IF(E146&lt;&gt;0,E146*F$4/100," ")),IF(E146&lt;&gt;0,E146*F$2/(100+F$2)," "))</f>
        <v> </v>
      </c>
      <c r="G146" s="99" t="str">
        <f aca="false">IF((E146&lt;&gt;0),E146-F146," ")</f>
        <v> </v>
      </c>
    </row>
    <row r="147" customFormat="false" ht="12.75" hidden="false" customHeight="false" outlineLevel="0" collapsed="false">
      <c r="F147" s="99" t="str">
        <f aca="false">IF(F$4&gt;0,(IF(E147&lt;&gt;0,E147*F$4/100," ")),IF(E147&lt;&gt;0,E147*F$2/(100+F$2)," "))</f>
        <v> </v>
      </c>
      <c r="G147" s="99" t="str">
        <f aca="false">IF((E147&lt;&gt;0),E147-F147," ")</f>
        <v> </v>
      </c>
    </row>
    <row r="148" customFormat="false" ht="12.75" hidden="false" customHeight="false" outlineLevel="0" collapsed="false">
      <c r="F148" s="99" t="str">
        <f aca="false">IF(F$4&gt;0,(IF(E148&lt;&gt;0,E148*F$4/100," ")),IF(E148&lt;&gt;0,E148*F$2/(100+F$2)," "))</f>
        <v> </v>
      </c>
      <c r="G148" s="99" t="str">
        <f aca="false">IF((E148&lt;&gt;0),E148-F148," ")</f>
        <v> </v>
      </c>
    </row>
    <row r="149" customFormat="false" ht="12.75" hidden="false" customHeight="false" outlineLevel="0" collapsed="false">
      <c r="F149" s="99" t="str">
        <f aca="false">IF(F$4&gt;0,(IF(E149&lt;&gt;0,E149*F$4/100," ")),IF(E149&lt;&gt;0,E149*F$2/(100+F$2)," "))</f>
        <v> </v>
      </c>
      <c r="G149" s="99" t="str">
        <f aca="false">IF((E149&lt;&gt;0),E149-F149," ")</f>
        <v> </v>
      </c>
    </row>
    <row r="150" customFormat="false" ht="12.75" hidden="false" customHeight="false" outlineLevel="0" collapsed="false">
      <c r="F150" s="99" t="str">
        <f aca="false">IF(F$4&gt;0,(IF(E150&lt;&gt;0,E150*F$4/100," ")),IF(E150&lt;&gt;0,E150*F$2/(100+F$2)," "))</f>
        <v> </v>
      </c>
      <c r="G150" s="99" t="str">
        <f aca="false">IF((E150&lt;&gt;0),E150-F150," ")</f>
        <v> </v>
      </c>
    </row>
    <row r="151" customFormat="false" ht="12.75" hidden="false" customHeight="false" outlineLevel="0" collapsed="false">
      <c r="F151" s="99" t="str">
        <f aca="false">IF(F$4&gt;0,(IF(E151&lt;&gt;0,E151*F$4/100," ")),IF(E151&lt;&gt;0,E151*F$2/(100+F$2)," "))</f>
        <v> </v>
      </c>
      <c r="G151" s="99" t="str">
        <f aca="false">IF((E151&lt;&gt;0),E151-F151," ")</f>
        <v> </v>
      </c>
    </row>
    <row r="152" customFormat="false" ht="12.75" hidden="false" customHeight="false" outlineLevel="0" collapsed="false">
      <c r="F152" s="99" t="str">
        <f aca="false">IF(F$4&gt;0,(IF(E152&lt;&gt;0,E152*F$4/100," ")),IF(E152&lt;&gt;0,E152*F$2/(100+F$2)," "))</f>
        <v> </v>
      </c>
      <c r="G152" s="99" t="str">
        <f aca="false">IF((E152&lt;&gt;0),E152-F152," ")</f>
        <v> </v>
      </c>
    </row>
    <row r="153" customFormat="false" ht="12.75" hidden="false" customHeight="false" outlineLevel="0" collapsed="false">
      <c r="F153" s="99" t="str">
        <f aca="false">IF(F$4&gt;0,(IF(E153&lt;&gt;0,E153*F$4/100," ")),IF(E153&lt;&gt;0,E153*F$2/(100+F$2)," "))</f>
        <v> </v>
      </c>
      <c r="G153" s="99" t="str">
        <f aca="false">IF((E153&lt;&gt;0),E153-F153," ")</f>
        <v> </v>
      </c>
    </row>
    <row r="154" customFormat="false" ht="12.75" hidden="false" customHeight="false" outlineLevel="0" collapsed="false">
      <c r="F154" s="99" t="str">
        <f aca="false">IF(F$4&gt;0,(IF(E154&lt;&gt;0,E154*F$4/100," ")),IF(E154&lt;&gt;0,E154*F$2/(100+F$2)," "))</f>
        <v> </v>
      </c>
      <c r="G154" s="99" t="str">
        <f aca="false">IF((E154&lt;&gt;0),E154-F154," ")</f>
        <v> </v>
      </c>
    </row>
    <row r="155" customFormat="false" ht="12.75" hidden="false" customHeight="false" outlineLevel="0" collapsed="false">
      <c r="F155" s="99" t="str">
        <f aca="false">IF(F$4&gt;0,(IF(E155&lt;&gt;0,E155*F$4/100," ")),IF(E155&lt;&gt;0,E155*F$2/(100+F$2)," "))</f>
        <v> </v>
      </c>
      <c r="G155" s="99" t="str">
        <f aca="false">IF((E155&lt;&gt;0),E155-F155," ")</f>
        <v> </v>
      </c>
    </row>
    <row r="156" customFormat="false" ht="12.75" hidden="false" customHeight="false" outlineLevel="0" collapsed="false">
      <c r="F156" s="99" t="str">
        <f aca="false">IF(F$4&gt;0,(IF(E156&lt;&gt;0,E156*F$4/100," ")),IF(E156&lt;&gt;0,E156*F$2/(100+F$2)," "))</f>
        <v> </v>
      </c>
      <c r="G156" s="99" t="str">
        <f aca="false">IF((E156&lt;&gt;0),E156-F156," ")</f>
        <v> </v>
      </c>
    </row>
    <row r="157" customFormat="false" ht="12.75" hidden="false" customHeight="false" outlineLevel="0" collapsed="false">
      <c r="F157" s="99" t="str">
        <f aca="false">IF(F$4&gt;0,(IF(E157&lt;&gt;0,E157*F$4/100," ")),IF(E157&lt;&gt;0,E157*F$2/(100+F$2)," "))</f>
        <v> </v>
      </c>
      <c r="G157" s="99" t="str">
        <f aca="false">IF((E157&lt;&gt;0),E157-F157," ")</f>
        <v> </v>
      </c>
    </row>
    <row r="158" customFormat="false" ht="12.75" hidden="false" customHeight="false" outlineLevel="0" collapsed="false">
      <c r="F158" s="99" t="str">
        <f aca="false">IF(F$4&gt;0,(IF(E158&lt;&gt;0,E158*F$4/100," ")),IF(E158&lt;&gt;0,E158*F$2/(100+F$2)," "))</f>
        <v> </v>
      </c>
      <c r="G158" s="99" t="str">
        <f aca="false">IF((E158&lt;&gt;0),E158-F158," ")</f>
        <v> </v>
      </c>
    </row>
    <row r="159" customFormat="false" ht="12.75" hidden="false" customHeight="false" outlineLevel="0" collapsed="false">
      <c r="F159" s="99" t="str">
        <f aca="false">IF(F$4&gt;0,(IF(E159&lt;&gt;0,E159*F$4/100," ")),IF(E159&lt;&gt;0,E159*F$2/(100+F$2)," "))</f>
        <v> </v>
      </c>
      <c r="G159" s="99" t="str">
        <f aca="false">IF((E159&lt;&gt;0),E159-F159," ")</f>
        <v> </v>
      </c>
    </row>
    <row r="160" customFormat="false" ht="12.75" hidden="false" customHeight="false" outlineLevel="0" collapsed="false">
      <c r="F160" s="99" t="str">
        <f aca="false">IF(F$4&gt;0,(IF(E160&lt;&gt;0,E160*F$4/100," ")),IF(E160&lt;&gt;0,E160*F$2/(100+F$2)," "))</f>
        <v> </v>
      </c>
      <c r="G160" s="99" t="str">
        <f aca="false">IF((E160&lt;&gt;0),E160-F160," ")</f>
        <v> </v>
      </c>
    </row>
    <row r="161" customFormat="false" ht="12.75" hidden="false" customHeight="false" outlineLevel="0" collapsed="false">
      <c r="F161" s="99" t="str">
        <f aca="false">IF(F$4&gt;0,(IF(E161&lt;&gt;0,E161*F$4/100," ")),IF(E161&lt;&gt;0,E161*F$2/(100+F$2)," "))</f>
        <v> </v>
      </c>
      <c r="G161" s="99" t="str">
        <f aca="false">IF((E161&lt;&gt;0),E161-F161," ")</f>
        <v> </v>
      </c>
    </row>
    <row r="162" customFormat="false" ht="12.75" hidden="false" customHeight="false" outlineLevel="0" collapsed="false">
      <c r="F162" s="99" t="str">
        <f aca="false">IF(F$4&gt;0,(IF(E162&lt;&gt;0,E162*F$4/100," ")),IF(E162&lt;&gt;0,E162*F$2/(100+F$2)," "))</f>
        <v> </v>
      </c>
      <c r="G162" s="99" t="str">
        <f aca="false">IF((E162&lt;&gt;0),E162-F162," ")</f>
        <v> </v>
      </c>
    </row>
    <row r="163" customFormat="false" ht="12.75" hidden="false" customHeight="false" outlineLevel="0" collapsed="false">
      <c r="F163" s="99" t="str">
        <f aca="false">IF(F$4&gt;0,(IF(E163&lt;&gt;0,E163*F$4/100," ")),IF(E163&lt;&gt;0,E163*F$2/(100+F$2)," "))</f>
        <v> </v>
      </c>
      <c r="G163" s="99" t="str">
        <f aca="false">IF((E163&lt;&gt;0),E163-F163," ")</f>
        <v> </v>
      </c>
    </row>
    <row r="164" customFormat="false" ht="12.75" hidden="false" customHeight="false" outlineLevel="0" collapsed="false">
      <c r="F164" s="99" t="str">
        <f aca="false">IF(F$4&gt;0,(IF(E164&lt;&gt;0,E164*F$4/100," ")),IF(E164&lt;&gt;0,E164*F$2/(100+F$2)," "))</f>
        <v> </v>
      </c>
      <c r="G164" s="99" t="str">
        <f aca="false">IF((E164&lt;&gt;0),E164-F164," ")</f>
        <v> </v>
      </c>
    </row>
    <row r="165" customFormat="false" ht="12.75" hidden="false" customHeight="false" outlineLevel="0" collapsed="false">
      <c r="F165" s="99" t="str">
        <f aca="false">IF(F$4&gt;0,(IF(E165&lt;&gt;0,E165*F$4/100," ")),IF(E165&lt;&gt;0,E165*F$2/(100+F$2)," "))</f>
        <v> </v>
      </c>
      <c r="G165" s="99" t="str">
        <f aca="false">IF((E165&lt;&gt;0),E165-F165," ")</f>
        <v> </v>
      </c>
    </row>
    <row r="166" customFormat="false" ht="12.75" hidden="false" customHeight="false" outlineLevel="0" collapsed="false">
      <c r="F166" s="99" t="str">
        <f aca="false">IF(F$4&gt;0,(IF(E166&lt;&gt;0,E166*F$4/100," ")),IF(E166&lt;&gt;0,E166*F$2/(100+F$2)," "))</f>
        <v> </v>
      </c>
      <c r="G166" s="99" t="str">
        <f aca="false">IF((E166&lt;&gt;0),E166-F166," ")</f>
        <v> </v>
      </c>
    </row>
    <row r="167" customFormat="false" ht="12.75" hidden="false" customHeight="false" outlineLevel="0" collapsed="false">
      <c r="F167" s="99" t="str">
        <f aca="false">IF(F$4&gt;0,(IF(E167&lt;&gt;0,E167*F$4/100," ")),IF(E167&lt;&gt;0,E167*F$2/(100+F$2)," "))</f>
        <v> </v>
      </c>
      <c r="G167" s="99" t="str">
        <f aca="false">IF((E167&lt;&gt;0),E167-F167," ")</f>
        <v> </v>
      </c>
    </row>
    <row r="168" customFormat="false" ht="12.75" hidden="false" customHeight="false" outlineLevel="0" collapsed="false">
      <c r="F168" s="99" t="str">
        <f aca="false">IF(F$4&gt;0,(IF(E168&lt;&gt;0,E168*F$4/100," ")),IF(E168&lt;&gt;0,E168*F$2/(100+F$2)," "))</f>
        <v> </v>
      </c>
      <c r="G168" s="99" t="str">
        <f aca="false">IF((E168&lt;&gt;0),E168-F168," ")</f>
        <v> </v>
      </c>
    </row>
    <row r="169" customFormat="false" ht="12.75" hidden="false" customHeight="false" outlineLevel="0" collapsed="false">
      <c r="F169" s="99" t="str">
        <f aca="false">IF(F$4&gt;0,(IF(E169&lt;&gt;0,E169*F$4/100," ")),IF(E169&lt;&gt;0,E169*F$2/(100+F$2)," "))</f>
        <v> </v>
      </c>
      <c r="G169" s="99" t="str">
        <f aca="false">IF((E169&lt;&gt;0),E169-F169," ")</f>
        <v> </v>
      </c>
    </row>
    <row r="170" customFormat="false" ht="12.75" hidden="false" customHeight="false" outlineLevel="0" collapsed="false">
      <c r="F170" s="99" t="str">
        <f aca="false">IF(F$4&gt;0,(IF(E170&lt;&gt;0,E170*F$4/100," ")),IF(E170&lt;&gt;0,E170*F$2/(100+F$2)," "))</f>
        <v> </v>
      </c>
      <c r="G170" s="99" t="str">
        <f aca="false">IF((E170&lt;&gt;0),E170-F170," ")</f>
        <v> </v>
      </c>
    </row>
    <row r="171" customFormat="false" ht="12.75" hidden="false" customHeight="false" outlineLevel="0" collapsed="false">
      <c r="F171" s="99" t="str">
        <f aca="false">IF(F$4&gt;0,(IF(E171&lt;&gt;0,E171*F$4/100," ")),IF(E171&lt;&gt;0,E171*F$2/(100+F$2)," "))</f>
        <v> </v>
      </c>
      <c r="G171" s="99" t="str">
        <f aca="false">IF((E171&lt;&gt;0),E171-F171," ")</f>
        <v> </v>
      </c>
    </row>
    <row r="172" customFormat="false" ht="12.75" hidden="false" customHeight="false" outlineLevel="0" collapsed="false">
      <c r="F172" s="99" t="str">
        <f aca="false">IF(F$4&gt;0,(IF(E172&lt;&gt;0,E172*F$4/100," ")),IF(E172&lt;&gt;0,E172*F$2/(100+F$2)," "))</f>
        <v> </v>
      </c>
      <c r="G172" s="99" t="str">
        <f aca="false">IF((E172&lt;&gt;0),E172-F172," ")</f>
        <v> </v>
      </c>
    </row>
    <row r="173" customFormat="false" ht="12.75" hidden="false" customHeight="false" outlineLevel="0" collapsed="false">
      <c r="F173" s="99" t="str">
        <f aca="false">IF(F$4&gt;0,(IF(E173&lt;&gt;0,E173*F$4/100," ")),IF(E173&lt;&gt;0,E173*F$2/(100+F$2)," "))</f>
        <v> </v>
      </c>
      <c r="G173" s="99" t="str">
        <f aca="false">IF((E173&lt;&gt;0),E173-F173," ")</f>
        <v> </v>
      </c>
    </row>
    <row r="174" customFormat="false" ht="12.75" hidden="false" customHeight="false" outlineLevel="0" collapsed="false">
      <c r="F174" s="99" t="str">
        <f aca="false">IF(F$4&gt;0,(IF(E174&lt;&gt;0,E174*F$4/100," ")),IF(E174&lt;&gt;0,E174*F$2/(100+F$2)," "))</f>
        <v> </v>
      </c>
      <c r="G174" s="99" t="str">
        <f aca="false">IF((E174&lt;&gt;0),E174-F174," ")</f>
        <v> </v>
      </c>
    </row>
    <row r="175" customFormat="false" ht="12.75" hidden="false" customHeight="false" outlineLevel="0" collapsed="false">
      <c r="F175" s="99" t="str">
        <f aca="false">IF(F$4&gt;0,(IF(E175&lt;&gt;0,E175*F$4/100," ")),IF(E175&lt;&gt;0,E175*F$2/(100+F$2)," "))</f>
        <v> </v>
      </c>
      <c r="G175" s="99" t="str">
        <f aca="false">IF((E175&lt;&gt;0),E175-F175," ")</f>
        <v> </v>
      </c>
    </row>
    <row r="176" customFormat="false" ht="12.75" hidden="false" customHeight="false" outlineLevel="0" collapsed="false">
      <c r="F176" s="99" t="str">
        <f aca="false">IF(F$4&gt;0,(IF(E176&lt;&gt;0,E176*F$4/100," ")),IF(E176&lt;&gt;0,E176*F$2/(100+F$2)," "))</f>
        <v> </v>
      </c>
      <c r="G176" s="99" t="str">
        <f aca="false">IF((E176&lt;&gt;0),E176-F176," ")</f>
        <v> </v>
      </c>
    </row>
    <row r="177" customFormat="false" ht="12.75" hidden="false" customHeight="false" outlineLevel="0" collapsed="false">
      <c r="F177" s="99" t="str">
        <f aca="false">IF(F$4&gt;0,(IF(E177&lt;&gt;0,E177*F$4/100," ")),IF(E177&lt;&gt;0,E177*F$2/(100+F$2)," "))</f>
        <v> </v>
      </c>
      <c r="G177" s="99" t="str">
        <f aca="false">IF((E177&lt;&gt;0),E177-F177," ")</f>
        <v> </v>
      </c>
    </row>
    <row r="178" customFormat="false" ht="12.75" hidden="false" customHeight="false" outlineLevel="0" collapsed="false">
      <c r="F178" s="99" t="str">
        <f aca="false">IF(F$4&gt;0,(IF(E178&lt;&gt;0,E178*F$4/100," ")),IF(E178&lt;&gt;0,E178*F$2/(100+F$2)," "))</f>
        <v> </v>
      </c>
      <c r="G178" s="99" t="str">
        <f aca="false">IF((E178&lt;&gt;0),E178-F178," ")</f>
        <v> </v>
      </c>
    </row>
    <row r="179" customFormat="false" ht="12.75" hidden="false" customHeight="false" outlineLevel="0" collapsed="false">
      <c r="F179" s="99" t="str">
        <f aca="false">IF(F$4&gt;0,(IF(E179&lt;&gt;0,E179*F$4/100," ")),IF(E179&lt;&gt;0,E179*F$2/(100+F$2)," "))</f>
        <v> </v>
      </c>
      <c r="G179" s="99" t="str">
        <f aca="false">IF((E179&lt;&gt;0),E179-F179," ")</f>
        <v> </v>
      </c>
    </row>
    <row r="180" customFormat="false" ht="12.75" hidden="false" customHeight="false" outlineLevel="0" collapsed="false">
      <c r="F180" s="99" t="str">
        <f aca="false">IF(F$4&gt;0,(IF(E180&lt;&gt;0,E180*F$4/100," ")),IF(E180&lt;&gt;0,E180*F$2/(100+F$2)," "))</f>
        <v> </v>
      </c>
      <c r="G180" s="99" t="str">
        <f aca="false">IF((E180&lt;&gt;0),E180-F180," ")</f>
        <v> </v>
      </c>
    </row>
    <row r="181" customFormat="false" ht="12.75" hidden="false" customHeight="false" outlineLevel="0" collapsed="false">
      <c r="F181" s="99" t="str">
        <f aca="false">IF(F$4&gt;0,(IF(E181&lt;&gt;0,E181*F$4/100," ")),IF(E181&lt;&gt;0,E181*F$2/(100+F$2)," "))</f>
        <v> </v>
      </c>
      <c r="G181" s="99" t="str">
        <f aca="false">IF((E181&lt;&gt;0),E181-F181," ")</f>
        <v> </v>
      </c>
    </row>
    <row r="182" customFormat="false" ht="12.75" hidden="false" customHeight="false" outlineLevel="0" collapsed="false">
      <c r="F182" s="99" t="str">
        <f aca="false">IF(F$4&gt;0,(IF(E182&lt;&gt;0,E182*F$4/100," ")),IF(E182&lt;&gt;0,E182*F$2/(100+F$2)," "))</f>
        <v> </v>
      </c>
      <c r="G182" s="99" t="str">
        <f aca="false">IF((E182&lt;&gt;0),E182-F182," ")</f>
        <v> </v>
      </c>
    </row>
    <row r="183" customFormat="false" ht="12.75" hidden="false" customHeight="false" outlineLevel="0" collapsed="false">
      <c r="F183" s="99" t="str">
        <f aca="false">IF(F$4&gt;0,(IF(E183&lt;&gt;0,E183*F$4/100," ")),IF(E183&lt;&gt;0,E183*F$2/(100+F$2)," "))</f>
        <v> </v>
      </c>
      <c r="G183" s="99" t="str">
        <f aca="false">IF((E183&lt;&gt;0),E183-F183," ")</f>
        <v> </v>
      </c>
    </row>
    <row r="184" customFormat="false" ht="12.75" hidden="false" customHeight="false" outlineLevel="0" collapsed="false">
      <c r="F184" s="99" t="str">
        <f aca="false">IF(F$4&gt;0,(IF(E184&lt;&gt;0,E184*F$4/100," ")),IF(E184&lt;&gt;0,E184*F$2/(100+F$2)," "))</f>
        <v> </v>
      </c>
      <c r="G184" s="99" t="str">
        <f aca="false">IF((E184&lt;&gt;0),E184-F184," ")</f>
        <v> </v>
      </c>
    </row>
    <row r="185" customFormat="false" ht="12.75" hidden="false" customHeight="false" outlineLevel="0" collapsed="false">
      <c r="F185" s="99" t="str">
        <f aca="false">IF(F$4&gt;0,(IF(E185&lt;&gt;0,E185*F$4/100," ")),IF(E185&lt;&gt;0,E185*F$2/(100+F$2)," "))</f>
        <v> </v>
      </c>
      <c r="G185" s="99" t="str">
        <f aca="false">IF((E185&lt;&gt;0),E185-F185," ")</f>
        <v> </v>
      </c>
    </row>
    <row r="186" customFormat="false" ht="12.75" hidden="false" customHeight="false" outlineLevel="0" collapsed="false">
      <c r="F186" s="99" t="str">
        <f aca="false">IF(F$4&gt;0,(IF(E186&lt;&gt;0,E186*F$4/100," ")),IF(E186&lt;&gt;0,E186*F$2/(100+F$2)," "))</f>
        <v> </v>
      </c>
      <c r="G186" s="99" t="str">
        <f aca="false">IF((E186&lt;&gt;0),E186-F186," ")</f>
        <v> </v>
      </c>
    </row>
    <row r="187" customFormat="false" ht="12.75" hidden="false" customHeight="false" outlineLevel="0" collapsed="false">
      <c r="F187" s="99" t="str">
        <f aca="false">IF(F$4&gt;0,(IF(E187&lt;&gt;0,E187*F$4/100," ")),IF(E187&lt;&gt;0,E187*F$2/(100+F$2)," "))</f>
        <v> </v>
      </c>
      <c r="G187" s="99" t="str">
        <f aca="false">IF((E187&lt;&gt;0),E187-F187," ")</f>
        <v> </v>
      </c>
    </row>
    <row r="188" customFormat="false" ht="12.75" hidden="false" customHeight="false" outlineLevel="0" collapsed="false">
      <c r="F188" s="99" t="str">
        <f aca="false">IF(F$4&gt;0,(IF(E188&lt;&gt;0,E188*F$4/100," ")),IF(E188&lt;&gt;0,E188*F$2/(100+F$2)," "))</f>
        <v> </v>
      </c>
      <c r="G188" s="99" t="str">
        <f aca="false">IF((E188&lt;&gt;0),E188-F188," ")</f>
        <v> </v>
      </c>
    </row>
    <row r="189" customFormat="false" ht="12.75" hidden="false" customHeight="false" outlineLevel="0" collapsed="false">
      <c r="F189" s="99" t="str">
        <f aca="false">IF(F$4&gt;0,(IF(E189&lt;&gt;0,E189*F$4/100," ")),IF(E189&lt;&gt;0,E189*F$2/(100+F$2)," "))</f>
        <v> </v>
      </c>
      <c r="G189" s="99" t="str">
        <f aca="false">IF((E189&lt;&gt;0),E189-F189," ")</f>
        <v> </v>
      </c>
    </row>
    <row r="190" customFormat="false" ht="12.75" hidden="false" customHeight="false" outlineLevel="0" collapsed="false">
      <c r="F190" s="99" t="str">
        <f aca="false">IF(F$4&gt;0,(IF(E190&lt;&gt;0,E190*F$4/100," ")),IF(E190&lt;&gt;0,E190*F$2/(100+F$2)," "))</f>
        <v> </v>
      </c>
      <c r="G190" s="99" t="str">
        <f aca="false">IF((E190&lt;&gt;0),E190-F190," ")</f>
        <v> </v>
      </c>
    </row>
    <row r="191" customFormat="false" ht="12.75" hidden="false" customHeight="false" outlineLevel="0" collapsed="false">
      <c r="F191" s="99" t="str">
        <f aca="false">IF(F$4&gt;0,(IF(E191&lt;&gt;0,E191*F$4/100," ")),IF(E191&lt;&gt;0,E191*F$2/(100+F$2)," "))</f>
        <v> </v>
      </c>
      <c r="G191" s="99" t="str">
        <f aca="false">IF((E191&lt;&gt;0),E191-F191," ")</f>
        <v> </v>
      </c>
    </row>
    <row r="192" customFormat="false" ht="12.75" hidden="false" customHeight="false" outlineLevel="0" collapsed="false">
      <c r="F192" s="99" t="str">
        <f aca="false">IF(F$4&gt;0,(IF(E192&lt;&gt;0,E192*F$4/100," ")),IF(E192&lt;&gt;0,E192*F$2/(100+F$2)," "))</f>
        <v> </v>
      </c>
      <c r="G192" s="99" t="str">
        <f aca="false">IF((E192&lt;&gt;0),E192-F192," ")</f>
        <v> </v>
      </c>
    </row>
    <row r="193" customFormat="false" ht="12.75" hidden="false" customHeight="false" outlineLevel="0" collapsed="false">
      <c r="F193" s="99" t="str">
        <f aca="false">IF(F$4&gt;0,(IF(E193&lt;&gt;0,E193*F$4/100," ")),IF(E193&lt;&gt;0,E193*F$2/(100+F$2)," "))</f>
        <v> </v>
      </c>
      <c r="G193" s="99" t="str">
        <f aca="false">IF((E193&lt;&gt;0),E193-F193," ")</f>
        <v> </v>
      </c>
    </row>
    <row r="194" customFormat="false" ht="12.75" hidden="false" customHeight="false" outlineLevel="0" collapsed="false">
      <c r="F194" s="99" t="str">
        <f aca="false">IF(F$4&gt;0,(IF(E194&lt;&gt;0,E194*F$4/100," ")),IF(E194&lt;&gt;0,E194*F$2/(100+F$2)," "))</f>
        <v> </v>
      </c>
      <c r="G194" s="99" t="str">
        <f aca="false">IF((E194&lt;&gt;0),E194-F194," ")</f>
        <v> </v>
      </c>
    </row>
    <row r="195" customFormat="false" ht="12.75" hidden="false" customHeight="false" outlineLevel="0" collapsed="false">
      <c r="F195" s="99" t="str">
        <f aca="false">IF(F$4&gt;0,(IF(E195&lt;&gt;0,E195*F$4/100," ")),IF(E195&lt;&gt;0,E195*F$2/(100+F$2)," "))</f>
        <v> </v>
      </c>
      <c r="G195" s="99" t="str">
        <f aca="false">IF((E195&lt;&gt;0),E195-F195," ")</f>
        <v> </v>
      </c>
    </row>
    <row r="196" customFormat="false" ht="12.75" hidden="false" customHeight="false" outlineLevel="0" collapsed="false">
      <c r="F196" s="99" t="str">
        <f aca="false">IF(F$4&gt;0,(IF(E196&lt;&gt;0,E196*F$4/100," ")),IF(E196&lt;&gt;0,E196*F$2/(100+F$2)," "))</f>
        <v> </v>
      </c>
      <c r="G196" s="99" t="str">
        <f aca="false">IF((E196&lt;&gt;0),E196-F196," ")</f>
        <v> </v>
      </c>
    </row>
    <row r="197" customFormat="false" ht="12.75" hidden="false" customHeight="false" outlineLevel="0" collapsed="false">
      <c r="F197" s="99" t="str">
        <f aca="false">IF(F$4&gt;0,(IF(E197&lt;&gt;0,E197*F$4/100," ")),IF(E197&lt;&gt;0,E197*F$2/(100+F$2)," "))</f>
        <v> </v>
      </c>
      <c r="G197" s="99" t="str">
        <f aca="false">IF((E197&lt;&gt;0),E197-F197," ")</f>
        <v> </v>
      </c>
    </row>
    <row r="198" customFormat="false" ht="12.75" hidden="false" customHeight="false" outlineLevel="0" collapsed="false">
      <c r="F198" s="99" t="str">
        <f aca="false">IF(F$4&gt;0,(IF(E198&lt;&gt;0,E198*F$4/100," ")),IF(E198&lt;&gt;0,E198*F$2/(100+F$2)," "))</f>
        <v> </v>
      </c>
      <c r="G198" s="99" t="str">
        <f aca="false">IF((E198&lt;&gt;0),E198-F198," ")</f>
        <v> </v>
      </c>
    </row>
    <row r="199" customFormat="false" ht="12.75" hidden="false" customHeight="false" outlineLevel="0" collapsed="false">
      <c r="F199" s="99" t="str">
        <f aca="false">IF(F$4&gt;0,(IF(E199&lt;&gt;0,E199*F$4/100," ")),IF(E199&lt;&gt;0,E199*F$2/(100+F$2)," "))</f>
        <v> </v>
      </c>
      <c r="G199" s="99" t="str">
        <f aca="false">IF((E199&lt;&gt;0),E199-F199," ")</f>
        <v> </v>
      </c>
    </row>
    <row r="200" customFormat="false" ht="12.75" hidden="false" customHeight="false" outlineLevel="0" collapsed="false">
      <c r="A200" s="115"/>
      <c r="B200" s="116"/>
      <c r="C200" s="117"/>
      <c r="D200" s="118"/>
      <c r="E200" s="116"/>
      <c r="F200" s="116" t="str">
        <f aca="false">IF(F$4&gt;0,(IF(E200&lt;&gt;0,E200*F$4/100," ")),IF(E200&lt;&gt;0,E200*F$2/(100+F$2)," "))</f>
        <v> </v>
      </c>
      <c r="G200" s="116" t="str">
        <f aca="false">IF((E200&lt;&gt;0),E200-F200,"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7">
    <mergeCell ref="A1:B1"/>
    <mergeCell ref="A2:A4"/>
    <mergeCell ref="B2:B4"/>
    <mergeCell ref="C2:C4"/>
    <mergeCell ref="D2:D4"/>
    <mergeCell ref="E2:E4"/>
    <mergeCell ref="G2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customFormat="false" ht="30" hidden="false" customHeight="true" outlineLevel="0" collapsed="false">
      <c r="A1" s="103" t="s">
        <v>27</v>
      </c>
      <c r="B1" s="103"/>
      <c r="C1" s="126" t="s">
        <v>44</v>
      </c>
      <c r="D1" s="127"/>
      <c r="E1" s="106" t="s">
        <v>28</v>
      </c>
      <c r="F1" s="128"/>
      <c r="G1" s="106" t="n">
        <f aca="false">SUM(G5:G200)</f>
        <v>720</v>
      </c>
      <c r="H1" s="106" t="n">
        <f aca="false">SUM(H5:H200)</f>
        <v>120</v>
      </c>
      <c r="I1" s="106" t="n">
        <f aca="false">SUM(I5:I200)</f>
        <v>600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8" t="s">
        <v>45</v>
      </c>
      <c r="B2" s="109" t="str">
        <f aca="false">IF((I1-SUM(P1:AL1)&lt;&gt;0),"COMPLETE EXPENSE ANALYSIS by inserting expense letter in col F","Supplier")</f>
        <v>COMPLETE EXPENSE ANALYSIS by inserting expense letter in col F</v>
      </c>
      <c r="C2" s="126"/>
      <c r="D2" s="127"/>
      <c r="E2" s="129" t="s">
        <v>46</v>
      </c>
      <c r="F2" s="128"/>
      <c r="G2" s="109" t="s">
        <v>47</v>
      </c>
      <c r="H2" s="130" t="n">
        <f aca="false">[3]OpeningCreditors!$H$2</f>
        <v>20</v>
      </c>
      <c r="I2" s="109" t="s">
        <v>48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1"/>
      <c r="FO2" s="131"/>
      <c r="FP2" s="131"/>
      <c r="FQ2" s="131"/>
      <c r="FR2" s="131"/>
      <c r="FS2" s="131"/>
      <c r="FT2" s="131"/>
      <c r="FU2" s="131"/>
      <c r="FV2" s="131"/>
      <c r="FW2" s="131"/>
      <c r="FX2" s="131"/>
      <c r="FY2" s="131"/>
      <c r="FZ2" s="131"/>
      <c r="GA2" s="131"/>
      <c r="GB2" s="131"/>
      <c r="GC2" s="131"/>
      <c r="GD2" s="131"/>
      <c r="GE2" s="131"/>
      <c r="GF2" s="131"/>
      <c r="GG2" s="131"/>
      <c r="GH2" s="131"/>
      <c r="GI2" s="131"/>
      <c r="GJ2" s="131"/>
      <c r="GK2" s="131"/>
      <c r="GL2" s="131"/>
      <c r="GM2" s="131"/>
      <c r="GN2" s="131"/>
      <c r="GO2" s="131"/>
      <c r="GP2" s="131"/>
      <c r="GQ2" s="131"/>
      <c r="GR2" s="131"/>
      <c r="GS2" s="131"/>
      <c r="GT2" s="131"/>
      <c r="GU2" s="131"/>
      <c r="GV2" s="131"/>
      <c r="GW2" s="131"/>
      <c r="GX2" s="131"/>
      <c r="GY2" s="131"/>
      <c r="GZ2" s="131"/>
      <c r="HA2" s="131"/>
      <c r="HB2" s="131"/>
      <c r="HC2" s="131"/>
      <c r="HD2" s="131"/>
      <c r="HE2" s="131"/>
      <c r="HF2" s="131"/>
      <c r="HG2" s="131"/>
      <c r="HH2" s="131"/>
      <c r="HI2" s="131"/>
      <c r="HJ2" s="131"/>
      <c r="HK2" s="131"/>
      <c r="HL2" s="131"/>
      <c r="HM2" s="131"/>
      <c r="HN2" s="131"/>
      <c r="HO2" s="131"/>
      <c r="HP2" s="131"/>
      <c r="HQ2" s="131"/>
      <c r="HR2" s="131"/>
      <c r="HS2" s="131"/>
      <c r="HT2" s="131"/>
      <c r="HU2" s="131"/>
      <c r="HV2" s="131"/>
      <c r="HW2" s="131"/>
      <c r="HX2" s="131"/>
      <c r="HY2" s="131"/>
      <c r="HZ2" s="131"/>
      <c r="IA2" s="131"/>
      <c r="IB2" s="131"/>
      <c r="IC2" s="131"/>
      <c r="ID2" s="131"/>
      <c r="IE2" s="131"/>
      <c r="IF2" s="131"/>
      <c r="IG2" s="131"/>
      <c r="IH2" s="131"/>
      <c r="II2" s="131"/>
      <c r="IJ2" s="131"/>
      <c r="IK2" s="131"/>
      <c r="IL2" s="131"/>
      <c r="IM2" s="131"/>
      <c r="IN2" s="131"/>
      <c r="IO2" s="131"/>
      <c r="IP2" s="131"/>
      <c r="IQ2" s="131"/>
      <c r="IR2" s="131"/>
      <c r="IS2" s="131"/>
      <c r="IT2" s="131"/>
      <c r="IU2" s="131"/>
      <c r="IV2" s="131"/>
      <c r="IW2" s="131"/>
    </row>
    <row r="3" customFormat="fals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49</v>
      </c>
      <c r="I3" s="109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A5" s="119" t="n">
        <v>46073</v>
      </c>
      <c r="B5" s="124" t="s">
        <v>50</v>
      </c>
      <c r="C5" s="122" t="s">
        <v>51</v>
      </c>
      <c r="E5" s="124"/>
      <c r="F5" s="120"/>
      <c r="G5" s="133" t="n">
        <v>720</v>
      </c>
      <c r="H5" s="125" t="n">
        <f aca="false">IF(G5&lt;&gt;0,G5*H$2/(100+H$2)," ")</f>
        <v>120</v>
      </c>
      <c r="I5" s="125" t="n">
        <f aca="false">IF((G5&lt;&gt;0),G5-H5," ")</f>
        <v>600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customFormat="false" ht="30" hidden="false" customHeight="true" outlineLevel="0" collapsed="false">
      <c r="A1" s="103" t="s">
        <v>27</v>
      </c>
      <c r="B1" s="103"/>
      <c r="C1" s="126" t="s">
        <v>44</v>
      </c>
      <c r="D1" s="127"/>
      <c r="E1" s="106" t="s">
        <v>28</v>
      </c>
      <c r="F1" s="128"/>
      <c r="G1" s="106" t="n">
        <f aca="false">SUM(G5:G200)</f>
        <v>1200</v>
      </c>
      <c r="H1" s="106" t="n">
        <f aca="false">SUM(H5:H200)</f>
        <v>200</v>
      </c>
      <c r="I1" s="106" t="n">
        <f aca="false">SUM(I5:I200)</f>
        <v>1000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8" t="s">
        <v>45</v>
      </c>
      <c r="B2" s="109" t="str">
        <f aca="false">IF((I1-SUM(P1:AL1)&lt;&gt;0),"COMPLETE EXPENSE ANALYSIS by inserting expense letter in col F","Supplier")</f>
        <v>COMPLETE EXPENSE ANALYSIS by inserting expense letter in col F</v>
      </c>
      <c r="C2" s="126"/>
      <c r="D2" s="127"/>
      <c r="E2" s="129" t="s">
        <v>46</v>
      </c>
      <c r="F2" s="128"/>
      <c r="G2" s="109" t="s">
        <v>47</v>
      </c>
      <c r="H2" s="130" t="n">
        <f aca="false">[3]OpeningCreditors!$H$2</f>
        <v>20</v>
      </c>
      <c r="I2" s="109" t="s">
        <v>48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1"/>
      <c r="FO2" s="131"/>
      <c r="FP2" s="131"/>
      <c r="FQ2" s="131"/>
      <c r="FR2" s="131"/>
      <c r="FS2" s="131"/>
      <c r="FT2" s="131"/>
      <c r="FU2" s="131"/>
      <c r="FV2" s="131"/>
      <c r="FW2" s="131"/>
      <c r="FX2" s="131"/>
      <c r="FY2" s="131"/>
      <c r="FZ2" s="131"/>
      <c r="GA2" s="131"/>
      <c r="GB2" s="131"/>
      <c r="GC2" s="131"/>
      <c r="GD2" s="131"/>
      <c r="GE2" s="131"/>
      <c r="GF2" s="131"/>
      <c r="GG2" s="131"/>
      <c r="GH2" s="131"/>
      <c r="GI2" s="131"/>
      <c r="GJ2" s="131"/>
      <c r="GK2" s="131"/>
      <c r="GL2" s="131"/>
      <c r="GM2" s="131"/>
      <c r="GN2" s="131"/>
      <c r="GO2" s="131"/>
      <c r="GP2" s="131"/>
      <c r="GQ2" s="131"/>
      <c r="GR2" s="131"/>
      <c r="GS2" s="131"/>
      <c r="GT2" s="131"/>
      <c r="GU2" s="131"/>
      <c r="GV2" s="131"/>
      <c r="GW2" s="131"/>
      <c r="GX2" s="131"/>
      <c r="GY2" s="131"/>
      <c r="GZ2" s="131"/>
      <c r="HA2" s="131"/>
      <c r="HB2" s="131"/>
      <c r="HC2" s="131"/>
      <c r="HD2" s="131"/>
      <c r="HE2" s="131"/>
      <c r="HF2" s="131"/>
      <c r="HG2" s="131"/>
      <c r="HH2" s="131"/>
      <c r="HI2" s="131"/>
      <c r="HJ2" s="131"/>
      <c r="HK2" s="131"/>
      <c r="HL2" s="131"/>
      <c r="HM2" s="131"/>
      <c r="HN2" s="131"/>
      <c r="HO2" s="131"/>
      <c r="HP2" s="131"/>
      <c r="HQ2" s="131"/>
      <c r="HR2" s="131"/>
      <c r="HS2" s="131"/>
      <c r="HT2" s="131"/>
      <c r="HU2" s="131"/>
      <c r="HV2" s="131"/>
      <c r="HW2" s="131"/>
      <c r="HX2" s="131"/>
      <c r="HY2" s="131"/>
      <c r="HZ2" s="131"/>
      <c r="IA2" s="131"/>
      <c r="IB2" s="131"/>
      <c r="IC2" s="131"/>
      <c r="ID2" s="131"/>
      <c r="IE2" s="131"/>
      <c r="IF2" s="131"/>
      <c r="IG2" s="131"/>
      <c r="IH2" s="131"/>
      <c r="II2" s="131"/>
      <c r="IJ2" s="131"/>
      <c r="IK2" s="131"/>
      <c r="IL2" s="131"/>
      <c r="IM2" s="131"/>
      <c r="IN2" s="131"/>
      <c r="IO2" s="131"/>
      <c r="IP2" s="131"/>
      <c r="IQ2" s="131"/>
      <c r="IR2" s="131"/>
      <c r="IS2" s="131"/>
      <c r="IT2" s="131"/>
      <c r="IU2" s="131"/>
      <c r="IV2" s="131"/>
      <c r="IW2" s="131"/>
    </row>
    <row r="3" customFormat="fals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49</v>
      </c>
      <c r="I3" s="109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A5" s="119" t="n">
        <v>46105</v>
      </c>
      <c r="B5" s="124" t="s">
        <v>52</v>
      </c>
      <c r="C5" s="122" t="s">
        <v>53</v>
      </c>
      <c r="E5" s="124"/>
      <c r="F5" s="120"/>
      <c r="G5" s="133" t="n">
        <v>1200</v>
      </c>
      <c r="H5" s="125" t="n">
        <f aca="false">IF(G5&lt;&gt;0,G5*H$2/(100+H$2)," ")</f>
        <v>200</v>
      </c>
      <c r="I5" s="125" t="n">
        <f aca="false">IF((G5&lt;&gt;0),G5-H5," ")</f>
        <v>1000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customFormat="false" ht="30" hidden="false" customHeight="true" outlineLevel="0" collapsed="false">
      <c r="A1" s="103" t="s">
        <v>27</v>
      </c>
      <c r="B1" s="103"/>
      <c r="C1" s="126" t="s">
        <v>44</v>
      </c>
      <c r="D1" s="127"/>
      <c r="E1" s="106" t="s">
        <v>28</v>
      </c>
      <c r="F1" s="128"/>
      <c r="G1" s="106" t="n">
        <f aca="false">SUM(G5:G200)</f>
        <v>240</v>
      </c>
      <c r="H1" s="106" t="n">
        <f aca="false">SUM(H5:H200)</f>
        <v>40</v>
      </c>
      <c r="I1" s="106" t="n">
        <f aca="false">SUM(I5:I200)</f>
        <v>200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8" t="s">
        <v>45</v>
      </c>
      <c r="B2" s="109" t="str">
        <f aca="false">IF((I1-SUM(P1:AL1)&lt;&gt;0),"COMPLETE EXPENSE ANALYSIS by inserting expense letter in col F","Supplier")</f>
        <v>COMPLETE EXPENSE ANALYSIS by inserting expense letter in col F</v>
      </c>
      <c r="C2" s="126"/>
      <c r="D2" s="127"/>
      <c r="E2" s="129" t="s">
        <v>46</v>
      </c>
      <c r="F2" s="128"/>
      <c r="G2" s="109" t="s">
        <v>47</v>
      </c>
      <c r="H2" s="130" t="n">
        <f aca="false">[3]ClosingCreditors!$H$2</f>
        <v>20</v>
      </c>
      <c r="I2" s="109" t="s">
        <v>48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1"/>
      <c r="FO2" s="131"/>
      <c r="FP2" s="131"/>
      <c r="FQ2" s="131"/>
      <c r="FR2" s="131"/>
      <c r="FS2" s="131"/>
      <c r="FT2" s="131"/>
      <c r="FU2" s="131"/>
      <c r="FV2" s="131"/>
      <c r="FW2" s="131"/>
      <c r="FX2" s="131"/>
      <c r="FY2" s="131"/>
      <c r="FZ2" s="131"/>
      <c r="GA2" s="131"/>
      <c r="GB2" s="131"/>
      <c r="GC2" s="131"/>
      <c r="GD2" s="131"/>
      <c r="GE2" s="131"/>
      <c r="GF2" s="131"/>
      <c r="GG2" s="131"/>
      <c r="GH2" s="131"/>
      <c r="GI2" s="131"/>
      <c r="GJ2" s="131"/>
      <c r="GK2" s="131"/>
      <c r="GL2" s="131"/>
      <c r="GM2" s="131"/>
      <c r="GN2" s="131"/>
      <c r="GO2" s="131"/>
      <c r="GP2" s="131"/>
      <c r="GQ2" s="131"/>
      <c r="GR2" s="131"/>
      <c r="GS2" s="131"/>
      <c r="GT2" s="131"/>
      <c r="GU2" s="131"/>
      <c r="GV2" s="131"/>
      <c r="GW2" s="131"/>
      <c r="GX2" s="131"/>
      <c r="GY2" s="131"/>
      <c r="GZ2" s="131"/>
      <c r="HA2" s="131"/>
      <c r="HB2" s="131"/>
      <c r="HC2" s="131"/>
      <c r="HD2" s="131"/>
      <c r="HE2" s="131"/>
      <c r="HF2" s="131"/>
      <c r="HG2" s="131"/>
      <c r="HH2" s="131"/>
      <c r="HI2" s="131"/>
      <c r="HJ2" s="131"/>
      <c r="HK2" s="131"/>
      <c r="HL2" s="131"/>
      <c r="HM2" s="131"/>
      <c r="HN2" s="131"/>
      <c r="HO2" s="131"/>
      <c r="HP2" s="131"/>
      <c r="HQ2" s="131"/>
      <c r="HR2" s="131"/>
      <c r="HS2" s="131"/>
      <c r="HT2" s="131"/>
      <c r="HU2" s="131"/>
      <c r="HV2" s="131"/>
      <c r="HW2" s="131"/>
      <c r="HX2" s="131"/>
      <c r="HY2" s="131"/>
      <c r="HZ2" s="131"/>
      <c r="IA2" s="131"/>
      <c r="IB2" s="131"/>
      <c r="IC2" s="131"/>
      <c r="ID2" s="131"/>
      <c r="IE2" s="131"/>
      <c r="IF2" s="131"/>
      <c r="IG2" s="131"/>
      <c r="IH2" s="131"/>
      <c r="II2" s="131"/>
      <c r="IJ2" s="131"/>
      <c r="IK2" s="131"/>
      <c r="IL2" s="131"/>
      <c r="IM2" s="131"/>
      <c r="IN2" s="131"/>
      <c r="IO2" s="131"/>
      <c r="IP2" s="131"/>
      <c r="IQ2" s="131"/>
      <c r="IR2" s="131"/>
      <c r="IS2" s="131"/>
      <c r="IT2" s="131"/>
      <c r="IU2" s="131"/>
      <c r="IV2" s="131"/>
      <c r="IW2" s="131"/>
    </row>
    <row r="3" customFormat="fals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49</v>
      </c>
      <c r="I3" s="109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A5" s="119" t="n">
        <v>46492</v>
      </c>
      <c r="B5" s="124" t="s">
        <v>54</v>
      </c>
      <c r="C5" s="122" t="s">
        <v>55</v>
      </c>
      <c r="E5" s="124"/>
      <c r="F5" s="120"/>
      <c r="G5" s="133" t="n">
        <v>240</v>
      </c>
      <c r="H5" s="125" t="n">
        <f aca="false">IF(G5&lt;&gt;0,G5*H$2/(100+H$2)," ")</f>
        <v>40</v>
      </c>
      <c r="I5" s="125" t="n">
        <f aca="false">IF((G5&lt;&gt;0),G5-H5," ")</f>
        <v>200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customFormat="false" ht="30" hidden="false" customHeight="true" outlineLevel="0" collapsed="false">
      <c r="A1" s="103" t="s">
        <v>27</v>
      </c>
      <c r="B1" s="103"/>
      <c r="C1" s="126" t="s">
        <v>44</v>
      </c>
      <c r="D1" s="127"/>
      <c r="E1" s="106" t="s">
        <v>28</v>
      </c>
      <c r="F1" s="128"/>
      <c r="G1" s="106" t="n">
        <f aca="false">SUM(G5:G200)</f>
        <v>360</v>
      </c>
      <c r="H1" s="106" t="n">
        <f aca="false">SUM(H5:H200)</f>
        <v>60</v>
      </c>
      <c r="I1" s="106" t="n">
        <f aca="false">SUM(I5:I200)</f>
        <v>300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8" t="s">
        <v>45</v>
      </c>
      <c r="B2" s="109" t="str">
        <f aca="false">IF((I1-SUM(P1:AL1)&lt;&gt;0),"COMPLETE EXPENSE ANALYSIS by inserting expense letter in col F","Supplier")</f>
        <v>COMPLETE EXPENSE ANALYSIS by inserting expense letter in col F</v>
      </c>
      <c r="C2" s="126"/>
      <c r="D2" s="127"/>
      <c r="E2" s="129" t="s">
        <v>46</v>
      </c>
      <c r="F2" s="128"/>
      <c r="G2" s="109" t="s">
        <v>47</v>
      </c>
      <c r="H2" s="130" t="n">
        <f aca="false">[3]ClosingCreditors!$H$2</f>
        <v>20</v>
      </c>
      <c r="I2" s="109" t="s">
        <v>48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1"/>
      <c r="FO2" s="131"/>
      <c r="FP2" s="131"/>
      <c r="FQ2" s="131"/>
      <c r="FR2" s="131"/>
      <c r="FS2" s="131"/>
      <c r="FT2" s="131"/>
      <c r="FU2" s="131"/>
      <c r="FV2" s="131"/>
      <c r="FW2" s="131"/>
      <c r="FX2" s="131"/>
      <c r="FY2" s="131"/>
      <c r="FZ2" s="131"/>
      <c r="GA2" s="131"/>
      <c r="GB2" s="131"/>
      <c r="GC2" s="131"/>
      <c r="GD2" s="131"/>
      <c r="GE2" s="131"/>
      <c r="GF2" s="131"/>
      <c r="GG2" s="131"/>
      <c r="GH2" s="131"/>
      <c r="GI2" s="131"/>
      <c r="GJ2" s="131"/>
      <c r="GK2" s="131"/>
      <c r="GL2" s="131"/>
      <c r="GM2" s="131"/>
      <c r="GN2" s="131"/>
      <c r="GO2" s="131"/>
      <c r="GP2" s="131"/>
      <c r="GQ2" s="131"/>
      <c r="GR2" s="131"/>
      <c r="GS2" s="131"/>
      <c r="GT2" s="131"/>
      <c r="GU2" s="131"/>
      <c r="GV2" s="131"/>
      <c r="GW2" s="131"/>
      <c r="GX2" s="131"/>
      <c r="GY2" s="131"/>
      <c r="GZ2" s="131"/>
      <c r="HA2" s="131"/>
      <c r="HB2" s="131"/>
      <c r="HC2" s="131"/>
      <c r="HD2" s="131"/>
      <c r="HE2" s="131"/>
      <c r="HF2" s="131"/>
      <c r="HG2" s="131"/>
      <c r="HH2" s="131"/>
      <c r="HI2" s="131"/>
      <c r="HJ2" s="131"/>
      <c r="HK2" s="131"/>
      <c r="HL2" s="131"/>
      <c r="HM2" s="131"/>
      <c r="HN2" s="131"/>
      <c r="HO2" s="131"/>
      <c r="HP2" s="131"/>
      <c r="HQ2" s="131"/>
      <c r="HR2" s="131"/>
      <c r="HS2" s="131"/>
      <c r="HT2" s="131"/>
      <c r="HU2" s="131"/>
      <c r="HV2" s="131"/>
      <c r="HW2" s="131"/>
      <c r="HX2" s="131"/>
      <c r="HY2" s="131"/>
      <c r="HZ2" s="131"/>
      <c r="IA2" s="131"/>
      <c r="IB2" s="131"/>
      <c r="IC2" s="131"/>
      <c r="ID2" s="131"/>
      <c r="IE2" s="131"/>
      <c r="IF2" s="131"/>
      <c r="IG2" s="131"/>
      <c r="IH2" s="131"/>
      <c r="II2" s="131"/>
      <c r="IJ2" s="131"/>
      <c r="IK2" s="131"/>
      <c r="IL2" s="131"/>
      <c r="IM2" s="131"/>
      <c r="IN2" s="131"/>
      <c r="IO2" s="131"/>
      <c r="IP2" s="131"/>
      <c r="IQ2" s="131"/>
      <c r="IR2" s="131"/>
      <c r="IS2" s="131"/>
      <c r="IT2" s="131"/>
      <c r="IU2" s="131"/>
      <c r="IV2" s="131"/>
      <c r="IW2" s="131"/>
    </row>
    <row r="3" customFormat="fals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49</v>
      </c>
      <c r="I3" s="109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A5" s="119" t="n">
        <v>46526</v>
      </c>
      <c r="B5" s="124" t="s">
        <v>56</v>
      </c>
      <c r="C5" s="122" t="s">
        <v>57</v>
      </c>
      <c r="E5" s="124"/>
      <c r="F5" s="120"/>
      <c r="G5" s="133" t="n">
        <v>360</v>
      </c>
      <c r="H5" s="125" t="n">
        <f aca="false">IF(G5&lt;&gt;0,G5*H$2/(100+H$2)," ")</f>
        <v>60</v>
      </c>
      <c r="I5" s="125" t="n">
        <f aca="false">IF((G5&lt;&gt;0),G5-H5," ")</f>
        <v>300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9" width="8.82"/>
    <col collapsed="false" customWidth="true" hidden="false" outlineLevel="0" max="2" min="2" style="120" width="19.66"/>
    <col collapsed="false" customWidth="true" hidden="false" outlineLevel="0" max="3" min="3" style="121" width="12.66"/>
    <col collapsed="false" customWidth="true" hidden="false" outlineLevel="0" max="4" min="4" style="122" width="5.82"/>
    <col collapsed="false" customWidth="true" hidden="false" outlineLevel="0" max="5" min="5" style="123" width="14.66"/>
    <col collapsed="false" customWidth="true" hidden="false" outlineLevel="0" max="6" min="6" style="124" width="5.66"/>
    <col collapsed="false" customWidth="true" hidden="false" outlineLevel="0" max="7" min="7" style="125" width="10.5"/>
    <col collapsed="false" customWidth="true" hidden="false" outlineLevel="0" max="8" min="8" style="125" width="9.66"/>
    <col collapsed="false" customWidth="true" hidden="false" outlineLevel="0" max="9" min="9" style="125" width="10.66"/>
    <col collapsed="false" customWidth="false" hidden="false" outlineLevel="0" max="257" min="10" style="120" width="9.15"/>
  </cols>
  <sheetData>
    <row r="1" customFormat="false" ht="30" hidden="false" customHeight="true" outlineLevel="0" collapsed="false">
      <c r="A1" s="103" t="s">
        <v>27</v>
      </c>
      <c r="B1" s="103"/>
      <c r="C1" s="126" t="s">
        <v>44</v>
      </c>
      <c r="D1" s="127"/>
      <c r="E1" s="106" t="s">
        <v>28</v>
      </c>
      <c r="F1" s="128"/>
      <c r="G1" s="106" t="n">
        <f aca="false">SUM(G5:G200)</f>
        <v>480</v>
      </c>
      <c r="H1" s="106" t="n">
        <f aca="false">SUM(H5:H200)</f>
        <v>80</v>
      </c>
      <c r="I1" s="106" t="n">
        <f aca="false">SUM(I5:I200)</f>
        <v>400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8" t="s">
        <v>45</v>
      </c>
      <c r="B2" s="109" t="str">
        <f aca="false">IF((I1-SUM(P1:AL1)&lt;&gt;0),"COMPLETE EXPENSE ANALYSIS by inserting expense letter in col F","Supplier")</f>
        <v>COMPLETE EXPENSE ANALYSIS by inserting expense letter in col F</v>
      </c>
      <c r="C2" s="126"/>
      <c r="D2" s="127"/>
      <c r="E2" s="129" t="s">
        <v>46</v>
      </c>
      <c r="F2" s="128"/>
      <c r="G2" s="109" t="s">
        <v>47</v>
      </c>
      <c r="H2" s="130" t="n">
        <f aca="false">[3]ClosingCreditors!$H$2</f>
        <v>20</v>
      </c>
      <c r="I2" s="109" t="s">
        <v>48</v>
      </c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  <c r="FB2" s="131"/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1"/>
      <c r="FO2" s="131"/>
      <c r="FP2" s="131"/>
      <c r="FQ2" s="131"/>
      <c r="FR2" s="131"/>
      <c r="FS2" s="131"/>
      <c r="FT2" s="131"/>
      <c r="FU2" s="131"/>
      <c r="FV2" s="131"/>
      <c r="FW2" s="131"/>
      <c r="FX2" s="131"/>
      <c r="FY2" s="131"/>
      <c r="FZ2" s="131"/>
      <c r="GA2" s="131"/>
      <c r="GB2" s="131"/>
      <c r="GC2" s="131"/>
      <c r="GD2" s="131"/>
      <c r="GE2" s="131"/>
      <c r="GF2" s="131"/>
      <c r="GG2" s="131"/>
      <c r="GH2" s="131"/>
      <c r="GI2" s="131"/>
      <c r="GJ2" s="131"/>
      <c r="GK2" s="131"/>
      <c r="GL2" s="131"/>
      <c r="GM2" s="131"/>
      <c r="GN2" s="131"/>
      <c r="GO2" s="131"/>
      <c r="GP2" s="131"/>
      <c r="GQ2" s="131"/>
      <c r="GR2" s="131"/>
      <c r="GS2" s="131"/>
      <c r="GT2" s="131"/>
      <c r="GU2" s="131"/>
      <c r="GV2" s="131"/>
      <c r="GW2" s="131"/>
      <c r="GX2" s="131"/>
      <c r="GY2" s="131"/>
      <c r="GZ2" s="131"/>
      <c r="HA2" s="131"/>
      <c r="HB2" s="131"/>
      <c r="HC2" s="131"/>
      <c r="HD2" s="131"/>
      <c r="HE2" s="131"/>
      <c r="HF2" s="131"/>
      <c r="HG2" s="131"/>
      <c r="HH2" s="131"/>
      <c r="HI2" s="131"/>
      <c r="HJ2" s="131"/>
      <c r="HK2" s="131"/>
      <c r="HL2" s="131"/>
      <c r="HM2" s="131"/>
      <c r="HN2" s="131"/>
      <c r="HO2" s="131"/>
      <c r="HP2" s="131"/>
      <c r="HQ2" s="131"/>
      <c r="HR2" s="131"/>
      <c r="HS2" s="131"/>
      <c r="HT2" s="131"/>
      <c r="HU2" s="131"/>
      <c r="HV2" s="131"/>
      <c r="HW2" s="131"/>
      <c r="HX2" s="131"/>
      <c r="HY2" s="131"/>
      <c r="HZ2" s="131"/>
      <c r="IA2" s="131"/>
      <c r="IB2" s="131"/>
      <c r="IC2" s="131"/>
      <c r="ID2" s="131"/>
      <c r="IE2" s="131"/>
      <c r="IF2" s="131"/>
      <c r="IG2" s="131"/>
      <c r="IH2" s="131"/>
      <c r="II2" s="131"/>
      <c r="IJ2" s="131"/>
      <c r="IK2" s="131"/>
      <c r="IL2" s="131"/>
      <c r="IM2" s="131"/>
      <c r="IN2" s="131"/>
      <c r="IO2" s="131"/>
      <c r="IP2" s="131"/>
      <c r="IQ2" s="131"/>
      <c r="IR2" s="131"/>
      <c r="IS2" s="131"/>
      <c r="IT2" s="131"/>
      <c r="IU2" s="131"/>
      <c r="IV2" s="131"/>
      <c r="IW2" s="131"/>
    </row>
    <row r="3" customFormat="false" ht="12" hidden="false" customHeight="true" outlineLevel="0" collapsed="false">
      <c r="A3" s="108"/>
      <c r="B3" s="108"/>
      <c r="C3" s="126"/>
      <c r="D3" s="127"/>
      <c r="E3" s="127"/>
      <c r="F3" s="127"/>
      <c r="G3" s="109"/>
      <c r="H3" s="109" t="s">
        <v>49</v>
      </c>
      <c r="I3" s="109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</row>
    <row r="4" customFormat="false" ht="12.75" hidden="false" customHeight="false" outlineLevel="0" collapsed="false">
      <c r="A4" s="108"/>
      <c r="B4" s="108"/>
      <c r="C4" s="126"/>
      <c r="D4" s="127"/>
      <c r="E4" s="127"/>
      <c r="F4" s="127"/>
      <c r="G4" s="109"/>
      <c r="H4" s="109"/>
      <c r="I4" s="109"/>
    </row>
    <row r="5" customFormat="false" ht="12.75" hidden="false" customHeight="false" outlineLevel="0" collapsed="false">
      <c r="A5" s="119" t="n">
        <v>46554</v>
      </c>
      <c r="B5" s="124" t="s">
        <v>52</v>
      </c>
      <c r="C5" s="122" t="s">
        <v>58</v>
      </c>
      <c r="E5" s="124"/>
      <c r="F5" s="120"/>
      <c r="G5" s="133" t="n">
        <v>480</v>
      </c>
      <c r="H5" s="125" t="n">
        <f aca="false">IF(G5&lt;&gt;0,G5*H$2/(100+H$2)," ")</f>
        <v>80</v>
      </c>
      <c r="I5" s="125" t="n">
        <f aca="false">IF((G5&lt;&gt;0),G5-H5," ")</f>
        <v>400</v>
      </c>
    </row>
    <row r="6" customFormat="false" ht="12.75" hidden="false" customHeight="false" outlineLevel="0" collapsed="false">
      <c r="F6" s="120"/>
      <c r="H6" s="125" t="str">
        <f aca="false">IF(G6&lt;&gt;0,G6*H$2/(100+H$2)," ")</f>
        <v> </v>
      </c>
      <c r="I6" s="125" t="str">
        <f aca="false">IF((G6&lt;&gt;0),G6-H6," ")</f>
        <v> </v>
      </c>
    </row>
    <row r="7" customFormat="false" ht="12.75" hidden="false" customHeight="false" outlineLevel="0" collapsed="false">
      <c r="F7" s="120"/>
      <c r="H7" s="125" t="str">
        <f aca="false">IF(G7&lt;&gt;0,G7*H$2/(100+H$2)," ")</f>
        <v> </v>
      </c>
      <c r="I7" s="125" t="str">
        <f aca="false">IF((G7&lt;&gt;0),G7-H7," ")</f>
        <v> </v>
      </c>
    </row>
    <row r="8" customFormat="false" ht="12.75" hidden="false" customHeight="false" outlineLevel="0" collapsed="false">
      <c r="F8" s="120"/>
      <c r="H8" s="125" t="str">
        <f aca="false">IF(G8&lt;&gt;0,G8*H$2/(100+H$2)," ")</f>
        <v> </v>
      </c>
      <c r="I8" s="125" t="str">
        <f aca="false">IF((G8&lt;&gt;0),G8-H8," ")</f>
        <v> </v>
      </c>
    </row>
    <row r="9" customFormat="false" ht="12.75" hidden="false" customHeight="false" outlineLevel="0" collapsed="false">
      <c r="F9" s="120"/>
      <c r="H9" s="125" t="str">
        <f aca="false">IF(G9&lt;&gt;0,G9*H$2/(100+H$2)," ")</f>
        <v> </v>
      </c>
      <c r="I9" s="125" t="str">
        <f aca="false">IF((G9&lt;&gt;0),G9-H9," ")</f>
        <v> </v>
      </c>
    </row>
    <row r="10" customFormat="false" ht="12.75" hidden="false" customHeight="false" outlineLevel="0" collapsed="false">
      <c r="F10" s="120"/>
      <c r="H10" s="125" t="str">
        <f aca="false">IF(G10&lt;&gt;0,G10*H$2/(100+H$2)," ")</f>
        <v> </v>
      </c>
      <c r="I10" s="125" t="str">
        <f aca="false">IF((G10&lt;&gt;0),G10-H10," ")</f>
        <v> </v>
      </c>
    </row>
    <row r="11" customFormat="false" ht="12.75" hidden="false" customHeight="false" outlineLevel="0" collapsed="false">
      <c r="F11" s="120"/>
      <c r="H11" s="125" t="str">
        <f aca="false">IF(G11&lt;&gt;0,G11*H$2/(100+H$2)," ")</f>
        <v> </v>
      </c>
      <c r="I11" s="125" t="str">
        <f aca="false">IF((G11&lt;&gt;0),G11-H11," ")</f>
        <v> </v>
      </c>
    </row>
    <row r="12" customFormat="false" ht="12.75" hidden="false" customHeight="false" outlineLevel="0" collapsed="false">
      <c r="F12" s="120"/>
      <c r="H12" s="125" t="str">
        <f aca="false">IF(G12&lt;&gt;0,G12*H$2/(100+H$2)," ")</f>
        <v> </v>
      </c>
      <c r="I12" s="125" t="str">
        <f aca="false">IF((G12&lt;&gt;0),G12-H12," ")</f>
        <v> </v>
      </c>
    </row>
    <row r="13" customFormat="false" ht="12.75" hidden="false" customHeight="false" outlineLevel="0" collapsed="false">
      <c r="F13" s="120"/>
      <c r="H13" s="125" t="str">
        <f aca="false">IF(G13&lt;&gt;0,G13*H$2/(100+H$2)," ")</f>
        <v> </v>
      </c>
      <c r="I13" s="125" t="str">
        <f aca="false">IF((G13&lt;&gt;0),G13-H13," ")</f>
        <v> </v>
      </c>
    </row>
    <row r="14" customFormat="false" ht="12.75" hidden="false" customHeight="false" outlineLevel="0" collapsed="false">
      <c r="F14" s="120"/>
      <c r="H14" s="125" t="str">
        <f aca="false">IF(G14&lt;&gt;0,G14*H$2/(100+H$2)," ")</f>
        <v> </v>
      </c>
      <c r="I14" s="125" t="str">
        <f aca="false">IF((G14&lt;&gt;0),G14-H14," ")</f>
        <v> </v>
      </c>
    </row>
    <row r="15" customFormat="false" ht="12.75" hidden="false" customHeight="false" outlineLevel="0" collapsed="false">
      <c r="F15" s="120"/>
      <c r="H15" s="125" t="str">
        <f aca="false">IF(H$4="X"," ",IF(G15&lt;&gt;0,G15*H$2/(100+H$2)," "))</f>
        <v> </v>
      </c>
      <c r="I15" s="125" t="str">
        <f aca="false">IF((G15&lt;&gt;0),G15-H15," ")</f>
        <v> </v>
      </c>
    </row>
    <row r="16" customFormat="false" ht="12.75" hidden="false" customHeight="false" outlineLevel="0" collapsed="false">
      <c r="F16" s="120"/>
      <c r="H16" s="125" t="str">
        <f aca="false">IF(H$4="X"," ",IF(G16&lt;&gt;0,G16*H$2/(100+H$2)," "))</f>
        <v> </v>
      </c>
      <c r="I16" s="125" t="str">
        <f aca="false">IF((G16&lt;&gt;0),G16-H16," ")</f>
        <v> </v>
      </c>
    </row>
    <row r="17" customFormat="false" ht="12.75" hidden="false" customHeight="false" outlineLevel="0" collapsed="false">
      <c r="F17" s="120"/>
      <c r="H17" s="125" t="str">
        <f aca="false">IF(H$4="X"," ",IF(G17&lt;&gt;0,G17*H$2/(100+H$2)," "))</f>
        <v> </v>
      </c>
      <c r="I17" s="125" t="str">
        <f aca="false">IF((G17&lt;&gt;0),G17-H17," ")</f>
        <v> </v>
      </c>
    </row>
    <row r="18" customFormat="false" ht="12.75" hidden="false" customHeight="false" outlineLevel="0" collapsed="false">
      <c r="F18" s="120"/>
      <c r="H18" s="125" t="str">
        <f aca="false">IF(H$4="X"," ",IF(G18&lt;&gt;0,G18*H$2/(100+H$2)," "))</f>
        <v> </v>
      </c>
      <c r="I18" s="125" t="str">
        <f aca="false">IF((G18&lt;&gt;0),G18-H18," ")</f>
        <v> </v>
      </c>
    </row>
    <row r="19" customFormat="false" ht="12.75" hidden="false" customHeight="false" outlineLevel="0" collapsed="false">
      <c r="F19" s="120"/>
      <c r="H19" s="125" t="str">
        <f aca="false">IF(H$4="X"," ",IF(G19&lt;&gt;0,G19*H$2/(100+H$2)," "))</f>
        <v> </v>
      </c>
      <c r="I19" s="125" t="str">
        <f aca="false">IF((G19&lt;&gt;0),G19-H19," ")</f>
        <v> </v>
      </c>
    </row>
    <row r="20" customFormat="false" ht="12.75" hidden="false" customHeight="false" outlineLevel="0" collapsed="false">
      <c r="F20" s="120"/>
      <c r="H20" s="125" t="str">
        <f aca="false">IF(H$4="X"," ",IF(G20&lt;&gt;0,G20*H$2/(100+H$2)," "))</f>
        <v> </v>
      </c>
      <c r="I20" s="125" t="str">
        <f aca="false">IF((G20&lt;&gt;0),G20-H20," ")</f>
        <v> </v>
      </c>
    </row>
    <row r="21" customFormat="false" ht="12.75" hidden="false" customHeight="false" outlineLevel="0" collapsed="false">
      <c r="F21" s="120"/>
      <c r="H21" s="125" t="str">
        <f aca="false">IF(H$4="X"," ",IF(G21&lt;&gt;0,G21*H$2/(100+H$2)," "))</f>
        <v> </v>
      </c>
      <c r="I21" s="125" t="str">
        <f aca="false">IF((G21&lt;&gt;0),G21-H21," ")</f>
        <v> </v>
      </c>
    </row>
    <row r="22" customFormat="false" ht="12.75" hidden="false" customHeight="false" outlineLevel="0" collapsed="false">
      <c r="E22" s="120"/>
      <c r="F22" s="120"/>
      <c r="H22" s="125" t="str">
        <f aca="false">IF(H$4="X"," ",IF(G22&lt;&gt;0,G22*H$2/(100+H$2)," "))</f>
        <v> </v>
      </c>
      <c r="I22" s="125" t="str">
        <f aca="false">IF((G22&lt;&gt;0),G22-H22," ")</f>
        <v> </v>
      </c>
    </row>
    <row r="23" customFormat="false" ht="12.75" hidden="false" customHeight="false" outlineLevel="0" collapsed="false">
      <c r="E23" s="134"/>
      <c r="F23" s="120"/>
      <c r="H23" s="125" t="str">
        <f aca="false">IF(H$4="X"," ",IF(G23&lt;&gt;0,G23*H$2/(100+H$2)," "))</f>
        <v> </v>
      </c>
      <c r="I23" s="125" t="str">
        <f aca="false">IF((G23&lt;&gt;0),G23-H23," ")</f>
        <v> </v>
      </c>
    </row>
    <row r="24" customFormat="false" ht="12.75" hidden="false" customHeight="false" outlineLevel="0" collapsed="false">
      <c r="F24" s="120"/>
      <c r="H24" s="125" t="str">
        <f aca="false">IF(H$4="X"," ",IF(G24&lt;&gt;0,G24*H$2/(100+H$2)," "))</f>
        <v> </v>
      </c>
      <c r="I24" s="125" t="str">
        <f aca="false">IF((G24&lt;&gt;0),G24-H24," ")</f>
        <v> </v>
      </c>
    </row>
    <row r="25" customFormat="false" ht="12.75" hidden="false" customHeight="false" outlineLevel="0" collapsed="false">
      <c r="F25" s="120"/>
      <c r="H25" s="125" t="str">
        <f aca="false">IF(H$4="X"," ",IF(G25&lt;&gt;0,G25*H$2/(100+H$2)," "))</f>
        <v> </v>
      </c>
      <c r="I25" s="125" t="str">
        <f aca="false">IF((G25&lt;&gt;0),G25-H25," ")</f>
        <v> </v>
      </c>
    </row>
    <row r="26" customFormat="false" ht="12.75" hidden="false" customHeight="false" outlineLevel="0" collapsed="false">
      <c r="F26" s="120"/>
      <c r="H26" s="125" t="str">
        <f aca="false">IF(H$4="X"," ",IF(G26&lt;&gt;0,G26*H$2/(100+H$2)," "))</f>
        <v> </v>
      </c>
      <c r="I26" s="125" t="str">
        <f aca="false">IF((G26&lt;&gt;0),G26-H26," ")</f>
        <v> </v>
      </c>
    </row>
    <row r="27" customFormat="false" ht="12.75" hidden="false" customHeight="false" outlineLevel="0" collapsed="false">
      <c r="F27" s="120"/>
      <c r="H27" s="125" t="str">
        <f aca="false">IF(H$4="X"," ",IF(G27&lt;&gt;0,G27*H$2/(100+H$2)," "))</f>
        <v> </v>
      </c>
      <c r="I27" s="125" t="str">
        <f aca="false">IF((G27&lt;&gt;0),G27-H27," ")</f>
        <v> </v>
      </c>
    </row>
    <row r="28" customFormat="false" ht="12.75" hidden="false" customHeight="false" outlineLevel="0" collapsed="false">
      <c r="F28" s="120"/>
      <c r="H28" s="125" t="str">
        <f aca="false">IF(H$4="X"," ",IF(G28&lt;&gt;0,G28*H$2/(100+H$2)," "))</f>
        <v> </v>
      </c>
      <c r="I28" s="125" t="str">
        <f aca="false">IF((G28&lt;&gt;0),G28-H28," ")</f>
        <v> </v>
      </c>
    </row>
    <row r="29" customFormat="false" ht="12.75" hidden="false" customHeight="false" outlineLevel="0" collapsed="false">
      <c r="F29" s="120"/>
      <c r="H29" s="125" t="str">
        <f aca="false">IF(H$4="X"," ",IF(G29&lt;&gt;0,G29*H$2/(100+H$2)," "))</f>
        <v> </v>
      </c>
      <c r="I29" s="125" t="str">
        <f aca="false">IF((G29&lt;&gt;0),G29-H29," ")</f>
        <v> </v>
      </c>
    </row>
    <row r="30" customFormat="false" ht="12.75" hidden="false" customHeight="false" outlineLevel="0" collapsed="false">
      <c r="F30" s="120"/>
      <c r="H30" s="125" t="str">
        <f aca="false">IF(H$4="X"," ",IF(G30&lt;&gt;0,G30*H$2/(100+H$2)," "))</f>
        <v> </v>
      </c>
      <c r="I30" s="125" t="str">
        <f aca="false">IF((G30&lt;&gt;0),G30-H30," ")</f>
        <v> </v>
      </c>
    </row>
    <row r="31" customFormat="false" ht="12.75" hidden="false" customHeight="false" outlineLevel="0" collapsed="false">
      <c r="F31" s="120"/>
      <c r="H31" s="125" t="str">
        <f aca="false">IF(H$4="X"," ",IF(G31&lt;&gt;0,G31*H$2/(100+H$2)," "))</f>
        <v> </v>
      </c>
      <c r="I31" s="125" t="str">
        <f aca="false">IF((G31&lt;&gt;0),G31-H31," ")</f>
        <v> </v>
      </c>
    </row>
    <row r="32" customFormat="false" ht="12.75" hidden="false" customHeight="false" outlineLevel="0" collapsed="false">
      <c r="F32" s="120"/>
      <c r="H32" s="125" t="str">
        <f aca="false">IF(H$4="X"," ",IF(G32&lt;&gt;0,G32*H$2/(100+H$2)," "))</f>
        <v> </v>
      </c>
      <c r="I32" s="125" t="str">
        <f aca="false">IF((G32&lt;&gt;0),G32-H32," ")</f>
        <v> </v>
      </c>
    </row>
    <row r="33" customFormat="false" ht="12.75" hidden="false" customHeight="false" outlineLevel="0" collapsed="false">
      <c r="F33" s="120"/>
      <c r="H33" s="125" t="str">
        <f aca="false">IF(H$4="X"," ",IF(G33&lt;&gt;0,G33*H$2/(100+H$2)," "))</f>
        <v> </v>
      </c>
      <c r="I33" s="125" t="str">
        <f aca="false">IF((G33&lt;&gt;0),G33-H33," ")</f>
        <v> </v>
      </c>
    </row>
    <row r="34" customFormat="false" ht="12.75" hidden="false" customHeight="false" outlineLevel="0" collapsed="false">
      <c r="F34" s="120"/>
      <c r="H34" s="125" t="str">
        <f aca="false">IF(H$4="X"," ",IF(G34&lt;&gt;0,G34*H$2/(100+H$2)," "))</f>
        <v> </v>
      </c>
      <c r="I34" s="125" t="str">
        <f aca="false">IF((G34&lt;&gt;0),G34-H34," ")</f>
        <v> </v>
      </c>
    </row>
    <row r="35" customFormat="false" ht="12.75" hidden="false" customHeight="false" outlineLevel="0" collapsed="false">
      <c r="F35" s="120"/>
      <c r="H35" s="125" t="str">
        <f aca="false">IF(H$4="X"," ",IF(G35&lt;&gt;0,G35*H$2/(100+H$2)," "))</f>
        <v> </v>
      </c>
      <c r="I35" s="125" t="str">
        <f aca="false">IF((G35&lt;&gt;0),G35-H35," ")</f>
        <v> </v>
      </c>
    </row>
    <row r="36" customFormat="false" ht="12.75" hidden="false" customHeight="false" outlineLevel="0" collapsed="false">
      <c r="F36" s="120"/>
      <c r="H36" s="125" t="str">
        <f aca="false">IF(H$4="X"," ",IF(G36&lt;&gt;0,G36*H$2/(100+H$2)," "))</f>
        <v> </v>
      </c>
      <c r="I36" s="125" t="str">
        <f aca="false">IF((G36&lt;&gt;0),G36-H36," ")</f>
        <v> </v>
      </c>
    </row>
    <row r="37" customFormat="false" ht="12.75" hidden="false" customHeight="false" outlineLevel="0" collapsed="false">
      <c r="F37" s="120"/>
      <c r="H37" s="125" t="str">
        <f aca="false">IF(H$4="X"," ",IF(G37&lt;&gt;0,G37*H$2/(100+H$2)," "))</f>
        <v> </v>
      </c>
      <c r="I37" s="125" t="str">
        <f aca="false">IF((G37&lt;&gt;0),G37-H37," ")</f>
        <v> </v>
      </c>
    </row>
    <row r="38" customFormat="false" ht="12.75" hidden="false" customHeight="false" outlineLevel="0" collapsed="false">
      <c r="F38" s="120"/>
      <c r="H38" s="125" t="str">
        <f aca="false">IF(H$4="X"," ",IF(G38&lt;&gt;0,G38*H$2/(100+H$2)," "))</f>
        <v> </v>
      </c>
      <c r="I38" s="125" t="str">
        <f aca="false">IF((G38&lt;&gt;0),G38-H38," ")</f>
        <v> </v>
      </c>
    </row>
    <row r="39" customFormat="false" ht="12.75" hidden="false" customHeight="false" outlineLevel="0" collapsed="false">
      <c r="F39" s="120"/>
      <c r="H39" s="125" t="str">
        <f aca="false">IF(H$4="X"," ",IF(G39&lt;&gt;0,G39*H$2/(100+H$2)," "))</f>
        <v> </v>
      </c>
      <c r="I39" s="125" t="str">
        <f aca="false">IF((G39&lt;&gt;0),G39-H39," ")</f>
        <v> </v>
      </c>
    </row>
    <row r="40" customFormat="false" ht="12.75" hidden="false" customHeight="false" outlineLevel="0" collapsed="false">
      <c r="F40" s="120"/>
      <c r="H40" s="125" t="str">
        <f aca="false">IF(H$4="X"," ",IF(G40&lt;&gt;0,G40*H$2/(100+H$2)," "))</f>
        <v> </v>
      </c>
      <c r="I40" s="125" t="str">
        <f aca="false">IF((G40&lt;&gt;0),G40-H40," ")</f>
        <v> </v>
      </c>
    </row>
    <row r="41" customFormat="false" ht="12.75" hidden="false" customHeight="false" outlineLevel="0" collapsed="false">
      <c r="F41" s="120"/>
      <c r="H41" s="125" t="str">
        <f aca="false">IF(H$4="X"," ",IF(G41&lt;&gt;0,G41*H$2/(100+H$2)," "))</f>
        <v> </v>
      </c>
      <c r="I41" s="125" t="str">
        <f aca="false">IF((G41&lt;&gt;0),G41-H41," ")</f>
        <v> </v>
      </c>
    </row>
    <row r="42" customFormat="false" ht="12.75" hidden="false" customHeight="false" outlineLevel="0" collapsed="false">
      <c r="F42" s="120"/>
      <c r="H42" s="125" t="str">
        <f aca="false">IF(H$4="X"," ",IF(G42&lt;&gt;0,G42*H$2/(100+H$2)," "))</f>
        <v> </v>
      </c>
      <c r="I42" s="125" t="str">
        <f aca="false">IF((G42&lt;&gt;0),G42-H42," ")</f>
        <v> </v>
      </c>
    </row>
    <row r="43" customFormat="false" ht="12.75" hidden="false" customHeight="false" outlineLevel="0" collapsed="false">
      <c r="F43" s="120"/>
      <c r="H43" s="125" t="str">
        <f aca="false">IF(H$4="X"," ",IF(G43&lt;&gt;0,G43*H$2/(100+H$2)," "))</f>
        <v> </v>
      </c>
      <c r="I43" s="125" t="str">
        <f aca="false">IF((G43&lt;&gt;0),G43-H43," ")</f>
        <v> </v>
      </c>
    </row>
    <row r="44" customFormat="false" ht="12.75" hidden="false" customHeight="false" outlineLevel="0" collapsed="false">
      <c r="F44" s="120"/>
      <c r="H44" s="125" t="str">
        <f aca="false">IF(H$4="X"," ",IF(G44&lt;&gt;0,G44*H$2/(100+H$2)," "))</f>
        <v> </v>
      </c>
      <c r="I44" s="125" t="str">
        <f aca="false">IF((G44&lt;&gt;0),G44-H44," ")</f>
        <v> </v>
      </c>
    </row>
    <row r="45" customFormat="false" ht="12.75" hidden="false" customHeight="false" outlineLevel="0" collapsed="false">
      <c r="F45" s="120"/>
      <c r="H45" s="125" t="str">
        <f aca="false">IF(H$4="X"," ",IF(G45&lt;&gt;0,G45*H$2/(100+H$2)," "))</f>
        <v> </v>
      </c>
      <c r="I45" s="125" t="str">
        <f aca="false">IF((G45&lt;&gt;0),G45-H45," ")</f>
        <v> </v>
      </c>
    </row>
    <row r="46" customFormat="false" ht="12.75" hidden="false" customHeight="false" outlineLevel="0" collapsed="false">
      <c r="F46" s="120"/>
      <c r="H46" s="125" t="str">
        <f aca="false">IF(H$4="X"," ",IF(G46&lt;&gt;0,G46*H$2/(100+H$2)," "))</f>
        <v> </v>
      </c>
      <c r="I46" s="125" t="str">
        <f aca="false">IF((G46&lt;&gt;0),G46-H46," ")</f>
        <v> </v>
      </c>
    </row>
    <row r="47" customFormat="false" ht="12.75" hidden="false" customHeight="false" outlineLevel="0" collapsed="false">
      <c r="F47" s="120"/>
      <c r="H47" s="125" t="str">
        <f aca="false">IF(H$4="X"," ",IF(G47&lt;&gt;0,G47*H$2/(100+H$2)," "))</f>
        <v> </v>
      </c>
      <c r="I47" s="125" t="str">
        <f aca="false">IF((G47&lt;&gt;0),G47-H47," ")</f>
        <v> </v>
      </c>
    </row>
    <row r="48" customFormat="false" ht="12.75" hidden="false" customHeight="false" outlineLevel="0" collapsed="false">
      <c r="F48" s="120"/>
      <c r="H48" s="125" t="str">
        <f aca="false">IF(H$4="X"," ",IF(G48&lt;&gt;0,G48*H$2/(100+H$2)," "))</f>
        <v> </v>
      </c>
      <c r="I48" s="125" t="str">
        <f aca="false">IF((G48&lt;&gt;0),G48-H48," ")</f>
        <v> </v>
      </c>
    </row>
    <row r="49" customFormat="false" ht="12.75" hidden="false" customHeight="false" outlineLevel="0" collapsed="false">
      <c r="F49" s="120"/>
      <c r="H49" s="125" t="str">
        <f aca="false">IF(H$4="X"," ",IF(G49&lt;&gt;0,G49*H$2/(100+H$2)," "))</f>
        <v> </v>
      </c>
      <c r="I49" s="125" t="str">
        <f aca="false">IF((G49&lt;&gt;0),G49-H49," ")</f>
        <v> </v>
      </c>
    </row>
    <row r="50" customFormat="false" ht="12.75" hidden="false" customHeight="false" outlineLevel="0" collapsed="false">
      <c r="F50" s="120"/>
      <c r="H50" s="125" t="str">
        <f aca="false">IF(H$4="X"," ",IF(G50&lt;&gt;0,G50*H$2/(100+H$2)," "))</f>
        <v> </v>
      </c>
      <c r="I50" s="125" t="str">
        <f aca="false">IF((G50&lt;&gt;0),G50-H50," ")</f>
        <v> </v>
      </c>
    </row>
    <row r="51" customFormat="false" ht="12.75" hidden="false" customHeight="false" outlineLevel="0" collapsed="false">
      <c r="F51" s="120"/>
      <c r="H51" s="125" t="str">
        <f aca="false">IF(H$4="X"," ",IF(G51&lt;&gt;0,G51*H$2/(100+H$2)," "))</f>
        <v> </v>
      </c>
      <c r="I51" s="125" t="str">
        <f aca="false">IF((G51&lt;&gt;0),G51-H51," ")</f>
        <v> </v>
      </c>
    </row>
    <row r="52" customFormat="false" ht="12.75" hidden="false" customHeight="false" outlineLevel="0" collapsed="false">
      <c r="F52" s="120"/>
      <c r="H52" s="125" t="str">
        <f aca="false">IF(H$4="X"," ",IF(G52&lt;&gt;0,G52*H$2/(100+H$2)," "))</f>
        <v> </v>
      </c>
      <c r="I52" s="125" t="str">
        <f aca="false">IF((G52&lt;&gt;0),G52-H52," ")</f>
        <v> </v>
      </c>
    </row>
    <row r="53" customFormat="false" ht="12.75" hidden="false" customHeight="false" outlineLevel="0" collapsed="false">
      <c r="F53" s="120"/>
      <c r="H53" s="125" t="str">
        <f aca="false">IF(H$4="X"," ",IF(G53&lt;&gt;0,G53*H$2/(100+H$2)," "))</f>
        <v> </v>
      </c>
      <c r="I53" s="125" t="str">
        <f aca="false">IF((G53&lt;&gt;0),G53-H53," ")</f>
        <v> </v>
      </c>
    </row>
    <row r="54" customFormat="false" ht="12.75" hidden="false" customHeight="false" outlineLevel="0" collapsed="false">
      <c r="F54" s="120"/>
      <c r="H54" s="125" t="str">
        <f aca="false">IF(H$4="X"," ",IF(G54&lt;&gt;0,G54*H$2/(100+H$2)," "))</f>
        <v> </v>
      </c>
      <c r="I54" s="125" t="str">
        <f aca="false">IF((G54&lt;&gt;0),G54-H54," ")</f>
        <v> </v>
      </c>
    </row>
    <row r="55" customFormat="false" ht="12.75" hidden="false" customHeight="false" outlineLevel="0" collapsed="false">
      <c r="F55" s="120"/>
      <c r="H55" s="125" t="str">
        <f aca="false">IF(H$4="X"," ",IF(G55&lt;&gt;0,G55*H$2/(100+H$2)," "))</f>
        <v> </v>
      </c>
      <c r="I55" s="125" t="str">
        <f aca="false">IF((G55&lt;&gt;0),G55-H55," ")</f>
        <v> </v>
      </c>
    </row>
    <row r="56" customFormat="false" ht="12.75" hidden="false" customHeight="false" outlineLevel="0" collapsed="false">
      <c r="F56" s="120"/>
      <c r="H56" s="125" t="str">
        <f aca="false">IF(H$4="X"," ",IF(G56&lt;&gt;0,G56*H$2/(100+H$2)," "))</f>
        <v> </v>
      </c>
      <c r="I56" s="125" t="str">
        <f aca="false">IF((G56&lt;&gt;0),G56-H56," ")</f>
        <v> </v>
      </c>
    </row>
    <row r="57" customFormat="false" ht="12.75" hidden="false" customHeight="false" outlineLevel="0" collapsed="false">
      <c r="F57" s="120"/>
      <c r="H57" s="125" t="str">
        <f aca="false">IF(H$4="X"," ",IF(G57&lt;&gt;0,G57*H$2/(100+H$2)," "))</f>
        <v> </v>
      </c>
      <c r="I57" s="125" t="str">
        <f aca="false">IF((G57&lt;&gt;0),G57-H57," ")</f>
        <v> </v>
      </c>
    </row>
    <row r="58" customFormat="false" ht="12.75" hidden="false" customHeight="false" outlineLevel="0" collapsed="false">
      <c r="F58" s="120"/>
      <c r="H58" s="125" t="str">
        <f aca="false">IF(H$4="X"," ",IF(G58&lt;&gt;0,G58*H$2/(100+H$2)," "))</f>
        <v> </v>
      </c>
      <c r="I58" s="125" t="str">
        <f aca="false">IF((G58&lt;&gt;0),G58-H58," ")</f>
        <v> </v>
      </c>
    </row>
    <row r="59" customFormat="false" ht="12.75" hidden="false" customHeight="false" outlineLevel="0" collapsed="false">
      <c r="F59" s="120"/>
      <c r="H59" s="125" t="str">
        <f aca="false">IF(H$4="X"," ",IF(G59&lt;&gt;0,G59*H$2/(100+H$2)," "))</f>
        <v> </v>
      </c>
      <c r="I59" s="125" t="str">
        <f aca="false">IF((G59&lt;&gt;0),G59-H59," ")</f>
        <v> </v>
      </c>
    </row>
    <row r="60" customFormat="false" ht="12.75" hidden="false" customHeight="false" outlineLevel="0" collapsed="false">
      <c r="F60" s="120"/>
      <c r="H60" s="125" t="str">
        <f aca="false">IF(H$4="X"," ",IF(G60&lt;&gt;0,G60*H$2/(100+H$2)," "))</f>
        <v> </v>
      </c>
      <c r="I60" s="125" t="str">
        <f aca="false">IF((G60&lt;&gt;0),G60-H60," ")</f>
        <v> </v>
      </c>
    </row>
    <row r="61" customFormat="false" ht="12.75" hidden="false" customHeight="false" outlineLevel="0" collapsed="false">
      <c r="F61" s="120"/>
      <c r="H61" s="125" t="str">
        <f aca="false">IF(H$4="X"," ",IF(G61&lt;&gt;0,G61*H$2/(100+H$2)," "))</f>
        <v> </v>
      </c>
      <c r="I61" s="125" t="str">
        <f aca="false">IF((G61&lt;&gt;0),G61-H61," ")</f>
        <v> </v>
      </c>
    </row>
    <row r="62" customFormat="false" ht="12.75" hidden="false" customHeight="false" outlineLevel="0" collapsed="false">
      <c r="F62" s="120"/>
      <c r="H62" s="125" t="str">
        <f aca="false">IF(H$4="X"," ",IF(G62&lt;&gt;0,G62*H$2/(100+H$2)," "))</f>
        <v> </v>
      </c>
      <c r="I62" s="125" t="str">
        <f aca="false">IF((G62&lt;&gt;0),G62-H62," ")</f>
        <v> </v>
      </c>
    </row>
    <row r="63" customFormat="false" ht="12.75" hidden="false" customHeight="false" outlineLevel="0" collapsed="false">
      <c r="F63" s="120"/>
      <c r="H63" s="125" t="str">
        <f aca="false">IF(H$4="X"," ",IF(G63&lt;&gt;0,G63*H$2/(100+H$2)," "))</f>
        <v> </v>
      </c>
      <c r="I63" s="125" t="str">
        <f aca="false">IF((G63&lt;&gt;0),G63-H63," ")</f>
        <v> </v>
      </c>
    </row>
    <row r="64" customFormat="false" ht="12.75" hidden="false" customHeight="false" outlineLevel="0" collapsed="false">
      <c r="F64" s="120"/>
      <c r="H64" s="125" t="str">
        <f aca="false">IF(H$4="X"," ",IF(G64&lt;&gt;0,G64*H$2/(100+H$2)," "))</f>
        <v> </v>
      </c>
      <c r="I64" s="125" t="str">
        <f aca="false">IF((G64&lt;&gt;0),G64-H64," ")</f>
        <v> </v>
      </c>
    </row>
    <row r="65" customFormat="false" ht="12.75" hidden="false" customHeight="false" outlineLevel="0" collapsed="false">
      <c r="F65" s="120"/>
      <c r="H65" s="125" t="str">
        <f aca="false">IF(H$4="X"," ",IF(G65&lt;&gt;0,G65*H$2/(100+H$2)," "))</f>
        <v> </v>
      </c>
      <c r="I65" s="125" t="str">
        <f aca="false">IF((G65&lt;&gt;0),G65-H65," ")</f>
        <v> </v>
      </c>
    </row>
    <row r="66" customFormat="false" ht="12.75" hidden="false" customHeight="false" outlineLevel="0" collapsed="false">
      <c r="F66" s="120"/>
      <c r="H66" s="125" t="str">
        <f aca="false">IF(H$4="X"," ",IF(G66&lt;&gt;0,G66*H$2/(100+H$2)," "))</f>
        <v> </v>
      </c>
      <c r="I66" s="125" t="str">
        <f aca="false">IF((G66&lt;&gt;0),G66-H66," ")</f>
        <v> </v>
      </c>
    </row>
    <row r="67" customFormat="false" ht="12.75" hidden="false" customHeight="false" outlineLevel="0" collapsed="false">
      <c r="F67" s="120"/>
      <c r="H67" s="125" t="str">
        <f aca="false">IF(H$4="X"," ",IF(G67&lt;&gt;0,G67*H$2/(100+H$2)," "))</f>
        <v> </v>
      </c>
      <c r="I67" s="125" t="str">
        <f aca="false">IF((G67&lt;&gt;0),G67-H67," ")</f>
        <v> </v>
      </c>
    </row>
    <row r="68" customFormat="false" ht="12.75" hidden="false" customHeight="false" outlineLevel="0" collapsed="false">
      <c r="F68" s="120"/>
      <c r="H68" s="125" t="str">
        <f aca="false">IF(H$4="X"," ",IF(G68&lt;&gt;0,G68*H$2/(100+H$2)," "))</f>
        <v> </v>
      </c>
      <c r="I68" s="125" t="str">
        <f aca="false">IF((G68&lt;&gt;0),G68-H68," ")</f>
        <v> </v>
      </c>
    </row>
    <row r="69" customFormat="false" ht="12.75" hidden="false" customHeight="false" outlineLevel="0" collapsed="false">
      <c r="F69" s="120"/>
      <c r="H69" s="125" t="str">
        <f aca="false">IF(H$4="X"," ",IF(G69&lt;&gt;0,G69*H$2/(100+H$2)," "))</f>
        <v> </v>
      </c>
      <c r="I69" s="125" t="str">
        <f aca="false">IF((G69&lt;&gt;0),G69-H69," ")</f>
        <v> </v>
      </c>
    </row>
    <row r="70" customFormat="false" ht="12.75" hidden="false" customHeight="false" outlineLevel="0" collapsed="false">
      <c r="F70" s="120"/>
      <c r="H70" s="125" t="str">
        <f aca="false">IF(H$4="X"," ",IF(G70&lt;&gt;0,G70*H$2/(100+H$2)," "))</f>
        <v> </v>
      </c>
      <c r="I70" s="125" t="str">
        <f aca="false">IF((G70&lt;&gt;0),G70-H70," ")</f>
        <v> </v>
      </c>
    </row>
    <row r="71" customFormat="false" ht="12.75" hidden="false" customHeight="false" outlineLevel="0" collapsed="false">
      <c r="F71" s="120"/>
      <c r="H71" s="125" t="str">
        <f aca="false">IF(H$4="X"," ",IF(G71&lt;&gt;0,G71*H$2/(100+H$2)," "))</f>
        <v> </v>
      </c>
      <c r="I71" s="125" t="str">
        <f aca="false">IF((G71&lt;&gt;0),G71-H71," ")</f>
        <v> </v>
      </c>
    </row>
    <row r="72" customFormat="false" ht="12.75" hidden="false" customHeight="false" outlineLevel="0" collapsed="false">
      <c r="F72" s="120"/>
      <c r="H72" s="125" t="str">
        <f aca="false">IF(H$4="X"," ",IF(G72&lt;&gt;0,G72*H$2/(100+H$2)," "))</f>
        <v> </v>
      </c>
      <c r="I72" s="125" t="str">
        <f aca="false">IF((G72&lt;&gt;0),G72-H72," ")</f>
        <v> </v>
      </c>
    </row>
    <row r="73" customFormat="false" ht="12.75" hidden="false" customHeight="false" outlineLevel="0" collapsed="false">
      <c r="F73" s="120"/>
      <c r="H73" s="125" t="str">
        <f aca="false">IF(H$4="X"," ",IF(G73&lt;&gt;0,G73*H$2/(100+H$2)," "))</f>
        <v> </v>
      </c>
      <c r="I73" s="125" t="str">
        <f aca="false">IF((G73&lt;&gt;0),G73-H73," ")</f>
        <v> </v>
      </c>
    </row>
    <row r="74" customFormat="false" ht="12.75" hidden="false" customHeight="false" outlineLevel="0" collapsed="false">
      <c r="F74" s="120"/>
      <c r="H74" s="125" t="str">
        <f aca="false">IF(H$4="X"," ",IF(G74&lt;&gt;0,G74*H$2/(100+H$2)," "))</f>
        <v> </v>
      </c>
      <c r="I74" s="125" t="str">
        <f aca="false">IF((G74&lt;&gt;0),G74-H74," ")</f>
        <v> </v>
      </c>
    </row>
    <row r="75" customFormat="false" ht="12.75" hidden="false" customHeight="false" outlineLevel="0" collapsed="false">
      <c r="F75" s="120"/>
      <c r="H75" s="125" t="str">
        <f aca="false">IF(H$4="X"," ",IF(G75&lt;&gt;0,G75*H$2/(100+H$2)," "))</f>
        <v> </v>
      </c>
      <c r="I75" s="125" t="str">
        <f aca="false">IF((G75&lt;&gt;0),G75-H75," ")</f>
        <v> </v>
      </c>
    </row>
    <row r="76" customFormat="false" ht="12.75" hidden="false" customHeight="false" outlineLevel="0" collapsed="false">
      <c r="F76" s="120"/>
      <c r="H76" s="125" t="str">
        <f aca="false">IF(H$4="X"," ",IF(G76&lt;&gt;0,G76*H$2/(100+H$2)," "))</f>
        <v> </v>
      </c>
      <c r="I76" s="125" t="str">
        <f aca="false">IF((G76&lt;&gt;0),G76-H76," ")</f>
        <v> </v>
      </c>
    </row>
    <row r="77" customFormat="false" ht="12.75" hidden="false" customHeight="false" outlineLevel="0" collapsed="false">
      <c r="F77" s="120"/>
      <c r="H77" s="125" t="str">
        <f aca="false">IF(H$4="X"," ",IF(G77&lt;&gt;0,G77*H$2/(100+H$2)," "))</f>
        <v> </v>
      </c>
      <c r="I77" s="125" t="str">
        <f aca="false">IF((G77&lt;&gt;0),G77-H77," ")</f>
        <v> </v>
      </c>
    </row>
    <row r="78" customFormat="false" ht="12.75" hidden="false" customHeight="false" outlineLevel="0" collapsed="false">
      <c r="F78" s="120"/>
      <c r="H78" s="125" t="str">
        <f aca="false">IF(H$4="X"," ",IF(G78&lt;&gt;0,G78*H$2/(100+H$2)," "))</f>
        <v> </v>
      </c>
      <c r="I78" s="125" t="str">
        <f aca="false">IF((G78&lt;&gt;0),G78-H78," ")</f>
        <v> </v>
      </c>
    </row>
    <row r="79" customFormat="false" ht="12.75" hidden="false" customHeight="false" outlineLevel="0" collapsed="false">
      <c r="F79" s="120"/>
      <c r="H79" s="125" t="str">
        <f aca="false">IF(H$4="X"," ",IF(G79&lt;&gt;0,G79*H$2/(100+H$2)," "))</f>
        <v> </v>
      </c>
      <c r="I79" s="125" t="str">
        <f aca="false">IF((G79&lt;&gt;0),G79-H79," ")</f>
        <v> </v>
      </c>
    </row>
    <row r="80" customFormat="false" ht="12.75" hidden="false" customHeight="false" outlineLevel="0" collapsed="false">
      <c r="F80" s="120"/>
      <c r="H80" s="125" t="str">
        <f aca="false">IF(H$4="X"," ",IF(G80&lt;&gt;0,G80*H$2/(100+H$2)," "))</f>
        <v> </v>
      </c>
      <c r="I80" s="125" t="str">
        <f aca="false">IF((G80&lt;&gt;0),G80-H80," ")</f>
        <v> </v>
      </c>
    </row>
    <row r="81" customFormat="false" ht="12.75" hidden="false" customHeight="false" outlineLevel="0" collapsed="false">
      <c r="F81" s="120"/>
      <c r="H81" s="125" t="str">
        <f aca="false">IF(H$4="X"," ",IF(G81&lt;&gt;0,G81*H$2/(100+H$2)," "))</f>
        <v> </v>
      </c>
      <c r="I81" s="125" t="str">
        <f aca="false">IF((G81&lt;&gt;0),G81-H81," ")</f>
        <v> </v>
      </c>
    </row>
    <row r="82" customFormat="false" ht="12.75" hidden="false" customHeight="false" outlineLevel="0" collapsed="false">
      <c r="F82" s="120"/>
      <c r="H82" s="125" t="str">
        <f aca="false">IF(H$4="X"," ",IF(G82&lt;&gt;0,G82*H$2/(100+H$2)," "))</f>
        <v> </v>
      </c>
      <c r="I82" s="125" t="str">
        <f aca="false">IF((G82&lt;&gt;0),G82-H82," ")</f>
        <v> </v>
      </c>
    </row>
    <row r="83" customFormat="false" ht="12.75" hidden="false" customHeight="false" outlineLevel="0" collapsed="false">
      <c r="F83" s="120"/>
      <c r="H83" s="125" t="str">
        <f aca="false">IF(H$4="X"," ",IF(G83&lt;&gt;0,G83*H$2/(100+H$2)," "))</f>
        <v> </v>
      </c>
      <c r="I83" s="125" t="str">
        <f aca="false">IF((G83&lt;&gt;0),G83-H83," ")</f>
        <v> </v>
      </c>
    </row>
    <row r="84" customFormat="false" ht="12.75" hidden="false" customHeight="false" outlineLevel="0" collapsed="false">
      <c r="F84" s="120"/>
      <c r="H84" s="125" t="str">
        <f aca="false">IF(H$4="X"," ",IF(G84&lt;&gt;0,G84*H$2/(100+H$2)," "))</f>
        <v> </v>
      </c>
      <c r="I84" s="125" t="str">
        <f aca="false">IF((G84&lt;&gt;0),G84-H84," ")</f>
        <v> </v>
      </c>
    </row>
    <row r="85" customFormat="false" ht="12.75" hidden="false" customHeight="false" outlineLevel="0" collapsed="false">
      <c r="F85" s="120"/>
      <c r="H85" s="125" t="str">
        <f aca="false">IF(H$4="X"," ",IF(G85&lt;&gt;0,G85*H$2/(100+H$2)," "))</f>
        <v> </v>
      </c>
      <c r="I85" s="125" t="str">
        <f aca="false">IF((G85&lt;&gt;0),G85-H85," ")</f>
        <v> </v>
      </c>
    </row>
    <row r="86" customFormat="false" ht="12.75" hidden="false" customHeight="false" outlineLevel="0" collapsed="false">
      <c r="F86" s="120"/>
      <c r="H86" s="125" t="str">
        <f aca="false">IF(H$4="X"," ",IF(G86&lt;&gt;0,G86*H$2/(100+H$2)," "))</f>
        <v> </v>
      </c>
      <c r="I86" s="125" t="str">
        <f aca="false">IF((G86&lt;&gt;0),G86-H86," ")</f>
        <v> </v>
      </c>
    </row>
    <row r="87" customFormat="false" ht="12.75" hidden="false" customHeight="false" outlineLevel="0" collapsed="false">
      <c r="F87" s="120"/>
      <c r="H87" s="125" t="str">
        <f aca="false">IF(H$4="X"," ",IF(G87&lt;&gt;0,G87*H$2/(100+H$2)," "))</f>
        <v> </v>
      </c>
      <c r="I87" s="125" t="str">
        <f aca="false">IF((G87&lt;&gt;0),G87-H87," ")</f>
        <v> </v>
      </c>
    </row>
    <row r="88" customFormat="false" ht="12.75" hidden="false" customHeight="false" outlineLevel="0" collapsed="false">
      <c r="F88" s="120"/>
      <c r="H88" s="125" t="str">
        <f aca="false">IF(H$4="X"," ",IF(G88&lt;&gt;0,G88*H$2/(100+H$2)," "))</f>
        <v> </v>
      </c>
      <c r="I88" s="125" t="str">
        <f aca="false">IF((G88&lt;&gt;0),G88-H88," ")</f>
        <v> </v>
      </c>
    </row>
    <row r="89" customFormat="false" ht="12.75" hidden="false" customHeight="false" outlineLevel="0" collapsed="false">
      <c r="F89" s="120"/>
      <c r="H89" s="125" t="str">
        <f aca="false">IF(H$4="X"," ",IF(G89&lt;&gt;0,G89*H$2/(100+H$2)," "))</f>
        <v> </v>
      </c>
      <c r="I89" s="125" t="str">
        <f aca="false">IF((G89&lt;&gt;0),G89-H89," ")</f>
        <v> </v>
      </c>
    </row>
    <row r="90" customFormat="false" ht="12.75" hidden="false" customHeight="false" outlineLevel="0" collapsed="false">
      <c r="F90" s="120"/>
      <c r="H90" s="125" t="str">
        <f aca="false">IF(H$4="X"," ",IF(G90&lt;&gt;0,G90*H$2/(100+H$2)," "))</f>
        <v> </v>
      </c>
      <c r="I90" s="125" t="str">
        <f aca="false">IF((G90&lt;&gt;0),G90-H90," ")</f>
        <v> </v>
      </c>
    </row>
    <row r="91" customFormat="false" ht="12.75" hidden="false" customHeight="false" outlineLevel="0" collapsed="false">
      <c r="F91" s="120"/>
      <c r="H91" s="125" t="str">
        <f aca="false">IF(H$4="X"," ",IF(G91&lt;&gt;0,G91*H$2/(100+H$2)," "))</f>
        <v> </v>
      </c>
      <c r="I91" s="125" t="str">
        <f aca="false">IF((G91&lt;&gt;0),G91-H91," ")</f>
        <v> </v>
      </c>
    </row>
    <row r="92" customFormat="false" ht="12.75" hidden="false" customHeight="false" outlineLevel="0" collapsed="false">
      <c r="F92" s="120"/>
      <c r="H92" s="125" t="str">
        <f aca="false">IF(H$4="X"," ",IF(G92&lt;&gt;0,G92*H$2/(100+H$2)," "))</f>
        <v> </v>
      </c>
      <c r="I92" s="125" t="str">
        <f aca="false">IF((G92&lt;&gt;0),G92-H92," ")</f>
        <v> </v>
      </c>
    </row>
    <row r="93" customFormat="false" ht="12.75" hidden="false" customHeight="false" outlineLevel="0" collapsed="false">
      <c r="F93" s="120"/>
      <c r="H93" s="125" t="str">
        <f aca="false">IF(H$4="X"," ",IF(G93&lt;&gt;0,G93*H$2/(100+H$2)," "))</f>
        <v> </v>
      </c>
      <c r="I93" s="125" t="str">
        <f aca="false">IF((G93&lt;&gt;0),G93-H93," ")</f>
        <v> </v>
      </c>
    </row>
    <row r="94" customFormat="false" ht="12.75" hidden="false" customHeight="false" outlineLevel="0" collapsed="false">
      <c r="F94" s="120"/>
      <c r="H94" s="125" t="str">
        <f aca="false">IF(H$4="X"," ",IF(G94&lt;&gt;0,G94*H$2/(100+H$2)," "))</f>
        <v> </v>
      </c>
      <c r="I94" s="125" t="str">
        <f aca="false">IF((G94&lt;&gt;0),G94-H94," ")</f>
        <v> </v>
      </c>
    </row>
    <row r="95" customFormat="false" ht="12.75" hidden="false" customHeight="false" outlineLevel="0" collapsed="false">
      <c r="F95" s="120"/>
      <c r="H95" s="125" t="str">
        <f aca="false">IF(H$4="X"," ",IF(G95&lt;&gt;0,G95*H$2/(100+H$2)," "))</f>
        <v> </v>
      </c>
      <c r="I95" s="125" t="str">
        <f aca="false">IF((G95&lt;&gt;0),G95-H95," ")</f>
        <v> </v>
      </c>
    </row>
    <row r="96" customFormat="false" ht="12.75" hidden="false" customHeight="false" outlineLevel="0" collapsed="false">
      <c r="F96" s="120"/>
      <c r="H96" s="125" t="str">
        <f aca="false">IF(H$4="X"," ",IF(G96&lt;&gt;0,G96*H$2/(100+H$2)," "))</f>
        <v> </v>
      </c>
      <c r="I96" s="125" t="str">
        <f aca="false">IF((G96&lt;&gt;0),G96-H96," ")</f>
        <v> </v>
      </c>
    </row>
    <row r="97" customFormat="false" ht="12.75" hidden="false" customHeight="false" outlineLevel="0" collapsed="false">
      <c r="F97" s="120"/>
      <c r="H97" s="125" t="str">
        <f aca="false">IF(H$4="X"," ",IF(G97&lt;&gt;0,G97*H$2/(100+H$2)," "))</f>
        <v> </v>
      </c>
      <c r="I97" s="125" t="str">
        <f aca="false">IF((G97&lt;&gt;0),G97-H97," ")</f>
        <v> </v>
      </c>
    </row>
    <row r="98" customFormat="false" ht="12.75" hidden="false" customHeight="false" outlineLevel="0" collapsed="false">
      <c r="F98" s="120"/>
      <c r="H98" s="125" t="str">
        <f aca="false">IF(H$4="X"," ",IF(G98&lt;&gt;0,G98*H$2/(100+H$2)," "))</f>
        <v> </v>
      </c>
      <c r="I98" s="125" t="str">
        <f aca="false">IF((G98&lt;&gt;0),G98-H98," ")</f>
        <v> </v>
      </c>
    </row>
    <row r="99" customFormat="false" ht="12.75" hidden="false" customHeight="false" outlineLevel="0" collapsed="false">
      <c r="F99" s="120"/>
      <c r="H99" s="125" t="str">
        <f aca="false">IF(H$4="X"," ",IF(G99&lt;&gt;0,G99*H$2/(100+H$2)," "))</f>
        <v> </v>
      </c>
      <c r="I99" s="125" t="str">
        <f aca="false">IF((G99&lt;&gt;0),G99-H99," ")</f>
        <v> </v>
      </c>
    </row>
    <row r="100" customFormat="false" ht="12.75" hidden="false" customHeight="false" outlineLevel="0" collapsed="false">
      <c r="F100" s="120"/>
      <c r="H100" s="125" t="str">
        <f aca="false">IF(H$4="X"," ",IF(G100&lt;&gt;0,G100*H$2/(100+H$2)," "))</f>
        <v> </v>
      </c>
      <c r="I100" s="125" t="str">
        <f aca="false">IF((G100&lt;&gt;0),G100-H100," ")</f>
        <v> </v>
      </c>
    </row>
    <row r="101" customFormat="false" ht="12.75" hidden="false" customHeight="false" outlineLevel="0" collapsed="false">
      <c r="F101" s="120"/>
      <c r="H101" s="125" t="str">
        <f aca="false">IF(H$4="X"," ",IF(G101&lt;&gt;0,G101*H$2/(100+H$2)," "))</f>
        <v> </v>
      </c>
      <c r="I101" s="125" t="str">
        <f aca="false">IF((G101&lt;&gt;0),G101-H101," ")</f>
        <v> </v>
      </c>
    </row>
    <row r="102" customFormat="false" ht="12.75" hidden="false" customHeight="false" outlineLevel="0" collapsed="false">
      <c r="F102" s="120"/>
      <c r="H102" s="125" t="str">
        <f aca="false">IF(H$4="X"," ",IF(G102&lt;&gt;0,G102*H$2/(100+H$2)," "))</f>
        <v> </v>
      </c>
      <c r="I102" s="125" t="str">
        <f aca="false">IF((G102&lt;&gt;0),G102-H102," ")</f>
        <v> </v>
      </c>
    </row>
    <row r="103" customFormat="false" ht="12.75" hidden="false" customHeight="false" outlineLevel="0" collapsed="false">
      <c r="F103" s="120"/>
      <c r="H103" s="125" t="str">
        <f aca="false">IF(H$4="X"," ",IF(G103&lt;&gt;0,G103*H$2/(100+H$2)," "))</f>
        <v> </v>
      </c>
      <c r="I103" s="125" t="str">
        <f aca="false">IF((G103&lt;&gt;0),G103-H103," ")</f>
        <v> </v>
      </c>
    </row>
    <row r="104" customFormat="false" ht="12.75" hidden="false" customHeight="false" outlineLevel="0" collapsed="false">
      <c r="F104" s="120"/>
      <c r="H104" s="125" t="str">
        <f aca="false">IF(H$4="X"," ",IF(G104&lt;&gt;0,G104*H$2/(100+H$2)," "))</f>
        <v> </v>
      </c>
      <c r="I104" s="125" t="str">
        <f aca="false">IF((G104&lt;&gt;0),G104-H104," ")</f>
        <v> </v>
      </c>
    </row>
    <row r="105" customFormat="false" ht="12.75" hidden="false" customHeight="false" outlineLevel="0" collapsed="false">
      <c r="F105" s="120"/>
      <c r="H105" s="125" t="str">
        <f aca="false">IF(H$4="X"," ",IF(G105&lt;&gt;0,G105*H$2/(100+H$2)," "))</f>
        <v> </v>
      </c>
      <c r="I105" s="125" t="str">
        <f aca="false">IF((G105&lt;&gt;0),G105-H105," ")</f>
        <v> </v>
      </c>
    </row>
    <row r="106" customFormat="false" ht="12.75" hidden="false" customHeight="false" outlineLevel="0" collapsed="false">
      <c r="F106" s="120"/>
      <c r="H106" s="125" t="str">
        <f aca="false">IF(H$4="X"," ",IF(G106&lt;&gt;0,G106*H$2/(100+H$2)," "))</f>
        <v> </v>
      </c>
      <c r="I106" s="125" t="str">
        <f aca="false">IF((G106&lt;&gt;0),G106-H106," ")</f>
        <v> </v>
      </c>
    </row>
    <row r="107" customFormat="false" ht="12.75" hidden="false" customHeight="false" outlineLevel="0" collapsed="false">
      <c r="F107" s="120"/>
      <c r="H107" s="125" t="str">
        <f aca="false">IF(H$4="X"," ",IF(G107&lt;&gt;0,G107*H$2/(100+H$2)," "))</f>
        <v> </v>
      </c>
      <c r="I107" s="125" t="str">
        <f aca="false">IF((G107&lt;&gt;0),G107-H107," ")</f>
        <v> </v>
      </c>
    </row>
    <row r="108" customFormat="false" ht="12.75" hidden="false" customHeight="false" outlineLevel="0" collapsed="false">
      <c r="F108" s="120"/>
      <c r="H108" s="125" t="str">
        <f aca="false">IF(H$4="X"," ",IF(G108&lt;&gt;0,G108*H$2/(100+H$2)," "))</f>
        <v> </v>
      </c>
      <c r="I108" s="125" t="str">
        <f aca="false">IF((G108&lt;&gt;0),G108-H108," ")</f>
        <v> </v>
      </c>
    </row>
    <row r="109" customFormat="false" ht="12.75" hidden="false" customHeight="false" outlineLevel="0" collapsed="false">
      <c r="F109" s="120"/>
      <c r="H109" s="125" t="str">
        <f aca="false">IF(H$4="X"," ",IF(G109&lt;&gt;0,G109*H$2/(100+H$2)," "))</f>
        <v> </v>
      </c>
      <c r="I109" s="125" t="str">
        <f aca="false">IF((G109&lt;&gt;0),G109-H109," ")</f>
        <v> </v>
      </c>
    </row>
    <row r="110" customFormat="false" ht="12.75" hidden="false" customHeight="false" outlineLevel="0" collapsed="false">
      <c r="F110" s="120"/>
      <c r="H110" s="125" t="str">
        <f aca="false">IF(H$4="X"," ",IF(G110&lt;&gt;0,G110*H$2/(100+H$2)," "))</f>
        <v> </v>
      </c>
      <c r="I110" s="125" t="str">
        <f aca="false">IF((G110&lt;&gt;0),G110-H110," ")</f>
        <v> </v>
      </c>
    </row>
    <row r="111" customFormat="false" ht="12.75" hidden="false" customHeight="false" outlineLevel="0" collapsed="false">
      <c r="F111" s="120"/>
      <c r="H111" s="125" t="str">
        <f aca="false">IF(H$4="X"," ",IF(G111&lt;&gt;0,G111*H$2/(100+H$2)," "))</f>
        <v> </v>
      </c>
      <c r="I111" s="125" t="str">
        <f aca="false">IF((G111&lt;&gt;0),G111-H111," ")</f>
        <v> </v>
      </c>
    </row>
    <row r="112" customFormat="false" ht="12.75" hidden="false" customHeight="false" outlineLevel="0" collapsed="false">
      <c r="F112" s="120"/>
      <c r="H112" s="125" t="str">
        <f aca="false">IF(H$4="X"," ",IF(G112&lt;&gt;0,G112*H$2/(100+H$2)," "))</f>
        <v> </v>
      </c>
      <c r="I112" s="125" t="str">
        <f aca="false">IF((G112&lt;&gt;0),G112-H112," ")</f>
        <v> </v>
      </c>
    </row>
    <row r="113" customFormat="false" ht="12.75" hidden="false" customHeight="false" outlineLevel="0" collapsed="false">
      <c r="F113" s="120"/>
      <c r="H113" s="125" t="str">
        <f aca="false">IF(H$4="X"," ",IF(G113&lt;&gt;0,G113*H$2/(100+H$2)," "))</f>
        <v> </v>
      </c>
      <c r="I113" s="125" t="str">
        <f aca="false">IF((G113&lt;&gt;0),G113-H113," ")</f>
        <v> </v>
      </c>
    </row>
    <row r="114" customFormat="false" ht="12.75" hidden="false" customHeight="false" outlineLevel="0" collapsed="false">
      <c r="F114" s="120"/>
      <c r="H114" s="125" t="str">
        <f aca="false">IF(H$4="X"," ",IF(G114&lt;&gt;0,G114*H$2/(100+H$2)," "))</f>
        <v> </v>
      </c>
      <c r="I114" s="125" t="str">
        <f aca="false">IF((G114&lt;&gt;0),G114-H114," ")</f>
        <v> </v>
      </c>
    </row>
    <row r="115" customFormat="false" ht="12.75" hidden="false" customHeight="false" outlineLevel="0" collapsed="false">
      <c r="F115" s="120"/>
      <c r="H115" s="125" t="str">
        <f aca="false">IF(H$4="X"," ",IF(G115&lt;&gt;0,G115*H$2/(100+H$2)," "))</f>
        <v> </v>
      </c>
      <c r="I115" s="125" t="str">
        <f aca="false">IF((G115&lt;&gt;0),G115-H115," ")</f>
        <v> </v>
      </c>
    </row>
    <row r="116" customFormat="false" ht="12.75" hidden="false" customHeight="false" outlineLevel="0" collapsed="false">
      <c r="F116" s="120"/>
      <c r="H116" s="125" t="str">
        <f aca="false">IF(H$4="X"," ",IF(G116&lt;&gt;0,G116*H$2/(100+H$2)," "))</f>
        <v> </v>
      </c>
      <c r="I116" s="125" t="str">
        <f aca="false">IF((G116&lt;&gt;0),G116-H116," ")</f>
        <v> </v>
      </c>
    </row>
    <row r="117" customFormat="false" ht="12.75" hidden="false" customHeight="false" outlineLevel="0" collapsed="false">
      <c r="F117" s="120"/>
      <c r="H117" s="125" t="str">
        <f aca="false">IF(H$4="X"," ",IF(G117&lt;&gt;0,G117*H$2/(100+H$2)," "))</f>
        <v> </v>
      </c>
      <c r="I117" s="125" t="str">
        <f aca="false">IF((G117&lt;&gt;0),G117-H117," ")</f>
        <v> </v>
      </c>
    </row>
    <row r="118" customFormat="false" ht="12.75" hidden="false" customHeight="false" outlineLevel="0" collapsed="false">
      <c r="F118" s="120"/>
      <c r="H118" s="125" t="str">
        <f aca="false">IF(H$4="X"," ",IF(G118&lt;&gt;0,G118*H$2/(100+H$2)," "))</f>
        <v> </v>
      </c>
      <c r="I118" s="125" t="str">
        <f aca="false">IF((G118&lt;&gt;0),G118-H118," ")</f>
        <v> </v>
      </c>
    </row>
    <row r="119" customFormat="false" ht="12.75" hidden="false" customHeight="false" outlineLevel="0" collapsed="false">
      <c r="F119" s="120"/>
      <c r="H119" s="125" t="str">
        <f aca="false">IF(H$4="X"," ",IF(G119&lt;&gt;0,G119*H$2/(100+H$2)," "))</f>
        <v> </v>
      </c>
      <c r="I119" s="125" t="str">
        <f aca="false">IF((G119&lt;&gt;0),G119-H119," ")</f>
        <v> </v>
      </c>
    </row>
    <row r="120" customFormat="false" ht="12.75" hidden="false" customHeight="false" outlineLevel="0" collapsed="false">
      <c r="F120" s="120"/>
      <c r="H120" s="125" t="str">
        <f aca="false">IF(H$4="X"," ",IF(G120&lt;&gt;0,G120*H$2/(100+H$2)," "))</f>
        <v> </v>
      </c>
      <c r="I120" s="125" t="str">
        <f aca="false">IF((G120&lt;&gt;0),G120-H120," ")</f>
        <v> </v>
      </c>
    </row>
    <row r="121" customFormat="false" ht="12.75" hidden="false" customHeight="false" outlineLevel="0" collapsed="false">
      <c r="F121" s="120"/>
      <c r="H121" s="125" t="str">
        <f aca="false">IF(H$4="X"," ",IF(G121&lt;&gt;0,G121*H$2/(100+H$2)," "))</f>
        <v> </v>
      </c>
      <c r="I121" s="125" t="str">
        <f aca="false">IF((G121&lt;&gt;0),G121-H121," ")</f>
        <v> </v>
      </c>
    </row>
    <row r="122" customFormat="false" ht="12.75" hidden="false" customHeight="false" outlineLevel="0" collapsed="false">
      <c r="F122" s="120"/>
      <c r="H122" s="125" t="str">
        <f aca="false">IF(H$4="X"," ",IF(G122&lt;&gt;0,G122*H$2/(100+H$2)," "))</f>
        <v> </v>
      </c>
      <c r="I122" s="125" t="str">
        <f aca="false">IF((G122&lt;&gt;0),G122-H122," ")</f>
        <v> </v>
      </c>
    </row>
    <row r="123" customFormat="false" ht="12.75" hidden="false" customHeight="false" outlineLevel="0" collapsed="false">
      <c r="F123" s="120"/>
      <c r="H123" s="125" t="str">
        <f aca="false">IF(H$4="X"," ",IF(G123&lt;&gt;0,G123*H$2/(100+H$2)," "))</f>
        <v> </v>
      </c>
      <c r="I123" s="125" t="str">
        <f aca="false">IF((G123&lt;&gt;0),G123-H123," ")</f>
        <v> </v>
      </c>
    </row>
    <row r="124" customFormat="false" ht="12.75" hidden="false" customHeight="false" outlineLevel="0" collapsed="false">
      <c r="F124" s="120"/>
      <c r="H124" s="125" t="str">
        <f aca="false">IF(H$4="X"," ",IF(G124&lt;&gt;0,G124*H$2/(100+H$2)," "))</f>
        <v> </v>
      </c>
      <c r="I124" s="125" t="str">
        <f aca="false">IF((G124&lt;&gt;0),G124-H124," ")</f>
        <v> </v>
      </c>
    </row>
    <row r="125" customFormat="false" ht="12.75" hidden="false" customHeight="false" outlineLevel="0" collapsed="false">
      <c r="F125" s="120"/>
      <c r="H125" s="125" t="str">
        <f aca="false">IF(H$4="X"," ",IF(G125&lt;&gt;0,G125*H$2/(100+H$2)," "))</f>
        <v> </v>
      </c>
      <c r="I125" s="125" t="str">
        <f aca="false">IF((G125&lt;&gt;0),G125-H125," ")</f>
        <v> </v>
      </c>
    </row>
    <row r="126" customFormat="false" ht="12.75" hidden="false" customHeight="false" outlineLevel="0" collapsed="false">
      <c r="F126" s="120"/>
      <c r="H126" s="125" t="str">
        <f aca="false">IF(H$4="X"," ",IF(G126&lt;&gt;0,G126*H$2/(100+H$2)," "))</f>
        <v> </v>
      </c>
      <c r="I126" s="125" t="str">
        <f aca="false">IF((G126&lt;&gt;0),G126-H126," ")</f>
        <v> </v>
      </c>
    </row>
    <row r="127" customFormat="false" ht="12.75" hidden="false" customHeight="false" outlineLevel="0" collapsed="false">
      <c r="F127" s="120"/>
      <c r="H127" s="125" t="str">
        <f aca="false">IF(H$4="X"," ",IF(G127&lt;&gt;0,G127*H$2/(100+H$2)," "))</f>
        <v> </v>
      </c>
      <c r="I127" s="125" t="str">
        <f aca="false">IF((G127&lt;&gt;0),G127-H127," ")</f>
        <v> </v>
      </c>
    </row>
    <row r="128" customFormat="false" ht="12.75" hidden="false" customHeight="false" outlineLevel="0" collapsed="false">
      <c r="F128" s="120"/>
      <c r="H128" s="125" t="str">
        <f aca="false">IF(H$4="X"," ",IF(G128&lt;&gt;0,G128*H$2/(100+H$2)," "))</f>
        <v> </v>
      </c>
      <c r="I128" s="125" t="str">
        <f aca="false">IF((G128&lt;&gt;0),G128-H128," ")</f>
        <v> </v>
      </c>
    </row>
    <row r="129" customFormat="false" ht="12.75" hidden="false" customHeight="false" outlineLevel="0" collapsed="false">
      <c r="F129" s="120"/>
      <c r="H129" s="125" t="str">
        <f aca="false">IF(H$4="X"," ",IF(G129&lt;&gt;0,G129*H$2/(100+H$2)," "))</f>
        <v> </v>
      </c>
      <c r="I129" s="125" t="str">
        <f aca="false">IF((G129&lt;&gt;0),G129-H129," ")</f>
        <v> </v>
      </c>
    </row>
    <row r="130" customFormat="false" ht="12.75" hidden="false" customHeight="false" outlineLevel="0" collapsed="false">
      <c r="F130" s="120"/>
      <c r="H130" s="125" t="str">
        <f aca="false">IF(H$4="X"," ",IF(G130&lt;&gt;0,G130*H$2/(100+H$2)," "))</f>
        <v> </v>
      </c>
      <c r="I130" s="125" t="str">
        <f aca="false">IF((G130&lt;&gt;0),G130-H130," ")</f>
        <v> </v>
      </c>
    </row>
    <row r="131" customFormat="false" ht="12.75" hidden="false" customHeight="false" outlineLevel="0" collapsed="false">
      <c r="F131" s="120"/>
      <c r="H131" s="125" t="str">
        <f aca="false">IF(H$4="X"," ",IF(G131&lt;&gt;0,G131*H$2/(100+H$2)," "))</f>
        <v> </v>
      </c>
      <c r="I131" s="125" t="str">
        <f aca="false">IF((G131&lt;&gt;0),G131-H131," ")</f>
        <v> </v>
      </c>
    </row>
    <row r="132" customFormat="false" ht="12.75" hidden="false" customHeight="false" outlineLevel="0" collapsed="false">
      <c r="F132" s="120"/>
      <c r="H132" s="125" t="str">
        <f aca="false">IF(H$4="X"," ",IF(G132&lt;&gt;0,G132*H$2/(100+H$2)," "))</f>
        <v> </v>
      </c>
      <c r="I132" s="125" t="str">
        <f aca="false">IF((G132&lt;&gt;0),G132-H132," ")</f>
        <v> </v>
      </c>
    </row>
    <row r="133" customFormat="false" ht="12.75" hidden="false" customHeight="false" outlineLevel="0" collapsed="false">
      <c r="F133" s="120"/>
      <c r="H133" s="125" t="str">
        <f aca="false">IF(H$4="X"," ",IF(G133&lt;&gt;0,G133*H$2/(100+H$2)," "))</f>
        <v> </v>
      </c>
      <c r="I133" s="125" t="str">
        <f aca="false">IF((G133&lt;&gt;0),G133-H133," ")</f>
        <v> </v>
      </c>
    </row>
    <row r="134" customFormat="false" ht="12.75" hidden="false" customHeight="false" outlineLevel="0" collapsed="false">
      <c r="F134" s="120"/>
      <c r="H134" s="125" t="str">
        <f aca="false">IF(H$4="X"," ",IF(G134&lt;&gt;0,G134*H$2/(100+H$2)," "))</f>
        <v> </v>
      </c>
      <c r="I134" s="125" t="str">
        <f aca="false">IF((G134&lt;&gt;0),G134-H134," ")</f>
        <v> </v>
      </c>
    </row>
    <row r="135" customFormat="false" ht="12.75" hidden="false" customHeight="false" outlineLevel="0" collapsed="false">
      <c r="F135" s="120"/>
      <c r="H135" s="125" t="str">
        <f aca="false">IF(H$4="X"," ",IF(G135&lt;&gt;0,G135*H$2/(100+H$2)," "))</f>
        <v> </v>
      </c>
      <c r="I135" s="125" t="str">
        <f aca="false">IF((G135&lt;&gt;0),G135-H135," ")</f>
        <v> </v>
      </c>
    </row>
    <row r="136" customFormat="false" ht="12.75" hidden="false" customHeight="false" outlineLevel="0" collapsed="false">
      <c r="F136" s="120"/>
      <c r="H136" s="125" t="str">
        <f aca="false">IF(H$4="X"," ",IF(G136&lt;&gt;0,G136*H$2/(100+H$2)," "))</f>
        <v> </v>
      </c>
      <c r="I136" s="125" t="str">
        <f aca="false">IF((G136&lt;&gt;0),G136-H136," ")</f>
        <v> </v>
      </c>
    </row>
    <row r="137" customFormat="false" ht="12.75" hidden="false" customHeight="false" outlineLevel="0" collapsed="false">
      <c r="F137" s="120"/>
      <c r="H137" s="125" t="str">
        <f aca="false">IF(H$4="X"," ",IF(G137&lt;&gt;0,G137*H$2/(100+H$2)," "))</f>
        <v> </v>
      </c>
      <c r="I137" s="125" t="str">
        <f aca="false">IF((G137&lt;&gt;0),G137-H137," ")</f>
        <v> </v>
      </c>
    </row>
    <row r="138" customFormat="false" ht="12.75" hidden="false" customHeight="false" outlineLevel="0" collapsed="false">
      <c r="F138" s="120"/>
      <c r="H138" s="125" t="str">
        <f aca="false">IF(H$4="X"," ",IF(G138&lt;&gt;0,G138*H$2/(100+H$2)," "))</f>
        <v> </v>
      </c>
      <c r="I138" s="125" t="str">
        <f aca="false">IF((G138&lt;&gt;0),G138-H138," ")</f>
        <v> </v>
      </c>
    </row>
    <row r="139" customFormat="false" ht="12.75" hidden="false" customHeight="false" outlineLevel="0" collapsed="false">
      <c r="F139" s="120"/>
      <c r="H139" s="125" t="str">
        <f aca="false">IF(H$4="X"," ",IF(G139&lt;&gt;0,G139*H$2/(100+H$2)," "))</f>
        <v> </v>
      </c>
      <c r="I139" s="125" t="str">
        <f aca="false">IF((G139&lt;&gt;0),G139-H139," ")</f>
        <v> </v>
      </c>
    </row>
    <row r="140" customFormat="false" ht="12.75" hidden="false" customHeight="false" outlineLevel="0" collapsed="false">
      <c r="F140" s="120"/>
      <c r="H140" s="125" t="str">
        <f aca="false">IF(H$4="X"," ",IF(G140&lt;&gt;0,G140*H$2/(100+H$2)," "))</f>
        <v> </v>
      </c>
      <c r="I140" s="125" t="str">
        <f aca="false">IF((G140&lt;&gt;0),G140-H140," ")</f>
        <v> </v>
      </c>
    </row>
    <row r="141" customFormat="false" ht="12.75" hidden="false" customHeight="false" outlineLevel="0" collapsed="false">
      <c r="F141" s="120"/>
      <c r="H141" s="125" t="str">
        <f aca="false">IF(H$4="X"," ",IF(G141&lt;&gt;0,G141*H$2/(100+H$2)," "))</f>
        <v> </v>
      </c>
      <c r="I141" s="125" t="str">
        <f aca="false">IF((G141&lt;&gt;0),G141-H141," ")</f>
        <v> </v>
      </c>
    </row>
    <row r="142" customFormat="false" ht="12.75" hidden="false" customHeight="false" outlineLevel="0" collapsed="false">
      <c r="F142" s="120"/>
      <c r="H142" s="125" t="str">
        <f aca="false">IF(H$4="X"," ",IF(G142&lt;&gt;0,G142*H$2/(100+H$2)," "))</f>
        <v> </v>
      </c>
      <c r="I142" s="125" t="str">
        <f aca="false">IF((G142&lt;&gt;0),G142-H142," ")</f>
        <v> </v>
      </c>
    </row>
    <row r="143" customFormat="false" ht="12.75" hidden="false" customHeight="false" outlineLevel="0" collapsed="false">
      <c r="F143" s="120"/>
      <c r="H143" s="125" t="str">
        <f aca="false">IF(H$4="X"," ",IF(G143&lt;&gt;0,G143*H$2/(100+H$2)," "))</f>
        <v> </v>
      </c>
      <c r="I143" s="125" t="str">
        <f aca="false">IF((G143&lt;&gt;0),G143-H143," ")</f>
        <v> </v>
      </c>
    </row>
    <row r="144" customFormat="false" ht="12.75" hidden="false" customHeight="false" outlineLevel="0" collapsed="false">
      <c r="F144" s="120"/>
      <c r="H144" s="125" t="str">
        <f aca="false">IF(H$4="X"," ",IF(G144&lt;&gt;0,G144*H$2/(100+H$2)," "))</f>
        <v> </v>
      </c>
      <c r="I144" s="125" t="str">
        <f aca="false">IF((G144&lt;&gt;0),G144-H144," ")</f>
        <v> </v>
      </c>
    </row>
    <row r="145" customFormat="false" ht="12.75" hidden="false" customHeight="false" outlineLevel="0" collapsed="false">
      <c r="F145" s="120"/>
      <c r="H145" s="125" t="str">
        <f aca="false">IF(H$4="X"," ",IF(G145&lt;&gt;0,G145*H$2/(100+H$2)," "))</f>
        <v> </v>
      </c>
      <c r="I145" s="125" t="str">
        <f aca="false">IF((G145&lt;&gt;0),G145-H145," ")</f>
        <v> </v>
      </c>
    </row>
    <row r="146" customFormat="false" ht="12.75" hidden="false" customHeight="false" outlineLevel="0" collapsed="false">
      <c r="F146" s="120"/>
      <c r="H146" s="125" t="str">
        <f aca="false">IF(H$4="X"," ",IF(G146&lt;&gt;0,G146*H$2/(100+H$2)," "))</f>
        <v> </v>
      </c>
      <c r="I146" s="125" t="str">
        <f aca="false">IF((G146&lt;&gt;0),G146-H146," ")</f>
        <v> </v>
      </c>
    </row>
    <row r="147" customFormat="false" ht="12.75" hidden="false" customHeight="false" outlineLevel="0" collapsed="false">
      <c r="F147" s="120"/>
      <c r="H147" s="125" t="str">
        <f aca="false">IF(H$4="X"," ",IF(G147&lt;&gt;0,G147*H$2/(100+H$2)," "))</f>
        <v> </v>
      </c>
      <c r="I147" s="125" t="str">
        <f aca="false">IF((G147&lt;&gt;0),G147-H147," ")</f>
        <v> </v>
      </c>
    </row>
    <row r="148" customFormat="false" ht="12.75" hidden="false" customHeight="false" outlineLevel="0" collapsed="false">
      <c r="F148" s="120"/>
      <c r="H148" s="125" t="str">
        <f aca="false">IF(H$4="X"," ",IF(G148&lt;&gt;0,G148*H$2/(100+H$2)," "))</f>
        <v> </v>
      </c>
      <c r="I148" s="125" t="str">
        <f aca="false">IF((G148&lt;&gt;0),G148-H148," ")</f>
        <v> </v>
      </c>
    </row>
    <row r="149" customFormat="false" ht="12.75" hidden="false" customHeight="false" outlineLevel="0" collapsed="false">
      <c r="F149" s="120"/>
      <c r="H149" s="125" t="str">
        <f aca="false">IF(H$4="X"," ",IF(G149&lt;&gt;0,G149*H$2/(100+H$2)," "))</f>
        <v> </v>
      </c>
      <c r="I149" s="125" t="str">
        <f aca="false">IF((G149&lt;&gt;0),G149-H149," ")</f>
        <v> </v>
      </c>
    </row>
    <row r="150" customFormat="false" ht="12.75" hidden="false" customHeight="false" outlineLevel="0" collapsed="false">
      <c r="F150" s="120"/>
      <c r="H150" s="125" t="str">
        <f aca="false">IF(H$4="X"," ",IF(G150&lt;&gt;0,G150*H$2/(100+H$2)," "))</f>
        <v> </v>
      </c>
      <c r="I150" s="125" t="str">
        <f aca="false">IF((G150&lt;&gt;0),G150-H150," ")</f>
        <v> </v>
      </c>
    </row>
    <row r="151" customFormat="false" ht="12.75" hidden="false" customHeight="false" outlineLevel="0" collapsed="false">
      <c r="F151" s="120"/>
      <c r="H151" s="125" t="str">
        <f aca="false">IF(H$4="X"," ",IF(G151&lt;&gt;0,G151*H$2/(100+H$2)," "))</f>
        <v> </v>
      </c>
      <c r="I151" s="125" t="str">
        <f aca="false">IF((G151&lt;&gt;0),G151-H151," ")</f>
        <v> </v>
      </c>
    </row>
    <row r="152" customFormat="false" ht="12.75" hidden="false" customHeight="false" outlineLevel="0" collapsed="false">
      <c r="F152" s="120"/>
      <c r="H152" s="125" t="str">
        <f aca="false">IF(H$4="X"," ",IF(G152&lt;&gt;0,G152*H$2/(100+H$2)," "))</f>
        <v> </v>
      </c>
      <c r="I152" s="125" t="str">
        <f aca="false">IF((G152&lt;&gt;0),G152-H152," ")</f>
        <v> </v>
      </c>
    </row>
    <row r="153" customFormat="false" ht="12.75" hidden="false" customHeight="false" outlineLevel="0" collapsed="false">
      <c r="F153" s="120"/>
      <c r="H153" s="125" t="str">
        <f aca="false">IF(H$4="X"," ",IF(G153&lt;&gt;0,G153*H$2/(100+H$2)," "))</f>
        <v> </v>
      </c>
      <c r="I153" s="125" t="str">
        <f aca="false">IF((G153&lt;&gt;0),G153-H153," ")</f>
        <v> </v>
      </c>
    </row>
    <row r="154" customFormat="false" ht="12.75" hidden="false" customHeight="false" outlineLevel="0" collapsed="false">
      <c r="F154" s="120"/>
      <c r="H154" s="125" t="str">
        <f aca="false">IF(H$4="X"," ",IF(G154&lt;&gt;0,G154*H$2/(100+H$2)," "))</f>
        <v> </v>
      </c>
      <c r="I154" s="125" t="str">
        <f aca="false">IF((G154&lt;&gt;0),G154-H154," ")</f>
        <v> </v>
      </c>
    </row>
    <row r="155" customFormat="false" ht="12.75" hidden="false" customHeight="false" outlineLevel="0" collapsed="false">
      <c r="F155" s="120"/>
      <c r="H155" s="125" t="str">
        <f aca="false">IF(H$4="X"," ",IF(G155&lt;&gt;0,G155*H$2/(100+H$2)," "))</f>
        <v> </v>
      </c>
      <c r="I155" s="125" t="str">
        <f aca="false">IF((G155&lt;&gt;0),G155-H155," ")</f>
        <v> </v>
      </c>
    </row>
    <row r="156" customFormat="false" ht="12.75" hidden="false" customHeight="false" outlineLevel="0" collapsed="false">
      <c r="F156" s="120"/>
      <c r="H156" s="125" t="str">
        <f aca="false">IF(H$4="X"," ",IF(G156&lt;&gt;0,G156*H$2/(100+H$2)," "))</f>
        <v> </v>
      </c>
      <c r="I156" s="125" t="str">
        <f aca="false">IF((G156&lt;&gt;0),G156-H156," ")</f>
        <v> </v>
      </c>
    </row>
    <row r="157" customFormat="false" ht="12.75" hidden="false" customHeight="false" outlineLevel="0" collapsed="false">
      <c r="F157" s="120"/>
      <c r="H157" s="125" t="str">
        <f aca="false">IF(H$4="X"," ",IF(G157&lt;&gt;0,G157*H$2/(100+H$2)," "))</f>
        <v> </v>
      </c>
      <c r="I157" s="125" t="str">
        <f aca="false">IF((G157&lt;&gt;0),G157-H157," ")</f>
        <v> </v>
      </c>
    </row>
    <row r="158" customFormat="false" ht="12.75" hidden="false" customHeight="false" outlineLevel="0" collapsed="false">
      <c r="F158" s="120"/>
      <c r="H158" s="125" t="str">
        <f aca="false">IF(H$4="X"," ",IF(G158&lt;&gt;0,G158*H$2/(100+H$2)," "))</f>
        <v> </v>
      </c>
      <c r="I158" s="125" t="str">
        <f aca="false">IF((G158&lt;&gt;0),G158-H158," ")</f>
        <v> </v>
      </c>
    </row>
    <row r="159" customFormat="false" ht="12.75" hidden="false" customHeight="false" outlineLevel="0" collapsed="false">
      <c r="F159" s="120"/>
      <c r="H159" s="125" t="str">
        <f aca="false">IF(H$4="X"," ",IF(G159&lt;&gt;0,G159*H$2/(100+H$2)," "))</f>
        <v> </v>
      </c>
      <c r="I159" s="125" t="str">
        <f aca="false">IF((G159&lt;&gt;0),G159-H159," ")</f>
        <v> </v>
      </c>
    </row>
    <row r="160" customFormat="false" ht="12.75" hidden="false" customHeight="false" outlineLevel="0" collapsed="false">
      <c r="F160" s="120"/>
      <c r="H160" s="125" t="str">
        <f aca="false">IF(H$4="X"," ",IF(G160&lt;&gt;0,G160*H$2/(100+H$2)," "))</f>
        <v> </v>
      </c>
      <c r="I160" s="125" t="str">
        <f aca="false">IF((G160&lt;&gt;0),G160-H160," ")</f>
        <v> </v>
      </c>
    </row>
    <row r="161" customFormat="false" ht="12.75" hidden="false" customHeight="false" outlineLevel="0" collapsed="false">
      <c r="F161" s="120"/>
      <c r="H161" s="125" t="str">
        <f aca="false">IF(H$4="X"," ",IF(G161&lt;&gt;0,G161*H$2/(100+H$2)," "))</f>
        <v> </v>
      </c>
      <c r="I161" s="125" t="str">
        <f aca="false">IF((G161&lt;&gt;0),G161-H161," ")</f>
        <v> </v>
      </c>
    </row>
    <row r="162" customFormat="false" ht="12.75" hidden="false" customHeight="false" outlineLevel="0" collapsed="false">
      <c r="F162" s="120"/>
      <c r="H162" s="125" t="str">
        <f aca="false">IF(H$4="X"," ",IF(G162&lt;&gt;0,G162*H$2/(100+H$2)," "))</f>
        <v> </v>
      </c>
      <c r="I162" s="125" t="str">
        <f aca="false">IF((G162&lt;&gt;0),G162-H162," ")</f>
        <v> </v>
      </c>
    </row>
    <row r="163" customFormat="false" ht="12.75" hidden="false" customHeight="false" outlineLevel="0" collapsed="false">
      <c r="F163" s="120"/>
      <c r="H163" s="125" t="str">
        <f aca="false">IF(H$4="X"," ",IF(G163&lt;&gt;0,G163*H$2/(100+H$2)," "))</f>
        <v> </v>
      </c>
      <c r="I163" s="125" t="str">
        <f aca="false">IF((G163&lt;&gt;0),G163-H163," ")</f>
        <v> </v>
      </c>
    </row>
    <row r="164" customFormat="false" ht="12.75" hidden="false" customHeight="false" outlineLevel="0" collapsed="false">
      <c r="F164" s="120"/>
      <c r="H164" s="125" t="str">
        <f aca="false">IF(H$4="X"," ",IF(G164&lt;&gt;0,G164*H$2/(100+H$2)," "))</f>
        <v> </v>
      </c>
      <c r="I164" s="125" t="str">
        <f aca="false">IF((G164&lt;&gt;0),G164-H164," ")</f>
        <v> </v>
      </c>
    </row>
    <row r="165" customFormat="false" ht="12.75" hidden="false" customHeight="false" outlineLevel="0" collapsed="false">
      <c r="F165" s="120"/>
      <c r="H165" s="125" t="str">
        <f aca="false">IF(H$4="X"," ",IF(G165&lt;&gt;0,G165*H$2/(100+H$2)," "))</f>
        <v> </v>
      </c>
      <c r="I165" s="125" t="str">
        <f aca="false">IF((G165&lt;&gt;0),G165-H165," ")</f>
        <v> </v>
      </c>
    </row>
    <row r="166" customFormat="false" ht="12.75" hidden="false" customHeight="false" outlineLevel="0" collapsed="false">
      <c r="F166" s="120"/>
      <c r="H166" s="125" t="str">
        <f aca="false">IF(H$4="X"," ",IF(G166&lt;&gt;0,G166*H$2/(100+H$2)," "))</f>
        <v> </v>
      </c>
      <c r="I166" s="125" t="str">
        <f aca="false">IF((G166&lt;&gt;0),G166-H166," ")</f>
        <v> </v>
      </c>
    </row>
    <row r="167" customFormat="false" ht="12.75" hidden="false" customHeight="false" outlineLevel="0" collapsed="false">
      <c r="F167" s="120"/>
      <c r="H167" s="125" t="str">
        <f aca="false">IF(H$4="X"," ",IF(G167&lt;&gt;0,G167*H$2/(100+H$2)," "))</f>
        <v> </v>
      </c>
      <c r="I167" s="125" t="str">
        <f aca="false">IF((G167&lt;&gt;0),G167-H167," ")</f>
        <v> </v>
      </c>
    </row>
    <row r="168" customFormat="false" ht="12.75" hidden="false" customHeight="false" outlineLevel="0" collapsed="false">
      <c r="F168" s="120"/>
      <c r="H168" s="125" t="str">
        <f aca="false">IF(H$4="X"," ",IF(G168&lt;&gt;0,G168*H$2/(100+H$2)," "))</f>
        <v> </v>
      </c>
      <c r="I168" s="125" t="str">
        <f aca="false">IF((G168&lt;&gt;0),G168-H168," ")</f>
        <v> </v>
      </c>
    </row>
    <row r="169" customFormat="false" ht="12.75" hidden="false" customHeight="false" outlineLevel="0" collapsed="false">
      <c r="F169" s="120"/>
      <c r="H169" s="125" t="str">
        <f aca="false">IF(H$4="X"," ",IF(G169&lt;&gt;0,G169*H$2/(100+H$2)," "))</f>
        <v> </v>
      </c>
      <c r="I169" s="125" t="str">
        <f aca="false">IF((G169&lt;&gt;0),G169-H169," ")</f>
        <v> </v>
      </c>
    </row>
    <row r="170" customFormat="false" ht="12.75" hidden="false" customHeight="false" outlineLevel="0" collapsed="false">
      <c r="F170" s="120"/>
      <c r="H170" s="125" t="str">
        <f aca="false">IF(H$4="X"," ",IF(G170&lt;&gt;0,G170*H$2/(100+H$2)," "))</f>
        <v> </v>
      </c>
      <c r="I170" s="125" t="str">
        <f aca="false">IF((G170&lt;&gt;0),G170-H170," ")</f>
        <v> </v>
      </c>
    </row>
    <row r="171" customFormat="false" ht="12.75" hidden="false" customHeight="false" outlineLevel="0" collapsed="false">
      <c r="F171" s="120"/>
      <c r="H171" s="125" t="str">
        <f aca="false">IF(H$4="X"," ",IF(G171&lt;&gt;0,G171*H$2/(100+H$2)," "))</f>
        <v> </v>
      </c>
      <c r="I171" s="125" t="str">
        <f aca="false">IF((G171&lt;&gt;0),G171-H171," ")</f>
        <v> </v>
      </c>
    </row>
    <row r="172" customFormat="false" ht="12.75" hidden="false" customHeight="false" outlineLevel="0" collapsed="false">
      <c r="F172" s="120"/>
      <c r="H172" s="125" t="str">
        <f aca="false">IF(H$4="X"," ",IF(G172&lt;&gt;0,G172*H$2/(100+H$2)," "))</f>
        <v> </v>
      </c>
      <c r="I172" s="125" t="str">
        <f aca="false">IF((G172&lt;&gt;0),G172-H172," ")</f>
        <v> </v>
      </c>
    </row>
    <row r="173" customFormat="false" ht="12.75" hidden="false" customHeight="false" outlineLevel="0" collapsed="false">
      <c r="F173" s="120"/>
      <c r="H173" s="125" t="str">
        <f aca="false">IF(H$4="X"," ",IF(G173&lt;&gt;0,G173*H$2/(100+H$2)," "))</f>
        <v> </v>
      </c>
      <c r="I173" s="125" t="str">
        <f aca="false">IF((G173&lt;&gt;0),G173-H173," ")</f>
        <v> </v>
      </c>
    </row>
    <row r="174" customFormat="false" ht="12.75" hidden="false" customHeight="false" outlineLevel="0" collapsed="false">
      <c r="F174" s="120"/>
      <c r="H174" s="125" t="str">
        <f aca="false">IF(H$4="X"," ",IF(G174&lt;&gt;0,G174*H$2/(100+H$2)," "))</f>
        <v> </v>
      </c>
      <c r="I174" s="125" t="str">
        <f aca="false">IF((G174&lt;&gt;0),G174-H174," ")</f>
        <v> </v>
      </c>
    </row>
    <row r="175" customFormat="false" ht="12.75" hidden="false" customHeight="false" outlineLevel="0" collapsed="false">
      <c r="F175" s="120"/>
      <c r="H175" s="125" t="str">
        <f aca="false">IF(H$4="X"," ",IF(G175&lt;&gt;0,G175*H$2/(100+H$2)," "))</f>
        <v> </v>
      </c>
      <c r="I175" s="125" t="str">
        <f aca="false">IF((G175&lt;&gt;0),G175-H175," ")</f>
        <v> </v>
      </c>
    </row>
    <row r="176" customFormat="false" ht="12.75" hidden="false" customHeight="false" outlineLevel="0" collapsed="false">
      <c r="F176" s="120"/>
      <c r="H176" s="125" t="str">
        <f aca="false">IF(H$4="X"," ",IF(G176&lt;&gt;0,G176*H$2/(100+H$2)," "))</f>
        <v> </v>
      </c>
      <c r="I176" s="125" t="str">
        <f aca="false">IF((G176&lt;&gt;0),G176-H176," ")</f>
        <v> </v>
      </c>
    </row>
    <row r="177" customFormat="false" ht="12.75" hidden="false" customHeight="false" outlineLevel="0" collapsed="false">
      <c r="F177" s="120"/>
      <c r="H177" s="125" t="str">
        <f aca="false">IF(H$4="X"," ",IF(G177&lt;&gt;0,G177*H$2/(100+H$2)," "))</f>
        <v> </v>
      </c>
      <c r="I177" s="125" t="str">
        <f aca="false">IF((G177&lt;&gt;0),G177-H177," ")</f>
        <v> </v>
      </c>
    </row>
    <row r="178" customFormat="false" ht="12.75" hidden="false" customHeight="false" outlineLevel="0" collapsed="false">
      <c r="F178" s="120"/>
      <c r="H178" s="125" t="str">
        <f aca="false">IF(H$4="X"," ",IF(G178&lt;&gt;0,G178*H$2/(100+H$2)," "))</f>
        <v> </v>
      </c>
      <c r="I178" s="125" t="str">
        <f aca="false">IF((G178&lt;&gt;0),G178-H178," ")</f>
        <v> </v>
      </c>
    </row>
    <row r="179" customFormat="false" ht="12.75" hidden="false" customHeight="false" outlineLevel="0" collapsed="false">
      <c r="F179" s="120"/>
      <c r="H179" s="125" t="str">
        <f aca="false">IF(H$4="X"," ",IF(G179&lt;&gt;0,G179*H$2/(100+H$2)," "))</f>
        <v> </v>
      </c>
      <c r="I179" s="125" t="str">
        <f aca="false">IF((G179&lt;&gt;0),G179-H179," ")</f>
        <v> </v>
      </c>
    </row>
    <row r="180" customFormat="false" ht="12.75" hidden="false" customHeight="false" outlineLevel="0" collapsed="false">
      <c r="F180" s="120"/>
      <c r="H180" s="125" t="str">
        <f aca="false">IF(H$4="X"," ",IF(G180&lt;&gt;0,G180*H$2/(100+H$2)," "))</f>
        <v> </v>
      </c>
      <c r="I180" s="125" t="str">
        <f aca="false">IF((G180&lt;&gt;0),G180-H180," ")</f>
        <v> </v>
      </c>
    </row>
    <row r="181" customFormat="false" ht="12.75" hidden="false" customHeight="false" outlineLevel="0" collapsed="false">
      <c r="F181" s="120"/>
      <c r="H181" s="125" t="str">
        <f aca="false">IF(H$4="X"," ",IF(G181&lt;&gt;0,G181*H$2/(100+H$2)," "))</f>
        <v> </v>
      </c>
      <c r="I181" s="125" t="str">
        <f aca="false">IF((G181&lt;&gt;0),G181-H181," ")</f>
        <v> </v>
      </c>
    </row>
    <row r="182" customFormat="false" ht="12.75" hidden="false" customHeight="false" outlineLevel="0" collapsed="false">
      <c r="F182" s="120"/>
      <c r="H182" s="125" t="str">
        <f aca="false">IF(H$4="X"," ",IF(G182&lt;&gt;0,G182*H$2/(100+H$2)," "))</f>
        <v> </v>
      </c>
      <c r="I182" s="125" t="str">
        <f aca="false">IF((G182&lt;&gt;0),G182-H182," ")</f>
        <v> </v>
      </c>
    </row>
    <row r="183" customFormat="false" ht="12.75" hidden="false" customHeight="false" outlineLevel="0" collapsed="false">
      <c r="F183" s="120"/>
      <c r="H183" s="125" t="str">
        <f aca="false">IF(H$4="X"," ",IF(G183&lt;&gt;0,G183*H$2/(100+H$2)," "))</f>
        <v> </v>
      </c>
      <c r="I183" s="125" t="str">
        <f aca="false">IF((G183&lt;&gt;0),G183-H183," ")</f>
        <v> </v>
      </c>
    </row>
    <row r="184" customFormat="false" ht="12.75" hidden="false" customHeight="false" outlineLevel="0" collapsed="false">
      <c r="F184" s="120"/>
      <c r="H184" s="125" t="str">
        <f aca="false">IF(H$4="X"," ",IF(G184&lt;&gt;0,G184*H$2/(100+H$2)," "))</f>
        <v> </v>
      </c>
      <c r="I184" s="125" t="str">
        <f aca="false">IF((G184&lt;&gt;0),G184-H184," ")</f>
        <v> </v>
      </c>
    </row>
    <row r="185" customFormat="false" ht="12.75" hidden="false" customHeight="false" outlineLevel="0" collapsed="false">
      <c r="F185" s="120"/>
      <c r="H185" s="125" t="str">
        <f aca="false">IF(H$4="X"," ",IF(G185&lt;&gt;0,G185*H$2/(100+H$2)," "))</f>
        <v> </v>
      </c>
      <c r="I185" s="125" t="str">
        <f aca="false">IF((G185&lt;&gt;0),G185-H185," ")</f>
        <v> </v>
      </c>
    </row>
    <row r="186" customFormat="false" ht="12.75" hidden="false" customHeight="false" outlineLevel="0" collapsed="false">
      <c r="F186" s="120"/>
      <c r="H186" s="125" t="str">
        <f aca="false">IF(H$4="X"," ",IF(G186&lt;&gt;0,G186*H$2/(100+H$2)," "))</f>
        <v> </v>
      </c>
      <c r="I186" s="125" t="str">
        <f aca="false">IF((G186&lt;&gt;0),G186-H186," ")</f>
        <v> </v>
      </c>
    </row>
    <row r="187" customFormat="false" ht="12.75" hidden="false" customHeight="false" outlineLevel="0" collapsed="false">
      <c r="F187" s="120"/>
      <c r="H187" s="125" t="str">
        <f aca="false">IF(H$4="X"," ",IF(G187&lt;&gt;0,G187*H$2/(100+H$2)," "))</f>
        <v> </v>
      </c>
      <c r="I187" s="125" t="str">
        <f aca="false">IF((G187&lt;&gt;0),G187-H187," ")</f>
        <v> </v>
      </c>
    </row>
    <row r="188" customFormat="false" ht="12.75" hidden="false" customHeight="false" outlineLevel="0" collapsed="false">
      <c r="F188" s="120"/>
      <c r="H188" s="125" t="str">
        <f aca="false">IF(H$4="X"," ",IF(G188&lt;&gt;0,G188*H$2/(100+H$2)," "))</f>
        <v> </v>
      </c>
      <c r="I188" s="125" t="str">
        <f aca="false">IF((G188&lt;&gt;0),G188-H188," ")</f>
        <v> </v>
      </c>
    </row>
    <row r="189" customFormat="false" ht="12.75" hidden="false" customHeight="false" outlineLevel="0" collapsed="false">
      <c r="F189" s="120"/>
      <c r="H189" s="125" t="str">
        <f aca="false">IF(H$4="X"," ",IF(G189&lt;&gt;0,G189*H$2/(100+H$2)," "))</f>
        <v> </v>
      </c>
      <c r="I189" s="125" t="str">
        <f aca="false">IF((G189&lt;&gt;0),G189-H189," ")</f>
        <v> </v>
      </c>
    </row>
    <row r="190" customFormat="false" ht="12.75" hidden="false" customHeight="false" outlineLevel="0" collapsed="false">
      <c r="F190" s="120"/>
      <c r="H190" s="125" t="str">
        <f aca="false">IF(H$4="X"," ",IF(G190&lt;&gt;0,G190*H$2/(100+H$2)," "))</f>
        <v> </v>
      </c>
      <c r="I190" s="125" t="str">
        <f aca="false">IF((G190&lt;&gt;0),G190-H190," ")</f>
        <v> </v>
      </c>
    </row>
    <row r="191" customFormat="false" ht="12.75" hidden="false" customHeight="false" outlineLevel="0" collapsed="false">
      <c r="F191" s="120"/>
      <c r="H191" s="125" t="str">
        <f aca="false">IF(H$4="X"," ",IF(G191&lt;&gt;0,G191*H$2/(100+H$2)," "))</f>
        <v> </v>
      </c>
      <c r="I191" s="125" t="str">
        <f aca="false">IF((G191&lt;&gt;0),G191-H191," ")</f>
        <v> </v>
      </c>
    </row>
    <row r="192" customFormat="false" ht="12.75" hidden="false" customHeight="false" outlineLevel="0" collapsed="false">
      <c r="F192" s="120"/>
      <c r="H192" s="125" t="str">
        <f aca="false">IF(H$4="X"," ",IF(G192&lt;&gt;0,G192*H$2/(100+H$2)," "))</f>
        <v> </v>
      </c>
      <c r="I192" s="125" t="str">
        <f aca="false">IF((G192&lt;&gt;0),G192-H192," ")</f>
        <v> </v>
      </c>
    </row>
    <row r="193" customFormat="false" ht="12.75" hidden="false" customHeight="false" outlineLevel="0" collapsed="false">
      <c r="F193" s="120"/>
      <c r="H193" s="125" t="str">
        <f aca="false">IF(H$4="X"," ",IF(G193&lt;&gt;0,G193*H$2/(100+H$2)," "))</f>
        <v> </v>
      </c>
      <c r="I193" s="125" t="str">
        <f aca="false">IF((G193&lt;&gt;0),G193-H193," ")</f>
        <v> </v>
      </c>
    </row>
    <row r="194" customFormat="false" ht="12.75" hidden="false" customHeight="false" outlineLevel="0" collapsed="false">
      <c r="F194" s="120"/>
      <c r="H194" s="125" t="str">
        <f aca="false">IF(H$4="X"," ",IF(G194&lt;&gt;0,G194*H$2/(100+H$2)," "))</f>
        <v> </v>
      </c>
      <c r="I194" s="125" t="str">
        <f aca="false">IF((G194&lt;&gt;0),G194-H194," ")</f>
        <v> </v>
      </c>
    </row>
    <row r="195" customFormat="false" ht="12.75" hidden="false" customHeight="false" outlineLevel="0" collapsed="false">
      <c r="F195" s="120"/>
      <c r="H195" s="125" t="str">
        <f aca="false">IF(H$4="X"," ",IF(G195&lt;&gt;0,G195*H$2/(100+H$2)," "))</f>
        <v> </v>
      </c>
      <c r="I195" s="125" t="str">
        <f aca="false">IF((G195&lt;&gt;0),G195-H195," ")</f>
        <v> </v>
      </c>
    </row>
    <row r="196" customFormat="false" ht="12.75" hidden="false" customHeight="false" outlineLevel="0" collapsed="false">
      <c r="F196" s="120"/>
      <c r="H196" s="125" t="str">
        <f aca="false">IF(H$4="X"," ",IF(G196&lt;&gt;0,G196*H$2/(100+H$2)," "))</f>
        <v> </v>
      </c>
      <c r="I196" s="125" t="str">
        <f aca="false">IF((G196&lt;&gt;0),G196-H196," ")</f>
        <v> </v>
      </c>
    </row>
    <row r="197" customFormat="false" ht="12.75" hidden="false" customHeight="false" outlineLevel="0" collapsed="false">
      <c r="F197" s="120"/>
      <c r="H197" s="125" t="str">
        <f aca="false">IF(H$4="X"," ",IF(G197&lt;&gt;0,G197*H$2/(100+H$2)," "))</f>
        <v> </v>
      </c>
      <c r="I197" s="125" t="str">
        <f aca="false">IF((G197&lt;&gt;0),G197-H197," ")</f>
        <v> </v>
      </c>
    </row>
    <row r="198" customFormat="false" ht="12.75" hidden="false" customHeight="false" outlineLevel="0" collapsed="false">
      <c r="F198" s="120"/>
      <c r="H198" s="125" t="str">
        <f aca="false">IF(H$4="X"," ",IF(G198&lt;&gt;0,G198*H$2/(100+H$2)," "))</f>
        <v> </v>
      </c>
      <c r="I198" s="125" t="str">
        <f aca="false">IF((G198&lt;&gt;0),G198-H198," ")</f>
        <v> </v>
      </c>
    </row>
    <row r="199" customFormat="false" ht="12.75" hidden="false" customHeight="false" outlineLevel="0" collapsed="false">
      <c r="F199" s="120"/>
      <c r="H199" s="125" t="str">
        <f aca="false">IF(H$4="X"," ",IF(G199&lt;&gt;0,G199*H$2/(100+H$2)," "))</f>
        <v> </v>
      </c>
      <c r="I199" s="125" t="str">
        <f aca="false">IF((G199&lt;&gt;0),G199-H199," ")</f>
        <v> </v>
      </c>
    </row>
    <row r="200" customFormat="false" ht="12.75" hidden="false" customHeight="false" outlineLevel="0" collapsed="false">
      <c r="A200" s="135"/>
      <c r="B200" s="136"/>
      <c r="C200" s="137"/>
      <c r="D200" s="138"/>
      <c r="E200" s="139"/>
      <c r="F200" s="136"/>
      <c r="G200" s="140"/>
      <c r="H200" s="140" t="str">
        <f aca="false">IF(H$4="X"," ",IF(G200&lt;&gt;0,G200*H$2/(100+H$2)," "))</f>
        <v> </v>
      </c>
      <c r="I200" s="140" t="str">
        <f aca="false">IF((G200&lt;&gt;0),G200-H200," ")</f>
        <v> </v>
      </c>
    </row>
    <row r="201" customFormat="false" ht="12.75" hidden="false" customHeight="false" outlineLevel="0" collapsed="false">
      <c r="A201" s="98" t="s">
        <v>37</v>
      </c>
    </row>
  </sheetData>
  <mergeCells count="10">
    <mergeCell ref="A1:B1"/>
    <mergeCell ref="C1:C4"/>
    <mergeCell ref="D1:D4"/>
    <mergeCell ref="F1:F4"/>
    <mergeCell ref="A2:A4"/>
    <mergeCell ref="B2:B4"/>
    <mergeCell ref="E2:E4"/>
    <mergeCell ref="G2:G4"/>
    <mergeCell ref="I2:I4"/>
    <mergeCell ref="H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2006-06-05T10:56:36Z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2007-02-10T23:38:25Z</cp:lastPrinted>
  <dcterms:modified xsi:type="dcterms:W3CDTF">2025-04-03T22:49:40Z</dcterms:modified>
  <cp:revision>0</cp:revision>
  <dc:subject/>
  <dc:title>Vat returns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