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<sst xmlns="http://schemas.openxmlformats.org/spreadsheetml/2006/main" count="206" uniqueCount="59">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</sst>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[$-F800]dddd&quot;, &quot;mmmm\ dd&quot;, &quot;yyyy"/>
    <numFmt numFmtId="167" formatCode="dd\-mmm\-yy"/>
    <numFmt numFmtId="168" formatCode="[$-809]dd\ mmmm\ yyyy;@"/>
    <numFmt numFmtId="169" formatCode="#,##0_ ;[RED]\-#,##0\ "/>
    <numFmt numFmtId="170" formatCode="0"/>
    <numFmt numFmtId="171" formatCode="#,##0"/>
    <numFmt numFmtId="172" formatCode="#,##0.0_ ;[RED]\-#,##0.0\ "/>
    <numFmt numFmtId="173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4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9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786.166666666667</v>
          </cell>
          <cell r="I1">
            <v>3969.08333333333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4509.83333333334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12746.8333333333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22679.6666666666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customFormat="fals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  <c r="CC2" s="80"/>
      <c r="CD2" s="80"/>
      <c r="CE2" s="80"/>
      <c r="CF2" s="80"/>
      <c r="CG2" s="80"/>
      <c r="CH2" s="80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</row>
    <row r="3" customFormat="fals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  <c r="CF3" s="80"/>
      <c r="CG3" s="80"/>
      <c r="CH3" s="80"/>
      <c r="CI3" s="80"/>
      <c r="CJ3" s="80"/>
      <c r="CK3" s="80"/>
      <c r="CL3" s="80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  <c r="DP3" s="80"/>
      <c r="DQ3" s="80"/>
      <c r="DR3" s="80"/>
      <c r="DS3" s="80"/>
      <c r="DT3" s="80"/>
      <c r="DU3" s="80"/>
      <c r="DV3" s="80"/>
      <c r="DW3" s="80"/>
      <c r="DX3" s="80"/>
      <c r="DY3" s="80"/>
      <c r="DZ3" s="80"/>
      <c r="EA3" s="80"/>
      <c r="EB3" s="80"/>
      <c r="EC3" s="80"/>
      <c r="ED3" s="80"/>
      <c r="EE3" s="80"/>
      <c r="EF3" s="80"/>
      <c r="EG3" s="80"/>
      <c r="EH3" s="80"/>
      <c r="EI3" s="80"/>
      <c r="EJ3" s="80"/>
      <c r="EK3" s="80"/>
      <c r="EL3" s="80"/>
      <c r="EM3" s="80"/>
      <c r="EN3" s="80"/>
      <c r="EO3" s="80"/>
      <c r="EP3" s="80"/>
      <c r="EQ3" s="80"/>
      <c r="ER3" s="80"/>
      <c r="ES3" s="80"/>
      <c r="ET3" s="80"/>
      <c r="EU3" s="80"/>
      <c r="EV3" s="80"/>
      <c r="EW3" s="80"/>
      <c r="EX3" s="80"/>
      <c r="EY3" s="80"/>
      <c r="EZ3" s="80"/>
      <c r="FA3" s="80"/>
      <c r="FB3" s="80"/>
      <c r="FC3" s="80"/>
      <c r="FD3" s="80"/>
      <c r="FE3" s="80"/>
      <c r="FF3" s="80"/>
      <c r="FG3" s="80"/>
      <c r="FH3" s="80"/>
      <c r="FI3" s="80"/>
      <c r="FJ3" s="80"/>
      <c r="FK3" s="80"/>
      <c r="FL3" s="80"/>
      <c r="FM3" s="80"/>
      <c r="FN3" s="80"/>
      <c r="FO3" s="80"/>
      <c r="FP3" s="80"/>
      <c r="FQ3" s="80"/>
      <c r="FR3" s="80"/>
      <c r="FS3" s="80"/>
      <c r="FT3" s="80"/>
      <c r="FU3" s="80"/>
      <c r="FV3" s="80"/>
      <c r="FW3" s="80"/>
      <c r="FX3" s="80"/>
      <c r="FY3" s="80"/>
      <c r="FZ3" s="80"/>
      <c r="GA3" s="80"/>
      <c r="GB3" s="80"/>
      <c r="GC3" s="80"/>
      <c r="GD3" s="80"/>
      <c r="GE3" s="80"/>
      <c r="GF3" s="80"/>
      <c r="GG3" s="80"/>
      <c r="GH3" s="80"/>
      <c r="GI3" s="80"/>
      <c r="GJ3" s="80"/>
      <c r="GK3" s="80"/>
      <c r="GL3" s="80"/>
      <c r="GM3" s="80"/>
      <c r="GN3" s="80"/>
      <c r="GO3" s="80"/>
      <c r="GP3" s="80"/>
      <c r="GQ3" s="80"/>
      <c r="GR3" s="80"/>
      <c r="GS3" s="80"/>
      <c r="GT3" s="80"/>
      <c r="GU3" s="80"/>
      <c r="GV3" s="80"/>
      <c r="GW3" s="80"/>
      <c r="GX3" s="80"/>
      <c r="GY3" s="80"/>
      <c r="GZ3" s="80"/>
      <c r="HA3" s="80"/>
      <c r="HB3" s="80"/>
      <c r="HC3" s="80"/>
      <c r="HD3" s="80"/>
      <c r="HE3" s="80"/>
      <c r="HF3" s="80"/>
      <c r="HG3" s="80"/>
      <c r="HH3" s="80"/>
      <c r="HI3" s="80"/>
      <c r="HJ3" s="80"/>
      <c r="HK3" s="80"/>
      <c r="HL3" s="80"/>
      <c r="HM3" s="80"/>
      <c r="HN3" s="80"/>
      <c r="HO3" s="80"/>
      <c r="HP3" s="80"/>
      <c r="HQ3" s="80"/>
      <c r="HR3" s="80"/>
      <c r="HS3" s="80"/>
      <c r="HT3" s="80"/>
      <c r="HU3" s="80"/>
      <c r="HV3" s="80"/>
      <c r="HW3" s="80"/>
      <c r="HX3" s="80"/>
      <c r="HY3" s="80"/>
      <c r="HZ3" s="80"/>
      <c r="IA3" s="80"/>
      <c r="IB3" s="80"/>
      <c r="IC3" s="80"/>
      <c r="ID3" s="80"/>
      <c r="IE3" s="80"/>
      <c r="IF3" s="80"/>
      <c r="IG3" s="80"/>
      <c r="IH3" s="80"/>
      <c r="II3" s="80"/>
      <c r="IJ3" s="80"/>
      <c r="IK3" s="80"/>
      <c r="IL3" s="80"/>
      <c r="IM3" s="80"/>
      <c r="IN3" s="80"/>
      <c r="IO3" s="80"/>
      <c r="IP3" s="80"/>
      <c r="IQ3" s="80"/>
      <c r="IR3" s="80"/>
      <c r="IS3" s="80"/>
      <c r="IT3" s="80"/>
      <c r="IU3" s="80"/>
      <c r="IV3" s="80"/>
      <c r="IW3" s="80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3969.08333333333</v>
      </c>
      <c r="I10" s="87" t="n">
        <f aca="false">SUM(H8:H10)</f>
        <v>32084.3333333333</v>
      </c>
      <c r="J10" s="87" t="n">
        <f aca="false">[3]Aug!$H$1</f>
        <v>786.166666666667</v>
      </c>
      <c r="K10" s="87" t="n">
        <f aca="false">SUM(J8:J10)</f>
        <v>6387.16666666667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22679.6666666666</v>
      </c>
      <c r="J11" s="87" t="n">
        <f aca="false">[3]Sep!$H$1</f>
        <v>2217.16666666667</v>
      </c>
      <c r="K11" s="87" t="n">
        <f aca="false">SUM(J9:J11)</f>
        <v>4509.83333333334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50972.1666666666</v>
      </c>
      <c r="J12" s="87" t="n">
        <f aca="false">[3]Oct!$H$1</f>
        <v>7160.5</v>
      </c>
      <c r="K12" s="87" t="n">
        <f aca="false">SUM(J10:J12)</f>
        <v>10163.8333333333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