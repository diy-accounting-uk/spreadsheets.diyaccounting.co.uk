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<sst xmlns="http://schemas.openxmlformats.org/spreadsheetml/2006/main" count="184" uniqueCount="57">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</sst>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851.875</v>
          </cell>
          <cell r="I1">
            <v>4259.375</v>
          </cell>
        </row>
      </sheetData>
      <sheetData sheetId="2">
        <row r="1">
          <cell r="H1">
            <v>1062.5</v>
          </cell>
          <cell r="I1">
            <v>5312.5</v>
          </cell>
        </row>
      </sheetData>
      <sheetData sheetId="3">
        <row r="1">
          <cell r="H1">
            <v>1509.5</v>
          </cell>
          <cell r="I1">
            <v>7547.5</v>
          </cell>
        </row>
      </sheetData>
      <sheetData sheetId="4">
        <row r="1">
          <cell r="H1">
            <v>1509.875</v>
          </cell>
          <cell r="I1">
            <v>7549.375</v>
          </cell>
        </row>
      </sheetData>
      <sheetData sheetId="5">
        <row r="1">
          <cell r="H1">
            <v>734.208333333333</v>
          </cell>
          <cell r="I1">
            <v>3671.04166666667</v>
          </cell>
        </row>
      </sheetData>
      <sheetData sheetId="6">
        <row r="1">
          <cell r="H1">
            <v>829.166666666667</v>
          </cell>
          <cell r="I1">
            <v>4145.83333333333</v>
          </cell>
        </row>
      </sheetData>
      <sheetData sheetId="7">
        <row r="1">
          <cell r="H1">
            <v>7167.625</v>
          </cell>
          <cell r="I1">
            <v>35838.125</v>
          </cell>
        </row>
      </sheetData>
      <sheetData sheetId="8">
        <row r="1">
          <cell r="H1">
            <v>1153</v>
          </cell>
          <cell r="I1">
            <v>5765</v>
          </cell>
        </row>
      </sheetData>
      <sheetData sheetId="9">
        <row r="1">
          <cell r="H1">
            <v>1575.25</v>
          </cell>
          <cell r="I1">
            <v>7876.25</v>
          </cell>
        </row>
      </sheetData>
      <sheetData sheetId="10">
        <row r="1">
          <cell r="H1">
            <v>751.875</v>
          </cell>
          <cell r="I1">
            <v>3759.375</v>
          </cell>
        </row>
      </sheetData>
      <sheetData sheetId="11">
        <row r="1">
          <cell r="H1">
            <v>732.75</v>
          </cell>
          <cell r="I1">
            <v>3663.75</v>
          </cell>
        </row>
      </sheetData>
      <sheetData sheetId="12">
        <row r="1">
          <cell r="H1">
            <v>621.083333333333</v>
          </cell>
          <cell r="I1">
            <v>3105.41666666667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46234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46265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4081.875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12898.125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20409.375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46326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46356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20056.6666666667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20056.6666666667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8731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11325.6666666667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100283.333333333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43655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46418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46446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3480.125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13779.875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17400.625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46507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46538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11553.3333333333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11553.3333333333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1393.83333333333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10159.5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57766.6666666666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6969.16666666667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46538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46568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6126.66666666667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6126.66666666667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721.083333333333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5405.58333333334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30633.3333333333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3605.41666666667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4259.375</v>
      </c>
      <c r="I6" s="87" t="n">
        <f aca="false">SUM(H4:H6)</f>
        <v>5859.375</v>
      </c>
      <c r="J6" s="87" t="n">
        <f aca="false">[3]Apr!$H$1</f>
        <v>851.875</v>
      </c>
      <c r="K6" s="87" t="n">
        <f aca="false">SUM(J4:J6)</f>
        <v>1171.875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5312.5</v>
      </c>
      <c r="I7" s="87" t="n">
        <f aca="false">SUM(H5:H7)</f>
        <v>10571.875</v>
      </c>
      <c r="J7" s="87" t="n">
        <f aca="false">[3]May!$H$1</f>
        <v>1062.5</v>
      </c>
      <c r="K7" s="87" t="n">
        <f aca="false">SUM(J5:J7)</f>
        <v>2114.375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7547.5</v>
      </c>
      <c r="I8" s="87" t="n">
        <f aca="false">SUM(H6:H8)</f>
        <v>17119.375</v>
      </c>
      <c r="J8" s="87" t="n">
        <f aca="false">[3]Jun!$H$1</f>
        <v>1509.5</v>
      </c>
      <c r="K8" s="87" t="n">
        <f aca="false">SUM(J6:J8)</f>
        <v>3423.875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7549.375</v>
      </c>
      <c r="I9" s="87" t="n">
        <f aca="false">SUM(H7:H9)</f>
        <v>20409.375</v>
      </c>
      <c r="J9" s="87" t="n">
        <f aca="false">[3]Jul!$H$1</f>
        <v>1509.875</v>
      </c>
      <c r="K9" s="87" t="n">
        <f aca="false">SUM(J7:J9)</f>
        <v>4081.875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3671.04166666667</v>
      </c>
      <c r="I10" s="87" t="n">
        <f aca="false">SUM(H8:H10)</f>
        <v>18767.9166666667</v>
      </c>
      <c r="J10" s="87" t="n">
        <f aca="false">[3]Aug!$H$1</f>
        <v>734.208333333333</v>
      </c>
      <c r="K10" s="87" t="n">
        <f aca="false">SUM(J8:J10)</f>
        <v>3753.58333333333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4145.83333333333</v>
      </c>
      <c r="I11" s="87" t="n">
        <f aca="false">SUM(H9:H11)</f>
        <v>15366.25</v>
      </c>
      <c r="J11" s="87" t="n">
        <f aca="false">[3]Sep!$H$1</f>
        <v>829.166666666667</v>
      </c>
      <c r="K11" s="87" t="n">
        <f aca="false">SUM(J9:J11)</f>
        <v>3073.25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35838.125</v>
      </c>
      <c r="I12" s="87" t="n">
        <f aca="false">SUM(H10:H12)</f>
        <v>43655</v>
      </c>
      <c r="J12" s="87" t="n">
        <f aca="false">[3]Oct!$H$1</f>
        <v>7167.625</v>
      </c>
      <c r="K12" s="87" t="n">
        <f aca="false">SUM(J10:J12)</f>
        <v>8731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5765</v>
      </c>
      <c r="I13" s="87" t="n">
        <f aca="false">SUM(H11:H13)</f>
        <v>45748.9583333333</v>
      </c>
      <c r="J13" s="87" t="n">
        <f aca="false">[3]Nov!$H$1</f>
        <v>1153</v>
      </c>
      <c r="K13" s="87" t="n">
        <f aca="false">SUM(J11:J13)</f>
        <v>9149.79166666667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7876.25</v>
      </c>
      <c r="I14" s="87" t="n">
        <f aca="false">SUM(H12:H14)</f>
        <v>49479.375</v>
      </c>
      <c r="J14" s="87" t="n">
        <f aca="false">[3]Dec!$H$1</f>
        <v>1575.25</v>
      </c>
      <c r="K14" s="87" t="n">
        <f aca="false">SUM(J12:J14)</f>
        <v>9895.875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3759.375</v>
      </c>
      <c r="I15" s="87" t="n">
        <f aca="false">SUM(H13:H15)</f>
        <v>17400.625</v>
      </c>
      <c r="J15" s="87" t="n">
        <f aca="false">[3]Jan!$H$1</f>
        <v>751.875</v>
      </c>
      <c r="K15" s="87" t="n">
        <f aca="false">SUM(J13:J15)</f>
        <v>3480.125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3663.75</v>
      </c>
      <c r="I16" s="87" t="n">
        <f aca="false">SUM(H14:H16)</f>
        <v>15299.375</v>
      </c>
      <c r="J16" s="87" t="n">
        <f aca="false">[3]Feb!$H$1</f>
        <v>732.75</v>
      </c>
      <c r="K16" s="87" t="n">
        <f aca="false">SUM(J14:J16)</f>
        <v>3059.875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3105.41666666667</v>
      </c>
      <c r="I17" s="87" t="n">
        <f aca="false">SUM(H15:H17)</f>
        <v>10528.5416666667</v>
      </c>
      <c r="J17" s="87" t="n">
        <f aca="false">[3]Mar!$H$1</f>
        <v>621.083333333333</v>
      </c>
      <c r="K17" s="87" t="n">
        <f aca="false">SUM(J15:J17)</f>
        <v>2105.70833333333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6969.16666666667</v>
      </c>
      <c r="J18" s="87" t="n">
        <f aca="false">P04Y2!$H$1</f>
        <v>40</v>
      </c>
      <c r="K18" s="87" t="n">
        <f aca="false">SUM(J16:J18)</f>
        <v>1393.83333333333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91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3605.41666666667</v>
      </c>
      <c r="J19" s="87" t="n">
        <f aca="false">P05Y2!$H$1</f>
        <v>60</v>
      </c>
      <c r="K19" s="87" t="n">
        <f aca="false">SUM(J17:J19)</f>
        <v>721.083333333333</v>
      </c>
      <c r="L19" s="88"/>
      <c r="M19" s="89" t="n">
        <f aca="false">IF([2]Mar!$H$4&gt;0,[2]Mar!$H$4,0)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45702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45734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46122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46154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43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</row>
    <row r="2" s="131" customFormat="true" ht="12" hidden="false" customHeight="true" outlineLevel="0" collapsed="false">
      <c r="A2" s="108" t="s">
        <v>44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45</v>
      </c>
      <c r="F2" s="128"/>
      <c r="G2" s="109" t="s">
        <v>46</v>
      </c>
      <c r="H2" s="130" t="n">
        <f aca="false">[3]OpeningCreditors!$H$2</f>
        <v>20</v>
      </c>
      <c r="I2" s="109" t="s">
        <v>47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48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45708</v>
      </c>
      <c r="B5" s="124" t="s">
        <v>49</v>
      </c>
      <c r="C5" s="122" t="s">
        <v>50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43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</row>
    <row r="2" s="131" customFormat="true" ht="12" hidden="false" customHeight="true" outlineLevel="0" collapsed="false">
      <c r="A2" s="108" t="s">
        <v>44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45</v>
      </c>
      <c r="F2" s="128"/>
      <c r="G2" s="109" t="s">
        <v>46</v>
      </c>
      <c r="H2" s="130" t="n">
        <f aca="false">[3]OpeningCreditors!$H$2</f>
        <v>20</v>
      </c>
      <c r="I2" s="109" t="s">
        <v>47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48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45740</v>
      </c>
      <c r="B5" s="124" t="s">
        <v>51</v>
      </c>
      <c r="C5" s="122" t="s">
        <v>52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43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</row>
    <row r="2" s="131" customFormat="true" ht="12" hidden="false" customHeight="true" outlineLevel="0" collapsed="false">
      <c r="A2" s="108" t="s">
        <v>44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45</v>
      </c>
      <c r="F2" s="128"/>
      <c r="G2" s="109" t="s">
        <v>46</v>
      </c>
      <c r="H2" s="130" t="n">
        <f aca="false">[3]ClosingCreditors!$H$2</f>
        <v>20</v>
      </c>
      <c r="I2" s="109" t="s">
        <v>47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48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46127</v>
      </c>
      <c r="B5" s="124" t="s">
        <v>53</v>
      </c>
      <c r="C5" s="122" t="s">
        <v>54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43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</row>
    <row r="2" s="131" customFormat="true" ht="12" hidden="false" customHeight="true" outlineLevel="0" collapsed="false">
      <c r="A2" s="108" t="s">
        <v>44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45</v>
      </c>
      <c r="F2" s="128"/>
      <c r="G2" s="109" t="s">
        <v>46</v>
      </c>
      <c r="H2" s="130" t="n">
        <f aca="false">[3]ClosingCreditors!$H$2</f>
        <v>20</v>
      </c>
      <c r="I2" s="109" t="s">
        <v>47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48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46161</v>
      </c>
      <c r="B5" s="124" t="s">
        <v>55</v>
      </c>
      <c r="C5" s="122" t="s">
        <v>56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