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<sst xmlns="http://schemas.openxmlformats.org/spreadsheetml/2006/main" count="504" uniqueCount="40">
  <si>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</si>
  <si>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</si>
  <si>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</si>
  <si>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</si>
  <si>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</si>
  <si>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</si>
  <si>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</si>
  <si>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</si>
  <si>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</si>
  <si>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</si>
  <si>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</si>
  <si>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</si>
  <si>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</si>
  <si>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</si>
  <si>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</si>
  <si>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</si>
  <si>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</si>
  <si>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</si>
  <si>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</si>
  <si>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</si>
  <si>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</si>
  <si>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</si>
  <si>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</si>
  <si>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</si>
  <si>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</si>
  <si>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</si>
  <si>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</si>
  <si>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</si>
  <si>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</si>
  <si>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</si>
  <si>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</si>
  <si>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</si>
  <si>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</si>
  <si>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</si>
  <si>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</si>
  <si>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</si>
  <si>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Cash top-up</t>
  </si>
  <si>
    <t xml:space="preserve">WH Smith</t>
  </si>
  <si>
    <t xml:space="preserve">Various</t>
  </si>
  <si>
    <t xml:space="preserve">Newsagent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</si>
</sst>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15</v>
      </c>
      <c r="R1" s="12" t="n">
        <f aca="false">SUM(R6:R200)</f>
        <v>0</v>
      </c>
      <c r="S1" s="12" t="n">
        <f aca="false">SUM(S6:S200)</f>
        <v>15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45757</v>
      </c>
      <c r="M6" s="4" t="s">
        <v>35</v>
      </c>
      <c r="P6" s="36" t="s">
        <v>30</v>
      </c>
      <c r="Q6" s="6" t="n">
        <v>15</v>
      </c>
      <c r="R6" s="6" t="str">
        <f aca="false">IF(P6="BB",Q6," ")</f>
        <v> </v>
      </c>
      <c r="S6" s="6" t="n">
        <f aca="false">IF(P6="CR",Q6," ")</f>
        <v>15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Apr!A2</f>
        <v>485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May!A2</f>
        <v>485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F1-SUM(G1:J1)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25</v>
      </c>
      <c r="R1" s="12" t="n">
        <f aca="false">SUM(R6:R200)</f>
        <v>0</v>
      </c>
      <c r="S1" s="12" t="n">
        <f aca="false">SUM(S6:S200)</f>
        <v>25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A6" s="46" t="n">
        <v>45818</v>
      </c>
      <c r="B6" s="2" t="s">
        <v>36</v>
      </c>
      <c r="E6" s="5" t="s">
        <v>28</v>
      </c>
      <c r="F6" s="6" t="n">
        <v>100</v>
      </c>
      <c r="G6" s="6" t="n">
        <f aca="false">IF(E6="BB",F6," ")</f>
        <v>100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45818</v>
      </c>
      <c r="M6" s="4" t="s">
        <v>37</v>
      </c>
      <c r="P6" s="36" t="s">
        <v>30</v>
      </c>
      <c r="Q6" s="6" t="n">
        <v>25</v>
      </c>
      <c r="R6" s="6" t="str">
        <f aca="false">IF(P6="BB",Q6," ")</f>
        <v> </v>
      </c>
      <c r="S6" s="6" t="n">
        <f aca="false">IF(P6="CR",Q6," ")</f>
        <v>25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Jun!A2</f>
        <v>560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Jul!A2</f>
        <v>560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Aug!A2</f>
        <v>560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18</v>
      </c>
      <c r="R1" s="12" t="n">
        <f aca="false">SUM(R6:R200)</f>
        <v>0</v>
      </c>
      <c r="S1" s="12" t="n">
        <f aca="false">SUM(S6:S200)</f>
        <v>18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45905</v>
      </c>
      <c r="M6" s="4" t="s">
        <v>35</v>
      </c>
      <c r="P6" s="36" t="s">
        <v>30</v>
      </c>
      <c r="Q6" s="6" t="n">
        <v>18</v>
      </c>
      <c r="R6" s="6" t="str">
        <f aca="false">IF(P6="BB",Q6," ")</f>
        <v> </v>
      </c>
      <c r="S6" s="6" t="n">
        <f aca="false">IF(P6="CR",Q6," ")</f>
        <v>18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Sep!A2</f>
        <v>542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Oct!A2</f>
        <v>542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Nov!A2</f>
        <v>542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50</v>
      </c>
      <c r="R1" s="12" t="n">
        <f aca="false">SUM(R6:R200)</f>
        <v>0</v>
      </c>
      <c r="S1" s="12" t="n">
        <f aca="false">SUM(S6:S200)</f>
        <v>50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46001</v>
      </c>
      <c r="M6" s="4" t="s">
        <v>38</v>
      </c>
      <c r="P6" s="36" t="s">
        <v>30</v>
      </c>
      <c r="Q6" s="6" t="n">
        <v>50</v>
      </c>
      <c r="R6" s="6" t="str">
        <f aca="false">IF(P6="BB",Q6," ")</f>
        <v> </v>
      </c>
      <c r="S6" s="6" t="n">
        <f aca="false">IF(P6="CR",Q6," ")</f>
        <v>50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Dec!A2</f>
        <v>492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Jan!A2</f>
        <v>492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s="6" customFormat="true" ht="15" hidden="false" customHeight="true" outlineLevel="0" collapsed="false">
      <c r="A1" s="49" t="n">
        <f aca="false">Feb!A2</f>
        <v>492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12</v>
      </c>
      <c r="R1" s="12" t="n">
        <f aca="false">SUM(R6:R200)</f>
        <v>0</v>
      </c>
      <c r="S1" s="12" t="n">
        <f aca="false">SUM(S6:S200)</f>
        <v>12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s="6" customFormat="true" ht="15" hidden="false" customHeight="true" outlineLevel="0" collapsed="false">
      <c r="A2" s="17" t="n">
        <f aca="false">A1+F1-Q1</f>
        <v>480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s="6" customFormat="tru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s="5" customFormat="true" ht="19.5" hidden="false" customHeight="true" outlineLevel="0" collapsed="false">
      <c r="A4" s="27" t="n">
        <f aca="false">A2-A3</f>
        <v>480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</row>
    <row r="5" s="5" customFormat="tru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46101</v>
      </c>
      <c r="M6" s="4" t="s">
        <v>39</v>
      </c>
      <c r="P6" s="36" t="s">
        <v>30</v>
      </c>
      <c r="Q6" s="6" t="n">
        <v>12</v>
      </c>
      <c r="R6" s="6" t="str">
        <f aca="false">IF(P6="BB",Q6," ")</f>
        <v> </v>
      </c>
      <c r="S6" s="6" t="n">
        <f aca="false">IF(P6="CR",Q6," ")</f>
        <v>12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