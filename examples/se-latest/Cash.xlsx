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r" sheetId="1" state="visible" r:id="rId3"/>
    <sheet name="May" sheetId="2" state="visible" r:id="rId4"/>
    <sheet name="Jun" sheetId="3" state="visible" r:id="rId5"/>
    <sheet name="Jul" sheetId="4" state="visible" r:id="rId6"/>
    <sheet name="Aug" sheetId="5" state="visible" r:id="rId7"/>
    <sheet name="Sep" sheetId="6" state="visible" r:id="rId8"/>
    <sheet name="Oct" sheetId="7" state="visible" r:id="rId9"/>
    <sheet name="Nov" sheetId="8" state="visible" r:id="rId10"/>
    <sheet name="Dec" sheetId="9" state="visible" r:id="rId11"/>
    <sheet name="Jan" sheetId="10" state="visible" r:id="rId12"/>
    <sheet name="Feb" sheetId="11" state="visible" r:id="rId13"/>
    <sheet name="Mar" sheetId="12" state="visible" r:id="rId14"/>
  </sheets>
  <externalReferences>
    <externalReference r:id="rId15"/>
  </externalReferences>
  <definedNames>
    <definedName function="false" hidden="false" localSheetId="0" name="_xlnm.Print_Area" vbProcedure="false">Apr!$A$1:$W$75</definedName>
    <definedName function="false" hidden="false" localSheetId="0" name="_xlnm.Print_Titles" vbProcedure="false">Apr!$1:$5</definedName>
    <definedName function="false" hidden="false" localSheetId="4" name="_xlnm.Print_Area" vbProcedure="false">Aug!$A$1:$X$75</definedName>
    <definedName function="false" hidden="false" localSheetId="4" name="_xlnm.Print_Titles" vbProcedure="false">Aug!$1:$5</definedName>
    <definedName function="false" hidden="false" localSheetId="8" name="_xlnm.Print_Area" vbProcedure="false">Dec!$A$1:$X$75</definedName>
    <definedName function="false" hidden="false" localSheetId="8" name="_xlnm.Print_Titles" vbProcedure="false">Dec!$1:$5</definedName>
    <definedName function="false" hidden="false" localSheetId="10" name="_xlnm.Print_Area" vbProcedure="false">Feb!$A$1:$X$71</definedName>
    <definedName function="false" hidden="false" localSheetId="10" name="_xlnm.Print_Titles" vbProcedure="false">Feb!$1:$5</definedName>
    <definedName function="false" hidden="false" localSheetId="9" name="_xlnm.Print_Area" vbProcedure="false">Jan!$A$1:$X$75</definedName>
    <definedName function="false" hidden="false" localSheetId="9" name="_xlnm.Print_Titles" vbProcedure="false">Jan!$1:$5</definedName>
    <definedName function="false" hidden="false" localSheetId="3" name="_xlnm.Print_Area" vbProcedure="false">Jul!$A$1:$X$75</definedName>
    <definedName function="false" hidden="false" localSheetId="3" name="_xlnm.Print_Titles" vbProcedure="false">Jul!$1:$5</definedName>
    <definedName function="false" hidden="false" localSheetId="2" name="_xlnm.Print_Area" vbProcedure="false">Jun!$A$1:$X$75</definedName>
    <definedName function="false" hidden="false" localSheetId="2" name="_xlnm.Print_Titles" vbProcedure="false">Jun!$1:$5</definedName>
    <definedName function="false" hidden="false" localSheetId="11" name="_xlnm.Print_Area" vbProcedure="false">Mar!$A$1:$X$75</definedName>
    <definedName function="false" hidden="false" localSheetId="11" name="_xlnm.Print_Titles" vbProcedure="false">Mar!$1:$5</definedName>
    <definedName function="false" hidden="false" localSheetId="1" name="_xlnm.Print_Area" vbProcedure="false">May!$A$1:$X$75</definedName>
    <definedName function="false" hidden="false" localSheetId="1" name="_xlnm.Print_Titles" vbProcedure="false">May!$1:$5</definedName>
    <definedName function="false" hidden="false" localSheetId="7" name="_xlnm.Print_Area" vbProcedure="false">Nov!$A$1:$X$75</definedName>
    <definedName function="false" hidden="false" localSheetId="7" name="_xlnm.Print_Titles" vbProcedure="false">Nov!$1:$5</definedName>
    <definedName function="false" hidden="false" localSheetId="6" name="_xlnm.Print_Area" vbProcedure="false">Oct!$A$1:$X$75</definedName>
    <definedName function="false" hidden="false" localSheetId="6" name="_xlnm.Print_Titles" vbProcedure="false">Oct!$1:$5</definedName>
    <definedName function="false" hidden="false" localSheetId="5" name="_xlnm.Print_Area" vbProcedure="false">Sep!$A$1:$X$75</definedName>
    <definedName function="false" hidden="false" localSheetId="5" name="_xlnm.Print_Titles" vbProcedure="false">Sep!$1:$5</definedName>
    <definedName function="false" hidden="false" localSheetId="0" name="_xlnm_Print_Area" vbProcedure="false">Apr!$A$1:$W$75</definedName>
    <definedName function="false" hidden="false" localSheetId="0" name="_xlnm_Print_Titles" vbProcedure="false">Apr!$1:$5</definedName>
    <definedName function="false" hidden="false" localSheetId="1" name="_xlnm_Print_Area" vbProcedure="false">May!$A$1:$X$75</definedName>
    <definedName function="false" hidden="false" localSheetId="1" name="_xlnm_Print_Titles" vbProcedure="false">May!$1:$5</definedName>
    <definedName function="false" hidden="false" localSheetId="2" name="_xlnm_Print_Area" vbProcedure="false">Jun!$A$1:$X$75</definedName>
    <definedName function="false" hidden="false" localSheetId="2" name="_xlnm_Print_Titles" vbProcedure="false">Jun!$1:$5</definedName>
    <definedName function="false" hidden="false" localSheetId="3" name="_xlnm_Print_Area" vbProcedure="false">Jul!$A$1:$X$75</definedName>
    <definedName function="false" hidden="false" localSheetId="3" name="_xlnm_Print_Titles" vbProcedure="false">Jul!$1:$5</definedName>
    <definedName function="false" hidden="false" localSheetId="4" name="_xlnm_Print_Area" vbProcedure="false">Aug!$A$1:$X$75</definedName>
    <definedName function="false" hidden="false" localSheetId="4" name="_xlnm_Print_Titles" vbProcedure="false">Aug!$1:$5</definedName>
    <definedName function="false" hidden="false" localSheetId="5" name="_xlnm_Print_Area" vbProcedure="false">Sep!$A$1:$X$75</definedName>
    <definedName function="false" hidden="false" localSheetId="5" name="_xlnm_Print_Titles" vbProcedure="false">Sep!$1:$5</definedName>
    <definedName function="false" hidden="false" localSheetId="6" name="_xlnm_Print_Area" vbProcedure="false">Oct!$A$1:$X$75</definedName>
    <definedName function="false" hidden="false" localSheetId="6" name="_xlnm_Print_Titles" vbProcedure="false">Oct!$1:$5</definedName>
    <definedName function="false" hidden="false" localSheetId="7" name="_xlnm_Print_Area" vbProcedure="false">Nov!$A$1:$X$75</definedName>
    <definedName function="false" hidden="false" localSheetId="7" name="_xlnm_Print_Titles" vbProcedure="false">Nov!$1:$5</definedName>
    <definedName function="false" hidden="false" localSheetId="8" name="_xlnm_Print_Area" vbProcedure="false">Dec!$A$1:$X$75</definedName>
    <definedName function="false" hidden="false" localSheetId="8" name="_xlnm_Print_Titles" vbProcedure="false">Dec!$1:$5</definedName>
    <definedName function="false" hidden="false" localSheetId="9" name="_xlnm_Print_Area" vbProcedure="false">Jan!$A$1:$X$75</definedName>
    <definedName function="false" hidden="false" localSheetId="9" name="_xlnm_Print_Titles" vbProcedure="false">Jan!$1:$5</definedName>
    <definedName function="false" hidden="false" localSheetId="10" name="_xlnm_Print_Area" vbProcedure="false">Feb!$A$1:$X$71</definedName>
    <definedName function="false" hidden="false" localSheetId="10" name="_xlnm_Print_Titles" vbProcedure="false">Feb!$1:$5</definedName>
    <definedName function="false" hidden="false" localSheetId="11" name="_xlnm_Print_Area" vbProcedure="false">Mar!$A$1:$X$75</definedName>
    <definedName function="false" hidden="false" localSheetId="11" name="_xlnm_Print_Titles" vbProcedure="false">Mar!$1:$5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<sst xmlns="http://schemas.openxmlformats.org/spreadsheetml/2006/main" count="516" uniqueCount="52">
  <si>
    <t xml:space="preserve">&lt;  Opening Cash Balance</t>
  </si>
  <si>
    <t xml:space="preserve">Totals &gt;</t>
  </si>
  <si>
    <t xml:space="preserve">&lt;  Closing Cash Balance</t>
  </si>
  <si>
    <t xml:space="preserve">Deposit   Cash     Reference</t>
  </si>
  <si>
    <t xml:space="preserve">Enter Code Letters</t>
  </si>
  <si>
    <t xml:space="preserve">ENTER CASH RECEIVED</t>
  </si>
  <si>
    <t xml:space="preserve">CASH RECEIPTS</t>
  </si>
  <si>
    <t xml:space="preserve">Enter Purchase Invoice No.</t>
  </si>
  <si>
    <t xml:space="preserve">Optional cash payment reference</t>
  </si>
  <si>
    <t xml:space="preserve">ENTER CASH PAID OUT</t>
  </si>
  <si>
    <t xml:space="preserve">CASH PAYMENTS</t>
  </si>
  <si>
    <t xml:space="preserve">&lt;  Physical Cash Count</t>
  </si>
  <si>
    <t xml:space="preserve">Amount Drawn from Bank</t>
  </si>
  <si>
    <t xml:space="preserve">Amount Received Debtors</t>
  </si>
  <si>
    <t xml:space="preserve">Amount Received Creditors</t>
  </si>
  <si>
    <t xml:space="preserve">Capital Introduced</t>
  </si>
  <si>
    <t xml:space="preserve">Cash Paid into Bank</t>
  </si>
  <si>
    <t xml:space="preserve">Amount Paid Creditors</t>
  </si>
  <si>
    <t xml:space="preserve">Amount Paid Debtors</t>
  </si>
  <si>
    <t xml:space="preserve">Net        Wages      Paid</t>
  </si>
  <si>
    <t xml:space="preserve">H Purchase Interest &amp; Leasing</t>
  </si>
  <si>
    <t xml:space="preserve">HMRC Payments</t>
  </si>
  <si>
    <t xml:space="preserve">Drawings</t>
  </si>
  <si>
    <t xml:space="preserve">Payment Date </t>
  </si>
  <si>
    <t xml:space="preserve">Suppliers paid</t>
  </si>
  <si>
    <t xml:space="preserve">Date</t>
  </si>
  <si>
    <t xml:space="preserve">Source of Funds Received</t>
  </si>
  <si>
    <t xml:space="preserve">Sales Invoice</t>
  </si>
  <si>
    <t xml:space="preserve">BB</t>
  </si>
  <si>
    <t xml:space="preserve">DR</t>
  </si>
  <si>
    <t xml:space="preserve">CR</t>
  </si>
  <si>
    <t xml:space="preserve">DL</t>
  </si>
  <si>
    <t xml:space="preserve">W</t>
  </si>
  <si>
    <t xml:space="preserve">J</t>
  </si>
  <si>
    <t xml:space="preserve">RP</t>
  </si>
  <si>
    <t xml:space="preserve">Corner shop</t>
  </si>
  <si>
    <t xml:space="preserve">BNK-CASH-003</t>
  </si>
  <si>
    <t xml:space="preserve">Milk and tea</t>
  </si>
  <si>
    <t xml:space="preserve">Cash top-up</t>
  </si>
  <si>
    <t xml:space="preserve">BNK-CASH-002</t>
  </si>
  <si>
    <t xml:space="preserve">Cash float replenishment</t>
  </si>
  <si>
    <t xml:space="preserve">WH Smith</t>
  </si>
  <si>
    <t xml:space="preserve">BNK-CASH-004</t>
  </si>
  <si>
    <t xml:space="preserve">Envelopes and stamps</t>
  </si>
  <si>
    <t xml:space="preserve">BNK-CASH-005</t>
  </si>
  <si>
    <t xml:space="preserve">Kitchen supplies</t>
  </si>
  <si>
    <t xml:space="preserve">Various</t>
  </si>
  <si>
    <t xml:space="preserve">BNK-CASH-006</t>
  </si>
  <si>
    <t xml:space="preserve">Christmas team refreshments</t>
  </si>
  <si>
    <t xml:space="preserve">Newsagent</t>
  </si>
  <si>
    <t xml:space="preserve">BNK-CASH-007</t>
  </si>
  <si>
    <t xml:space="preserve">Newspapers for reception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</si>
</sst>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"/>
    <numFmt numFmtId="166" formatCode="#,##0_ ;[RED]\-#,##0\ "/>
    <numFmt numFmtId="167" formatCode="0"/>
    <numFmt numFmtId="168" formatCode="0_ ;[RED]\-0\ "/>
    <numFmt numFmtId="169" formatCode="#,##0.00_ ;[RED]\-#,##0.00\ "/>
  </numFmts>
  <fonts count="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  <font>
      <sz val="10"/>
      <name val="Times New Roman"/>
      <family val="1"/>
      <charset val="1"/>
    </font>
    <font>
      <sz val="9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8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2" borderId="6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5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9cf26625/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46118</v>
          </cell>
        </row>
        <row r="5">
          <cell r="B5">
            <v>46142</v>
          </cell>
        </row>
        <row r="6">
          <cell r="B6">
            <v>46173</v>
          </cell>
        </row>
        <row r="7">
          <cell r="B7">
            <v>46203</v>
          </cell>
        </row>
        <row r="8">
          <cell r="B8">
            <v>46234</v>
          </cell>
        </row>
        <row r="9">
          <cell r="B9">
            <v>46265</v>
          </cell>
        </row>
        <row r="10">
          <cell r="B10">
            <v>46295</v>
          </cell>
        </row>
        <row r="11">
          <cell r="B11">
            <v>46326</v>
          </cell>
        </row>
        <row r="12">
          <cell r="B12">
            <v>46356</v>
          </cell>
        </row>
        <row r="13">
          <cell r="B13">
            <v>46387</v>
          </cell>
        </row>
        <row r="14">
          <cell r="B14">
            <v>46418</v>
          </cell>
        </row>
        <row r="15">
          <cell r="B15">
            <v>46446</v>
          </cell>
        </row>
        <row r="17">
          <cell r="B17">
            <v>46482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6" width="9.15"/>
  </cols>
  <sheetData>
    <row r="1" customFormat="false" ht="15" hidden="false" customHeight="true" outlineLevel="0" collapsed="false">
      <c r="A1" s="7" t="n">
        <v>500</v>
      </c>
      <c r="B1" s="8" t="s">
        <v>0</v>
      </c>
      <c r="C1" s="9" t="n">
        <f aca="false">[1]Admin!$B$4</f>
        <v>46118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15</v>
      </c>
      <c r="R1" s="12" t="n">
        <f aca="false">SUM(R6:R200)</f>
        <v>0</v>
      </c>
      <c r="S1" s="12" t="n">
        <f aca="false">SUM(S6:S200)</f>
        <v>15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</row>
    <row r="2" customFormat="false" ht="15" hidden="false" customHeight="true" outlineLevel="0" collapsed="false">
      <c r="A2" s="17" t="n">
        <f aca="false">A1+F1-Q1</f>
        <v>485</v>
      </c>
      <c r="B2" s="18" t="s">
        <v>2</v>
      </c>
      <c r="C2" s="9" t="n">
        <f aca="false">[1]Admin!$B$5</f>
        <v>46142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46142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</row>
    <row r="4" customFormat="false" ht="19.5" hidden="false" customHeight="true" outlineLevel="0" collapsed="false">
      <c r="A4" s="27" t="n">
        <f aca="false">A2-A3</f>
        <v>485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L6" s="1" t="n">
        <v>46122</v>
      </c>
      <c r="M6" s="4" t="s">
        <v>35</v>
      </c>
      <c r="N6" s="3" t="s">
        <v>36</v>
      </c>
      <c r="O6" s="3" t="s">
        <v>37</v>
      </c>
      <c r="P6" s="36" t="s">
        <v>30</v>
      </c>
      <c r="Q6" s="6" t="n">
        <v>15</v>
      </c>
      <c r="R6" s="6" t="str">
        <f aca="false">IF(P6="BB",Q6," ")</f>
        <v> </v>
      </c>
      <c r="S6" s="6" t="n">
        <f aca="false">IF(P6="CR",Q6," ")</f>
        <v>15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/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/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/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/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/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/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/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/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/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/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/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/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/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/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/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/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/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/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/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/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/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/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/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/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/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/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/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/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/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/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/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/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/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/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/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/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/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/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/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/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/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/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/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/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/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/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/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/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/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/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/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/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/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/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/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/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/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/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/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/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/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/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/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39"/>
      <c r="B200" s="40"/>
      <c r="C200" s="4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showDropDown="false" showErrorMessage="true" showInputMessage="false" sqref="E6:E200" type="list">
      <formula1>$G$5:$J$5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</dataValidations>
  <printOptions headings="false" gridLines="false" gridLinesSet="true" horizontalCentered="false" verticalCentered="false"/>
  <pageMargins left="0.157638888888889" right="0.0784722222222222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2" manualBreakCount="2">
    <brk id="10" man="true" max="65535" min="0"/>
    <brk id="14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customFormat="false" ht="15" hidden="false" customHeight="true" outlineLevel="0" collapsed="false">
      <c r="A1" s="49" t="n">
        <f aca="false">Apr!A2</f>
        <v>485</v>
      </c>
      <c r="B1" s="8" t="s">
        <v>0</v>
      </c>
      <c r="C1" s="9" t="n">
        <f aca="false">Apr!C2</f>
        <v>46142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A1+F1-Q1</f>
        <v>485</v>
      </c>
      <c r="B2" s="18" t="s">
        <v>2</v>
      </c>
      <c r="C2" s="9" t="n">
        <f aca="false">[1]Admin!$B$6</f>
        <v>46173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46173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7" t="n">
        <f aca="false">A2-A3</f>
        <v>485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5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customFormat="false" ht="15" hidden="false" customHeight="true" outlineLevel="0" collapsed="false">
      <c r="A1" s="49" t="n">
        <f aca="false">May!A2</f>
        <v>485</v>
      </c>
      <c r="B1" s="8" t="s">
        <v>0</v>
      </c>
      <c r="C1" s="9" t="n">
        <f aca="false">May!C2</f>
        <v>46173</v>
      </c>
      <c r="D1" s="10" t="s">
        <v>1</v>
      </c>
      <c r="E1" s="11" t="n">
        <f aca="false">F1-SUM(G1:J1)</f>
        <v>0</v>
      </c>
      <c r="F1" s="12" t="n">
        <f aca="false">SUM(F6:F200)</f>
        <v>100</v>
      </c>
      <c r="G1" s="12" t="n">
        <f aca="false">SUM(G6:G200)</f>
        <v>100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25</v>
      </c>
      <c r="R1" s="12" t="n">
        <f aca="false">SUM(R6:R200)</f>
        <v>0</v>
      </c>
      <c r="S1" s="12" t="n">
        <f aca="false">SUM(S6:S200)</f>
        <v>25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A1+F1-Q1</f>
        <v>560</v>
      </c>
      <c r="B2" s="18" t="s">
        <v>2</v>
      </c>
      <c r="C2" s="9" t="n">
        <f aca="false">[1]Admin!$B$7</f>
        <v>46203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46203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7" t="n">
        <f aca="false">A2-A3</f>
        <v>560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A6" s="46" t="n">
        <v>46183</v>
      </c>
      <c r="B6" s="2" t="s">
        <v>38</v>
      </c>
      <c r="C6" s="47" t="s">
        <v>39</v>
      </c>
      <c r="D6" s="4" t="s">
        <v>40</v>
      </c>
      <c r="E6" s="5" t="s">
        <v>28</v>
      </c>
      <c r="F6" s="6" t="n">
        <v>100</v>
      </c>
      <c r="G6" s="6" t="n">
        <f aca="false">IF(E6="BB",F6," ")</f>
        <v>100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L6" s="1" t="n">
        <v>46183</v>
      </c>
      <c r="M6" s="4" t="s">
        <v>41</v>
      </c>
      <c r="N6" s="3" t="s">
        <v>42</v>
      </c>
      <c r="O6" s="3" t="s">
        <v>43</v>
      </c>
      <c r="P6" s="36" t="s">
        <v>30</v>
      </c>
      <c r="Q6" s="6" t="n">
        <v>25</v>
      </c>
      <c r="R6" s="6" t="str">
        <f aca="false">IF(P6="BB",Q6," ")</f>
        <v> </v>
      </c>
      <c r="S6" s="6" t="n">
        <f aca="false">IF(P6="CR",Q6," ")</f>
        <v>25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/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/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/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/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/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/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/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/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/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/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/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/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/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/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/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/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/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/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/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/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/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/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/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/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/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/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/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/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/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/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/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/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/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/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/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/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/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/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/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/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/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/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/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/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/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/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/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/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/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/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/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/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/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/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/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/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/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/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/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/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/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/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/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customFormat="false" ht="15" hidden="false" customHeight="true" outlineLevel="0" collapsed="false">
      <c r="A1" s="49" t="n">
        <f aca="false">Jun!A2</f>
        <v>560</v>
      </c>
      <c r="B1" s="8" t="s">
        <v>0</v>
      </c>
      <c r="C1" s="9" t="n">
        <f aca="false">Jun!C2</f>
        <v>46203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A1+F1-Q1</f>
        <v>560</v>
      </c>
      <c r="B2" s="18" t="s">
        <v>2</v>
      </c>
      <c r="C2" s="9" t="n">
        <f aca="false">[1]Admin!$B$8</f>
        <v>46234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46234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7" t="n">
        <f aca="false">A2-A3</f>
        <v>560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customFormat="false" ht="15" hidden="false" customHeight="true" outlineLevel="0" collapsed="false">
      <c r="A1" s="49" t="n">
        <f aca="false">Jul!A2</f>
        <v>560</v>
      </c>
      <c r="B1" s="8" t="s">
        <v>0</v>
      </c>
      <c r="C1" s="9" t="n">
        <f aca="false">Jul!C2</f>
        <v>46234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A1+F1-Q1</f>
        <v>560</v>
      </c>
      <c r="B2" s="18" t="s">
        <v>2</v>
      </c>
      <c r="C2" s="9" t="n">
        <f aca="false">[1]Admin!$B$9</f>
        <v>46265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46265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7" t="n">
        <f aca="false">A2-A3</f>
        <v>560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customFormat="false" ht="15" hidden="false" customHeight="true" outlineLevel="0" collapsed="false">
      <c r="A1" s="49" t="n">
        <f aca="false">Aug!A2</f>
        <v>560</v>
      </c>
      <c r="B1" s="8" t="s">
        <v>0</v>
      </c>
      <c r="C1" s="9" t="n">
        <f aca="false">Aug!C2</f>
        <v>46265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18</v>
      </c>
      <c r="R1" s="12" t="n">
        <f aca="false">SUM(R6:R200)</f>
        <v>0</v>
      </c>
      <c r="S1" s="12" t="n">
        <f aca="false">SUM(S6:S200)</f>
        <v>18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A1+F1-Q1</f>
        <v>542</v>
      </c>
      <c r="B2" s="18" t="s">
        <v>2</v>
      </c>
      <c r="C2" s="9" t="n">
        <f aca="false">[1]Admin!$B$10</f>
        <v>46295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46295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7" t="n">
        <f aca="false">A2-A3</f>
        <v>542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L6" s="1" t="n">
        <v>46270</v>
      </c>
      <c r="M6" s="4" t="s">
        <v>35</v>
      </c>
      <c r="N6" s="3" t="s">
        <v>44</v>
      </c>
      <c r="O6" s="3" t="s">
        <v>45</v>
      </c>
      <c r="P6" s="36" t="s">
        <v>30</v>
      </c>
      <c r="Q6" s="6" t="n">
        <v>18</v>
      </c>
      <c r="R6" s="6" t="str">
        <f aca="false">IF(P6="BB",Q6," ")</f>
        <v> </v>
      </c>
      <c r="S6" s="6" t="n">
        <f aca="false">IF(P6="CR",Q6," ")</f>
        <v>18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/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/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/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/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/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/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/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/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/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/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/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/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/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/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/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/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/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/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/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/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/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/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/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/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/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/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/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/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/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/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/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/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/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/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/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/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/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/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/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/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/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/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/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/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/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/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/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/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/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/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/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/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/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/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/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/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/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/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/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/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/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/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/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customFormat="false" ht="15" hidden="false" customHeight="true" outlineLevel="0" collapsed="false">
      <c r="A1" s="49" t="n">
        <f aca="false">Sep!A2</f>
        <v>542</v>
      </c>
      <c r="B1" s="8" t="s">
        <v>0</v>
      </c>
      <c r="C1" s="9" t="n">
        <f aca="false">Sep!C2</f>
        <v>46295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A1+F1-Q1</f>
        <v>542</v>
      </c>
      <c r="B2" s="18" t="s">
        <v>2</v>
      </c>
      <c r="C2" s="9" t="n">
        <f aca="false">[1]Admin!$B$11</f>
        <v>46326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46326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7" t="n">
        <f aca="false">A2-A3</f>
        <v>542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customFormat="false" ht="15" hidden="false" customHeight="true" outlineLevel="0" collapsed="false">
      <c r="A1" s="49" t="n">
        <f aca="false">Oct!A2</f>
        <v>542</v>
      </c>
      <c r="B1" s="8" t="s">
        <v>0</v>
      </c>
      <c r="C1" s="9" t="n">
        <f aca="false">Oct!C2</f>
        <v>46326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A1+F1-Q1</f>
        <v>542</v>
      </c>
      <c r="B2" s="18" t="s">
        <v>2</v>
      </c>
      <c r="C2" s="9" t="n">
        <f aca="false">[1]Admin!$B$12</f>
        <v>46356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46356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7" t="n">
        <f aca="false">A2-A3</f>
        <v>542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customFormat="false" ht="15" hidden="false" customHeight="true" outlineLevel="0" collapsed="false">
      <c r="A1" s="49" t="n">
        <f aca="false">Nov!A2</f>
        <v>542</v>
      </c>
      <c r="B1" s="8" t="s">
        <v>0</v>
      </c>
      <c r="C1" s="9" t="n">
        <f aca="false">Nov!C2</f>
        <v>46356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50</v>
      </c>
      <c r="R1" s="12" t="n">
        <f aca="false">SUM(R6:R200)</f>
        <v>0</v>
      </c>
      <c r="S1" s="12" t="n">
        <f aca="false">SUM(S6:S200)</f>
        <v>50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A1+F1-Q1</f>
        <v>492</v>
      </c>
      <c r="B2" s="18" t="s">
        <v>2</v>
      </c>
      <c r="C2" s="9" t="n">
        <f aca="false">[1]Admin!$B$13</f>
        <v>46387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46387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7" t="n">
        <f aca="false">A2-A3</f>
        <v>492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L6" s="1" t="n">
        <v>46366</v>
      </c>
      <c r="M6" s="4" t="s">
        <v>46</v>
      </c>
      <c r="N6" s="3" t="s">
        <v>47</v>
      </c>
      <c r="O6" s="3" t="s">
        <v>48</v>
      </c>
      <c r="P6" s="36" t="s">
        <v>30</v>
      </c>
      <c r="Q6" s="6" t="n">
        <v>50</v>
      </c>
      <c r="R6" s="6" t="str">
        <f aca="false">IF(P6="BB",Q6," ")</f>
        <v> </v>
      </c>
      <c r="S6" s="6" t="n">
        <f aca="false">IF(P6="CR",Q6," ")</f>
        <v>50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/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/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/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/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/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/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/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/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/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/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/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/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/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/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/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/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/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/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/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/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/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/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/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/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/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/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/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/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/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/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/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/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/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/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/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/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/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/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/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/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/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/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/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/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/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/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/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/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/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/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/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/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/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/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/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/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/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/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/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/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/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/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/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customFormat="false" ht="15" hidden="false" customHeight="true" outlineLevel="0" collapsed="false">
      <c r="A1" s="49" t="n">
        <f aca="false">Dec!A2</f>
        <v>492</v>
      </c>
      <c r="B1" s="8" t="s">
        <v>0</v>
      </c>
      <c r="C1" s="9" t="n">
        <f aca="false">Dec!C2</f>
        <v>46387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A1+F1-Q1</f>
        <v>492</v>
      </c>
      <c r="B2" s="18" t="s">
        <v>2</v>
      </c>
      <c r="C2" s="9" t="n">
        <f aca="false">[1]Admin!$B$14</f>
        <v>46418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46418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7" t="n">
        <f aca="false">A2-A3</f>
        <v>492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customFormat="false" ht="15" hidden="false" customHeight="true" outlineLevel="0" collapsed="false">
      <c r="A1" s="49" t="n">
        <f aca="false">Jan!A2</f>
        <v>492</v>
      </c>
      <c r="B1" s="8" t="s">
        <v>0</v>
      </c>
      <c r="C1" s="9" t="n">
        <f aca="false">Jan!C2</f>
        <v>46418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0</v>
      </c>
      <c r="R1" s="12" t="n">
        <f aca="false">SUM(R6:R200)</f>
        <v>0</v>
      </c>
      <c r="S1" s="12" t="n">
        <f aca="false">SUM(S6:S200)</f>
        <v>0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A1+F1-Q1</f>
        <v>492</v>
      </c>
      <c r="B2" s="18" t="s">
        <v>2</v>
      </c>
      <c r="C2" s="9" t="n">
        <f aca="false">[1]Admin!$B$15</f>
        <v>46446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46446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7" t="n">
        <f aca="false">A2-A3</f>
        <v>492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P6" s="36" t="str">
        <f aca="false">IF(Q6&lt;&gt;0,"Enter Code"," ")</f>
        <v> </v>
      </c>
      <c r="R6" s="6" t="str">
        <f aca="false">IF(P6="BB",Q6," ")</f>
        <v> </v>
      </c>
      <c r="S6" s="6" t="str">
        <f aca="false">IF(P6="CR",Q6," ")</f>
        <v> 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 t="str">
        <f aca="false">IF(Q7&lt;&gt;0,"Enter Code"," ")</f>
        <v> </v>
      </c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 t="str">
        <f aca="false">IF(Q8&lt;&gt;0,"Enter Code"," ")</f>
        <v> </v>
      </c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 t="str">
        <f aca="false">IF(Q9&lt;&gt;0,"Enter Code"," ")</f>
        <v> </v>
      </c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 t="str">
        <f aca="false">IF(Q10&lt;&gt;0,"Enter Code"," ")</f>
        <v> </v>
      </c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 t="str">
        <f aca="false">IF(Q11&lt;&gt;0,"Enter Code"," ")</f>
        <v> </v>
      </c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 t="str">
        <f aca="false">IF(Q12&lt;&gt;0,"Enter Code"," ")</f>
        <v> </v>
      </c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 t="str">
        <f aca="false">IF(Q13&lt;&gt;0,"Enter Code"," ")</f>
        <v> </v>
      </c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 t="str">
        <f aca="false">IF(Q14&lt;&gt;0,"Enter Code"," ")</f>
        <v> </v>
      </c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 t="str">
        <f aca="false">IF(Q15&lt;&gt;0,"Enter Code"," ")</f>
        <v> </v>
      </c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 t="str">
        <f aca="false">IF(Q16&lt;&gt;0,"Enter Code"," ")</f>
        <v> </v>
      </c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 t="str">
        <f aca="false">IF(Q17&lt;&gt;0,"Enter Code"," ")</f>
        <v> </v>
      </c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 t="str">
        <f aca="false">IF(Q18&lt;&gt;0,"Enter Code"," ")</f>
        <v> </v>
      </c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 t="str">
        <f aca="false">IF(Q19&lt;&gt;0,"Enter Code"," ")</f>
        <v> </v>
      </c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 t="str">
        <f aca="false">IF(Q20&lt;&gt;0,"Enter Code"," ")</f>
        <v> </v>
      </c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 t="str">
        <f aca="false">IF(Q21&lt;&gt;0,"Enter Code"," ")</f>
        <v> </v>
      </c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 t="str">
        <f aca="false">IF(Q22&lt;&gt;0,"Enter Code"," ")</f>
        <v> </v>
      </c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 t="str">
        <f aca="false">IF(Q23&lt;&gt;0,"Enter Code"," ")</f>
        <v> </v>
      </c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 t="str">
        <f aca="false">IF(Q24&lt;&gt;0,"Enter Code"," ")</f>
        <v> </v>
      </c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 t="str">
        <f aca="false">IF(Q25&lt;&gt;0,"Enter Code"," ")</f>
        <v> </v>
      </c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 t="str">
        <f aca="false">IF(Q26&lt;&gt;0,"Enter Code"," ")</f>
        <v> </v>
      </c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 t="str">
        <f aca="false">IF(Q27&lt;&gt;0,"Enter Code"," ")</f>
        <v> </v>
      </c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 t="str">
        <f aca="false">IF(Q28&lt;&gt;0,"Enter Code"," ")</f>
        <v> </v>
      </c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 t="str">
        <f aca="false">IF(Q29&lt;&gt;0,"Enter Code"," ")</f>
        <v> </v>
      </c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 t="str">
        <f aca="false">IF(Q30&lt;&gt;0,"Enter Code"," ")</f>
        <v> </v>
      </c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 t="str">
        <f aca="false">IF(Q31&lt;&gt;0,"Enter Code"," ")</f>
        <v> </v>
      </c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 t="str">
        <f aca="false">IF(Q32&lt;&gt;0,"Enter Code"," ")</f>
        <v> </v>
      </c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 t="str">
        <f aca="false">IF(Q33&lt;&gt;0,"Enter Code"," ")</f>
        <v> </v>
      </c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 t="str">
        <f aca="false">IF(Q34&lt;&gt;0,"Enter Code"," ")</f>
        <v> </v>
      </c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 t="str">
        <f aca="false">IF(Q35&lt;&gt;0,"Enter Code"," ")</f>
        <v> </v>
      </c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 t="str">
        <f aca="false">IF(Q36&lt;&gt;0,"Enter Code"," ")</f>
        <v> </v>
      </c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 t="str">
        <f aca="false">IF(Q37&lt;&gt;0,"Enter Code"," ")</f>
        <v> </v>
      </c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 t="str">
        <f aca="false">IF(Q38&lt;&gt;0,"Enter Code"," ")</f>
        <v> </v>
      </c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 t="str">
        <f aca="false">IF(Q39&lt;&gt;0,"Enter Code"," ")</f>
        <v> </v>
      </c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 t="str">
        <f aca="false">IF(Q40&lt;&gt;0,"Enter Code"," ")</f>
        <v> </v>
      </c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 t="str">
        <f aca="false">IF(Q41&lt;&gt;0,"Enter Code"," ")</f>
        <v> </v>
      </c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 t="str">
        <f aca="false">IF(Q42&lt;&gt;0,"Enter Code"," ")</f>
        <v> </v>
      </c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 t="str">
        <f aca="false">IF(Q43&lt;&gt;0,"Enter Code"," ")</f>
        <v> </v>
      </c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 t="str">
        <f aca="false">IF(Q44&lt;&gt;0,"Enter Code"," ")</f>
        <v> </v>
      </c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 t="str">
        <f aca="false">IF(Q45&lt;&gt;0,"Enter Code"," ")</f>
        <v> </v>
      </c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 t="str">
        <f aca="false">IF(Q46&lt;&gt;0,"Enter Code"," ")</f>
        <v> </v>
      </c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 t="str">
        <f aca="false">IF(Q47&lt;&gt;0,"Enter Code"," ")</f>
        <v> </v>
      </c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 t="str">
        <f aca="false">IF(Q48&lt;&gt;0,"Enter Code"," ")</f>
        <v> </v>
      </c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 t="str">
        <f aca="false">IF(Q49&lt;&gt;0,"Enter Code"," ")</f>
        <v> </v>
      </c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 t="str">
        <f aca="false">IF(Q50&lt;&gt;0,"Enter Code"," ")</f>
        <v> </v>
      </c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 t="str">
        <f aca="false">IF(Q51&lt;&gt;0,"Enter Code"," ")</f>
        <v> </v>
      </c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 t="str">
        <f aca="false">IF(Q52&lt;&gt;0,"Enter Code"," ")</f>
        <v> </v>
      </c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 t="str">
        <f aca="false">IF(Q53&lt;&gt;0,"Enter Code"," ")</f>
        <v> </v>
      </c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 t="str">
        <f aca="false">IF(Q54&lt;&gt;0,"Enter Code"," ")</f>
        <v> </v>
      </c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 t="str">
        <f aca="false">IF(Q55&lt;&gt;0,"Enter Code"," ")</f>
        <v> </v>
      </c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 t="str">
        <f aca="false">IF(Q56&lt;&gt;0,"Enter Code"," ")</f>
        <v> </v>
      </c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 t="str">
        <f aca="false">IF(Q57&lt;&gt;0,"Enter Code"," ")</f>
        <v> </v>
      </c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 t="str">
        <f aca="false">IF(Q58&lt;&gt;0,"Enter Code"," ")</f>
        <v> </v>
      </c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 t="str">
        <f aca="false">IF(Q59&lt;&gt;0,"Enter Code"," ")</f>
        <v> </v>
      </c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 t="str">
        <f aca="false">IF(Q60&lt;&gt;0,"Enter Code"," ")</f>
        <v> </v>
      </c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 t="str">
        <f aca="false">IF(Q61&lt;&gt;0,"Enter Code"," ")</f>
        <v> </v>
      </c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 t="str">
        <f aca="false">IF(Q62&lt;&gt;0,"Enter Code"," ")</f>
        <v> </v>
      </c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 t="str">
        <f aca="false">IF(Q63&lt;&gt;0,"Enter Code"," ")</f>
        <v> </v>
      </c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 t="str">
        <f aca="false">IF(Q64&lt;&gt;0,"Enter Code"," ")</f>
        <v> </v>
      </c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 t="str">
        <f aca="false">IF(Q65&lt;&gt;0,"Enter Code"," ")</f>
        <v> </v>
      </c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 t="str">
        <f aca="false">IF(Q66&lt;&gt;0,"Enter Code"," ")</f>
        <v> </v>
      </c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 t="str">
        <f aca="false">IF(Q67&lt;&gt;0,"Enter Code"," ")</f>
        <v> </v>
      </c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 t="str">
        <f aca="false">IF(Q68&lt;&gt;0,"Enter Code"," ")</f>
        <v> </v>
      </c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 t="str">
        <f aca="false">IF(Q69&lt;&gt;0,"Enter Code"," ")</f>
        <v> </v>
      </c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 of  &amp;N&amp;R&amp;F  &amp;A</oddFooter>
  </headerFooter>
  <colBreaks count="1" manualBreakCount="1">
    <brk id="10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customHeight="false" zeroHeight="false" outlineLevelRow="0" outlineLevelCol="0"/>
  <cols>
    <col collapsed="false" customWidth="false" hidden="false" outlineLevel="0" max="1" min="1" style="46" width="9.15"/>
    <col collapsed="false" customWidth="true" hidden="false" outlineLevel="0" max="2" min="2" style="2" width="21.99"/>
    <col collapsed="false" customWidth="true" hidden="false" outlineLevel="0" max="3" min="3" style="47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false" hidden="false" outlineLevel="0" max="6" min="6" style="6" width="9.15"/>
    <col collapsed="false" customWidth="true" hidden="false" outlineLevel="0" max="10" min="7" style="6" width="8.66"/>
    <col collapsed="false" customWidth="true" hidden="false" outlineLevel="0" max="11" min="11" style="6" width="0.82"/>
    <col collapsed="false" customWidth="true" hidden="false" outlineLevel="0" max="12" min="12" style="1" width="8.66"/>
    <col collapsed="false" customWidth="true" hidden="false" outlineLevel="0" max="13" min="13" style="4" width="25.15"/>
    <col collapsed="false" customWidth="true" hidden="false" outlineLevel="0" max="14" min="14" style="3" width="11.82"/>
    <col collapsed="false" customWidth="true" hidden="false" outlineLevel="0" max="15" min="15" style="3" width="8.66"/>
    <col collapsed="false" customWidth="true" hidden="false" outlineLevel="0" max="24" min="16" style="6" width="8.66"/>
    <col collapsed="false" customWidth="false" hidden="false" outlineLevel="0" max="257" min="25" style="48" width="9.15"/>
  </cols>
  <sheetData>
    <row r="1" customFormat="false" ht="15" hidden="false" customHeight="true" outlineLevel="0" collapsed="false">
      <c r="A1" s="49" t="n">
        <f aca="false">Feb!A2</f>
        <v>492</v>
      </c>
      <c r="B1" s="8" t="s">
        <v>0</v>
      </c>
      <c r="C1" s="9" t="n">
        <f aca="false">Feb!C2</f>
        <v>46446</v>
      </c>
      <c r="D1" s="10" t="s">
        <v>1</v>
      </c>
      <c r="E1" s="11" t="n">
        <f aca="false">F1-SUM(G1:J1)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3"/>
      <c r="L1" s="14" t="str">
        <f aca="false">IF(P1=0," ","Check all payment code letters entered")</f>
        <v> </v>
      </c>
      <c r="M1" s="14"/>
      <c r="N1" s="15"/>
      <c r="O1" s="16" t="s">
        <v>1</v>
      </c>
      <c r="P1" s="11" t="n">
        <f aca="false">Q1-SUM(R1:X1)</f>
        <v>0</v>
      </c>
      <c r="Q1" s="12" t="n">
        <f aca="false">SUM(Q6:Q200)</f>
        <v>12</v>
      </c>
      <c r="R1" s="12" t="n">
        <f aca="false">SUM(R6:R200)</f>
        <v>0</v>
      </c>
      <c r="S1" s="12" t="n">
        <f aca="false">SUM(S6:S200)</f>
        <v>12</v>
      </c>
      <c r="T1" s="12" t="n">
        <f aca="false">SUM(T6:T200)</f>
        <v>0</v>
      </c>
      <c r="U1" s="12" t="n">
        <f aca="false">SUM(U6:U200)</f>
        <v>0</v>
      </c>
      <c r="V1" s="12" t="n">
        <f aca="false">SUM(V6:V200)</f>
        <v>0</v>
      </c>
      <c r="W1" s="12" t="n">
        <f aca="false">SUM(W6:W200)</f>
        <v>0</v>
      </c>
      <c r="X1" s="12" t="n">
        <f aca="false">SUM(X6:X200)</f>
        <v>0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5" hidden="false" customHeight="true" outlineLevel="0" collapsed="false">
      <c r="A2" s="17" t="n">
        <f aca="false">A1+F1-Q1</f>
        <v>480</v>
      </c>
      <c r="B2" s="18" t="s">
        <v>2</v>
      </c>
      <c r="C2" s="9" t="n">
        <f aca="false">[1]Admin!$B$17</f>
        <v>46482</v>
      </c>
      <c r="D2" s="19" t="s">
        <v>3</v>
      </c>
      <c r="E2" s="20" t="s">
        <v>4</v>
      </c>
      <c r="F2" s="20" t="s">
        <v>5</v>
      </c>
      <c r="G2" s="21" t="s">
        <v>6</v>
      </c>
      <c r="H2" s="21"/>
      <c r="I2" s="21"/>
      <c r="J2" s="21"/>
      <c r="K2" s="13"/>
      <c r="L2" s="14" t="str">
        <f aca="false">IF(E1=0," ","Check all Receipts Code Letters entered")</f>
        <v> </v>
      </c>
      <c r="M2" s="14"/>
      <c r="N2" s="22" t="s">
        <v>7</v>
      </c>
      <c r="O2" s="21" t="s">
        <v>8</v>
      </c>
      <c r="P2" s="20" t="s">
        <v>4</v>
      </c>
      <c r="Q2" s="20" t="s">
        <v>9</v>
      </c>
      <c r="R2" s="21" t="s">
        <v>10</v>
      </c>
      <c r="S2" s="21"/>
      <c r="T2" s="21"/>
      <c r="U2" s="21"/>
      <c r="V2" s="21"/>
      <c r="W2" s="21"/>
      <c r="X2" s="21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46482</v>
      </c>
      <c r="D3" s="19"/>
      <c r="E3" s="20"/>
      <c r="F3" s="20"/>
      <c r="G3" s="21" t="s">
        <v>12</v>
      </c>
      <c r="H3" s="21" t="s">
        <v>13</v>
      </c>
      <c r="I3" s="21" t="s">
        <v>14</v>
      </c>
      <c r="J3" s="21" t="s">
        <v>15</v>
      </c>
      <c r="K3" s="13"/>
      <c r="L3" s="25"/>
      <c r="M3" s="26"/>
      <c r="N3" s="22"/>
      <c r="O3" s="21"/>
      <c r="P3" s="20"/>
      <c r="Q3" s="20"/>
      <c r="R3" s="21" t="s">
        <v>16</v>
      </c>
      <c r="S3" s="21" t="s">
        <v>17</v>
      </c>
      <c r="T3" s="21" t="s">
        <v>18</v>
      </c>
      <c r="U3" s="21" t="s">
        <v>19</v>
      </c>
      <c r="V3" s="21" t="s">
        <v>20</v>
      </c>
      <c r="W3" s="21" t="s">
        <v>21</v>
      </c>
      <c r="X3" s="21" t="s">
        <v>22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9.5" hidden="false" customHeight="true" outlineLevel="0" collapsed="false">
      <c r="A4" s="27" t="n">
        <f aca="false">A2-A3</f>
        <v>480</v>
      </c>
      <c r="B4" s="28" t="str">
        <f aca="false">IF(A4=0,"&lt;  Cash Balanced"," &lt; Check Cash Entries With Count")</f>
        <v> &lt; Check Cash Entries With Count</v>
      </c>
      <c r="C4" s="28"/>
      <c r="D4" s="19"/>
      <c r="E4" s="20"/>
      <c r="F4" s="20"/>
      <c r="G4" s="21"/>
      <c r="H4" s="21"/>
      <c r="I4" s="21"/>
      <c r="J4" s="21"/>
      <c r="K4" s="13"/>
      <c r="L4" s="29" t="s">
        <v>23</v>
      </c>
      <c r="M4" s="30" t="s">
        <v>24</v>
      </c>
      <c r="N4" s="22"/>
      <c r="O4" s="21"/>
      <c r="P4" s="20"/>
      <c r="Q4" s="20"/>
      <c r="R4" s="21"/>
      <c r="S4" s="21"/>
      <c r="T4" s="21"/>
      <c r="U4" s="21"/>
      <c r="V4" s="21"/>
      <c r="W4" s="21"/>
      <c r="X4" s="21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customFormat="false" ht="15" hidden="false" customHeight="true" outlineLevel="0" collapsed="false">
      <c r="A5" s="31" t="s">
        <v>25</v>
      </c>
      <c r="B5" s="32" t="s">
        <v>26</v>
      </c>
      <c r="C5" s="33" t="s">
        <v>27</v>
      </c>
      <c r="D5" s="19"/>
      <c r="E5" s="20"/>
      <c r="F5" s="20"/>
      <c r="G5" s="34" t="s">
        <v>28</v>
      </c>
      <c r="H5" s="34" t="s">
        <v>29</v>
      </c>
      <c r="I5" s="34" t="s">
        <v>30</v>
      </c>
      <c r="J5" s="34" t="s">
        <v>31</v>
      </c>
      <c r="K5" s="13"/>
      <c r="L5" s="29"/>
      <c r="M5" s="30"/>
      <c r="N5" s="22"/>
      <c r="O5" s="21"/>
      <c r="P5" s="20"/>
      <c r="Q5" s="20"/>
      <c r="R5" s="34" t="s">
        <v>28</v>
      </c>
      <c r="S5" s="34" t="s">
        <v>30</v>
      </c>
      <c r="T5" s="34" t="s">
        <v>29</v>
      </c>
      <c r="U5" s="34" t="s">
        <v>32</v>
      </c>
      <c r="V5" s="34" t="s">
        <v>33</v>
      </c>
      <c r="W5" s="34" t="s">
        <v>34</v>
      </c>
      <c r="X5" s="34" t="s">
        <v>31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customFormat="false" ht="12.65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IF(E6="DL",F6," ")</f>
        <v> </v>
      </c>
      <c r="K6" s="35"/>
      <c r="L6" s="1" t="n">
        <v>46466</v>
      </c>
      <c r="M6" s="4" t="s">
        <v>49</v>
      </c>
      <c r="N6" s="3" t="s">
        <v>50</v>
      </c>
      <c r="O6" s="3" t="s">
        <v>51</v>
      </c>
      <c r="P6" s="36" t="s">
        <v>30</v>
      </c>
      <c r="Q6" s="6" t="n">
        <v>12</v>
      </c>
      <c r="R6" s="6" t="str">
        <f aca="false">IF(P6="BB",Q6," ")</f>
        <v> </v>
      </c>
      <c r="S6" s="6" t="n">
        <f aca="false">IF(P6="CR",Q6," ")</f>
        <v>12</v>
      </c>
      <c r="T6" s="6" t="str">
        <f aca="false">IF(P6="DR",Q6," ")</f>
        <v> </v>
      </c>
      <c r="U6" s="6" t="str">
        <f aca="false">IF(P6="W",Q6," ")</f>
        <v> </v>
      </c>
      <c r="V6" s="6" t="str">
        <f aca="false">IF(P6="J",Q6," ")</f>
        <v> </v>
      </c>
      <c r="W6" s="6" t="str">
        <f aca="false">IF(P6="RP",Q6," ")</f>
        <v> </v>
      </c>
      <c r="X6" s="6" t="str">
        <f aca="false">IF(P6="DL",Q6," ")</f>
        <v> </v>
      </c>
    </row>
    <row r="7" customFormat="false" ht="12.65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IF(E7="DR",F7," ")</f>
        <v> </v>
      </c>
      <c r="I7" s="6" t="str">
        <f aca="false">IF(E7="CR",F7," ")</f>
        <v> </v>
      </c>
      <c r="J7" s="6" t="str">
        <f aca="false">IF(E7="DL",F7," ")</f>
        <v> </v>
      </c>
      <c r="K7" s="37"/>
      <c r="P7" s="36"/>
      <c r="R7" s="6" t="str">
        <f aca="false">IF(P7="BB",Q7," ")</f>
        <v> </v>
      </c>
      <c r="S7" s="6" t="str">
        <f aca="false">IF(P7="CR",Q7," ")</f>
        <v> </v>
      </c>
      <c r="T7" s="6" t="str">
        <f aca="false">IF(P7="DR",Q7," ")</f>
        <v> </v>
      </c>
      <c r="U7" s="6" t="str">
        <f aca="false">IF(P7="W",Q7," ")</f>
        <v> </v>
      </c>
      <c r="V7" s="6" t="str">
        <f aca="false">IF(P7="J",Q7," ")</f>
        <v> </v>
      </c>
      <c r="W7" s="6" t="str">
        <f aca="false">IF(P7="RP",Q7," ")</f>
        <v> </v>
      </c>
      <c r="X7" s="6" t="str">
        <f aca="false">IF(P7="DL",Q7," ")</f>
        <v> </v>
      </c>
    </row>
    <row r="8" customFormat="false" ht="12.65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IF(E8="DR",F8," ")</f>
        <v> </v>
      </c>
      <c r="I8" s="6" t="str">
        <f aca="false">IF(E8="CR",F8," ")</f>
        <v> </v>
      </c>
      <c r="J8" s="6" t="str">
        <f aca="false">IF(E8="DL",F8," ")</f>
        <v> </v>
      </c>
      <c r="K8" s="37"/>
      <c r="P8" s="36"/>
      <c r="R8" s="6" t="str">
        <f aca="false">IF(P8="BB",Q8," ")</f>
        <v> </v>
      </c>
      <c r="S8" s="6" t="str">
        <f aca="false">IF(P8="CR",Q8," ")</f>
        <v> </v>
      </c>
      <c r="T8" s="6" t="str">
        <f aca="false">IF(P8="DR",Q8," ")</f>
        <v> </v>
      </c>
      <c r="U8" s="6" t="str">
        <f aca="false">IF(P8="W",Q8," ")</f>
        <v> </v>
      </c>
      <c r="V8" s="6" t="str">
        <f aca="false">IF(P8="J",Q8," ")</f>
        <v> </v>
      </c>
      <c r="W8" s="6" t="str">
        <f aca="false">IF(P8="RP",Q8," ")</f>
        <v> </v>
      </c>
      <c r="X8" s="6" t="str">
        <f aca="false">IF(P8="DL",Q8," ")</f>
        <v> </v>
      </c>
    </row>
    <row r="9" customFormat="false" ht="12.65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IF(E9="DL",F9," ")</f>
        <v> </v>
      </c>
      <c r="K9" s="37"/>
      <c r="P9" s="36"/>
      <c r="R9" s="6" t="str">
        <f aca="false">IF(P9="BB",Q9," ")</f>
        <v> </v>
      </c>
      <c r="S9" s="6" t="str">
        <f aca="false">IF(P9="CR",Q9," ")</f>
        <v> </v>
      </c>
      <c r="T9" s="6" t="str">
        <f aca="false">IF(P9="DR",Q9," ")</f>
        <v> </v>
      </c>
      <c r="U9" s="6" t="str">
        <f aca="false">IF(P9="W",Q9," ")</f>
        <v> </v>
      </c>
      <c r="V9" s="6" t="str">
        <f aca="false">IF(P9="J",Q9," ")</f>
        <v> </v>
      </c>
      <c r="W9" s="6" t="str">
        <f aca="false">IF(P9="RP",Q9," ")</f>
        <v> </v>
      </c>
      <c r="X9" s="6" t="str">
        <f aca="false">IF(P9="DL",Q9," ")</f>
        <v> </v>
      </c>
    </row>
    <row r="10" customFormat="false" ht="12.65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IF(E10="DL",F10," ")</f>
        <v> </v>
      </c>
      <c r="K10" s="37"/>
      <c r="P10" s="36"/>
      <c r="R10" s="6" t="str">
        <f aca="false">IF(P10="BB",Q10," ")</f>
        <v> </v>
      </c>
      <c r="S10" s="6" t="str">
        <f aca="false">IF(P10="CR",Q10," ")</f>
        <v> </v>
      </c>
      <c r="T10" s="6" t="str">
        <f aca="false">IF(P10="DR",Q10," ")</f>
        <v> </v>
      </c>
      <c r="U10" s="6" t="str">
        <f aca="false">IF(P10="W",Q10," ")</f>
        <v> </v>
      </c>
      <c r="V10" s="6" t="str">
        <f aca="false">IF(P10="J",Q10," ")</f>
        <v> </v>
      </c>
      <c r="W10" s="6" t="str">
        <f aca="false">IF(P10="RP",Q10," ")</f>
        <v> </v>
      </c>
      <c r="X10" s="6" t="str">
        <f aca="false">IF(P10="DL",Q10," ")</f>
        <v> </v>
      </c>
    </row>
    <row r="11" customFormat="false" ht="12.65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IF(E11="DL",F11," ")</f>
        <v> </v>
      </c>
      <c r="K11" s="37"/>
      <c r="P11" s="36"/>
      <c r="R11" s="6" t="str">
        <f aca="false">IF(P11="BB",Q11," ")</f>
        <v> </v>
      </c>
      <c r="S11" s="6" t="str">
        <f aca="false">IF(P11="CR",Q11," ")</f>
        <v> </v>
      </c>
      <c r="T11" s="6" t="str">
        <f aca="false">IF(P11="DR",Q11," ")</f>
        <v> </v>
      </c>
      <c r="U11" s="6" t="str">
        <f aca="false">IF(P11="W",Q11," ")</f>
        <v> </v>
      </c>
      <c r="V11" s="6" t="str">
        <f aca="false">IF(P11="J",Q11," ")</f>
        <v> </v>
      </c>
      <c r="W11" s="6" t="str">
        <f aca="false">IF(P11="RP",Q11," ")</f>
        <v> </v>
      </c>
      <c r="X11" s="6" t="str">
        <f aca="false">IF(P11="DL",Q11," ")</f>
        <v> </v>
      </c>
    </row>
    <row r="12" customFormat="false" ht="12.65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IF(E12="DL",F12," ")</f>
        <v> </v>
      </c>
      <c r="K12" s="37"/>
      <c r="P12" s="36"/>
      <c r="R12" s="6" t="str">
        <f aca="false">IF(P12="BB",Q12," ")</f>
        <v> </v>
      </c>
      <c r="S12" s="6" t="str">
        <f aca="false">IF(P12="CR",Q12," ")</f>
        <v> </v>
      </c>
      <c r="T12" s="6" t="str">
        <f aca="false">IF(P12="DR",Q12," ")</f>
        <v> </v>
      </c>
      <c r="U12" s="6" t="str">
        <f aca="false">IF(P12="W",Q12," ")</f>
        <v> </v>
      </c>
      <c r="V12" s="6" t="str">
        <f aca="false">IF(P12="J",Q12," ")</f>
        <v> </v>
      </c>
      <c r="W12" s="6" t="str">
        <f aca="false">IF(P12="RP",Q12," ")</f>
        <v> </v>
      </c>
      <c r="X12" s="6" t="str">
        <f aca="false">IF(P12="DL",Q12," ")</f>
        <v> </v>
      </c>
    </row>
    <row r="13" customFormat="false" ht="12.65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IF(E13="DL",F13," ")</f>
        <v> </v>
      </c>
      <c r="K13" s="37"/>
      <c r="P13" s="36"/>
      <c r="R13" s="6" t="str">
        <f aca="false">IF(P13="BB",Q13," ")</f>
        <v> </v>
      </c>
      <c r="S13" s="6" t="str">
        <f aca="false">IF(P13="CR",Q13," ")</f>
        <v> </v>
      </c>
      <c r="T13" s="6" t="str">
        <f aca="false">IF(P13="DR",Q13," ")</f>
        <v> </v>
      </c>
      <c r="U13" s="6" t="str">
        <f aca="false">IF(P13="W",Q13," ")</f>
        <v> </v>
      </c>
      <c r="V13" s="6" t="str">
        <f aca="false">IF(P13="J",Q13," ")</f>
        <v> </v>
      </c>
      <c r="W13" s="6" t="str">
        <f aca="false">IF(P13="RP",Q13," ")</f>
        <v> </v>
      </c>
      <c r="X13" s="6" t="str">
        <f aca="false">IF(P13="DL",Q13," ")</f>
        <v> </v>
      </c>
    </row>
    <row r="14" customFormat="false" ht="12.65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IF(E14="DL",F14," ")</f>
        <v> </v>
      </c>
      <c r="K14" s="37"/>
      <c r="P14" s="36"/>
      <c r="R14" s="6" t="str">
        <f aca="false">IF(P14="BB",Q14," ")</f>
        <v> </v>
      </c>
      <c r="S14" s="6" t="str">
        <f aca="false">IF(P14="CR",Q14," ")</f>
        <v> </v>
      </c>
      <c r="T14" s="6" t="str">
        <f aca="false">IF(P14="DR",Q14," ")</f>
        <v> </v>
      </c>
      <c r="U14" s="6" t="str">
        <f aca="false">IF(P14="W",Q14," ")</f>
        <v> </v>
      </c>
      <c r="V14" s="6" t="str">
        <f aca="false">IF(P14="J",Q14," ")</f>
        <v> </v>
      </c>
      <c r="W14" s="6" t="str">
        <f aca="false">IF(P14="RP",Q14," ")</f>
        <v> </v>
      </c>
      <c r="X14" s="6" t="str">
        <f aca="false">IF(P14="DL",Q14," ")</f>
        <v> </v>
      </c>
    </row>
    <row r="15" customFormat="false" ht="12.65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IF(E15="DL",F15," ")</f>
        <v> </v>
      </c>
      <c r="K15" s="37"/>
      <c r="P15" s="36"/>
      <c r="R15" s="6" t="str">
        <f aca="false">IF(P15="BB",Q15," ")</f>
        <v> </v>
      </c>
      <c r="S15" s="6" t="str">
        <f aca="false">IF(P15="CR",Q15," ")</f>
        <v> </v>
      </c>
      <c r="T15" s="6" t="str">
        <f aca="false">IF(P15="DR",Q15," ")</f>
        <v> </v>
      </c>
      <c r="U15" s="6" t="str">
        <f aca="false">IF(P15="W",Q15," ")</f>
        <v> </v>
      </c>
      <c r="V15" s="6" t="str">
        <f aca="false">IF(P15="J",Q15," ")</f>
        <v> </v>
      </c>
      <c r="W15" s="6" t="str">
        <f aca="false">IF(P15="RP",Q15," ")</f>
        <v> </v>
      </c>
      <c r="X15" s="6" t="str">
        <f aca="false">IF(P15="DL",Q15," ")</f>
        <v> </v>
      </c>
    </row>
    <row r="16" customFormat="false" ht="12.65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IF(E16="DL",F16," ")</f>
        <v> </v>
      </c>
      <c r="K16" s="37"/>
      <c r="P16" s="36"/>
      <c r="R16" s="6" t="str">
        <f aca="false">IF(P16="BB",Q16," ")</f>
        <v> </v>
      </c>
      <c r="S16" s="6" t="str">
        <f aca="false">IF(P16="CR",Q16," ")</f>
        <v> </v>
      </c>
      <c r="T16" s="6" t="str">
        <f aca="false">IF(P16="DR",Q16," ")</f>
        <v> </v>
      </c>
      <c r="U16" s="6" t="str">
        <f aca="false">IF(P16="W",Q16," ")</f>
        <v> </v>
      </c>
      <c r="V16" s="6" t="str">
        <f aca="false">IF(P16="J",Q16," ")</f>
        <v> </v>
      </c>
      <c r="W16" s="6" t="str">
        <f aca="false">IF(P16="RP",Q16," ")</f>
        <v> </v>
      </c>
      <c r="X16" s="6" t="str">
        <f aca="false">IF(P16="DL",Q16," ")</f>
        <v> </v>
      </c>
    </row>
    <row r="17" customFormat="false" ht="12.65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IF(E17="DL",F17," ")</f>
        <v> </v>
      </c>
      <c r="K17" s="37"/>
      <c r="P17" s="36"/>
      <c r="R17" s="6" t="str">
        <f aca="false">IF(P17="BB",Q17," ")</f>
        <v> </v>
      </c>
      <c r="S17" s="6" t="str">
        <f aca="false">IF(P17="CR",Q17," ")</f>
        <v> </v>
      </c>
      <c r="T17" s="6" t="str">
        <f aca="false">IF(P17="DR",Q17," ")</f>
        <v> </v>
      </c>
      <c r="U17" s="6" t="str">
        <f aca="false">IF(P17="W",Q17," ")</f>
        <v> </v>
      </c>
      <c r="V17" s="6" t="str">
        <f aca="false">IF(P17="J",Q17," ")</f>
        <v> </v>
      </c>
      <c r="W17" s="6" t="str">
        <f aca="false">IF(P17="RP",Q17," ")</f>
        <v> </v>
      </c>
      <c r="X17" s="6" t="str">
        <f aca="false">IF(P17="DL",Q17," ")</f>
        <v> </v>
      </c>
    </row>
    <row r="18" customFormat="false" ht="12.65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IF(E18="DL",F18," ")</f>
        <v> </v>
      </c>
      <c r="K18" s="37"/>
      <c r="P18" s="36"/>
      <c r="R18" s="6" t="str">
        <f aca="false">IF(P18="BB",Q18," ")</f>
        <v> </v>
      </c>
      <c r="S18" s="6" t="str">
        <f aca="false">IF(P18="CR",Q18," ")</f>
        <v> </v>
      </c>
      <c r="T18" s="6" t="str">
        <f aca="false">IF(P18="DR",Q18," ")</f>
        <v> </v>
      </c>
      <c r="U18" s="6" t="str">
        <f aca="false">IF(P18="W",Q18," ")</f>
        <v> </v>
      </c>
      <c r="V18" s="6" t="str">
        <f aca="false">IF(P18="J",Q18," ")</f>
        <v> </v>
      </c>
      <c r="W18" s="6" t="str">
        <f aca="false">IF(P18="RP",Q18," ")</f>
        <v> </v>
      </c>
      <c r="X18" s="6" t="str">
        <f aca="false">IF(P18="DL",Q18," ")</f>
        <v> </v>
      </c>
    </row>
    <row r="19" customFormat="false" ht="12.65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IF(E19="DL",F19," ")</f>
        <v> </v>
      </c>
      <c r="K19" s="37"/>
      <c r="P19" s="36"/>
      <c r="R19" s="6" t="str">
        <f aca="false">IF(P19="BB",Q19," ")</f>
        <v> </v>
      </c>
      <c r="S19" s="6" t="str">
        <f aca="false">IF(P19="CR",Q19," ")</f>
        <v> </v>
      </c>
      <c r="T19" s="6" t="str">
        <f aca="false">IF(P19="DR",Q19," ")</f>
        <v> </v>
      </c>
      <c r="U19" s="6" t="str">
        <f aca="false">IF(P19="W",Q19," ")</f>
        <v> </v>
      </c>
      <c r="V19" s="6" t="str">
        <f aca="false">IF(P19="J",Q19," ")</f>
        <v> </v>
      </c>
      <c r="W19" s="6" t="str">
        <f aca="false">IF(P19="RP",Q19," ")</f>
        <v> </v>
      </c>
      <c r="X19" s="6" t="str">
        <f aca="false">IF(P19="DL",Q19," ")</f>
        <v> </v>
      </c>
    </row>
    <row r="20" customFormat="false" ht="12.65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IF(E20="DL",F20," ")</f>
        <v> </v>
      </c>
      <c r="K20" s="37"/>
      <c r="P20" s="36"/>
      <c r="R20" s="6" t="str">
        <f aca="false">IF(P20="BB",Q20," ")</f>
        <v> </v>
      </c>
      <c r="S20" s="6" t="str">
        <f aca="false">IF(P20="CR",Q20," ")</f>
        <v> </v>
      </c>
      <c r="T20" s="6" t="str">
        <f aca="false">IF(P20="DR",Q20," ")</f>
        <v> </v>
      </c>
      <c r="U20" s="6" t="str">
        <f aca="false">IF(P20="W",Q20," ")</f>
        <v> </v>
      </c>
      <c r="V20" s="6" t="str">
        <f aca="false">IF(P20="J",Q20," ")</f>
        <v> </v>
      </c>
      <c r="W20" s="6" t="str">
        <f aca="false">IF(P20="RP",Q20," ")</f>
        <v> </v>
      </c>
      <c r="X20" s="6" t="str">
        <f aca="false">IF(P20="DL",Q20," ")</f>
        <v> </v>
      </c>
    </row>
    <row r="21" customFormat="false" ht="12.65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IF(E21="DL",F21," ")</f>
        <v> </v>
      </c>
      <c r="K21" s="37"/>
      <c r="P21" s="36"/>
      <c r="R21" s="6" t="str">
        <f aca="false">IF(P21="BB",Q21," ")</f>
        <v> </v>
      </c>
      <c r="S21" s="6" t="str">
        <f aca="false">IF(P21="CR",Q21," ")</f>
        <v> </v>
      </c>
      <c r="T21" s="6" t="str">
        <f aca="false">IF(P21="DR",Q21," ")</f>
        <v> </v>
      </c>
      <c r="U21" s="6" t="str">
        <f aca="false">IF(P21="W",Q21," ")</f>
        <v> </v>
      </c>
      <c r="V21" s="6" t="str">
        <f aca="false">IF(P21="J",Q21," ")</f>
        <v> </v>
      </c>
      <c r="W21" s="6" t="str">
        <f aca="false">IF(P21="RP",Q21," ")</f>
        <v> </v>
      </c>
      <c r="X21" s="6" t="str">
        <f aca="false">IF(P21="DL",Q21," ")</f>
        <v> </v>
      </c>
    </row>
    <row r="22" customFormat="false" ht="12.65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IF(E22="DL",F22," ")</f>
        <v> </v>
      </c>
      <c r="K22" s="37"/>
      <c r="P22" s="36"/>
      <c r="R22" s="6" t="str">
        <f aca="false">IF(P22="BB",Q22," ")</f>
        <v> </v>
      </c>
      <c r="S22" s="6" t="str">
        <f aca="false">IF(P22="CR",Q22," ")</f>
        <v> </v>
      </c>
      <c r="T22" s="6" t="str">
        <f aca="false">IF(P22="DR",Q22," ")</f>
        <v> </v>
      </c>
      <c r="U22" s="6" t="str">
        <f aca="false">IF(P22="W",Q22," ")</f>
        <v> </v>
      </c>
      <c r="V22" s="6" t="str">
        <f aca="false">IF(P22="J",Q22," ")</f>
        <v> </v>
      </c>
      <c r="W22" s="6" t="str">
        <f aca="false">IF(P22="RP",Q22," ")</f>
        <v> </v>
      </c>
      <c r="X22" s="6" t="str">
        <f aca="false">IF(P22="DL",Q22," ")</f>
        <v> </v>
      </c>
    </row>
    <row r="23" customFormat="false" ht="12.65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IF(E23="DL",F23," ")</f>
        <v> </v>
      </c>
      <c r="K23" s="37"/>
      <c r="P23" s="36"/>
      <c r="R23" s="6" t="str">
        <f aca="false">IF(P23="BB",Q23," ")</f>
        <v> </v>
      </c>
      <c r="S23" s="6" t="str">
        <f aca="false">IF(P23="CR",Q23," ")</f>
        <v> </v>
      </c>
      <c r="T23" s="6" t="str">
        <f aca="false">IF(P23="DR",Q23," ")</f>
        <v> </v>
      </c>
      <c r="U23" s="6" t="str">
        <f aca="false">IF(P23="W",Q23," ")</f>
        <v> </v>
      </c>
      <c r="V23" s="6" t="str">
        <f aca="false">IF(P23="J",Q23," ")</f>
        <v> </v>
      </c>
      <c r="W23" s="6" t="str">
        <f aca="false">IF(P23="RP",Q23," ")</f>
        <v> </v>
      </c>
      <c r="X23" s="6" t="str">
        <f aca="false">IF(P23="DL",Q23," ")</f>
        <v> </v>
      </c>
    </row>
    <row r="24" customFormat="false" ht="12.65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IF(E24="DL",F24," ")</f>
        <v> </v>
      </c>
      <c r="K24" s="37"/>
      <c r="P24" s="36"/>
      <c r="R24" s="6" t="str">
        <f aca="false">IF(P24="BB",Q24," ")</f>
        <v> </v>
      </c>
      <c r="S24" s="6" t="str">
        <f aca="false">IF(P24="CR",Q24," ")</f>
        <v> </v>
      </c>
      <c r="T24" s="6" t="str">
        <f aca="false">IF(P24="DR",Q24," ")</f>
        <v> </v>
      </c>
      <c r="U24" s="6" t="str">
        <f aca="false">IF(P24="W",Q24," ")</f>
        <v> </v>
      </c>
      <c r="V24" s="6" t="str">
        <f aca="false">IF(P24="J",Q24," ")</f>
        <v> </v>
      </c>
      <c r="W24" s="6" t="str">
        <f aca="false">IF(P24="RP",Q24," ")</f>
        <v> </v>
      </c>
      <c r="X24" s="6" t="str">
        <f aca="false">IF(P24="DL",Q24," ")</f>
        <v> </v>
      </c>
    </row>
    <row r="25" customFormat="false" ht="12.65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IF(E25="DL",F25," ")</f>
        <v> </v>
      </c>
      <c r="K25" s="37"/>
      <c r="P25" s="36"/>
      <c r="R25" s="6" t="str">
        <f aca="false">IF(P25="BB",Q25," ")</f>
        <v> </v>
      </c>
      <c r="S25" s="6" t="str">
        <f aca="false">IF(P25="CR",Q25," ")</f>
        <v> </v>
      </c>
      <c r="T25" s="6" t="str">
        <f aca="false">IF(P25="DR",Q25," ")</f>
        <v> </v>
      </c>
      <c r="U25" s="6" t="str">
        <f aca="false">IF(P25="W",Q25," ")</f>
        <v> </v>
      </c>
      <c r="V25" s="6" t="str">
        <f aca="false">IF(P25="J",Q25," ")</f>
        <v> </v>
      </c>
      <c r="W25" s="6" t="str">
        <f aca="false">IF(P25="RP",Q25," ")</f>
        <v> </v>
      </c>
      <c r="X25" s="6" t="str">
        <f aca="false">IF(P25="DL",Q25," ")</f>
        <v> </v>
      </c>
    </row>
    <row r="26" customFormat="false" ht="12.65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IF(E26="DL",F26," ")</f>
        <v> </v>
      </c>
      <c r="K26" s="37"/>
      <c r="P26" s="36"/>
      <c r="R26" s="6" t="str">
        <f aca="false">IF(P26="BB",Q26," ")</f>
        <v> </v>
      </c>
      <c r="S26" s="6" t="str">
        <f aca="false">IF(P26="CR",Q26," ")</f>
        <v> </v>
      </c>
      <c r="T26" s="6" t="str">
        <f aca="false">IF(P26="DR",Q26," ")</f>
        <v> </v>
      </c>
      <c r="U26" s="6" t="str">
        <f aca="false">IF(P26="W",Q26," ")</f>
        <v> </v>
      </c>
      <c r="V26" s="6" t="str">
        <f aca="false">IF(P26="J",Q26," ")</f>
        <v> </v>
      </c>
      <c r="W26" s="6" t="str">
        <f aca="false">IF(P26="RP",Q26," ")</f>
        <v> </v>
      </c>
      <c r="X26" s="6" t="str">
        <f aca="false">IF(P26="DL",Q26," ")</f>
        <v> </v>
      </c>
    </row>
    <row r="27" customFormat="false" ht="12.65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IF(E27="DL",F27," ")</f>
        <v> </v>
      </c>
      <c r="K27" s="37"/>
      <c r="P27" s="36"/>
      <c r="R27" s="6" t="str">
        <f aca="false">IF(P27="BB",Q27," ")</f>
        <v> </v>
      </c>
      <c r="S27" s="6" t="str">
        <f aca="false">IF(P27="CR",Q27," ")</f>
        <v> </v>
      </c>
      <c r="T27" s="6" t="str">
        <f aca="false">IF(P27="DR",Q27," ")</f>
        <v> </v>
      </c>
      <c r="U27" s="6" t="str">
        <f aca="false">IF(P27="W",Q27," ")</f>
        <v> </v>
      </c>
      <c r="V27" s="6" t="str">
        <f aca="false">IF(P27="J",Q27," ")</f>
        <v> </v>
      </c>
      <c r="W27" s="6" t="str">
        <f aca="false">IF(P27="RP",Q27," ")</f>
        <v> </v>
      </c>
      <c r="X27" s="6" t="str">
        <f aca="false">IF(P27="DL",Q27," ")</f>
        <v> </v>
      </c>
    </row>
    <row r="28" customFormat="false" ht="12.65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IF(E28="DL",F28," ")</f>
        <v> </v>
      </c>
      <c r="K28" s="37"/>
      <c r="P28" s="36"/>
      <c r="R28" s="6" t="str">
        <f aca="false">IF(P28="BB",Q28," ")</f>
        <v> </v>
      </c>
      <c r="S28" s="6" t="str">
        <f aca="false">IF(P28="CR",Q28," ")</f>
        <v> </v>
      </c>
      <c r="T28" s="6" t="str">
        <f aca="false">IF(P28="DR",Q28," ")</f>
        <v> </v>
      </c>
      <c r="U28" s="6" t="str">
        <f aca="false">IF(P28="W",Q28," ")</f>
        <v> </v>
      </c>
      <c r="V28" s="6" t="str">
        <f aca="false">IF(P28="J",Q28," ")</f>
        <v> </v>
      </c>
      <c r="W28" s="6" t="str">
        <f aca="false">IF(P28="RP",Q28," ")</f>
        <v> </v>
      </c>
      <c r="X28" s="6" t="str">
        <f aca="false">IF(P28="DL",Q28," ")</f>
        <v> </v>
      </c>
    </row>
    <row r="29" customFormat="false" ht="12.65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IF(E29="DL",F29," ")</f>
        <v> </v>
      </c>
      <c r="K29" s="37"/>
      <c r="P29" s="36"/>
      <c r="R29" s="6" t="str">
        <f aca="false">IF(P29="BB",Q29," ")</f>
        <v> </v>
      </c>
      <c r="S29" s="6" t="str">
        <f aca="false">IF(P29="CR",Q29," ")</f>
        <v> </v>
      </c>
      <c r="T29" s="6" t="str">
        <f aca="false">IF(P29="DR",Q29," ")</f>
        <v> </v>
      </c>
      <c r="U29" s="6" t="str">
        <f aca="false">IF(P29="W",Q29," ")</f>
        <v> </v>
      </c>
      <c r="V29" s="6" t="str">
        <f aca="false">IF(P29="J",Q29," ")</f>
        <v> </v>
      </c>
      <c r="W29" s="6" t="str">
        <f aca="false">IF(P29="RP",Q29," ")</f>
        <v> </v>
      </c>
      <c r="X29" s="6" t="str">
        <f aca="false">IF(P29="DL",Q29," ")</f>
        <v> </v>
      </c>
    </row>
    <row r="30" customFormat="false" ht="12.65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IF(E30="DL",F30," ")</f>
        <v> </v>
      </c>
      <c r="K30" s="37"/>
      <c r="P30" s="36"/>
      <c r="R30" s="6" t="str">
        <f aca="false">IF(P30="BB",Q30," ")</f>
        <v> </v>
      </c>
      <c r="S30" s="6" t="str">
        <f aca="false">IF(P30="CR",Q30," ")</f>
        <v> </v>
      </c>
      <c r="T30" s="6" t="str">
        <f aca="false">IF(P30="DR",Q30," ")</f>
        <v> </v>
      </c>
      <c r="U30" s="6" t="str">
        <f aca="false">IF(P30="W",Q30," ")</f>
        <v> </v>
      </c>
      <c r="V30" s="6" t="str">
        <f aca="false">IF(P30="J",Q30," ")</f>
        <v> </v>
      </c>
      <c r="W30" s="6" t="str">
        <f aca="false">IF(P30="RP",Q30," ")</f>
        <v> </v>
      </c>
      <c r="X30" s="6" t="str">
        <f aca="false">IF(P30="DL",Q30," ")</f>
        <v> </v>
      </c>
    </row>
    <row r="31" customFormat="false" ht="12.65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IF(E31="DL",F31," ")</f>
        <v> </v>
      </c>
      <c r="K31" s="37"/>
      <c r="P31" s="36"/>
      <c r="R31" s="6" t="str">
        <f aca="false">IF(P31="BB",Q31," ")</f>
        <v> </v>
      </c>
      <c r="S31" s="6" t="str">
        <f aca="false">IF(P31="CR",Q31," ")</f>
        <v> </v>
      </c>
      <c r="T31" s="6" t="str">
        <f aca="false">IF(P31="DR",Q31," ")</f>
        <v> </v>
      </c>
      <c r="U31" s="6" t="str">
        <f aca="false">IF(P31="W",Q31," ")</f>
        <v> </v>
      </c>
      <c r="V31" s="6" t="str">
        <f aca="false">IF(P31="J",Q31," ")</f>
        <v> </v>
      </c>
      <c r="W31" s="6" t="str">
        <f aca="false">IF(P31="RP",Q31," ")</f>
        <v> </v>
      </c>
      <c r="X31" s="6" t="str">
        <f aca="false">IF(P31="DL",Q31," ")</f>
        <v> </v>
      </c>
    </row>
    <row r="32" customFormat="false" ht="12.65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IF(E32="DL",F32," ")</f>
        <v> </v>
      </c>
      <c r="K32" s="37"/>
      <c r="P32" s="36"/>
      <c r="R32" s="6" t="str">
        <f aca="false">IF(P32="BB",Q32," ")</f>
        <v> </v>
      </c>
      <c r="S32" s="6" t="str">
        <f aca="false">IF(P32="CR",Q32," ")</f>
        <v> </v>
      </c>
      <c r="T32" s="6" t="str">
        <f aca="false">IF(P32="DR",Q32," ")</f>
        <v> </v>
      </c>
      <c r="U32" s="6" t="str">
        <f aca="false">IF(P32="W",Q32," ")</f>
        <v> </v>
      </c>
      <c r="V32" s="6" t="str">
        <f aca="false">IF(P32="J",Q32," ")</f>
        <v> </v>
      </c>
      <c r="W32" s="6" t="str">
        <f aca="false">IF(P32="RP",Q32," ")</f>
        <v> </v>
      </c>
      <c r="X32" s="6" t="str">
        <f aca="false">IF(P32="DL",Q32," ")</f>
        <v> </v>
      </c>
    </row>
    <row r="33" customFormat="false" ht="12.65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IF(E33="DL",F33," ")</f>
        <v> </v>
      </c>
      <c r="K33" s="37"/>
      <c r="P33" s="36"/>
      <c r="R33" s="6" t="str">
        <f aca="false">IF(P33="BB",Q33," ")</f>
        <v> </v>
      </c>
      <c r="S33" s="6" t="str">
        <f aca="false">IF(P33="CR",Q33," ")</f>
        <v> </v>
      </c>
      <c r="T33" s="6" t="str">
        <f aca="false">IF(P33="DR",Q33," ")</f>
        <v> </v>
      </c>
      <c r="U33" s="6" t="str">
        <f aca="false">IF(P33="W",Q33," ")</f>
        <v> </v>
      </c>
      <c r="V33" s="6" t="str">
        <f aca="false">IF(P33="J",Q33," ")</f>
        <v> </v>
      </c>
      <c r="W33" s="6" t="str">
        <f aca="false">IF(P33="RP",Q33," ")</f>
        <v> </v>
      </c>
      <c r="X33" s="6" t="str">
        <f aca="false">IF(P33="DL",Q33," ")</f>
        <v> </v>
      </c>
    </row>
    <row r="34" customFormat="false" ht="12.65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IF(E34="DL",F34," ")</f>
        <v> </v>
      </c>
      <c r="K34" s="37"/>
      <c r="P34" s="36"/>
      <c r="R34" s="6" t="str">
        <f aca="false">IF(P34="BB",Q34," ")</f>
        <v> </v>
      </c>
      <c r="S34" s="6" t="str">
        <f aca="false">IF(P34="CR",Q34," ")</f>
        <v> </v>
      </c>
      <c r="T34" s="6" t="str">
        <f aca="false">IF(P34="DR",Q34," ")</f>
        <v> </v>
      </c>
      <c r="U34" s="6" t="str">
        <f aca="false">IF(P34="W",Q34," ")</f>
        <v> </v>
      </c>
      <c r="V34" s="6" t="str">
        <f aca="false">IF(P34="J",Q34," ")</f>
        <v> </v>
      </c>
      <c r="W34" s="6" t="str">
        <f aca="false">IF(P34="RP",Q34," ")</f>
        <v> </v>
      </c>
      <c r="X34" s="6" t="str">
        <f aca="false">IF(P34="DL",Q34," ")</f>
        <v> </v>
      </c>
    </row>
    <row r="35" customFormat="false" ht="12.65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IF(E35="DL",F35," ")</f>
        <v> </v>
      </c>
      <c r="K35" s="37"/>
      <c r="P35" s="36"/>
      <c r="R35" s="6" t="str">
        <f aca="false">IF(P35="BB",Q35," ")</f>
        <v> </v>
      </c>
      <c r="S35" s="6" t="str">
        <f aca="false">IF(P35="CR",Q35," ")</f>
        <v> </v>
      </c>
      <c r="T35" s="6" t="str">
        <f aca="false">IF(P35="DR",Q35," ")</f>
        <v> </v>
      </c>
      <c r="U35" s="6" t="str">
        <f aca="false">IF(P35="W",Q35," ")</f>
        <v> </v>
      </c>
      <c r="V35" s="6" t="str">
        <f aca="false">IF(P35="J",Q35," ")</f>
        <v> </v>
      </c>
      <c r="W35" s="6" t="str">
        <f aca="false">IF(P35="RP",Q35," ")</f>
        <v> </v>
      </c>
      <c r="X35" s="6" t="str">
        <f aca="false">IF(P35="DL",Q35," ")</f>
        <v> </v>
      </c>
    </row>
    <row r="36" customFormat="false" ht="12.65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IF(E36="DL",F36," ")</f>
        <v> </v>
      </c>
      <c r="K36" s="37"/>
      <c r="P36" s="36"/>
      <c r="R36" s="6" t="str">
        <f aca="false">IF(P36="BB",Q36," ")</f>
        <v> </v>
      </c>
      <c r="S36" s="6" t="str">
        <f aca="false">IF(P36="CR",Q36," ")</f>
        <v> </v>
      </c>
      <c r="T36" s="6" t="str">
        <f aca="false">IF(P36="DR",Q36," ")</f>
        <v> </v>
      </c>
      <c r="U36" s="6" t="str">
        <f aca="false">IF(P36="W",Q36," ")</f>
        <v> </v>
      </c>
      <c r="V36" s="6" t="str">
        <f aca="false">IF(P36="J",Q36," ")</f>
        <v> </v>
      </c>
      <c r="W36" s="6" t="str">
        <f aca="false">IF(P36="RP",Q36," ")</f>
        <v> </v>
      </c>
      <c r="X36" s="6" t="str">
        <f aca="false">IF(P36="DL",Q36," ")</f>
        <v> </v>
      </c>
    </row>
    <row r="37" customFormat="false" ht="12.65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IF(E37="DL",F37," ")</f>
        <v> </v>
      </c>
      <c r="K37" s="37"/>
      <c r="P37" s="36"/>
      <c r="R37" s="6" t="str">
        <f aca="false">IF(P37="BB",Q37," ")</f>
        <v> </v>
      </c>
      <c r="S37" s="6" t="str">
        <f aca="false">IF(P37="CR",Q37," ")</f>
        <v> </v>
      </c>
      <c r="T37" s="6" t="str">
        <f aca="false">IF(P37="DR",Q37," ")</f>
        <v> </v>
      </c>
      <c r="U37" s="6" t="str">
        <f aca="false">IF(P37="W",Q37," ")</f>
        <v> </v>
      </c>
      <c r="V37" s="6" t="str">
        <f aca="false">IF(P37="J",Q37," ")</f>
        <v> </v>
      </c>
      <c r="W37" s="6" t="str">
        <f aca="false">IF(P37="RP",Q37," ")</f>
        <v> </v>
      </c>
      <c r="X37" s="6" t="str">
        <f aca="false">IF(P37="DL",Q37," ")</f>
        <v> </v>
      </c>
    </row>
    <row r="38" customFormat="false" ht="12.65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IF(E38="DL",F38," ")</f>
        <v> </v>
      </c>
      <c r="K38" s="37"/>
      <c r="P38" s="36"/>
      <c r="R38" s="6" t="str">
        <f aca="false">IF(P38="BB",Q38," ")</f>
        <v> </v>
      </c>
      <c r="S38" s="6" t="str">
        <f aca="false">IF(P38="CR",Q38," ")</f>
        <v> </v>
      </c>
      <c r="T38" s="6" t="str">
        <f aca="false">IF(P38="DR",Q38," ")</f>
        <v> </v>
      </c>
      <c r="U38" s="6" t="str">
        <f aca="false">IF(P38="W",Q38," ")</f>
        <v> </v>
      </c>
      <c r="V38" s="6" t="str">
        <f aca="false">IF(P38="J",Q38," ")</f>
        <v> </v>
      </c>
      <c r="W38" s="6" t="str">
        <f aca="false">IF(P38="RP",Q38," ")</f>
        <v> </v>
      </c>
      <c r="X38" s="6" t="str">
        <f aca="false">IF(P38="DL",Q38," ")</f>
        <v> </v>
      </c>
    </row>
    <row r="39" customFormat="false" ht="12.65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IF(E39="DL",F39," ")</f>
        <v> </v>
      </c>
      <c r="K39" s="37"/>
      <c r="P39" s="36"/>
      <c r="R39" s="6" t="str">
        <f aca="false">IF(P39="BB",Q39," ")</f>
        <v> </v>
      </c>
      <c r="S39" s="6" t="str">
        <f aca="false">IF(P39="CR",Q39," ")</f>
        <v> </v>
      </c>
      <c r="T39" s="6" t="str">
        <f aca="false">IF(P39="DR",Q39," ")</f>
        <v> </v>
      </c>
      <c r="U39" s="6" t="str">
        <f aca="false">IF(P39="W",Q39," ")</f>
        <v> </v>
      </c>
      <c r="V39" s="6" t="str">
        <f aca="false">IF(P39="J",Q39," ")</f>
        <v> </v>
      </c>
      <c r="W39" s="6" t="str">
        <f aca="false">IF(P39="RP",Q39," ")</f>
        <v> </v>
      </c>
      <c r="X39" s="6" t="str">
        <f aca="false">IF(P39="DL",Q39," ")</f>
        <v> </v>
      </c>
    </row>
    <row r="40" customFormat="false" ht="12.65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IF(E40="DL",F40," ")</f>
        <v> </v>
      </c>
      <c r="K40" s="37"/>
      <c r="P40" s="36"/>
      <c r="R40" s="6" t="str">
        <f aca="false">IF(P40="BB",Q40," ")</f>
        <v> </v>
      </c>
      <c r="S40" s="6" t="str">
        <f aca="false">IF(P40="CR",Q40," ")</f>
        <v> </v>
      </c>
      <c r="T40" s="6" t="str">
        <f aca="false">IF(P40="DR",Q40," ")</f>
        <v> </v>
      </c>
      <c r="U40" s="6" t="str">
        <f aca="false">IF(P40="W",Q40," ")</f>
        <v> </v>
      </c>
      <c r="V40" s="6" t="str">
        <f aca="false">IF(P40="J",Q40," ")</f>
        <v> </v>
      </c>
      <c r="W40" s="6" t="str">
        <f aca="false">IF(P40="RP",Q40," ")</f>
        <v> </v>
      </c>
      <c r="X40" s="6" t="str">
        <f aca="false">IF(P40="DL",Q40," ")</f>
        <v> </v>
      </c>
    </row>
    <row r="41" customFormat="false" ht="12.65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IF(E41="DL",F41," ")</f>
        <v> </v>
      </c>
      <c r="K41" s="37"/>
      <c r="P41" s="36"/>
      <c r="R41" s="6" t="str">
        <f aca="false">IF(P41="BB",Q41," ")</f>
        <v> </v>
      </c>
      <c r="S41" s="6" t="str">
        <f aca="false">IF(P41="CR",Q41," ")</f>
        <v> </v>
      </c>
      <c r="T41" s="6" t="str">
        <f aca="false">IF(P41="DR",Q41," ")</f>
        <v> </v>
      </c>
      <c r="U41" s="6" t="str">
        <f aca="false">IF(P41="W",Q41," ")</f>
        <v> </v>
      </c>
      <c r="V41" s="6" t="str">
        <f aca="false">IF(P41="J",Q41," ")</f>
        <v> </v>
      </c>
      <c r="W41" s="6" t="str">
        <f aca="false">IF(P41="RP",Q41," ")</f>
        <v> </v>
      </c>
      <c r="X41" s="6" t="str">
        <f aca="false">IF(P41="DL",Q41," ")</f>
        <v> </v>
      </c>
    </row>
    <row r="42" customFormat="false" ht="12.65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IF(E42="DL",F42," ")</f>
        <v> </v>
      </c>
      <c r="K42" s="37"/>
      <c r="P42" s="36"/>
      <c r="R42" s="6" t="str">
        <f aca="false">IF(P42="BB",Q42," ")</f>
        <v> </v>
      </c>
      <c r="S42" s="6" t="str">
        <f aca="false">IF(P42="CR",Q42," ")</f>
        <v> </v>
      </c>
      <c r="T42" s="6" t="str">
        <f aca="false">IF(P42="DR",Q42," ")</f>
        <v> </v>
      </c>
      <c r="U42" s="6" t="str">
        <f aca="false">IF(P42="W",Q42," ")</f>
        <v> </v>
      </c>
      <c r="V42" s="6" t="str">
        <f aca="false">IF(P42="J",Q42," ")</f>
        <v> </v>
      </c>
      <c r="W42" s="6" t="str">
        <f aca="false">IF(P42="RP",Q42," ")</f>
        <v> </v>
      </c>
      <c r="X42" s="6" t="str">
        <f aca="false">IF(P42="DL",Q42," ")</f>
        <v> </v>
      </c>
    </row>
    <row r="43" customFormat="false" ht="12.65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IF(E43="DL",F43," ")</f>
        <v> </v>
      </c>
      <c r="K43" s="37"/>
      <c r="P43" s="36"/>
      <c r="R43" s="6" t="str">
        <f aca="false">IF(P43="BB",Q43," ")</f>
        <v> </v>
      </c>
      <c r="S43" s="6" t="str">
        <f aca="false">IF(P43="CR",Q43," ")</f>
        <v> </v>
      </c>
      <c r="T43" s="6" t="str">
        <f aca="false">IF(P43="DR",Q43," ")</f>
        <v> </v>
      </c>
      <c r="U43" s="6" t="str">
        <f aca="false">IF(P43="W",Q43," ")</f>
        <v> </v>
      </c>
      <c r="V43" s="6" t="str">
        <f aca="false">IF(P43="J",Q43," ")</f>
        <v> </v>
      </c>
      <c r="W43" s="6" t="str">
        <f aca="false">IF(P43="RP",Q43," ")</f>
        <v> </v>
      </c>
      <c r="X43" s="6" t="str">
        <f aca="false">IF(P43="DL",Q43," ")</f>
        <v> </v>
      </c>
    </row>
    <row r="44" customFormat="false" ht="12.65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IF(E44="DL",F44," ")</f>
        <v> </v>
      </c>
      <c r="K44" s="37"/>
      <c r="P44" s="36"/>
      <c r="R44" s="6" t="str">
        <f aca="false">IF(P44="BB",Q44," ")</f>
        <v> </v>
      </c>
      <c r="S44" s="6" t="str">
        <f aca="false">IF(P44="CR",Q44," ")</f>
        <v> </v>
      </c>
      <c r="T44" s="6" t="str">
        <f aca="false">IF(P44="DR",Q44," ")</f>
        <v> </v>
      </c>
      <c r="U44" s="6" t="str">
        <f aca="false">IF(P44="W",Q44," ")</f>
        <v> </v>
      </c>
      <c r="V44" s="6" t="str">
        <f aca="false">IF(P44="J",Q44," ")</f>
        <v> </v>
      </c>
      <c r="W44" s="6" t="str">
        <f aca="false">IF(P44="RP",Q44," ")</f>
        <v> </v>
      </c>
      <c r="X44" s="6" t="str">
        <f aca="false">IF(P44="DL",Q44," ")</f>
        <v> </v>
      </c>
    </row>
    <row r="45" customFormat="false" ht="12.65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IF(E45="DL",F45," ")</f>
        <v> </v>
      </c>
      <c r="K45" s="37"/>
      <c r="P45" s="36"/>
      <c r="R45" s="6" t="str">
        <f aca="false">IF(P45="BB",Q45," ")</f>
        <v> </v>
      </c>
      <c r="S45" s="6" t="str">
        <f aca="false">IF(P45="CR",Q45," ")</f>
        <v> </v>
      </c>
      <c r="T45" s="6" t="str">
        <f aca="false">IF(P45="DR",Q45," ")</f>
        <v> </v>
      </c>
      <c r="U45" s="6" t="str">
        <f aca="false">IF(P45="W",Q45," ")</f>
        <v> </v>
      </c>
      <c r="V45" s="6" t="str">
        <f aca="false">IF(P45="J",Q45," ")</f>
        <v> </v>
      </c>
      <c r="W45" s="6" t="str">
        <f aca="false">IF(P45="RP",Q45," ")</f>
        <v> </v>
      </c>
      <c r="X45" s="6" t="str">
        <f aca="false">IF(P45="DL",Q45," ")</f>
        <v> </v>
      </c>
    </row>
    <row r="46" customFormat="false" ht="12.65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IF(E46="DL",F46," ")</f>
        <v> </v>
      </c>
      <c r="K46" s="37"/>
      <c r="P46" s="36"/>
      <c r="R46" s="6" t="str">
        <f aca="false">IF(P46="BB",Q46," ")</f>
        <v> </v>
      </c>
      <c r="S46" s="6" t="str">
        <f aca="false">IF(P46="CR",Q46," ")</f>
        <v> </v>
      </c>
      <c r="T46" s="6" t="str">
        <f aca="false">IF(P46="DR",Q46," ")</f>
        <v> </v>
      </c>
      <c r="U46" s="6" t="str">
        <f aca="false">IF(P46="W",Q46," ")</f>
        <v> </v>
      </c>
      <c r="V46" s="6" t="str">
        <f aca="false">IF(P46="J",Q46," ")</f>
        <v> </v>
      </c>
      <c r="W46" s="6" t="str">
        <f aca="false">IF(P46="RP",Q46," ")</f>
        <v> </v>
      </c>
      <c r="X46" s="6" t="str">
        <f aca="false">IF(P46="DL",Q46," ")</f>
        <v> </v>
      </c>
    </row>
    <row r="47" customFormat="false" ht="12.65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IF(E47="DL",F47," ")</f>
        <v> </v>
      </c>
      <c r="K47" s="37"/>
      <c r="P47" s="36"/>
      <c r="R47" s="6" t="str">
        <f aca="false">IF(P47="BB",Q47," ")</f>
        <v> </v>
      </c>
      <c r="S47" s="6" t="str">
        <f aca="false">IF(P47="CR",Q47," ")</f>
        <v> </v>
      </c>
      <c r="T47" s="6" t="str">
        <f aca="false">IF(P47="DR",Q47," ")</f>
        <v> </v>
      </c>
      <c r="U47" s="6" t="str">
        <f aca="false">IF(P47="W",Q47," ")</f>
        <v> </v>
      </c>
      <c r="V47" s="6" t="str">
        <f aca="false">IF(P47="J",Q47," ")</f>
        <v> </v>
      </c>
      <c r="W47" s="6" t="str">
        <f aca="false">IF(P47="RP",Q47," ")</f>
        <v> </v>
      </c>
      <c r="X47" s="6" t="str">
        <f aca="false">IF(P47="DL",Q47," ")</f>
        <v> </v>
      </c>
    </row>
    <row r="48" customFormat="false" ht="12.65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IF(E48="DL",F48," ")</f>
        <v> </v>
      </c>
      <c r="K48" s="37"/>
      <c r="P48" s="36"/>
      <c r="R48" s="6" t="str">
        <f aca="false">IF(P48="BB",Q48," ")</f>
        <v> </v>
      </c>
      <c r="S48" s="6" t="str">
        <f aca="false">IF(P48="CR",Q48," ")</f>
        <v> </v>
      </c>
      <c r="T48" s="6" t="str">
        <f aca="false">IF(P48="DR",Q48," ")</f>
        <v> </v>
      </c>
      <c r="U48" s="6" t="str">
        <f aca="false">IF(P48="W",Q48," ")</f>
        <v> </v>
      </c>
      <c r="V48" s="6" t="str">
        <f aca="false">IF(P48="J",Q48," ")</f>
        <v> </v>
      </c>
      <c r="W48" s="6" t="str">
        <f aca="false">IF(P48="RP",Q48," ")</f>
        <v> </v>
      </c>
      <c r="X48" s="6" t="str">
        <f aca="false">IF(P48="DL",Q48," ")</f>
        <v> </v>
      </c>
    </row>
    <row r="49" customFormat="false" ht="12.65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IF(E49="DL",F49," ")</f>
        <v> </v>
      </c>
      <c r="K49" s="37"/>
      <c r="P49" s="36"/>
      <c r="R49" s="6" t="str">
        <f aca="false">IF(P49="BB",Q49," ")</f>
        <v> </v>
      </c>
      <c r="S49" s="6" t="str">
        <f aca="false">IF(P49="CR",Q49," ")</f>
        <v> </v>
      </c>
      <c r="T49" s="6" t="str">
        <f aca="false">IF(P49="DR",Q49," ")</f>
        <v> </v>
      </c>
      <c r="U49" s="6" t="str">
        <f aca="false">IF(P49="W",Q49," ")</f>
        <v> </v>
      </c>
      <c r="V49" s="6" t="str">
        <f aca="false">IF(P49="J",Q49," ")</f>
        <v> </v>
      </c>
      <c r="W49" s="6" t="str">
        <f aca="false">IF(P49="RP",Q49," ")</f>
        <v> </v>
      </c>
      <c r="X49" s="6" t="str">
        <f aca="false">IF(P49="DL",Q49," ")</f>
        <v> </v>
      </c>
    </row>
    <row r="50" customFormat="false" ht="12.65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IF(E50="DL",F50," ")</f>
        <v> </v>
      </c>
      <c r="K50" s="37"/>
      <c r="P50" s="36"/>
      <c r="R50" s="6" t="str">
        <f aca="false">IF(P50="BB",Q50," ")</f>
        <v> </v>
      </c>
      <c r="S50" s="6" t="str">
        <f aca="false">IF(P50="CR",Q50," ")</f>
        <v> </v>
      </c>
      <c r="T50" s="6" t="str">
        <f aca="false">IF(P50="DR",Q50," ")</f>
        <v> </v>
      </c>
      <c r="U50" s="6" t="str">
        <f aca="false">IF(P50="W",Q50," ")</f>
        <v> </v>
      </c>
      <c r="V50" s="6" t="str">
        <f aca="false">IF(P50="J",Q50," ")</f>
        <v> </v>
      </c>
      <c r="W50" s="6" t="str">
        <f aca="false">IF(P50="RP",Q50," ")</f>
        <v> </v>
      </c>
      <c r="X50" s="6" t="str">
        <f aca="false">IF(P50="DL",Q50," ")</f>
        <v> </v>
      </c>
    </row>
    <row r="51" customFormat="false" ht="12.65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IF(E51="DL",F51," ")</f>
        <v> </v>
      </c>
      <c r="K51" s="37"/>
      <c r="P51" s="36"/>
      <c r="R51" s="6" t="str">
        <f aca="false">IF(P51="BB",Q51," ")</f>
        <v> </v>
      </c>
      <c r="S51" s="6" t="str">
        <f aca="false">IF(P51="CR",Q51," ")</f>
        <v> </v>
      </c>
      <c r="T51" s="6" t="str">
        <f aca="false">IF(P51="DR",Q51," ")</f>
        <v> </v>
      </c>
      <c r="U51" s="6" t="str">
        <f aca="false">IF(P51="W",Q51," ")</f>
        <v> </v>
      </c>
      <c r="V51" s="6" t="str">
        <f aca="false">IF(P51="J",Q51," ")</f>
        <v> </v>
      </c>
      <c r="W51" s="6" t="str">
        <f aca="false">IF(P51="RP",Q51," ")</f>
        <v> </v>
      </c>
      <c r="X51" s="6" t="str">
        <f aca="false">IF(P51="DL",Q51," ")</f>
        <v> </v>
      </c>
    </row>
    <row r="52" customFormat="false" ht="12.65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IF(E52="DL",F52," ")</f>
        <v> </v>
      </c>
      <c r="K52" s="37"/>
      <c r="P52" s="36"/>
      <c r="R52" s="6" t="str">
        <f aca="false">IF(P52="BB",Q52," ")</f>
        <v> </v>
      </c>
      <c r="S52" s="6" t="str">
        <f aca="false">IF(P52="CR",Q52," ")</f>
        <v> </v>
      </c>
      <c r="T52" s="6" t="str">
        <f aca="false">IF(P52="DR",Q52," ")</f>
        <v> </v>
      </c>
      <c r="U52" s="6" t="str">
        <f aca="false">IF(P52="W",Q52," ")</f>
        <v> </v>
      </c>
      <c r="V52" s="6" t="str">
        <f aca="false">IF(P52="J",Q52," ")</f>
        <v> </v>
      </c>
      <c r="W52" s="6" t="str">
        <f aca="false">IF(P52="RP",Q52," ")</f>
        <v> </v>
      </c>
      <c r="X52" s="6" t="str">
        <f aca="false">IF(P52="DL",Q52," ")</f>
        <v> </v>
      </c>
    </row>
    <row r="53" customFormat="false" ht="12.65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IF(E53="DL",F53," ")</f>
        <v> </v>
      </c>
      <c r="K53" s="37"/>
      <c r="P53" s="36"/>
      <c r="R53" s="6" t="str">
        <f aca="false">IF(P53="BB",Q53," ")</f>
        <v> </v>
      </c>
      <c r="S53" s="6" t="str">
        <f aca="false">IF(P53="CR",Q53," ")</f>
        <v> </v>
      </c>
      <c r="T53" s="6" t="str">
        <f aca="false">IF(P53="DR",Q53," ")</f>
        <v> </v>
      </c>
      <c r="U53" s="6" t="str">
        <f aca="false">IF(P53="W",Q53," ")</f>
        <v> </v>
      </c>
      <c r="V53" s="6" t="str">
        <f aca="false">IF(P53="J",Q53," ")</f>
        <v> </v>
      </c>
      <c r="W53" s="6" t="str">
        <f aca="false">IF(P53="RP",Q53," ")</f>
        <v> </v>
      </c>
      <c r="X53" s="6" t="str">
        <f aca="false">IF(P53="DL",Q53," ")</f>
        <v> </v>
      </c>
    </row>
    <row r="54" customFormat="false" ht="12.65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IF(E54="DL",F54," ")</f>
        <v> </v>
      </c>
      <c r="K54" s="37"/>
      <c r="P54" s="36"/>
      <c r="R54" s="6" t="str">
        <f aca="false">IF(P54="BB",Q54," ")</f>
        <v> </v>
      </c>
      <c r="S54" s="6" t="str">
        <f aca="false">IF(P54="CR",Q54," ")</f>
        <v> </v>
      </c>
      <c r="T54" s="6" t="str">
        <f aca="false">IF(P54="DR",Q54," ")</f>
        <v> </v>
      </c>
      <c r="U54" s="6" t="str">
        <f aca="false">IF(P54="W",Q54," ")</f>
        <v> </v>
      </c>
      <c r="V54" s="6" t="str">
        <f aca="false">IF(P54="J",Q54," ")</f>
        <v> </v>
      </c>
      <c r="W54" s="6" t="str">
        <f aca="false">IF(P54="RP",Q54," ")</f>
        <v> </v>
      </c>
      <c r="X54" s="6" t="str">
        <f aca="false">IF(P54="DL",Q54," ")</f>
        <v> </v>
      </c>
    </row>
    <row r="55" customFormat="false" ht="12.65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IF(E55="DL",F55," ")</f>
        <v> </v>
      </c>
      <c r="K55" s="37"/>
      <c r="P55" s="36"/>
      <c r="R55" s="6" t="str">
        <f aca="false">IF(P55="BB",Q55," ")</f>
        <v> </v>
      </c>
      <c r="S55" s="6" t="str">
        <f aca="false">IF(P55="CR",Q55," ")</f>
        <v> </v>
      </c>
      <c r="T55" s="6" t="str">
        <f aca="false">IF(P55="DR",Q55," ")</f>
        <v> </v>
      </c>
      <c r="U55" s="6" t="str">
        <f aca="false">IF(P55="W",Q55," ")</f>
        <v> </v>
      </c>
      <c r="V55" s="6" t="str">
        <f aca="false">IF(P55="J",Q55," ")</f>
        <v> </v>
      </c>
      <c r="W55" s="6" t="str">
        <f aca="false">IF(P55="RP",Q55," ")</f>
        <v> </v>
      </c>
      <c r="X55" s="6" t="str">
        <f aca="false">IF(P55="DL",Q55," ")</f>
        <v> </v>
      </c>
    </row>
    <row r="56" customFormat="false" ht="12.65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IF(E56="DL",F56," ")</f>
        <v> </v>
      </c>
      <c r="K56" s="37"/>
      <c r="P56" s="36"/>
      <c r="R56" s="6" t="str">
        <f aca="false">IF(P56="BB",Q56," ")</f>
        <v> </v>
      </c>
      <c r="S56" s="6" t="str">
        <f aca="false">IF(P56="CR",Q56," ")</f>
        <v> </v>
      </c>
      <c r="T56" s="6" t="str">
        <f aca="false">IF(P56="DR",Q56," ")</f>
        <v> </v>
      </c>
      <c r="U56" s="6" t="str">
        <f aca="false">IF(P56="W",Q56," ")</f>
        <v> </v>
      </c>
      <c r="V56" s="6" t="str">
        <f aca="false">IF(P56="J",Q56," ")</f>
        <v> </v>
      </c>
      <c r="W56" s="6" t="str">
        <f aca="false">IF(P56="RP",Q56," ")</f>
        <v> </v>
      </c>
      <c r="X56" s="6" t="str">
        <f aca="false">IF(P56="DL",Q56," ")</f>
        <v> </v>
      </c>
    </row>
    <row r="57" customFormat="false" ht="12.65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IF(E57="DL",F57," ")</f>
        <v> </v>
      </c>
      <c r="K57" s="37"/>
      <c r="P57" s="36"/>
      <c r="R57" s="6" t="str">
        <f aca="false">IF(P57="BB",Q57," ")</f>
        <v> </v>
      </c>
      <c r="S57" s="6" t="str">
        <f aca="false">IF(P57="CR",Q57," ")</f>
        <v> </v>
      </c>
      <c r="T57" s="6" t="str">
        <f aca="false">IF(P57="DR",Q57," ")</f>
        <v> </v>
      </c>
      <c r="U57" s="6" t="str">
        <f aca="false">IF(P57="W",Q57," ")</f>
        <v> </v>
      </c>
      <c r="V57" s="6" t="str">
        <f aca="false">IF(P57="J",Q57," ")</f>
        <v> </v>
      </c>
      <c r="W57" s="6" t="str">
        <f aca="false">IF(P57="RP",Q57," ")</f>
        <v> </v>
      </c>
      <c r="X57" s="6" t="str">
        <f aca="false">IF(P57="DL",Q57," ")</f>
        <v> </v>
      </c>
    </row>
    <row r="58" customFormat="false" ht="12.65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IF(E58="DL",F58," ")</f>
        <v> </v>
      </c>
      <c r="K58" s="37"/>
      <c r="P58" s="36"/>
      <c r="R58" s="6" t="str">
        <f aca="false">IF(P58="BB",Q58," ")</f>
        <v> </v>
      </c>
      <c r="S58" s="6" t="str">
        <f aca="false">IF(P58="CR",Q58," ")</f>
        <v> </v>
      </c>
      <c r="T58" s="6" t="str">
        <f aca="false">IF(P58="DR",Q58," ")</f>
        <v> </v>
      </c>
      <c r="U58" s="6" t="str">
        <f aca="false">IF(P58="W",Q58," ")</f>
        <v> </v>
      </c>
      <c r="V58" s="6" t="str">
        <f aca="false">IF(P58="J",Q58," ")</f>
        <v> </v>
      </c>
      <c r="W58" s="6" t="str">
        <f aca="false">IF(P58="RP",Q58," ")</f>
        <v> </v>
      </c>
      <c r="X58" s="6" t="str">
        <f aca="false">IF(P58="DL",Q58," ")</f>
        <v> </v>
      </c>
    </row>
    <row r="59" customFormat="false" ht="12.65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IF(E59="DL",F59," ")</f>
        <v> </v>
      </c>
      <c r="K59" s="37"/>
      <c r="P59" s="36"/>
      <c r="R59" s="6" t="str">
        <f aca="false">IF(P59="BB",Q59," ")</f>
        <v> </v>
      </c>
      <c r="S59" s="6" t="str">
        <f aca="false">IF(P59="CR",Q59," ")</f>
        <v> </v>
      </c>
      <c r="T59" s="6" t="str">
        <f aca="false">IF(P59="DR",Q59," ")</f>
        <v> </v>
      </c>
      <c r="U59" s="6" t="str">
        <f aca="false">IF(P59="W",Q59," ")</f>
        <v> </v>
      </c>
      <c r="V59" s="6" t="str">
        <f aca="false">IF(P59="J",Q59," ")</f>
        <v> </v>
      </c>
      <c r="W59" s="6" t="str">
        <f aca="false">IF(P59="RP",Q59," ")</f>
        <v> </v>
      </c>
      <c r="X59" s="6" t="str">
        <f aca="false">IF(P59="DL",Q59," ")</f>
        <v> </v>
      </c>
    </row>
    <row r="60" customFormat="false" ht="12.65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IF(E60="DL",F60," ")</f>
        <v> </v>
      </c>
      <c r="K60" s="37"/>
      <c r="P60" s="36"/>
      <c r="R60" s="6" t="str">
        <f aca="false">IF(P60="BB",Q60," ")</f>
        <v> </v>
      </c>
      <c r="S60" s="6" t="str">
        <f aca="false">IF(P60="CR",Q60," ")</f>
        <v> </v>
      </c>
      <c r="T60" s="6" t="str">
        <f aca="false">IF(P60="DR",Q60," ")</f>
        <v> </v>
      </c>
      <c r="U60" s="6" t="str">
        <f aca="false">IF(P60="W",Q60," ")</f>
        <v> </v>
      </c>
      <c r="V60" s="6" t="str">
        <f aca="false">IF(P60="J",Q60," ")</f>
        <v> </v>
      </c>
      <c r="W60" s="6" t="str">
        <f aca="false">IF(P60="RP",Q60," ")</f>
        <v> </v>
      </c>
      <c r="X60" s="6" t="str">
        <f aca="false">IF(P60="DL",Q60," ")</f>
        <v> </v>
      </c>
    </row>
    <row r="61" customFormat="false" ht="12.65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IF(E61="DL",F61," ")</f>
        <v> </v>
      </c>
      <c r="K61" s="37"/>
      <c r="P61" s="36"/>
      <c r="R61" s="6" t="str">
        <f aca="false">IF(P61="BB",Q61," ")</f>
        <v> </v>
      </c>
      <c r="S61" s="6" t="str">
        <f aca="false">IF(P61="CR",Q61," ")</f>
        <v> </v>
      </c>
      <c r="T61" s="6" t="str">
        <f aca="false">IF(P61="DR",Q61," ")</f>
        <v> </v>
      </c>
      <c r="U61" s="6" t="str">
        <f aca="false">IF(P61="W",Q61," ")</f>
        <v> </v>
      </c>
      <c r="V61" s="6" t="str">
        <f aca="false">IF(P61="J",Q61," ")</f>
        <v> </v>
      </c>
      <c r="W61" s="6" t="str">
        <f aca="false">IF(P61="RP",Q61," ")</f>
        <v> </v>
      </c>
      <c r="X61" s="6" t="str">
        <f aca="false">IF(P61="DL",Q61," ")</f>
        <v> </v>
      </c>
    </row>
    <row r="62" customFormat="false" ht="12.65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IF(E62="DL",F62," ")</f>
        <v> </v>
      </c>
      <c r="K62" s="37"/>
      <c r="P62" s="36"/>
      <c r="R62" s="6" t="str">
        <f aca="false">IF(P62="BB",Q62," ")</f>
        <v> </v>
      </c>
      <c r="S62" s="6" t="str">
        <f aca="false">IF(P62="CR",Q62," ")</f>
        <v> </v>
      </c>
      <c r="T62" s="6" t="str">
        <f aca="false">IF(P62="DR",Q62," ")</f>
        <v> </v>
      </c>
      <c r="U62" s="6" t="str">
        <f aca="false">IF(P62="W",Q62," ")</f>
        <v> </v>
      </c>
      <c r="V62" s="6" t="str">
        <f aca="false">IF(P62="J",Q62," ")</f>
        <v> </v>
      </c>
      <c r="W62" s="6" t="str">
        <f aca="false">IF(P62="RP",Q62," ")</f>
        <v> </v>
      </c>
      <c r="X62" s="6" t="str">
        <f aca="false">IF(P62="DL",Q62," ")</f>
        <v> </v>
      </c>
    </row>
    <row r="63" customFormat="false" ht="12.65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IF(E63="DL",F63," ")</f>
        <v> </v>
      </c>
      <c r="K63" s="37"/>
      <c r="P63" s="36"/>
      <c r="R63" s="6" t="str">
        <f aca="false">IF(P63="BB",Q63," ")</f>
        <v> </v>
      </c>
      <c r="S63" s="6" t="str">
        <f aca="false">IF(P63="CR",Q63," ")</f>
        <v> </v>
      </c>
      <c r="T63" s="6" t="str">
        <f aca="false">IF(P63="DR",Q63," ")</f>
        <v> </v>
      </c>
      <c r="U63" s="6" t="str">
        <f aca="false">IF(P63="W",Q63," ")</f>
        <v> </v>
      </c>
      <c r="V63" s="6" t="str">
        <f aca="false">IF(P63="J",Q63," ")</f>
        <v> </v>
      </c>
      <c r="W63" s="6" t="str">
        <f aca="false">IF(P63="RP",Q63," ")</f>
        <v> </v>
      </c>
      <c r="X63" s="6" t="str">
        <f aca="false">IF(P63="DL",Q63," ")</f>
        <v> </v>
      </c>
    </row>
    <row r="64" customFormat="false" ht="12.65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IF(E64="DL",F64," ")</f>
        <v> </v>
      </c>
      <c r="K64" s="37"/>
      <c r="P64" s="36"/>
      <c r="R64" s="6" t="str">
        <f aca="false">IF(P64="BB",Q64," ")</f>
        <v> </v>
      </c>
      <c r="S64" s="6" t="str">
        <f aca="false">IF(P64="CR",Q64," ")</f>
        <v> </v>
      </c>
      <c r="T64" s="6" t="str">
        <f aca="false">IF(P64="DR",Q64," ")</f>
        <v> </v>
      </c>
      <c r="U64" s="6" t="str">
        <f aca="false">IF(P64="W",Q64," ")</f>
        <v> </v>
      </c>
      <c r="V64" s="6" t="str">
        <f aca="false">IF(P64="J",Q64," ")</f>
        <v> </v>
      </c>
      <c r="W64" s="6" t="str">
        <f aca="false">IF(P64="RP",Q64," ")</f>
        <v> </v>
      </c>
      <c r="X64" s="6" t="str">
        <f aca="false">IF(P64="DL",Q64," ")</f>
        <v> </v>
      </c>
    </row>
    <row r="65" customFormat="false" ht="12.65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IF(E65="DL",F65," ")</f>
        <v> </v>
      </c>
      <c r="K65" s="37"/>
      <c r="P65" s="36"/>
      <c r="R65" s="6" t="str">
        <f aca="false">IF(P65="BB",Q65," ")</f>
        <v> </v>
      </c>
      <c r="S65" s="6" t="str">
        <f aca="false">IF(P65="CR",Q65," ")</f>
        <v> </v>
      </c>
      <c r="T65" s="6" t="str">
        <f aca="false">IF(P65="DR",Q65," ")</f>
        <v> </v>
      </c>
      <c r="U65" s="6" t="str">
        <f aca="false">IF(P65="W",Q65," ")</f>
        <v> </v>
      </c>
      <c r="V65" s="6" t="str">
        <f aca="false">IF(P65="J",Q65," ")</f>
        <v> </v>
      </c>
      <c r="W65" s="6" t="str">
        <f aca="false">IF(P65="RP",Q65," ")</f>
        <v> </v>
      </c>
      <c r="X65" s="6" t="str">
        <f aca="false">IF(P65="DL",Q65," ")</f>
        <v> </v>
      </c>
    </row>
    <row r="66" customFormat="false" ht="12.65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IF(E66="DL",F66," ")</f>
        <v> </v>
      </c>
      <c r="K66" s="37"/>
      <c r="P66" s="36"/>
      <c r="R66" s="6" t="str">
        <f aca="false">IF(P66="BB",Q66," ")</f>
        <v> </v>
      </c>
      <c r="S66" s="6" t="str">
        <f aca="false">IF(P66="CR",Q66," ")</f>
        <v> </v>
      </c>
      <c r="T66" s="6" t="str">
        <f aca="false">IF(P66="DR",Q66," ")</f>
        <v> </v>
      </c>
      <c r="U66" s="6" t="str">
        <f aca="false">IF(P66="W",Q66," ")</f>
        <v> </v>
      </c>
      <c r="V66" s="6" t="str">
        <f aca="false">IF(P66="J",Q66," ")</f>
        <v> </v>
      </c>
      <c r="W66" s="6" t="str">
        <f aca="false">IF(P66="RP",Q66," ")</f>
        <v> </v>
      </c>
      <c r="X66" s="6" t="str">
        <f aca="false">IF(P66="DL",Q66," ")</f>
        <v> </v>
      </c>
    </row>
    <row r="67" customFormat="false" ht="12.65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IF(E67="DL",F67," ")</f>
        <v> </v>
      </c>
      <c r="K67" s="37"/>
      <c r="P67" s="36"/>
      <c r="R67" s="6" t="str">
        <f aca="false">IF(P67="BB",Q67," ")</f>
        <v> </v>
      </c>
      <c r="S67" s="6" t="str">
        <f aca="false">IF(P67="CR",Q67," ")</f>
        <v> </v>
      </c>
      <c r="T67" s="6" t="str">
        <f aca="false">IF(P67="DR",Q67," ")</f>
        <v> </v>
      </c>
      <c r="U67" s="6" t="str">
        <f aca="false">IF(P67="W",Q67," ")</f>
        <v> </v>
      </c>
      <c r="V67" s="6" t="str">
        <f aca="false">IF(P67="J",Q67," ")</f>
        <v> </v>
      </c>
      <c r="W67" s="6" t="str">
        <f aca="false">IF(P67="RP",Q67," ")</f>
        <v> </v>
      </c>
      <c r="X67" s="6" t="str">
        <f aca="false">IF(P67="DL",Q67," ")</f>
        <v> </v>
      </c>
    </row>
    <row r="68" customFormat="false" ht="12.65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IF(E68="DL",F68," ")</f>
        <v> </v>
      </c>
      <c r="K68" s="37"/>
      <c r="P68" s="36"/>
      <c r="R68" s="6" t="str">
        <f aca="false">IF(P68="BB",Q68," ")</f>
        <v> </v>
      </c>
      <c r="S68" s="6" t="str">
        <f aca="false">IF(P68="CR",Q68," ")</f>
        <v> </v>
      </c>
      <c r="T68" s="6" t="str">
        <f aca="false">IF(P68="DR",Q68," ")</f>
        <v> </v>
      </c>
      <c r="U68" s="6" t="str">
        <f aca="false">IF(P68="W",Q68," ")</f>
        <v> </v>
      </c>
      <c r="V68" s="6" t="str">
        <f aca="false">IF(P68="J",Q68," ")</f>
        <v> </v>
      </c>
      <c r="W68" s="6" t="str">
        <f aca="false">IF(P68="RP",Q68," ")</f>
        <v> </v>
      </c>
      <c r="X68" s="6" t="str">
        <f aca="false">IF(P68="DL",Q68," ")</f>
        <v> </v>
      </c>
    </row>
    <row r="69" customFormat="false" ht="12.65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IF(E69="DL",F69," ")</f>
        <v> </v>
      </c>
      <c r="K69" s="37"/>
      <c r="P69" s="36"/>
      <c r="R69" s="6" t="str">
        <f aca="false">IF(P69="BB",Q69," ")</f>
        <v> </v>
      </c>
      <c r="S69" s="6" t="str">
        <f aca="false">IF(P69="CR",Q69," ")</f>
        <v> </v>
      </c>
      <c r="T69" s="6" t="str">
        <f aca="false">IF(P69="DR",Q69," ")</f>
        <v> </v>
      </c>
      <c r="U69" s="6" t="str">
        <f aca="false">IF(P69="W",Q69," ")</f>
        <v> </v>
      </c>
      <c r="V69" s="6" t="str">
        <f aca="false">IF(P69="J",Q69," ")</f>
        <v> </v>
      </c>
      <c r="W69" s="6" t="str">
        <f aca="false">IF(P69="RP",Q69," ")</f>
        <v> </v>
      </c>
      <c r="X69" s="6" t="str">
        <f aca="false">IF(P69="DL",Q69," ")</f>
        <v> </v>
      </c>
    </row>
    <row r="70" customFormat="false" ht="12.65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IF(E70="DL",F70," ")</f>
        <v> </v>
      </c>
      <c r="K70" s="37"/>
      <c r="P70" s="36" t="str">
        <f aca="false">IF(Q70&lt;&gt;0,"Enter Code"," ")</f>
        <v> </v>
      </c>
      <c r="R70" s="6" t="str">
        <f aca="false">IF(P70="BB",Q70," ")</f>
        <v> </v>
      </c>
      <c r="S70" s="6" t="str">
        <f aca="false">IF(P70="CR",Q70," ")</f>
        <v> </v>
      </c>
      <c r="T70" s="6" t="str">
        <f aca="false">IF(P70="DR",Q70," ")</f>
        <v> </v>
      </c>
      <c r="U70" s="6" t="str">
        <f aca="false">IF(P70="W",Q70," ")</f>
        <v> </v>
      </c>
      <c r="V70" s="6" t="str">
        <f aca="false">IF(P70="J",Q70," ")</f>
        <v> </v>
      </c>
      <c r="W70" s="6" t="str">
        <f aca="false">IF(P70="RP",Q70," ")</f>
        <v> </v>
      </c>
      <c r="X70" s="6" t="str">
        <f aca="false">IF(P70="DL",Q70," ")</f>
        <v> </v>
      </c>
    </row>
    <row r="71" customFormat="false" ht="12.65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IF(E71="DL",F71," ")</f>
        <v> </v>
      </c>
      <c r="K71" s="37"/>
      <c r="P71" s="36" t="str">
        <f aca="false">IF(Q71&lt;&gt;0,"Enter Code"," ")</f>
        <v> </v>
      </c>
      <c r="R71" s="6" t="str">
        <f aca="false">IF(P71="BB",Q71," ")</f>
        <v> </v>
      </c>
      <c r="S71" s="6" t="str">
        <f aca="false">IF(P71="CR",Q71," ")</f>
        <v> </v>
      </c>
      <c r="T71" s="6" t="str">
        <f aca="false">IF(P71="DR",Q71," ")</f>
        <v> </v>
      </c>
      <c r="U71" s="6" t="str">
        <f aca="false">IF(P71="W",Q71," ")</f>
        <v> </v>
      </c>
      <c r="V71" s="6" t="str">
        <f aca="false">IF(P71="J",Q71," ")</f>
        <v> </v>
      </c>
      <c r="W71" s="6" t="str">
        <f aca="false">IF(P71="RP",Q71," ")</f>
        <v> </v>
      </c>
      <c r="X71" s="6" t="str">
        <f aca="false">IF(P71="DL",Q71," ")</f>
        <v> </v>
      </c>
    </row>
    <row r="72" customFormat="false" ht="12.65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IF(E72="DL",F72," ")</f>
        <v> </v>
      </c>
      <c r="K72" s="37"/>
      <c r="P72" s="36" t="str">
        <f aca="false">IF(Q72&lt;&gt;0,"Enter Code"," ")</f>
        <v> </v>
      </c>
      <c r="R72" s="6" t="str">
        <f aca="false">IF(P72="BB",Q72," ")</f>
        <v> </v>
      </c>
      <c r="S72" s="6" t="str">
        <f aca="false">IF(P72="CR",Q72," ")</f>
        <v> </v>
      </c>
      <c r="T72" s="6" t="str">
        <f aca="false">IF(P72="DR",Q72," ")</f>
        <v> </v>
      </c>
      <c r="U72" s="6" t="str">
        <f aca="false">IF(P72="W",Q72," ")</f>
        <v> </v>
      </c>
      <c r="V72" s="6" t="str">
        <f aca="false">IF(P72="J",Q72," ")</f>
        <v> </v>
      </c>
      <c r="W72" s="6" t="str">
        <f aca="false">IF(P72="RP",Q72," ")</f>
        <v> </v>
      </c>
      <c r="X72" s="6" t="str">
        <f aca="false">IF(P72="DL",Q72," ")</f>
        <v> </v>
      </c>
    </row>
    <row r="73" customFormat="false" ht="12.65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IF(E73="DL",F73," ")</f>
        <v> </v>
      </c>
      <c r="K73" s="37"/>
      <c r="P73" s="36" t="str">
        <f aca="false">IF(Q73&lt;&gt;0,"Enter Code"," ")</f>
        <v> </v>
      </c>
      <c r="R73" s="6" t="str">
        <f aca="false">IF(P73="BB",Q73," ")</f>
        <v> </v>
      </c>
      <c r="S73" s="6" t="str">
        <f aca="false">IF(P73="CR",Q73," ")</f>
        <v> </v>
      </c>
      <c r="T73" s="6" t="str">
        <f aca="false">IF(P73="DR",Q73," ")</f>
        <v> </v>
      </c>
      <c r="U73" s="6" t="str">
        <f aca="false">IF(P73="W",Q73," ")</f>
        <v> </v>
      </c>
      <c r="V73" s="6" t="str">
        <f aca="false">IF(P73="J",Q73," ")</f>
        <v> </v>
      </c>
      <c r="W73" s="6" t="str">
        <f aca="false">IF(P73="RP",Q73," ")</f>
        <v> </v>
      </c>
      <c r="X73" s="6" t="str">
        <f aca="false">IF(P73="DL",Q73," ")</f>
        <v> </v>
      </c>
    </row>
    <row r="74" customFormat="false" ht="12.65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IF(E74="DL",F74," ")</f>
        <v> </v>
      </c>
      <c r="K74" s="37"/>
      <c r="P74" s="36" t="str">
        <f aca="false">IF(Q74&lt;&gt;0,"Enter Code"," ")</f>
        <v> </v>
      </c>
      <c r="R74" s="6" t="str">
        <f aca="false">IF(P74="BB",Q74," ")</f>
        <v> </v>
      </c>
      <c r="S74" s="6" t="str">
        <f aca="false">IF(P74="CR",Q74," ")</f>
        <v> </v>
      </c>
      <c r="T74" s="6" t="str">
        <f aca="false">IF(P74="DR",Q74," ")</f>
        <v> </v>
      </c>
      <c r="U74" s="6" t="str">
        <f aca="false">IF(P74="W",Q74," ")</f>
        <v> </v>
      </c>
      <c r="V74" s="6" t="str">
        <f aca="false">IF(P74="J",Q74," ")</f>
        <v> </v>
      </c>
      <c r="W74" s="6" t="str">
        <f aca="false">IF(P74="RP",Q74," ")</f>
        <v> </v>
      </c>
      <c r="X74" s="6" t="str">
        <f aca="false">IF(P74="DL",Q74," ")</f>
        <v> </v>
      </c>
    </row>
    <row r="75" customFormat="false" ht="12.65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IF(E75="DL",F75," ")</f>
        <v> </v>
      </c>
      <c r="K75" s="37"/>
      <c r="P75" s="36" t="str">
        <f aca="false">IF(Q75&lt;&gt;0,"Enter Code"," ")</f>
        <v> </v>
      </c>
      <c r="R75" s="6" t="str">
        <f aca="false">IF(P75="BB",Q75," ")</f>
        <v> </v>
      </c>
      <c r="S75" s="6" t="str">
        <f aca="false">IF(P75="CR",Q75," ")</f>
        <v> </v>
      </c>
      <c r="T75" s="6" t="str">
        <f aca="false">IF(P75="DR",Q75," ")</f>
        <v> </v>
      </c>
      <c r="U75" s="6" t="str">
        <f aca="false">IF(P75="W",Q75," ")</f>
        <v> </v>
      </c>
      <c r="V75" s="6" t="str">
        <f aca="false">IF(P75="J",Q75," ")</f>
        <v> </v>
      </c>
      <c r="W75" s="6" t="str">
        <f aca="false">IF(P75="RP",Q75," ")</f>
        <v> </v>
      </c>
      <c r="X75" s="6" t="str">
        <f aca="false">IF(P75="DL",Q75," ")</f>
        <v> </v>
      </c>
    </row>
    <row r="76" customFormat="false" ht="12.65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IF(E76="DL",F76," ")</f>
        <v> </v>
      </c>
      <c r="K76" s="37"/>
      <c r="P76" s="36" t="str">
        <f aca="false">IF(Q76&lt;&gt;0,"Enter Code"," ")</f>
        <v> </v>
      </c>
      <c r="R76" s="6" t="str">
        <f aca="false">IF(P76="BB",Q76," ")</f>
        <v> </v>
      </c>
      <c r="S76" s="6" t="str">
        <f aca="false">IF(P76="CR",Q76," ")</f>
        <v> </v>
      </c>
      <c r="T76" s="6" t="str">
        <f aca="false">IF(P76="DR",Q76," ")</f>
        <v> </v>
      </c>
      <c r="U76" s="6" t="str">
        <f aca="false">IF(P76="W",Q76," ")</f>
        <v> </v>
      </c>
      <c r="V76" s="6" t="str">
        <f aca="false">IF(P76="J",Q76," ")</f>
        <v> </v>
      </c>
      <c r="W76" s="6" t="str">
        <f aca="false">IF(P76="RP",Q76," ")</f>
        <v> </v>
      </c>
      <c r="X76" s="6" t="str">
        <f aca="false">IF(P76="DL",Q76," ")</f>
        <v> </v>
      </c>
    </row>
    <row r="77" customFormat="false" ht="12.65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IF(E77="DL",F77," ")</f>
        <v> </v>
      </c>
      <c r="K77" s="37"/>
      <c r="P77" s="36" t="str">
        <f aca="false">IF(Q77&lt;&gt;0,"Enter Code"," ")</f>
        <v> </v>
      </c>
      <c r="R77" s="6" t="str">
        <f aca="false">IF(P77="BB",Q77," ")</f>
        <v> </v>
      </c>
      <c r="S77" s="6" t="str">
        <f aca="false">IF(P77="CR",Q77," ")</f>
        <v> </v>
      </c>
      <c r="T77" s="6" t="str">
        <f aca="false">IF(P77="DR",Q77," ")</f>
        <v> </v>
      </c>
      <c r="U77" s="6" t="str">
        <f aca="false">IF(P77="W",Q77," ")</f>
        <v> </v>
      </c>
      <c r="V77" s="6" t="str">
        <f aca="false">IF(P77="J",Q77," ")</f>
        <v> </v>
      </c>
      <c r="W77" s="6" t="str">
        <f aca="false">IF(P77="RP",Q77," ")</f>
        <v> </v>
      </c>
      <c r="X77" s="6" t="str">
        <f aca="false">IF(P77="DL",Q77," ")</f>
        <v> </v>
      </c>
    </row>
    <row r="78" customFormat="false" ht="12.65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IF(E78="DL",F78," ")</f>
        <v> </v>
      </c>
      <c r="K78" s="37"/>
      <c r="P78" s="36" t="str">
        <f aca="false">IF(Q78&lt;&gt;0,"Enter Code"," ")</f>
        <v> </v>
      </c>
      <c r="R78" s="6" t="str">
        <f aca="false">IF(P78="BB",Q78," ")</f>
        <v> </v>
      </c>
      <c r="S78" s="6" t="str">
        <f aca="false">IF(P78="CR",Q78," ")</f>
        <v> </v>
      </c>
      <c r="T78" s="6" t="str">
        <f aca="false">IF(P78="DR",Q78," ")</f>
        <v> </v>
      </c>
      <c r="U78" s="6" t="str">
        <f aca="false">IF(P78="W",Q78," ")</f>
        <v> </v>
      </c>
      <c r="V78" s="6" t="str">
        <f aca="false">IF(P78="J",Q78," ")</f>
        <v> </v>
      </c>
      <c r="W78" s="6" t="str">
        <f aca="false">IF(P78="RP",Q78," ")</f>
        <v> </v>
      </c>
      <c r="X78" s="6" t="str">
        <f aca="false">IF(P78="DL",Q78," ")</f>
        <v> </v>
      </c>
    </row>
    <row r="79" customFormat="false" ht="12.65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IF(E79="DL",F79," ")</f>
        <v> </v>
      </c>
      <c r="K79" s="37"/>
      <c r="P79" s="36" t="str">
        <f aca="false">IF(Q79&lt;&gt;0,"Enter Code"," ")</f>
        <v> </v>
      </c>
      <c r="R79" s="6" t="str">
        <f aca="false">IF(P79="BB",Q79," ")</f>
        <v> </v>
      </c>
      <c r="S79" s="6" t="str">
        <f aca="false">IF(P79="CR",Q79," ")</f>
        <v> </v>
      </c>
      <c r="T79" s="6" t="str">
        <f aca="false">IF(P79="DR",Q79," ")</f>
        <v> </v>
      </c>
      <c r="U79" s="6" t="str">
        <f aca="false">IF(P79="W",Q79," ")</f>
        <v> </v>
      </c>
      <c r="V79" s="6" t="str">
        <f aca="false">IF(P79="J",Q79," ")</f>
        <v> </v>
      </c>
      <c r="W79" s="6" t="str">
        <f aca="false">IF(P79="RP",Q79," ")</f>
        <v> </v>
      </c>
      <c r="X79" s="6" t="str">
        <f aca="false">IF(P79="DL",Q79," ")</f>
        <v> </v>
      </c>
    </row>
    <row r="80" customFormat="false" ht="12.65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IF(E80="DL",F80," ")</f>
        <v> </v>
      </c>
      <c r="K80" s="37"/>
      <c r="P80" s="36" t="str">
        <f aca="false">IF(Q80&lt;&gt;0,"Enter Code"," ")</f>
        <v> </v>
      </c>
      <c r="R80" s="6" t="str">
        <f aca="false">IF(P80="BB",Q80," ")</f>
        <v> </v>
      </c>
      <c r="S80" s="6" t="str">
        <f aca="false">IF(P80="CR",Q80," ")</f>
        <v> </v>
      </c>
      <c r="T80" s="6" t="str">
        <f aca="false">IF(P80="DR",Q80," ")</f>
        <v> </v>
      </c>
      <c r="U80" s="6" t="str">
        <f aca="false">IF(P80="W",Q80," ")</f>
        <v> </v>
      </c>
      <c r="V80" s="6" t="str">
        <f aca="false">IF(P80="J",Q80," ")</f>
        <v> </v>
      </c>
      <c r="W80" s="6" t="str">
        <f aca="false">IF(P80="RP",Q80," ")</f>
        <v> </v>
      </c>
      <c r="X80" s="6" t="str">
        <f aca="false">IF(P80="DL",Q80," ")</f>
        <v> </v>
      </c>
    </row>
    <row r="81" customFormat="false" ht="12.65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IF(E81="DL",F81," ")</f>
        <v> </v>
      </c>
      <c r="K81" s="37"/>
      <c r="P81" s="36" t="str">
        <f aca="false">IF(Q81&lt;&gt;0,"Enter Code"," ")</f>
        <v> </v>
      </c>
      <c r="R81" s="6" t="str">
        <f aca="false">IF(P81="BB",Q81," ")</f>
        <v> </v>
      </c>
      <c r="S81" s="6" t="str">
        <f aca="false">IF(P81="CR",Q81," ")</f>
        <v> </v>
      </c>
      <c r="T81" s="6" t="str">
        <f aca="false">IF(P81="DR",Q81," ")</f>
        <v> </v>
      </c>
      <c r="U81" s="6" t="str">
        <f aca="false">IF(P81="W",Q81," ")</f>
        <v> </v>
      </c>
      <c r="V81" s="6" t="str">
        <f aca="false">IF(P81="J",Q81," ")</f>
        <v> </v>
      </c>
      <c r="W81" s="6" t="str">
        <f aca="false">IF(P81="RP",Q81," ")</f>
        <v> </v>
      </c>
      <c r="X81" s="6" t="str">
        <f aca="false">IF(P81="DL",Q81," ")</f>
        <v> </v>
      </c>
    </row>
    <row r="82" customFormat="false" ht="12.65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IF(E82="DL",F82," ")</f>
        <v> </v>
      </c>
      <c r="K82" s="37"/>
      <c r="P82" s="36" t="str">
        <f aca="false">IF(Q82&lt;&gt;0,"Enter Code"," ")</f>
        <v> </v>
      </c>
      <c r="R82" s="6" t="str">
        <f aca="false">IF(P82="BB",Q82," ")</f>
        <v> </v>
      </c>
      <c r="S82" s="6" t="str">
        <f aca="false">IF(P82="CR",Q82," ")</f>
        <v> </v>
      </c>
      <c r="T82" s="6" t="str">
        <f aca="false">IF(P82="DR",Q82," ")</f>
        <v> </v>
      </c>
      <c r="U82" s="6" t="str">
        <f aca="false">IF(P82="W",Q82," ")</f>
        <v> </v>
      </c>
      <c r="V82" s="6" t="str">
        <f aca="false">IF(P82="J",Q82," ")</f>
        <v> </v>
      </c>
      <c r="W82" s="6" t="str">
        <f aca="false">IF(P82="RP",Q82," ")</f>
        <v> </v>
      </c>
      <c r="X82" s="6" t="str">
        <f aca="false">IF(P82="DL",Q82," ")</f>
        <v> </v>
      </c>
    </row>
    <row r="83" customFormat="false" ht="12.65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IF(E83="DL",F83," ")</f>
        <v> </v>
      </c>
      <c r="K83" s="37"/>
      <c r="P83" s="36" t="str">
        <f aca="false">IF(Q83&lt;&gt;0,"Enter Code"," ")</f>
        <v> </v>
      </c>
      <c r="R83" s="6" t="str">
        <f aca="false">IF(P83="BB",Q83," ")</f>
        <v> </v>
      </c>
      <c r="S83" s="6" t="str">
        <f aca="false">IF(P83="CR",Q83," ")</f>
        <v> </v>
      </c>
      <c r="T83" s="6" t="str">
        <f aca="false">IF(P83="DR",Q83," ")</f>
        <v> </v>
      </c>
      <c r="U83" s="6" t="str">
        <f aca="false">IF(P83="W",Q83," ")</f>
        <v> </v>
      </c>
      <c r="V83" s="6" t="str">
        <f aca="false">IF(P83="J",Q83," ")</f>
        <v> </v>
      </c>
      <c r="W83" s="6" t="str">
        <f aca="false">IF(P83="RP",Q83," ")</f>
        <v> </v>
      </c>
      <c r="X83" s="6" t="str">
        <f aca="false">IF(P83="DL",Q83," ")</f>
        <v> </v>
      </c>
    </row>
    <row r="84" customFormat="false" ht="12.65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IF(E84="DL",F84," ")</f>
        <v> </v>
      </c>
      <c r="K84" s="37"/>
      <c r="P84" s="36" t="str">
        <f aca="false">IF(Q84&lt;&gt;0,"Enter Code"," ")</f>
        <v> </v>
      </c>
      <c r="R84" s="6" t="str">
        <f aca="false">IF(P84="BB",Q84," ")</f>
        <v> </v>
      </c>
      <c r="S84" s="6" t="str">
        <f aca="false">IF(P84="CR",Q84," ")</f>
        <v> </v>
      </c>
      <c r="T84" s="6" t="str">
        <f aca="false">IF(P84="DR",Q84," ")</f>
        <v> </v>
      </c>
      <c r="U84" s="6" t="str">
        <f aca="false">IF(P84="W",Q84," ")</f>
        <v> </v>
      </c>
      <c r="V84" s="6" t="str">
        <f aca="false">IF(P84="J",Q84," ")</f>
        <v> </v>
      </c>
      <c r="W84" s="6" t="str">
        <f aca="false">IF(P84="RP",Q84," ")</f>
        <v> </v>
      </c>
      <c r="X84" s="6" t="str">
        <f aca="false">IF(P84="DL",Q84," ")</f>
        <v> </v>
      </c>
    </row>
    <row r="85" customFormat="false" ht="12.65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IF(E85="DL",F85," ")</f>
        <v> </v>
      </c>
      <c r="K85" s="37"/>
      <c r="P85" s="36" t="str">
        <f aca="false">IF(Q85&lt;&gt;0,"Enter Code"," ")</f>
        <v> </v>
      </c>
      <c r="R85" s="6" t="str">
        <f aca="false">IF(P85="BB",Q85," ")</f>
        <v> </v>
      </c>
      <c r="S85" s="6" t="str">
        <f aca="false">IF(P85="CR",Q85," ")</f>
        <v> </v>
      </c>
      <c r="T85" s="6" t="str">
        <f aca="false">IF(P85="DR",Q85," ")</f>
        <v> </v>
      </c>
      <c r="U85" s="6" t="str">
        <f aca="false">IF(P85="W",Q85," ")</f>
        <v> </v>
      </c>
      <c r="V85" s="6" t="str">
        <f aca="false">IF(P85="J",Q85," ")</f>
        <v> </v>
      </c>
      <c r="W85" s="6" t="str">
        <f aca="false">IF(P85="RP",Q85," ")</f>
        <v> </v>
      </c>
      <c r="X85" s="6" t="str">
        <f aca="false">IF(P85="DL",Q85," ")</f>
        <v> </v>
      </c>
    </row>
    <row r="86" customFormat="false" ht="12.65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IF(E86="DL",F86," ")</f>
        <v> </v>
      </c>
      <c r="K86" s="37"/>
      <c r="P86" s="36" t="str">
        <f aca="false">IF(Q86&lt;&gt;0,"Enter Code"," ")</f>
        <v> </v>
      </c>
      <c r="R86" s="6" t="str">
        <f aca="false">IF(P86="BB",Q86," ")</f>
        <v> </v>
      </c>
      <c r="S86" s="6" t="str">
        <f aca="false">IF(P86="CR",Q86," ")</f>
        <v> </v>
      </c>
      <c r="T86" s="6" t="str">
        <f aca="false">IF(P86="DR",Q86," ")</f>
        <v> </v>
      </c>
      <c r="U86" s="6" t="str">
        <f aca="false">IF(P86="W",Q86," ")</f>
        <v> </v>
      </c>
      <c r="V86" s="6" t="str">
        <f aca="false">IF(P86="J",Q86," ")</f>
        <v> </v>
      </c>
      <c r="W86" s="6" t="str">
        <f aca="false">IF(P86="RP",Q86," ")</f>
        <v> </v>
      </c>
      <c r="X86" s="6" t="str">
        <f aca="false">IF(P86="DL",Q86," ")</f>
        <v> </v>
      </c>
    </row>
    <row r="87" customFormat="false" ht="12.65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IF(E87="DL",F87," ")</f>
        <v> </v>
      </c>
      <c r="K87" s="37"/>
      <c r="P87" s="36" t="str">
        <f aca="false">IF(Q87&lt;&gt;0,"Enter Code"," ")</f>
        <v> </v>
      </c>
      <c r="R87" s="6" t="str">
        <f aca="false">IF(P87="BB",Q87," ")</f>
        <v> </v>
      </c>
      <c r="S87" s="6" t="str">
        <f aca="false">IF(P87="CR",Q87," ")</f>
        <v> </v>
      </c>
      <c r="T87" s="6" t="str">
        <f aca="false">IF(P87="DR",Q87," ")</f>
        <v> </v>
      </c>
      <c r="U87" s="6" t="str">
        <f aca="false">IF(P87="W",Q87," ")</f>
        <v> </v>
      </c>
      <c r="V87" s="6" t="str">
        <f aca="false">IF(P87="J",Q87," ")</f>
        <v> </v>
      </c>
      <c r="W87" s="6" t="str">
        <f aca="false">IF(P87="RP",Q87," ")</f>
        <v> </v>
      </c>
      <c r="X87" s="6" t="str">
        <f aca="false">IF(P87="DL",Q87," ")</f>
        <v> </v>
      </c>
    </row>
    <row r="88" customFormat="false" ht="12.65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IF(E88="DL",F88," ")</f>
        <v> </v>
      </c>
      <c r="K88" s="37"/>
      <c r="P88" s="36" t="str">
        <f aca="false">IF(Q88&lt;&gt;0,"Enter Code"," ")</f>
        <v> </v>
      </c>
      <c r="R88" s="6" t="str">
        <f aca="false">IF(P88="BB",Q88," ")</f>
        <v> </v>
      </c>
      <c r="S88" s="6" t="str">
        <f aca="false">IF(P88="CR",Q88," ")</f>
        <v> </v>
      </c>
      <c r="T88" s="6" t="str">
        <f aca="false">IF(P88="DR",Q88," ")</f>
        <v> </v>
      </c>
      <c r="U88" s="6" t="str">
        <f aca="false">IF(P88="W",Q88," ")</f>
        <v> </v>
      </c>
      <c r="V88" s="6" t="str">
        <f aca="false">IF(P88="J",Q88," ")</f>
        <v> </v>
      </c>
      <c r="W88" s="6" t="str">
        <f aca="false">IF(P88="RP",Q88," ")</f>
        <v> </v>
      </c>
      <c r="X88" s="6" t="str">
        <f aca="false">IF(P88="DL",Q88," ")</f>
        <v> </v>
      </c>
    </row>
    <row r="89" customFormat="false" ht="12.65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IF(E89="DL",F89," ")</f>
        <v> </v>
      </c>
      <c r="K89" s="37"/>
      <c r="P89" s="36" t="str">
        <f aca="false">IF(Q89&lt;&gt;0,"Enter Code"," ")</f>
        <v> </v>
      </c>
      <c r="R89" s="6" t="str">
        <f aca="false">IF(P89="BB",Q89," ")</f>
        <v> </v>
      </c>
      <c r="S89" s="6" t="str">
        <f aca="false">IF(P89="CR",Q89," ")</f>
        <v> </v>
      </c>
      <c r="T89" s="6" t="str">
        <f aca="false">IF(P89="DR",Q89," ")</f>
        <v> </v>
      </c>
      <c r="U89" s="6" t="str">
        <f aca="false">IF(P89="W",Q89," ")</f>
        <v> </v>
      </c>
      <c r="V89" s="6" t="str">
        <f aca="false">IF(P89="J",Q89," ")</f>
        <v> </v>
      </c>
      <c r="W89" s="6" t="str">
        <f aca="false">IF(P89="RP",Q89," ")</f>
        <v> </v>
      </c>
      <c r="X89" s="6" t="str">
        <f aca="false">IF(P89="DL",Q89," ")</f>
        <v> </v>
      </c>
    </row>
    <row r="90" customFormat="false" ht="12.65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IF(E90="DL",F90," ")</f>
        <v> </v>
      </c>
      <c r="K90" s="37"/>
      <c r="P90" s="36" t="str">
        <f aca="false">IF(Q90&lt;&gt;0,"Enter Code"," ")</f>
        <v> </v>
      </c>
      <c r="R90" s="6" t="str">
        <f aca="false">IF(P90="BB",Q90," ")</f>
        <v> </v>
      </c>
      <c r="S90" s="6" t="str">
        <f aca="false">IF(P90="CR",Q90," ")</f>
        <v> </v>
      </c>
      <c r="T90" s="6" t="str">
        <f aca="false">IF(P90="DR",Q90," ")</f>
        <v> </v>
      </c>
      <c r="U90" s="6" t="str">
        <f aca="false">IF(P90="W",Q90," ")</f>
        <v> </v>
      </c>
      <c r="V90" s="6" t="str">
        <f aca="false">IF(P90="J",Q90," ")</f>
        <v> </v>
      </c>
      <c r="W90" s="6" t="str">
        <f aca="false">IF(P90="RP",Q90," ")</f>
        <v> </v>
      </c>
      <c r="X90" s="6" t="str">
        <f aca="false">IF(P90="DL",Q90," ")</f>
        <v> </v>
      </c>
    </row>
    <row r="91" customFormat="false" ht="12.65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IF(E91="DL",F91," ")</f>
        <v> </v>
      </c>
      <c r="K91" s="37"/>
      <c r="P91" s="36" t="str">
        <f aca="false">IF(Q91&lt;&gt;0,"Enter Code"," ")</f>
        <v> </v>
      </c>
      <c r="R91" s="6" t="str">
        <f aca="false">IF(P91="BB",Q91," ")</f>
        <v> </v>
      </c>
      <c r="S91" s="6" t="str">
        <f aca="false">IF(P91="CR",Q91," ")</f>
        <v> </v>
      </c>
      <c r="T91" s="6" t="str">
        <f aca="false">IF(P91="DR",Q91," ")</f>
        <v> </v>
      </c>
      <c r="U91" s="6" t="str">
        <f aca="false">IF(P91="W",Q91," ")</f>
        <v> </v>
      </c>
      <c r="V91" s="6" t="str">
        <f aca="false">IF(P91="J",Q91," ")</f>
        <v> </v>
      </c>
      <c r="W91" s="6" t="str">
        <f aca="false">IF(P91="RP",Q91," ")</f>
        <v> </v>
      </c>
      <c r="X91" s="6" t="str">
        <f aca="false">IF(P91="DL",Q91," ")</f>
        <v> </v>
      </c>
    </row>
    <row r="92" customFormat="false" ht="12.65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IF(E92="DL",F92," ")</f>
        <v> </v>
      </c>
      <c r="K92" s="37"/>
      <c r="P92" s="36" t="str">
        <f aca="false">IF(Q92&lt;&gt;0,"Enter Code"," ")</f>
        <v> </v>
      </c>
      <c r="R92" s="6" t="str">
        <f aca="false">IF(P92="BB",Q92," ")</f>
        <v> </v>
      </c>
      <c r="S92" s="6" t="str">
        <f aca="false">IF(P92="CR",Q92," ")</f>
        <v> </v>
      </c>
      <c r="T92" s="6" t="str">
        <f aca="false">IF(P92="DR",Q92," ")</f>
        <v> </v>
      </c>
      <c r="U92" s="6" t="str">
        <f aca="false">IF(P92="W",Q92," ")</f>
        <v> </v>
      </c>
      <c r="V92" s="6" t="str">
        <f aca="false">IF(P92="J",Q92," ")</f>
        <v> </v>
      </c>
      <c r="W92" s="6" t="str">
        <f aca="false">IF(P92="RP",Q92," ")</f>
        <v> </v>
      </c>
      <c r="X92" s="6" t="str">
        <f aca="false">IF(P92="DL",Q92," ")</f>
        <v> </v>
      </c>
    </row>
    <row r="93" customFormat="false" ht="12.65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IF(E93="DL",F93," ")</f>
        <v> </v>
      </c>
      <c r="K93" s="37"/>
      <c r="P93" s="36" t="str">
        <f aca="false">IF(Q93&lt;&gt;0,"Enter Code"," ")</f>
        <v> </v>
      </c>
      <c r="R93" s="6" t="str">
        <f aca="false">IF(P93="BB",Q93," ")</f>
        <v> </v>
      </c>
      <c r="S93" s="6" t="str">
        <f aca="false">IF(P93="CR",Q93," ")</f>
        <v> </v>
      </c>
      <c r="T93" s="6" t="str">
        <f aca="false">IF(P93="DR",Q93," ")</f>
        <v> </v>
      </c>
      <c r="U93" s="6" t="str">
        <f aca="false">IF(P93="W",Q93," ")</f>
        <v> </v>
      </c>
      <c r="V93" s="6" t="str">
        <f aca="false">IF(P93="J",Q93," ")</f>
        <v> </v>
      </c>
      <c r="W93" s="6" t="str">
        <f aca="false">IF(P93="RP",Q93," ")</f>
        <v> </v>
      </c>
      <c r="X93" s="6" t="str">
        <f aca="false">IF(P93="DL",Q93," ")</f>
        <v> </v>
      </c>
    </row>
    <row r="94" customFormat="false" ht="12.65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IF(E94="DL",F94," ")</f>
        <v> </v>
      </c>
      <c r="K94" s="37"/>
      <c r="P94" s="36" t="str">
        <f aca="false">IF(Q94&lt;&gt;0,"Enter Code"," ")</f>
        <v> </v>
      </c>
      <c r="R94" s="6" t="str">
        <f aca="false">IF(P94="BB",Q94," ")</f>
        <v> </v>
      </c>
      <c r="S94" s="6" t="str">
        <f aca="false">IF(P94="CR",Q94," ")</f>
        <v> </v>
      </c>
      <c r="T94" s="6" t="str">
        <f aca="false">IF(P94="DR",Q94," ")</f>
        <v> </v>
      </c>
      <c r="U94" s="6" t="str">
        <f aca="false">IF(P94="W",Q94," ")</f>
        <v> </v>
      </c>
      <c r="V94" s="6" t="str">
        <f aca="false">IF(P94="J",Q94," ")</f>
        <v> </v>
      </c>
      <c r="W94" s="6" t="str">
        <f aca="false">IF(P94="RP",Q94," ")</f>
        <v> </v>
      </c>
      <c r="X94" s="6" t="str">
        <f aca="false">IF(P94="DL",Q94," ")</f>
        <v> </v>
      </c>
    </row>
    <row r="95" customFormat="false" ht="12.65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IF(E95="DL",F95," ")</f>
        <v> </v>
      </c>
      <c r="K95" s="37"/>
      <c r="P95" s="36" t="str">
        <f aca="false">IF(Q95&lt;&gt;0,"Enter Code"," ")</f>
        <v> </v>
      </c>
      <c r="R95" s="6" t="str">
        <f aca="false">IF(P95="BB",Q95," ")</f>
        <v> </v>
      </c>
      <c r="S95" s="6" t="str">
        <f aca="false">IF(P95="CR",Q95," ")</f>
        <v> </v>
      </c>
      <c r="T95" s="6" t="str">
        <f aca="false">IF(P95="DR",Q95," ")</f>
        <v> </v>
      </c>
      <c r="U95" s="6" t="str">
        <f aca="false">IF(P95="W",Q95," ")</f>
        <v> </v>
      </c>
      <c r="V95" s="6" t="str">
        <f aca="false">IF(P95="J",Q95," ")</f>
        <v> </v>
      </c>
      <c r="W95" s="6" t="str">
        <f aca="false">IF(P95="RP",Q95," ")</f>
        <v> </v>
      </c>
      <c r="X95" s="6" t="str">
        <f aca="false">IF(P95="DL",Q95," ")</f>
        <v> </v>
      </c>
    </row>
    <row r="96" customFormat="false" ht="12.65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IF(E96="DL",F96," ")</f>
        <v> </v>
      </c>
      <c r="K96" s="37"/>
      <c r="P96" s="36" t="str">
        <f aca="false">IF(Q96&lt;&gt;0,"Enter Code"," ")</f>
        <v> </v>
      </c>
      <c r="R96" s="6" t="str">
        <f aca="false">IF(P96="BB",Q96," ")</f>
        <v> </v>
      </c>
      <c r="S96" s="6" t="str">
        <f aca="false">IF(P96="CR",Q96," ")</f>
        <v> </v>
      </c>
      <c r="T96" s="6" t="str">
        <f aca="false">IF(P96="DR",Q96," ")</f>
        <v> </v>
      </c>
      <c r="U96" s="6" t="str">
        <f aca="false">IF(P96="W",Q96," ")</f>
        <v> </v>
      </c>
      <c r="V96" s="6" t="str">
        <f aca="false">IF(P96="J",Q96," ")</f>
        <v> </v>
      </c>
      <c r="W96" s="6" t="str">
        <f aca="false">IF(P96="RP",Q96," ")</f>
        <v> </v>
      </c>
      <c r="X96" s="6" t="str">
        <f aca="false">IF(P96="DL",Q96," ")</f>
        <v> </v>
      </c>
    </row>
    <row r="97" customFormat="false" ht="12.65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IF(E97="DL",F97," ")</f>
        <v> </v>
      </c>
      <c r="K97" s="37"/>
      <c r="P97" s="36" t="str">
        <f aca="false">IF(Q97&lt;&gt;0,"Enter Code"," ")</f>
        <v> </v>
      </c>
      <c r="R97" s="6" t="str">
        <f aca="false">IF(P97="BB",Q97," ")</f>
        <v> </v>
      </c>
      <c r="S97" s="6" t="str">
        <f aca="false">IF(P97="CR",Q97," ")</f>
        <v> </v>
      </c>
      <c r="T97" s="6" t="str">
        <f aca="false">IF(P97="DR",Q97," ")</f>
        <v> </v>
      </c>
      <c r="U97" s="6" t="str">
        <f aca="false">IF(P97="W",Q97," ")</f>
        <v> </v>
      </c>
      <c r="V97" s="6" t="str">
        <f aca="false">IF(P97="J",Q97," ")</f>
        <v> </v>
      </c>
      <c r="W97" s="6" t="str">
        <f aca="false">IF(P97="RP",Q97," ")</f>
        <v> </v>
      </c>
      <c r="X97" s="6" t="str">
        <f aca="false">IF(P97="DL",Q97," ")</f>
        <v> </v>
      </c>
    </row>
    <row r="98" customFormat="false" ht="12.65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IF(E98="DL",F98," ")</f>
        <v> </v>
      </c>
      <c r="K98" s="37"/>
      <c r="P98" s="36" t="str">
        <f aca="false">IF(Q98&lt;&gt;0,"Enter Code"," ")</f>
        <v> </v>
      </c>
      <c r="R98" s="6" t="str">
        <f aca="false">IF(P98="BB",Q98," ")</f>
        <v> </v>
      </c>
      <c r="S98" s="6" t="str">
        <f aca="false">IF(P98="CR",Q98," ")</f>
        <v> </v>
      </c>
      <c r="T98" s="6" t="str">
        <f aca="false">IF(P98="DR",Q98," ")</f>
        <v> </v>
      </c>
      <c r="U98" s="6" t="str">
        <f aca="false">IF(P98="W",Q98," ")</f>
        <v> </v>
      </c>
      <c r="V98" s="6" t="str">
        <f aca="false">IF(P98="J",Q98," ")</f>
        <v> </v>
      </c>
      <c r="W98" s="6" t="str">
        <f aca="false">IF(P98="RP",Q98," ")</f>
        <v> </v>
      </c>
      <c r="X98" s="6" t="str">
        <f aca="false">IF(P98="DL",Q98," ")</f>
        <v> </v>
      </c>
    </row>
    <row r="99" customFormat="false" ht="12.65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IF(E99="DL",F99," ")</f>
        <v> </v>
      </c>
      <c r="K99" s="37"/>
      <c r="P99" s="36" t="str">
        <f aca="false">IF(Q99&lt;&gt;0,"Enter Code"," ")</f>
        <v> </v>
      </c>
      <c r="R99" s="6" t="str">
        <f aca="false">IF(P99="BB",Q99," ")</f>
        <v> </v>
      </c>
      <c r="S99" s="6" t="str">
        <f aca="false">IF(P99="CR",Q99," ")</f>
        <v> </v>
      </c>
      <c r="T99" s="6" t="str">
        <f aca="false">IF(P99="DR",Q99," ")</f>
        <v> </v>
      </c>
      <c r="U99" s="6" t="str">
        <f aca="false">IF(P99="W",Q99," ")</f>
        <v> </v>
      </c>
      <c r="V99" s="6" t="str">
        <f aca="false">IF(P99="J",Q99," ")</f>
        <v> </v>
      </c>
      <c r="W99" s="6" t="str">
        <f aca="false">IF(P99="RP",Q99," ")</f>
        <v> </v>
      </c>
      <c r="X99" s="6" t="str">
        <f aca="false">IF(P99="DL",Q99," ")</f>
        <v> </v>
      </c>
    </row>
    <row r="100" customFormat="false" ht="12.65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IF(E100="DL",F100," ")</f>
        <v> </v>
      </c>
      <c r="K100" s="37"/>
      <c r="P100" s="36" t="str">
        <f aca="false">IF(Q100&lt;&gt;0,"Enter Code"," ")</f>
        <v> </v>
      </c>
      <c r="R100" s="6" t="str">
        <f aca="false">IF(P100="BB",Q100," ")</f>
        <v> </v>
      </c>
      <c r="S100" s="6" t="str">
        <f aca="false">IF(P100="CR",Q100," ")</f>
        <v> </v>
      </c>
      <c r="T100" s="6" t="str">
        <f aca="false">IF(P100="DR",Q100," ")</f>
        <v> </v>
      </c>
      <c r="U100" s="6" t="str">
        <f aca="false">IF(P100="W",Q100," ")</f>
        <v> </v>
      </c>
      <c r="V100" s="6" t="str">
        <f aca="false">IF(P100="J",Q100," ")</f>
        <v> </v>
      </c>
      <c r="W100" s="6" t="str">
        <f aca="false">IF(P100="RP",Q100," ")</f>
        <v> </v>
      </c>
      <c r="X100" s="6" t="str">
        <f aca="false">IF(P100="DL",Q100," ")</f>
        <v> </v>
      </c>
    </row>
    <row r="101" customFormat="false" ht="12.65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IF(E101="DL",F101," ")</f>
        <v> </v>
      </c>
      <c r="K101" s="37"/>
      <c r="P101" s="36" t="str">
        <f aca="false">IF(Q101&lt;&gt;0,"Enter Code"," ")</f>
        <v> </v>
      </c>
      <c r="R101" s="6" t="str">
        <f aca="false">IF(P101="BB",Q101," ")</f>
        <v> </v>
      </c>
      <c r="S101" s="6" t="str">
        <f aca="false">IF(P101="CR",Q101," ")</f>
        <v> </v>
      </c>
      <c r="T101" s="6" t="str">
        <f aca="false">IF(P101="DR",Q101," ")</f>
        <v> </v>
      </c>
      <c r="U101" s="6" t="str">
        <f aca="false">IF(P101="W",Q101," ")</f>
        <v> </v>
      </c>
      <c r="V101" s="6" t="str">
        <f aca="false">IF(P101="J",Q101," ")</f>
        <v> </v>
      </c>
      <c r="W101" s="6" t="str">
        <f aca="false">IF(P101="RP",Q101," ")</f>
        <v> </v>
      </c>
      <c r="X101" s="6" t="str">
        <f aca="false">IF(P101="DL",Q101," ")</f>
        <v> </v>
      </c>
    </row>
    <row r="102" customFormat="false" ht="12.65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IF(E102="DL",F102," ")</f>
        <v> </v>
      </c>
      <c r="K102" s="37"/>
      <c r="P102" s="36" t="str">
        <f aca="false">IF(Q102&lt;&gt;0,"Enter Code"," ")</f>
        <v> </v>
      </c>
      <c r="R102" s="6" t="str">
        <f aca="false">IF(P102="BB",Q102," ")</f>
        <v> </v>
      </c>
      <c r="S102" s="6" t="str">
        <f aca="false">IF(P102="CR",Q102," ")</f>
        <v> </v>
      </c>
      <c r="T102" s="6" t="str">
        <f aca="false">IF(P102="DR",Q102," ")</f>
        <v> </v>
      </c>
      <c r="U102" s="6" t="str">
        <f aca="false">IF(P102="W",Q102," ")</f>
        <v> </v>
      </c>
      <c r="V102" s="6" t="str">
        <f aca="false">IF(P102="J",Q102," ")</f>
        <v> </v>
      </c>
      <c r="W102" s="6" t="str">
        <f aca="false">IF(P102="RP",Q102," ")</f>
        <v> </v>
      </c>
      <c r="X102" s="6" t="str">
        <f aca="false">IF(P102="DL",Q102," ")</f>
        <v> </v>
      </c>
    </row>
    <row r="103" customFormat="false" ht="12.65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IF(E103="DL",F103," ")</f>
        <v> </v>
      </c>
      <c r="K103" s="37"/>
      <c r="P103" s="36" t="str">
        <f aca="false">IF(Q103&lt;&gt;0,"Enter Code"," ")</f>
        <v> </v>
      </c>
      <c r="R103" s="6" t="str">
        <f aca="false">IF(P103="BB",Q103," ")</f>
        <v> </v>
      </c>
      <c r="S103" s="6" t="str">
        <f aca="false">IF(P103="CR",Q103," ")</f>
        <v> </v>
      </c>
      <c r="T103" s="6" t="str">
        <f aca="false">IF(P103="DR",Q103," ")</f>
        <v> </v>
      </c>
      <c r="U103" s="6" t="str">
        <f aca="false">IF(P103="W",Q103," ")</f>
        <v> </v>
      </c>
      <c r="V103" s="6" t="str">
        <f aca="false">IF(P103="J",Q103," ")</f>
        <v> </v>
      </c>
      <c r="W103" s="6" t="str">
        <f aca="false">IF(P103="RP",Q103," ")</f>
        <v> </v>
      </c>
      <c r="X103" s="6" t="str">
        <f aca="false">IF(P103="DL",Q103," ")</f>
        <v> </v>
      </c>
    </row>
    <row r="104" customFormat="false" ht="12.65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IF(E104="DL",F104," ")</f>
        <v> </v>
      </c>
      <c r="K104" s="37"/>
      <c r="P104" s="36" t="str">
        <f aca="false">IF(Q104&lt;&gt;0,"Enter Code"," ")</f>
        <v> </v>
      </c>
      <c r="R104" s="6" t="str">
        <f aca="false">IF(P104="BB",Q104," ")</f>
        <v> </v>
      </c>
      <c r="S104" s="6" t="str">
        <f aca="false">IF(P104="CR",Q104," ")</f>
        <v> </v>
      </c>
      <c r="T104" s="6" t="str">
        <f aca="false">IF(P104="DR",Q104," ")</f>
        <v> </v>
      </c>
      <c r="U104" s="6" t="str">
        <f aca="false">IF(P104="W",Q104," ")</f>
        <v> </v>
      </c>
      <c r="V104" s="6" t="str">
        <f aca="false">IF(P104="J",Q104," ")</f>
        <v> </v>
      </c>
      <c r="W104" s="6" t="str">
        <f aca="false">IF(P104="RP",Q104," ")</f>
        <v> </v>
      </c>
      <c r="X104" s="6" t="str">
        <f aca="false">IF(P104="DL",Q104," ")</f>
        <v> </v>
      </c>
    </row>
    <row r="105" customFormat="false" ht="12.65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IF(E105="DL",F105," ")</f>
        <v> </v>
      </c>
      <c r="K105" s="37"/>
      <c r="P105" s="36" t="str">
        <f aca="false">IF(Q105&lt;&gt;0,"Enter Code"," ")</f>
        <v> </v>
      </c>
      <c r="R105" s="6" t="str">
        <f aca="false">IF(P105="BB",Q105," ")</f>
        <v> </v>
      </c>
      <c r="S105" s="6" t="str">
        <f aca="false">IF(P105="CR",Q105," ")</f>
        <v> </v>
      </c>
      <c r="T105" s="6" t="str">
        <f aca="false">IF(P105="DR",Q105," ")</f>
        <v> </v>
      </c>
      <c r="U105" s="6" t="str">
        <f aca="false">IF(P105="W",Q105," ")</f>
        <v> </v>
      </c>
      <c r="V105" s="6" t="str">
        <f aca="false">IF(P105="J",Q105," ")</f>
        <v> </v>
      </c>
      <c r="W105" s="6" t="str">
        <f aca="false">IF(P105="RP",Q105," ")</f>
        <v> </v>
      </c>
      <c r="X105" s="6" t="str">
        <f aca="false">IF(P105="DL",Q105," ")</f>
        <v> </v>
      </c>
    </row>
    <row r="106" customFormat="false" ht="12.65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IF(E106="DL",F106," ")</f>
        <v> </v>
      </c>
      <c r="K106" s="37"/>
      <c r="P106" s="36" t="str">
        <f aca="false">IF(Q106&lt;&gt;0,"Enter Code"," ")</f>
        <v> </v>
      </c>
      <c r="R106" s="6" t="str">
        <f aca="false">IF(P106="BB",Q106," ")</f>
        <v> </v>
      </c>
      <c r="S106" s="6" t="str">
        <f aca="false">IF(P106="CR",Q106," ")</f>
        <v> </v>
      </c>
      <c r="T106" s="6" t="str">
        <f aca="false">IF(P106="DR",Q106," ")</f>
        <v> </v>
      </c>
      <c r="U106" s="6" t="str">
        <f aca="false">IF(P106="W",Q106," ")</f>
        <v> </v>
      </c>
      <c r="V106" s="6" t="str">
        <f aca="false">IF(P106="J",Q106," ")</f>
        <v> </v>
      </c>
      <c r="W106" s="6" t="str">
        <f aca="false">IF(P106="RP",Q106," ")</f>
        <v> </v>
      </c>
      <c r="X106" s="6" t="str">
        <f aca="false">IF(P106="DL",Q106," ")</f>
        <v> </v>
      </c>
    </row>
    <row r="107" customFormat="false" ht="12.65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IF(E107="DL",F107," ")</f>
        <v> </v>
      </c>
      <c r="K107" s="37"/>
      <c r="P107" s="36" t="str">
        <f aca="false">IF(Q107&lt;&gt;0,"Enter Code"," ")</f>
        <v> </v>
      </c>
      <c r="R107" s="6" t="str">
        <f aca="false">IF(P107="BB",Q107," ")</f>
        <v> </v>
      </c>
      <c r="S107" s="6" t="str">
        <f aca="false">IF(P107="CR",Q107," ")</f>
        <v> </v>
      </c>
      <c r="T107" s="6" t="str">
        <f aca="false">IF(P107="DR",Q107," ")</f>
        <v> </v>
      </c>
      <c r="U107" s="6" t="str">
        <f aca="false">IF(P107="W",Q107," ")</f>
        <v> </v>
      </c>
      <c r="V107" s="6" t="str">
        <f aca="false">IF(P107="J",Q107," ")</f>
        <v> </v>
      </c>
      <c r="W107" s="6" t="str">
        <f aca="false">IF(P107="RP",Q107," ")</f>
        <v> </v>
      </c>
      <c r="X107" s="6" t="str">
        <f aca="false">IF(P107="DL",Q107," ")</f>
        <v> </v>
      </c>
    </row>
    <row r="108" customFormat="false" ht="12.65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IF(E108="DL",F108," ")</f>
        <v> </v>
      </c>
      <c r="K108" s="37"/>
      <c r="P108" s="36" t="str">
        <f aca="false">IF(Q108&lt;&gt;0,"Enter Code"," ")</f>
        <v> </v>
      </c>
      <c r="R108" s="6" t="str">
        <f aca="false">IF(P108="BB",Q108," ")</f>
        <v> </v>
      </c>
      <c r="S108" s="6" t="str">
        <f aca="false">IF(P108="CR",Q108," ")</f>
        <v> </v>
      </c>
      <c r="T108" s="6" t="str">
        <f aca="false">IF(P108="DR",Q108," ")</f>
        <v> </v>
      </c>
      <c r="U108" s="6" t="str">
        <f aca="false">IF(P108="W",Q108," ")</f>
        <v> </v>
      </c>
      <c r="V108" s="6" t="str">
        <f aca="false">IF(P108="J",Q108," ")</f>
        <v> </v>
      </c>
      <c r="W108" s="6" t="str">
        <f aca="false">IF(P108="RP",Q108," ")</f>
        <v> </v>
      </c>
      <c r="X108" s="6" t="str">
        <f aca="false">IF(P108="DL",Q108," ")</f>
        <v> </v>
      </c>
    </row>
    <row r="109" customFormat="false" ht="12.65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IF(E109="DL",F109," ")</f>
        <v> </v>
      </c>
      <c r="K109" s="37"/>
      <c r="P109" s="36" t="str">
        <f aca="false">IF(Q109&lt;&gt;0,"Enter Code"," ")</f>
        <v> </v>
      </c>
      <c r="R109" s="6" t="str">
        <f aca="false">IF(P109="BB",Q109," ")</f>
        <v> </v>
      </c>
      <c r="S109" s="6" t="str">
        <f aca="false">IF(P109="CR",Q109," ")</f>
        <v> </v>
      </c>
      <c r="T109" s="6" t="str">
        <f aca="false">IF(P109="DR",Q109," ")</f>
        <v> </v>
      </c>
      <c r="U109" s="6" t="str">
        <f aca="false">IF(P109="W",Q109," ")</f>
        <v> </v>
      </c>
      <c r="V109" s="6" t="str">
        <f aca="false">IF(P109="J",Q109," ")</f>
        <v> </v>
      </c>
      <c r="W109" s="6" t="str">
        <f aca="false">IF(P109="RP",Q109," ")</f>
        <v> </v>
      </c>
      <c r="X109" s="6" t="str">
        <f aca="false">IF(P109="DL",Q109," ")</f>
        <v> </v>
      </c>
    </row>
    <row r="110" customFormat="false" ht="12.65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IF(E110="DL",F110," ")</f>
        <v> </v>
      </c>
      <c r="K110" s="37"/>
      <c r="P110" s="36" t="str">
        <f aca="false">IF(Q110&lt;&gt;0,"Enter Code"," ")</f>
        <v> </v>
      </c>
      <c r="R110" s="6" t="str">
        <f aca="false">IF(P110="BB",Q110," ")</f>
        <v> </v>
      </c>
      <c r="S110" s="6" t="str">
        <f aca="false">IF(P110="CR",Q110," ")</f>
        <v> </v>
      </c>
      <c r="T110" s="6" t="str">
        <f aca="false">IF(P110="DR",Q110," ")</f>
        <v> </v>
      </c>
      <c r="U110" s="6" t="str">
        <f aca="false">IF(P110="W",Q110," ")</f>
        <v> </v>
      </c>
      <c r="V110" s="6" t="str">
        <f aca="false">IF(P110="J",Q110," ")</f>
        <v> </v>
      </c>
      <c r="W110" s="6" t="str">
        <f aca="false">IF(P110="RP",Q110," ")</f>
        <v> </v>
      </c>
      <c r="X110" s="6" t="str">
        <f aca="false">IF(P110="DL",Q110," ")</f>
        <v> </v>
      </c>
    </row>
    <row r="111" customFormat="false" ht="12.65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IF(E111="DL",F111," ")</f>
        <v> </v>
      </c>
      <c r="K111" s="37"/>
      <c r="P111" s="36" t="str">
        <f aca="false">IF(Q111&lt;&gt;0,"Enter Code"," ")</f>
        <v> </v>
      </c>
      <c r="R111" s="6" t="str">
        <f aca="false">IF(P111="BB",Q111," ")</f>
        <v> </v>
      </c>
      <c r="S111" s="6" t="str">
        <f aca="false">IF(P111="CR",Q111," ")</f>
        <v> </v>
      </c>
      <c r="T111" s="6" t="str">
        <f aca="false">IF(P111="DR",Q111," ")</f>
        <v> </v>
      </c>
      <c r="U111" s="6" t="str">
        <f aca="false">IF(P111="W",Q111," ")</f>
        <v> </v>
      </c>
      <c r="V111" s="6" t="str">
        <f aca="false">IF(P111="J",Q111," ")</f>
        <v> </v>
      </c>
      <c r="W111" s="6" t="str">
        <f aca="false">IF(P111="RP",Q111," ")</f>
        <v> </v>
      </c>
      <c r="X111" s="6" t="str">
        <f aca="false">IF(P111="DL",Q111," ")</f>
        <v> </v>
      </c>
    </row>
    <row r="112" customFormat="false" ht="12.65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IF(E112="DL",F112," ")</f>
        <v> </v>
      </c>
      <c r="K112" s="37"/>
      <c r="P112" s="36" t="str">
        <f aca="false">IF(Q112&lt;&gt;0,"Enter Code"," ")</f>
        <v> </v>
      </c>
      <c r="R112" s="6" t="str">
        <f aca="false">IF(P112="BB",Q112," ")</f>
        <v> </v>
      </c>
      <c r="S112" s="6" t="str">
        <f aca="false">IF(P112="CR",Q112," ")</f>
        <v> </v>
      </c>
      <c r="T112" s="6" t="str">
        <f aca="false">IF(P112="DR",Q112," ")</f>
        <v> </v>
      </c>
      <c r="U112" s="6" t="str">
        <f aca="false">IF(P112="W",Q112," ")</f>
        <v> </v>
      </c>
      <c r="V112" s="6" t="str">
        <f aca="false">IF(P112="J",Q112," ")</f>
        <v> </v>
      </c>
      <c r="W112" s="6" t="str">
        <f aca="false">IF(P112="RP",Q112," ")</f>
        <v> </v>
      </c>
      <c r="X112" s="6" t="str">
        <f aca="false">IF(P112="DL",Q112," ")</f>
        <v> </v>
      </c>
    </row>
    <row r="113" customFormat="false" ht="12.65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IF(E113="DL",F113," ")</f>
        <v> </v>
      </c>
      <c r="K113" s="37"/>
      <c r="P113" s="36" t="str">
        <f aca="false">IF(Q113&lt;&gt;0,"Enter Code"," ")</f>
        <v> </v>
      </c>
      <c r="R113" s="6" t="str">
        <f aca="false">IF(P113="BB",Q113," ")</f>
        <v> </v>
      </c>
      <c r="S113" s="6" t="str">
        <f aca="false">IF(P113="CR",Q113," ")</f>
        <v> </v>
      </c>
      <c r="T113" s="6" t="str">
        <f aca="false">IF(P113="DR",Q113," ")</f>
        <v> </v>
      </c>
      <c r="U113" s="6" t="str">
        <f aca="false">IF(P113="W",Q113," ")</f>
        <v> </v>
      </c>
      <c r="V113" s="6" t="str">
        <f aca="false">IF(P113="J",Q113," ")</f>
        <v> </v>
      </c>
      <c r="W113" s="6" t="str">
        <f aca="false">IF(P113="RP",Q113," ")</f>
        <v> </v>
      </c>
      <c r="X113" s="6" t="str">
        <f aca="false">IF(P113="DL",Q113," ")</f>
        <v> </v>
      </c>
    </row>
    <row r="114" customFormat="false" ht="12.65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IF(E114="DL",F114," ")</f>
        <v> </v>
      </c>
      <c r="K114" s="37"/>
      <c r="P114" s="36" t="str">
        <f aca="false">IF(Q114&lt;&gt;0,"Enter Code"," ")</f>
        <v> </v>
      </c>
      <c r="R114" s="6" t="str">
        <f aca="false">IF(P114="BB",Q114," ")</f>
        <v> </v>
      </c>
      <c r="S114" s="6" t="str">
        <f aca="false">IF(P114="CR",Q114," ")</f>
        <v> </v>
      </c>
      <c r="T114" s="6" t="str">
        <f aca="false">IF(P114="DR",Q114," ")</f>
        <v> </v>
      </c>
      <c r="U114" s="6" t="str">
        <f aca="false">IF(P114="W",Q114," ")</f>
        <v> </v>
      </c>
      <c r="V114" s="6" t="str">
        <f aca="false">IF(P114="J",Q114," ")</f>
        <v> </v>
      </c>
      <c r="W114" s="6" t="str">
        <f aca="false">IF(P114="RP",Q114," ")</f>
        <v> </v>
      </c>
      <c r="X114" s="6" t="str">
        <f aca="false">IF(P114="DL",Q114," ")</f>
        <v> </v>
      </c>
    </row>
    <row r="115" customFormat="false" ht="12.65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IF(E115="DL",F115," ")</f>
        <v> </v>
      </c>
      <c r="K115" s="37"/>
      <c r="P115" s="36" t="str">
        <f aca="false">IF(Q115&lt;&gt;0,"Enter Code"," ")</f>
        <v> </v>
      </c>
      <c r="R115" s="6" t="str">
        <f aca="false">IF(P115="BB",Q115," ")</f>
        <v> </v>
      </c>
      <c r="S115" s="6" t="str">
        <f aca="false">IF(P115="CR",Q115," ")</f>
        <v> </v>
      </c>
      <c r="T115" s="6" t="str">
        <f aca="false">IF(P115="DR",Q115," ")</f>
        <v> </v>
      </c>
      <c r="U115" s="6" t="str">
        <f aca="false">IF(P115="W",Q115," ")</f>
        <v> </v>
      </c>
      <c r="V115" s="6" t="str">
        <f aca="false">IF(P115="J",Q115," ")</f>
        <v> </v>
      </c>
      <c r="W115" s="6" t="str">
        <f aca="false">IF(P115="RP",Q115," ")</f>
        <v> </v>
      </c>
      <c r="X115" s="6" t="str">
        <f aca="false">IF(P115="DL",Q115," ")</f>
        <v> </v>
      </c>
    </row>
    <row r="116" customFormat="false" ht="12.65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IF(E116="DL",F116," ")</f>
        <v> </v>
      </c>
      <c r="K116" s="37"/>
      <c r="P116" s="36" t="str">
        <f aca="false">IF(Q116&lt;&gt;0,"Enter Code"," ")</f>
        <v> </v>
      </c>
      <c r="R116" s="6" t="str">
        <f aca="false">IF(P116="BB",Q116," ")</f>
        <v> </v>
      </c>
      <c r="S116" s="6" t="str">
        <f aca="false">IF(P116="CR",Q116," ")</f>
        <v> </v>
      </c>
      <c r="T116" s="6" t="str">
        <f aca="false">IF(P116="DR",Q116," ")</f>
        <v> </v>
      </c>
      <c r="U116" s="6" t="str">
        <f aca="false">IF(P116="W",Q116," ")</f>
        <v> </v>
      </c>
      <c r="V116" s="6" t="str">
        <f aca="false">IF(P116="J",Q116," ")</f>
        <v> </v>
      </c>
      <c r="W116" s="6" t="str">
        <f aca="false">IF(P116="RP",Q116," ")</f>
        <v> </v>
      </c>
      <c r="X116" s="6" t="str">
        <f aca="false">IF(P116="DL",Q116," ")</f>
        <v> </v>
      </c>
    </row>
    <row r="117" customFormat="false" ht="12.65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IF(E117="DL",F117," ")</f>
        <v> </v>
      </c>
      <c r="K117" s="37"/>
      <c r="P117" s="36" t="str">
        <f aca="false">IF(Q117&lt;&gt;0,"Enter Code"," ")</f>
        <v> </v>
      </c>
      <c r="R117" s="6" t="str">
        <f aca="false">IF(P117="BB",Q117," ")</f>
        <v> </v>
      </c>
      <c r="S117" s="6" t="str">
        <f aca="false">IF(P117="CR",Q117," ")</f>
        <v> </v>
      </c>
      <c r="T117" s="6" t="str">
        <f aca="false">IF(P117="DR",Q117," ")</f>
        <v> </v>
      </c>
      <c r="U117" s="6" t="str">
        <f aca="false">IF(P117="W",Q117," ")</f>
        <v> </v>
      </c>
      <c r="V117" s="6" t="str">
        <f aca="false">IF(P117="J",Q117," ")</f>
        <v> </v>
      </c>
      <c r="W117" s="6" t="str">
        <f aca="false">IF(P117="RP",Q117," ")</f>
        <v> </v>
      </c>
      <c r="X117" s="6" t="str">
        <f aca="false">IF(P117="DL",Q117," ")</f>
        <v> </v>
      </c>
    </row>
    <row r="118" customFormat="false" ht="12.65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IF(E118="DL",F118," ")</f>
        <v> </v>
      </c>
      <c r="K118" s="37"/>
      <c r="P118" s="36" t="str">
        <f aca="false">IF(Q118&lt;&gt;0,"Enter Code"," ")</f>
        <v> </v>
      </c>
      <c r="R118" s="6" t="str">
        <f aca="false">IF(P118="BB",Q118," ")</f>
        <v> </v>
      </c>
      <c r="S118" s="6" t="str">
        <f aca="false">IF(P118="CR",Q118," ")</f>
        <v> </v>
      </c>
      <c r="T118" s="6" t="str">
        <f aca="false">IF(P118="DR",Q118," ")</f>
        <v> </v>
      </c>
      <c r="U118" s="6" t="str">
        <f aca="false">IF(P118="W",Q118," ")</f>
        <v> </v>
      </c>
      <c r="V118" s="6" t="str">
        <f aca="false">IF(P118="J",Q118," ")</f>
        <v> </v>
      </c>
      <c r="W118" s="6" t="str">
        <f aca="false">IF(P118="RP",Q118," ")</f>
        <v> </v>
      </c>
      <c r="X118" s="6" t="str">
        <f aca="false">IF(P118="DL",Q118," ")</f>
        <v> </v>
      </c>
    </row>
    <row r="119" customFormat="false" ht="12.65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IF(E119="DL",F119," ")</f>
        <v> </v>
      </c>
      <c r="K119" s="37"/>
      <c r="P119" s="36" t="str">
        <f aca="false">IF(Q119&lt;&gt;0,"Enter Code"," ")</f>
        <v> </v>
      </c>
      <c r="R119" s="6" t="str">
        <f aca="false">IF(P119="BB",Q119," ")</f>
        <v> </v>
      </c>
      <c r="S119" s="6" t="str">
        <f aca="false">IF(P119="CR",Q119," ")</f>
        <v> </v>
      </c>
      <c r="T119" s="6" t="str">
        <f aca="false">IF(P119="DR",Q119," ")</f>
        <v> </v>
      </c>
      <c r="U119" s="6" t="str">
        <f aca="false">IF(P119="W",Q119," ")</f>
        <v> </v>
      </c>
      <c r="V119" s="6" t="str">
        <f aca="false">IF(P119="J",Q119," ")</f>
        <v> </v>
      </c>
      <c r="W119" s="6" t="str">
        <f aca="false">IF(P119="RP",Q119," ")</f>
        <v> </v>
      </c>
      <c r="X119" s="6" t="str">
        <f aca="false">IF(P119="DL",Q119," ")</f>
        <v> </v>
      </c>
    </row>
    <row r="120" customFormat="false" ht="12.65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IF(E120="DL",F120," ")</f>
        <v> </v>
      </c>
      <c r="K120" s="37"/>
      <c r="P120" s="36" t="str">
        <f aca="false">IF(Q120&lt;&gt;0,"Enter Code"," ")</f>
        <v> </v>
      </c>
      <c r="R120" s="6" t="str">
        <f aca="false">IF(P120="BB",Q120," ")</f>
        <v> </v>
      </c>
      <c r="S120" s="6" t="str">
        <f aca="false">IF(P120="CR",Q120," ")</f>
        <v> </v>
      </c>
      <c r="T120" s="6" t="str">
        <f aca="false">IF(P120="DR",Q120," ")</f>
        <v> </v>
      </c>
      <c r="U120" s="6" t="str">
        <f aca="false">IF(P120="W",Q120," ")</f>
        <v> </v>
      </c>
      <c r="V120" s="6" t="str">
        <f aca="false">IF(P120="J",Q120," ")</f>
        <v> </v>
      </c>
      <c r="W120" s="6" t="str">
        <f aca="false">IF(P120="RP",Q120," ")</f>
        <v> </v>
      </c>
      <c r="X120" s="6" t="str">
        <f aca="false">IF(P120="DL",Q120," ")</f>
        <v> </v>
      </c>
    </row>
    <row r="121" customFormat="false" ht="12.65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IF(E121="DL",F121," ")</f>
        <v> </v>
      </c>
      <c r="K121" s="37"/>
      <c r="P121" s="36" t="str">
        <f aca="false">IF(Q121&lt;&gt;0,"Enter Code"," ")</f>
        <v> </v>
      </c>
      <c r="R121" s="6" t="str">
        <f aca="false">IF(P121="BB",Q121," ")</f>
        <v> </v>
      </c>
      <c r="S121" s="6" t="str">
        <f aca="false">IF(P121="CR",Q121," ")</f>
        <v> </v>
      </c>
      <c r="T121" s="6" t="str">
        <f aca="false">IF(P121="DR",Q121," ")</f>
        <v> </v>
      </c>
      <c r="U121" s="6" t="str">
        <f aca="false">IF(P121="W",Q121," ")</f>
        <v> </v>
      </c>
      <c r="V121" s="6" t="str">
        <f aca="false">IF(P121="J",Q121," ")</f>
        <v> </v>
      </c>
      <c r="W121" s="6" t="str">
        <f aca="false">IF(P121="RP",Q121," ")</f>
        <v> </v>
      </c>
      <c r="X121" s="6" t="str">
        <f aca="false">IF(P121="DL",Q121," ")</f>
        <v> </v>
      </c>
    </row>
    <row r="122" customFormat="false" ht="12.65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IF(E122="DL",F122," ")</f>
        <v> </v>
      </c>
      <c r="K122" s="37"/>
      <c r="P122" s="36" t="str">
        <f aca="false">IF(Q122&lt;&gt;0,"Enter Code"," ")</f>
        <v> </v>
      </c>
      <c r="R122" s="6" t="str">
        <f aca="false">IF(P122="BB",Q122," ")</f>
        <v> </v>
      </c>
      <c r="S122" s="6" t="str">
        <f aca="false">IF(P122="CR",Q122," ")</f>
        <v> </v>
      </c>
      <c r="T122" s="6" t="str">
        <f aca="false">IF(P122="DR",Q122," ")</f>
        <v> </v>
      </c>
      <c r="U122" s="6" t="str">
        <f aca="false">IF(P122="W",Q122," ")</f>
        <v> </v>
      </c>
      <c r="V122" s="6" t="str">
        <f aca="false">IF(P122="J",Q122," ")</f>
        <v> </v>
      </c>
      <c r="W122" s="6" t="str">
        <f aca="false">IF(P122="RP",Q122," ")</f>
        <v> </v>
      </c>
      <c r="X122" s="6" t="str">
        <f aca="false">IF(P122="DL",Q122," ")</f>
        <v> </v>
      </c>
    </row>
    <row r="123" customFormat="false" ht="12.65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IF(E123="DL",F123," ")</f>
        <v> </v>
      </c>
      <c r="K123" s="37"/>
      <c r="P123" s="36" t="str">
        <f aca="false">IF(Q123&lt;&gt;0,"Enter Code"," ")</f>
        <v> </v>
      </c>
      <c r="R123" s="6" t="str">
        <f aca="false">IF(P123="BB",Q123," ")</f>
        <v> </v>
      </c>
      <c r="S123" s="6" t="str">
        <f aca="false">IF(P123="CR",Q123," ")</f>
        <v> </v>
      </c>
      <c r="T123" s="6" t="str">
        <f aca="false">IF(P123="DR",Q123," ")</f>
        <v> </v>
      </c>
      <c r="U123" s="6" t="str">
        <f aca="false">IF(P123="W",Q123," ")</f>
        <v> </v>
      </c>
      <c r="V123" s="6" t="str">
        <f aca="false">IF(P123="J",Q123," ")</f>
        <v> </v>
      </c>
      <c r="W123" s="6" t="str">
        <f aca="false">IF(P123="RP",Q123," ")</f>
        <v> </v>
      </c>
      <c r="X123" s="6" t="str">
        <f aca="false">IF(P123="DL",Q123," ")</f>
        <v> </v>
      </c>
    </row>
    <row r="124" customFormat="false" ht="12.65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IF(E124="DL",F124," ")</f>
        <v> </v>
      </c>
      <c r="K124" s="37"/>
      <c r="P124" s="36" t="str">
        <f aca="false">IF(Q124&lt;&gt;0,"Enter Code"," ")</f>
        <v> </v>
      </c>
      <c r="R124" s="6" t="str">
        <f aca="false">IF(P124="BB",Q124," ")</f>
        <v> </v>
      </c>
      <c r="S124" s="6" t="str">
        <f aca="false">IF(P124="CR",Q124," ")</f>
        <v> </v>
      </c>
      <c r="T124" s="6" t="str">
        <f aca="false">IF(P124="DR",Q124," ")</f>
        <v> </v>
      </c>
      <c r="U124" s="6" t="str">
        <f aca="false">IF(P124="W",Q124," ")</f>
        <v> </v>
      </c>
      <c r="V124" s="6" t="str">
        <f aca="false">IF(P124="J",Q124," ")</f>
        <v> </v>
      </c>
      <c r="W124" s="6" t="str">
        <f aca="false">IF(P124="RP",Q124," ")</f>
        <v> </v>
      </c>
      <c r="X124" s="6" t="str">
        <f aca="false">IF(P124="DL",Q124," ")</f>
        <v> </v>
      </c>
    </row>
    <row r="125" customFormat="false" ht="12.65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IF(E125="DL",F125," ")</f>
        <v> </v>
      </c>
      <c r="K125" s="37"/>
      <c r="P125" s="36" t="str">
        <f aca="false">IF(Q125&lt;&gt;0,"Enter Code"," ")</f>
        <v> </v>
      </c>
      <c r="R125" s="6" t="str">
        <f aca="false">IF(P125="BB",Q125," ")</f>
        <v> </v>
      </c>
      <c r="S125" s="6" t="str">
        <f aca="false">IF(P125="CR",Q125," ")</f>
        <v> </v>
      </c>
      <c r="T125" s="6" t="str">
        <f aca="false">IF(P125="DR",Q125," ")</f>
        <v> </v>
      </c>
      <c r="U125" s="6" t="str">
        <f aca="false">IF(P125="W",Q125," ")</f>
        <v> </v>
      </c>
      <c r="V125" s="6" t="str">
        <f aca="false">IF(P125="J",Q125," ")</f>
        <v> </v>
      </c>
      <c r="W125" s="6" t="str">
        <f aca="false">IF(P125="RP",Q125," ")</f>
        <v> </v>
      </c>
      <c r="X125" s="6" t="str">
        <f aca="false">IF(P125="DL",Q125," ")</f>
        <v> </v>
      </c>
    </row>
    <row r="126" customFormat="false" ht="12.65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IF(E126="DL",F126," ")</f>
        <v> </v>
      </c>
      <c r="K126" s="37"/>
      <c r="P126" s="36" t="str">
        <f aca="false">IF(Q126&lt;&gt;0,"Enter Code"," ")</f>
        <v> </v>
      </c>
      <c r="R126" s="6" t="str">
        <f aca="false">IF(P126="BB",Q126," ")</f>
        <v> </v>
      </c>
      <c r="S126" s="6" t="str">
        <f aca="false">IF(P126="CR",Q126," ")</f>
        <v> </v>
      </c>
      <c r="T126" s="6" t="str">
        <f aca="false">IF(P126="DR",Q126," ")</f>
        <v> </v>
      </c>
      <c r="U126" s="6" t="str">
        <f aca="false">IF(P126="W",Q126," ")</f>
        <v> </v>
      </c>
      <c r="V126" s="6" t="str">
        <f aca="false">IF(P126="J",Q126," ")</f>
        <v> </v>
      </c>
      <c r="W126" s="6" t="str">
        <f aca="false">IF(P126="RP",Q126," ")</f>
        <v> </v>
      </c>
      <c r="X126" s="6" t="str">
        <f aca="false">IF(P126="DL",Q126," ")</f>
        <v> </v>
      </c>
    </row>
    <row r="127" customFormat="false" ht="12.65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IF(E127="DL",F127," ")</f>
        <v> </v>
      </c>
      <c r="K127" s="37"/>
      <c r="P127" s="36" t="str">
        <f aca="false">IF(Q127&lt;&gt;0,"Enter Code"," ")</f>
        <v> </v>
      </c>
      <c r="R127" s="6" t="str">
        <f aca="false">IF(P127="BB",Q127," ")</f>
        <v> </v>
      </c>
      <c r="S127" s="6" t="str">
        <f aca="false">IF(P127="CR",Q127," ")</f>
        <v> </v>
      </c>
      <c r="T127" s="6" t="str">
        <f aca="false">IF(P127="DR",Q127," ")</f>
        <v> </v>
      </c>
      <c r="U127" s="6" t="str">
        <f aca="false">IF(P127="W",Q127," ")</f>
        <v> </v>
      </c>
      <c r="V127" s="6" t="str">
        <f aca="false">IF(P127="J",Q127," ")</f>
        <v> </v>
      </c>
      <c r="W127" s="6" t="str">
        <f aca="false">IF(P127="RP",Q127," ")</f>
        <v> </v>
      </c>
      <c r="X127" s="6" t="str">
        <f aca="false">IF(P127="DL",Q127," ")</f>
        <v> </v>
      </c>
    </row>
    <row r="128" customFormat="false" ht="12.65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IF(E128="DL",F128," ")</f>
        <v> </v>
      </c>
      <c r="K128" s="37"/>
      <c r="P128" s="36" t="str">
        <f aca="false">IF(Q128&lt;&gt;0,"Enter Code"," ")</f>
        <v> </v>
      </c>
      <c r="R128" s="6" t="str">
        <f aca="false">IF(P128="BB",Q128," ")</f>
        <v> </v>
      </c>
      <c r="S128" s="6" t="str">
        <f aca="false">IF(P128="CR",Q128," ")</f>
        <v> </v>
      </c>
      <c r="T128" s="6" t="str">
        <f aca="false">IF(P128="DR",Q128," ")</f>
        <v> </v>
      </c>
      <c r="U128" s="6" t="str">
        <f aca="false">IF(P128="W",Q128," ")</f>
        <v> </v>
      </c>
      <c r="V128" s="6" t="str">
        <f aca="false">IF(P128="J",Q128," ")</f>
        <v> </v>
      </c>
      <c r="W128" s="6" t="str">
        <f aca="false">IF(P128="RP",Q128," ")</f>
        <v> </v>
      </c>
      <c r="X128" s="6" t="str">
        <f aca="false">IF(P128="DL",Q128," ")</f>
        <v> </v>
      </c>
    </row>
    <row r="129" customFormat="false" ht="12.65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IF(E129="DL",F129," ")</f>
        <v> </v>
      </c>
      <c r="K129" s="37"/>
      <c r="P129" s="36" t="str">
        <f aca="false">IF(Q129&lt;&gt;0,"Enter Code"," ")</f>
        <v> </v>
      </c>
      <c r="R129" s="6" t="str">
        <f aca="false">IF(P129="BB",Q129," ")</f>
        <v> </v>
      </c>
      <c r="S129" s="6" t="str">
        <f aca="false">IF(P129="CR",Q129," ")</f>
        <v> </v>
      </c>
      <c r="T129" s="6" t="str">
        <f aca="false">IF(P129="DR",Q129," ")</f>
        <v> </v>
      </c>
      <c r="U129" s="6" t="str">
        <f aca="false">IF(P129="W",Q129," ")</f>
        <v> </v>
      </c>
      <c r="V129" s="6" t="str">
        <f aca="false">IF(P129="J",Q129," ")</f>
        <v> </v>
      </c>
      <c r="W129" s="6" t="str">
        <f aca="false">IF(P129="RP",Q129," ")</f>
        <v> </v>
      </c>
      <c r="X129" s="6" t="str">
        <f aca="false">IF(P129="DL",Q129," ")</f>
        <v> </v>
      </c>
    </row>
    <row r="130" customFormat="false" ht="12.65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IF(E130="DL",F130," ")</f>
        <v> </v>
      </c>
      <c r="K130" s="37"/>
      <c r="P130" s="36" t="str">
        <f aca="false">IF(Q130&lt;&gt;0,"Enter Code"," ")</f>
        <v> </v>
      </c>
      <c r="R130" s="6" t="str">
        <f aca="false">IF(P130="BB",Q130," ")</f>
        <v> </v>
      </c>
      <c r="S130" s="6" t="str">
        <f aca="false">IF(P130="CR",Q130," ")</f>
        <v> </v>
      </c>
      <c r="T130" s="6" t="str">
        <f aca="false">IF(P130="DR",Q130," ")</f>
        <v> </v>
      </c>
      <c r="U130" s="6" t="str">
        <f aca="false">IF(P130="W",Q130," ")</f>
        <v> </v>
      </c>
      <c r="V130" s="6" t="str">
        <f aca="false">IF(P130="J",Q130," ")</f>
        <v> </v>
      </c>
      <c r="W130" s="6" t="str">
        <f aca="false">IF(P130="RP",Q130," ")</f>
        <v> </v>
      </c>
      <c r="X130" s="6" t="str">
        <f aca="false">IF(P130="DL",Q130," ")</f>
        <v> </v>
      </c>
    </row>
    <row r="131" customFormat="false" ht="12.65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IF(E131="DL",F131," ")</f>
        <v> </v>
      </c>
      <c r="K131" s="37"/>
      <c r="P131" s="36" t="str">
        <f aca="false">IF(Q131&lt;&gt;0,"Enter Code"," ")</f>
        <v> </v>
      </c>
      <c r="R131" s="6" t="str">
        <f aca="false">IF(P131="BB",Q131," ")</f>
        <v> </v>
      </c>
      <c r="S131" s="6" t="str">
        <f aca="false">IF(P131="CR",Q131," ")</f>
        <v> </v>
      </c>
      <c r="T131" s="6" t="str">
        <f aca="false">IF(P131="DR",Q131," ")</f>
        <v> </v>
      </c>
      <c r="U131" s="6" t="str">
        <f aca="false">IF(P131="W",Q131," ")</f>
        <v> </v>
      </c>
      <c r="V131" s="6" t="str">
        <f aca="false">IF(P131="J",Q131," ")</f>
        <v> </v>
      </c>
      <c r="W131" s="6" t="str">
        <f aca="false">IF(P131="RP",Q131," ")</f>
        <v> </v>
      </c>
      <c r="X131" s="6" t="str">
        <f aca="false">IF(P131="DL",Q131," ")</f>
        <v> </v>
      </c>
    </row>
    <row r="132" customFormat="false" ht="12.65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IF(E132="DL",F132," ")</f>
        <v> </v>
      </c>
      <c r="K132" s="37"/>
      <c r="P132" s="36" t="str">
        <f aca="false">IF(Q132&lt;&gt;0,"Enter Code"," ")</f>
        <v> </v>
      </c>
      <c r="R132" s="6" t="str">
        <f aca="false">IF(P132="BB",Q132," ")</f>
        <v> </v>
      </c>
      <c r="S132" s="6" t="str">
        <f aca="false">IF(P132="CR",Q132," ")</f>
        <v> </v>
      </c>
      <c r="T132" s="6" t="str">
        <f aca="false">IF(P132="DR",Q132," ")</f>
        <v> </v>
      </c>
      <c r="U132" s="6" t="str">
        <f aca="false">IF(P132="W",Q132," ")</f>
        <v> </v>
      </c>
      <c r="V132" s="6" t="str">
        <f aca="false">IF(P132="J",Q132," ")</f>
        <v> </v>
      </c>
      <c r="W132" s="6" t="str">
        <f aca="false">IF(P132="RP",Q132," ")</f>
        <v> </v>
      </c>
      <c r="X132" s="6" t="str">
        <f aca="false">IF(P132="DL",Q132," ")</f>
        <v> </v>
      </c>
    </row>
    <row r="133" customFormat="false" ht="12.65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IF(E133="DL",F133," ")</f>
        <v> </v>
      </c>
      <c r="K133" s="37"/>
      <c r="P133" s="36" t="str">
        <f aca="false">IF(Q133&lt;&gt;0,"Enter Code"," ")</f>
        <v> </v>
      </c>
      <c r="R133" s="6" t="str">
        <f aca="false">IF(P133="BB",Q133," ")</f>
        <v> </v>
      </c>
      <c r="S133" s="6" t="str">
        <f aca="false">IF(P133="CR",Q133," ")</f>
        <v> </v>
      </c>
      <c r="T133" s="6" t="str">
        <f aca="false">IF(P133="DR",Q133," ")</f>
        <v> </v>
      </c>
      <c r="U133" s="6" t="str">
        <f aca="false">IF(P133="W",Q133," ")</f>
        <v> </v>
      </c>
      <c r="V133" s="6" t="str">
        <f aca="false">IF(P133="J",Q133," ")</f>
        <v> </v>
      </c>
      <c r="W133" s="6" t="str">
        <f aca="false">IF(P133="RP",Q133," ")</f>
        <v> </v>
      </c>
      <c r="X133" s="6" t="str">
        <f aca="false">IF(P133="DL",Q133," ")</f>
        <v> </v>
      </c>
    </row>
    <row r="134" customFormat="false" ht="12.65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IF(E134="DL",F134," ")</f>
        <v> </v>
      </c>
      <c r="K134" s="37"/>
      <c r="P134" s="36" t="str">
        <f aca="false">IF(Q134&lt;&gt;0,"Enter Code"," ")</f>
        <v> </v>
      </c>
      <c r="R134" s="6" t="str">
        <f aca="false">IF(P134="BB",Q134," ")</f>
        <v> </v>
      </c>
      <c r="S134" s="6" t="str">
        <f aca="false">IF(P134="CR",Q134," ")</f>
        <v> </v>
      </c>
      <c r="T134" s="6" t="str">
        <f aca="false">IF(P134="DR",Q134," ")</f>
        <v> </v>
      </c>
      <c r="U134" s="6" t="str">
        <f aca="false">IF(P134="W",Q134," ")</f>
        <v> </v>
      </c>
      <c r="V134" s="6" t="str">
        <f aca="false">IF(P134="J",Q134," ")</f>
        <v> </v>
      </c>
      <c r="W134" s="6" t="str">
        <f aca="false">IF(P134="RP",Q134," ")</f>
        <v> </v>
      </c>
      <c r="X134" s="6" t="str">
        <f aca="false">IF(P134="DL",Q134," ")</f>
        <v> </v>
      </c>
    </row>
    <row r="135" customFormat="false" ht="12.65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IF(E135="DL",F135," ")</f>
        <v> </v>
      </c>
      <c r="K135" s="37"/>
      <c r="P135" s="36" t="str">
        <f aca="false">IF(Q135&lt;&gt;0,"Enter Code"," ")</f>
        <v> </v>
      </c>
      <c r="R135" s="6" t="str">
        <f aca="false">IF(P135="BB",Q135," ")</f>
        <v> </v>
      </c>
      <c r="S135" s="6" t="str">
        <f aca="false">IF(P135="CR",Q135," ")</f>
        <v> </v>
      </c>
      <c r="T135" s="6" t="str">
        <f aca="false">IF(P135="DR",Q135," ")</f>
        <v> </v>
      </c>
      <c r="U135" s="6" t="str">
        <f aca="false">IF(P135="W",Q135," ")</f>
        <v> </v>
      </c>
      <c r="V135" s="6" t="str">
        <f aca="false">IF(P135="J",Q135," ")</f>
        <v> </v>
      </c>
      <c r="W135" s="6" t="str">
        <f aca="false">IF(P135="RP",Q135," ")</f>
        <v> </v>
      </c>
      <c r="X135" s="6" t="str">
        <f aca="false">IF(P135="DL",Q135," ")</f>
        <v> </v>
      </c>
    </row>
    <row r="136" customFormat="false" ht="12.65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IF(E136="DL",F136," ")</f>
        <v> </v>
      </c>
      <c r="K136" s="37"/>
      <c r="P136" s="36" t="str">
        <f aca="false">IF(Q136&lt;&gt;0,"Enter Code"," ")</f>
        <v> </v>
      </c>
      <c r="R136" s="6" t="str">
        <f aca="false">IF(P136="BB",Q136," ")</f>
        <v> </v>
      </c>
      <c r="S136" s="6" t="str">
        <f aca="false">IF(P136="CR",Q136," ")</f>
        <v> </v>
      </c>
      <c r="T136" s="6" t="str">
        <f aca="false">IF(P136="DR",Q136," ")</f>
        <v> </v>
      </c>
      <c r="U136" s="6" t="str">
        <f aca="false">IF(P136="W",Q136," ")</f>
        <v> </v>
      </c>
      <c r="V136" s="6" t="str">
        <f aca="false">IF(P136="J",Q136," ")</f>
        <v> </v>
      </c>
      <c r="W136" s="6" t="str">
        <f aca="false">IF(P136="RP",Q136," ")</f>
        <v> </v>
      </c>
      <c r="X136" s="6" t="str">
        <f aca="false">IF(P136="DL",Q136," ")</f>
        <v> </v>
      </c>
    </row>
    <row r="137" customFormat="false" ht="12.65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IF(E137="DL",F137," ")</f>
        <v> </v>
      </c>
      <c r="K137" s="37"/>
      <c r="P137" s="36" t="str">
        <f aca="false">IF(Q137&lt;&gt;0,"Enter Code"," ")</f>
        <v> </v>
      </c>
      <c r="R137" s="6" t="str">
        <f aca="false">IF(P137="BB",Q137," ")</f>
        <v> </v>
      </c>
      <c r="S137" s="6" t="str">
        <f aca="false">IF(P137="CR",Q137," ")</f>
        <v> </v>
      </c>
      <c r="T137" s="6" t="str">
        <f aca="false">IF(P137="DR",Q137," ")</f>
        <v> </v>
      </c>
      <c r="U137" s="6" t="str">
        <f aca="false">IF(P137="W",Q137," ")</f>
        <v> </v>
      </c>
      <c r="V137" s="6" t="str">
        <f aca="false">IF(P137="J",Q137," ")</f>
        <v> </v>
      </c>
      <c r="W137" s="6" t="str">
        <f aca="false">IF(P137="RP",Q137," ")</f>
        <v> </v>
      </c>
      <c r="X137" s="6" t="str">
        <f aca="false">IF(P137="DL",Q137," ")</f>
        <v> </v>
      </c>
    </row>
    <row r="138" customFormat="false" ht="12.65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IF(E138="DL",F138," ")</f>
        <v> </v>
      </c>
      <c r="K138" s="37"/>
      <c r="P138" s="36" t="str">
        <f aca="false">IF(Q138&lt;&gt;0,"Enter Code"," ")</f>
        <v> </v>
      </c>
      <c r="R138" s="6" t="str">
        <f aca="false">IF(P138="BB",Q138," ")</f>
        <v> </v>
      </c>
      <c r="S138" s="6" t="str">
        <f aca="false">IF(P138="CR",Q138," ")</f>
        <v> </v>
      </c>
      <c r="T138" s="6" t="str">
        <f aca="false">IF(P138="DR",Q138," ")</f>
        <v> </v>
      </c>
      <c r="U138" s="6" t="str">
        <f aca="false">IF(P138="W",Q138," ")</f>
        <v> </v>
      </c>
      <c r="V138" s="6" t="str">
        <f aca="false">IF(P138="J",Q138," ")</f>
        <v> </v>
      </c>
      <c r="W138" s="6" t="str">
        <f aca="false">IF(P138="RP",Q138," ")</f>
        <v> </v>
      </c>
      <c r="X138" s="6" t="str">
        <f aca="false">IF(P138="DL",Q138," ")</f>
        <v> </v>
      </c>
    </row>
    <row r="139" customFormat="false" ht="12.65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IF(E139="DL",F139," ")</f>
        <v> </v>
      </c>
      <c r="K139" s="37"/>
      <c r="P139" s="36" t="str">
        <f aca="false">IF(Q139&lt;&gt;0,"Enter Code"," ")</f>
        <v> </v>
      </c>
      <c r="R139" s="6" t="str">
        <f aca="false">IF(P139="BB",Q139," ")</f>
        <v> </v>
      </c>
      <c r="S139" s="6" t="str">
        <f aca="false">IF(P139="CR",Q139," ")</f>
        <v> </v>
      </c>
      <c r="T139" s="6" t="str">
        <f aca="false">IF(P139="DR",Q139," ")</f>
        <v> </v>
      </c>
      <c r="U139" s="6" t="str">
        <f aca="false">IF(P139="W",Q139," ")</f>
        <v> </v>
      </c>
      <c r="V139" s="6" t="str">
        <f aca="false">IF(P139="J",Q139," ")</f>
        <v> </v>
      </c>
      <c r="W139" s="6" t="str">
        <f aca="false">IF(P139="RP",Q139," ")</f>
        <v> </v>
      </c>
      <c r="X139" s="6" t="str">
        <f aca="false">IF(P139="DL",Q139," ")</f>
        <v> </v>
      </c>
    </row>
    <row r="140" customFormat="false" ht="12.65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IF(E140="DL",F140," ")</f>
        <v> </v>
      </c>
      <c r="K140" s="37"/>
      <c r="P140" s="36" t="str">
        <f aca="false">IF(Q140&lt;&gt;0,"Enter Code"," ")</f>
        <v> </v>
      </c>
      <c r="R140" s="6" t="str">
        <f aca="false">IF(P140="BB",Q140," ")</f>
        <v> </v>
      </c>
      <c r="S140" s="6" t="str">
        <f aca="false">IF(P140="CR",Q140," ")</f>
        <v> </v>
      </c>
      <c r="T140" s="6" t="str">
        <f aca="false">IF(P140="DR",Q140," ")</f>
        <v> </v>
      </c>
      <c r="U140" s="6" t="str">
        <f aca="false">IF(P140="W",Q140," ")</f>
        <v> </v>
      </c>
      <c r="V140" s="6" t="str">
        <f aca="false">IF(P140="J",Q140," ")</f>
        <v> </v>
      </c>
      <c r="W140" s="6" t="str">
        <f aca="false">IF(P140="RP",Q140," ")</f>
        <v> </v>
      </c>
      <c r="X140" s="6" t="str">
        <f aca="false">IF(P140="DL",Q140," ")</f>
        <v> </v>
      </c>
    </row>
    <row r="141" customFormat="false" ht="12.65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IF(E141="DL",F141," ")</f>
        <v> </v>
      </c>
      <c r="K141" s="37"/>
      <c r="P141" s="36" t="str">
        <f aca="false">IF(Q141&lt;&gt;0,"Enter Code"," ")</f>
        <v> </v>
      </c>
      <c r="R141" s="6" t="str">
        <f aca="false">IF(P141="BB",Q141," ")</f>
        <v> </v>
      </c>
      <c r="S141" s="6" t="str">
        <f aca="false">IF(P141="CR",Q141," ")</f>
        <v> </v>
      </c>
      <c r="T141" s="6" t="str">
        <f aca="false">IF(P141="DR",Q141," ")</f>
        <v> </v>
      </c>
      <c r="U141" s="6" t="str">
        <f aca="false">IF(P141="W",Q141," ")</f>
        <v> </v>
      </c>
      <c r="V141" s="6" t="str">
        <f aca="false">IF(P141="J",Q141," ")</f>
        <v> </v>
      </c>
      <c r="W141" s="6" t="str">
        <f aca="false">IF(P141="RP",Q141," ")</f>
        <v> </v>
      </c>
      <c r="X141" s="6" t="str">
        <f aca="false">IF(P141="DL",Q141," ")</f>
        <v> </v>
      </c>
    </row>
    <row r="142" customFormat="false" ht="12.65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IF(E142="DL",F142," ")</f>
        <v> </v>
      </c>
      <c r="K142" s="37"/>
      <c r="P142" s="36" t="str">
        <f aca="false">IF(Q142&lt;&gt;0,"Enter Code"," ")</f>
        <v> </v>
      </c>
      <c r="R142" s="6" t="str">
        <f aca="false">IF(P142="BB",Q142," ")</f>
        <v> </v>
      </c>
      <c r="S142" s="6" t="str">
        <f aca="false">IF(P142="CR",Q142," ")</f>
        <v> </v>
      </c>
      <c r="T142" s="6" t="str">
        <f aca="false">IF(P142="DR",Q142," ")</f>
        <v> </v>
      </c>
      <c r="U142" s="6" t="str">
        <f aca="false">IF(P142="W",Q142," ")</f>
        <v> </v>
      </c>
      <c r="V142" s="6" t="str">
        <f aca="false">IF(P142="J",Q142," ")</f>
        <v> </v>
      </c>
      <c r="W142" s="6" t="str">
        <f aca="false">IF(P142="RP",Q142," ")</f>
        <v> </v>
      </c>
      <c r="X142" s="6" t="str">
        <f aca="false">IF(P142="DL",Q142," ")</f>
        <v> </v>
      </c>
    </row>
    <row r="143" customFormat="false" ht="12.65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IF(E143="DL",F143," ")</f>
        <v> </v>
      </c>
      <c r="K143" s="37"/>
      <c r="P143" s="36" t="str">
        <f aca="false">IF(Q143&lt;&gt;0,"Enter Code"," ")</f>
        <v> </v>
      </c>
      <c r="R143" s="6" t="str">
        <f aca="false">IF(P143="BB",Q143," ")</f>
        <v> </v>
      </c>
      <c r="S143" s="6" t="str">
        <f aca="false">IF(P143="CR",Q143," ")</f>
        <v> </v>
      </c>
      <c r="T143" s="6" t="str">
        <f aca="false">IF(P143="DR",Q143," ")</f>
        <v> </v>
      </c>
      <c r="U143" s="6" t="str">
        <f aca="false">IF(P143="W",Q143," ")</f>
        <v> </v>
      </c>
      <c r="V143" s="6" t="str">
        <f aca="false">IF(P143="J",Q143," ")</f>
        <v> </v>
      </c>
      <c r="W143" s="6" t="str">
        <f aca="false">IF(P143="RP",Q143," ")</f>
        <v> </v>
      </c>
      <c r="X143" s="6" t="str">
        <f aca="false">IF(P143="DL",Q143," ")</f>
        <v> </v>
      </c>
    </row>
    <row r="144" customFormat="false" ht="12.65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IF(E144="DL",F144," ")</f>
        <v> </v>
      </c>
      <c r="K144" s="37"/>
      <c r="P144" s="36" t="str">
        <f aca="false">IF(Q144&lt;&gt;0,"Enter Code"," ")</f>
        <v> </v>
      </c>
      <c r="R144" s="6" t="str">
        <f aca="false">IF(P144="BB",Q144," ")</f>
        <v> </v>
      </c>
      <c r="S144" s="6" t="str">
        <f aca="false">IF(P144="CR",Q144," ")</f>
        <v> </v>
      </c>
      <c r="T144" s="6" t="str">
        <f aca="false">IF(P144="DR",Q144," ")</f>
        <v> </v>
      </c>
      <c r="U144" s="6" t="str">
        <f aca="false">IF(P144="W",Q144," ")</f>
        <v> </v>
      </c>
      <c r="V144" s="6" t="str">
        <f aca="false">IF(P144="J",Q144," ")</f>
        <v> </v>
      </c>
      <c r="W144" s="6" t="str">
        <f aca="false">IF(P144="RP",Q144," ")</f>
        <v> </v>
      </c>
      <c r="X144" s="6" t="str">
        <f aca="false">IF(P144="DL",Q144," ")</f>
        <v> </v>
      </c>
    </row>
    <row r="145" customFormat="false" ht="12.65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IF(E145="DL",F145," ")</f>
        <v> </v>
      </c>
      <c r="K145" s="37"/>
      <c r="P145" s="36" t="str">
        <f aca="false">IF(Q145&lt;&gt;0,"Enter Code"," ")</f>
        <v> </v>
      </c>
      <c r="R145" s="6" t="str">
        <f aca="false">IF(P145="BB",Q145," ")</f>
        <v> </v>
      </c>
      <c r="S145" s="6" t="str">
        <f aca="false">IF(P145="CR",Q145," ")</f>
        <v> </v>
      </c>
      <c r="T145" s="6" t="str">
        <f aca="false">IF(P145="DR",Q145," ")</f>
        <v> </v>
      </c>
      <c r="U145" s="6" t="str">
        <f aca="false">IF(P145="W",Q145," ")</f>
        <v> </v>
      </c>
      <c r="V145" s="6" t="str">
        <f aca="false">IF(P145="J",Q145," ")</f>
        <v> </v>
      </c>
      <c r="W145" s="6" t="str">
        <f aca="false">IF(P145="RP",Q145," ")</f>
        <v> </v>
      </c>
      <c r="X145" s="6" t="str">
        <f aca="false">IF(P145="DL",Q145," ")</f>
        <v> </v>
      </c>
    </row>
    <row r="146" customFormat="false" ht="12.65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IF(E146="DL",F146," ")</f>
        <v> </v>
      </c>
      <c r="K146" s="37"/>
      <c r="P146" s="36" t="str">
        <f aca="false">IF(Q146&lt;&gt;0,"Enter Code"," ")</f>
        <v> </v>
      </c>
      <c r="R146" s="6" t="str">
        <f aca="false">IF(P146="BB",Q146," ")</f>
        <v> </v>
      </c>
      <c r="S146" s="6" t="str">
        <f aca="false">IF(P146="CR",Q146," ")</f>
        <v> </v>
      </c>
      <c r="T146" s="6" t="str">
        <f aca="false">IF(P146="DR",Q146," ")</f>
        <v> </v>
      </c>
      <c r="U146" s="6" t="str">
        <f aca="false">IF(P146="W",Q146," ")</f>
        <v> </v>
      </c>
      <c r="V146" s="6" t="str">
        <f aca="false">IF(P146="J",Q146," ")</f>
        <v> </v>
      </c>
      <c r="W146" s="6" t="str">
        <f aca="false">IF(P146="RP",Q146," ")</f>
        <v> </v>
      </c>
      <c r="X146" s="6" t="str">
        <f aca="false">IF(P146="DL",Q146," ")</f>
        <v> </v>
      </c>
    </row>
    <row r="147" customFormat="false" ht="12.65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IF(E147="DL",F147," ")</f>
        <v> </v>
      </c>
      <c r="K147" s="37"/>
      <c r="P147" s="36" t="str">
        <f aca="false">IF(Q147&lt;&gt;0,"Enter Code"," ")</f>
        <v> </v>
      </c>
      <c r="R147" s="6" t="str">
        <f aca="false">IF(P147="BB",Q147," ")</f>
        <v> </v>
      </c>
      <c r="S147" s="6" t="str">
        <f aca="false">IF(P147="CR",Q147," ")</f>
        <v> </v>
      </c>
      <c r="T147" s="6" t="str">
        <f aca="false">IF(P147="DR",Q147," ")</f>
        <v> </v>
      </c>
      <c r="U147" s="6" t="str">
        <f aca="false">IF(P147="W",Q147," ")</f>
        <v> </v>
      </c>
      <c r="V147" s="6" t="str">
        <f aca="false">IF(P147="J",Q147," ")</f>
        <v> </v>
      </c>
      <c r="W147" s="6" t="str">
        <f aca="false">IF(P147="RP",Q147," ")</f>
        <v> </v>
      </c>
      <c r="X147" s="6" t="str">
        <f aca="false">IF(P147="DL",Q147," ")</f>
        <v> </v>
      </c>
    </row>
    <row r="148" customFormat="false" ht="12.65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IF(E148="DL",F148," ")</f>
        <v> </v>
      </c>
      <c r="K148" s="37"/>
      <c r="P148" s="36" t="str">
        <f aca="false">IF(Q148&lt;&gt;0,"Enter Code"," ")</f>
        <v> </v>
      </c>
      <c r="R148" s="6" t="str">
        <f aca="false">IF(P148="BB",Q148," ")</f>
        <v> </v>
      </c>
      <c r="S148" s="6" t="str">
        <f aca="false">IF(P148="CR",Q148," ")</f>
        <v> </v>
      </c>
      <c r="T148" s="6" t="str">
        <f aca="false">IF(P148="DR",Q148," ")</f>
        <v> </v>
      </c>
      <c r="U148" s="6" t="str">
        <f aca="false">IF(P148="W",Q148," ")</f>
        <v> </v>
      </c>
      <c r="V148" s="6" t="str">
        <f aca="false">IF(P148="J",Q148," ")</f>
        <v> </v>
      </c>
      <c r="W148" s="6" t="str">
        <f aca="false">IF(P148="RP",Q148," ")</f>
        <v> </v>
      </c>
      <c r="X148" s="6" t="str">
        <f aca="false">IF(P148="DL",Q148," ")</f>
        <v> </v>
      </c>
    </row>
    <row r="149" customFormat="false" ht="12.65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IF(E149="DL",F149," ")</f>
        <v> </v>
      </c>
      <c r="K149" s="37"/>
      <c r="P149" s="36" t="str">
        <f aca="false">IF(Q149&lt;&gt;0,"Enter Code"," ")</f>
        <v> </v>
      </c>
      <c r="R149" s="6" t="str">
        <f aca="false">IF(P149="BB",Q149," ")</f>
        <v> </v>
      </c>
      <c r="S149" s="6" t="str">
        <f aca="false">IF(P149="CR",Q149," ")</f>
        <v> </v>
      </c>
      <c r="T149" s="6" t="str">
        <f aca="false">IF(P149="DR",Q149," ")</f>
        <v> </v>
      </c>
      <c r="U149" s="6" t="str">
        <f aca="false">IF(P149="W",Q149," ")</f>
        <v> </v>
      </c>
      <c r="V149" s="6" t="str">
        <f aca="false">IF(P149="J",Q149," ")</f>
        <v> </v>
      </c>
      <c r="W149" s="6" t="str">
        <f aca="false">IF(P149="RP",Q149," ")</f>
        <v> </v>
      </c>
      <c r="X149" s="6" t="str">
        <f aca="false">IF(P149="DL",Q149," ")</f>
        <v> </v>
      </c>
    </row>
    <row r="150" customFormat="false" ht="12.65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IF(E150="DL",F150," ")</f>
        <v> </v>
      </c>
      <c r="K150" s="37"/>
      <c r="P150" s="36" t="str">
        <f aca="false">IF(Q150&lt;&gt;0,"Enter Code"," ")</f>
        <v> </v>
      </c>
      <c r="R150" s="6" t="str">
        <f aca="false">IF(P150="BB",Q150," ")</f>
        <v> </v>
      </c>
      <c r="S150" s="6" t="str">
        <f aca="false">IF(P150="CR",Q150," ")</f>
        <v> </v>
      </c>
      <c r="T150" s="6" t="str">
        <f aca="false">IF(P150="DR",Q150," ")</f>
        <v> </v>
      </c>
      <c r="U150" s="6" t="str">
        <f aca="false">IF(P150="W",Q150," ")</f>
        <v> </v>
      </c>
      <c r="V150" s="6" t="str">
        <f aca="false">IF(P150="J",Q150," ")</f>
        <v> </v>
      </c>
      <c r="W150" s="6" t="str">
        <f aca="false">IF(P150="RP",Q150," ")</f>
        <v> </v>
      </c>
      <c r="X150" s="6" t="str">
        <f aca="false">IF(P150="DL",Q150," ")</f>
        <v> </v>
      </c>
    </row>
    <row r="151" customFormat="false" ht="12.65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IF(E151="DL",F151," ")</f>
        <v> </v>
      </c>
      <c r="K151" s="37"/>
      <c r="P151" s="36" t="str">
        <f aca="false">IF(Q151&lt;&gt;0,"Enter Code"," ")</f>
        <v> </v>
      </c>
      <c r="R151" s="6" t="str">
        <f aca="false">IF(P151="BB",Q151," ")</f>
        <v> </v>
      </c>
      <c r="S151" s="6" t="str">
        <f aca="false">IF(P151="CR",Q151," ")</f>
        <v> </v>
      </c>
      <c r="T151" s="6" t="str">
        <f aca="false">IF(P151="DR",Q151," ")</f>
        <v> </v>
      </c>
      <c r="U151" s="6" t="str">
        <f aca="false">IF(P151="W",Q151," ")</f>
        <v> </v>
      </c>
      <c r="V151" s="6" t="str">
        <f aca="false">IF(P151="J",Q151," ")</f>
        <v> </v>
      </c>
      <c r="W151" s="6" t="str">
        <f aca="false">IF(P151="RP",Q151," ")</f>
        <v> </v>
      </c>
      <c r="X151" s="6" t="str">
        <f aca="false">IF(P151="DL",Q151," ")</f>
        <v> </v>
      </c>
    </row>
    <row r="152" customFormat="false" ht="12.65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IF(E152="DL",F152," ")</f>
        <v> </v>
      </c>
      <c r="K152" s="37"/>
      <c r="P152" s="36" t="str">
        <f aca="false">IF(Q152&lt;&gt;0,"Enter Code"," ")</f>
        <v> </v>
      </c>
      <c r="R152" s="6" t="str">
        <f aca="false">IF(P152="BB",Q152," ")</f>
        <v> </v>
      </c>
      <c r="S152" s="6" t="str">
        <f aca="false">IF(P152="CR",Q152," ")</f>
        <v> </v>
      </c>
      <c r="T152" s="6" t="str">
        <f aca="false">IF(P152="DR",Q152," ")</f>
        <v> </v>
      </c>
      <c r="U152" s="6" t="str">
        <f aca="false">IF(P152="W",Q152," ")</f>
        <v> </v>
      </c>
      <c r="V152" s="6" t="str">
        <f aca="false">IF(P152="J",Q152," ")</f>
        <v> </v>
      </c>
      <c r="W152" s="6" t="str">
        <f aca="false">IF(P152="RP",Q152," ")</f>
        <v> </v>
      </c>
      <c r="X152" s="6" t="str">
        <f aca="false">IF(P152="DL",Q152," ")</f>
        <v> </v>
      </c>
    </row>
    <row r="153" customFormat="false" ht="12.65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IF(E153="DL",F153," ")</f>
        <v> </v>
      </c>
      <c r="K153" s="37"/>
      <c r="P153" s="36" t="str">
        <f aca="false">IF(Q153&lt;&gt;0,"Enter Code"," ")</f>
        <v> </v>
      </c>
      <c r="R153" s="6" t="str">
        <f aca="false">IF(P153="BB",Q153," ")</f>
        <v> </v>
      </c>
      <c r="S153" s="6" t="str">
        <f aca="false">IF(P153="CR",Q153," ")</f>
        <v> </v>
      </c>
      <c r="T153" s="6" t="str">
        <f aca="false">IF(P153="DR",Q153," ")</f>
        <v> </v>
      </c>
      <c r="U153" s="6" t="str">
        <f aca="false">IF(P153="W",Q153," ")</f>
        <v> </v>
      </c>
      <c r="V153" s="6" t="str">
        <f aca="false">IF(P153="J",Q153," ")</f>
        <v> </v>
      </c>
      <c r="W153" s="6" t="str">
        <f aca="false">IF(P153="RP",Q153," ")</f>
        <v> </v>
      </c>
      <c r="X153" s="6" t="str">
        <f aca="false">IF(P153="DL",Q153," ")</f>
        <v> </v>
      </c>
    </row>
    <row r="154" customFormat="false" ht="12.65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IF(E154="DL",F154," ")</f>
        <v> </v>
      </c>
      <c r="K154" s="37"/>
      <c r="P154" s="36" t="str">
        <f aca="false">IF(Q154&lt;&gt;0,"Enter Code"," ")</f>
        <v> </v>
      </c>
      <c r="R154" s="6" t="str">
        <f aca="false">IF(P154="BB",Q154," ")</f>
        <v> </v>
      </c>
      <c r="S154" s="6" t="str">
        <f aca="false">IF(P154="CR",Q154," ")</f>
        <v> </v>
      </c>
      <c r="T154" s="6" t="str">
        <f aca="false">IF(P154="DR",Q154," ")</f>
        <v> </v>
      </c>
      <c r="U154" s="6" t="str">
        <f aca="false">IF(P154="W",Q154," ")</f>
        <v> </v>
      </c>
      <c r="V154" s="6" t="str">
        <f aca="false">IF(P154="J",Q154," ")</f>
        <v> </v>
      </c>
      <c r="W154" s="6" t="str">
        <f aca="false">IF(P154="RP",Q154," ")</f>
        <v> </v>
      </c>
      <c r="X154" s="6" t="str">
        <f aca="false">IF(P154="DL",Q154," ")</f>
        <v> </v>
      </c>
    </row>
    <row r="155" customFormat="false" ht="12.65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IF(E155="DL",F155," ")</f>
        <v> </v>
      </c>
      <c r="K155" s="37"/>
      <c r="P155" s="36" t="str">
        <f aca="false">IF(Q155&lt;&gt;0,"Enter Code"," ")</f>
        <v> </v>
      </c>
      <c r="R155" s="6" t="str">
        <f aca="false">IF(P155="BB",Q155," ")</f>
        <v> </v>
      </c>
      <c r="S155" s="6" t="str">
        <f aca="false">IF(P155="CR",Q155," ")</f>
        <v> </v>
      </c>
      <c r="T155" s="6" t="str">
        <f aca="false">IF(P155="DR",Q155," ")</f>
        <v> </v>
      </c>
      <c r="U155" s="6" t="str">
        <f aca="false">IF(P155="W",Q155," ")</f>
        <v> </v>
      </c>
      <c r="V155" s="6" t="str">
        <f aca="false">IF(P155="J",Q155," ")</f>
        <v> </v>
      </c>
      <c r="W155" s="6" t="str">
        <f aca="false">IF(P155="RP",Q155," ")</f>
        <v> </v>
      </c>
      <c r="X155" s="6" t="str">
        <f aca="false">IF(P155="DL",Q155," ")</f>
        <v> </v>
      </c>
    </row>
    <row r="156" customFormat="false" ht="12.65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IF(E156="DL",F156," ")</f>
        <v> </v>
      </c>
      <c r="K156" s="37"/>
      <c r="P156" s="36" t="str">
        <f aca="false">IF(Q156&lt;&gt;0,"Enter Code"," ")</f>
        <v> </v>
      </c>
      <c r="R156" s="6" t="str">
        <f aca="false">IF(P156="BB",Q156," ")</f>
        <v> </v>
      </c>
      <c r="S156" s="6" t="str">
        <f aca="false">IF(P156="CR",Q156," ")</f>
        <v> </v>
      </c>
      <c r="T156" s="6" t="str">
        <f aca="false">IF(P156="DR",Q156," ")</f>
        <v> </v>
      </c>
      <c r="U156" s="6" t="str">
        <f aca="false">IF(P156="W",Q156," ")</f>
        <v> </v>
      </c>
      <c r="V156" s="6" t="str">
        <f aca="false">IF(P156="J",Q156," ")</f>
        <v> </v>
      </c>
      <c r="W156" s="6" t="str">
        <f aca="false">IF(P156="RP",Q156," ")</f>
        <v> </v>
      </c>
      <c r="X156" s="6" t="str">
        <f aca="false">IF(P156="DL",Q156," ")</f>
        <v> </v>
      </c>
    </row>
    <row r="157" customFormat="false" ht="12.65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IF(E157="DL",F157," ")</f>
        <v> </v>
      </c>
      <c r="K157" s="37"/>
      <c r="P157" s="36" t="str">
        <f aca="false">IF(Q157&lt;&gt;0,"Enter Code"," ")</f>
        <v> </v>
      </c>
      <c r="R157" s="6" t="str">
        <f aca="false">IF(P157="BB",Q157," ")</f>
        <v> </v>
      </c>
      <c r="S157" s="6" t="str">
        <f aca="false">IF(P157="CR",Q157," ")</f>
        <v> </v>
      </c>
      <c r="T157" s="6" t="str">
        <f aca="false">IF(P157="DR",Q157," ")</f>
        <v> </v>
      </c>
      <c r="U157" s="6" t="str">
        <f aca="false">IF(P157="W",Q157," ")</f>
        <v> </v>
      </c>
      <c r="V157" s="6" t="str">
        <f aca="false">IF(P157="J",Q157," ")</f>
        <v> </v>
      </c>
      <c r="W157" s="6" t="str">
        <f aca="false">IF(P157="RP",Q157," ")</f>
        <v> </v>
      </c>
      <c r="X157" s="6" t="str">
        <f aca="false">IF(P157="DL",Q157," ")</f>
        <v> </v>
      </c>
    </row>
    <row r="158" customFormat="false" ht="12.65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IF(E158="DL",F158," ")</f>
        <v> </v>
      </c>
      <c r="K158" s="37"/>
      <c r="P158" s="36" t="str">
        <f aca="false">IF(Q158&lt;&gt;0,"Enter Code"," ")</f>
        <v> </v>
      </c>
      <c r="R158" s="6" t="str">
        <f aca="false">IF(P158="BB",Q158," ")</f>
        <v> </v>
      </c>
      <c r="S158" s="6" t="str">
        <f aca="false">IF(P158="CR",Q158," ")</f>
        <v> </v>
      </c>
      <c r="T158" s="6" t="str">
        <f aca="false">IF(P158="DR",Q158," ")</f>
        <v> </v>
      </c>
      <c r="U158" s="6" t="str">
        <f aca="false">IF(P158="W",Q158," ")</f>
        <v> </v>
      </c>
      <c r="V158" s="6" t="str">
        <f aca="false">IF(P158="J",Q158," ")</f>
        <v> </v>
      </c>
      <c r="W158" s="6" t="str">
        <f aca="false">IF(P158="RP",Q158," ")</f>
        <v> </v>
      </c>
      <c r="X158" s="6" t="str">
        <f aca="false">IF(P158="DL",Q158," ")</f>
        <v> </v>
      </c>
    </row>
    <row r="159" customFormat="false" ht="12.65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IF(E159="DL",F159," ")</f>
        <v> </v>
      </c>
      <c r="K159" s="37"/>
      <c r="P159" s="36" t="str">
        <f aca="false">IF(Q159&lt;&gt;0,"Enter Code"," ")</f>
        <v> </v>
      </c>
      <c r="R159" s="6" t="str">
        <f aca="false">IF(P159="BB",Q159," ")</f>
        <v> </v>
      </c>
      <c r="S159" s="6" t="str">
        <f aca="false">IF(P159="CR",Q159," ")</f>
        <v> </v>
      </c>
      <c r="T159" s="6" t="str">
        <f aca="false">IF(P159="DR",Q159," ")</f>
        <v> </v>
      </c>
      <c r="U159" s="6" t="str">
        <f aca="false">IF(P159="W",Q159," ")</f>
        <v> </v>
      </c>
      <c r="V159" s="6" t="str">
        <f aca="false">IF(P159="J",Q159," ")</f>
        <v> </v>
      </c>
      <c r="W159" s="6" t="str">
        <f aca="false">IF(P159="RP",Q159," ")</f>
        <v> </v>
      </c>
      <c r="X159" s="6" t="str">
        <f aca="false">IF(P159="DL",Q159," ")</f>
        <v> </v>
      </c>
    </row>
    <row r="160" customFormat="false" ht="12.65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IF(E160="DL",F160," ")</f>
        <v> </v>
      </c>
      <c r="K160" s="37"/>
      <c r="P160" s="36" t="str">
        <f aca="false">IF(Q160&lt;&gt;0,"Enter Code"," ")</f>
        <v> </v>
      </c>
      <c r="R160" s="6" t="str">
        <f aca="false">IF(P160="BB",Q160," ")</f>
        <v> </v>
      </c>
      <c r="S160" s="6" t="str">
        <f aca="false">IF(P160="CR",Q160," ")</f>
        <v> </v>
      </c>
      <c r="T160" s="6" t="str">
        <f aca="false">IF(P160="DR",Q160," ")</f>
        <v> </v>
      </c>
      <c r="U160" s="6" t="str">
        <f aca="false">IF(P160="W",Q160," ")</f>
        <v> </v>
      </c>
      <c r="V160" s="6" t="str">
        <f aca="false">IF(P160="J",Q160," ")</f>
        <v> </v>
      </c>
      <c r="W160" s="6" t="str">
        <f aca="false">IF(P160="RP",Q160," ")</f>
        <v> </v>
      </c>
      <c r="X160" s="6" t="str">
        <f aca="false">IF(P160="DL",Q160," ")</f>
        <v> </v>
      </c>
    </row>
    <row r="161" customFormat="false" ht="12.65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IF(E161="DL",F161," ")</f>
        <v> </v>
      </c>
      <c r="K161" s="37"/>
      <c r="P161" s="36" t="str">
        <f aca="false">IF(Q161&lt;&gt;0,"Enter Code"," ")</f>
        <v> </v>
      </c>
      <c r="R161" s="6" t="str">
        <f aca="false">IF(P161="BB",Q161," ")</f>
        <v> </v>
      </c>
      <c r="S161" s="6" t="str">
        <f aca="false">IF(P161="CR",Q161," ")</f>
        <v> </v>
      </c>
      <c r="T161" s="6" t="str">
        <f aca="false">IF(P161="DR",Q161," ")</f>
        <v> </v>
      </c>
      <c r="U161" s="6" t="str">
        <f aca="false">IF(P161="W",Q161," ")</f>
        <v> </v>
      </c>
      <c r="V161" s="6" t="str">
        <f aca="false">IF(P161="J",Q161," ")</f>
        <v> </v>
      </c>
      <c r="W161" s="6" t="str">
        <f aca="false">IF(P161="RP",Q161," ")</f>
        <v> </v>
      </c>
      <c r="X161" s="6" t="str">
        <f aca="false">IF(P161="DL",Q161," ")</f>
        <v> </v>
      </c>
    </row>
    <row r="162" customFormat="false" ht="12.65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IF(E162="DL",F162," ")</f>
        <v> </v>
      </c>
      <c r="K162" s="37"/>
      <c r="P162" s="36" t="str">
        <f aca="false">IF(Q162&lt;&gt;0,"Enter Code"," ")</f>
        <v> </v>
      </c>
      <c r="R162" s="6" t="str">
        <f aca="false">IF(P162="BB",Q162," ")</f>
        <v> </v>
      </c>
      <c r="S162" s="6" t="str">
        <f aca="false">IF(P162="CR",Q162," ")</f>
        <v> </v>
      </c>
      <c r="T162" s="6" t="str">
        <f aca="false">IF(P162="DR",Q162," ")</f>
        <v> </v>
      </c>
      <c r="U162" s="6" t="str">
        <f aca="false">IF(P162="W",Q162," ")</f>
        <v> </v>
      </c>
      <c r="V162" s="6" t="str">
        <f aca="false">IF(P162="J",Q162," ")</f>
        <v> </v>
      </c>
      <c r="W162" s="6" t="str">
        <f aca="false">IF(P162="RP",Q162," ")</f>
        <v> </v>
      </c>
      <c r="X162" s="6" t="str">
        <f aca="false">IF(P162="DL",Q162," ")</f>
        <v> </v>
      </c>
    </row>
    <row r="163" customFormat="false" ht="12.65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IF(E163="DL",F163," ")</f>
        <v> </v>
      </c>
      <c r="K163" s="37"/>
      <c r="P163" s="36" t="str">
        <f aca="false">IF(Q163&lt;&gt;0,"Enter Code"," ")</f>
        <v> </v>
      </c>
      <c r="R163" s="6" t="str">
        <f aca="false">IF(P163="BB",Q163," ")</f>
        <v> </v>
      </c>
      <c r="S163" s="6" t="str">
        <f aca="false">IF(P163="CR",Q163," ")</f>
        <v> </v>
      </c>
      <c r="T163" s="6" t="str">
        <f aca="false">IF(P163="DR",Q163," ")</f>
        <v> </v>
      </c>
      <c r="U163" s="6" t="str">
        <f aca="false">IF(P163="W",Q163," ")</f>
        <v> </v>
      </c>
      <c r="V163" s="6" t="str">
        <f aca="false">IF(P163="J",Q163," ")</f>
        <v> </v>
      </c>
      <c r="W163" s="6" t="str">
        <f aca="false">IF(P163="RP",Q163," ")</f>
        <v> </v>
      </c>
      <c r="X163" s="6" t="str">
        <f aca="false">IF(P163="DL",Q163," ")</f>
        <v> </v>
      </c>
    </row>
    <row r="164" customFormat="false" ht="12.65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IF(E164="DL",F164," ")</f>
        <v> </v>
      </c>
      <c r="K164" s="37"/>
      <c r="P164" s="36" t="str">
        <f aca="false">IF(Q164&lt;&gt;0,"Enter Code"," ")</f>
        <v> </v>
      </c>
      <c r="R164" s="6" t="str">
        <f aca="false">IF(P164="BB",Q164," ")</f>
        <v> </v>
      </c>
      <c r="S164" s="6" t="str">
        <f aca="false">IF(P164="CR",Q164," ")</f>
        <v> </v>
      </c>
      <c r="T164" s="6" t="str">
        <f aca="false">IF(P164="DR",Q164," ")</f>
        <v> </v>
      </c>
      <c r="U164" s="6" t="str">
        <f aca="false">IF(P164="W",Q164," ")</f>
        <v> </v>
      </c>
      <c r="V164" s="6" t="str">
        <f aca="false">IF(P164="J",Q164," ")</f>
        <v> </v>
      </c>
      <c r="W164" s="6" t="str">
        <f aca="false">IF(P164="RP",Q164," ")</f>
        <v> </v>
      </c>
      <c r="X164" s="6" t="str">
        <f aca="false">IF(P164="DL",Q164," ")</f>
        <v> </v>
      </c>
    </row>
    <row r="165" customFormat="false" ht="12.65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IF(E165="DL",F165," ")</f>
        <v> </v>
      </c>
      <c r="K165" s="37"/>
      <c r="P165" s="36" t="str">
        <f aca="false">IF(Q165&lt;&gt;0,"Enter Code"," ")</f>
        <v> </v>
      </c>
      <c r="R165" s="6" t="str">
        <f aca="false">IF(P165="BB",Q165," ")</f>
        <v> </v>
      </c>
      <c r="S165" s="6" t="str">
        <f aca="false">IF(P165="CR",Q165," ")</f>
        <v> </v>
      </c>
      <c r="T165" s="6" t="str">
        <f aca="false">IF(P165="DR",Q165," ")</f>
        <v> </v>
      </c>
      <c r="U165" s="6" t="str">
        <f aca="false">IF(P165="W",Q165," ")</f>
        <v> </v>
      </c>
      <c r="V165" s="6" t="str">
        <f aca="false">IF(P165="J",Q165," ")</f>
        <v> </v>
      </c>
      <c r="W165" s="6" t="str">
        <f aca="false">IF(P165="RP",Q165," ")</f>
        <v> </v>
      </c>
      <c r="X165" s="6" t="str">
        <f aca="false">IF(P165="DL",Q165," ")</f>
        <v> </v>
      </c>
    </row>
    <row r="166" customFormat="false" ht="12.65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IF(E166="DL",F166," ")</f>
        <v> </v>
      </c>
      <c r="K166" s="37"/>
      <c r="P166" s="36" t="str">
        <f aca="false">IF(Q166&lt;&gt;0,"Enter Code"," ")</f>
        <v> </v>
      </c>
      <c r="R166" s="6" t="str">
        <f aca="false">IF(P166="BB",Q166," ")</f>
        <v> </v>
      </c>
      <c r="S166" s="6" t="str">
        <f aca="false">IF(P166="CR",Q166," ")</f>
        <v> </v>
      </c>
      <c r="T166" s="6" t="str">
        <f aca="false">IF(P166="DR",Q166," ")</f>
        <v> </v>
      </c>
      <c r="U166" s="6" t="str">
        <f aca="false">IF(P166="W",Q166," ")</f>
        <v> </v>
      </c>
      <c r="V166" s="6" t="str">
        <f aca="false">IF(P166="J",Q166," ")</f>
        <v> </v>
      </c>
      <c r="W166" s="6" t="str">
        <f aca="false">IF(P166="RP",Q166," ")</f>
        <v> </v>
      </c>
      <c r="X166" s="6" t="str">
        <f aca="false">IF(P166="DL",Q166," ")</f>
        <v> </v>
      </c>
    </row>
    <row r="167" customFormat="false" ht="12.65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IF(E167="DL",F167," ")</f>
        <v> </v>
      </c>
      <c r="K167" s="37"/>
      <c r="P167" s="36" t="str">
        <f aca="false">IF(Q167&lt;&gt;0,"Enter Code"," ")</f>
        <v> </v>
      </c>
      <c r="R167" s="6" t="str">
        <f aca="false">IF(P167="BB",Q167," ")</f>
        <v> </v>
      </c>
      <c r="S167" s="6" t="str">
        <f aca="false">IF(P167="CR",Q167," ")</f>
        <v> </v>
      </c>
      <c r="T167" s="6" t="str">
        <f aca="false">IF(P167="DR",Q167," ")</f>
        <v> </v>
      </c>
      <c r="U167" s="6" t="str">
        <f aca="false">IF(P167="W",Q167," ")</f>
        <v> </v>
      </c>
      <c r="V167" s="6" t="str">
        <f aca="false">IF(P167="J",Q167," ")</f>
        <v> </v>
      </c>
      <c r="W167" s="6" t="str">
        <f aca="false">IF(P167="RP",Q167," ")</f>
        <v> </v>
      </c>
      <c r="X167" s="6" t="str">
        <f aca="false">IF(P167="DL",Q167," ")</f>
        <v> </v>
      </c>
    </row>
    <row r="168" customFormat="false" ht="12.65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IF(E168="DL",F168," ")</f>
        <v> </v>
      </c>
      <c r="K168" s="37"/>
      <c r="P168" s="36" t="str">
        <f aca="false">IF(Q168&lt;&gt;0,"Enter Code"," ")</f>
        <v> </v>
      </c>
      <c r="R168" s="6" t="str">
        <f aca="false">IF(P168="BB",Q168," ")</f>
        <v> </v>
      </c>
      <c r="S168" s="6" t="str">
        <f aca="false">IF(P168="CR",Q168," ")</f>
        <v> </v>
      </c>
      <c r="T168" s="6" t="str">
        <f aca="false">IF(P168="DR",Q168," ")</f>
        <v> </v>
      </c>
      <c r="U168" s="6" t="str">
        <f aca="false">IF(P168="W",Q168," ")</f>
        <v> </v>
      </c>
      <c r="V168" s="6" t="str">
        <f aca="false">IF(P168="J",Q168," ")</f>
        <v> </v>
      </c>
      <c r="W168" s="6" t="str">
        <f aca="false">IF(P168="RP",Q168," ")</f>
        <v> </v>
      </c>
      <c r="X168" s="6" t="str">
        <f aca="false">IF(P168="DL",Q168," ")</f>
        <v> </v>
      </c>
    </row>
    <row r="169" customFormat="false" ht="12.65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IF(E169="DL",F169," ")</f>
        <v> </v>
      </c>
      <c r="K169" s="37"/>
      <c r="P169" s="36" t="str">
        <f aca="false">IF(Q169&lt;&gt;0,"Enter Code"," ")</f>
        <v> </v>
      </c>
      <c r="R169" s="6" t="str">
        <f aca="false">IF(P169="BB",Q169," ")</f>
        <v> </v>
      </c>
      <c r="S169" s="6" t="str">
        <f aca="false">IF(P169="CR",Q169," ")</f>
        <v> </v>
      </c>
      <c r="T169" s="6" t="str">
        <f aca="false">IF(P169="DR",Q169," ")</f>
        <v> </v>
      </c>
      <c r="U169" s="6" t="str">
        <f aca="false">IF(P169="W",Q169," ")</f>
        <v> </v>
      </c>
      <c r="V169" s="6" t="str">
        <f aca="false">IF(P169="J",Q169," ")</f>
        <v> </v>
      </c>
      <c r="W169" s="6" t="str">
        <f aca="false">IF(P169="RP",Q169," ")</f>
        <v> </v>
      </c>
      <c r="X169" s="6" t="str">
        <f aca="false">IF(P169="DL",Q169," ")</f>
        <v> </v>
      </c>
    </row>
    <row r="170" customFormat="false" ht="12.65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IF(E170="DL",F170," ")</f>
        <v> </v>
      </c>
      <c r="K170" s="37"/>
      <c r="P170" s="36" t="str">
        <f aca="false">IF(Q170&lt;&gt;0,"Enter Code"," ")</f>
        <v> </v>
      </c>
      <c r="R170" s="6" t="str">
        <f aca="false">IF(P170="BB",Q170," ")</f>
        <v> </v>
      </c>
      <c r="S170" s="6" t="str">
        <f aca="false">IF(P170="CR",Q170," ")</f>
        <v> </v>
      </c>
      <c r="T170" s="6" t="str">
        <f aca="false">IF(P170="DR",Q170," ")</f>
        <v> </v>
      </c>
      <c r="U170" s="6" t="str">
        <f aca="false">IF(P170="W",Q170," ")</f>
        <v> </v>
      </c>
      <c r="V170" s="6" t="str">
        <f aca="false">IF(P170="J",Q170," ")</f>
        <v> </v>
      </c>
      <c r="W170" s="6" t="str">
        <f aca="false">IF(P170="RP",Q170," ")</f>
        <v> </v>
      </c>
      <c r="X170" s="6" t="str">
        <f aca="false">IF(P170="DL",Q170," ")</f>
        <v> </v>
      </c>
    </row>
    <row r="171" customFormat="false" ht="12.65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IF(E171="DL",F171," ")</f>
        <v> </v>
      </c>
      <c r="K171" s="37"/>
      <c r="P171" s="36" t="str">
        <f aca="false">IF(Q171&lt;&gt;0,"Enter Code"," ")</f>
        <v> </v>
      </c>
      <c r="R171" s="6" t="str">
        <f aca="false">IF(P171="BB",Q171," ")</f>
        <v> </v>
      </c>
      <c r="S171" s="6" t="str">
        <f aca="false">IF(P171="CR",Q171," ")</f>
        <v> </v>
      </c>
      <c r="T171" s="6" t="str">
        <f aca="false">IF(P171="DR",Q171," ")</f>
        <v> </v>
      </c>
      <c r="U171" s="6" t="str">
        <f aca="false">IF(P171="W",Q171," ")</f>
        <v> </v>
      </c>
      <c r="V171" s="6" t="str">
        <f aca="false">IF(P171="J",Q171," ")</f>
        <v> </v>
      </c>
      <c r="W171" s="6" t="str">
        <f aca="false">IF(P171="RP",Q171," ")</f>
        <v> </v>
      </c>
      <c r="X171" s="6" t="str">
        <f aca="false">IF(P171="DL",Q171," ")</f>
        <v> </v>
      </c>
    </row>
    <row r="172" customFormat="false" ht="12.65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IF(E172="DL",F172," ")</f>
        <v> </v>
      </c>
      <c r="K172" s="37"/>
      <c r="P172" s="36" t="str">
        <f aca="false">IF(Q172&lt;&gt;0,"Enter Code"," ")</f>
        <v> </v>
      </c>
      <c r="R172" s="6" t="str">
        <f aca="false">IF(P172="BB",Q172," ")</f>
        <v> </v>
      </c>
      <c r="S172" s="6" t="str">
        <f aca="false">IF(P172="CR",Q172," ")</f>
        <v> </v>
      </c>
      <c r="T172" s="6" t="str">
        <f aca="false">IF(P172="DR",Q172," ")</f>
        <v> </v>
      </c>
      <c r="U172" s="6" t="str">
        <f aca="false">IF(P172="W",Q172," ")</f>
        <v> </v>
      </c>
      <c r="V172" s="6" t="str">
        <f aca="false">IF(P172="J",Q172," ")</f>
        <v> </v>
      </c>
      <c r="W172" s="6" t="str">
        <f aca="false">IF(P172="RP",Q172," ")</f>
        <v> </v>
      </c>
      <c r="X172" s="6" t="str">
        <f aca="false">IF(P172="DL",Q172," ")</f>
        <v> </v>
      </c>
    </row>
    <row r="173" customFormat="false" ht="12.65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IF(E173="DL",F173," ")</f>
        <v> </v>
      </c>
      <c r="K173" s="37"/>
      <c r="P173" s="36" t="str">
        <f aca="false">IF(Q173&lt;&gt;0,"Enter Code"," ")</f>
        <v> </v>
      </c>
      <c r="R173" s="6" t="str">
        <f aca="false">IF(P173="BB",Q173," ")</f>
        <v> </v>
      </c>
      <c r="S173" s="6" t="str">
        <f aca="false">IF(P173="CR",Q173," ")</f>
        <v> </v>
      </c>
      <c r="T173" s="6" t="str">
        <f aca="false">IF(P173="DR",Q173," ")</f>
        <v> </v>
      </c>
      <c r="U173" s="6" t="str">
        <f aca="false">IF(P173="W",Q173," ")</f>
        <v> </v>
      </c>
      <c r="V173" s="6" t="str">
        <f aca="false">IF(P173="J",Q173," ")</f>
        <v> </v>
      </c>
      <c r="W173" s="6" t="str">
        <f aca="false">IF(P173="RP",Q173," ")</f>
        <v> </v>
      </c>
      <c r="X173" s="6" t="str">
        <f aca="false">IF(P173="DL",Q173," ")</f>
        <v> </v>
      </c>
    </row>
    <row r="174" customFormat="false" ht="12.65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IF(E174="DL",F174," ")</f>
        <v> </v>
      </c>
      <c r="K174" s="35"/>
      <c r="P174" s="36" t="str">
        <f aca="false">IF(Q174&lt;&gt;0,"Enter Code"," ")</f>
        <v> </v>
      </c>
      <c r="R174" s="6" t="str">
        <f aca="false">IF(P174="BB",Q174," ")</f>
        <v> </v>
      </c>
      <c r="S174" s="6" t="str">
        <f aca="false">IF(P174="CR",Q174," ")</f>
        <v> </v>
      </c>
      <c r="T174" s="6" t="str">
        <f aca="false">IF(P174="DR",Q174," ")</f>
        <v> </v>
      </c>
      <c r="U174" s="6" t="str">
        <f aca="false">IF(P174="W",Q174," ")</f>
        <v> </v>
      </c>
      <c r="V174" s="6" t="str">
        <f aca="false">IF(P174="J",Q174," ")</f>
        <v> </v>
      </c>
      <c r="W174" s="6" t="str">
        <f aca="false">IF(P174="RP",Q174," ")</f>
        <v> </v>
      </c>
      <c r="X174" s="6" t="str">
        <f aca="false">IF(P174="DL",Q174," ")</f>
        <v> </v>
      </c>
    </row>
    <row r="175" customFormat="false" ht="12.65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IF(E175="DL",F175," ")</f>
        <v> </v>
      </c>
      <c r="K175" s="38"/>
      <c r="P175" s="36" t="str">
        <f aca="false">IF(Q175&lt;&gt;0,"Enter Code"," ")</f>
        <v> </v>
      </c>
      <c r="R175" s="6" t="str">
        <f aca="false">IF(P175="BB",Q175," ")</f>
        <v> </v>
      </c>
      <c r="S175" s="6" t="str">
        <f aca="false">IF(P175="CR",Q175," ")</f>
        <v> </v>
      </c>
      <c r="T175" s="6" t="str">
        <f aca="false">IF(P175="DR",Q175," ")</f>
        <v> </v>
      </c>
      <c r="U175" s="6" t="str">
        <f aca="false">IF(P175="W",Q175," ")</f>
        <v> </v>
      </c>
      <c r="V175" s="6" t="str">
        <f aca="false">IF(P175="J",Q175," ")</f>
        <v> </v>
      </c>
      <c r="W175" s="6" t="str">
        <f aca="false">IF(P175="RP",Q175," ")</f>
        <v> </v>
      </c>
      <c r="X175" s="6" t="str">
        <f aca="false">IF(P175="DL",Q175," ")</f>
        <v> </v>
      </c>
    </row>
    <row r="176" customFormat="false" ht="12.65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IF(E176="DL",F176," ")</f>
        <v> </v>
      </c>
      <c r="K176" s="37"/>
      <c r="P176" s="36" t="str">
        <f aca="false">IF(Q176&lt;&gt;0,"Enter Code"," ")</f>
        <v> </v>
      </c>
      <c r="R176" s="6" t="str">
        <f aca="false">IF(P176="BB",Q176," ")</f>
        <v> </v>
      </c>
      <c r="S176" s="6" t="str">
        <f aca="false">IF(P176="CR",Q176," ")</f>
        <v> </v>
      </c>
      <c r="T176" s="6" t="str">
        <f aca="false">IF(P176="DR",Q176," ")</f>
        <v> </v>
      </c>
      <c r="U176" s="6" t="str">
        <f aca="false">IF(P176="W",Q176," ")</f>
        <v> </v>
      </c>
      <c r="V176" s="6" t="str">
        <f aca="false">IF(P176="J",Q176," ")</f>
        <v> </v>
      </c>
      <c r="W176" s="6" t="str">
        <f aca="false">IF(P176="RP",Q176," ")</f>
        <v> </v>
      </c>
      <c r="X176" s="6" t="str">
        <f aca="false">IF(P176="DL",Q176," ")</f>
        <v> </v>
      </c>
    </row>
    <row r="177" customFormat="false" ht="12.65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IF(E177="DL",F177," ")</f>
        <v> </v>
      </c>
      <c r="K177" s="37"/>
      <c r="P177" s="36" t="str">
        <f aca="false">IF(Q177&lt;&gt;0,"Enter Code"," ")</f>
        <v> </v>
      </c>
      <c r="R177" s="6" t="str">
        <f aca="false">IF(P177="BB",Q177," ")</f>
        <v> </v>
      </c>
      <c r="S177" s="6" t="str">
        <f aca="false">IF(P177="CR",Q177," ")</f>
        <v> </v>
      </c>
      <c r="T177" s="6" t="str">
        <f aca="false">IF(P177="DR",Q177," ")</f>
        <v> </v>
      </c>
      <c r="U177" s="6" t="str">
        <f aca="false">IF(P177="W",Q177," ")</f>
        <v> </v>
      </c>
      <c r="V177" s="6" t="str">
        <f aca="false">IF(P177="J",Q177," ")</f>
        <v> </v>
      </c>
      <c r="W177" s="6" t="str">
        <f aca="false">IF(P177="RP",Q177," ")</f>
        <v> </v>
      </c>
      <c r="X177" s="6" t="str">
        <f aca="false">IF(P177="DL",Q177," ")</f>
        <v> </v>
      </c>
    </row>
    <row r="178" customFormat="false" ht="12.65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IF(E178="DL",F178," ")</f>
        <v> </v>
      </c>
      <c r="K178" s="37"/>
      <c r="P178" s="36" t="str">
        <f aca="false">IF(Q178&lt;&gt;0,"Enter Code"," ")</f>
        <v> </v>
      </c>
      <c r="R178" s="6" t="str">
        <f aca="false">IF(P178="BB",Q178," ")</f>
        <v> </v>
      </c>
      <c r="S178" s="6" t="str">
        <f aca="false">IF(P178="CR",Q178," ")</f>
        <v> </v>
      </c>
      <c r="T178" s="6" t="str">
        <f aca="false">IF(P178="DR",Q178," ")</f>
        <v> </v>
      </c>
      <c r="U178" s="6" t="str">
        <f aca="false">IF(P178="W",Q178," ")</f>
        <v> </v>
      </c>
      <c r="V178" s="6" t="str">
        <f aca="false">IF(P178="J",Q178," ")</f>
        <v> </v>
      </c>
      <c r="W178" s="6" t="str">
        <f aca="false">IF(P178="RP",Q178," ")</f>
        <v> </v>
      </c>
      <c r="X178" s="6" t="str">
        <f aca="false">IF(P178="DL",Q178," ")</f>
        <v> </v>
      </c>
    </row>
    <row r="179" customFormat="false" ht="12.65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IF(E179="DL",F179," ")</f>
        <v> </v>
      </c>
      <c r="K179" s="37"/>
      <c r="P179" s="36" t="str">
        <f aca="false">IF(Q179&lt;&gt;0,"Enter Code"," ")</f>
        <v> </v>
      </c>
      <c r="R179" s="6" t="str">
        <f aca="false">IF(P179="BB",Q179," ")</f>
        <v> </v>
      </c>
      <c r="S179" s="6" t="str">
        <f aca="false">IF(P179="CR",Q179," ")</f>
        <v> </v>
      </c>
      <c r="T179" s="6" t="str">
        <f aca="false">IF(P179="DR",Q179," ")</f>
        <v> </v>
      </c>
      <c r="U179" s="6" t="str">
        <f aca="false">IF(P179="W",Q179," ")</f>
        <v> </v>
      </c>
      <c r="V179" s="6" t="str">
        <f aca="false">IF(P179="J",Q179," ")</f>
        <v> </v>
      </c>
      <c r="W179" s="6" t="str">
        <f aca="false">IF(P179="RP",Q179," ")</f>
        <v> </v>
      </c>
      <c r="X179" s="6" t="str">
        <f aca="false">IF(P179="DL",Q179," ")</f>
        <v> </v>
      </c>
    </row>
    <row r="180" customFormat="false" ht="12.65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IF(E180="DL",F180," ")</f>
        <v> </v>
      </c>
      <c r="K180" s="37"/>
      <c r="P180" s="36" t="str">
        <f aca="false">IF(Q180&lt;&gt;0,"Enter Code"," ")</f>
        <v> </v>
      </c>
      <c r="R180" s="6" t="str">
        <f aca="false">IF(P180="BB",Q180," ")</f>
        <v> </v>
      </c>
      <c r="S180" s="6" t="str">
        <f aca="false">IF(P180="CR",Q180," ")</f>
        <v> </v>
      </c>
      <c r="T180" s="6" t="str">
        <f aca="false">IF(P180="DR",Q180," ")</f>
        <v> </v>
      </c>
      <c r="U180" s="6" t="str">
        <f aca="false">IF(P180="W",Q180," ")</f>
        <v> </v>
      </c>
      <c r="V180" s="6" t="str">
        <f aca="false">IF(P180="J",Q180," ")</f>
        <v> </v>
      </c>
      <c r="W180" s="6" t="str">
        <f aca="false">IF(P180="RP",Q180," ")</f>
        <v> </v>
      </c>
      <c r="X180" s="6" t="str">
        <f aca="false">IF(P180="DL",Q180," ")</f>
        <v> </v>
      </c>
    </row>
    <row r="181" customFormat="false" ht="12.65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IF(E181="DL",F181," ")</f>
        <v> </v>
      </c>
      <c r="K181" s="37"/>
      <c r="P181" s="36" t="str">
        <f aca="false">IF(Q181&lt;&gt;0,"Enter Code"," ")</f>
        <v> </v>
      </c>
      <c r="R181" s="6" t="str">
        <f aca="false">IF(P181="BB",Q181," ")</f>
        <v> </v>
      </c>
      <c r="S181" s="6" t="str">
        <f aca="false">IF(P181="CR",Q181," ")</f>
        <v> </v>
      </c>
      <c r="T181" s="6" t="str">
        <f aca="false">IF(P181="DR",Q181," ")</f>
        <v> </v>
      </c>
      <c r="U181" s="6" t="str">
        <f aca="false">IF(P181="W",Q181," ")</f>
        <v> </v>
      </c>
      <c r="V181" s="6" t="str">
        <f aca="false">IF(P181="J",Q181," ")</f>
        <v> </v>
      </c>
      <c r="W181" s="6" t="str">
        <f aca="false">IF(P181="RP",Q181," ")</f>
        <v> </v>
      </c>
      <c r="X181" s="6" t="str">
        <f aca="false">IF(P181="DL",Q181," ")</f>
        <v> </v>
      </c>
    </row>
    <row r="182" customFormat="false" ht="12.65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IF(E182="DL",F182," ")</f>
        <v> </v>
      </c>
      <c r="K182" s="37"/>
      <c r="P182" s="36" t="str">
        <f aca="false">IF(Q182&lt;&gt;0,"Enter Code"," ")</f>
        <v> </v>
      </c>
      <c r="R182" s="6" t="str">
        <f aca="false">IF(P182="BB",Q182," ")</f>
        <v> </v>
      </c>
      <c r="S182" s="6" t="str">
        <f aca="false">IF(P182="CR",Q182," ")</f>
        <v> </v>
      </c>
      <c r="T182" s="6" t="str">
        <f aca="false">IF(P182="DR",Q182," ")</f>
        <v> </v>
      </c>
      <c r="U182" s="6" t="str">
        <f aca="false">IF(P182="W",Q182," ")</f>
        <v> </v>
      </c>
      <c r="V182" s="6" t="str">
        <f aca="false">IF(P182="J",Q182," ")</f>
        <v> </v>
      </c>
      <c r="W182" s="6" t="str">
        <f aca="false">IF(P182="RP",Q182," ")</f>
        <v> </v>
      </c>
      <c r="X182" s="6" t="str">
        <f aca="false">IF(P182="DL",Q182," ")</f>
        <v> </v>
      </c>
    </row>
    <row r="183" customFormat="false" ht="12.65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IF(E183="DL",F183," ")</f>
        <v> </v>
      </c>
      <c r="K183" s="37"/>
      <c r="P183" s="36" t="str">
        <f aca="false">IF(Q183&lt;&gt;0,"Enter Code"," ")</f>
        <v> </v>
      </c>
      <c r="R183" s="6" t="str">
        <f aca="false">IF(P183="BB",Q183," ")</f>
        <v> </v>
      </c>
      <c r="S183" s="6" t="str">
        <f aca="false">IF(P183="CR",Q183," ")</f>
        <v> </v>
      </c>
      <c r="T183" s="6" t="str">
        <f aca="false">IF(P183="DR",Q183," ")</f>
        <v> </v>
      </c>
      <c r="U183" s="6" t="str">
        <f aca="false">IF(P183="W",Q183," ")</f>
        <v> </v>
      </c>
      <c r="V183" s="6" t="str">
        <f aca="false">IF(P183="J",Q183," ")</f>
        <v> </v>
      </c>
      <c r="W183" s="6" t="str">
        <f aca="false">IF(P183="RP",Q183," ")</f>
        <v> </v>
      </c>
      <c r="X183" s="6" t="str">
        <f aca="false">IF(P183="DL",Q183," ")</f>
        <v> </v>
      </c>
    </row>
    <row r="184" customFormat="false" ht="12.65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IF(E184="DL",F184," ")</f>
        <v> </v>
      </c>
      <c r="K184" s="37"/>
      <c r="P184" s="36" t="str">
        <f aca="false">IF(Q184&lt;&gt;0,"Enter Code"," ")</f>
        <v> </v>
      </c>
      <c r="R184" s="6" t="str">
        <f aca="false">IF(P184="BB",Q184," ")</f>
        <v> </v>
      </c>
      <c r="S184" s="6" t="str">
        <f aca="false">IF(P184="CR",Q184," ")</f>
        <v> </v>
      </c>
      <c r="T184" s="6" t="str">
        <f aca="false">IF(P184="DR",Q184," ")</f>
        <v> </v>
      </c>
      <c r="U184" s="6" t="str">
        <f aca="false">IF(P184="W",Q184," ")</f>
        <v> </v>
      </c>
      <c r="V184" s="6" t="str">
        <f aca="false">IF(P184="J",Q184," ")</f>
        <v> </v>
      </c>
      <c r="W184" s="6" t="str">
        <f aca="false">IF(P184="RP",Q184," ")</f>
        <v> </v>
      </c>
      <c r="X184" s="6" t="str">
        <f aca="false">IF(P184="DL",Q184," ")</f>
        <v> </v>
      </c>
    </row>
    <row r="185" customFormat="false" ht="12.65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IF(E185="DL",F185," ")</f>
        <v> </v>
      </c>
      <c r="K185" s="37"/>
      <c r="P185" s="36" t="str">
        <f aca="false">IF(Q185&lt;&gt;0,"Enter Code"," ")</f>
        <v> </v>
      </c>
      <c r="R185" s="6" t="str">
        <f aca="false">IF(P185="BB",Q185," ")</f>
        <v> </v>
      </c>
      <c r="S185" s="6" t="str">
        <f aca="false">IF(P185="CR",Q185," ")</f>
        <v> </v>
      </c>
      <c r="T185" s="6" t="str">
        <f aca="false">IF(P185="DR",Q185," ")</f>
        <v> </v>
      </c>
      <c r="U185" s="6" t="str">
        <f aca="false">IF(P185="W",Q185," ")</f>
        <v> </v>
      </c>
      <c r="V185" s="6" t="str">
        <f aca="false">IF(P185="J",Q185," ")</f>
        <v> </v>
      </c>
      <c r="W185" s="6" t="str">
        <f aca="false">IF(P185="RP",Q185," ")</f>
        <v> </v>
      </c>
      <c r="X185" s="6" t="str">
        <f aca="false">IF(P185="DL",Q185," ")</f>
        <v> </v>
      </c>
    </row>
    <row r="186" customFormat="false" ht="12.65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IF(E186="DL",F186," ")</f>
        <v> </v>
      </c>
      <c r="K186" s="37"/>
      <c r="P186" s="36" t="str">
        <f aca="false">IF(Q186&lt;&gt;0,"Enter Code"," ")</f>
        <v> </v>
      </c>
      <c r="R186" s="6" t="str">
        <f aca="false">IF(P186="BB",Q186," ")</f>
        <v> </v>
      </c>
      <c r="S186" s="6" t="str">
        <f aca="false">IF(P186="CR",Q186," ")</f>
        <v> </v>
      </c>
      <c r="T186" s="6" t="str">
        <f aca="false">IF(P186="DR",Q186," ")</f>
        <v> </v>
      </c>
      <c r="U186" s="6" t="str">
        <f aca="false">IF(P186="W",Q186," ")</f>
        <v> </v>
      </c>
      <c r="V186" s="6" t="str">
        <f aca="false">IF(P186="J",Q186," ")</f>
        <v> </v>
      </c>
      <c r="W186" s="6" t="str">
        <f aca="false">IF(P186="RP",Q186," ")</f>
        <v> </v>
      </c>
      <c r="X186" s="6" t="str">
        <f aca="false">IF(P186="DL",Q186," ")</f>
        <v> </v>
      </c>
    </row>
    <row r="187" customFormat="false" ht="12.65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IF(E187="DL",F187," ")</f>
        <v> </v>
      </c>
      <c r="K187" s="37"/>
      <c r="P187" s="36" t="str">
        <f aca="false">IF(Q187&lt;&gt;0,"Enter Code"," ")</f>
        <v> </v>
      </c>
      <c r="R187" s="6" t="str">
        <f aca="false">IF(P187="BB",Q187," ")</f>
        <v> </v>
      </c>
      <c r="S187" s="6" t="str">
        <f aca="false">IF(P187="CR",Q187," ")</f>
        <v> </v>
      </c>
      <c r="T187" s="6" t="str">
        <f aca="false">IF(P187="DR",Q187," ")</f>
        <v> </v>
      </c>
      <c r="U187" s="6" t="str">
        <f aca="false">IF(P187="W",Q187," ")</f>
        <v> </v>
      </c>
      <c r="V187" s="6" t="str">
        <f aca="false">IF(P187="J",Q187," ")</f>
        <v> </v>
      </c>
      <c r="W187" s="6" t="str">
        <f aca="false">IF(P187="RP",Q187," ")</f>
        <v> </v>
      </c>
      <c r="X187" s="6" t="str">
        <f aca="false">IF(P187="DL",Q187," ")</f>
        <v> </v>
      </c>
    </row>
    <row r="188" customFormat="false" ht="12.65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IF(E188="DL",F188," ")</f>
        <v> </v>
      </c>
      <c r="K188" s="37"/>
      <c r="P188" s="36" t="str">
        <f aca="false">IF(Q188&lt;&gt;0,"Enter Code"," ")</f>
        <v> </v>
      </c>
      <c r="R188" s="6" t="str">
        <f aca="false">IF(P188="BB",Q188," ")</f>
        <v> </v>
      </c>
      <c r="S188" s="6" t="str">
        <f aca="false">IF(P188="CR",Q188," ")</f>
        <v> </v>
      </c>
      <c r="T188" s="6" t="str">
        <f aca="false">IF(P188="DR",Q188," ")</f>
        <v> </v>
      </c>
      <c r="U188" s="6" t="str">
        <f aca="false">IF(P188="W",Q188," ")</f>
        <v> </v>
      </c>
      <c r="V188" s="6" t="str">
        <f aca="false">IF(P188="J",Q188," ")</f>
        <v> </v>
      </c>
      <c r="W188" s="6" t="str">
        <f aca="false">IF(P188="RP",Q188," ")</f>
        <v> </v>
      </c>
      <c r="X188" s="6" t="str">
        <f aca="false">IF(P188="DL",Q188," ")</f>
        <v> </v>
      </c>
    </row>
    <row r="189" customFormat="false" ht="12.65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IF(E189="DL",F189," ")</f>
        <v> </v>
      </c>
      <c r="K189" s="37"/>
      <c r="P189" s="36" t="str">
        <f aca="false">IF(Q189&lt;&gt;0,"Enter Code"," ")</f>
        <v> </v>
      </c>
      <c r="R189" s="6" t="str">
        <f aca="false">IF(P189="BB",Q189," ")</f>
        <v> </v>
      </c>
      <c r="S189" s="6" t="str">
        <f aca="false">IF(P189="CR",Q189," ")</f>
        <v> </v>
      </c>
      <c r="T189" s="6" t="str">
        <f aca="false">IF(P189="DR",Q189," ")</f>
        <v> </v>
      </c>
      <c r="U189" s="6" t="str">
        <f aca="false">IF(P189="W",Q189," ")</f>
        <v> </v>
      </c>
      <c r="V189" s="6" t="str">
        <f aca="false">IF(P189="J",Q189," ")</f>
        <v> </v>
      </c>
      <c r="W189" s="6" t="str">
        <f aca="false">IF(P189="RP",Q189," ")</f>
        <v> </v>
      </c>
      <c r="X189" s="6" t="str">
        <f aca="false">IF(P189="DL",Q189," ")</f>
        <v> </v>
      </c>
    </row>
    <row r="190" customFormat="false" ht="12.65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IF(E190="DL",F190," ")</f>
        <v> </v>
      </c>
      <c r="K190" s="37"/>
      <c r="P190" s="36" t="str">
        <f aca="false">IF(Q190&lt;&gt;0,"Enter Code"," ")</f>
        <v> </v>
      </c>
      <c r="R190" s="6" t="str">
        <f aca="false">IF(P190="BB",Q190," ")</f>
        <v> </v>
      </c>
      <c r="S190" s="6" t="str">
        <f aca="false">IF(P190="CR",Q190," ")</f>
        <v> </v>
      </c>
      <c r="T190" s="6" t="str">
        <f aca="false">IF(P190="DR",Q190," ")</f>
        <v> </v>
      </c>
      <c r="U190" s="6" t="str">
        <f aca="false">IF(P190="W",Q190," ")</f>
        <v> </v>
      </c>
      <c r="V190" s="6" t="str">
        <f aca="false">IF(P190="J",Q190," ")</f>
        <v> </v>
      </c>
      <c r="W190" s="6" t="str">
        <f aca="false">IF(P190="RP",Q190," ")</f>
        <v> </v>
      </c>
      <c r="X190" s="6" t="str">
        <f aca="false">IF(P190="DL",Q190," ")</f>
        <v> </v>
      </c>
    </row>
    <row r="191" customFormat="false" ht="12.65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IF(E191="DL",F191," ")</f>
        <v> </v>
      </c>
      <c r="K191" s="37"/>
      <c r="P191" s="36" t="str">
        <f aca="false">IF(Q191&lt;&gt;0,"Enter Code"," ")</f>
        <v> </v>
      </c>
      <c r="R191" s="6" t="str">
        <f aca="false">IF(P191="BB",Q191," ")</f>
        <v> </v>
      </c>
      <c r="S191" s="6" t="str">
        <f aca="false">IF(P191="CR",Q191," ")</f>
        <v> </v>
      </c>
      <c r="T191" s="6" t="str">
        <f aca="false">IF(P191="DR",Q191," ")</f>
        <v> </v>
      </c>
      <c r="U191" s="6" t="str">
        <f aca="false">IF(P191="W",Q191," ")</f>
        <v> </v>
      </c>
      <c r="V191" s="6" t="str">
        <f aca="false">IF(P191="J",Q191," ")</f>
        <v> </v>
      </c>
      <c r="W191" s="6" t="str">
        <f aca="false">IF(P191="RP",Q191," ")</f>
        <v> </v>
      </c>
      <c r="X191" s="6" t="str">
        <f aca="false">IF(P191="DL",Q191," ")</f>
        <v> </v>
      </c>
    </row>
    <row r="192" customFormat="false" ht="12.65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IF(E192="DL",F192," ")</f>
        <v> </v>
      </c>
      <c r="K192" s="37"/>
      <c r="P192" s="36" t="str">
        <f aca="false">IF(Q192&lt;&gt;0,"Enter Code"," ")</f>
        <v> </v>
      </c>
      <c r="R192" s="6" t="str">
        <f aca="false">IF(P192="BB",Q192," ")</f>
        <v> </v>
      </c>
      <c r="S192" s="6" t="str">
        <f aca="false">IF(P192="CR",Q192," ")</f>
        <v> </v>
      </c>
      <c r="T192" s="6" t="str">
        <f aca="false">IF(P192="DR",Q192," ")</f>
        <v> </v>
      </c>
      <c r="U192" s="6" t="str">
        <f aca="false">IF(P192="W",Q192," ")</f>
        <v> </v>
      </c>
      <c r="V192" s="6" t="str">
        <f aca="false">IF(P192="J",Q192," ")</f>
        <v> </v>
      </c>
      <c r="W192" s="6" t="str">
        <f aca="false">IF(P192="RP",Q192," ")</f>
        <v> </v>
      </c>
      <c r="X192" s="6" t="str">
        <f aca="false">IF(P192="DL",Q192," ")</f>
        <v> </v>
      </c>
    </row>
    <row r="193" customFormat="false" ht="12.65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IF(E193="DL",F193," ")</f>
        <v> </v>
      </c>
      <c r="K193" s="37"/>
      <c r="P193" s="36" t="str">
        <f aca="false">IF(Q193&lt;&gt;0,"Enter Code"," ")</f>
        <v> </v>
      </c>
      <c r="R193" s="6" t="str">
        <f aca="false">IF(P193="BB",Q193," ")</f>
        <v> </v>
      </c>
      <c r="S193" s="6" t="str">
        <f aca="false">IF(P193="CR",Q193," ")</f>
        <v> </v>
      </c>
      <c r="T193" s="6" t="str">
        <f aca="false">IF(P193="DR",Q193," ")</f>
        <v> </v>
      </c>
      <c r="U193" s="6" t="str">
        <f aca="false">IF(P193="W",Q193," ")</f>
        <v> </v>
      </c>
      <c r="V193" s="6" t="str">
        <f aca="false">IF(P193="J",Q193," ")</f>
        <v> </v>
      </c>
      <c r="W193" s="6" t="str">
        <f aca="false">IF(P193="RP",Q193," ")</f>
        <v> </v>
      </c>
      <c r="X193" s="6" t="str">
        <f aca="false">IF(P193="DL",Q193," ")</f>
        <v> </v>
      </c>
    </row>
    <row r="194" customFormat="false" ht="12.65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IF(E194="DL",F194," ")</f>
        <v> </v>
      </c>
      <c r="K194" s="37"/>
      <c r="P194" s="36" t="str">
        <f aca="false">IF(Q194&lt;&gt;0,"Enter Code"," ")</f>
        <v> </v>
      </c>
      <c r="R194" s="6" t="str">
        <f aca="false">IF(P194="BB",Q194," ")</f>
        <v> </v>
      </c>
      <c r="S194" s="6" t="str">
        <f aca="false">IF(P194="CR",Q194," ")</f>
        <v> </v>
      </c>
      <c r="T194" s="6" t="str">
        <f aca="false">IF(P194="DR",Q194," ")</f>
        <v> </v>
      </c>
      <c r="U194" s="6" t="str">
        <f aca="false">IF(P194="W",Q194," ")</f>
        <v> </v>
      </c>
      <c r="V194" s="6" t="str">
        <f aca="false">IF(P194="J",Q194," ")</f>
        <v> </v>
      </c>
      <c r="W194" s="6" t="str">
        <f aca="false">IF(P194="RP",Q194," ")</f>
        <v> </v>
      </c>
      <c r="X194" s="6" t="str">
        <f aca="false">IF(P194="DL",Q194," ")</f>
        <v> </v>
      </c>
    </row>
    <row r="195" customFormat="false" ht="12.65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IF(E195="DL",F195," ")</f>
        <v> </v>
      </c>
      <c r="K195" s="37"/>
      <c r="P195" s="36" t="str">
        <f aca="false">IF(Q195&lt;&gt;0,"Enter Code"," ")</f>
        <v> </v>
      </c>
      <c r="R195" s="6" t="str">
        <f aca="false">IF(P195="BB",Q195," ")</f>
        <v> </v>
      </c>
      <c r="S195" s="6" t="str">
        <f aca="false">IF(P195="CR",Q195," ")</f>
        <v> </v>
      </c>
      <c r="T195" s="6" t="str">
        <f aca="false">IF(P195="DR",Q195," ")</f>
        <v> </v>
      </c>
      <c r="U195" s="6" t="str">
        <f aca="false">IF(P195="W",Q195," ")</f>
        <v> </v>
      </c>
      <c r="V195" s="6" t="str">
        <f aca="false">IF(P195="J",Q195," ")</f>
        <v> </v>
      </c>
      <c r="W195" s="6" t="str">
        <f aca="false">IF(P195="RP",Q195," ")</f>
        <v> </v>
      </c>
      <c r="X195" s="6" t="str">
        <f aca="false">IF(P195="DL",Q195," ")</f>
        <v> </v>
      </c>
    </row>
    <row r="196" customFormat="false" ht="12.65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IF(E196="DL",F196," ")</f>
        <v> </v>
      </c>
      <c r="K196" s="37"/>
      <c r="P196" s="36" t="str">
        <f aca="false">IF(Q196&lt;&gt;0,"Enter Code"," ")</f>
        <v> </v>
      </c>
      <c r="R196" s="6" t="str">
        <f aca="false">IF(P196="BB",Q196," ")</f>
        <v> </v>
      </c>
      <c r="S196" s="6" t="str">
        <f aca="false">IF(P196="CR",Q196," ")</f>
        <v> </v>
      </c>
      <c r="T196" s="6" t="str">
        <f aca="false">IF(P196="DR",Q196," ")</f>
        <v> </v>
      </c>
      <c r="U196" s="6" t="str">
        <f aca="false">IF(P196="W",Q196," ")</f>
        <v> </v>
      </c>
      <c r="V196" s="6" t="str">
        <f aca="false">IF(P196="J",Q196," ")</f>
        <v> </v>
      </c>
      <c r="W196" s="6" t="str">
        <f aca="false">IF(P196="RP",Q196," ")</f>
        <v> </v>
      </c>
      <c r="X196" s="6" t="str">
        <f aca="false">IF(P196="DL",Q196," ")</f>
        <v> </v>
      </c>
    </row>
    <row r="197" customFormat="false" ht="12.65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IF(E197="DL",F197," ")</f>
        <v> </v>
      </c>
      <c r="K197" s="37"/>
      <c r="P197" s="36" t="str">
        <f aca="false">IF(Q197&lt;&gt;0,"Enter Code"," ")</f>
        <v> </v>
      </c>
      <c r="R197" s="6" t="str">
        <f aca="false">IF(P197="BB",Q197," ")</f>
        <v> </v>
      </c>
      <c r="S197" s="6" t="str">
        <f aca="false">IF(P197="CR",Q197," ")</f>
        <v> </v>
      </c>
      <c r="T197" s="6" t="str">
        <f aca="false">IF(P197="DR",Q197," ")</f>
        <v> </v>
      </c>
      <c r="U197" s="6" t="str">
        <f aca="false">IF(P197="W",Q197," ")</f>
        <v> </v>
      </c>
      <c r="V197" s="6" t="str">
        <f aca="false">IF(P197="J",Q197," ")</f>
        <v> </v>
      </c>
      <c r="W197" s="6" t="str">
        <f aca="false">IF(P197="RP",Q197," ")</f>
        <v> </v>
      </c>
      <c r="X197" s="6" t="str">
        <f aca="false">IF(P197="DL",Q197," ")</f>
        <v> </v>
      </c>
    </row>
    <row r="198" customFormat="false" ht="12.65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IF(E198="DL",F198," ")</f>
        <v> </v>
      </c>
      <c r="K198" s="37"/>
      <c r="P198" s="36" t="str">
        <f aca="false">IF(Q198&lt;&gt;0,"Enter Code"," ")</f>
        <v> </v>
      </c>
      <c r="R198" s="6" t="str">
        <f aca="false">IF(P198="BB",Q198," ")</f>
        <v> </v>
      </c>
      <c r="S198" s="6" t="str">
        <f aca="false">IF(P198="CR",Q198," ")</f>
        <v> </v>
      </c>
      <c r="T198" s="6" t="str">
        <f aca="false">IF(P198="DR",Q198," ")</f>
        <v> </v>
      </c>
      <c r="U198" s="6" t="str">
        <f aca="false">IF(P198="W",Q198," ")</f>
        <v> </v>
      </c>
      <c r="V198" s="6" t="str">
        <f aca="false">IF(P198="J",Q198," ")</f>
        <v> </v>
      </c>
      <c r="W198" s="6" t="str">
        <f aca="false">IF(P198="RP",Q198," ")</f>
        <v> </v>
      </c>
      <c r="X198" s="6" t="str">
        <f aca="false">IF(P198="DL",Q198," ")</f>
        <v> </v>
      </c>
    </row>
    <row r="199" customFormat="false" ht="12.65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IF(E199="DL",F199," ")</f>
        <v> </v>
      </c>
      <c r="K199" s="37"/>
      <c r="P199" s="36" t="str">
        <f aca="false">IF(Q199&lt;&gt;0,"Enter Code"," ")</f>
        <v> </v>
      </c>
      <c r="R199" s="6" t="str">
        <f aca="false">IF(P199="BB",Q199," ")</f>
        <v> </v>
      </c>
      <c r="S199" s="6" t="str">
        <f aca="false">IF(P199="CR",Q199," ")</f>
        <v> </v>
      </c>
      <c r="T199" s="6" t="str">
        <f aca="false">IF(P199="DR",Q199," ")</f>
        <v> </v>
      </c>
      <c r="U199" s="6" t="str">
        <f aca="false">IF(P199="W",Q199," ")</f>
        <v> </v>
      </c>
      <c r="V199" s="6" t="str">
        <f aca="false">IF(P199="J",Q199," ")</f>
        <v> </v>
      </c>
      <c r="W199" s="6" t="str">
        <f aca="false">IF(P199="RP",Q199," ")</f>
        <v> </v>
      </c>
      <c r="X199" s="6" t="str">
        <f aca="false">IF(P199="DL",Q199," ")</f>
        <v> </v>
      </c>
    </row>
    <row r="200" customFormat="false" ht="12.65" hidden="false" customHeight="false" outlineLevel="0" collapsed="false">
      <c r="A200" s="50"/>
      <c r="B200" s="40"/>
      <c r="C200" s="5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IF(E200="DR",F200," ")</f>
        <v> </v>
      </c>
      <c r="I200" s="44" t="str">
        <f aca="false">IF(E200="CR",F200," ")</f>
        <v> </v>
      </c>
      <c r="J200" s="44" t="str">
        <f aca="false">IF(E200="DL",F200," ")</f>
        <v> </v>
      </c>
      <c r="K200" s="38"/>
      <c r="L200" s="39"/>
      <c r="M200" s="42"/>
      <c r="N200" s="41"/>
      <c r="O200" s="41"/>
      <c r="P200" s="45" t="str">
        <f aca="false">IF(Q200&lt;&gt;0,"Enter Code"," ")</f>
        <v> </v>
      </c>
      <c r="Q200" s="44"/>
      <c r="R200" s="44" t="str">
        <f aca="false">IF(P200="BB",Q200," ")</f>
        <v> </v>
      </c>
      <c r="S200" s="44" t="str">
        <f aca="false">IF(P200="CR",Q200," ")</f>
        <v> </v>
      </c>
      <c r="T200" s="44" t="str">
        <f aca="false">IF(P200="DR",Q200," ")</f>
        <v> </v>
      </c>
      <c r="U200" s="44" t="str">
        <f aca="false">IF(P200="W",Q200," ")</f>
        <v> </v>
      </c>
      <c r="V200" s="44" t="str">
        <f aca="false">IF(P200="J",Q200," ")</f>
        <v> </v>
      </c>
      <c r="W200" s="44" t="str">
        <f aca="false">IF(P200="RP",Q200," ")</f>
        <v> </v>
      </c>
      <c r="X200" s="44" t="str">
        <f aca="false">IF(P200="DL",Q200," ")</f>
        <v> </v>
      </c>
    </row>
  </sheetData>
  <mergeCells count="26">
    <mergeCell ref="K1:K5"/>
    <mergeCell ref="L1:M1"/>
    <mergeCell ref="D2:D5"/>
    <mergeCell ref="E2:E5"/>
    <mergeCell ref="F2:F5"/>
    <mergeCell ref="G2:J2"/>
    <mergeCell ref="L2:M2"/>
    <mergeCell ref="N2:N5"/>
    <mergeCell ref="O2:O5"/>
    <mergeCell ref="P2:P5"/>
    <mergeCell ref="Q2:Q5"/>
    <mergeCell ref="R2:X2"/>
    <mergeCell ref="G3:G4"/>
    <mergeCell ref="H3:H4"/>
    <mergeCell ref="I3:I4"/>
    <mergeCell ref="J3:J4"/>
    <mergeCell ref="R3:R4"/>
    <mergeCell ref="S3:S4"/>
    <mergeCell ref="T3:T4"/>
    <mergeCell ref="U3:U4"/>
    <mergeCell ref="V3:V4"/>
    <mergeCell ref="W3:W4"/>
    <mergeCell ref="X3:X4"/>
    <mergeCell ref="B4:C4"/>
    <mergeCell ref="L4:L5"/>
    <mergeCell ref="M4:M5"/>
  </mergeCells>
  <dataValidations count="5">
    <dataValidation allowBlank="true" errorStyle="stop" operator="between" prompt="This amount is an indication that the total of payments entered in column Q does not agree with the analysis of that total in columns R to X&#10;&#10;CHECK ENTRY CODE LETTERS or ANY MANUAL ENTRIES IN COL R to X" promptTitle="ERROR ALERT" showDropDown="false" showErrorMessage="true" showInputMessage="true" sqref="P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J&#10;&#10;CHECK ENTRY CODE LETTERS or ANY MANUAL ENTRIES IN COL G to J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CASH BALANCE&#10;&#10;CHECK THE AMOUNTS ENTERED AGAINST THE CASH  RECORDS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P6:P200" type="list">
      <formula1>$R$5:$X$5</formula1>
      <formula2>0</formula2>
    </dataValidation>
    <dataValidation allowBlank="true" errorStyle="stop" operator="between" showDropDown="false" showErrorMessage="true" showInputMessage="false" sqref="E6:E200" type="list">
      <formula1>$G$5:$J$5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&amp;C&amp;"Arial,Bold"CASH ACCOUNT</oddHeader>
    <oddFooter>&amp;L&amp;D  &amp;T&amp;C&amp;P  of  &amp;N&amp;R&amp;F  &amp;A</oddFooter>
  </headerFooter>
  <colBreaks count="1" manualBreakCount="1">
    <brk id="10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2006-07-04T12:07:29Z</dcterms:created>
  <dc:creator>DIY Accounting Limited</dc:creator>
  <dc:description>Copyright (C) 2006-2026 DIY Accounting Limited. Licensed under the PolyForm Internal Use License 1.0.0 with an additional grant for accountants.</dc:description>
  <dc:language>en-GB</dc:language>
  <cp:lastModifiedBy>DIY Accounting Limited</cp:lastModifiedBy>
  <cp:lastPrinted>2007-03-02T15:36:23Z</cp:lastPrinted>
  <dcterms:modified xsi:type="dcterms:W3CDTF">2025-04-03T22:50:22Z</dcterms:modified>
  <cp:revision>0</cp:revision>
  <dc:subject/>
  <dc:title>Self employed cash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