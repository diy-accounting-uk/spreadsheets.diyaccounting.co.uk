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<sst xmlns="http://schemas.openxmlformats.org/spreadsheetml/2006/main" count="1045" uniqueCount="316">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</sst>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9</v>
      </c>
      <c r="B35" s="158"/>
      <c r="C35" s="210" t="s">
        <v>162</v>
      </c>
      <c r="D35" s="210"/>
      <c r="E35" s="210"/>
      <c r="F35" s="210"/>
      <c r="G35" s="210"/>
      <c r="H35" s="210"/>
      <c r="I35" s="210"/>
      <c r="J35" s="210"/>
      <c r="K35" s="210"/>
      <c r="L35" s="219">
        <v>10</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11</v>
      </c>
      <c r="B44" s="158"/>
      <c r="C44" s="210" t="s">
        <v>169</v>
      </c>
      <c r="D44" s="210"/>
      <c r="E44" s="210"/>
      <c r="F44" s="210"/>
      <c r="G44" s="210"/>
      <c r="H44" s="210"/>
      <c r="I44" s="210"/>
      <c r="J44" s="210"/>
      <c r="K44" s="210"/>
      <c r="L44" s="219">
        <v>16</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Acc'!B5&lt;Admin!F26)," ",'Profit &amp; Loss Acc'!B12-'Profit &amp; Loss Acc'!B10)</f>
        <v xml:space="preserve"> </v>
      </c>
      <c r="E46" s="380"/>
      <c r="F46" s="381"/>
      <c r="G46" s="234" t="s">
        <v>153</v>
      </c>
      <c r="H46" s="235">
        <v>0</v>
      </c>
      <c r="I46" s="235">
        <v>0</v>
      </c>
      <c r="J46" s="158"/>
      <c r="K46" s="158"/>
      <c r="L46" s="158"/>
      <c r="M46" s="158"/>
      <c r="N46" s="233" t="s">
        <v>50</v>
      </c>
      <c r="O46" s="379" t="str">
        <f>IF(('Profit &amp; Loss Acc'!B5&lt;Admin!F26),"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12</v>
      </c>
      <c r="B48" s="158"/>
      <c r="C48" s="210" t="s">
        <v>171</v>
      </c>
      <c r="D48" s="210"/>
      <c r="E48" s="210"/>
      <c r="F48" s="210"/>
      <c r="G48" s="210"/>
      <c r="H48" s="210"/>
      <c r="I48" s="210"/>
      <c r="J48" s="210"/>
      <c r="K48" s="210"/>
      <c r="L48" s="219">
        <v>17</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Acc'!B5&lt;Admin!F26),"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13</v>
      </c>
      <c r="B53" s="158"/>
      <c r="C53" s="210" t="s">
        <v>174</v>
      </c>
      <c r="D53" s="210"/>
      <c r="E53" s="210"/>
      <c r="F53" s="210"/>
      <c r="G53" s="210"/>
      <c r="H53" s="210"/>
      <c r="I53" s="210"/>
      <c r="J53" s="210"/>
      <c r="K53" s="210"/>
      <c r="L53" s="219">
        <v>18</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Acc'!B5&lt;Admin!F26)," ",'Profit &amp; Loss Acc'!B14)</f>
        <v xml:space="preserve"> </v>
      </c>
      <c r="E55" s="380"/>
      <c r="F55" s="381"/>
      <c r="G55" s="234" t="s">
        <v>153</v>
      </c>
      <c r="H55" s="235">
        <v>0</v>
      </c>
      <c r="I55" s="235">
        <v>0</v>
      </c>
      <c r="J55" s="158"/>
      <c r="K55" s="158"/>
      <c r="L55" s="158"/>
      <c r="M55" s="158"/>
      <c r="N55" s="233" t="s">
        <v>50</v>
      </c>
      <c r="O55" s="379" t="str">
        <f>IF(('Profit &amp; Loss Acc'!B5&lt;Admin!F26),"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14</v>
      </c>
      <c r="B57" s="158"/>
      <c r="C57" s="210" t="s">
        <v>176</v>
      </c>
      <c r="D57" s="210"/>
      <c r="E57" s="210"/>
      <c r="F57" s="210"/>
      <c r="G57" s="210"/>
      <c r="H57" s="210"/>
      <c r="I57" s="210"/>
      <c r="J57" s="210"/>
      <c r="K57" s="210"/>
      <c r="L57" s="219">
        <v>19</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Acc'!B5&lt;Admin!F26)," ",'Profit &amp; Loss Acc'!B15)</f>
        <v xml:space="preserve"> </v>
      </c>
      <c r="E60" s="380"/>
      <c r="F60" s="381"/>
      <c r="G60" s="234" t="s">
        <v>153</v>
      </c>
      <c r="H60" s="235">
        <v>0</v>
      </c>
      <c r="I60" s="235">
        <v>0</v>
      </c>
      <c r="J60" s="158"/>
      <c r="K60" s="158"/>
      <c r="L60" s="158"/>
      <c r="M60" s="158"/>
      <c r="N60" s="233" t="s">
        <v>50</v>
      </c>
      <c r="O60" s="379" t="str">
        <f>IF(('Profit &amp; Loss Acc'!B5&lt;Admin!F26),"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15</v>
      </c>
      <c r="B62" s="158"/>
      <c r="C62" s="210" t="s">
        <v>179</v>
      </c>
      <c r="D62" s="210"/>
      <c r="E62" s="210"/>
      <c r="F62" s="210"/>
      <c r="G62" s="210"/>
      <c r="H62" s="210"/>
      <c r="I62" s="210"/>
      <c r="J62" s="210"/>
      <c r="K62" s="210"/>
      <c r="L62" s="219">
        <v>20</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21</v>
      </c>
      <c r="B68" s="158"/>
      <c r="C68" s="210" t="s">
        <v>182</v>
      </c>
      <c r="D68" s="210"/>
      <c r="E68" s="210"/>
      <c r="F68" s="210"/>
      <c r="G68" s="210"/>
      <c r="H68" s="210"/>
      <c r="I68" s="210"/>
      <c r="J68" s="210"/>
      <c r="K68" s="210"/>
      <c r="L68" s="219">
        <v>22</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23</v>
      </c>
      <c r="B78" s="158"/>
      <c r="C78" s="210" t="s">
        <v>132</v>
      </c>
      <c r="D78" s="210"/>
      <c r="E78" s="210"/>
      <c r="F78" s="210"/>
      <c r="G78" s="210"/>
      <c r="H78" s="210"/>
      <c r="I78" s="210"/>
      <c r="J78" s="210"/>
      <c r="K78" s="210"/>
      <c r="L78" s="219">
        <v>25</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24</v>
      </c>
      <c r="B82" s="158"/>
      <c r="C82" s="210" t="s">
        <v>215</v>
      </c>
      <c r="D82" s="158"/>
      <c r="E82" s="158"/>
      <c r="F82" s="158"/>
      <c r="G82" s="158"/>
      <c r="H82" s="158"/>
      <c r="I82" s="158"/>
      <c r="J82" s="158"/>
      <c r="K82" s="158"/>
      <c r="L82" s="219">
        <v>26</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27</v>
      </c>
      <c r="B91" s="158"/>
      <c r="C91" s="210" t="s">
        <v>194</v>
      </c>
      <c r="D91" s="210"/>
      <c r="E91" s="210"/>
      <c r="F91" s="210"/>
      <c r="G91" s="210"/>
      <c r="H91" s="210"/>
      <c r="I91" s="210"/>
      <c r="J91" s="210"/>
      <c r="K91" s="210"/>
      <c r="L91" s="219">
        <v>29</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28</v>
      </c>
      <c r="B96" s="158"/>
      <c r="C96" s="210" t="s">
        <v>220</v>
      </c>
      <c r="D96" s="210"/>
      <c r="E96" s="210"/>
      <c r="F96" s="210"/>
      <c r="G96" s="210"/>
      <c r="H96" s="210"/>
      <c r="I96" s="210"/>
      <c r="J96" s="210"/>
      <c r="K96" s="210"/>
      <c r="L96" s="219">
        <v>30</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31</v>
      </c>
      <c r="B103" s="158"/>
      <c r="C103" s="210" t="s">
        <v>222</v>
      </c>
      <c r="D103" s="210"/>
      <c r="E103" s="210"/>
      <c r="F103" s="210"/>
      <c r="G103" s="210"/>
      <c r="H103" s="210"/>
      <c r="I103" s="210"/>
      <c r="J103" s="210"/>
      <c r="K103" s="210"/>
      <c r="L103" s="219">
        <v>32</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33</v>
      </c>
      <c r="B111" s="158"/>
      <c r="C111" s="210" t="s">
        <v>201</v>
      </c>
      <c r="D111" s="210"/>
      <c r="E111" s="210"/>
      <c r="F111" s="210"/>
      <c r="G111" s="210"/>
      <c r="H111" s="210"/>
      <c r="I111" s="210"/>
      <c r="J111" s="210"/>
      <c r="K111" s="210"/>
      <c r="L111" s="219">
        <v>36</v>
      </c>
      <c r="M111" s="158"/>
      <c r="N111" s="210" t="str">
        <f>"If your total profits for "&amp;Admin!G2&amp;" are less than £"&amp;TEXT(Admin!N16,"#,##0")&amp;" and you"</f>
        <v>If your total profits for 2025-26 are less than £6,845 and you</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315</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34</v>
      </c>
      <c r="B116" s="158"/>
      <c r="C116" s="210" t="s">
        <v>204</v>
      </c>
      <c r="D116" s="210"/>
      <c r="E116" s="210"/>
      <c r="F116" s="210"/>
      <c r="G116" s="210"/>
      <c r="H116" s="210"/>
      <c r="I116" s="210"/>
      <c r="J116" s="210"/>
      <c r="K116" s="210"/>
      <c r="L116" s="219">
        <v>37</v>
      </c>
      <c r="M116" s="158"/>
      <c r="N116" s="210" t="s">
        <v>202</v>
      </c>
      <c r="O116" s="158"/>
      <c r="P116" s="158"/>
      <c r="Q116" s="158"/>
      <c r="R116" s="408"/>
      <c r="S116" s="409"/>
      <c r="T116" s="409"/>
      <c r="U116" s="210"/>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226</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35</v>
      </c>
      <c r="B120" s="158"/>
      <c r="C120" s="210" t="s">
        <v>209</v>
      </c>
      <c r="D120" s="210"/>
      <c r="E120" s="210"/>
      <c r="F120" s="210"/>
      <c r="G120" s="210"/>
      <c r="H120" s="210"/>
      <c r="I120" s="210"/>
      <c r="J120" s="210"/>
      <c r="K120" s="210"/>
      <c r="L120" s="219">
        <v>38</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IF(H18&gt;0,H18*J$4*(1-F18),"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IF(H19&gt;0,H19*J$4*(1-F19),"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IF(H20&gt;0,H20*J$4*(1-F20),"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IF(H21&gt;0,H21*J$4*(1-F21),"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IF(H22&gt;0,H22*J$4*(1-F22),"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IF(H26&gt;0,H26*J$4*(1-F26),"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IF(H27&gt;0,H27*J$4*(1-F27),"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IF(H28&gt;0,H28*J$4*(1-F28),"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IF(H29&gt;0,H29*J$4*(1-F29),"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IF(H30&gt;0,H30*J$4*(1-F30),"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IF(D47&gt;0,D47*J$4*(1-F47),"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IF(D48&gt;0,D48*J$4*(1-F48),"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IF(D49&gt;0,D49*J$4*(1-F49),"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IF(D50&gt;0,D50*J$4*(1-F50),"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IF(D51&gt;0,D51*J$4*(1-F51),"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IF(D55&gt;0,D55*J$4*(1-F55),"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IF(D56&gt;0,D56*J$4*(1-F56),"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IF(D57&gt;0,D57*J$4*(1-F57),"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IF(D58&gt;0,D58*J$4*(1-F58),"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IF(D59&gt;0,D59*J$4*(1-F59),"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IF(E5&lt;=0,0,MAX(0,Admin!N$4-MAX(0,E5-Admin!N$5)/2))</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Admin!M$11</f>
        <v>37700</v>
      </c>
      <c r="D9" s="144">
        <f>Admin!N$7</f>
        <v>0.4</v>
      </c>
      <c r="E9" s="25">
        <f>IF(E7&gt;C9,(MIN(E7,C10)-C9)*D9,0)</f>
        <v>0</v>
      </c>
      <c r="F9" s="26"/>
      <c r="G9" s="27"/>
      <c r="K9" s="324"/>
    </row>
    <row r="10" spans="1:11" ht="14" thickBot="1" x14ac:dyDescent="0.2">
      <c r="A10" s="23"/>
      <c r="B10" s="28" t="inlineStr">
        <is>
          <t>Income Tax third band</t>
        </is>
      </c>
      <c r="C10" s="28">
        <f>Admin!N$13</f>
        <v>125140</v>
      </c>
      <c r="D10" s="144">
        <f>Admin!N$8</f>
        <v>0.45</v>
      </c>
      <c r="E10" s="25">
        <f>IF(E7&gt;C10,(E7-C10)*D10,0)</f>
        <v>0</v>
      </c>
      <c r="F10" s="26"/>
      <c r="G10" s="27"/>
      <c r="K10" s="324"/>
    </row>
    <row r="11" spans="1:11" ht="14" thickBot="1" x14ac:dyDescent="0.2">
      <c r="A11" s="23"/>
      <c r="B11" s="32" t="inlineStr">
        <is>
          <t>Income Tax payable</t>
        </is>
      </c>
      <c r="C11" s="145"/>
      <c r="D11" s="33"/>
      <c r="E11" s="276">
        <f>SUM(E8:E10)</f>
        <v>0</v>
      </c>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SUM(E11:E16)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IF(C34&lt;=0,0,MAX(0,Admin!N$4-MAX(0,C34-Admin!N$5)/2))</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IF((C36&gt;0),(IF((C36&lt;Admin!M$11),C36*Admin!N$6,Admin!M$11*Admin!N$6)),0)</f>
        <v>0</v>
      </c>
      <c r="D37" s="118"/>
      <c r="E37" s="52"/>
      <c r="F37" s="52"/>
      <c r="G37" s="52"/>
      <c r="H37" s="52"/>
      <c r="I37" s="52"/>
      <c r="J37" s="52"/>
      <c r="K37" s="52"/>
      <c r="L37" s="52"/>
      <c r="M37" s="52"/>
      <c r="N37" s="52"/>
      <c r="O37" s="52"/>
      <c r="P37" s="52"/>
    </row>
    <row r="38" spans="1:16" x14ac:dyDescent="0.15">
      <c r="A38" s="52"/>
      <c r="B38" s="68" t="s">
        <v>59</v>
      </c>
      <c r="C38" s="67">
        <f>IF(C36&gt;Admin!M$11,(MIN(C36,Admin!N$13)-Admin!M$11)*Admin!N$7,0)</f>
        <v>0</v>
      </c>
      <c r="D38" s="52"/>
      <c r="E38" s="52"/>
      <c r="F38" s="52"/>
      <c r="G38" s="52"/>
      <c r="H38" s="52"/>
      <c r="I38" s="52"/>
      <c r="J38" s="52"/>
      <c r="K38" s="52"/>
      <c r="L38" s="52"/>
      <c r="M38" s="52"/>
      <c r="N38" s="52"/>
      <c r="O38" s="52"/>
      <c r="P38" s="52"/>
    </row>
    <row r="39" spans="1:16" x14ac:dyDescent="0.15">
      <c r="A39" s="52"/>
      <c r="B39" s="68" t="inlineStr">
        <is>
          <t>Tax at additional rate</t>
        </is>
      </c>
      <c r="C39" s="67">
        <f>IF(C36&gt;Admin!N$13,(C36-Admin!N$13)*Admin!N$8,0)</f>
        <v>0</v>
      </c>
      <c r="D39" s="52"/>
      <c r="E39" s="52"/>
      <c r="F39" s="52"/>
      <c r="G39" s="52"/>
      <c r="H39" s="52"/>
      <c r="I39" s="52"/>
      <c r="J39" s="52"/>
      <c r="K39" s="52"/>
      <c r="L39" s="52"/>
      <c r="M39" s="52"/>
      <c r="N39" s="52"/>
      <c r="O39" s="52"/>
      <c r="P39" s="52"/>
    </row>
    <row r="40" spans="1:16" x14ac:dyDescent="0.15">
      <c r="A40" s="52"/>
      <c r="B40" s="68" t="s">
        <v>60</v>
      </c>
      <c r="C40" s="67">
        <f>IF(C34&gt;Admin!N$20,IF(C34&lt;Admin!N$23,(C34-Admin!N$20)*Admin!L$20,(Admin!N$23-Admin!N$20)*Admin!L$20),0)+IF(C34&gt;Admin!N$23,(C34-Admin!N$23)*Admin!L$23,0)</f>
        <v>0</v>
      </c>
      <c r="D40" s="52"/>
      <c r="E40" s="52"/>
      <c r="F40" s="52"/>
      <c r="G40" s="52"/>
      <c r="H40" s="52"/>
      <c r="I40" s="52"/>
      <c r="J40" s="52"/>
      <c r="K40" s="52"/>
      <c r="L40" s="52"/>
      <c r="M40" s="52"/>
      <c r="N40" s="52"/>
      <c r="O40" s="52"/>
      <c r="P40" s="52"/>
    </row>
    <row r="41" spans="1:16" x14ac:dyDescent="0.15">
      <c r="A41" s="52"/>
      <c r="B41" s="68" t="s">
        <v>61</v>
      </c>
      <c r="C41" s="69">
        <f>C37+C38+C39+C40</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1"/>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SUM(D4:D41)</f>
        <v>0</v>
      </c>
      <c r="E1" s="303">
        <f>SUM(E4:E41)/2</f>
        <v>0</v>
      </c>
      <c r="F1" s="303">
        <f>SUM(F4:F41)/2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45753</v>
      </c>
      <c r="B5" s="297">
        <v>45753</v>
      </c>
      <c r="C5" s="296"/>
      <c r="D5" s="295"/>
      <c r="E5" s="294"/>
      <c r="F5" s="293"/>
    </row>
    <row r="6" spans="1:6" x14ac:dyDescent="0.15">
      <c r="A6" s="292">
        <v>45753</v>
      </c>
      <c r="B6" s="285" t="s">
        <v>234</v>
      </c>
      <c r="F6" s="291"/>
    </row>
    <row r="7" spans="1:6" x14ac:dyDescent="0.15">
      <c r="A7" s="292">
        <v>45753</v>
      </c>
      <c r="B7" s="285" t="s">
        <v>233</v>
      </c>
      <c r="F7" s="291"/>
    </row>
    <row r="8" spans="1:6" ht="14" thickBot="1" x14ac:dyDescent="0.2">
      <c r="A8" s="290"/>
      <c r="B8" s="289"/>
      <c r="C8" s="287"/>
      <c r="D8" s="288"/>
      <c r="E8" s="300">
        <f>SUM(E5:E7)</f>
        <v>0</v>
      </c>
      <c r="F8" s="299">
        <f>SUM(F5:F7)</f>
        <v>0</v>
      </c>
    </row>
    <row r="9" spans="1:6" ht="14" thickBot="1" x14ac:dyDescent="0.2"/>
    <row r="10" spans="1:6" x14ac:dyDescent="0.15">
      <c r="A10" s="298">
        <v>45754</v>
      </c>
      <c r="B10" s="297">
        <v>45754</v>
      </c>
      <c r="C10" s="296"/>
      <c r="D10" s="295"/>
      <c r="E10" s="294"/>
      <c r="F10" s="293"/>
    </row>
    <row r="11" spans="1:6" x14ac:dyDescent="0.15">
      <c r="A11" s="292">
        <v>45755</v>
      </c>
      <c r="B11" s="285">
        <v>45755</v>
      </c>
      <c r="F11" s="291"/>
    </row>
    <row r="12" spans="1:6" x14ac:dyDescent="0.15">
      <c r="A12" s="292">
        <v>45756</v>
      </c>
      <c r="B12" s="285">
        <v>45756</v>
      </c>
      <c r="F12" s="291"/>
    </row>
    <row r="13" spans="1:6" x14ac:dyDescent="0.15">
      <c r="A13" s="292">
        <v>45757</v>
      </c>
      <c r="B13" s="285">
        <v>45757</v>
      </c>
      <c r="F13" s="291"/>
    </row>
    <row r="14" spans="1:6" x14ac:dyDescent="0.15">
      <c r="A14" s="292">
        <v>45758</v>
      </c>
      <c r="B14" s="285">
        <v>45758</v>
      </c>
      <c r="F14" s="291"/>
    </row>
    <row r="15" spans="1:6" x14ac:dyDescent="0.15">
      <c r="A15" s="292">
        <v>45759</v>
      </c>
      <c r="B15" s="285">
        <v>45759</v>
      </c>
      <c r="F15" s="291"/>
    </row>
    <row r="16" spans="1:6" x14ac:dyDescent="0.15">
      <c r="A16" s="292">
        <v>45760</v>
      </c>
      <c r="B16" s="285">
        <v>45760</v>
      </c>
      <c r="F16" s="291"/>
    </row>
    <row r="17" spans="1:6" x14ac:dyDescent="0.15">
      <c r="A17" s="292">
        <v>45760</v>
      </c>
      <c r="B17" s="285" t="s">
        <v>234</v>
      </c>
      <c r="F17" s="291"/>
    </row>
    <row r="18" spans="1:6" x14ac:dyDescent="0.15">
      <c r="A18" s="292">
        <v>45760</v>
      </c>
      <c r="B18" s="285" t="s">
        <v>233</v>
      </c>
      <c r="F18" s="291"/>
    </row>
    <row r="19" spans="1:6" ht="14" thickBot="1" x14ac:dyDescent="0.2">
      <c r="A19" s="290"/>
      <c r="B19" s="289"/>
      <c r="C19" s="287"/>
      <c r="D19" s="288"/>
      <c r="E19" s="300">
        <f>SUM(E10:E18)</f>
        <v>0</v>
      </c>
      <c r="F19" s="299">
        <f>SUM(F10:F18)</f>
        <v>0</v>
      </c>
    </row>
    <row r="20" spans="1:6" ht="14" thickBot="1" x14ac:dyDescent="0.2"/>
    <row r="21" spans="1:6" x14ac:dyDescent="0.15">
      <c r="A21" s="298">
        <v>45761</v>
      </c>
      <c r="B21" s="297">
        <v>45761</v>
      </c>
      <c r="C21" s="296"/>
      <c r="D21" s="295"/>
      <c r="E21" s="294"/>
      <c r="F21" s="293"/>
    </row>
    <row r="22" spans="1:6" x14ac:dyDescent="0.15">
      <c r="A22" s="292">
        <v>45762</v>
      </c>
      <c r="B22" s="285">
        <v>45762</v>
      </c>
      <c r="F22" s="291"/>
    </row>
    <row r="23" spans="1:6" x14ac:dyDescent="0.15">
      <c r="A23" s="292">
        <v>45763</v>
      </c>
      <c r="B23" s="285">
        <v>45763</v>
      </c>
      <c r="F23" s="291"/>
    </row>
    <row r="24" spans="1:6" x14ac:dyDescent="0.15">
      <c r="A24" s="292">
        <v>45764</v>
      </c>
      <c r="B24" s="285">
        <v>45764</v>
      </c>
      <c r="F24" s="291"/>
    </row>
    <row r="25" spans="1:6" x14ac:dyDescent="0.15">
      <c r="A25" s="292">
        <v>45765</v>
      </c>
      <c r="B25" s="285">
        <v>45765</v>
      </c>
      <c r="F25" s="291"/>
    </row>
    <row r="26" spans="1:6" x14ac:dyDescent="0.15">
      <c r="A26" s="292">
        <v>45766</v>
      </c>
      <c r="B26" s="285">
        <v>45766</v>
      </c>
      <c r="F26" s="291"/>
    </row>
    <row r="27" spans="1:6" x14ac:dyDescent="0.15">
      <c r="A27" s="292">
        <v>45767</v>
      </c>
      <c r="B27" s="285">
        <v>45767</v>
      </c>
      <c r="F27" s="291"/>
    </row>
    <row r="28" spans="1:6" x14ac:dyDescent="0.15">
      <c r="A28" s="292">
        <v>45767</v>
      </c>
      <c r="B28" s="285" t="s">
        <v>234</v>
      </c>
      <c r="F28" s="291"/>
    </row>
    <row r="29" spans="1:6" x14ac:dyDescent="0.15">
      <c r="A29" s="292">
        <v>45767</v>
      </c>
      <c r="B29" s="285" t="s">
        <v>233</v>
      </c>
      <c r="F29" s="291"/>
    </row>
    <row r="30" spans="1:6" ht="14" thickBot="1" x14ac:dyDescent="0.2">
      <c r="A30" s="290"/>
      <c r="B30" s="289"/>
      <c r="C30" s="287"/>
      <c r="D30" s="288"/>
      <c r="E30" s="300">
        <f>SUM(E21:E29)</f>
        <v>0</v>
      </c>
      <c r="F30" s="299">
        <f>SUM(F21:F29)</f>
        <v>0</v>
      </c>
    </row>
    <row r="31" spans="1:6" ht="14" thickBot="1" x14ac:dyDescent="0.2"/>
    <row r="32" spans="1:6" x14ac:dyDescent="0.15">
      <c r="A32" s="298">
        <v>45768</v>
      </c>
      <c r="B32" s="297">
        <v>45768</v>
      </c>
      <c r="C32" s="296"/>
      <c r="D32" s="295"/>
      <c r="E32" s="294"/>
      <c r="F32" s="293"/>
    </row>
    <row r="33" spans="1:6" x14ac:dyDescent="0.15">
      <c r="A33" s="292">
        <v>45769</v>
      </c>
      <c r="B33" s="285">
        <v>45769</v>
      </c>
      <c r="F33" s="291"/>
    </row>
    <row r="34" spans="1:6" x14ac:dyDescent="0.15">
      <c r="A34" s="292">
        <v>45770</v>
      </c>
      <c r="B34" s="285">
        <v>45770</v>
      </c>
      <c r="F34" s="291"/>
    </row>
    <row r="35" spans="1:6" x14ac:dyDescent="0.15">
      <c r="A35" s="292">
        <v>45771</v>
      </c>
      <c r="B35" s="285">
        <v>45771</v>
      </c>
      <c r="F35" s="291"/>
    </row>
    <row r="36" spans="1:6" x14ac:dyDescent="0.15">
      <c r="A36" s="292">
        <v>45772</v>
      </c>
      <c r="B36" s="285">
        <v>45772</v>
      </c>
      <c r="F36" s="291"/>
    </row>
    <row r="37" spans="1:6" x14ac:dyDescent="0.15">
      <c r="A37" s="292">
        <v>45773</v>
      </c>
      <c r="B37" s="285">
        <v>45773</v>
      </c>
      <c r="F37" s="291"/>
    </row>
    <row r="38" spans="1:6" x14ac:dyDescent="0.15">
      <c r="A38" s="292">
        <v>45774</v>
      </c>
      <c r="B38" s="285">
        <v>45774</v>
      </c>
      <c r="F38" s="291"/>
    </row>
    <row r="39" spans="1:6" x14ac:dyDescent="0.15">
      <c r="A39" s="292">
        <v>45774</v>
      </c>
      <c r="B39" s="285" t="s">
        <v>234</v>
      </c>
      <c r="F39" s="291"/>
    </row>
    <row r="40" spans="1:6" x14ac:dyDescent="0.15">
      <c r="A40" s="292">
        <v>45774</v>
      </c>
      <c r="B40" s="285" t="s">
        <v>233</v>
      </c>
      <c r="F40" s="291"/>
    </row>
    <row r="41" spans="1:6" ht="14" thickBot="1" x14ac:dyDescent="0.2">
      <c r="A41" s="290"/>
      <c r="B41" s="289"/>
      <c r="C41" s="287"/>
      <c r="D41" s="288"/>
      <c r="E41" s="300">
        <f>SUM(E32:E40)</f>
        <v>0</v>
      </c>
      <c r="F41" s="299">
        <f>SUM(F32:F40)</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45775</v>
      </c>
      <c r="B5" s="297">
        <v>45775</v>
      </c>
      <c r="C5" s="296"/>
      <c r="D5" s="295"/>
      <c r="E5" s="294"/>
      <c r="F5" s="293"/>
    </row>
    <row r="6" spans="1:6" x14ac:dyDescent="0.15">
      <c r="A6" s="292">
        <v>45776</v>
      </c>
      <c r="B6" s="285">
        <v>45776</v>
      </c>
      <c r="F6" s="291"/>
    </row>
    <row r="7" spans="1:6" x14ac:dyDescent="0.15">
      <c r="A7" s="292">
        <v>45777</v>
      </c>
      <c r="B7" s="285">
        <v>45777</v>
      </c>
      <c r="F7" s="291"/>
    </row>
    <row r="8" spans="1:6" x14ac:dyDescent="0.15">
      <c r="A8" s="292">
        <v>45778</v>
      </c>
      <c r="B8" s="285">
        <v>45778</v>
      </c>
      <c r="F8" s="291"/>
    </row>
    <row r="9" spans="1:6" x14ac:dyDescent="0.15">
      <c r="A9" s="292">
        <v>45779</v>
      </c>
      <c r="B9" s="285">
        <v>45779</v>
      </c>
      <c r="F9" s="291"/>
    </row>
    <row r="10" spans="1:6" x14ac:dyDescent="0.15">
      <c r="A10" s="292">
        <v>45780</v>
      </c>
      <c r="B10" s="285">
        <v>45780</v>
      </c>
      <c r="F10" s="291"/>
    </row>
    <row r="11" spans="1:6" x14ac:dyDescent="0.15">
      <c r="A11" s="292">
        <v>45781</v>
      </c>
      <c r="B11" s="285">
        <v>45781</v>
      </c>
      <c r="F11" s="291"/>
    </row>
    <row r="12" spans="1:6" x14ac:dyDescent="0.15">
      <c r="A12" s="292">
        <v>45781</v>
      </c>
      <c r="B12" s="285" t="s">
        <v>234</v>
      </c>
      <c r="F12" s="291"/>
    </row>
    <row r="13" spans="1:6" x14ac:dyDescent="0.15">
      <c r="A13" s="292">
        <v>45781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45782</v>
      </c>
      <c r="B16" s="297">
        <v>45782</v>
      </c>
      <c r="C16" s="296"/>
      <c r="D16" s="295"/>
      <c r="E16" s="294"/>
      <c r="F16" s="293"/>
    </row>
    <row r="17" spans="1:6" x14ac:dyDescent="0.15">
      <c r="A17" s="292">
        <v>45783</v>
      </c>
      <c r="B17" s="285">
        <v>45783</v>
      </c>
      <c r="F17" s="291"/>
    </row>
    <row r="18" spans="1:6" x14ac:dyDescent="0.15">
      <c r="A18" s="292">
        <v>45784</v>
      </c>
      <c r="B18" s="285">
        <v>45784</v>
      </c>
      <c r="F18" s="291"/>
    </row>
    <row r="19" spans="1:6" x14ac:dyDescent="0.15">
      <c r="A19" s="292">
        <v>45785</v>
      </c>
      <c r="B19" s="285">
        <v>45785</v>
      </c>
      <c r="F19" s="291"/>
    </row>
    <row r="20" spans="1:6" x14ac:dyDescent="0.15">
      <c r="A20" s="292">
        <v>45786</v>
      </c>
      <c r="B20" s="285">
        <v>45786</v>
      </c>
      <c r="F20" s="291"/>
    </row>
    <row r="21" spans="1:6" x14ac:dyDescent="0.15">
      <c r="A21" s="292">
        <v>45787</v>
      </c>
      <c r="B21" s="285">
        <v>45787</v>
      </c>
      <c r="F21" s="291"/>
    </row>
    <row r="22" spans="1:6" x14ac:dyDescent="0.15">
      <c r="A22" s="292">
        <v>45788</v>
      </c>
      <c r="B22" s="285">
        <v>45788</v>
      </c>
      <c r="F22" s="291"/>
    </row>
    <row r="23" spans="1:6" x14ac:dyDescent="0.15">
      <c r="A23" s="292">
        <v>45788</v>
      </c>
      <c r="B23" s="285" t="s">
        <v>234</v>
      </c>
      <c r="F23" s="291"/>
    </row>
    <row r="24" spans="1:6" x14ac:dyDescent="0.15">
      <c r="A24" s="292">
        <v>45788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45789</v>
      </c>
      <c r="B27" s="297">
        <v>45789</v>
      </c>
      <c r="C27" s="296"/>
      <c r="D27" s="295"/>
      <c r="E27" s="294"/>
      <c r="F27" s="293"/>
    </row>
    <row r="28" spans="1:6" x14ac:dyDescent="0.15">
      <c r="A28" s="292">
        <v>45790</v>
      </c>
      <c r="B28" s="285">
        <v>45790</v>
      </c>
      <c r="F28" s="291"/>
    </row>
    <row r="29" spans="1:6" x14ac:dyDescent="0.15">
      <c r="A29" s="292">
        <v>45791</v>
      </c>
      <c r="B29" s="285">
        <v>45791</v>
      </c>
      <c r="F29" s="291"/>
    </row>
    <row r="30" spans="1:6" x14ac:dyDescent="0.15">
      <c r="A30" s="292">
        <v>45792</v>
      </c>
      <c r="B30" s="285">
        <v>45792</v>
      </c>
      <c r="F30" s="291"/>
    </row>
    <row r="31" spans="1:6" x14ac:dyDescent="0.15">
      <c r="A31" s="292">
        <v>45793</v>
      </c>
      <c r="B31" s="285">
        <v>45793</v>
      </c>
      <c r="F31" s="291"/>
    </row>
    <row r="32" spans="1:6" x14ac:dyDescent="0.15">
      <c r="A32" s="292">
        <v>45794</v>
      </c>
      <c r="B32" s="285">
        <v>45794</v>
      </c>
      <c r="F32" s="291"/>
    </row>
    <row r="33" spans="1:6" x14ac:dyDescent="0.15">
      <c r="A33" s="292">
        <v>45795</v>
      </c>
      <c r="B33" s="285">
        <v>45795</v>
      </c>
      <c r="F33" s="291"/>
    </row>
    <row r="34" spans="1:6" x14ac:dyDescent="0.15">
      <c r="A34" s="292">
        <v>45795</v>
      </c>
      <c r="B34" s="285" t="s">
        <v>234</v>
      </c>
      <c r="F34" s="291"/>
    </row>
    <row r="35" spans="1:6" x14ac:dyDescent="0.15">
      <c r="A35" s="292">
        <v>45795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45796</v>
      </c>
      <c r="B38" s="297">
        <v>45796</v>
      </c>
      <c r="C38" s="296"/>
      <c r="D38" s="295"/>
      <c r="E38" s="294"/>
      <c r="F38" s="293"/>
    </row>
    <row r="39" spans="1:6" x14ac:dyDescent="0.15">
      <c r="A39" s="292">
        <v>45797</v>
      </c>
      <c r="B39" s="285">
        <v>45797</v>
      </c>
      <c r="F39" s="291"/>
    </row>
    <row r="40" spans="1:6" x14ac:dyDescent="0.15">
      <c r="A40" s="292">
        <v>45798</v>
      </c>
      <c r="B40" s="285">
        <v>45798</v>
      </c>
      <c r="F40" s="291"/>
    </row>
    <row r="41" spans="1:6" x14ac:dyDescent="0.15">
      <c r="A41" s="292">
        <v>45799</v>
      </c>
      <c r="B41" s="285">
        <v>45799</v>
      </c>
      <c r="F41" s="291"/>
    </row>
    <row r="42" spans="1:6" x14ac:dyDescent="0.15">
      <c r="A42" s="292">
        <v>45800</v>
      </c>
      <c r="B42" s="285">
        <v>45800</v>
      </c>
      <c r="F42" s="291"/>
    </row>
    <row r="43" spans="1:6" x14ac:dyDescent="0.15">
      <c r="A43" s="292">
        <v>45801</v>
      </c>
      <c r="B43" s="285">
        <v>45801</v>
      </c>
      <c r="F43" s="291"/>
    </row>
    <row r="44" spans="1:6" x14ac:dyDescent="0.15">
      <c r="A44" s="292">
        <v>45802</v>
      </c>
      <c r="B44" s="285">
        <v>45802</v>
      </c>
      <c r="F44" s="291"/>
    </row>
    <row r="45" spans="1:6" x14ac:dyDescent="0.15">
      <c r="A45" s="292">
        <v>45802</v>
      </c>
      <c r="B45" s="285" t="s">
        <v>234</v>
      </c>
      <c r="F45" s="291"/>
    </row>
    <row r="46" spans="1:6" x14ac:dyDescent="0.15">
      <c r="A46" s="292">
        <v>45802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45803</v>
      </c>
      <c r="B5" s="297">
        <v>45803</v>
      </c>
      <c r="C5" s="296"/>
      <c r="D5" s="295"/>
      <c r="E5" s="294"/>
      <c r="F5" s="293"/>
    </row>
    <row r="6" spans="1:6" x14ac:dyDescent="0.15">
      <c r="A6" s="292">
        <v>45804</v>
      </c>
      <c r="B6" s="285">
        <v>45804</v>
      </c>
      <c r="F6" s="291"/>
    </row>
    <row r="7" spans="1:6" x14ac:dyDescent="0.15">
      <c r="A7" s="292">
        <v>45805</v>
      </c>
      <c r="B7" s="285">
        <v>45805</v>
      </c>
      <c r="F7" s="291"/>
    </row>
    <row r="8" spans="1:6" x14ac:dyDescent="0.15">
      <c r="A8" s="292">
        <v>45806</v>
      </c>
      <c r="B8" s="285">
        <v>45806</v>
      </c>
      <c r="F8" s="291"/>
    </row>
    <row r="9" spans="1:6" x14ac:dyDescent="0.15">
      <c r="A9" s="292">
        <v>45807</v>
      </c>
      <c r="B9" s="285">
        <v>45807</v>
      </c>
      <c r="F9" s="291"/>
    </row>
    <row r="10" spans="1:6" x14ac:dyDescent="0.15">
      <c r="A10" s="292">
        <v>45808</v>
      </c>
      <c r="B10" s="285">
        <v>45808</v>
      </c>
      <c r="F10" s="291"/>
    </row>
    <row r="11" spans="1:6" x14ac:dyDescent="0.15">
      <c r="A11" s="292">
        <v>45809</v>
      </c>
      <c r="B11" s="285">
        <v>45809</v>
      </c>
      <c r="F11" s="291"/>
    </row>
    <row r="12" spans="1:6" x14ac:dyDescent="0.15">
      <c r="A12" s="292">
        <v>45809</v>
      </c>
      <c r="B12" s="285" t="s">
        <v>234</v>
      </c>
      <c r="F12" s="291"/>
    </row>
    <row r="13" spans="1:6" x14ac:dyDescent="0.15">
      <c r="A13" s="292">
        <v>45809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45810</v>
      </c>
      <c r="B16" s="297">
        <v>45810</v>
      </c>
      <c r="C16" s="296"/>
      <c r="D16" s="295"/>
      <c r="E16" s="294"/>
      <c r="F16" s="293"/>
    </row>
    <row r="17" spans="1:6" x14ac:dyDescent="0.15">
      <c r="A17" s="292">
        <v>45811</v>
      </c>
      <c r="B17" s="285">
        <v>45811</v>
      </c>
      <c r="F17" s="291"/>
    </row>
    <row r="18" spans="1:6" x14ac:dyDescent="0.15">
      <c r="A18" s="292">
        <v>45812</v>
      </c>
      <c r="B18" s="285">
        <v>45812</v>
      </c>
      <c r="F18" s="291"/>
    </row>
    <row r="19" spans="1:6" x14ac:dyDescent="0.15">
      <c r="A19" s="292">
        <v>45813</v>
      </c>
      <c r="B19" s="285">
        <v>45813</v>
      </c>
      <c r="F19" s="291"/>
    </row>
    <row r="20" spans="1:6" x14ac:dyDescent="0.15">
      <c r="A20" s="292">
        <v>45814</v>
      </c>
      <c r="B20" s="285">
        <v>45814</v>
      </c>
      <c r="F20" s="291"/>
    </row>
    <row r="21" spans="1:6" x14ac:dyDescent="0.15">
      <c r="A21" s="292">
        <v>45815</v>
      </c>
      <c r="B21" s="285">
        <v>45815</v>
      </c>
      <c r="F21" s="291"/>
    </row>
    <row r="22" spans="1:6" x14ac:dyDescent="0.15">
      <c r="A22" s="292">
        <v>45816</v>
      </c>
      <c r="B22" s="285">
        <v>45816</v>
      </c>
      <c r="F22" s="291"/>
    </row>
    <row r="23" spans="1:6" x14ac:dyDescent="0.15">
      <c r="A23" s="292">
        <v>45816</v>
      </c>
      <c r="B23" s="285" t="s">
        <v>234</v>
      </c>
      <c r="F23" s="291"/>
    </row>
    <row r="24" spans="1:6" x14ac:dyDescent="0.15">
      <c r="A24" s="292">
        <v>45816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45817</v>
      </c>
      <c r="B27" s="297">
        <v>45817</v>
      </c>
      <c r="C27" s="296"/>
      <c r="D27" s="295"/>
      <c r="E27" s="294"/>
      <c r="F27" s="293"/>
    </row>
    <row r="28" spans="1:6" x14ac:dyDescent="0.15">
      <c r="A28" s="292">
        <v>45818</v>
      </c>
      <c r="B28" s="285">
        <v>45818</v>
      </c>
      <c r="F28" s="291"/>
    </row>
    <row r="29" spans="1:6" x14ac:dyDescent="0.15">
      <c r="A29" s="292">
        <v>45819</v>
      </c>
      <c r="B29" s="285">
        <v>45819</v>
      </c>
      <c r="F29" s="291"/>
    </row>
    <row r="30" spans="1:6" x14ac:dyDescent="0.15">
      <c r="A30" s="292">
        <v>45820</v>
      </c>
      <c r="B30" s="285">
        <v>45820</v>
      </c>
      <c r="F30" s="291"/>
    </row>
    <row r="31" spans="1:6" x14ac:dyDescent="0.15">
      <c r="A31" s="292">
        <v>45821</v>
      </c>
      <c r="B31" s="285">
        <v>45821</v>
      </c>
      <c r="F31" s="291"/>
    </row>
    <row r="32" spans="1:6" x14ac:dyDescent="0.15">
      <c r="A32" s="292">
        <v>45822</v>
      </c>
      <c r="B32" s="285">
        <v>45822</v>
      </c>
      <c r="F32" s="291"/>
    </row>
    <row r="33" spans="1:6" x14ac:dyDescent="0.15">
      <c r="A33" s="292">
        <v>45823</v>
      </c>
      <c r="B33" s="285">
        <v>45823</v>
      </c>
      <c r="F33" s="291"/>
    </row>
    <row r="34" spans="1:6" x14ac:dyDescent="0.15">
      <c r="A34" s="292">
        <v>45823</v>
      </c>
      <c r="B34" s="285" t="s">
        <v>234</v>
      </c>
      <c r="F34" s="291"/>
    </row>
    <row r="35" spans="1:6" x14ac:dyDescent="0.15">
      <c r="A35" s="292">
        <v>45823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45824</v>
      </c>
      <c r="B38" s="297">
        <v>45824</v>
      </c>
      <c r="C38" s="296"/>
      <c r="D38" s="295"/>
      <c r="E38" s="294"/>
      <c r="F38" s="293"/>
    </row>
    <row r="39" spans="1:6" x14ac:dyDescent="0.15">
      <c r="A39" s="292">
        <v>45825</v>
      </c>
      <c r="B39" s="285">
        <v>45825</v>
      </c>
      <c r="F39" s="291"/>
    </row>
    <row r="40" spans="1:6" x14ac:dyDescent="0.15">
      <c r="A40" s="292">
        <v>45826</v>
      </c>
      <c r="B40" s="285">
        <v>45826</v>
      </c>
      <c r="F40" s="291"/>
    </row>
    <row r="41" spans="1:6" x14ac:dyDescent="0.15">
      <c r="A41" s="292">
        <v>45827</v>
      </c>
      <c r="B41" s="285">
        <v>45827</v>
      </c>
      <c r="F41" s="291"/>
    </row>
    <row r="42" spans="1:6" x14ac:dyDescent="0.15">
      <c r="A42" s="292">
        <v>45828</v>
      </c>
      <c r="B42" s="285">
        <v>45828</v>
      </c>
      <c r="F42" s="291"/>
    </row>
    <row r="43" spans="1:6" x14ac:dyDescent="0.15">
      <c r="A43" s="292">
        <v>45829</v>
      </c>
      <c r="B43" s="285">
        <v>45829</v>
      </c>
      <c r="F43" s="291"/>
    </row>
    <row r="44" spans="1:6" x14ac:dyDescent="0.15">
      <c r="A44" s="292">
        <v>45830</v>
      </c>
      <c r="B44" s="285">
        <v>45830</v>
      </c>
      <c r="F44" s="291"/>
    </row>
    <row r="45" spans="1:6" x14ac:dyDescent="0.15">
      <c r="A45" s="292">
        <v>45830</v>
      </c>
      <c r="B45" s="285" t="s">
        <v>234</v>
      </c>
      <c r="F45" s="291"/>
    </row>
    <row r="46" spans="1:6" x14ac:dyDescent="0.15">
      <c r="A46" s="292">
        <v>45830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45831</v>
      </c>
      <c r="B49" s="297">
        <v>45831</v>
      </c>
      <c r="C49" s="296"/>
      <c r="D49" s="295"/>
      <c r="E49" s="294"/>
      <c r="F49" s="293"/>
    </row>
    <row r="50" spans="1:6" x14ac:dyDescent="0.15">
      <c r="A50" s="292">
        <v>45832</v>
      </c>
      <c r="B50" s="285">
        <v>45832</v>
      </c>
      <c r="F50" s="291"/>
    </row>
    <row r="51" spans="1:6" x14ac:dyDescent="0.15">
      <c r="A51" s="292">
        <v>45833</v>
      </c>
      <c r="B51" s="285">
        <v>45833</v>
      </c>
      <c r="F51" s="291"/>
    </row>
    <row r="52" spans="1:6" x14ac:dyDescent="0.15">
      <c r="A52" s="292">
        <v>45834</v>
      </c>
      <c r="B52" s="285">
        <v>45834</v>
      </c>
      <c r="F52" s="291"/>
    </row>
    <row r="53" spans="1:6" x14ac:dyDescent="0.15">
      <c r="A53" s="292">
        <v>45835</v>
      </c>
      <c r="B53" s="285">
        <v>45835</v>
      </c>
      <c r="F53" s="291"/>
    </row>
    <row r="54" spans="1:6" x14ac:dyDescent="0.15">
      <c r="A54" s="292">
        <v>45836</v>
      </c>
      <c r="B54" s="285">
        <v>45836</v>
      </c>
      <c r="F54" s="291"/>
    </row>
    <row r="55" spans="1:6" x14ac:dyDescent="0.15">
      <c r="A55" s="292">
        <v>45837</v>
      </c>
      <c r="B55" s="285">
        <v>45837</v>
      </c>
      <c r="F55" s="291"/>
    </row>
    <row r="56" spans="1:6" x14ac:dyDescent="0.15">
      <c r="A56" s="292">
        <v>45837</v>
      </c>
      <c r="B56" s="285" t="s">
        <v>234</v>
      </c>
      <c r="F56" s="291"/>
    </row>
    <row r="57" spans="1:6" x14ac:dyDescent="0.15">
      <c r="A57" s="292">
        <v>45837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45838</v>
      </c>
      <c r="B5" s="297">
        <v>45838</v>
      </c>
      <c r="C5" s="296"/>
      <c r="D5" s="295"/>
      <c r="E5" s="294"/>
      <c r="F5" s="293"/>
    </row>
    <row r="6" spans="1:6" x14ac:dyDescent="0.15">
      <c r="A6" s="292">
        <v>45839</v>
      </c>
      <c r="B6" s="285">
        <v>45839</v>
      </c>
      <c r="F6" s="291"/>
    </row>
    <row r="7" spans="1:6" x14ac:dyDescent="0.15">
      <c r="A7" s="292">
        <v>45840</v>
      </c>
      <c r="B7" s="285">
        <v>45840</v>
      </c>
      <c r="F7" s="291"/>
    </row>
    <row r="8" spans="1:6" x14ac:dyDescent="0.15">
      <c r="A8" s="292">
        <v>45841</v>
      </c>
      <c r="B8" s="285">
        <v>45841</v>
      </c>
      <c r="F8" s="291"/>
    </row>
    <row r="9" spans="1:6" x14ac:dyDescent="0.15">
      <c r="A9" s="292">
        <v>45842</v>
      </c>
      <c r="B9" s="285">
        <v>45842</v>
      </c>
      <c r="F9" s="291"/>
    </row>
    <row r="10" spans="1:6" x14ac:dyDescent="0.15">
      <c r="A10" s="292">
        <v>45843</v>
      </c>
      <c r="B10" s="285">
        <v>45843</v>
      </c>
      <c r="F10" s="291"/>
    </row>
    <row r="11" spans="1:6" x14ac:dyDescent="0.15">
      <c r="A11" s="292">
        <v>45844</v>
      </c>
      <c r="B11" s="285">
        <v>45844</v>
      </c>
      <c r="F11" s="291"/>
    </row>
    <row r="12" spans="1:6" x14ac:dyDescent="0.15">
      <c r="A12" s="292">
        <v>45844</v>
      </c>
      <c r="B12" s="285" t="s">
        <v>234</v>
      </c>
      <c r="F12" s="291"/>
    </row>
    <row r="13" spans="1:6" x14ac:dyDescent="0.15">
      <c r="A13" s="292">
        <v>45844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45845</v>
      </c>
      <c r="B16" s="297">
        <v>45845</v>
      </c>
      <c r="C16" s="296"/>
      <c r="D16" s="295"/>
      <c r="E16" s="294"/>
      <c r="F16" s="293"/>
    </row>
    <row r="17" spans="1:6" x14ac:dyDescent="0.15">
      <c r="A17" s="292">
        <v>45846</v>
      </c>
      <c r="B17" s="285">
        <v>45846</v>
      </c>
      <c r="F17" s="291"/>
    </row>
    <row r="18" spans="1:6" x14ac:dyDescent="0.15">
      <c r="A18" s="292">
        <v>45847</v>
      </c>
      <c r="B18" s="285">
        <v>45847</v>
      </c>
      <c r="F18" s="291"/>
    </row>
    <row r="19" spans="1:6" x14ac:dyDescent="0.15">
      <c r="A19" s="292">
        <v>45848</v>
      </c>
      <c r="B19" s="285">
        <v>45848</v>
      </c>
      <c r="F19" s="291"/>
    </row>
    <row r="20" spans="1:6" x14ac:dyDescent="0.15">
      <c r="A20" s="292">
        <v>45849</v>
      </c>
      <c r="B20" s="285">
        <v>45849</v>
      </c>
      <c r="F20" s="291"/>
    </row>
    <row r="21" spans="1:6" x14ac:dyDescent="0.15">
      <c r="A21" s="292">
        <v>45850</v>
      </c>
      <c r="B21" s="285">
        <v>45850</v>
      </c>
      <c r="F21" s="291"/>
    </row>
    <row r="22" spans="1:6" x14ac:dyDescent="0.15">
      <c r="A22" s="292">
        <v>45851</v>
      </c>
      <c r="B22" s="285">
        <v>45851</v>
      </c>
      <c r="F22" s="291"/>
    </row>
    <row r="23" spans="1:6" x14ac:dyDescent="0.15">
      <c r="A23" s="292">
        <v>45851</v>
      </c>
      <c r="B23" s="285" t="s">
        <v>234</v>
      </c>
      <c r="F23" s="291"/>
    </row>
    <row r="24" spans="1:6" x14ac:dyDescent="0.15">
      <c r="A24" s="292">
        <v>45851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45852</v>
      </c>
      <c r="B27" s="297">
        <v>45852</v>
      </c>
      <c r="C27" s="296"/>
      <c r="D27" s="295"/>
      <c r="E27" s="294"/>
      <c r="F27" s="293"/>
    </row>
    <row r="28" spans="1:6" x14ac:dyDescent="0.15">
      <c r="A28" s="292">
        <v>45853</v>
      </c>
      <c r="B28" s="285">
        <v>45853</v>
      </c>
      <c r="F28" s="291"/>
    </row>
    <row r="29" spans="1:6" x14ac:dyDescent="0.15">
      <c r="A29" s="292">
        <v>45854</v>
      </c>
      <c r="B29" s="285">
        <v>45854</v>
      </c>
      <c r="F29" s="291"/>
    </row>
    <row r="30" spans="1:6" x14ac:dyDescent="0.15">
      <c r="A30" s="292">
        <v>45855</v>
      </c>
      <c r="B30" s="285">
        <v>45855</v>
      </c>
      <c r="F30" s="291"/>
    </row>
    <row r="31" spans="1:6" x14ac:dyDescent="0.15">
      <c r="A31" s="292">
        <v>45856</v>
      </c>
      <c r="B31" s="285">
        <v>45856</v>
      </c>
      <c r="F31" s="291"/>
    </row>
    <row r="32" spans="1:6" x14ac:dyDescent="0.15">
      <c r="A32" s="292">
        <v>45857</v>
      </c>
      <c r="B32" s="285">
        <v>45857</v>
      </c>
      <c r="F32" s="291"/>
    </row>
    <row r="33" spans="1:6" x14ac:dyDescent="0.15">
      <c r="A33" s="292">
        <v>45858</v>
      </c>
      <c r="B33" s="285">
        <v>45858</v>
      </c>
      <c r="F33" s="291"/>
    </row>
    <row r="34" spans="1:6" x14ac:dyDescent="0.15">
      <c r="A34" s="292">
        <v>45858</v>
      </c>
      <c r="B34" s="285" t="s">
        <v>234</v>
      </c>
      <c r="F34" s="291"/>
    </row>
    <row r="35" spans="1:6" x14ac:dyDescent="0.15">
      <c r="A35" s="292">
        <v>45858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45859</v>
      </c>
      <c r="B38" s="297">
        <v>45859</v>
      </c>
      <c r="C38" s="296"/>
      <c r="D38" s="295"/>
      <c r="E38" s="294"/>
      <c r="F38" s="293"/>
    </row>
    <row r="39" spans="1:6" x14ac:dyDescent="0.15">
      <c r="A39" s="292">
        <v>45860</v>
      </c>
      <c r="B39" s="285">
        <v>45860</v>
      </c>
      <c r="F39" s="291"/>
    </row>
    <row r="40" spans="1:6" x14ac:dyDescent="0.15">
      <c r="A40" s="292">
        <v>45861</v>
      </c>
      <c r="B40" s="285">
        <v>45861</v>
      </c>
      <c r="F40" s="291"/>
    </row>
    <row r="41" spans="1:6" x14ac:dyDescent="0.15">
      <c r="A41" s="292">
        <v>45862</v>
      </c>
      <c r="B41" s="285">
        <v>45862</v>
      </c>
      <c r="F41" s="291"/>
    </row>
    <row r="42" spans="1:6" x14ac:dyDescent="0.15">
      <c r="A42" s="292">
        <v>45863</v>
      </c>
      <c r="B42" s="285">
        <v>45863</v>
      </c>
      <c r="F42" s="291"/>
    </row>
    <row r="43" spans="1:6" x14ac:dyDescent="0.15">
      <c r="A43" s="292">
        <v>45864</v>
      </c>
      <c r="B43" s="285">
        <v>45864</v>
      </c>
      <c r="F43" s="291"/>
    </row>
    <row r="44" spans="1:6" x14ac:dyDescent="0.15">
      <c r="A44" s="292">
        <v>45865</v>
      </c>
      <c r="B44" s="285">
        <v>45865</v>
      </c>
      <c r="F44" s="291"/>
    </row>
    <row r="45" spans="1:6" x14ac:dyDescent="0.15">
      <c r="A45" s="292">
        <v>45865</v>
      </c>
      <c r="B45" s="285" t="s">
        <v>234</v>
      </c>
      <c r="F45" s="291"/>
    </row>
    <row r="46" spans="1:6" x14ac:dyDescent="0.15">
      <c r="A46" s="292">
        <v>45865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45866</v>
      </c>
      <c r="B5" s="297">
        <v>45866</v>
      </c>
      <c r="C5" s="296"/>
      <c r="D5" s="295"/>
      <c r="E5" s="294"/>
      <c r="F5" s="293"/>
    </row>
    <row r="6" spans="1:6" x14ac:dyDescent="0.15">
      <c r="A6" s="292">
        <v>45867</v>
      </c>
      <c r="B6" s="285">
        <v>45867</v>
      </c>
      <c r="F6" s="291"/>
    </row>
    <row r="7" spans="1:6" x14ac:dyDescent="0.15">
      <c r="A7" s="292">
        <v>45868</v>
      </c>
      <c r="B7" s="285">
        <v>45868</v>
      </c>
      <c r="F7" s="291"/>
    </row>
    <row r="8" spans="1:6" x14ac:dyDescent="0.15">
      <c r="A8" s="292">
        <v>45869</v>
      </c>
      <c r="B8" s="285">
        <v>45869</v>
      </c>
      <c r="F8" s="291"/>
    </row>
    <row r="9" spans="1:6" x14ac:dyDescent="0.15">
      <c r="A9" s="292">
        <v>45870</v>
      </c>
      <c r="B9" s="285">
        <v>45870</v>
      </c>
      <c r="F9" s="291"/>
    </row>
    <row r="10" spans="1:6" x14ac:dyDescent="0.15">
      <c r="A10" s="292">
        <v>45871</v>
      </c>
      <c r="B10" s="285">
        <v>45871</v>
      </c>
      <c r="F10" s="291"/>
    </row>
    <row r="11" spans="1:6" x14ac:dyDescent="0.15">
      <c r="A11" s="292">
        <v>45872</v>
      </c>
      <c r="B11" s="285">
        <v>45872</v>
      </c>
      <c r="F11" s="291"/>
    </row>
    <row r="12" spans="1:6" x14ac:dyDescent="0.15">
      <c r="A12" s="292">
        <v>45872</v>
      </c>
      <c r="B12" s="285" t="s">
        <v>234</v>
      </c>
      <c r="F12" s="291"/>
    </row>
    <row r="13" spans="1:6" x14ac:dyDescent="0.15">
      <c r="A13" s="292">
        <v>45872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45873</v>
      </c>
      <c r="B16" s="297">
        <v>45873</v>
      </c>
      <c r="C16" s="296"/>
      <c r="D16" s="295"/>
      <c r="E16" s="294"/>
      <c r="F16" s="293"/>
    </row>
    <row r="17" spans="1:6" x14ac:dyDescent="0.15">
      <c r="A17" s="292">
        <v>45874</v>
      </c>
      <c r="B17" s="285">
        <v>45874</v>
      </c>
      <c r="F17" s="291"/>
    </row>
    <row r="18" spans="1:6" x14ac:dyDescent="0.15">
      <c r="A18" s="292">
        <v>45875</v>
      </c>
      <c r="B18" s="285">
        <v>45875</v>
      </c>
      <c r="F18" s="291"/>
    </row>
    <row r="19" spans="1:6" x14ac:dyDescent="0.15">
      <c r="A19" s="292">
        <v>45876</v>
      </c>
      <c r="B19" s="285">
        <v>45876</v>
      </c>
      <c r="F19" s="291"/>
    </row>
    <row r="20" spans="1:6" x14ac:dyDescent="0.15">
      <c r="A20" s="292">
        <v>45877</v>
      </c>
      <c r="B20" s="285">
        <v>45877</v>
      </c>
      <c r="F20" s="291"/>
    </row>
    <row r="21" spans="1:6" x14ac:dyDescent="0.15">
      <c r="A21" s="292">
        <v>45878</v>
      </c>
      <c r="B21" s="285">
        <v>45878</v>
      </c>
      <c r="F21" s="291"/>
    </row>
    <row r="22" spans="1:6" x14ac:dyDescent="0.15">
      <c r="A22" s="292">
        <v>45879</v>
      </c>
      <c r="B22" s="285">
        <v>45879</v>
      </c>
      <c r="F22" s="291"/>
    </row>
    <row r="23" spans="1:6" x14ac:dyDescent="0.15">
      <c r="A23" s="292">
        <v>45879</v>
      </c>
      <c r="B23" s="285" t="s">
        <v>234</v>
      </c>
      <c r="F23" s="291"/>
    </row>
    <row r="24" spans="1:6" x14ac:dyDescent="0.15">
      <c r="A24" s="292">
        <v>45879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45880</v>
      </c>
      <c r="B27" s="297">
        <v>45880</v>
      </c>
      <c r="C27" s="296"/>
      <c r="D27" s="295"/>
      <c r="E27" s="294"/>
      <c r="F27" s="293"/>
    </row>
    <row r="28" spans="1:6" x14ac:dyDescent="0.15">
      <c r="A28" s="292">
        <v>45881</v>
      </c>
      <c r="B28" s="285">
        <v>45881</v>
      </c>
      <c r="F28" s="291"/>
    </row>
    <row r="29" spans="1:6" x14ac:dyDescent="0.15">
      <c r="A29" s="292">
        <v>45882</v>
      </c>
      <c r="B29" s="285">
        <v>45882</v>
      </c>
      <c r="F29" s="291"/>
    </row>
    <row r="30" spans="1:6" x14ac:dyDescent="0.15">
      <c r="A30" s="292">
        <v>45883</v>
      </c>
      <c r="B30" s="285">
        <v>45883</v>
      </c>
      <c r="F30" s="291"/>
    </row>
    <row r="31" spans="1:6" x14ac:dyDescent="0.15">
      <c r="A31" s="292">
        <v>45884</v>
      </c>
      <c r="B31" s="285">
        <v>45884</v>
      </c>
      <c r="F31" s="291"/>
    </row>
    <row r="32" spans="1:6" x14ac:dyDescent="0.15">
      <c r="A32" s="292">
        <v>45885</v>
      </c>
      <c r="B32" s="285">
        <v>45885</v>
      </c>
      <c r="F32" s="291"/>
    </row>
    <row r="33" spans="1:6" x14ac:dyDescent="0.15">
      <c r="A33" s="292">
        <v>45886</v>
      </c>
      <c r="B33" s="285">
        <v>45886</v>
      </c>
      <c r="F33" s="291"/>
    </row>
    <row r="34" spans="1:6" x14ac:dyDescent="0.15">
      <c r="A34" s="292">
        <v>45886</v>
      </c>
      <c r="B34" s="285" t="s">
        <v>234</v>
      </c>
      <c r="F34" s="291"/>
    </row>
    <row r="35" spans="1:6" x14ac:dyDescent="0.15">
      <c r="A35" s="292">
        <v>45886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45887</v>
      </c>
      <c r="B38" s="297">
        <v>45887</v>
      </c>
      <c r="C38" s="296"/>
      <c r="D38" s="295"/>
      <c r="E38" s="294"/>
      <c r="F38" s="293"/>
    </row>
    <row r="39" spans="1:6" x14ac:dyDescent="0.15">
      <c r="A39" s="292">
        <v>45888</v>
      </c>
      <c r="B39" s="285">
        <v>45888</v>
      </c>
      <c r="F39" s="291"/>
    </row>
    <row r="40" spans="1:6" x14ac:dyDescent="0.15">
      <c r="A40" s="292">
        <v>45889</v>
      </c>
      <c r="B40" s="285">
        <v>45889</v>
      </c>
      <c r="F40" s="291"/>
    </row>
    <row r="41" spans="1:6" x14ac:dyDescent="0.15">
      <c r="A41" s="292">
        <v>45890</v>
      </c>
      <c r="B41" s="285">
        <v>45890</v>
      </c>
      <c r="F41" s="291"/>
    </row>
    <row r="42" spans="1:6" x14ac:dyDescent="0.15">
      <c r="A42" s="292">
        <v>45891</v>
      </c>
      <c r="B42" s="285">
        <v>45891</v>
      </c>
      <c r="F42" s="291"/>
    </row>
    <row r="43" spans="1:6" x14ac:dyDescent="0.15">
      <c r="A43" s="292">
        <v>45892</v>
      </c>
      <c r="B43" s="285">
        <v>45892</v>
      </c>
      <c r="F43" s="291"/>
    </row>
    <row r="44" spans="1:6" x14ac:dyDescent="0.15">
      <c r="A44" s="292">
        <v>45893</v>
      </c>
      <c r="B44" s="285">
        <v>45893</v>
      </c>
      <c r="F44" s="291"/>
    </row>
    <row r="45" spans="1:6" x14ac:dyDescent="0.15">
      <c r="A45" s="292">
        <v>45893</v>
      </c>
      <c r="B45" s="285" t="s">
        <v>234</v>
      </c>
      <c r="F45" s="291"/>
    </row>
    <row r="46" spans="1:6" x14ac:dyDescent="0.15">
      <c r="A46" s="292">
        <v>45893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45894</v>
      </c>
      <c r="B49" s="297">
        <v>45894</v>
      </c>
      <c r="C49" s="296"/>
      <c r="D49" s="295"/>
      <c r="E49" s="294"/>
      <c r="F49" s="293"/>
    </row>
    <row r="50" spans="1:6" x14ac:dyDescent="0.15">
      <c r="A50" s="292">
        <v>45895</v>
      </c>
      <c r="B50" s="285">
        <v>45895</v>
      </c>
      <c r="F50" s="291"/>
    </row>
    <row r="51" spans="1:6" x14ac:dyDescent="0.15">
      <c r="A51" s="292">
        <v>45896</v>
      </c>
      <c r="B51" s="285">
        <v>45896</v>
      </c>
      <c r="F51" s="291"/>
    </row>
    <row r="52" spans="1:6" x14ac:dyDescent="0.15">
      <c r="A52" s="292">
        <v>45897</v>
      </c>
      <c r="B52" s="285">
        <v>45897</v>
      </c>
      <c r="F52" s="291"/>
    </row>
    <row r="53" spans="1:6" x14ac:dyDescent="0.15">
      <c r="A53" s="292">
        <v>45898</v>
      </c>
      <c r="B53" s="285">
        <v>45898</v>
      </c>
      <c r="F53" s="291"/>
    </row>
    <row r="54" spans="1:6" x14ac:dyDescent="0.15">
      <c r="A54" s="292">
        <v>45899</v>
      </c>
      <c r="B54" s="285">
        <v>45899</v>
      </c>
      <c r="F54" s="291"/>
    </row>
    <row r="55" spans="1:6" x14ac:dyDescent="0.15">
      <c r="A55" s="292">
        <v>45900</v>
      </c>
      <c r="B55" s="285">
        <v>45900</v>
      </c>
      <c r="F55" s="291"/>
    </row>
    <row r="56" spans="1:6" x14ac:dyDescent="0.15">
      <c r="A56" s="292">
        <v>45900</v>
      </c>
      <c r="B56" s="285" t="s">
        <v>234</v>
      </c>
      <c r="F56" s="291"/>
    </row>
    <row r="57" spans="1:6" x14ac:dyDescent="0.15">
      <c r="A57" s="292">
        <v>45900</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45901</v>
      </c>
      <c r="B5" s="297">
        <v>45901</v>
      </c>
      <c r="C5" s="296"/>
      <c r="D5" s="295"/>
      <c r="E5" s="294"/>
      <c r="F5" s="293"/>
    </row>
    <row r="6" spans="1:6" x14ac:dyDescent="0.15">
      <c r="A6" s="292">
        <v>45902</v>
      </c>
      <c r="B6" s="285">
        <v>45902</v>
      </c>
      <c r="F6" s="291"/>
    </row>
    <row r="7" spans="1:6" x14ac:dyDescent="0.15">
      <c r="A7" s="292">
        <v>45903</v>
      </c>
      <c r="B7" s="285">
        <v>45903</v>
      </c>
      <c r="F7" s="291"/>
    </row>
    <row r="8" spans="1:6" x14ac:dyDescent="0.15">
      <c r="A8" s="292">
        <v>45904</v>
      </c>
      <c r="B8" s="285">
        <v>45904</v>
      </c>
      <c r="F8" s="291"/>
    </row>
    <row r="9" spans="1:6" x14ac:dyDescent="0.15">
      <c r="A9" s="292">
        <v>45905</v>
      </c>
      <c r="B9" s="285">
        <v>45905</v>
      </c>
      <c r="F9" s="291"/>
    </row>
    <row r="10" spans="1:6" x14ac:dyDescent="0.15">
      <c r="A10" s="292">
        <v>45906</v>
      </c>
      <c r="B10" s="285">
        <v>45906</v>
      </c>
      <c r="F10" s="291"/>
    </row>
    <row r="11" spans="1:6" x14ac:dyDescent="0.15">
      <c r="A11" s="292">
        <v>45907</v>
      </c>
      <c r="B11" s="285">
        <v>45907</v>
      </c>
      <c r="F11" s="291"/>
    </row>
    <row r="12" spans="1:6" x14ac:dyDescent="0.15">
      <c r="A12" s="292">
        <v>45907</v>
      </c>
      <c r="B12" s="285" t="s">
        <v>234</v>
      </c>
      <c r="F12" s="291"/>
    </row>
    <row r="13" spans="1:6" x14ac:dyDescent="0.15">
      <c r="A13" s="292">
        <v>45907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45908</v>
      </c>
      <c r="B16" s="297">
        <v>45908</v>
      </c>
      <c r="C16" s="296"/>
      <c r="D16" s="295"/>
      <c r="E16" s="294"/>
      <c r="F16" s="293"/>
    </row>
    <row r="17" spans="1:6" x14ac:dyDescent="0.15">
      <c r="A17" s="292">
        <v>45909</v>
      </c>
      <c r="B17" s="285">
        <v>45909</v>
      </c>
      <c r="F17" s="291"/>
    </row>
    <row r="18" spans="1:6" x14ac:dyDescent="0.15">
      <c r="A18" s="292">
        <v>45910</v>
      </c>
      <c r="B18" s="285">
        <v>45910</v>
      </c>
      <c r="F18" s="291"/>
    </row>
    <row r="19" spans="1:6" x14ac:dyDescent="0.15">
      <c r="A19" s="292">
        <v>45911</v>
      </c>
      <c r="B19" s="285">
        <v>45911</v>
      </c>
      <c r="F19" s="291"/>
    </row>
    <row r="20" spans="1:6" x14ac:dyDescent="0.15">
      <c r="A20" s="292">
        <v>45912</v>
      </c>
      <c r="B20" s="285">
        <v>45912</v>
      </c>
      <c r="F20" s="291"/>
    </row>
    <row r="21" spans="1:6" x14ac:dyDescent="0.15">
      <c r="A21" s="292">
        <v>45913</v>
      </c>
      <c r="B21" s="285">
        <v>45913</v>
      </c>
      <c r="F21" s="291"/>
    </row>
    <row r="22" spans="1:6" x14ac:dyDescent="0.15">
      <c r="A22" s="292">
        <v>45914</v>
      </c>
      <c r="B22" s="285">
        <v>45914</v>
      </c>
      <c r="F22" s="291"/>
    </row>
    <row r="23" spans="1:6" x14ac:dyDescent="0.15">
      <c r="A23" s="292">
        <v>45914</v>
      </c>
      <c r="B23" s="285" t="s">
        <v>234</v>
      </c>
      <c r="F23" s="291"/>
    </row>
    <row r="24" spans="1:6" x14ac:dyDescent="0.15">
      <c r="A24" s="292">
        <v>45914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45915</v>
      </c>
      <c r="B27" s="297">
        <v>45915</v>
      </c>
      <c r="C27" s="296"/>
      <c r="D27" s="295"/>
      <c r="E27" s="294"/>
      <c r="F27" s="293"/>
    </row>
    <row r="28" spans="1:6" x14ac:dyDescent="0.15">
      <c r="A28" s="292">
        <v>45916</v>
      </c>
      <c r="B28" s="285">
        <v>45916</v>
      </c>
      <c r="F28" s="291"/>
    </row>
    <row r="29" spans="1:6" x14ac:dyDescent="0.15">
      <c r="A29" s="292">
        <v>45917</v>
      </c>
      <c r="B29" s="285">
        <v>45917</v>
      </c>
      <c r="F29" s="291"/>
    </row>
    <row r="30" spans="1:6" x14ac:dyDescent="0.15">
      <c r="A30" s="292">
        <v>45918</v>
      </c>
      <c r="B30" s="285">
        <v>45918</v>
      </c>
      <c r="F30" s="291"/>
    </row>
    <row r="31" spans="1:6" x14ac:dyDescent="0.15">
      <c r="A31" s="292">
        <v>45919</v>
      </c>
      <c r="B31" s="285">
        <v>45919</v>
      </c>
      <c r="F31" s="291"/>
    </row>
    <row r="32" spans="1:6" x14ac:dyDescent="0.15">
      <c r="A32" s="292">
        <v>45920</v>
      </c>
      <c r="B32" s="285">
        <v>45920</v>
      </c>
      <c r="F32" s="291"/>
    </row>
    <row r="33" spans="1:6" x14ac:dyDescent="0.15">
      <c r="A33" s="292">
        <v>45921</v>
      </c>
      <c r="B33" s="285">
        <v>45921</v>
      </c>
      <c r="F33" s="291"/>
    </row>
    <row r="34" spans="1:6" x14ac:dyDescent="0.15">
      <c r="A34" s="292">
        <v>45921</v>
      </c>
      <c r="B34" s="285" t="s">
        <v>234</v>
      </c>
      <c r="F34" s="291"/>
    </row>
    <row r="35" spans="1:6" x14ac:dyDescent="0.15">
      <c r="A35" s="292">
        <v>45921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45922</v>
      </c>
      <c r="B38" s="297">
        <v>45922</v>
      </c>
      <c r="C38" s="296"/>
      <c r="D38" s="295"/>
      <c r="E38" s="294"/>
      <c r="F38" s="293"/>
    </row>
    <row r="39" spans="1:6" x14ac:dyDescent="0.15">
      <c r="A39" s="292">
        <v>45923</v>
      </c>
      <c r="B39" s="285">
        <v>45923</v>
      </c>
      <c r="F39" s="291"/>
    </row>
    <row r="40" spans="1:6" x14ac:dyDescent="0.15">
      <c r="A40" s="292">
        <v>45924</v>
      </c>
      <c r="B40" s="285">
        <v>45924</v>
      </c>
      <c r="F40" s="291"/>
    </row>
    <row r="41" spans="1:6" x14ac:dyDescent="0.15">
      <c r="A41" s="292">
        <v>45925</v>
      </c>
      <c r="B41" s="285">
        <v>45925</v>
      </c>
      <c r="F41" s="291"/>
    </row>
    <row r="42" spans="1:6" x14ac:dyDescent="0.15">
      <c r="A42" s="292">
        <v>45926</v>
      </c>
      <c r="B42" s="285">
        <v>45926</v>
      </c>
      <c r="F42" s="291"/>
    </row>
    <row r="43" spans="1:6" x14ac:dyDescent="0.15">
      <c r="A43" s="292">
        <v>45927</v>
      </c>
      <c r="B43" s="285">
        <v>45927</v>
      </c>
      <c r="F43" s="291"/>
    </row>
    <row r="44" spans="1:6" x14ac:dyDescent="0.15">
      <c r="A44" s="292">
        <v>45928</v>
      </c>
      <c r="B44" s="285">
        <v>45928</v>
      </c>
      <c r="F44" s="291"/>
    </row>
    <row r="45" spans="1:6" x14ac:dyDescent="0.15">
      <c r="A45" s="292">
        <v>45928</v>
      </c>
      <c r="B45" s="285" t="s">
        <v>234</v>
      </c>
      <c r="F45" s="291"/>
    </row>
    <row r="46" spans="1:6" x14ac:dyDescent="0.15">
      <c r="A46" s="292">
        <v>45928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45929</v>
      </c>
      <c r="B5" s="297">
        <v>45929</v>
      </c>
      <c r="C5" s="296"/>
      <c r="D5" s="295"/>
      <c r="E5" s="294"/>
      <c r="F5" s="293"/>
    </row>
    <row r="6" spans="1:6" x14ac:dyDescent="0.15">
      <c r="A6" s="292">
        <v>45930</v>
      </c>
      <c r="B6" s="285">
        <v>45930</v>
      </c>
      <c r="F6" s="291"/>
    </row>
    <row r="7" spans="1:6" x14ac:dyDescent="0.15">
      <c r="A7" s="292">
        <v>45931</v>
      </c>
      <c r="B7" s="285">
        <v>45931</v>
      </c>
      <c r="F7" s="291"/>
    </row>
    <row r="8" spans="1:6" x14ac:dyDescent="0.15">
      <c r="A8" s="292">
        <v>45932</v>
      </c>
      <c r="B8" s="285">
        <v>45932</v>
      </c>
      <c r="F8" s="291"/>
    </row>
    <row r="9" spans="1:6" x14ac:dyDescent="0.15">
      <c r="A9" s="292">
        <v>45933</v>
      </c>
      <c r="B9" s="285">
        <v>45933</v>
      </c>
      <c r="F9" s="291"/>
    </row>
    <row r="10" spans="1:6" x14ac:dyDescent="0.15">
      <c r="A10" s="292">
        <v>45934</v>
      </c>
      <c r="B10" s="285">
        <v>45934</v>
      </c>
      <c r="F10" s="291"/>
    </row>
    <row r="11" spans="1:6" x14ac:dyDescent="0.15">
      <c r="A11" s="292">
        <v>45935</v>
      </c>
      <c r="B11" s="285">
        <v>45935</v>
      </c>
      <c r="F11" s="291"/>
    </row>
    <row r="12" spans="1:6" x14ac:dyDescent="0.15">
      <c r="A12" s="292">
        <v>45935</v>
      </c>
      <c r="B12" s="285" t="s">
        <v>234</v>
      </c>
      <c r="F12" s="291"/>
    </row>
    <row r="13" spans="1:6" x14ac:dyDescent="0.15">
      <c r="A13" s="292">
        <v>45935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45936</v>
      </c>
      <c r="B16" s="297">
        <v>45936</v>
      </c>
      <c r="C16" s="296"/>
      <c r="D16" s="295"/>
      <c r="E16" s="294"/>
      <c r="F16" s="293"/>
    </row>
    <row r="17" spans="1:6" x14ac:dyDescent="0.15">
      <c r="A17" s="292">
        <v>45937</v>
      </c>
      <c r="B17" s="285">
        <v>45937</v>
      </c>
      <c r="F17" s="291"/>
    </row>
    <row r="18" spans="1:6" x14ac:dyDescent="0.15">
      <c r="A18" s="292">
        <v>45938</v>
      </c>
      <c r="B18" s="285">
        <v>45938</v>
      </c>
      <c r="F18" s="291"/>
    </row>
    <row r="19" spans="1:6" x14ac:dyDescent="0.15">
      <c r="A19" s="292">
        <v>45939</v>
      </c>
      <c r="B19" s="285">
        <v>45939</v>
      </c>
      <c r="F19" s="291"/>
    </row>
    <row r="20" spans="1:6" x14ac:dyDescent="0.15">
      <c r="A20" s="292">
        <v>45940</v>
      </c>
      <c r="B20" s="285">
        <v>45940</v>
      </c>
      <c r="F20" s="291"/>
    </row>
    <row r="21" spans="1:6" x14ac:dyDescent="0.15">
      <c r="A21" s="292">
        <v>45941</v>
      </c>
      <c r="B21" s="285">
        <v>45941</v>
      </c>
      <c r="F21" s="291"/>
    </row>
    <row r="22" spans="1:6" x14ac:dyDescent="0.15">
      <c r="A22" s="292">
        <v>45942</v>
      </c>
      <c r="B22" s="285">
        <v>45942</v>
      </c>
      <c r="F22" s="291"/>
    </row>
    <row r="23" spans="1:6" x14ac:dyDescent="0.15">
      <c r="A23" s="292">
        <v>45942</v>
      </c>
      <c r="B23" s="285" t="s">
        <v>234</v>
      </c>
      <c r="F23" s="291"/>
    </row>
    <row r="24" spans="1:6" x14ac:dyDescent="0.15">
      <c r="A24" s="292">
        <v>45942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45943</v>
      </c>
      <c r="B27" s="297">
        <v>45943</v>
      </c>
      <c r="C27" s="296"/>
      <c r="D27" s="295"/>
      <c r="E27" s="294"/>
      <c r="F27" s="293"/>
    </row>
    <row r="28" spans="1:6" x14ac:dyDescent="0.15">
      <c r="A28" s="292">
        <v>45944</v>
      </c>
      <c r="B28" s="285">
        <v>45944</v>
      </c>
      <c r="F28" s="291"/>
    </row>
    <row r="29" spans="1:6" x14ac:dyDescent="0.15">
      <c r="A29" s="292">
        <v>45945</v>
      </c>
      <c r="B29" s="285">
        <v>45945</v>
      </c>
      <c r="F29" s="291"/>
    </row>
    <row r="30" spans="1:6" x14ac:dyDescent="0.15">
      <c r="A30" s="292">
        <v>45946</v>
      </c>
      <c r="B30" s="285">
        <v>45946</v>
      </c>
      <c r="F30" s="291"/>
    </row>
    <row r="31" spans="1:6" x14ac:dyDescent="0.15">
      <c r="A31" s="292">
        <v>45947</v>
      </c>
      <c r="B31" s="285">
        <v>45947</v>
      </c>
      <c r="F31" s="291"/>
    </row>
    <row r="32" spans="1:6" x14ac:dyDescent="0.15">
      <c r="A32" s="292">
        <v>45948</v>
      </c>
      <c r="B32" s="285">
        <v>45948</v>
      </c>
      <c r="F32" s="291"/>
    </row>
    <row r="33" spans="1:6" x14ac:dyDescent="0.15">
      <c r="A33" s="292">
        <v>45949</v>
      </c>
      <c r="B33" s="285">
        <v>45949</v>
      </c>
      <c r="F33" s="291"/>
    </row>
    <row r="34" spans="1:6" x14ac:dyDescent="0.15">
      <c r="A34" s="292">
        <v>45949</v>
      </c>
      <c r="B34" s="285" t="s">
        <v>234</v>
      </c>
      <c r="F34" s="291"/>
    </row>
    <row r="35" spans="1:6" x14ac:dyDescent="0.15">
      <c r="A35" s="292">
        <v>45949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45950</v>
      </c>
      <c r="B38" s="297">
        <v>45950</v>
      </c>
      <c r="C38" s="296"/>
      <c r="D38" s="295"/>
      <c r="E38" s="294"/>
      <c r="F38" s="293"/>
    </row>
    <row r="39" spans="1:6" x14ac:dyDescent="0.15">
      <c r="A39" s="292">
        <v>45951</v>
      </c>
      <c r="B39" s="285">
        <v>45951</v>
      </c>
      <c r="F39" s="291"/>
    </row>
    <row r="40" spans="1:6" x14ac:dyDescent="0.15">
      <c r="A40" s="292">
        <v>45952</v>
      </c>
      <c r="B40" s="285">
        <v>45952</v>
      </c>
      <c r="F40" s="291"/>
    </row>
    <row r="41" spans="1:6" x14ac:dyDescent="0.15">
      <c r="A41" s="292">
        <v>45953</v>
      </c>
      <c r="B41" s="285">
        <v>45953</v>
      </c>
      <c r="F41" s="291"/>
    </row>
    <row r="42" spans="1:6" x14ac:dyDescent="0.15">
      <c r="A42" s="292">
        <v>45954</v>
      </c>
      <c r="B42" s="285">
        <v>45954</v>
      </c>
      <c r="F42" s="291"/>
    </row>
    <row r="43" spans="1:6" x14ac:dyDescent="0.15">
      <c r="A43" s="292">
        <v>45955</v>
      </c>
      <c r="B43" s="285">
        <v>45955</v>
      </c>
      <c r="F43" s="291"/>
    </row>
    <row r="44" spans="1:6" x14ac:dyDescent="0.15">
      <c r="A44" s="292">
        <v>45956</v>
      </c>
      <c r="B44" s="285">
        <v>45956</v>
      </c>
      <c r="F44" s="291"/>
    </row>
    <row r="45" spans="1:6" x14ac:dyDescent="0.15">
      <c r="A45" s="292">
        <v>45956</v>
      </c>
      <c r="B45" s="285" t="s">
        <v>234</v>
      </c>
      <c r="F45" s="291"/>
    </row>
    <row r="46" spans="1:6" x14ac:dyDescent="0.15">
      <c r="A46" s="292">
        <v>45956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45957</v>
      </c>
      <c r="B5" s="297">
        <v>45957</v>
      </c>
      <c r="C5" s="296"/>
      <c r="D5" s="295"/>
      <c r="E5" s="294"/>
      <c r="F5" s="293"/>
    </row>
    <row r="6" spans="1:6" x14ac:dyDescent="0.15">
      <c r="A6" s="292">
        <v>45958</v>
      </c>
      <c r="B6" s="285">
        <v>45958</v>
      </c>
      <c r="F6" s="291"/>
    </row>
    <row r="7" spans="1:6" x14ac:dyDescent="0.15">
      <c r="A7" s="292">
        <v>45959</v>
      </c>
      <c r="B7" s="285">
        <v>45959</v>
      </c>
      <c r="F7" s="291"/>
    </row>
    <row r="8" spans="1:6" x14ac:dyDescent="0.15">
      <c r="A8" s="292">
        <v>45960</v>
      </c>
      <c r="B8" s="285">
        <v>45960</v>
      </c>
      <c r="F8" s="291"/>
    </row>
    <row r="9" spans="1:6" x14ac:dyDescent="0.15">
      <c r="A9" s="292">
        <v>45961</v>
      </c>
      <c r="B9" s="285">
        <v>45961</v>
      </c>
      <c r="F9" s="291"/>
    </row>
    <row r="10" spans="1:6" x14ac:dyDescent="0.15">
      <c r="A10" s="292">
        <v>45962</v>
      </c>
      <c r="B10" s="285">
        <v>45962</v>
      </c>
      <c r="F10" s="291"/>
    </row>
    <row r="11" spans="1:6" x14ac:dyDescent="0.15">
      <c r="A11" s="292">
        <v>45963</v>
      </c>
      <c r="B11" s="285">
        <v>45963</v>
      </c>
      <c r="F11" s="291"/>
    </row>
    <row r="12" spans="1:6" x14ac:dyDescent="0.15">
      <c r="A12" s="292">
        <v>45963</v>
      </c>
      <c r="B12" s="285" t="s">
        <v>234</v>
      </c>
      <c r="F12" s="291"/>
    </row>
    <row r="13" spans="1:6" x14ac:dyDescent="0.15">
      <c r="A13" s="292">
        <v>45963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45964</v>
      </c>
      <c r="B16" s="297">
        <v>45964</v>
      </c>
      <c r="C16" s="296"/>
      <c r="D16" s="295"/>
      <c r="E16" s="294"/>
      <c r="F16" s="293"/>
    </row>
    <row r="17" spans="1:6" x14ac:dyDescent="0.15">
      <c r="A17" s="292">
        <v>45965</v>
      </c>
      <c r="B17" s="285">
        <v>45965</v>
      </c>
      <c r="F17" s="291"/>
    </row>
    <row r="18" spans="1:6" x14ac:dyDescent="0.15">
      <c r="A18" s="292">
        <v>45966</v>
      </c>
      <c r="B18" s="285">
        <v>45966</v>
      </c>
      <c r="F18" s="291"/>
    </row>
    <row r="19" spans="1:6" x14ac:dyDescent="0.15">
      <c r="A19" s="292">
        <v>45967</v>
      </c>
      <c r="B19" s="285">
        <v>45967</v>
      </c>
      <c r="F19" s="291"/>
    </row>
    <row r="20" spans="1:6" x14ac:dyDescent="0.15">
      <c r="A20" s="292">
        <v>45968</v>
      </c>
      <c r="B20" s="285">
        <v>45968</v>
      </c>
      <c r="F20" s="291"/>
    </row>
    <row r="21" spans="1:6" x14ac:dyDescent="0.15">
      <c r="A21" s="292">
        <v>45969</v>
      </c>
      <c r="B21" s="285">
        <v>45969</v>
      </c>
      <c r="F21" s="291"/>
    </row>
    <row r="22" spans="1:6" x14ac:dyDescent="0.15">
      <c r="A22" s="292">
        <v>45970</v>
      </c>
      <c r="B22" s="285">
        <v>45970</v>
      </c>
      <c r="F22" s="291"/>
    </row>
    <row r="23" spans="1:6" x14ac:dyDescent="0.15">
      <c r="A23" s="292">
        <v>45970</v>
      </c>
      <c r="B23" s="285" t="s">
        <v>234</v>
      </c>
      <c r="F23" s="291"/>
    </row>
    <row r="24" spans="1:6" x14ac:dyDescent="0.15">
      <c r="A24" s="292">
        <v>45970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45971</v>
      </c>
      <c r="B27" s="297">
        <v>45971</v>
      </c>
      <c r="C27" s="296"/>
      <c r="D27" s="295"/>
      <c r="E27" s="294"/>
      <c r="F27" s="293"/>
    </row>
    <row r="28" spans="1:6" x14ac:dyDescent="0.15">
      <c r="A28" s="292">
        <v>45972</v>
      </c>
      <c r="B28" s="285">
        <v>45972</v>
      </c>
      <c r="F28" s="291"/>
    </row>
    <row r="29" spans="1:6" x14ac:dyDescent="0.15">
      <c r="A29" s="292">
        <v>45973</v>
      </c>
      <c r="B29" s="285">
        <v>45973</v>
      </c>
      <c r="F29" s="291"/>
    </row>
    <row r="30" spans="1:6" x14ac:dyDescent="0.15">
      <c r="A30" s="292">
        <v>45974</v>
      </c>
      <c r="B30" s="285">
        <v>45974</v>
      </c>
      <c r="F30" s="291"/>
    </row>
    <row r="31" spans="1:6" x14ac:dyDescent="0.15">
      <c r="A31" s="292">
        <v>45975</v>
      </c>
      <c r="B31" s="285">
        <v>45975</v>
      </c>
      <c r="F31" s="291"/>
    </row>
    <row r="32" spans="1:6" x14ac:dyDescent="0.15">
      <c r="A32" s="292">
        <v>45976</v>
      </c>
      <c r="B32" s="285">
        <v>45976</v>
      </c>
      <c r="F32" s="291"/>
    </row>
    <row r="33" spans="1:6" x14ac:dyDescent="0.15">
      <c r="A33" s="292">
        <v>45977</v>
      </c>
      <c r="B33" s="285">
        <v>45977</v>
      </c>
      <c r="F33" s="291"/>
    </row>
    <row r="34" spans="1:6" x14ac:dyDescent="0.15">
      <c r="A34" s="292">
        <v>45977</v>
      </c>
      <c r="B34" s="285" t="s">
        <v>234</v>
      </c>
      <c r="F34" s="291"/>
    </row>
    <row r="35" spans="1:6" x14ac:dyDescent="0.15">
      <c r="A35" s="292">
        <v>45977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45978</v>
      </c>
      <c r="B38" s="297">
        <v>45978</v>
      </c>
      <c r="C38" s="296"/>
      <c r="D38" s="295"/>
      <c r="E38" s="294"/>
      <c r="F38" s="293"/>
    </row>
    <row r="39" spans="1:6" x14ac:dyDescent="0.15">
      <c r="A39" s="292">
        <v>45979</v>
      </c>
      <c r="B39" s="285">
        <v>45979</v>
      </c>
      <c r="F39" s="291"/>
    </row>
    <row r="40" spans="1:6" x14ac:dyDescent="0.15">
      <c r="A40" s="292">
        <v>45980</v>
      </c>
      <c r="B40" s="285">
        <v>45980</v>
      </c>
      <c r="F40" s="291"/>
    </row>
    <row r="41" spans="1:6" x14ac:dyDescent="0.15">
      <c r="A41" s="292">
        <v>45981</v>
      </c>
      <c r="B41" s="285">
        <v>45981</v>
      </c>
      <c r="F41" s="291"/>
    </row>
    <row r="42" spans="1:6" x14ac:dyDescent="0.15">
      <c r="A42" s="292">
        <v>45982</v>
      </c>
      <c r="B42" s="285">
        <v>45982</v>
      </c>
      <c r="F42" s="291"/>
    </row>
    <row r="43" spans="1:6" x14ac:dyDescent="0.15">
      <c r="A43" s="292">
        <v>45983</v>
      </c>
      <c r="B43" s="285">
        <v>45983</v>
      </c>
      <c r="F43" s="291"/>
    </row>
    <row r="44" spans="1:6" x14ac:dyDescent="0.15">
      <c r="A44" s="292">
        <v>45984</v>
      </c>
      <c r="B44" s="285">
        <v>45984</v>
      </c>
      <c r="F44" s="291"/>
    </row>
    <row r="45" spans="1:6" x14ac:dyDescent="0.15">
      <c r="A45" s="292">
        <v>45984</v>
      </c>
      <c r="B45" s="285" t="s">
        <v>234</v>
      </c>
      <c r="F45" s="291"/>
    </row>
    <row r="46" spans="1:6" x14ac:dyDescent="0.15">
      <c r="A46" s="292">
        <v>45984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45985</v>
      </c>
      <c r="B49" s="297">
        <v>45985</v>
      </c>
      <c r="C49" s="296"/>
      <c r="D49" s="295"/>
      <c r="E49" s="294"/>
      <c r="F49" s="293"/>
    </row>
    <row r="50" spans="1:6" x14ac:dyDescent="0.15">
      <c r="A50" s="292">
        <v>45986</v>
      </c>
      <c r="B50" s="285">
        <v>45986</v>
      </c>
      <c r="F50" s="291"/>
    </row>
    <row r="51" spans="1:6" x14ac:dyDescent="0.15">
      <c r="A51" s="292">
        <v>45987</v>
      </c>
      <c r="B51" s="285">
        <v>45987</v>
      </c>
      <c r="F51" s="291"/>
    </row>
    <row r="52" spans="1:6" x14ac:dyDescent="0.15">
      <c r="A52" s="292">
        <v>45988</v>
      </c>
      <c r="B52" s="285">
        <v>45988</v>
      </c>
      <c r="F52" s="291"/>
    </row>
    <row r="53" spans="1:6" x14ac:dyDescent="0.15">
      <c r="A53" s="292">
        <v>45989</v>
      </c>
      <c r="B53" s="285">
        <v>45989</v>
      </c>
      <c r="F53" s="291"/>
    </row>
    <row r="54" spans="1:6" x14ac:dyDescent="0.15">
      <c r="A54" s="292">
        <v>45990</v>
      </c>
      <c r="B54" s="285">
        <v>45990</v>
      </c>
      <c r="F54" s="291"/>
    </row>
    <row r="55" spans="1:6" x14ac:dyDescent="0.15">
      <c r="A55" s="292">
        <v>45991</v>
      </c>
      <c r="B55" s="285">
        <v>45991</v>
      </c>
      <c r="F55" s="291"/>
    </row>
    <row r="56" spans="1:6" x14ac:dyDescent="0.15">
      <c r="A56" s="292">
        <v>45991</v>
      </c>
      <c r="B56" s="285" t="s">
        <v>234</v>
      </c>
      <c r="F56" s="291"/>
    </row>
    <row r="57" spans="1:6" x14ac:dyDescent="0.15">
      <c r="A57" s="292">
        <v>45991</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45992</v>
      </c>
      <c r="B5" s="297">
        <v>45992</v>
      </c>
      <c r="C5" s="296"/>
      <c r="D5" s="295"/>
      <c r="E5" s="294"/>
      <c r="F5" s="293"/>
    </row>
    <row r="6" spans="1:6" x14ac:dyDescent="0.15">
      <c r="A6" s="292">
        <v>45993</v>
      </c>
      <c r="B6" s="285">
        <v>45993</v>
      </c>
      <c r="F6" s="291"/>
    </row>
    <row r="7" spans="1:6" x14ac:dyDescent="0.15">
      <c r="A7" s="292">
        <v>45994</v>
      </c>
      <c r="B7" s="285">
        <v>45994</v>
      </c>
      <c r="F7" s="291"/>
    </row>
    <row r="8" spans="1:6" x14ac:dyDescent="0.15">
      <c r="A8" s="292">
        <v>45995</v>
      </c>
      <c r="B8" s="285">
        <v>45995</v>
      </c>
      <c r="F8" s="291"/>
    </row>
    <row r="9" spans="1:6" x14ac:dyDescent="0.15">
      <c r="A9" s="292">
        <v>45996</v>
      </c>
      <c r="B9" s="285">
        <v>45996</v>
      </c>
      <c r="F9" s="291"/>
    </row>
    <row r="10" spans="1:6" x14ac:dyDescent="0.15">
      <c r="A10" s="292">
        <v>45997</v>
      </c>
      <c r="B10" s="285">
        <v>45997</v>
      </c>
      <c r="F10" s="291"/>
    </row>
    <row r="11" spans="1:6" x14ac:dyDescent="0.15">
      <c r="A11" s="292">
        <v>45998</v>
      </c>
      <c r="B11" s="285">
        <v>45998</v>
      </c>
      <c r="F11" s="291"/>
    </row>
    <row r="12" spans="1:6" x14ac:dyDescent="0.15">
      <c r="A12" s="292">
        <v>45998</v>
      </c>
      <c r="B12" s="285" t="s">
        <v>234</v>
      </c>
      <c r="F12" s="291"/>
    </row>
    <row r="13" spans="1:6" x14ac:dyDescent="0.15">
      <c r="A13" s="292">
        <v>45998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45999</v>
      </c>
      <c r="B16" s="297">
        <v>45999</v>
      </c>
      <c r="C16" s="296"/>
      <c r="D16" s="295"/>
      <c r="E16" s="294"/>
      <c r="F16" s="293"/>
    </row>
    <row r="17" spans="1:6" x14ac:dyDescent="0.15">
      <c r="A17" s="292">
        <v>46000</v>
      </c>
      <c r="B17" s="285">
        <v>46000</v>
      </c>
      <c r="F17" s="291"/>
    </row>
    <row r="18" spans="1:6" x14ac:dyDescent="0.15">
      <c r="A18" s="292">
        <v>46001</v>
      </c>
      <c r="B18" s="285">
        <v>46001</v>
      </c>
      <c r="F18" s="291"/>
    </row>
    <row r="19" spans="1:6" x14ac:dyDescent="0.15">
      <c r="A19" s="292">
        <v>46002</v>
      </c>
      <c r="B19" s="285">
        <v>46002</v>
      </c>
      <c r="F19" s="291"/>
    </row>
    <row r="20" spans="1:6" x14ac:dyDescent="0.15">
      <c r="A20" s="292">
        <v>46003</v>
      </c>
      <c r="B20" s="285">
        <v>46003</v>
      </c>
      <c r="F20" s="291"/>
    </row>
    <row r="21" spans="1:6" x14ac:dyDescent="0.15">
      <c r="A21" s="292">
        <v>46004</v>
      </c>
      <c r="B21" s="285">
        <v>46004</v>
      </c>
      <c r="F21" s="291"/>
    </row>
    <row r="22" spans="1:6" x14ac:dyDescent="0.15">
      <c r="A22" s="292">
        <v>46005</v>
      </c>
      <c r="B22" s="285">
        <v>46005</v>
      </c>
      <c r="F22" s="291"/>
    </row>
    <row r="23" spans="1:6" x14ac:dyDescent="0.15">
      <c r="A23" s="292">
        <v>46005</v>
      </c>
      <c r="B23" s="285" t="s">
        <v>234</v>
      </c>
      <c r="F23" s="291"/>
    </row>
    <row r="24" spans="1:6" x14ac:dyDescent="0.15">
      <c r="A24" s="292">
        <v>46005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46006</v>
      </c>
      <c r="B27" s="297">
        <v>46006</v>
      </c>
      <c r="C27" s="296"/>
      <c r="D27" s="295"/>
      <c r="E27" s="294"/>
      <c r="F27" s="293"/>
    </row>
    <row r="28" spans="1:6" x14ac:dyDescent="0.15">
      <c r="A28" s="292">
        <v>46007</v>
      </c>
      <c r="B28" s="285">
        <v>46007</v>
      </c>
      <c r="F28" s="291"/>
    </row>
    <row r="29" spans="1:6" x14ac:dyDescent="0.15">
      <c r="A29" s="292">
        <v>46008</v>
      </c>
      <c r="B29" s="285">
        <v>46008</v>
      </c>
      <c r="F29" s="291"/>
    </row>
    <row r="30" spans="1:6" x14ac:dyDescent="0.15">
      <c r="A30" s="292">
        <v>46009</v>
      </c>
      <c r="B30" s="285">
        <v>46009</v>
      </c>
      <c r="F30" s="291"/>
    </row>
    <row r="31" spans="1:6" x14ac:dyDescent="0.15">
      <c r="A31" s="292">
        <v>46010</v>
      </c>
      <c r="B31" s="285">
        <v>46010</v>
      </c>
      <c r="F31" s="291"/>
    </row>
    <row r="32" spans="1:6" x14ac:dyDescent="0.15">
      <c r="A32" s="292">
        <v>46011</v>
      </c>
      <c r="B32" s="285">
        <v>46011</v>
      </c>
      <c r="F32" s="291"/>
    </row>
    <row r="33" spans="1:6" x14ac:dyDescent="0.15">
      <c r="A33" s="292">
        <v>46012</v>
      </c>
      <c r="B33" s="285">
        <v>46012</v>
      </c>
      <c r="F33" s="291"/>
    </row>
    <row r="34" spans="1:6" x14ac:dyDescent="0.15">
      <c r="A34" s="292">
        <v>46012</v>
      </c>
      <c r="B34" s="285" t="s">
        <v>234</v>
      </c>
      <c r="F34" s="291"/>
    </row>
    <row r="35" spans="1:6" x14ac:dyDescent="0.15">
      <c r="A35" s="292">
        <v>46012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46013</v>
      </c>
      <c r="B38" s="297">
        <v>46013</v>
      </c>
      <c r="C38" s="296"/>
      <c r="D38" s="295"/>
      <c r="E38" s="294"/>
      <c r="F38" s="293"/>
    </row>
    <row r="39" spans="1:6" x14ac:dyDescent="0.15">
      <c r="A39" s="292">
        <v>46014</v>
      </c>
      <c r="B39" s="285">
        <v>46014</v>
      </c>
      <c r="F39" s="291"/>
    </row>
    <row r="40" spans="1:6" x14ac:dyDescent="0.15">
      <c r="A40" s="292">
        <v>46015</v>
      </c>
      <c r="B40" s="285">
        <v>46015</v>
      </c>
      <c r="F40" s="291"/>
    </row>
    <row r="41" spans="1:6" x14ac:dyDescent="0.15">
      <c r="A41" s="292">
        <v>46016</v>
      </c>
      <c r="B41" s="285">
        <v>46016</v>
      </c>
      <c r="F41" s="291"/>
    </row>
    <row r="42" spans="1:6" x14ac:dyDescent="0.15">
      <c r="A42" s="292">
        <v>46017</v>
      </c>
      <c r="B42" s="285">
        <v>46017</v>
      </c>
      <c r="F42" s="291"/>
    </row>
    <row r="43" spans="1:6" x14ac:dyDescent="0.15">
      <c r="A43" s="292">
        <v>46018</v>
      </c>
      <c r="B43" s="285">
        <v>46018</v>
      </c>
      <c r="F43" s="291"/>
    </row>
    <row r="44" spans="1:6" x14ac:dyDescent="0.15">
      <c r="A44" s="292">
        <v>46019</v>
      </c>
      <c r="B44" s="285">
        <v>46019</v>
      </c>
      <c r="F44" s="291"/>
    </row>
    <row r="45" spans="1:6" x14ac:dyDescent="0.15">
      <c r="A45" s="292">
        <v>46019</v>
      </c>
      <c r="B45" s="285" t="s">
        <v>234</v>
      </c>
      <c r="F45" s="291"/>
    </row>
    <row r="46" spans="1:6" x14ac:dyDescent="0.15">
      <c r="A46" s="292">
        <v>46019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46020</v>
      </c>
      <c r="B5" s="297">
        <v>46020</v>
      </c>
      <c r="C5" s="296"/>
      <c r="D5" s="295"/>
      <c r="E5" s="294"/>
      <c r="F5" s="293"/>
    </row>
    <row r="6" spans="1:6" x14ac:dyDescent="0.15">
      <c r="A6" s="292">
        <v>46021</v>
      </c>
      <c r="B6" s="285">
        <v>46021</v>
      </c>
      <c r="F6" s="291"/>
    </row>
    <row r="7" spans="1:6" x14ac:dyDescent="0.15">
      <c r="A7" s="292">
        <v>46022</v>
      </c>
      <c r="B7" s="285">
        <v>46022</v>
      </c>
      <c r="F7" s="291"/>
    </row>
    <row r="8" spans="1:6" x14ac:dyDescent="0.15">
      <c r="A8" s="292">
        <v>46023</v>
      </c>
      <c r="B8" s="285">
        <v>46023</v>
      </c>
      <c r="F8" s="291"/>
    </row>
    <row r="9" spans="1:6" x14ac:dyDescent="0.15">
      <c r="A9" s="292">
        <v>46024</v>
      </c>
      <c r="B9" s="285">
        <v>46024</v>
      </c>
      <c r="F9" s="291"/>
    </row>
    <row r="10" spans="1:6" x14ac:dyDescent="0.15">
      <c r="A10" s="292">
        <v>46025</v>
      </c>
      <c r="B10" s="285">
        <v>46025</v>
      </c>
      <c r="F10" s="291"/>
    </row>
    <row r="11" spans="1:6" x14ac:dyDescent="0.15">
      <c r="A11" s="292">
        <v>46026</v>
      </c>
      <c r="B11" s="285">
        <v>46026</v>
      </c>
      <c r="F11" s="291"/>
    </row>
    <row r="12" spans="1:6" x14ac:dyDescent="0.15">
      <c r="A12" s="292">
        <v>46026</v>
      </c>
      <c r="B12" s="285" t="s">
        <v>234</v>
      </c>
      <c r="F12" s="291"/>
    </row>
    <row r="13" spans="1:6" x14ac:dyDescent="0.15">
      <c r="A13" s="292">
        <v>46026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46027</v>
      </c>
      <c r="B16" s="297">
        <v>46027</v>
      </c>
      <c r="C16" s="296"/>
      <c r="D16" s="295"/>
      <c r="E16" s="294"/>
      <c r="F16" s="293"/>
    </row>
    <row r="17" spans="1:6" x14ac:dyDescent="0.15">
      <c r="A17" s="292">
        <v>46028</v>
      </c>
      <c r="B17" s="285">
        <v>46028</v>
      </c>
      <c r="F17" s="291"/>
    </row>
    <row r="18" spans="1:6" x14ac:dyDescent="0.15">
      <c r="A18" s="292">
        <v>46029</v>
      </c>
      <c r="B18" s="285">
        <v>46029</v>
      </c>
      <c r="F18" s="291"/>
    </row>
    <row r="19" spans="1:6" x14ac:dyDescent="0.15">
      <c r="A19" s="292">
        <v>46030</v>
      </c>
      <c r="B19" s="285">
        <v>46030</v>
      </c>
      <c r="F19" s="291"/>
    </row>
    <row r="20" spans="1:6" x14ac:dyDescent="0.15">
      <c r="A20" s="292">
        <v>46031</v>
      </c>
      <c r="B20" s="285">
        <v>46031</v>
      </c>
      <c r="F20" s="291"/>
    </row>
    <row r="21" spans="1:6" x14ac:dyDescent="0.15">
      <c r="A21" s="292">
        <v>46032</v>
      </c>
      <c r="B21" s="285">
        <v>46032</v>
      </c>
      <c r="F21" s="291"/>
    </row>
    <row r="22" spans="1:6" x14ac:dyDescent="0.15">
      <c r="A22" s="292">
        <v>46033</v>
      </c>
      <c r="B22" s="285">
        <v>46033</v>
      </c>
      <c r="F22" s="291"/>
    </row>
    <row r="23" spans="1:6" x14ac:dyDescent="0.15">
      <c r="A23" s="292">
        <v>46033</v>
      </c>
      <c r="B23" s="285" t="s">
        <v>234</v>
      </c>
      <c r="F23" s="291"/>
    </row>
    <row r="24" spans="1:6" x14ac:dyDescent="0.15">
      <c r="A24" s="292">
        <v>46033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46034</v>
      </c>
      <c r="B27" s="297">
        <v>46034</v>
      </c>
      <c r="C27" s="296"/>
      <c r="D27" s="295"/>
      <c r="E27" s="294"/>
      <c r="F27" s="293"/>
    </row>
    <row r="28" spans="1:6" x14ac:dyDescent="0.15">
      <c r="A28" s="292">
        <v>46035</v>
      </c>
      <c r="B28" s="285">
        <v>46035</v>
      </c>
      <c r="F28" s="291"/>
    </row>
    <row r="29" spans="1:6" x14ac:dyDescent="0.15">
      <c r="A29" s="292">
        <v>46036</v>
      </c>
      <c r="B29" s="285">
        <v>46036</v>
      </c>
      <c r="F29" s="291"/>
    </row>
    <row r="30" spans="1:6" x14ac:dyDescent="0.15">
      <c r="A30" s="292">
        <v>46037</v>
      </c>
      <c r="B30" s="285">
        <v>46037</v>
      </c>
      <c r="F30" s="291"/>
    </row>
    <row r="31" spans="1:6" x14ac:dyDescent="0.15">
      <c r="A31" s="292">
        <v>46038</v>
      </c>
      <c r="B31" s="285">
        <v>46038</v>
      </c>
      <c r="F31" s="291"/>
    </row>
    <row r="32" spans="1:6" x14ac:dyDescent="0.15">
      <c r="A32" s="292">
        <v>46039</v>
      </c>
      <c r="B32" s="285">
        <v>46039</v>
      </c>
      <c r="F32" s="291"/>
    </row>
    <row r="33" spans="1:6" x14ac:dyDescent="0.15">
      <c r="A33" s="292">
        <v>46040</v>
      </c>
      <c r="B33" s="285">
        <v>46040</v>
      </c>
      <c r="F33" s="291"/>
    </row>
    <row r="34" spans="1:6" x14ac:dyDescent="0.15">
      <c r="A34" s="292">
        <v>46040</v>
      </c>
      <c r="B34" s="285" t="s">
        <v>234</v>
      </c>
      <c r="F34" s="291"/>
    </row>
    <row r="35" spans="1:6" x14ac:dyDescent="0.15">
      <c r="A35" s="292">
        <v>46040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46041</v>
      </c>
      <c r="B38" s="297">
        <v>46041</v>
      </c>
      <c r="C38" s="296"/>
      <c r="D38" s="295"/>
      <c r="E38" s="294"/>
      <c r="F38" s="293"/>
    </row>
    <row r="39" spans="1:6" x14ac:dyDescent="0.15">
      <c r="A39" s="292">
        <v>46042</v>
      </c>
      <c r="B39" s="285">
        <v>46042</v>
      </c>
      <c r="F39" s="291"/>
    </row>
    <row r="40" spans="1:6" x14ac:dyDescent="0.15">
      <c r="A40" s="292">
        <v>46043</v>
      </c>
      <c r="B40" s="285">
        <v>46043</v>
      </c>
      <c r="F40" s="291"/>
    </row>
    <row r="41" spans="1:6" x14ac:dyDescent="0.15">
      <c r="A41" s="292">
        <v>46044</v>
      </c>
      <c r="B41" s="285">
        <v>46044</v>
      </c>
      <c r="F41" s="291"/>
    </row>
    <row r="42" spans="1:6" x14ac:dyDescent="0.15">
      <c r="A42" s="292">
        <v>46045</v>
      </c>
      <c r="B42" s="285">
        <v>46045</v>
      </c>
      <c r="F42" s="291"/>
    </row>
    <row r="43" spans="1:6" x14ac:dyDescent="0.15">
      <c r="A43" s="292">
        <v>46046</v>
      </c>
      <c r="B43" s="285">
        <v>46046</v>
      </c>
      <c r="F43" s="291"/>
    </row>
    <row r="44" spans="1:6" x14ac:dyDescent="0.15">
      <c r="A44" s="292">
        <v>46047</v>
      </c>
      <c r="B44" s="285">
        <v>46047</v>
      </c>
      <c r="F44" s="291"/>
    </row>
    <row r="45" spans="1:6" x14ac:dyDescent="0.15">
      <c r="A45" s="292">
        <v>46047</v>
      </c>
      <c r="B45" s="285" t="s">
        <v>234</v>
      </c>
      <c r="F45" s="291"/>
    </row>
    <row r="46" spans="1:6" x14ac:dyDescent="0.15">
      <c r="A46" s="292">
        <v>46047</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46048</v>
      </c>
      <c r="B5" s="297">
        <v>46048</v>
      </c>
      <c r="C5" s="296"/>
      <c r="D5" s="295"/>
      <c r="E5" s="294"/>
      <c r="F5" s="293"/>
    </row>
    <row r="6" spans="1:6" x14ac:dyDescent="0.15">
      <c r="A6" s="292">
        <v>46049</v>
      </c>
      <c r="B6" s="285">
        <v>46049</v>
      </c>
      <c r="F6" s="291"/>
    </row>
    <row r="7" spans="1:6" x14ac:dyDescent="0.15">
      <c r="A7" s="292">
        <v>46050</v>
      </c>
      <c r="B7" s="285">
        <v>46050</v>
      </c>
      <c r="F7" s="291"/>
    </row>
    <row r="8" spans="1:6" x14ac:dyDescent="0.15">
      <c r="A8" s="292">
        <v>46051</v>
      </c>
      <c r="B8" s="285">
        <v>46051</v>
      </c>
      <c r="F8" s="291"/>
    </row>
    <row r="9" spans="1:6" x14ac:dyDescent="0.15">
      <c r="A9" s="292">
        <v>46052</v>
      </c>
      <c r="B9" s="285">
        <v>46052</v>
      </c>
      <c r="F9" s="291"/>
    </row>
    <row r="10" spans="1:6" x14ac:dyDescent="0.15">
      <c r="A10" s="292">
        <v>46053</v>
      </c>
      <c r="B10" s="285">
        <v>46053</v>
      </c>
      <c r="F10" s="291"/>
    </row>
    <row r="11" spans="1:6" x14ac:dyDescent="0.15">
      <c r="A11" s="292">
        <v>46054</v>
      </c>
      <c r="B11" s="285">
        <v>46054</v>
      </c>
      <c r="F11" s="291"/>
    </row>
    <row r="12" spans="1:6" x14ac:dyDescent="0.15">
      <c r="A12" s="292">
        <v>46054</v>
      </c>
      <c r="B12" s="285" t="s">
        <v>234</v>
      </c>
      <c r="F12" s="291"/>
    </row>
    <row r="13" spans="1:6" x14ac:dyDescent="0.15">
      <c r="A13" s="292">
        <v>46054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46055</v>
      </c>
      <c r="B16" s="297">
        <v>46055</v>
      </c>
      <c r="C16" s="296"/>
      <c r="D16" s="295"/>
      <c r="E16" s="294"/>
      <c r="F16" s="293"/>
    </row>
    <row r="17" spans="1:6" x14ac:dyDescent="0.15">
      <c r="A17" s="292">
        <v>46056</v>
      </c>
      <c r="B17" s="285">
        <v>46056</v>
      </c>
      <c r="F17" s="291"/>
    </row>
    <row r="18" spans="1:6" x14ac:dyDescent="0.15">
      <c r="A18" s="292">
        <v>46057</v>
      </c>
      <c r="B18" s="285">
        <v>46057</v>
      </c>
      <c r="F18" s="291"/>
    </row>
    <row r="19" spans="1:6" x14ac:dyDescent="0.15">
      <c r="A19" s="292">
        <v>46058</v>
      </c>
      <c r="B19" s="285">
        <v>46058</v>
      </c>
      <c r="F19" s="291"/>
    </row>
    <row r="20" spans="1:6" x14ac:dyDescent="0.15">
      <c r="A20" s="292">
        <v>46059</v>
      </c>
      <c r="B20" s="285">
        <v>46059</v>
      </c>
      <c r="F20" s="291"/>
    </row>
    <row r="21" spans="1:6" x14ac:dyDescent="0.15">
      <c r="A21" s="292">
        <v>46060</v>
      </c>
      <c r="B21" s="285">
        <v>46060</v>
      </c>
      <c r="F21" s="291"/>
    </row>
    <row r="22" spans="1:6" x14ac:dyDescent="0.15">
      <c r="A22" s="292">
        <v>46061</v>
      </c>
      <c r="B22" s="285">
        <v>46061</v>
      </c>
      <c r="F22" s="291"/>
    </row>
    <row r="23" spans="1:6" x14ac:dyDescent="0.15">
      <c r="A23" s="292">
        <v>46061</v>
      </c>
      <c r="B23" s="285" t="s">
        <v>234</v>
      </c>
      <c r="F23" s="291"/>
    </row>
    <row r="24" spans="1:6" x14ac:dyDescent="0.15">
      <c r="A24" s="292">
        <v>46061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46062</v>
      </c>
      <c r="B27" s="297">
        <v>46062</v>
      </c>
      <c r="C27" s="296"/>
      <c r="D27" s="295"/>
      <c r="E27" s="294"/>
      <c r="F27" s="293"/>
    </row>
    <row r="28" spans="1:6" x14ac:dyDescent="0.15">
      <c r="A28" s="292">
        <v>46063</v>
      </c>
      <c r="B28" s="285">
        <v>46063</v>
      </c>
      <c r="F28" s="291"/>
    </row>
    <row r="29" spans="1:6" x14ac:dyDescent="0.15">
      <c r="A29" s="292">
        <v>46064</v>
      </c>
      <c r="B29" s="285">
        <v>46064</v>
      </c>
      <c r="F29" s="291"/>
    </row>
    <row r="30" spans="1:6" x14ac:dyDescent="0.15">
      <c r="A30" s="292">
        <v>46065</v>
      </c>
      <c r="B30" s="285">
        <v>46065</v>
      </c>
      <c r="F30" s="291"/>
    </row>
    <row r="31" spans="1:6" x14ac:dyDescent="0.15">
      <c r="A31" s="292">
        <v>46066</v>
      </c>
      <c r="B31" s="285">
        <v>46066</v>
      </c>
      <c r="F31" s="291"/>
    </row>
    <row r="32" spans="1:6" x14ac:dyDescent="0.15">
      <c r="A32" s="292">
        <v>46067</v>
      </c>
      <c r="B32" s="285">
        <v>46067</v>
      </c>
      <c r="F32" s="291"/>
    </row>
    <row r="33" spans="1:6" x14ac:dyDescent="0.15">
      <c r="A33" s="292">
        <v>46068</v>
      </c>
      <c r="B33" s="285">
        <v>46068</v>
      </c>
      <c r="F33" s="291"/>
    </row>
    <row r="34" spans="1:6" x14ac:dyDescent="0.15">
      <c r="A34" s="292">
        <v>46068</v>
      </c>
      <c r="B34" s="285" t="s">
        <v>234</v>
      </c>
      <c r="F34" s="291"/>
    </row>
    <row r="35" spans="1:6" x14ac:dyDescent="0.15">
      <c r="A35" s="292">
        <v>46068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46069</v>
      </c>
      <c r="B38" s="297">
        <v>46069</v>
      </c>
      <c r="C38" s="296"/>
      <c r="D38" s="295"/>
      <c r="E38" s="294"/>
      <c r="F38" s="293"/>
    </row>
    <row r="39" spans="1:6" x14ac:dyDescent="0.15">
      <c r="A39" s="292">
        <v>46070</v>
      </c>
      <c r="B39" s="285">
        <v>46070</v>
      </c>
      <c r="F39" s="291"/>
    </row>
    <row r="40" spans="1:6" x14ac:dyDescent="0.15">
      <c r="A40" s="292">
        <v>46071</v>
      </c>
      <c r="B40" s="285">
        <v>46071</v>
      </c>
      <c r="F40" s="291"/>
    </row>
    <row r="41" spans="1:6" x14ac:dyDescent="0.15">
      <c r="A41" s="292">
        <v>46072</v>
      </c>
      <c r="B41" s="285">
        <v>46072</v>
      </c>
      <c r="F41" s="291"/>
    </row>
    <row r="42" spans="1:6" x14ac:dyDescent="0.15">
      <c r="A42" s="292">
        <v>46073</v>
      </c>
      <c r="B42" s="285">
        <v>46073</v>
      </c>
      <c r="F42" s="291"/>
    </row>
    <row r="43" spans="1:6" x14ac:dyDescent="0.15">
      <c r="A43" s="292">
        <v>46074</v>
      </c>
      <c r="B43" s="285">
        <v>46074</v>
      </c>
      <c r="F43" s="291"/>
    </row>
    <row r="44" spans="1:6" x14ac:dyDescent="0.15">
      <c r="A44" s="292">
        <v>46075</v>
      </c>
      <c r="B44" s="285">
        <v>46075</v>
      </c>
      <c r="F44" s="291"/>
    </row>
    <row r="45" spans="1:6" x14ac:dyDescent="0.15">
      <c r="A45" s="292">
        <v>46075</v>
      </c>
      <c r="B45" s="285" t="s">
        <v>234</v>
      </c>
      <c r="F45" s="291"/>
    </row>
    <row r="46" spans="1:6" x14ac:dyDescent="0.15">
      <c r="A46" s="292">
        <v>46075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9"/>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SUM(D4:D69)</f>
        <v>0</v>
      </c>
      <c r="E1" s="303">
        <f>SUM(E4:E69)/2</f>
        <v>0</v>
      </c>
      <c r="F1" s="303">
        <f>SUM(F4:F69)/2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46076</v>
      </c>
      <c r="B5" s="297">
        <v>46076</v>
      </c>
      <c r="C5" s="296"/>
      <c r="D5" s="295"/>
      <c r="E5" s="294"/>
      <c r="F5" s="293"/>
    </row>
    <row r="6" spans="1:6" x14ac:dyDescent="0.15">
      <c r="A6" s="292">
        <v>46077</v>
      </c>
      <c r="B6" s="285">
        <v>46077</v>
      </c>
      <c r="F6" s="291"/>
    </row>
    <row r="7" spans="1:6" x14ac:dyDescent="0.15">
      <c r="A7" s="292">
        <v>46078</v>
      </c>
      <c r="B7" s="285">
        <v>46078</v>
      </c>
      <c r="F7" s="291"/>
    </row>
    <row r="8" spans="1:6" x14ac:dyDescent="0.15">
      <c r="A8" s="292">
        <v>46079</v>
      </c>
      <c r="B8" s="285">
        <v>46079</v>
      </c>
      <c r="F8" s="291"/>
    </row>
    <row r="9" spans="1:6" x14ac:dyDescent="0.15">
      <c r="A9" s="292">
        <v>46080</v>
      </c>
      <c r="B9" s="285">
        <v>46080</v>
      </c>
      <c r="F9" s="291"/>
    </row>
    <row r="10" spans="1:6" x14ac:dyDescent="0.15">
      <c r="A10" s="292">
        <v>46081</v>
      </c>
      <c r="B10" s="285">
        <v>46081</v>
      </c>
      <c r="F10" s="291"/>
    </row>
    <row r="11" spans="1:6" x14ac:dyDescent="0.15">
      <c r="A11" s="292">
        <v>46082</v>
      </c>
      <c r="B11" s="285">
        <v>46082</v>
      </c>
      <c r="F11" s="291"/>
    </row>
    <row r="12" spans="1:6" x14ac:dyDescent="0.15">
      <c r="A12" s="292">
        <v>46082</v>
      </c>
      <c r="B12" s="285" t="s">
        <v>234</v>
      </c>
      <c r="F12" s="291"/>
    </row>
    <row r="13" spans="1:6" x14ac:dyDescent="0.15">
      <c r="A13" s="292">
        <v>46082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46083</v>
      </c>
      <c r="B16" s="297">
        <v>46083</v>
      </c>
      <c r="C16" s="296"/>
      <c r="D16" s="295"/>
      <c r="E16" s="294"/>
      <c r="F16" s="293"/>
    </row>
    <row r="17" spans="1:6" x14ac:dyDescent="0.15">
      <c r="A17" s="292">
        <v>46084</v>
      </c>
      <c r="B17" s="285">
        <v>46084</v>
      </c>
      <c r="F17" s="291"/>
    </row>
    <row r="18" spans="1:6" x14ac:dyDescent="0.15">
      <c r="A18" s="292">
        <v>46085</v>
      </c>
      <c r="B18" s="285">
        <v>46085</v>
      </c>
      <c r="F18" s="291"/>
    </row>
    <row r="19" spans="1:6" x14ac:dyDescent="0.15">
      <c r="A19" s="292">
        <v>46086</v>
      </c>
      <c r="B19" s="285">
        <v>46086</v>
      </c>
      <c r="F19" s="291"/>
    </row>
    <row r="20" spans="1:6" x14ac:dyDescent="0.15">
      <c r="A20" s="292">
        <v>46087</v>
      </c>
      <c r="B20" s="285">
        <v>46087</v>
      </c>
      <c r="F20" s="291"/>
    </row>
    <row r="21" spans="1:6" x14ac:dyDescent="0.15">
      <c r="A21" s="292">
        <v>46088</v>
      </c>
      <c r="B21" s="285">
        <v>46088</v>
      </c>
      <c r="F21" s="291"/>
    </row>
    <row r="22" spans="1:6" x14ac:dyDescent="0.15">
      <c r="A22" s="292">
        <v>46089</v>
      </c>
      <c r="B22" s="285">
        <v>46089</v>
      </c>
      <c r="F22" s="291"/>
    </row>
    <row r="23" spans="1:6" x14ac:dyDescent="0.15">
      <c r="A23" s="292">
        <v>46089</v>
      </c>
      <c r="B23" s="285" t="s">
        <v>234</v>
      </c>
      <c r="F23" s="291"/>
    </row>
    <row r="24" spans="1:6" x14ac:dyDescent="0.15">
      <c r="A24" s="292">
        <v>46089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46090</v>
      </c>
      <c r="B27" s="297">
        <v>46090</v>
      </c>
      <c r="C27" s="296"/>
      <c r="D27" s="295"/>
      <c r="E27" s="294"/>
      <c r="F27" s="293"/>
    </row>
    <row r="28" spans="1:6" x14ac:dyDescent="0.15">
      <c r="A28" s="292">
        <v>46091</v>
      </c>
      <c r="B28" s="285">
        <v>46091</v>
      </c>
      <c r="F28" s="291"/>
    </row>
    <row r="29" spans="1:6" x14ac:dyDescent="0.15">
      <c r="A29" s="292">
        <v>46092</v>
      </c>
      <c r="B29" s="285">
        <v>46092</v>
      </c>
      <c r="F29" s="291"/>
    </row>
    <row r="30" spans="1:6" x14ac:dyDescent="0.15">
      <c r="A30" s="292">
        <v>46093</v>
      </c>
      <c r="B30" s="285">
        <v>46093</v>
      </c>
      <c r="F30" s="291"/>
    </row>
    <row r="31" spans="1:6" x14ac:dyDescent="0.15">
      <c r="A31" s="292">
        <v>46094</v>
      </c>
      <c r="B31" s="285">
        <v>46094</v>
      </c>
      <c r="F31" s="291"/>
    </row>
    <row r="32" spans="1:6" x14ac:dyDescent="0.15">
      <c r="A32" s="292">
        <v>46095</v>
      </c>
      <c r="B32" s="285">
        <v>46095</v>
      </c>
      <c r="F32" s="291"/>
    </row>
    <row r="33" spans="1:6" x14ac:dyDescent="0.15">
      <c r="A33" s="292">
        <v>46096</v>
      </c>
      <c r="B33" s="285">
        <v>46096</v>
      </c>
      <c r="F33" s="291"/>
    </row>
    <row r="34" spans="1:6" x14ac:dyDescent="0.15">
      <c r="A34" s="292">
        <v>46096</v>
      </c>
      <c r="B34" s="285" t="s">
        <v>234</v>
      </c>
      <c r="F34" s="291"/>
    </row>
    <row r="35" spans="1:6" x14ac:dyDescent="0.15">
      <c r="A35" s="292">
        <v>46096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46097</v>
      </c>
      <c r="B38" s="297">
        <v>46097</v>
      </c>
      <c r="C38" s="296"/>
      <c r="D38" s="295"/>
      <c r="E38" s="294"/>
      <c r="F38" s="293"/>
    </row>
    <row r="39" spans="1:6" x14ac:dyDescent="0.15">
      <c r="A39" s="292">
        <v>46098</v>
      </c>
      <c r="B39" s="285">
        <v>46098</v>
      </c>
      <c r="F39" s="291"/>
    </row>
    <row r="40" spans="1:6" x14ac:dyDescent="0.15">
      <c r="A40" s="292">
        <v>46099</v>
      </c>
      <c r="B40" s="285">
        <v>46099</v>
      </c>
      <c r="F40" s="291"/>
    </row>
    <row r="41" spans="1:6" x14ac:dyDescent="0.15">
      <c r="A41" s="292">
        <v>46100</v>
      </c>
      <c r="B41" s="285">
        <v>46100</v>
      </c>
      <c r="F41" s="291"/>
    </row>
    <row r="42" spans="1:6" x14ac:dyDescent="0.15">
      <c r="A42" s="292">
        <v>46101</v>
      </c>
      <c r="B42" s="285">
        <v>46101</v>
      </c>
      <c r="F42" s="291"/>
    </row>
    <row r="43" spans="1:6" x14ac:dyDescent="0.15">
      <c r="A43" s="292">
        <v>46102</v>
      </c>
      <c r="B43" s="285">
        <v>46102</v>
      </c>
      <c r="F43" s="291"/>
    </row>
    <row r="44" spans="1:6" x14ac:dyDescent="0.15">
      <c r="A44" s="292">
        <v>46103</v>
      </c>
      <c r="B44" s="285">
        <v>46103</v>
      </c>
      <c r="F44" s="291"/>
    </row>
    <row r="45" spans="1:6" x14ac:dyDescent="0.15">
      <c r="A45" s="292">
        <v>46103</v>
      </c>
      <c r="B45" s="285" t="s">
        <v>234</v>
      </c>
      <c r="F45" s="291"/>
    </row>
    <row r="46" spans="1:6" x14ac:dyDescent="0.15">
      <c r="A46" s="292">
        <v>46103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46104</v>
      </c>
      <c r="B49" s="297">
        <v>46104</v>
      </c>
      <c r="C49" s="296"/>
      <c r="D49" s="295"/>
      <c r="E49" s="294"/>
      <c r="F49" s="293"/>
    </row>
    <row r="50" spans="1:6" x14ac:dyDescent="0.15">
      <c r="A50" s="292">
        <v>46105</v>
      </c>
      <c r="B50" s="285">
        <v>46105</v>
      </c>
      <c r="F50" s="291"/>
    </row>
    <row r="51" spans="1:6" x14ac:dyDescent="0.15">
      <c r="A51" s="292">
        <v>46106</v>
      </c>
      <c r="B51" s="285">
        <v>46106</v>
      </c>
      <c r="F51" s="291"/>
    </row>
    <row r="52" spans="1:6" x14ac:dyDescent="0.15">
      <c r="A52" s="292">
        <v>46107</v>
      </c>
      <c r="B52" s="285">
        <v>46107</v>
      </c>
      <c r="F52" s="291"/>
    </row>
    <row r="53" spans="1:6" x14ac:dyDescent="0.15">
      <c r="A53" s="292">
        <v>46108</v>
      </c>
      <c r="B53" s="285">
        <v>46108</v>
      </c>
      <c r="F53" s="291"/>
    </row>
    <row r="54" spans="1:6" x14ac:dyDescent="0.15">
      <c r="A54" s="292">
        <v>46109</v>
      </c>
      <c r="B54" s="285">
        <v>46109</v>
      </c>
      <c r="F54" s="291"/>
    </row>
    <row r="55" spans="1:6" x14ac:dyDescent="0.15">
      <c r="A55" s="292">
        <v>46110</v>
      </c>
      <c r="B55" s="285">
        <v>46110</v>
      </c>
      <c r="F55" s="291"/>
    </row>
    <row r="56" spans="1:6" x14ac:dyDescent="0.15">
      <c r="A56" s="292">
        <v>46110</v>
      </c>
      <c r="B56" s="285" t="s">
        <v>234</v>
      </c>
      <c r="F56" s="291"/>
    </row>
    <row r="57" spans="1:6" x14ac:dyDescent="0.15">
      <c r="A57" s="292">
        <v>46110</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46111</v>
      </c>
      <c r="B60" s="297">
        <v>46111</v>
      </c>
      <c r="C60" s="296"/>
      <c r="D60" s="295"/>
      <c r="E60" s="294"/>
      <c r="F60" s="293"/>
    </row>
    <row r="61" spans="1:6" x14ac:dyDescent="0.15">
      <c r="A61" s="292">
        <v>46112</v>
      </c>
      <c r="B61" s="285">
        <v>46112</v>
      </c>
      <c r="F61" s="291"/>
    </row>
    <row r="62" spans="1:6" x14ac:dyDescent="0.15">
      <c r="A62" s="292">
        <v>46113</v>
      </c>
      <c r="B62" s="285">
        <v>46113</v>
      </c>
      <c r="F62" s="291"/>
    </row>
    <row r="63" spans="1:6" x14ac:dyDescent="0.15">
      <c r="A63" s="292">
        <v>46114</v>
      </c>
      <c r="B63" s="285">
        <v>46114</v>
      </c>
      <c r="F63" s="291"/>
    </row>
    <row r="64" spans="1:6" x14ac:dyDescent="0.15">
      <c r="A64" s="292">
        <v>46115</v>
      </c>
      <c r="B64" s="285">
        <v>46115</v>
      </c>
      <c r="F64" s="291"/>
    </row>
    <row r="65" spans="1:6" x14ac:dyDescent="0.15">
      <c r="A65" s="292">
        <v>46116</v>
      </c>
      <c r="B65" s="285">
        <v>46116</v>
      </c>
      <c r="F65" s="291"/>
    </row>
    <row r="66" spans="1:6" x14ac:dyDescent="0.15">
      <c r="A66" s="292">
        <v>46117</v>
      </c>
      <c r="B66" s="285">
        <v>46117</v>
      </c>
      <c r="F66" s="291"/>
    </row>
    <row r="67" spans="1:6" x14ac:dyDescent="0.15">
      <c r="A67" s="292">
        <v>46117</v>
      </c>
      <c r="B67" s="285" t="s">
        <v>234</v>
      </c>
      <c r="F67" s="291"/>
    </row>
    <row r="68" spans="1:6" x14ac:dyDescent="0.15">
      <c r="A68" s="292">
        <v>46117</v>
      </c>
      <c r="B68" s="285" t="s">
        <v>233</v>
      </c>
      <c r="F68" s="291"/>
    </row>
    <row r="69" spans="1:6" ht="14" thickBot="1" x14ac:dyDescent="0.2">
      <c r="A69" s="290"/>
      <c r="B69" s="289"/>
      <c r="C69" s="287"/>
      <c r="D69" s="288"/>
      <c r="E69" s="300">
        <f>SUM(E60:E68)</f>
        <v>0</v>
      </c>
      <c r="F69" s="299">
        <f>SUM(F60:F68)</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Assets'!$D$62,"ENTER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45716</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45747</v>
      </c>
      <c r="C3" s="119"/>
      <c r="D3" s="119"/>
      <c r="E3" s="119"/>
      <c r="F3" s="119"/>
      <c r="G3" s="125"/>
      <c r="H3" s="119"/>
      <c r="I3" s="119"/>
      <c r="J3" s="126"/>
      <c r="K3" s="126"/>
      <c r="L3" s="121"/>
      <c r="M3" s="119"/>
      <c r="N3" s="119"/>
      <c r="O3" s="119"/>
    </row>
    <row r="4" spans="1:15" ht="12" customHeight="1" thickBot="1" x14ac:dyDescent="0.2">
      <c r="A4" s="119"/>
      <c r="B4" s="127">
        <v>45753</v>
      </c>
      <c r="C4" s="119"/>
      <c r="D4" s="510" t="s">
        <v>132</v>
      </c>
      <c r="E4" s="510"/>
      <c r="F4" s="510"/>
      <c r="G4" s="128">
        <v>1</v>
      </c>
      <c r="H4" s="119"/>
      <c r="I4" s="510" t="s">
        <v>73</v>
      </c>
      <c r="J4" s="510"/>
      <c r="K4" s="510"/>
      <c r="L4" s="510"/>
      <c r="M4" s="510"/>
      <c r="N4" s="129">
        <v>12570</v>
      </c>
      <c r="O4" s="125" t="s">
        <v>50</v>
      </c>
    </row>
    <row r="5" spans="1:15" ht="12" customHeight="1" x14ac:dyDescent="0.15">
      <c r="A5" s="119"/>
      <c r="B5" s="123">
        <v>45777</v>
      </c>
      <c r="C5" s="119"/>
      <c r="D5" s="510" t="s">
        <v>74</v>
      </c>
      <c r="E5" s="510"/>
      <c r="F5" s="510"/>
      <c r="G5" s="128">
        <v>0.18</v>
      </c>
      <c r="H5" s="119"/>
      <c r="I5" s="510" t="inlineStr">
        <is>
          <t>Personal allowance taper threshold</t>
        </is>
      </c>
      <c r="J5" s="119"/>
      <c r="K5" s="119"/>
      <c r="L5" s="119"/>
      <c r="M5" s="119"/>
      <c r="N5" s="130">
        <v>100000</v>
      </c>
      <c r="O5" s="125"/>
    </row>
    <row r="6" spans="1:15" ht="12" customHeight="1" x14ac:dyDescent="0.15">
      <c r="A6" s="119"/>
      <c r="B6" s="123">
        <v>45808</v>
      </c>
      <c r="C6" s="119"/>
      <c r="D6" s="119"/>
      <c r="E6" s="119"/>
      <c r="F6" s="119"/>
      <c r="G6" s="125"/>
      <c r="H6" s="119"/>
      <c r="I6" s="510" t="s">
        <v>75</v>
      </c>
      <c r="J6" s="510"/>
      <c r="K6" s="510"/>
      <c r="L6" s="510"/>
      <c r="M6" s="510"/>
      <c r="N6" s="128">
        <v>0.2</v>
      </c>
      <c r="O6" s="125" t="s">
        <v>76</v>
      </c>
    </row>
    <row r="7" spans="1:15" ht="12" customHeight="1" x14ac:dyDescent="0.15">
      <c r="A7" s="119"/>
      <c r="B7" s="123">
        <v>45838</v>
      </c>
      <c r="C7" s="119"/>
      <c r="D7" s="510" t="s">
        <v>77</v>
      </c>
      <c r="E7" s="510"/>
      <c r="F7" s="510"/>
      <c r="G7" s="125"/>
      <c r="H7" s="119"/>
      <c r="I7" s="510" t="s">
        <v>78</v>
      </c>
      <c r="J7" s="510"/>
      <c r="K7" s="510"/>
      <c r="L7" s="510"/>
      <c r="M7" s="510"/>
      <c r="N7" s="128">
        <v>0.4</v>
      </c>
      <c r="O7" s="125" t="s">
        <v>76</v>
      </c>
    </row>
    <row r="8" spans="1:15" ht="12" customHeight="1" x14ac:dyDescent="0.15">
      <c r="A8" s="119"/>
      <c r="B8" s="123">
        <v>45869</v>
      </c>
      <c r="C8" s="119"/>
      <c r="D8" s="119"/>
      <c r="E8" s="130"/>
      <c r="F8" s="119"/>
      <c r="G8" s="130"/>
      <c r="H8" s="119"/>
      <c r="I8" s="510" t="inlineStr">
        <is>
          <t>Additional rate applicable above the higher rate limit</t>
        </is>
      </c>
      <c r="J8" s="119"/>
      <c r="K8" s="119"/>
      <c r="L8" s="119"/>
      <c r="M8" s="119"/>
      <c r="N8" s="128">
        <v>0.45</v>
      </c>
      <c r="O8" s="125"/>
    </row>
    <row r="9" spans="1:15" ht="12" customHeight="1" x14ac:dyDescent="0.15">
      <c r="A9" s="119"/>
      <c r="B9" s="123">
        <v>45900</v>
      </c>
      <c r="C9" s="119"/>
      <c r="D9" s="119"/>
      <c r="E9" s="125"/>
      <c r="F9" s="119"/>
      <c r="G9" s="125"/>
      <c r="H9" s="119"/>
      <c r="I9" s="510" t="s">
        <v>81</v>
      </c>
      <c r="J9" s="517"/>
      <c r="K9" s="517"/>
      <c r="L9" s="131" t="s">
        <v>82</v>
      </c>
      <c r="M9" s="131" t="s">
        <v>83</v>
      </c>
      <c r="N9" s="132" t="s">
        <v>84</v>
      </c>
      <c r="O9" s="125"/>
    </row>
    <row r="10" spans="1:15" ht="12" customHeight="1" x14ac:dyDescent="0.15">
      <c r="A10" s="119"/>
      <c r="B10" s="123">
        <v>45930</v>
      </c>
      <c r="C10" s="119"/>
      <c r="D10" s="119"/>
      <c r="E10" s="125"/>
      <c r="F10" s="119"/>
      <c r="G10" s="125"/>
      <c r="H10" s="119"/>
      <c r="I10" s="119"/>
      <c r="J10" s="119"/>
      <c r="K10" s="119"/>
      <c r="L10" s="119"/>
      <c r="M10" s="119"/>
      <c r="N10" s="125"/>
      <c r="O10" s="125"/>
    </row>
    <row r="11" spans="1:15" ht="12" customHeight="1" x14ac:dyDescent="0.15">
      <c r="A11" s="119"/>
      <c r="B11" s="123">
        <v>45961</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45991</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46022</v>
      </c>
      <c r="C13" s="119"/>
      <c r="D13" s="510" t="s">
        <v>88</v>
      </c>
      <c r="E13" s="510"/>
      <c r="F13" s="510"/>
      <c r="G13" s="128">
        <v>0</v>
      </c>
      <c r="H13" s="119"/>
      <c r="I13" s="119" t="inlineStr">
        <is>
          <t>Additional rate</t>
        </is>
      </c>
      <c r="J13" s="119"/>
      <c r="K13" s="133">
        <v>0.45</v>
      </c>
      <c r="L13" s="125">
        <v>125141</v>
      </c>
      <c r="M13" s="119"/>
      <c r="N13" s="130">
        <v>125140</v>
      </c>
      <c r="O13" s="119"/>
    </row>
    <row r="14" spans="1:15" ht="12" customHeight="1" x14ac:dyDescent="0.15">
      <c r="A14" s="119"/>
      <c r="B14" s="123">
        <v>46053</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46081</v>
      </c>
      <c r="C15" s="119"/>
      <c r="D15" s="510" t="s">
        <v>91</v>
      </c>
      <c r="E15" s="510"/>
      <c r="F15" s="510"/>
      <c r="G15" s="128">
        <v>0.2</v>
      </c>
      <c r="H15" s="119"/>
      <c r="I15" s="119"/>
      <c r="J15" s="119"/>
      <c r="K15" s="119"/>
      <c r="L15" s="119"/>
      <c r="M15" s="119"/>
      <c r="N15" s="119"/>
      <c r="O15" s="119"/>
    </row>
    <row r="16" spans="1:15" ht="12" customHeight="1" thickBot="1" x14ac:dyDescent="0.2">
      <c r="A16" s="119"/>
      <c r="B16" s="123">
        <v>46112</v>
      </c>
      <c r="C16" s="119"/>
      <c r="D16" s="510" t="s">
        <v>92</v>
      </c>
      <c r="E16" s="510"/>
      <c r="F16" s="510"/>
      <c r="G16" s="128">
        <v>0.33</v>
      </c>
      <c r="H16" s="119"/>
      <c r="I16" s="510" t="s">
        <v>93</v>
      </c>
      <c r="J16" s="510"/>
      <c r="K16" s="510"/>
      <c r="L16" s="135">
        <v>3.5</v>
      </c>
      <c r="M16" s="158" t="s">
        <v>313</v>
      </c>
      <c r="N16" s="119">
        <v>6845</v>
      </c>
      <c r="O16" s="119"/>
    </row>
    <row r="17" spans="1:15" ht="12" customHeight="1" thickBot="1" x14ac:dyDescent="0.2">
      <c r="A17" s="119"/>
      <c r="B17" s="127">
        <v>46117</v>
      </c>
      <c r="C17" s="119"/>
      <c r="D17" s="510" t="s">
        <v>94</v>
      </c>
      <c r="E17" s="510"/>
      <c r="F17" s="510"/>
      <c r="G17" s="128">
        <v>0.25</v>
      </c>
      <c r="H17" s="119"/>
      <c r="I17" s="119"/>
      <c r="J17" s="119"/>
      <c r="K17" s="119"/>
      <c r="L17" s="137"/>
      <c r="M17" s="119"/>
      <c r="N17" s="119"/>
      <c r="O17" s="119"/>
    </row>
    <row r="18" spans="1:15" ht="12" customHeight="1" x14ac:dyDescent="0.15">
      <c r="A18" s="119"/>
      <c r="B18" s="123">
        <v>46142</v>
      </c>
      <c r="C18" s="119"/>
      <c r="D18" s="119"/>
      <c r="E18" s="119"/>
      <c r="F18" s="119"/>
      <c r="G18" s="125"/>
      <c r="H18" s="119"/>
      <c r="I18" s="119"/>
      <c r="J18" s="119"/>
      <c r="K18" s="119"/>
      <c r="L18" s="119"/>
      <c r="M18" s="119"/>
      <c r="N18" s="119"/>
      <c r="O18" s="119"/>
    </row>
    <row r="19" spans="1:15" ht="12" customHeight="1" x14ac:dyDescent="0.15">
      <c r="A19" s="119"/>
      <c r="B19" s="123">
        <v>46173</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46203</v>
      </c>
      <c r="C20" s="119"/>
      <c r="D20" s="121"/>
      <c r="E20" s="121"/>
      <c r="F20" s="125"/>
      <c r="G20" s="125"/>
      <c r="H20" s="119"/>
      <c r="I20" s="522"/>
      <c r="J20" s="522"/>
      <c r="K20" s="522"/>
      <c r="L20" s="328">
        <v>0.06</v>
      </c>
      <c r="M20" s="521"/>
      <c r="N20" s="130">
        <v>12570</v>
      </c>
      <c r="O20" s="125" t="s">
        <v>50</v>
      </c>
    </row>
    <row r="21" spans="1:15" ht="12" customHeight="1" x14ac:dyDescent="0.15">
      <c r="A21" s="119"/>
      <c r="B21" s="123">
        <v>46418</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46599</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2025-26</t>
        </is>
      </c>
      <c r="C23" s="119"/>
      <c r="D23" s="119"/>
      <c r="E23" s="119"/>
      <c r="F23" s="125"/>
      <c r="G23" s="137"/>
      <c r="H23" s="119"/>
      <c r="I23" s="522"/>
      <c r="J23" s="522"/>
      <c r="K23" s="522"/>
      <c r="L23" s="328">
        <v>0.02</v>
      </c>
      <c r="M23" s="521"/>
      <c r="N23" s="130">
        <v>50270</v>
      </c>
      <c r="O23" s="125" t="s">
        <v>50</v>
      </c>
    </row>
    <row r="24" spans="1:15" ht="12" customHeight="1" thickBot="1" x14ac:dyDescent="0.2">
      <c r="A24" s="119"/>
      <c r="B24" s="127" t="inlineStr">
        <is>
          <t>2026-27</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