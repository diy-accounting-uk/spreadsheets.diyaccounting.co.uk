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Apr" sheetId="12" r:id="rId2"/>
    <sheet name="May" sheetId="11" r:id="rId3"/>
    <sheet name="Jun" sheetId="10" r:id="rId4"/>
    <sheet name="Jul" sheetId="9" r:id="rId5"/>
    <sheet name="Aug" sheetId="8" r:id="rId6"/>
    <sheet name="Sep" sheetId="17" r:id="rId7"/>
    <sheet name="Oct" sheetId="16" r:id="rId8"/>
    <sheet name="Nov" sheetId="15" r:id="rId9"/>
    <sheet name="Dec" sheetId="14" r:id="rId10"/>
    <sheet name="Jan" sheetId="13" r:id="rId11"/>
    <sheet name="Feb" sheetId="19" r:id="rId12"/>
    <sheet name="Mar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<sst xmlns="http://schemas.openxmlformats.org/spreadsheetml/2006/main" count="1383" uniqueCount="138">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</sst>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44292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44293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44294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44295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44296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44297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44298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44292</v>
      </c>
      <c r="N9" s="5"/>
      <c r="O9" s="163">
        <f>Admin!I1</f>
        <v>44656</v>
      </c>
      <c r="P9" s="145"/>
      <c r="Q9" s="140"/>
      <c r="R9" s="141"/>
      <c r="S9" s="141"/>
      <c r="T9" s="80"/>
      <c r="U9" s="345"/>
      <c r="W9" s="206">
        <f>Admin!B9</f>
        <v>44299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44300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44301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44302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44303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44304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44305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44306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44307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44308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44309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44310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44311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44312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44313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44314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44315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44316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44317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44318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44319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44320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44321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44322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44323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44324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44325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44326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44327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44328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44329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44330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44331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44332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44333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44334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44335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44336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44337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44338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44339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44340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44341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44342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44343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44344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44345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44346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44347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44348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44349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44350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44351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44352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44353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44354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44355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44356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44357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44358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44359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44360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44361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44362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44363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44364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44365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44366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44367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44368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44369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44370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44371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44372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44373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44374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44375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44376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44377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44378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44379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44380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44381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44382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44383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44384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44385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44386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44387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44388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44389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44390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44391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44392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44393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44394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44395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44396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44397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44398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44399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44400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44401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44402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44403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44404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44405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44406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44407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44408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44409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44410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44411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44412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44413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44414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44415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44416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44417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44418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44419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44420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44421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44422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44423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44424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44425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44426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44427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44428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44429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44430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44431</v>
      </c>
    </row>
    <row r="142" spans="1:23" x14ac:dyDescent="0.15">
      <c r="W142" s="206">
        <f>Admin!B142</f>
        <v>44432</v>
      </c>
    </row>
    <row r="143" spans="1:23" x14ac:dyDescent="0.15">
      <c r="W143" s="206">
        <f>Admin!B143</f>
        <v>44433</v>
      </c>
    </row>
    <row r="144" spans="1:23" x14ac:dyDescent="0.15">
      <c r="W144" s="206">
        <f>Admin!B144</f>
        <v>44434</v>
      </c>
    </row>
    <row r="145" spans="23:23" x14ac:dyDescent="0.15">
      <c r="W145" s="206">
        <f>Admin!B145</f>
        <v>44435</v>
      </c>
    </row>
    <row r="146" spans="23:23" x14ac:dyDescent="0.15">
      <c r="W146" s="206">
        <f>Admin!B146</f>
        <v>44436</v>
      </c>
    </row>
    <row r="147" spans="23:23" x14ac:dyDescent="0.15">
      <c r="W147" s="206">
        <f>Admin!B147</f>
        <v>44437</v>
      </c>
    </row>
    <row r="148" spans="23:23" x14ac:dyDescent="0.15">
      <c r="W148" s="206">
        <f>Admin!B148</f>
        <v>44438</v>
      </c>
    </row>
    <row r="149" spans="23:23" x14ac:dyDescent="0.15">
      <c r="W149" s="206">
        <f>Admin!B149</f>
        <v>44439</v>
      </c>
    </row>
    <row r="150" spans="23:23" x14ac:dyDescent="0.15">
      <c r="W150" s="206">
        <f>Admin!B150</f>
        <v>44440</v>
      </c>
    </row>
    <row r="151" spans="23:23" x14ac:dyDescent="0.15">
      <c r="W151" s="206">
        <f>Admin!B151</f>
        <v>44441</v>
      </c>
    </row>
    <row r="152" spans="23:23" x14ac:dyDescent="0.15">
      <c r="W152" s="206">
        <f>Admin!B152</f>
        <v>44442</v>
      </c>
    </row>
    <row r="153" spans="23:23" x14ac:dyDescent="0.15">
      <c r="W153" s="206">
        <f>Admin!B153</f>
        <v>44443</v>
      </c>
    </row>
    <row r="154" spans="23:23" x14ac:dyDescent="0.15">
      <c r="W154" s="206">
        <f>Admin!B154</f>
        <v>44444</v>
      </c>
    </row>
    <row r="155" spans="23:23" x14ac:dyDescent="0.15">
      <c r="W155" s="206">
        <f>Admin!B155</f>
        <v>44445</v>
      </c>
    </row>
    <row r="156" spans="23:23" x14ac:dyDescent="0.15">
      <c r="W156" s="206">
        <f>Admin!B156</f>
        <v>44446</v>
      </c>
    </row>
    <row r="157" spans="23:23" x14ac:dyDescent="0.15">
      <c r="W157" s="206">
        <f>Admin!B157</f>
        <v>44447</v>
      </c>
    </row>
    <row r="158" spans="23:23" x14ac:dyDescent="0.15">
      <c r="W158" s="206">
        <f>Admin!B158</f>
        <v>44448</v>
      </c>
    </row>
    <row r="159" spans="23:23" x14ac:dyDescent="0.15">
      <c r="W159" s="206">
        <f>Admin!B159</f>
        <v>44449</v>
      </c>
    </row>
    <row r="160" spans="23:23" x14ac:dyDescent="0.15">
      <c r="W160" s="206">
        <f>Admin!B160</f>
        <v>44450</v>
      </c>
    </row>
    <row r="161" spans="23:23" x14ac:dyDescent="0.15">
      <c r="W161" s="206">
        <f>Admin!B161</f>
        <v>44451</v>
      </c>
    </row>
    <row r="162" spans="23:23" x14ac:dyDescent="0.15">
      <c r="W162" s="206">
        <f>Admin!B162</f>
        <v>44452</v>
      </c>
    </row>
    <row r="163" spans="23:23" x14ac:dyDescent="0.15">
      <c r="W163" s="206">
        <f>Admin!B163</f>
        <v>44453</v>
      </c>
    </row>
    <row r="164" spans="23:23" x14ac:dyDescent="0.15">
      <c r="W164" s="206">
        <f>Admin!B164</f>
        <v>44454</v>
      </c>
    </row>
    <row r="165" spans="23:23" x14ac:dyDescent="0.15">
      <c r="W165" s="206">
        <f>Admin!B165</f>
        <v>44455</v>
      </c>
    </row>
    <row r="166" spans="23:23" x14ac:dyDescent="0.15">
      <c r="W166" s="206">
        <f>Admin!B166</f>
        <v>44456</v>
      </c>
    </row>
    <row r="167" spans="23:23" x14ac:dyDescent="0.15">
      <c r="W167" s="206">
        <f>Admin!B167</f>
        <v>44457</v>
      </c>
    </row>
    <row r="168" spans="23:23" x14ac:dyDescent="0.15">
      <c r="W168" s="206">
        <f>Admin!B168</f>
        <v>44458</v>
      </c>
    </row>
    <row r="169" spans="23:23" x14ac:dyDescent="0.15">
      <c r="W169" s="206">
        <f>Admin!B169</f>
        <v>44459</v>
      </c>
    </row>
    <row r="170" spans="23:23" x14ac:dyDescent="0.15">
      <c r="W170" s="206">
        <f>Admin!B170</f>
        <v>44460</v>
      </c>
    </row>
    <row r="171" spans="23:23" x14ac:dyDescent="0.15">
      <c r="W171" s="206">
        <f>Admin!B171</f>
        <v>44461</v>
      </c>
    </row>
    <row r="172" spans="23:23" x14ac:dyDescent="0.15">
      <c r="W172" s="206">
        <f>Admin!B172</f>
        <v>44462</v>
      </c>
    </row>
    <row r="173" spans="23:23" x14ac:dyDescent="0.15">
      <c r="W173" s="206">
        <f>Admin!B173</f>
        <v>44463</v>
      </c>
    </row>
    <row r="174" spans="23:23" x14ac:dyDescent="0.15">
      <c r="W174" s="206">
        <f>Admin!B174</f>
        <v>44464</v>
      </c>
    </row>
    <row r="175" spans="23:23" x14ac:dyDescent="0.15">
      <c r="W175" s="206">
        <f>Admin!B175</f>
        <v>44465</v>
      </c>
    </row>
    <row r="176" spans="23:23" x14ac:dyDescent="0.15">
      <c r="W176" s="206">
        <f>Admin!B176</f>
        <v>44466</v>
      </c>
    </row>
    <row r="177" spans="23:23" x14ac:dyDescent="0.15">
      <c r="W177" s="206">
        <f>Admin!B177</f>
        <v>44467</v>
      </c>
    </row>
    <row r="178" spans="23:23" x14ac:dyDescent="0.15">
      <c r="W178" s="206">
        <f>Admin!B178</f>
        <v>44468</v>
      </c>
    </row>
    <row r="179" spans="23:23" x14ac:dyDescent="0.15">
      <c r="W179" s="206">
        <f>Admin!B179</f>
        <v>44469</v>
      </c>
    </row>
    <row r="180" spans="23:23" x14ac:dyDescent="0.15">
      <c r="W180" s="206">
        <f>Admin!B180</f>
        <v>44470</v>
      </c>
    </row>
    <row r="181" spans="23:23" x14ac:dyDescent="0.15">
      <c r="W181" s="206">
        <f>Admin!B181</f>
        <v>44471</v>
      </c>
    </row>
    <row r="182" spans="23:23" x14ac:dyDescent="0.15">
      <c r="W182" s="206">
        <f>Admin!B182</f>
        <v>44472</v>
      </c>
    </row>
    <row r="183" spans="23:23" x14ac:dyDescent="0.15">
      <c r="W183" s="206">
        <f>Admin!B183</f>
        <v>44473</v>
      </c>
    </row>
    <row r="184" spans="23:23" x14ac:dyDescent="0.15">
      <c r="W184" s="206">
        <f>Admin!B184</f>
        <v>44474</v>
      </c>
    </row>
    <row r="185" spans="23:23" x14ac:dyDescent="0.15">
      <c r="W185" s="206">
        <f>Admin!B185</f>
        <v>44475</v>
      </c>
    </row>
    <row r="186" spans="23:23" x14ac:dyDescent="0.15">
      <c r="W186" s="206">
        <f>Admin!B186</f>
        <v>44476</v>
      </c>
    </row>
    <row r="187" spans="23:23" x14ac:dyDescent="0.15">
      <c r="W187" s="206">
        <f>Admin!B187</f>
        <v>44477</v>
      </c>
    </row>
    <row r="188" spans="23:23" x14ac:dyDescent="0.15">
      <c r="W188" s="206">
        <f>Admin!B188</f>
        <v>44478</v>
      </c>
    </row>
    <row r="189" spans="23:23" x14ac:dyDescent="0.15">
      <c r="W189" s="206">
        <f>Admin!B189</f>
        <v>44479</v>
      </c>
    </row>
    <row r="190" spans="23:23" x14ac:dyDescent="0.15">
      <c r="W190" s="206">
        <f>Admin!B190</f>
        <v>44480</v>
      </c>
    </row>
    <row r="191" spans="23:23" x14ac:dyDescent="0.15">
      <c r="W191" s="206">
        <f>Admin!B191</f>
        <v>44481</v>
      </c>
    </row>
    <row r="192" spans="23:23" x14ac:dyDescent="0.15">
      <c r="W192" s="206">
        <f>Admin!B192</f>
        <v>44482</v>
      </c>
    </row>
    <row r="193" spans="23:23" x14ac:dyDescent="0.15">
      <c r="W193" s="206">
        <f>Admin!B193</f>
        <v>44483</v>
      </c>
    </row>
    <row r="194" spans="23:23" x14ac:dyDescent="0.15">
      <c r="W194" s="206">
        <f>Admin!B194</f>
        <v>44484</v>
      </c>
    </row>
    <row r="195" spans="23:23" x14ac:dyDescent="0.15">
      <c r="W195" s="206">
        <f>Admin!B195</f>
        <v>44485</v>
      </c>
    </row>
    <row r="196" spans="23:23" x14ac:dyDescent="0.15">
      <c r="W196" s="206">
        <f>Admin!B196</f>
        <v>44486</v>
      </c>
    </row>
    <row r="197" spans="23:23" x14ac:dyDescent="0.15">
      <c r="W197" s="206">
        <f>Admin!B197</f>
        <v>44487</v>
      </c>
    </row>
    <row r="198" spans="23:23" x14ac:dyDescent="0.15">
      <c r="W198" s="206">
        <f>Admin!B198</f>
        <v>44488</v>
      </c>
    </row>
    <row r="199" spans="23:23" x14ac:dyDescent="0.15">
      <c r="W199" s="206">
        <f>Admin!B199</f>
        <v>44489</v>
      </c>
    </row>
    <row r="200" spans="23:23" x14ac:dyDescent="0.15">
      <c r="W200" s="206">
        <f>Admin!B200</f>
        <v>44490</v>
      </c>
    </row>
    <row r="201" spans="23:23" x14ac:dyDescent="0.15">
      <c r="W201" s="206">
        <f>Admin!B201</f>
        <v>44491</v>
      </c>
    </row>
    <row r="202" spans="23:23" x14ac:dyDescent="0.15">
      <c r="W202" s="206">
        <f>Admin!B202</f>
        <v>44492</v>
      </c>
    </row>
    <row r="203" spans="23:23" x14ac:dyDescent="0.15">
      <c r="W203" s="206">
        <f>Admin!B203</f>
        <v>44493</v>
      </c>
    </row>
    <row r="204" spans="23:23" x14ac:dyDescent="0.15">
      <c r="W204" s="206">
        <f>Admin!B204</f>
        <v>44494</v>
      </c>
    </row>
    <row r="205" spans="23:23" x14ac:dyDescent="0.15">
      <c r="W205" s="206">
        <f>Admin!B205</f>
        <v>44495</v>
      </c>
    </row>
    <row r="206" spans="23:23" x14ac:dyDescent="0.15">
      <c r="W206" s="206">
        <f>Admin!B206</f>
        <v>44496</v>
      </c>
    </row>
    <row r="207" spans="23:23" x14ac:dyDescent="0.15">
      <c r="W207" s="206">
        <f>Admin!B207</f>
        <v>44497</v>
      </c>
    </row>
    <row r="208" spans="23:23" x14ac:dyDescent="0.15">
      <c r="W208" s="206">
        <f>Admin!B208</f>
        <v>44498</v>
      </c>
    </row>
    <row r="209" spans="23:23" x14ac:dyDescent="0.15">
      <c r="W209" s="206">
        <f>Admin!B209</f>
        <v>44499</v>
      </c>
    </row>
    <row r="210" spans="23:23" x14ac:dyDescent="0.15">
      <c r="W210" s="206">
        <f>Admin!B210</f>
        <v>44500</v>
      </c>
    </row>
    <row r="211" spans="23:23" x14ac:dyDescent="0.15">
      <c r="W211" s="206">
        <f>Admin!B211</f>
        <v>44501</v>
      </c>
    </row>
    <row r="212" spans="23:23" x14ac:dyDescent="0.15">
      <c r="W212" s="206">
        <f>Admin!B212</f>
        <v>44502</v>
      </c>
    </row>
    <row r="213" spans="23:23" x14ac:dyDescent="0.15">
      <c r="W213" s="206">
        <f>Admin!B213</f>
        <v>44503</v>
      </c>
    </row>
    <row r="214" spans="23:23" x14ac:dyDescent="0.15">
      <c r="W214" s="206">
        <f>Admin!B214</f>
        <v>44504</v>
      </c>
    </row>
    <row r="215" spans="23:23" x14ac:dyDescent="0.15">
      <c r="W215" s="206">
        <f>Admin!B215</f>
        <v>44505</v>
      </c>
    </row>
    <row r="216" spans="23:23" x14ac:dyDescent="0.15">
      <c r="W216" s="206">
        <f>Admin!B216</f>
        <v>44506</v>
      </c>
    </row>
    <row r="217" spans="23:23" x14ac:dyDescent="0.15">
      <c r="W217" s="206">
        <f>Admin!B217</f>
        <v>44507</v>
      </c>
    </row>
    <row r="218" spans="23:23" x14ac:dyDescent="0.15">
      <c r="W218" s="206">
        <f>Admin!B218</f>
        <v>44508</v>
      </c>
    </row>
    <row r="219" spans="23:23" x14ac:dyDescent="0.15">
      <c r="W219" s="206">
        <f>Admin!B219</f>
        <v>44509</v>
      </c>
    </row>
    <row r="220" spans="23:23" x14ac:dyDescent="0.15">
      <c r="W220" s="206">
        <f>Admin!B220</f>
        <v>44510</v>
      </c>
    </row>
    <row r="221" spans="23:23" x14ac:dyDescent="0.15">
      <c r="W221" s="206">
        <f>Admin!B221</f>
        <v>44511</v>
      </c>
    </row>
    <row r="222" spans="23:23" x14ac:dyDescent="0.15">
      <c r="W222" s="206">
        <f>Admin!B222</f>
        <v>44512</v>
      </c>
    </row>
    <row r="223" spans="23:23" x14ac:dyDescent="0.15">
      <c r="W223" s="206">
        <f>Admin!B223</f>
        <v>44513</v>
      </c>
    </row>
    <row r="224" spans="23:23" x14ac:dyDescent="0.15">
      <c r="W224" s="206">
        <f>Admin!B224</f>
        <v>44514</v>
      </c>
    </row>
    <row r="225" spans="23:23" x14ac:dyDescent="0.15">
      <c r="W225" s="206">
        <f>Admin!B225</f>
        <v>44515</v>
      </c>
    </row>
    <row r="226" spans="23:23" x14ac:dyDescent="0.15">
      <c r="W226" s="206">
        <f>Admin!B226</f>
        <v>44516</v>
      </c>
    </row>
    <row r="227" spans="23:23" x14ac:dyDescent="0.15">
      <c r="W227" s="206">
        <f>Admin!B227</f>
        <v>44517</v>
      </c>
    </row>
    <row r="228" spans="23:23" x14ac:dyDescent="0.15">
      <c r="W228" s="206">
        <f>Admin!B228</f>
        <v>44518</v>
      </c>
    </row>
    <row r="229" spans="23:23" x14ac:dyDescent="0.15">
      <c r="W229" s="206">
        <f>Admin!B229</f>
        <v>44519</v>
      </c>
    </row>
    <row r="230" spans="23:23" x14ac:dyDescent="0.15">
      <c r="W230" s="206">
        <f>Admin!B230</f>
        <v>44520</v>
      </c>
    </row>
    <row r="231" spans="23:23" x14ac:dyDescent="0.15">
      <c r="W231" s="206">
        <f>Admin!B231</f>
        <v>44521</v>
      </c>
    </row>
    <row r="232" spans="23:23" x14ac:dyDescent="0.15">
      <c r="W232" s="206">
        <f>Admin!B232</f>
        <v>44522</v>
      </c>
    </row>
    <row r="233" spans="23:23" x14ac:dyDescent="0.15">
      <c r="W233" s="206">
        <f>Admin!B233</f>
        <v>44523</v>
      </c>
    </row>
    <row r="234" spans="23:23" x14ac:dyDescent="0.15">
      <c r="W234" s="206">
        <f>Admin!B234</f>
        <v>44524</v>
      </c>
    </row>
    <row r="235" spans="23:23" x14ac:dyDescent="0.15">
      <c r="W235" s="206">
        <f>Admin!B235</f>
        <v>44525</v>
      </c>
    </row>
    <row r="236" spans="23:23" x14ac:dyDescent="0.15">
      <c r="W236" s="206">
        <f>Admin!B236</f>
        <v>44526</v>
      </c>
    </row>
    <row r="237" spans="23:23" x14ac:dyDescent="0.15">
      <c r="W237" s="206">
        <f>Admin!B237</f>
        <v>44527</v>
      </c>
    </row>
    <row r="238" spans="23:23" x14ac:dyDescent="0.15">
      <c r="W238" s="206">
        <f>Admin!B238</f>
        <v>44528</v>
      </c>
    </row>
    <row r="239" spans="23:23" x14ac:dyDescent="0.15">
      <c r="W239" s="206">
        <f>Admin!B239</f>
        <v>44529</v>
      </c>
    </row>
    <row r="240" spans="23:23" x14ac:dyDescent="0.15">
      <c r="W240" s="206">
        <f>Admin!B240</f>
        <v>44530</v>
      </c>
    </row>
    <row r="241" spans="23:23" x14ac:dyDescent="0.15">
      <c r="W241" s="206">
        <f>Admin!B241</f>
        <v>44531</v>
      </c>
    </row>
    <row r="242" spans="23:23" x14ac:dyDescent="0.15">
      <c r="W242" s="206">
        <f>Admin!B242</f>
        <v>44532</v>
      </c>
    </row>
    <row r="243" spans="23:23" x14ac:dyDescent="0.15">
      <c r="W243" s="206">
        <f>Admin!B243</f>
        <v>44533</v>
      </c>
    </row>
    <row r="244" spans="23:23" x14ac:dyDescent="0.15">
      <c r="W244" s="206">
        <f>Admin!B244</f>
        <v>44534</v>
      </c>
    </row>
    <row r="245" spans="23:23" x14ac:dyDescent="0.15">
      <c r="W245" s="206">
        <f>Admin!B245</f>
        <v>44535</v>
      </c>
    </row>
    <row r="246" spans="23:23" x14ac:dyDescent="0.15">
      <c r="W246" s="206">
        <f>Admin!B246</f>
        <v>44536</v>
      </c>
    </row>
    <row r="247" spans="23:23" x14ac:dyDescent="0.15">
      <c r="W247" s="206">
        <f>Admin!B247</f>
        <v>44537</v>
      </c>
    </row>
    <row r="248" spans="23:23" x14ac:dyDescent="0.15">
      <c r="W248" s="206">
        <f>Admin!B248</f>
        <v>44538</v>
      </c>
    </row>
    <row r="249" spans="23:23" x14ac:dyDescent="0.15">
      <c r="W249" s="206">
        <f>Admin!B249</f>
        <v>44539</v>
      </c>
    </row>
    <row r="250" spans="23:23" x14ac:dyDescent="0.15">
      <c r="W250" s="206">
        <f>Admin!B250</f>
        <v>44540</v>
      </c>
    </row>
    <row r="251" spans="23:23" x14ac:dyDescent="0.15">
      <c r="W251" s="206">
        <f>Admin!B251</f>
        <v>44541</v>
      </c>
    </row>
    <row r="252" spans="23:23" x14ac:dyDescent="0.15">
      <c r="W252" s="206">
        <f>Admin!B252</f>
        <v>44542</v>
      </c>
    </row>
    <row r="253" spans="23:23" x14ac:dyDescent="0.15">
      <c r="W253" s="206">
        <f>Admin!B253</f>
        <v>44543</v>
      </c>
    </row>
    <row r="254" spans="23:23" x14ac:dyDescent="0.15">
      <c r="W254" s="206">
        <f>Admin!B254</f>
        <v>44544</v>
      </c>
    </row>
    <row r="255" spans="23:23" x14ac:dyDescent="0.15">
      <c r="W255" s="206">
        <f>Admin!B255</f>
        <v>44545</v>
      </c>
    </row>
    <row r="256" spans="23:23" x14ac:dyDescent="0.15">
      <c r="W256" s="206">
        <f>Admin!B256</f>
        <v>44546</v>
      </c>
    </row>
    <row r="257" spans="23:23" x14ac:dyDescent="0.15">
      <c r="W257" s="206">
        <f>Admin!B257</f>
        <v>44547</v>
      </c>
    </row>
    <row r="258" spans="23:23" x14ac:dyDescent="0.15">
      <c r="W258" s="206">
        <f>Admin!B258</f>
        <v>44548</v>
      </c>
    </row>
    <row r="259" spans="23:23" x14ac:dyDescent="0.15">
      <c r="W259" s="206">
        <f>Admin!B259</f>
        <v>44549</v>
      </c>
    </row>
    <row r="260" spans="23:23" x14ac:dyDescent="0.15">
      <c r="W260" s="206">
        <f>Admin!B260</f>
        <v>44550</v>
      </c>
    </row>
    <row r="261" spans="23:23" x14ac:dyDescent="0.15">
      <c r="W261" s="206">
        <f>Admin!B261</f>
        <v>44551</v>
      </c>
    </row>
    <row r="262" spans="23:23" x14ac:dyDescent="0.15">
      <c r="W262" s="206">
        <f>Admin!B262</f>
        <v>44552</v>
      </c>
    </row>
    <row r="263" spans="23:23" x14ac:dyDescent="0.15">
      <c r="W263" s="206">
        <f>Admin!B263</f>
        <v>44553</v>
      </c>
    </row>
    <row r="264" spans="23:23" x14ac:dyDescent="0.15">
      <c r="W264" s="206">
        <f>Admin!B264</f>
        <v>44554</v>
      </c>
    </row>
    <row r="265" spans="23:23" x14ac:dyDescent="0.15">
      <c r="W265" s="206">
        <f>Admin!B265</f>
        <v>44555</v>
      </c>
    </row>
    <row r="266" spans="23:23" x14ac:dyDescent="0.15">
      <c r="W266" s="206">
        <f>Admin!B266</f>
        <v>44556</v>
      </c>
    </row>
    <row r="267" spans="23:23" x14ac:dyDescent="0.15">
      <c r="W267" s="206">
        <f>Admin!B267</f>
        <v>44557</v>
      </c>
    </row>
    <row r="268" spans="23:23" x14ac:dyDescent="0.15">
      <c r="W268" s="206">
        <f>Admin!B268</f>
        <v>44558</v>
      </c>
    </row>
    <row r="269" spans="23:23" x14ac:dyDescent="0.15">
      <c r="W269" s="206">
        <f>Admin!B269</f>
        <v>44559</v>
      </c>
    </row>
    <row r="270" spans="23:23" x14ac:dyDescent="0.15">
      <c r="W270" s="206">
        <f>Admin!B270</f>
        <v>44560</v>
      </c>
    </row>
    <row r="271" spans="23:23" x14ac:dyDescent="0.15">
      <c r="W271" s="206">
        <f>Admin!B271</f>
        <v>44561</v>
      </c>
    </row>
    <row r="272" spans="23:23" x14ac:dyDescent="0.15">
      <c r="W272" s="206">
        <f>Admin!B272</f>
        <v>44562</v>
      </c>
    </row>
    <row r="273" spans="23:23" x14ac:dyDescent="0.15">
      <c r="W273" s="206">
        <f>Admin!B273</f>
        <v>44563</v>
      </c>
    </row>
    <row r="274" spans="23:23" x14ac:dyDescent="0.15">
      <c r="W274" s="206">
        <f>Admin!B274</f>
        <v>44564</v>
      </c>
    </row>
    <row r="275" spans="23:23" x14ac:dyDescent="0.15">
      <c r="W275" s="206">
        <f>Admin!B275</f>
        <v>44565</v>
      </c>
    </row>
    <row r="276" spans="23:23" x14ac:dyDescent="0.15">
      <c r="W276" s="206">
        <f>Admin!B276</f>
        <v>44566</v>
      </c>
    </row>
    <row r="277" spans="23:23" x14ac:dyDescent="0.15">
      <c r="W277" s="206">
        <f>Admin!B277</f>
        <v>44567</v>
      </c>
    </row>
    <row r="278" spans="23:23" x14ac:dyDescent="0.15">
      <c r="W278" s="206">
        <f>Admin!B278</f>
        <v>44568</v>
      </c>
    </row>
    <row r="279" spans="23:23" x14ac:dyDescent="0.15">
      <c r="W279" s="206">
        <f>Admin!B279</f>
        <v>44569</v>
      </c>
    </row>
    <row r="280" spans="23:23" x14ac:dyDescent="0.15">
      <c r="W280" s="206">
        <f>Admin!B280</f>
        <v>44570</v>
      </c>
    </row>
    <row r="281" spans="23:23" x14ac:dyDescent="0.15">
      <c r="W281" s="206">
        <f>Admin!B281</f>
        <v>44571</v>
      </c>
    </row>
    <row r="282" spans="23:23" x14ac:dyDescent="0.15">
      <c r="W282" s="206">
        <f>Admin!B282</f>
        <v>44572</v>
      </c>
    </row>
    <row r="283" spans="23:23" x14ac:dyDescent="0.15">
      <c r="W283" s="206">
        <f>Admin!B283</f>
        <v>44573</v>
      </c>
    </row>
    <row r="284" spans="23:23" x14ac:dyDescent="0.15">
      <c r="W284" s="206">
        <f>Admin!B284</f>
        <v>44574</v>
      </c>
    </row>
    <row r="285" spans="23:23" x14ac:dyDescent="0.15">
      <c r="W285" s="206">
        <f>Admin!B285</f>
        <v>44575</v>
      </c>
    </row>
    <row r="286" spans="23:23" x14ac:dyDescent="0.15">
      <c r="W286" s="206">
        <f>Admin!B286</f>
        <v>44576</v>
      </c>
    </row>
    <row r="287" spans="23:23" x14ac:dyDescent="0.15">
      <c r="W287" s="206">
        <f>Admin!B287</f>
        <v>44577</v>
      </c>
    </row>
    <row r="288" spans="23:23" x14ac:dyDescent="0.15">
      <c r="W288" s="206">
        <f>Admin!B288</f>
        <v>44578</v>
      </c>
    </row>
    <row r="289" spans="23:23" x14ac:dyDescent="0.15">
      <c r="W289" s="206">
        <f>Admin!B289</f>
        <v>44579</v>
      </c>
    </row>
    <row r="290" spans="23:23" x14ac:dyDescent="0.15">
      <c r="W290" s="206">
        <f>Admin!B290</f>
        <v>44580</v>
      </c>
    </row>
    <row r="291" spans="23:23" x14ac:dyDescent="0.15">
      <c r="W291" s="206">
        <f>Admin!B291</f>
        <v>44581</v>
      </c>
    </row>
    <row r="292" spans="23:23" x14ac:dyDescent="0.15">
      <c r="W292" s="206">
        <f>Admin!B292</f>
        <v>44582</v>
      </c>
    </row>
    <row r="293" spans="23:23" x14ac:dyDescent="0.15">
      <c r="W293" s="206">
        <f>Admin!B293</f>
        <v>44583</v>
      </c>
    </row>
    <row r="294" spans="23:23" x14ac:dyDescent="0.15">
      <c r="W294" s="206">
        <f>Admin!B294</f>
        <v>44584</v>
      </c>
    </row>
    <row r="295" spans="23:23" x14ac:dyDescent="0.15">
      <c r="W295" s="206">
        <f>Admin!B295</f>
        <v>44585</v>
      </c>
    </row>
    <row r="296" spans="23:23" x14ac:dyDescent="0.15">
      <c r="W296" s="206">
        <f>Admin!B296</f>
        <v>44586</v>
      </c>
    </row>
    <row r="297" spans="23:23" x14ac:dyDescent="0.15">
      <c r="W297" s="206">
        <f>Admin!B297</f>
        <v>44587</v>
      </c>
    </row>
    <row r="298" spans="23:23" x14ac:dyDescent="0.15">
      <c r="W298" s="206">
        <f>Admin!B298</f>
        <v>44588</v>
      </c>
    </row>
    <row r="299" spans="23:23" x14ac:dyDescent="0.15">
      <c r="W299" s="206">
        <f>Admin!B299</f>
        <v>44589</v>
      </c>
    </row>
    <row r="300" spans="23:23" x14ac:dyDescent="0.15">
      <c r="W300" s="206">
        <f>Admin!B300</f>
        <v>44590</v>
      </c>
    </row>
    <row r="301" spans="23:23" x14ac:dyDescent="0.15">
      <c r="W301" s="206">
        <f>Admin!B301</f>
        <v>44591</v>
      </c>
    </row>
    <row r="302" spans="23:23" x14ac:dyDescent="0.15">
      <c r="W302" s="206">
        <f>Admin!B302</f>
        <v>44592</v>
      </c>
    </row>
    <row r="303" spans="23:23" x14ac:dyDescent="0.15">
      <c r="W303" s="206">
        <f>Admin!B303</f>
        <v>44593</v>
      </c>
    </row>
    <row r="304" spans="23:23" x14ac:dyDescent="0.15">
      <c r="W304" s="206">
        <f>Admin!B304</f>
        <v>44594</v>
      </c>
    </row>
    <row r="305" spans="23:23" x14ac:dyDescent="0.15">
      <c r="W305" s="206">
        <f>Admin!B305</f>
        <v>44595</v>
      </c>
    </row>
    <row r="306" spans="23:23" x14ac:dyDescent="0.15">
      <c r="W306" s="206">
        <f>Admin!B306</f>
        <v>44596</v>
      </c>
    </row>
    <row r="307" spans="23:23" x14ac:dyDescent="0.15">
      <c r="W307" s="206">
        <f>Admin!B307</f>
        <v>44597</v>
      </c>
    </row>
    <row r="308" spans="23:23" x14ac:dyDescent="0.15">
      <c r="W308" s="206">
        <f>Admin!B308</f>
        <v>44598</v>
      </c>
    </row>
    <row r="309" spans="23:23" x14ac:dyDescent="0.15">
      <c r="W309" s="206">
        <f>Admin!B309</f>
        <v>44599</v>
      </c>
    </row>
    <row r="310" spans="23:23" x14ac:dyDescent="0.15">
      <c r="W310" s="206">
        <f>Admin!B310</f>
        <v>44600</v>
      </c>
    </row>
    <row r="311" spans="23:23" x14ac:dyDescent="0.15">
      <c r="W311" s="206">
        <f>Admin!B311</f>
        <v>44601</v>
      </c>
    </row>
    <row r="312" spans="23:23" x14ac:dyDescent="0.15">
      <c r="W312" s="206">
        <f>Admin!B312</f>
        <v>44602</v>
      </c>
    </row>
    <row r="313" spans="23:23" x14ac:dyDescent="0.15">
      <c r="W313" s="206">
        <f>Admin!B313</f>
        <v>44603</v>
      </c>
    </row>
    <row r="314" spans="23:23" x14ac:dyDescent="0.15">
      <c r="W314" s="206">
        <f>Admin!B314</f>
        <v>44604</v>
      </c>
    </row>
    <row r="315" spans="23:23" x14ac:dyDescent="0.15">
      <c r="W315" s="206">
        <f>Admin!B315</f>
        <v>44605</v>
      </c>
    </row>
    <row r="316" spans="23:23" x14ac:dyDescent="0.15">
      <c r="W316" s="206">
        <f>Admin!B316</f>
        <v>44606</v>
      </c>
    </row>
    <row r="317" spans="23:23" x14ac:dyDescent="0.15">
      <c r="W317" s="206">
        <f>Admin!B317</f>
        <v>44607</v>
      </c>
    </row>
    <row r="318" spans="23:23" x14ac:dyDescent="0.15">
      <c r="W318" s="206">
        <f>Admin!B318</f>
        <v>44608</v>
      </c>
    </row>
    <row r="319" spans="23:23" x14ac:dyDescent="0.15">
      <c r="W319" s="206">
        <f>Admin!B319</f>
        <v>44609</v>
      </c>
    </row>
    <row r="320" spans="23:23" x14ac:dyDescent="0.15">
      <c r="W320" s="206">
        <f>Admin!B320</f>
        <v>44610</v>
      </c>
    </row>
    <row r="321" spans="23:23" x14ac:dyDescent="0.15">
      <c r="W321" s="206">
        <f>Admin!B321</f>
        <v>44611</v>
      </c>
    </row>
    <row r="322" spans="23:23" x14ac:dyDescent="0.15">
      <c r="W322" s="206">
        <f>Admin!B322</f>
        <v>44612</v>
      </c>
    </row>
    <row r="323" spans="23:23" x14ac:dyDescent="0.15">
      <c r="W323" s="206">
        <f>Admin!B323</f>
        <v>44613</v>
      </c>
    </row>
    <row r="324" spans="23:23" x14ac:dyDescent="0.15">
      <c r="W324" s="206">
        <f>Admin!B324</f>
        <v>44614</v>
      </c>
    </row>
    <row r="325" spans="23:23" x14ac:dyDescent="0.15">
      <c r="W325" s="206">
        <f>Admin!B325</f>
        <v>44615</v>
      </c>
    </row>
    <row r="326" spans="23:23" x14ac:dyDescent="0.15">
      <c r="W326" s="206">
        <f>Admin!B326</f>
        <v>44616</v>
      </c>
    </row>
    <row r="327" spans="23:23" x14ac:dyDescent="0.15">
      <c r="W327" s="206">
        <f>Admin!B327</f>
        <v>44617</v>
      </c>
    </row>
    <row r="328" spans="23:23" x14ac:dyDescent="0.15">
      <c r="W328" s="206">
        <f>Admin!B328</f>
        <v>44618</v>
      </c>
    </row>
    <row r="329" spans="23:23" x14ac:dyDescent="0.15">
      <c r="W329" s="206">
        <f>Admin!B329</f>
        <v>44619</v>
      </c>
    </row>
    <row r="330" spans="23:23" x14ac:dyDescent="0.15">
      <c r="W330" s="206">
        <f>Admin!B330</f>
        <v>44620</v>
      </c>
    </row>
    <row r="331" spans="23:23" x14ac:dyDescent="0.15">
      <c r="W331" s="206">
        <f>Admin!B331</f>
        <v>44621</v>
      </c>
    </row>
    <row r="332" spans="23:23" x14ac:dyDescent="0.15">
      <c r="W332" s="206">
        <f>Admin!B332</f>
        <v>44622</v>
      </c>
    </row>
    <row r="333" spans="23:23" x14ac:dyDescent="0.15">
      <c r="W333" s="206">
        <f>Admin!B333</f>
        <v>44623</v>
      </c>
    </row>
    <row r="334" spans="23:23" x14ac:dyDescent="0.15">
      <c r="W334" s="206">
        <f>Admin!B334</f>
        <v>44624</v>
      </c>
    </row>
    <row r="335" spans="23:23" x14ac:dyDescent="0.15">
      <c r="W335" s="206">
        <f>Admin!B335</f>
        <v>44625</v>
      </c>
    </row>
    <row r="336" spans="23:23" x14ac:dyDescent="0.15">
      <c r="W336" s="206">
        <f>Admin!B336</f>
        <v>44626</v>
      </c>
    </row>
    <row r="337" spans="23:23" x14ac:dyDescent="0.15">
      <c r="W337" s="206">
        <f>Admin!B337</f>
        <v>44627</v>
      </c>
    </row>
    <row r="338" spans="23:23" x14ac:dyDescent="0.15">
      <c r="W338" s="206">
        <f>Admin!B338</f>
        <v>44628</v>
      </c>
    </row>
    <row r="339" spans="23:23" x14ac:dyDescent="0.15">
      <c r="W339" s="206">
        <f>Admin!B339</f>
        <v>44629</v>
      </c>
    </row>
    <row r="340" spans="23:23" x14ac:dyDescent="0.15">
      <c r="W340" s="206">
        <f>Admin!B340</f>
        <v>44630</v>
      </c>
    </row>
    <row r="341" spans="23:23" x14ac:dyDescent="0.15">
      <c r="W341" s="206">
        <f>Admin!B341</f>
        <v>44631</v>
      </c>
    </row>
    <row r="342" spans="23:23" x14ac:dyDescent="0.15">
      <c r="W342" s="206">
        <f>Admin!B342</f>
        <v>44632</v>
      </c>
    </row>
    <row r="343" spans="23:23" x14ac:dyDescent="0.15">
      <c r="W343" s="206">
        <f>Admin!B343</f>
        <v>44633</v>
      </c>
    </row>
    <row r="344" spans="23:23" x14ac:dyDescent="0.15">
      <c r="W344" s="206">
        <f>Admin!B344</f>
        <v>44634</v>
      </c>
    </row>
    <row r="345" spans="23:23" x14ac:dyDescent="0.15">
      <c r="W345" s="206">
        <f>Admin!B345</f>
        <v>44635</v>
      </c>
    </row>
    <row r="346" spans="23:23" x14ac:dyDescent="0.15">
      <c r="W346" s="206">
        <f>Admin!B346</f>
        <v>44636</v>
      </c>
    </row>
    <row r="347" spans="23:23" x14ac:dyDescent="0.15">
      <c r="W347" s="206">
        <f>Admin!B347</f>
        <v>44637</v>
      </c>
    </row>
    <row r="348" spans="23:23" x14ac:dyDescent="0.15">
      <c r="W348" s="206">
        <f>Admin!B348</f>
        <v>44638</v>
      </c>
    </row>
    <row r="349" spans="23:23" x14ac:dyDescent="0.15">
      <c r="W349" s="206">
        <f>Admin!B349</f>
        <v>44639</v>
      </c>
    </row>
    <row r="350" spans="23:23" x14ac:dyDescent="0.15">
      <c r="W350" s="206">
        <f>Admin!B350</f>
        <v>44640</v>
      </c>
    </row>
    <row r="351" spans="23:23" x14ac:dyDescent="0.15">
      <c r="W351" s="206">
        <f>Admin!B351</f>
        <v>44641</v>
      </c>
    </row>
    <row r="352" spans="23:23" x14ac:dyDescent="0.15">
      <c r="W352" s="206">
        <f>Admin!B352</f>
        <v>44642</v>
      </c>
    </row>
    <row r="353" spans="23:23" x14ac:dyDescent="0.15">
      <c r="W353" s="206">
        <f>Admin!B353</f>
        <v>44643</v>
      </c>
    </row>
    <row r="354" spans="23:23" x14ac:dyDescent="0.15">
      <c r="W354" s="206">
        <f>Admin!B354</f>
        <v>44644</v>
      </c>
    </row>
    <row r="355" spans="23:23" x14ac:dyDescent="0.15">
      <c r="W355" s="206">
        <f>Admin!B355</f>
        <v>44645</v>
      </c>
    </row>
    <row r="356" spans="23:23" x14ac:dyDescent="0.15">
      <c r="W356" s="206">
        <f>Admin!B356</f>
        <v>44646</v>
      </c>
    </row>
    <row r="357" spans="23:23" x14ac:dyDescent="0.15">
      <c r="W357" s="206">
        <f>Admin!B357</f>
        <v>44647</v>
      </c>
    </row>
    <row r="358" spans="23:23" x14ac:dyDescent="0.15">
      <c r="W358" s="206">
        <f>Admin!B358</f>
        <v>44648</v>
      </c>
    </row>
    <row r="359" spans="23:23" x14ac:dyDescent="0.15">
      <c r="W359" s="206">
        <f>Admin!B359</f>
        <v>44649</v>
      </c>
    </row>
    <row r="360" spans="23:23" x14ac:dyDescent="0.15">
      <c r="W360" s="206">
        <f>Admin!B360</f>
        <v>44650</v>
      </c>
    </row>
    <row r="361" spans="23:23" x14ac:dyDescent="0.15">
      <c r="W361" s="206">
        <f>Admin!B361</f>
        <v>44651</v>
      </c>
    </row>
    <row r="362" spans="23:23" x14ac:dyDescent="0.15">
      <c r="W362" s="206">
        <f>Admin!B362</f>
        <v>44652</v>
      </c>
    </row>
    <row r="363" spans="23:23" x14ac:dyDescent="0.15">
      <c r="W363" s="206">
        <f>Admin!B363</f>
        <v>44653</v>
      </c>
    </row>
    <row r="364" spans="23:23" x14ac:dyDescent="0.15">
      <c r="W364" s="206">
        <f>Admin!B364</f>
        <v>44654</v>
      </c>
    </row>
    <row r="365" spans="23:23" x14ac:dyDescent="0.15">
      <c r="W365" s="206">
        <f>Admin!B365</f>
        <v>44655</v>
      </c>
    </row>
    <row r="366" spans="23:23" x14ac:dyDescent="0.15">
      <c r="W366" s="206">
        <f>Admin!B366</f>
        <v>44656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44292</v>
      </c>
      <c r="L9" s="200" t="s">
        <v>76</v>
      </c>
      <c r="M9" s="202">
        <f>K9+(7-WEEKDAY(K9, 2))</f>
        <v>44297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44298</v>
      </c>
      <c r="L19" s="200" t="s">
        <v>76</v>
      </c>
      <c r="M19" s="202">
        <f>K19+6</f>
        <v>44304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44305</v>
      </c>
      <c r="L29" s="200" t="s">
        <v>76</v>
      </c>
      <c r="M29" s="202">
        <f>K29+6</f>
        <v>44311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44312</v>
      </c>
      <c r="L39" s="200" t="s">
        <v>76</v>
      </c>
      <c r="M39" s="202">
        <f>K39+6</f>
        <v>44318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DATE(2021,4,6)</f>
        <v>44292</v>
      </c>
      <c r="L49" s="203" t="s">
        <v>76</v>
      </c>
      <c r="M49" s="205">
        <f>DATE(2021,4,30)</f>
        <v>44316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44319</v>
      </c>
      <c r="L9" s="203" t="s">
        <v>76</v>
      </c>
      <c r="M9" s="205">
        <f>K9+6</f>
        <v>44325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44326</v>
      </c>
      <c r="L19" s="203" t="s">
        <v>76</v>
      </c>
      <c r="M19" s="205">
        <f>K19+6</f>
        <v>44332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44333</v>
      </c>
      <c r="L29" s="203" t="s">
        <v>76</v>
      </c>
      <c r="M29" s="205">
        <f>K29+6</f>
        <v>44339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44340</v>
      </c>
      <c r="L39" s="203" t="s">
        <v>76</v>
      </c>
      <c r="M39" s="205">
        <f>K39+6</f>
        <v>44346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DATE(2021,5,1)</f>
        <v>44317</v>
      </c>
      <c r="L49" s="203" t="s">
        <v>76</v>
      </c>
      <c r="M49" s="205">
        <f>DATE(2021,5,31)</f>
        <v>44347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44347</v>
      </c>
      <c r="L9" s="203" t="s">
        <v>76</v>
      </c>
      <c r="M9" s="205">
        <f>K9+6</f>
        <v>44353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44354</v>
      </c>
      <c r="L19" s="203" t="s">
        <v>76</v>
      </c>
      <c r="M19" s="205">
        <f>K19+6</f>
        <v>44360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44361</v>
      </c>
      <c r="L29" s="203" t="s">
        <v>76</v>
      </c>
      <c r="M29" s="205">
        <f>K29+6</f>
        <v>44367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44368</v>
      </c>
      <c r="L39" s="203" t="s">
        <v>76</v>
      </c>
      <c r="M39" s="205">
        <f>K39+6</f>
        <v>44374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44375</v>
      </c>
      <c r="L49" s="203" t="s">
        <v>76</v>
      </c>
      <c r="M49" s="205">
        <f>K49+6</f>
        <v>44381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DATE(2021,6,1)</f>
        <v>44348</v>
      </c>
      <c r="L59" s="203" t="s">
        <v>76</v>
      </c>
      <c r="M59" s="205">
        <f>DATE(2021,6,30)</f>
        <v>44377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44381</v>
      </c>
      <c r="L9" s="203" t="s">
        <v>76</v>
      </c>
      <c r="M9" s="205">
        <f>K9+6</f>
        <v>44387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44388</v>
      </c>
      <c r="L19" s="203" t="s">
        <v>76</v>
      </c>
      <c r="M19" s="205">
        <f>K19+6</f>
        <v>44394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44395</v>
      </c>
      <c r="L29" s="203" t="s">
        <v>76</v>
      </c>
      <c r="M29" s="205">
        <f>K29+6</f>
        <v>44401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44402</v>
      </c>
      <c r="L39" s="203" t="s">
        <v>76</v>
      </c>
      <c r="M39" s="205">
        <f>K39+6</f>
        <v>44408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DATE(2021,7,1)</f>
        <v>44378</v>
      </c>
      <c r="L49" s="203" t="s">
        <v>76</v>
      </c>
      <c r="M49" s="205">
        <f>DATE(2021,7,31)</f>
        <v>44408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44409</v>
      </c>
      <c r="L9" s="203" t="s">
        <v>76</v>
      </c>
      <c r="M9" s="205">
        <f>K9+6</f>
        <v>44415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IF(T$9="Y",Jul!H41,0)</f>
        <v>0</v>
      </c>
      <c r="I12" s="92">
        <f>IF(T$9="Y",Jul!I41,0)</f>
        <v>0</v>
      </c>
      <c r="J12" s="92">
        <f>IF(T$9="Y",Jul!J41,0)</f>
        <v>0</v>
      </c>
      <c r="K12" s="92">
        <f>IF(T$9="Y",Jul!K41,I12*J12)</f>
        <v>0</v>
      </c>
      <c r="L12" s="111">
        <f>IF(T$9="Y",Jul!L41,0)</f>
        <v>0</v>
      </c>
      <c r="M12" s="111" t="str">
        <f>IF(E12=" "," ",IF(T$9="Y",Jul!M41,IF((H12+K12+L12)&gt;0,H12+K12+L12,"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IF(T$9="Y",Jul!H41,0)</f>
        <v>0</v>
      </c>
      <c r="I13" s="92">
        <f>IF(T$9="Y",Jul!I41,0)</f>
        <v>0</v>
      </c>
      <c r="J13" s="92">
        <f>IF(T$9="Y",Jul!J41,0)</f>
        <v>0</v>
      </c>
      <c r="K13" s="92">
        <f>IF(T$9="Y",Jul!K41,I13*J13)</f>
        <v>0</v>
      </c>
      <c r="L13" s="111">
        <f>IF(T$9="Y",Jul!L41,0)</f>
        <v>0</v>
      </c>
      <c r="M13" s="111" t="str">
        <f>IF(E13=" "," ",IF(T$9="Y",Jul!M41,IF((H13+K13+L13)&gt;0,H13+K13+L13,"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IF(T$9="Y",Jul!H41,0)</f>
        <v>0</v>
      </c>
      <c r="I14" s="92">
        <f>IF(T$9="Y",Jul!I41,0)</f>
        <v>0</v>
      </c>
      <c r="J14" s="92">
        <f>IF(T$9="Y",Jul!J41,0)</f>
        <v>0</v>
      </c>
      <c r="K14" s="92">
        <f>IF(T$9="Y",Jul!K41,I14*J14)</f>
        <v>0</v>
      </c>
      <c r="L14" s="111">
        <f>IF(T$9="Y",Jul!L41,0)</f>
        <v>0</v>
      </c>
      <c r="M14" s="111" t="str">
        <f>IF(E14=" "," ",IF(T$9="Y",Jul!M41,IF((H14+K14+L14)&gt;0,H14+K14+L14,"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IF(T$9="Y",Jul!H41,0)</f>
        <v>0</v>
      </c>
      <c r="I15" s="245">
        <f>IF(T$9="Y",Jul!I41,0)</f>
        <v>0</v>
      </c>
      <c r="J15" s="245">
        <f>IF(T$9="Y",Jul!J41,0)</f>
        <v>0</v>
      </c>
      <c r="K15" s="245">
        <f>IF(T$9="Y",Jul!K41,I15*J15)</f>
        <v>0</v>
      </c>
      <c r="L15" s="246">
        <f>IF(T$9="Y",Jul!L41,0)</f>
        <v>0</v>
      </c>
      <c r="M15" s="246" t="str">
        <f>IF(E15=" "," ",IF(T$9="Y",Jul!M41,IF((H15+K15+L15)&gt;0,H15+K15+L15,"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44416</v>
      </c>
      <c r="L19" s="203" t="s">
        <v>76</v>
      </c>
      <c r="M19" s="205">
        <f>K19+6</f>
        <v>44422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44423</v>
      </c>
      <c r="L29" s="203" t="s">
        <v>76</v>
      </c>
      <c r="M29" s="205">
        <f>K29+6</f>
        <v>44429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44430</v>
      </c>
      <c r="L39" s="203" t="s">
        <v>76</v>
      </c>
      <c r="M39" s="205">
        <f>K39+6</f>
        <v>44436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DATE(2021,8,1)</f>
        <v>44409</v>
      </c>
      <c r="L49" s="203" t="s">
        <v>76</v>
      </c>
      <c r="M49" s="205">
        <f>DATE(2021,8,31)</f>
        <v>44439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44437</v>
      </c>
      <c r="L9" s="203" t="s">
        <v>76</v>
      </c>
      <c r="M9" s="205">
        <f>K9+6</f>
        <v>44443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44444</v>
      </c>
      <c r="L19" s="203" t="s">
        <v>76</v>
      </c>
      <c r="M19" s="205">
        <f>K19+6</f>
        <v>44450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44451</v>
      </c>
      <c r="L29" s="203" t="s">
        <v>76</v>
      </c>
      <c r="M29" s="205">
        <f>K29+6</f>
        <v>44457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44458</v>
      </c>
      <c r="L39" s="203" t="s">
        <v>76</v>
      </c>
      <c r="M39" s="205">
        <f>K39+6</f>
        <v>44464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44465</v>
      </c>
      <c r="L49" s="203" t="s">
        <v>76</v>
      </c>
      <c r="M49" s="205">
        <f>K49+6</f>
        <v>44471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DATE(2021,9,1)</f>
        <v>44440</v>
      </c>
      <c r="L59" s="203" t="s">
        <v>76</v>
      </c>
      <c r="M59" s="205">
        <f>DATE(2021,9,30)</f>
        <v>44469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44472</v>
      </c>
      <c r="L9" s="203" t="s">
        <v>76</v>
      </c>
      <c r="M9" s="205">
        <f>Admin!B188</f>
        <v>44478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44479</v>
      </c>
      <c r="L19" s="203" t="s">
        <v>76</v>
      </c>
      <c r="M19" s="205">
        <f>K19+6</f>
        <v>44485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44486</v>
      </c>
      <c r="L29" s="203" t="s">
        <v>76</v>
      </c>
      <c r="M29" s="205">
        <f>K29+6</f>
        <v>44492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44493</v>
      </c>
      <c r="L39" s="203" t="s">
        <v>76</v>
      </c>
      <c r="M39" s="205">
        <f>K39+6</f>
        <v>44499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DATE(2021,10,1)</f>
        <v>44470</v>
      </c>
      <c r="L49" s="203" t="s">
        <v>76</v>
      </c>
      <c r="M49" s="205">
        <f>DATE(2021,10,31)</f>
        <v>44500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44500</v>
      </c>
      <c r="L9" s="203" t="s">
        <v>76</v>
      </c>
      <c r="M9" s="205">
        <f>K9+6</f>
        <v>44506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44507</v>
      </c>
      <c r="L19" s="203" t="s">
        <v>76</v>
      </c>
      <c r="M19" s="205">
        <f>K19+6</f>
        <v>44513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44514</v>
      </c>
      <c r="L29" s="203" t="s">
        <v>76</v>
      </c>
      <c r="M29" s="205">
        <f>K29+6</f>
        <v>44520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44521</v>
      </c>
      <c r="L39" s="203" t="s">
        <v>76</v>
      </c>
      <c r="M39" s="205">
        <f>K39+6</f>
        <v>44527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DATE(2021,11,1)</f>
        <v>44501</v>
      </c>
      <c r="L49" s="203" t="s">
        <v>76</v>
      </c>
      <c r="M49" s="205">
        <f>DATE(2021,11,30)</f>
        <v>44530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44528</v>
      </c>
      <c r="L9" s="203" t="s">
        <v>76</v>
      </c>
      <c r="M9" s="205">
        <f>K9+6</f>
        <v>44534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44535</v>
      </c>
      <c r="L19" s="203" t="s">
        <v>76</v>
      </c>
      <c r="M19" s="205">
        <f>K19+6</f>
        <v>44541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44542</v>
      </c>
      <c r="L29" s="203" t="s">
        <v>76</v>
      </c>
      <c r="M29" s="205">
        <f>K29+6</f>
        <v>44548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44549</v>
      </c>
      <c r="L39" s="203" t="s">
        <v>76</v>
      </c>
      <c r="M39" s="205">
        <f>K39+6</f>
        <v>44555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44556</v>
      </c>
      <c r="L49" s="203" t="s">
        <v>76</v>
      </c>
      <c r="M49" s="205">
        <f>K49+6</f>
        <v>44562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DATE(2021,12,1)</f>
        <v>44531</v>
      </c>
      <c r="L59" s="203" t="s">
        <v>76</v>
      </c>
      <c r="M59" s="205">
        <f>DATE(2021,12,31)</f>
        <v>44561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44563</v>
      </c>
      <c r="L9" s="203" t="s">
        <v>76</v>
      </c>
      <c r="M9" s="205">
        <f>K9+6</f>
        <v>44569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44570</v>
      </c>
      <c r="L19" s="203" t="s">
        <v>76</v>
      </c>
      <c r="M19" s="205">
        <f>K19+6</f>
        <v>44576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44577</v>
      </c>
      <c r="L29" s="203" t="s">
        <v>76</v>
      </c>
      <c r="M29" s="205">
        <f>K29+6</f>
        <v>44583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44584</v>
      </c>
      <c r="L39" s="203" t="s">
        <v>76</v>
      </c>
      <c r="M39" s="205">
        <f>K39+6</f>
        <v>44590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DATE(2022,1,1)</f>
        <v>44562</v>
      </c>
      <c r="L49" s="203" t="s">
        <v>76</v>
      </c>
      <c r="M49" s="205">
        <f>DATE(2022,1,31)</f>
        <v>44592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44591</v>
      </c>
      <c r="L9" s="203" t="s">
        <v>76</v>
      </c>
      <c r="M9" s="205">
        <f>K9+6</f>
        <v>44597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44598</v>
      </c>
      <c r="L19" s="203" t="s">
        <v>76</v>
      </c>
      <c r="M19" s="205">
        <f>K19+6</f>
        <v>44604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44605</v>
      </c>
      <c r="L29" s="203" t="s">
        <v>76</v>
      </c>
      <c r="M29" s="205">
        <f>K29+6</f>
        <v>44611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44612</v>
      </c>
      <c r="L39" s="203" t="s">
        <v>76</v>
      </c>
      <c r="M39" s="205">
        <f>K39+6</f>
        <v>44618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DATE(2022,2,1)</f>
        <v>44593</v>
      </c>
      <c r="L49" s="203" t="s">
        <v>76</v>
      </c>
      <c r="M49" s="205">
        <f>DATE(2022,2,28)</f>
        <v>44620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44619</v>
      </c>
      <c r="L9" s="203" t="s">
        <v>76</v>
      </c>
      <c r="M9" s="205">
        <f>K9+6</f>
        <v>44625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44626</v>
      </c>
      <c r="L19" s="203" t="s">
        <v>76</v>
      </c>
      <c r="M19" s="205">
        <f>K19+6</f>
        <v>44632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44633</v>
      </c>
      <c r="L29" s="203" t="s">
        <v>76</v>
      </c>
      <c r="M29" s="205">
        <f>K29+6</f>
        <v>44639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44640</v>
      </c>
      <c r="L39" s="203" t="s">
        <v>76</v>
      </c>
      <c r="M39" s="205">
        <f>K39+6</f>
        <v>44646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44647</v>
      </c>
      <c r="L49" s="203" t="s">
        <v>76</v>
      </c>
      <c r="M49" s="205">
        <f>K49+6</f>
        <v>44653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44654</v>
      </c>
      <c r="L59" s="203" t="s">
        <v>76</v>
      </c>
      <c r="M59" s="205">
        <f>K59+4</f>
        <v>44658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DATE(2022,3,1)</f>
        <v>44621</v>
      </c>
      <c r="L69" s="203" t="s">
        <v>76</v>
      </c>
      <c r="M69" s="205">
        <f>DATE(2022,3,31)</f>
        <v>44651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44297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44297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44297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44297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44297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DATE(2021,4,30)</f>
        <v>44316</v>
      </c>
      <c r="C4" s="229">
        <f>DATE(2021,5,19)</f>
        <v>44335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2201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DATE(2021,5,31)</f>
        <v>44347</v>
      </c>
      <c r="C5" s="229">
        <f>DATE(2021,6,19)</f>
        <v>44366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2202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DATE(2021,6,30)</f>
        <v>44377</v>
      </c>
      <c r="C6" s="229">
        <f>DATE(2021,7,19)</f>
        <v>44396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2203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DATE(2021,7,31)</f>
        <v>44408</v>
      </c>
      <c r="C7" s="229">
        <f>DATE(2021,8,19)</f>
        <v>44427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2204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DATE(2021,8,31)</f>
        <v>44439</v>
      </c>
      <c r="C8" s="229">
        <f>DATE(2021,9,19)</f>
        <v>44458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2205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DATE(2021,9,30)</f>
        <v>44469</v>
      </c>
      <c r="C9" s="229">
        <f>DATE(2021,10,19)</f>
        <v>44488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2206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DATE(2021,10,31)</f>
        <v>44500</v>
      </c>
      <c r="C10" s="229">
        <f>DATE(2021,11,19)</f>
        <v>44519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2207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DATE(2021,11,30)</f>
        <v>44530</v>
      </c>
      <c r="C11" s="229">
        <f>DATE(2021,12,19)</f>
        <v>44549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2208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DATE(2021,12,31)</f>
        <v>44561</v>
      </c>
      <c r="C12" s="229">
        <f>DATE(2022,1,19)</f>
        <v>44580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2209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DATE(2022,1,31)</f>
        <v>44592</v>
      </c>
      <c r="C13" s="229">
        <f>DATE(2022,2,19)</f>
        <v>44611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2210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DATE(2022,2,28)</f>
        <v>44620</v>
      </c>
      <c r="C14" s="229">
        <f>DATE(2022,3,19)</f>
        <v>44639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2211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DATE(2022,3,31)</f>
        <v>44651</v>
      </c>
      <c r="C15" s="229">
        <f>DATE(2022,4,19)</f>
        <v>44670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2212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44656</v>
      </c>
      <c r="J1" s="493"/>
      <c r="K1" s="303"/>
      <c r="L1" s="303"/>
      <c r="M1" s="304"/>
      <c r="N1" s="305" t="str">
        <f>TEXT(YEAR(I1)-1,"0") &amp; "-" &amp; TEXT(YEAR(I1)-2000,"0")</f>
        <v>2021-22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44292</v>
      </c>
      <c r="C2" s="309">
        <v>1</v>
      </c>
      <c r="D2" s="309">
        <v>1</v>
      </c>
      <c r="E2" s="310">
        <f>B2</f>
        <v>44292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44293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44294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44295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44296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44297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44298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44299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44300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44301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44302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44303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44304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44305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44306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44307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44308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44309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44310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44311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44312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44313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44314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44315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44316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44317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44318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44319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44320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44321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44322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44323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44324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44325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44326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44327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44328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44329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44330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44331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44332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44333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44334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44335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44336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44337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44338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44339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44340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44341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44342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44343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44344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44345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44346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44347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44348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44349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44350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44351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44352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44353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44354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44355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44356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44357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44358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44359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44360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44361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44362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44363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44364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44365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44366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44367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44368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44369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44370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44371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44372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44373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44374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44375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44376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44377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44378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44379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44380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44381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44382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44383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44384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44385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44386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44387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44388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44389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44390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44391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44392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44393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44394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44395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44396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44397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44398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44399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44400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44401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44402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44403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44404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44405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44406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44407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44408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44409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44410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44411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44412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44413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44414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44415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44416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44417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44418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44419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44420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44421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44422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44423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44424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44425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44426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44427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44428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44429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44430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44431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44432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44433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44434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44435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44436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44437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44438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44439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44440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44441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44442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44443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44444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44445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44446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44447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44448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44449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44450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44451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44452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44453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44454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44455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44456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44457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44458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44459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44460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44461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44462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44463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44464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44465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44466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44467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44468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44469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44470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44471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44472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44473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44474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44475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44476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44477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44478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44479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44480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44481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44482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44483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44484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44485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44486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44487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44488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44489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44490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44491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44492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44493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44494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44495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44496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44497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44498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44499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44500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44501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44502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44503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44504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44505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44506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44507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44508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44509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44510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44511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44512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44513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44514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44515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44516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44517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44518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44519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44520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44521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44522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44523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44524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44525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44526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44527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44528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44529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44530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44531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44532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44533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44534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44535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44536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44537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44538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44539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44540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44541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44542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44543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44544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44545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44546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44547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44548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44549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44550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44551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44552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44553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44554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44555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44556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44557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44558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44559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44560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44561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44562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44563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44564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44565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44566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44567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44568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44569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44570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44571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44572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44573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44574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44575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44576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44577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44578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44579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44580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44581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44582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44583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44584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44585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44586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44587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44588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44589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44590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44591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44592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44593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44594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44595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44596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44597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44598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44599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44600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44601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44602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44603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44604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44605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44606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44607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44608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44609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44610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44611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44612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44613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44614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44615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44616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44617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44618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44619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44620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44621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44622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44623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44624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44625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44626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44627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44628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44629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44630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44631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44632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44633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44634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44635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44636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44637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44638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44639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44640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44641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44642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44643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44644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44645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44646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44647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44648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44649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44650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44651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44652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44653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44654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44655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44656</v>
      </c>
      <c r="C366" s="309">
        <v>53</v>
      </c>
      <c r="D366" s="309">
        <v>12</v>
      </c>
      <c r="E366" s="310">
        <f>B366</f>
        <v>44656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44657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44658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44659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44660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44661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44662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44663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44664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44665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44666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44667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44668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44669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44670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44671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