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<sst xmlns="http://schemas.openxmlformats.org/spreadsheetml/2006/main" count="1383" uniqueCount="138">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</sst>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46483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46484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46485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46486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46487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46488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46489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46483</v>
      </c>
      <c r="N9" s="5"/>
      <c r="O9" s="163">
        <f>Admin!I1</f>
        <v>46848</v>
      </c>
      <c r="P9" s="145"/>
      <c r="Q9" s="140"/>
      <c r="R9" s="141"/>
      <c r="S9" s="141"/>
      <c r="T9" s="80"/>
      <c r="U9" s="345"/>
      <c r="W9" s="206">
        <f>Admin!B9</f>
        <v>46490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46491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46492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46493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46494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46495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46496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46497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46498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46499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46500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46501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46502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46503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46504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46505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46506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46507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46508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46509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46510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46511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46512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46513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46514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46515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46516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46517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46518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46519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46520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46521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46522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46523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46524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46525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46526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46527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46528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46529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46530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46531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46532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46533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46534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46535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46536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46537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46538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46539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46540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46541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46542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46543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46544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46545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46546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46547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46548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46549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46550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46551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46552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46553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46554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46555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46556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46557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46558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46559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46560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46561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46562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46563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46564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46565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46566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46567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46568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46569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46570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46571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46572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46573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46574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46575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46576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46577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46578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46579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46580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46581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46582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46583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46584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46585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46586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46587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46588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46589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46590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46591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46592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46593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46594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46595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46596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46597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46598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46599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46600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46601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46602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46603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46604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46605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46606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46607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46608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46609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46610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46611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46612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46613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46614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46615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46616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46617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46618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46619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46620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46621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46622</v>
      </c>
    </row>
    <row r="142" spans="1:23" x14ac:dyDescent="0.15">
      <c r="W142" s="206">
        <f>Admin!B142</f>
        <v>46623</v>
      </c>
    </row>
    <row r="143" spans="1:23" x14ac:dyDescent="0.15">
      <c r="W143" s="206">
        <f>Admin!B143</f>
        <v>46624</v>
      </c>
    </row>
    <row r="144" spans="1:23" x14ac:dyDescent="0.15">
      <c r="W144" s="206">
        <f>Admin!B144</f>
        <v>46625</v>
      </c>
    </row>
    <row r="145" spans="23:23" x14ac:dyDescent="0.15">
      <c r="W145" s="206">
        <f>Admin!B145</f>
        <v>46626</v>
      </c>
    </row>
    <row r="146" spans="23:23" x14ac:dyDescent="0.15">
      <c r="W146" s="206">
        <f>Admin!B146</f>
        <v>46627</v>
      </c>
    </row>
    <row r="147" spans="23:23" x14ac:dyDescent="0.15">
      <c r="W147" s="206">
        <f>Admin!B147</f>
        <v>46628</v>
      </c>
    </row>
    <row r="148" spans="23:23" x14ac:dyDescent="0.15">
      <c r="W148" s="206">
        <f>Admin!B148</f>
        <v>46629</v>
      </c>
    </row>
    <row r="149" spans="23:23" x14ac:dyDescent="0.15">
      <c r="W149" s="206">
        <f>Admin!B149</f>
        <v>46630</v>
      </c>
    </row>
    <row r="150" spans="23:23" x14ac:dyDescent="0.15">
      <c r="W150" s="206">
        <f>Admin!B150</f>
        <v>46631</v>
      </c>
    </row>
    <row r="151" spans="23:23" x14ac:dyDescent="0.15">
      <c r="W151" s="206">
        <f>Admin!B151</f>
        <v>46632</v>
      </c>
    </row>
    <row r="152" spans="23:23" x14ac:dyDescent="0.15">
      <c r="W152" s="206">
        <f>Admin!B152</f>
        <v>46633</v>
      </c>
    </row>
    <row r="153" spans="23:23" x14ac:dyDescent="0.15">
      <c r="W153" s="206">
        <f>Admin!B153</f>
        <v>46634</v>
      </c>
    </row>
    <row r="154" spans="23:23" x14ac:dyDescent="0.15">
      <c r="W154" s="206">
        <f>Admin!B154</f>
        <v>46635</v>
      </c>
    </row>
    <row r="155" spans="23:23" x14ac:dyDescent="0.15">
      <c r="W155" s="206">
        <f>Admin!B155</f>
        <v>46636</v>
      </c>
    </row>
    <row r="156" spans="23:23" x14ac:dyDescent="0.15">
      <c r="W156" s="206">
        <f>Admin!B156</f>
        <v>46637</v>
      </c>
    </row>
    <row r="157" spans="23:23" x14ac:dyDescent="0.15">
      <c r="W157" s="206">
        <f>Admin!B157</f>
        <v>46638</v>
      </c>
    </row>
    <row r="158" spans="23:23" x14ac:dyDescent="0.15">
      <c r="W158" s="206">
        <f>Admin!B158</f>
        <v>46639</v>
      </c>
    </row>
    <row r="159" spans="23:23" x14ac:dyDescent="0.15">
      <c r="W159" s="206">
        <f>Admin!B159</f>
        <v>46640</v>
      </c>
    </row>
    <row r="160" spans="23:23" x14ac:dyDescent="0.15">
      <c r="W160" s="206">
        <f>Admin!B160</f>
        <v>46641</v>
      </c>
    </row>
    <row r="161" spans="23:23" x14ac:dyDescent="0.15">
      <c r="W161" s="206">
        <f>Admin!B161</f>
        <v>46642</v>
      </c>
    </row>
    <row r="162" spans="23:23" x14ac:dyDescent="0.15">
      <c r="W162" s="206">
        <f>Admin!B162</f>
        <v>46643</v>
      </c>
    </row>
    <row r="163" spans="23:23" x14ac:dyDescent="0.15">
      <c r="W163" s="206">
        <f>Admin!B163</f>
        <v>46644</v>
      </c>
    </row>
    <row r="164" spans="23:23" x14ac:dyDescent="0.15">
      <c r="W164" s="206">
        <f>Admin!B164</f>
        <v>46645</v>
      </c>
    </row>
    <row r="165" spans="23:23" x14ac:dyDescent="0.15">
      <c r="W165" s="206">
        <f>Admin!B165</f>
        <v>46646</v>
      </c>
    </row>
    <row r="166" spans="23:23" x14ac:dyDescent="0.15">
      <c r="W166" s="206">
        <f>Admin!B166</f>
        <v>46647</v>
      </c>
    </row>
    <row r="167" spans="23:23" x14ac:dyDescent="0.15">
      <c r="W167" s="206">
        <f>Admin!B167</f>
        <v>46648</v>
      </c>
    </row>
    <row r="168" spans="23:23" x14ac:dyDescent="0.15">
      <c r="W168" s="206">
        <f>Admin!B168</f>
        <v>46649</v>
      </c>
    </row>
    <row r="169" spans="23:23" x14ac:dyDescent="0.15">
      <c r="W169" s="206">
        <f>Admin!B169</f>
        <v>46650</v>
      </c>
    </row>
    <row r="170" spans="23:23" x14ac:dyDescent="0.15">
      <c r="W170" s="206">
        <f>Admin!B170</f>
        <v>46651</v>
      </c>
    </row>
    <row r="171" spans="23:23" x14ac:dyDescent="0.15">
      <c r="W171" s="206">
        <f>Admin!B171</f>
        <v>46652</v>
      </c>
    </row>
    <row r="172" spans="23:23" x14ac:dyDescent="0.15">
      <c r="W172" s="206">
        <f>Admin!B172</f>
        <v>46653</v>
      </c>
    </row>
    <row r="173" spans="23:23" x14ac:dyDescent="0.15">
      <c r="W173" s="206">
        <f>Admin!B173</f>
        <v>46654</v>
      </c>
    </row>
    <row r="174" spans="23:23" x14ac:dyDescent="0.15">
      <c r="W174" s="206">
        <f>Admin!B174</f>
        <v>46655</v>
      </c>
    </row>
    <row r="175" spans="23:23" x14ac:dyDescent="0.15">
      <c r="W175" s="206">
        <f>Admin!B175</f>
        <v>46656</v>
      </c>
    </row>
    <row r="176" spans="23:23" x14ac:dyDescent="0.15">
      <c r="W176" s="206">
        <f>Admin!B176</f>
        <v>46657</v>
      </c>
    </row>
    <row r="177" spans="23:23" x14ac:dyDescent="0.15">
      <c r="W177" s="206">
        <f>Admin!B177</f>
        <v>46658</v>
      </c>
    </row>
    <row r="178" spans="23:23" x14ac:dyDescent="0.15">
      <c r="W178" s="206">
        <f>Admin!B178</f>
        <v>46659</v>
      </c>
    </row>
    <row r="179" spans="23:23" x14ac:dyDescent="0.15">
      <c r="W179" s="206">
        <f>Admin!B179</f>
        <v>46660</v>
      </c>
    </row>
    <row r="180" spans="23:23" x14ac:dyDescent="0.15">
      <c r="W180" s="206">
        <f>Admin!B180</f>
        <v>46661</v>
      </c>
    </row>
    <row r="181" spans="23:23" x14ac:dyDescent="0.15">
      <c r="W181" s="206">
        <f>Admin!B181</f>
        <v>46662</v>
      </c>
    </row>
    <row r="182" spans="23:23" x14ac:dyDescent="0.15">
      <c r="W182" s="206">
        <f>Admin!B182</f>
        <v>46663</v>
      </c>
    </row>
    <row r="183" spans="23:23" x14ac:dyDescent="0.15">
      <c r="W183" s="206">
        <f>Admin!B183</f>
        <v>46664</v>
      </c>
    </row>
    <row r="184" spans="23:23" x14ac:dyDescent="0.15">
      <c r="W184" s="206">
        <f>Admin!B184</f>
        <v>46665</v>
      </c>
    </row>
    <row r="185" spans="23:23" x14ac:dyDescent="0.15">
      <c r="W185" s="206">
        <f>Admin!B185</f>
        <v>46666</v>
      </c>
    </row>
    <row r="186" spans="23:23" x14ac:dyDescent="0.15">
      <c r="W186" s="206">
        <f>Admin!B186</f>
        <v>46667</v>
      </c>
    </row>
    <row r="187" spans="23:23" x14ac:dyDescent="0.15">
      <c r="W187" s="206">
        <f>Admin!B187</f>
        <v>46668</v>
      </c>
    </row>
    <row r="188" spans="23:23" x14ac:dyDescent="0.15">
      <c r="W188" s="206">
        <f>Admin!B188</f>
        <v>46669</v>
      </c>
    </row>
    <row r="189" spans="23:23" x14ac:dyDescent="0.15">
      <c r="W189" s="206">
        <f>Admin!B189</f>
        <v>46670</v>
      </c>
    </row>
    <row r="190" spans="23:23" x14ac:dyDescent="0.15">
      <c r="W190" s="206">
        <f>Admin!B190</f>
        <v>46671</v>
      </c>
    </row>
    <row r="191" spans="23:23" x14ac:dyDescent="0.15">
      <c r="W191" s="206">
        <f>Admin!B191</f>
        <v>46672</v>
      </c>
    </row>
    <row r="192" spans="23:23" x14ac:dyDescent="0.15">
      <c r="W192" s="206">
        <f>Admin!B192</f>
        <v>46673</v>
      </c>
    </row>
    <row r="193" spans="23:23" x14ac:dyDescent="0.15">
      <c r="W193" s="206">
        <f>Admin!B193</f>
        <v>46674</v>
      </c>
    </row>
    <row r="194" spans="23:23" x14ac:dyDescent="0.15">
      <c r="W194" s="206">
        <f>Admin!B194</f>
        <v>46675</v>
      </c>
    </row>
    <row r="195" spans="23:23" x14ac:dyDescent="0.15">
      <c r="W195" s="206">
        <f>Admin!B195</f>
        <v>46676</v>
      </c>
    </row>
    <row r="196" spans="23:23" x14ac:dyDescent="0.15">
      <c r="W196" s="206">
        <f>Admin!B196</f>
        <v>46677</v>
      </c>
    </row>
    <row r="197" spans="23:23" x14ac:dyDescent="0.15">
      <c r="W197" s="206">
        <f>Admin!B197</f>
        <v>46678</v>
      </c>
    </row>
    <row r="198" spans="23:23" x14ac:dyDescent="0.15">
      <c r="W198" s="206">
        <f>Admin!B198</f>
        <v>46679</v>
      </c>
    </row>
    <row r="199" spans="23:23" x14ac:dyDescent="0.15">
      <c r="W199" s="206">
        <f>Admin!B199</f>
        <v>46680</v>
      </c>
    </row>
    <row r="200" spans="23:23" x14ac:dyDescent="0.15">
      <c r="W200" s="206">
        <f>Admin!B200</f>
        <v>46681</v>
      </c>
    </row>
    <row r="201" spans="23:23" x14ac:dyDescent="0.15">
      <c r="W201" s="206">
        <f>Admin!B201</f>
        <v>46682</v>
      </c>
    </row>
    <row r="202" spans="23:23" x14ac:dyDescent="0.15">
      <c r="W202" s="206">
        <f>Admin!B202</f>
        <v>46683</v>
      </c>
    </row>
    <row r="203" spans="23:23" x14ac:dyDescent="0.15">
      <c r="W203" s="206">
        <f>Admin!B203</f>
        <v>46684</v>
      </c>
    </row>
    <row r="204" spans="23:23" x14ac:dyDescent="0.15">
      <c r="W204" s="206">
        <f>Admin!B204</f>
        <v>46685</v>
      </c>
    </row>
    <row r="205" spans="23:23" x14ac:dyDescent="0.15">
      <c r="W205" s="206">
        <f>Admin!B205</f>
        <v>46686</v>
      </c>
    </row>
    <row r="206" spans="23:23" x14ac:dyDescent="0.15">
      <c r="W206" s="206">
        <f>Admin!B206</f>
        <v>46687</v>
      </c>
    </row>
    <row r="207" spans="23:23" x14ac:dyDescent="0.15">
      <c r="W207" s="206">
        <f>Admin!B207</f>
        <v>46688</v>
      </c>
    </row>
    <row r="208" spans="23:23" x14ac:dyDescent="0.15">
      <c r="W208" s="206">
        <f>Admin!B208</f>
        <v>46689</v>
      </c>
    </row>
    <row r="209" spans="23:23" x14ac:dyDescent="0.15">
      <c r="W209" s="206">
        <f>Admin!B209</f>
        <v>46690</v>
      </c>
    </row>
    <row r="210" spans="23:23" x14ac:dyDescent="0.15">
      <c r="W210" s="206">
        <f>Admin!B210</f>
        <v>46691</v>
      </c>
    </row>
    <row r="211" spans="23:23" x14ac:dyDescent="0.15">
      <c r="W211" s="206">
        <f>Admin!B211</f>
        <v>46692</v>
      </c>
    </row>
    <row r="212" spans="23:23" x14ac:dyDescent="0.15">
      <c r="W212" s="206">
        <f>Admin!B212</f>
        <v>46693</v>
      </c>
    </row>
    <row r="213" spans="23:23" x14ac:dyDescent="0.15">
      <c r="W213" s="206">
        <f>Admin!B213</f>
        <v>46694</v>
      </c>
    </row>
    <row r="214" spans="23:23" x14ac:dyDescent="0.15">
      <c r="W214" s="206">
        <f>Admin!B214</f>
        <v>46695</v>
      </c>
    </row>
    <row r="215" spans="23:23" x14ac:dyDescent="0.15">
      <c r="W215" s="206">
        <f>Admin!B215</f>
        <v>46696</v>
      </c>
    </row>
    <row r="216" spans="23:23" x14ac:dyDescent="0.15">
      <c r="W216" s="206">
        <f>Admin!B216</f>
        <v>46697</v>
      </c>
    </row>
    <row r="217" spans="23:23" x14ac:dyDescent="0.15">
      <c r="W217" s="206">
        <f>Admin!B217</f>
        <v>46698</v>
      </c>
    </row>
    <row r="218" spans="23:23" x14ac:dyDescent="0.15">
      <c r="W218" s="206">
        <f>Admin!B218</f>
        <v>46699</v>
      </c>
    </row>
    <row r="219" spans="23:23" x14ac:dyDescent="0.15">
      <c r="W219" s="206">
        <f>Admin!B219</f>
        <v>46700</v>
      </c>
    </row>
    <row r="220" spans="23:23" x14ac:dyDescent="0.15">
      <c r="W220" s="206">
        <f>Admin!B220</f>
        <v>46701</v>
      </c>
    </row>
    <row r="221" spans="23:23" x14ac:dyDescent="0.15">
      <c r="W221" s="206">
        <f>Admin!B221</f>
        <v>46702</v>
      </c>
    </row>
    <row r="222" spans="23:23" x14ac:dyDescent="0.15">
      <c r="W222" s="206">
        <f>Admin!B222</f>
        <v>46703</v>
      </c>
    </row>
    <row r="223" spans="23:23" x14ac:dyDescent="0.15">
      <c r="W223" s="206">
        <f>Admin!B223</f>
        <v>46704</v>
      </c>
    </row>
    <row r="224" spans="23:23" x14ac:dyDescent="0.15">
      <c r="W224" s="206">
        <f>Admin!B224</f>
        <v>46705</v>
      </c>
    </row>
    <row r="225" spans="23:23" x14ac:dyDescent="0.15">
      <c r="W225" s="206">
        <f>Admin!B225</f>
        <v>46706</v>
      </c>
    </row>
    <row r="226" spans="23:23" x14ac:dyDescent="0.15">
      <c r="W226" s="206">
        <f>Admin!B226</f>
        <v>46707</v>
      </c>
    </row>
    <row r="227" spans="23:23" x14ac:dyDescent="0.15">
      <c r="W227" s="206">
        <f>Admin!B227</f>
        <v>46708</v>
      </c>
    </row>
    <row r="228" spans="23:23" x14ac:dyDescent="0.15">
      <c r="W228" s="206">
        <f>Admin!B228</f>
        <v>46709</v>
      </c>
    </row>
    <row r="229" spans="23:23" x14ac:dyDescent="0.15">
      <c r="W229" s="206">
        <f>Admin!B229</f>
        <v>46710</v>
      </c>
    </row>
    <row r="230" spans="23:23" x14ac:dyDescent="0.15">
      <c r="W230" s="206">
        <f>Admin!B230</f>
        <v>46711</v>
      </c>
    </row>
    <row r="231" spans="23:23" x14ac:dyDescent="0.15">
      <c r="W231" s="206">
        <f>Admin!B231</f>
        <v>46712</v>
      </c>
    </row>
    <row r="232" spans="23:23" x14ac:dyDescent="0.15">
      <c r="W232" s="206">
        <f>Admin!B232</f>
        <v>46713</v>
      </c>
    </row>
    <row r="233" spans="23:23" x14ac:dyDescent="0.15">
      <c r="W233" s="206">
        <f>Admin!B233</f>
        <v>46714</v>
      </c>
    </row>
    <row r="234" spans="23:23" x14ac:dyDescent="0.15">
      <c r="W234" s="206">
        <f>Admin!B234</f>
        <v>46715</v>
      </c>
    </row>
    <row r="235" spans="23:23" x14ac:dyDescent="0.15">
      <c r="W235" s="206">
        <f>Admin!B235</f>
        <v>46716</v>
      </c>
    </row>
    <row r="236" spans="23:23" x14ac:dyDescent="0.15">
      <c r="W236" s="206">
        <f>Admin!B236</f>
        <v>46717</v>
      </c>
    </row>
    <row r="237" spans="23:23" x14ac:dyDescent="0.15">
      <c r="W237" s="206">
        <f>Admin!B237</f>
        <v>46718</v>
      </c>
    </row>
    <row r="238" spans="23:23" x14ac:dyDescent="0.15">
      <c r="W238" s="206">
        <f>Admin!B238</f>
        <v>46719</v>
      </c>
    </row>
    <row r="239" spans="23:23" x14ac:dyDescent="0.15">
      <c r="W239" s="206">
        <f>Admin!B239</f>
        <v>46720</v>
      </c>
    </row>
    <row r="240" spans="23:23" x14ac:dyDescent="0.15">
      <c r="W240" s="206">
        <f>Admin!B240</f>
        <v>46721</v>
      </c>
    </row>
    <row r="241" spans="23:23" x14ac:dyDescent="0.15">
      <c r="W241" s="206">
        <f>Admin!B241</f>
        <v>46722</v>
      </c>
    </row>
    <row r="242" spans="23:23" x14ac:dyDescent="0.15">
      <c r="W242" s="206">
        <f>Admin!B242</f>
        <v>46723</v>
      </c>
    </row>
    <row r="243" spans="23:23" x14ac:dyDescent="0.15">
      <c r="W243" s="206">
        <f>Admin!B243</f>
        <v>46724</v>
      </c>
    </row>
    <row r="244" spans="23:23" x14ac:dyDescent="0.15">
      <c r="W244" s="206">
        <f>Admin!B244</f>
        <v>46725</v>
      </c>
    </row>
    <row r="245" spans="23:23" x14ac:dyDescent="0.15">
      <c r="W245" s="206">
        <f>Admin!B245</f>
        <v>46726</v>
      </c>
    </row>
    <row r="246" spans="23:23" x14ac:dyDescent="0.15">
      <c r="W246" s="206">
        <f>Admin!B246</f>
        <v>46727</v>
      </c>
    </row>
    <row r="247" spans="23:23" x14ac:dyDescent="0.15">
      <c r="W247" s="206">
        <f>Admin!B247</f>
        <v>46728</v>
      </c>
    </row>
    <row r="248" spans="23:23" x14ac:dyDescent="0.15">
      <c r="W248" s="206">
        <f>Admin!B248</f>
        <v>46729</v>
      </c>
    </row>
    <row r="249" spans="23:23" x14ac:dyDescent="0.15">
      <c r="W249" s="206">
        <f>Admin!B249</f>
        <v>46730</v>
      </c>
    </row>
    <row r="250" spans="23:23" x14ac:dyDescent="0.15">
      <c r="W250" s="206">
        <f>Admin!B250</f>
        <v>46731</v>
      </c>
    </row>
    <row r="251" spans="23:23" x14ac:dyDescent="0.15">
      <c r="W251" s="206">
        <f>Admin!B251</f>
        <v>46732</v>
      </c>
    </row>
    <row r="252" spans="23:23" x14ac:dyDescent="0.15">
      <c r="W252" s="206">
        <f>Admin!B252</f>
        <v>46733</v>
      </c>
    </row>
    <row r="253" spans="23:23" x14ac:dyDescent="0.15">
      <c r="W253" s="206">
        <f>Admin!B253</f>
        <v>46734</v>
      </c>
    </row>
    <row r="254" spans="23:23" x14ac:dyDescent="0.15">
      <c r="W254" s="206">
        <f>Admin!B254</f>
        <v>46735</v>
      </c>
    </row>
    <row r="255" spans="23:23" x14ac:dyDescent="0.15">
      <c r="W255" s="206">
        <f>Admin!B255</f>
        <v>46736</v>
      </c>
    </row>
    <row r="256" spans="23:23" x14ac:dyDescent="0.15">
      <c r="W256" s="206">
        <f>Admin!B256</f>
        <v>46737</v>
      </c>
    </row>
    <row r="257" spans="23:23" x14ac:dyDescent="0.15">
      <c r="W257" s="206">
        <f>Admin!B257</f>
        <v>46738</v>
      </c>
    </row>
    <row r="258" spans="23:23" x14ac:dyDescent="0.15">
      <c r="W258" s="206">
        <f>Admin!B258</f>
        <v>46739</v>
      </c>
    </row>
    <row r="259" spans="23:23" x14ac:dyDescent="0.15">
      <c r="W259" s="206">
        <f>Admin!B259</f>
        <v>46740</v>
      </c>
    </row>
    <row r="260" spans="23:23" x14ac:dyDescent="0.15">
      <c r="W260" s="206">
        <f>Admin!B260</f>
        <v>46741</v>
      </c>
    </row>
    <row r="261" spans="23:23" x14ac:dyDescent="0.15">
      <c r="W261" s="206">
        <f>Admin!B261</f>
        <v>46742</v>
      </c>
    </row>
    <row r="262" spans="23:23" x14ac:dyDescent="0.15">
      <c r="W262" s="206">
        <f>Admin!B262</f>
        <v>46743</v>
      </c>
    </row>
    <row r="263" spans="23:23" x14ac:dyDescent="0.15">
      <c r="W263" s="206">
        <f>Admin!B263</f>
        <v>46744</v>
      </c>
    </row>
    <row r="264" spans="23:23" x14ac:dyDescent="0.15">
      <c r="W264" s="206">
        <f>Admin!B264</f>
        <v>46745</v>
      </c>
    </row>
    <row r="265" spans="23:23" x14ac:dyDescent="0.15">
      <c r="W265" s="206">
        <f>Admin!B265</f>
        <v>46746</v>
      </c>
    </row>
    <row r="266" spans="23:23" x14ac:dyDescent="0.15">
      <c r="W266" s="206">
        <f>Admin!B266</f>
        <v>46747</v>
      </c>
    </row>
    <row r="267" spans="23:23" x14ac:dyDescent="0.15">
      <c r="W267" s="206">
        <f>Admin!B267</f>
        <v>46748</v>
      </c>
    </row>
    <row r="268" spans="23:23" x14ac:dyDescent="0.15">
      <c r="W268" s="206">
        <f>Admin!B268</f>
        <v>46749</v>
      </c>
    </row>
    <row r="269" spans="23:23" x14ac:dyDescent="0.15">
      <c r="W269" s="206">
        <f>Admin!B269</f>
        <v>46750</v>
      </c>
    </row>
    <row r="270" spans="23:23" x14ac:dyDescent="0.15">
      <c r="W270" s="206">
        <f>Admin!B270</f>
        <v>46751</v>
      </c>
    </row>
    <row r="271" spans="23:23" x14ac:dyDescent="0.15">
      <c r="W271" s="206">
        <f>Admin!B271</f>
        <v>46752</v>
      </c>
    </row>
    <row r="272" spans="23:23" x14ac:dyDescent="0.15">
      <c r="W272" s="206">
        <f>Admin!B272</f>
        <v>46753</v>
      </c>
    </row>
    <row r="273" spans="23:23" x14ac:dyDescent="0.15">
      <c r="W273" s="206">
        <f>Admin!B273</f>
        <v>46754</v>
      </c>
    </row>
    <row r="274" spans="23:23" x14ac:dyDescent="0.15">
      <c r="W274" s="206">
        <f>Admin!B274</f>
        <v>46755</v>
      </c>
    </row>
    <row r="275" spans="23:23" x14ac:dyDescent="0.15">
      <c r="W275" s="206">
        <f>Admin!B275</f>
        <v>46756</v>
      </c>
    </row>
    <row r="276" spans="23:23" x14ac:dyDescent="0.15">
      <c r="W276" s="206">
        <f>Admin!B276</f>
        <v>46757</v>
      </c>
    </row>
    <row r="277" spans="23:23" x14ac:dyDescent="0.15">
      <c r="W277" s="206">
        <f>Admin!B277</f>
        <v>46758</v>
      </c>
    </row>
    <row r="278" spans="23:23" x14ac:dyDescent="0.15">
      <c r="W278" s="206">
        <f>Admin!B278</f>
        <v>46759</v>
      </c>
    </row>
    <row r="279" spans="23:23" x14ac:dyDescent="0.15">
      <c r="W279" s="206">
        <f>Admin!B279</f>
        <v>46760</v>
      </c>
    </row>
    <row r="280" spans="23:23" x14ac:dyDescent="0.15">
      <c r="W280" s="206">
        <f>Admin!B280</f>
        <v>46761</v>
      </c>
    </row>
    <row r="281" spans="23:23" x14ac:dyDescent="0.15">
      <c r="W281" s="206">
        <f>Admin!B281</f>
        <v>46762</v>
      </c>
    </row>
    <row r="282" spans="23:23" x14ac:dyDescent="0.15">
      <c r="W282" s="206">
        <f>Admin!B282</f>
        <v>46763</v>
      </c>
    </row>
    <row r="283" spans="23:23" x14ac:dyDescent="0.15">
      <c r="W283" s="206">
        <f>Admin!B283</f>
        <v>46764</v>
      </c>
    </row>
    <row r="284" spans="23:23" x14ac:dyDescent="0.15">
      <c r="W284" s="206">
        <f>Admin!B284</f>
        <v>46765</v>
      </c>
    </row>
    <row r="285" spans="23:23" x14ac:dyDescent="0.15">
      <c r="W285" s="206">
        <f>Admin!B285</f>
        <v>46766</v>
      </c>
    </row>
    <row r="286" spans="23:23" x14ac:dyDescent="0.15">
      <c r="W286" s="206">
        <f>Admin!B286</f>
        <v>46767</v>
      </c>
    </row>
    <row r="287" spans="23:23" x14ac:dyDescent="0.15">
      <c r="W287" s="206">
        <f>Admin!B287</f>
        <v>46768</v>
      </c>
    </row>
    <row r="288" spans="23:23" x14ac:dyDescent="0.15">
      <c r="W288" s="206">
        <f>Admin!B288</f>
        <v>46769</v>
      </c>
    </row>
    <row r="289" spans="23:23" x14ac:dyDescent="0.15">
      <c r="W289" s="206">
        <f>Admin!B289</f>
        <v>46770</v>
      </c>
    </row>
    <row r="290" spans="23:23" x14ac:dyDescent="0.15">
      <c r="W290" s="206">
        <f>Admin!B290</f>
        <v>46771</v>
      </c>
    </row>
    <row r="291" spans="23:23" x14ac:dyDescent="0.15">
      <c r="W291" s="206">
        <f>Admin!B291</f>
        <v>46772</v>
      </c>
    </row>
    <row r="292" spans="23:23" x14ac:dyDescent="0.15">
      <c r="W292" s="206">
        <f>Admin!B292</f>
        <v>46773</v>
      </c>
    </row>
    <row r="293" spans="23:23" x14ac:dyDescent="0.15">
      <c r="W293" s="206">
        <f>Admin!B293</f>
        <v>46774</v>
      </c>
    </row>
    <row r="294" spans="23:23" x14ac:dyDescent="0.15">
      <c r="W294" s="206">
        <f>Admin!B294</f>
        <v>46775</v>
      </c>
    </row>
    <row r="295" spans="23:23" x14ac:dyDescent="0.15">
      <c r="W295" s="206">
        <f>Admin!B295</f>
        <v>46776</v>
      </c>
    </row>
    <row r="296" spans="23:23" x14ac:dyDescent="0.15">
      <c r="W296" s="206">
        <f>Admin!B296</f>
        <v>46777</v>
      </c>
    </row>
    <row r="297" spans="23:23" x14ac:dyDescent="0.15">
      <c r="W297" s="206">
        <f>Admin!B297</f>
        <v>46778</v>
      </c>
    </row>
    <row r="298" spans="23:23" x14ac:dyDescent="0.15">
      <c r="W298" s="206">
        <f>Admin!B298</f>
        <v>46779</v>
      </c>
    </row>
    <row r="299" spans="23:23" x14ac:dyDescent="0.15">
      <c r="W299" s="206">
        <f>Admin!B299</f>
        <v>46780</v>
      </c>
    </row>
    <row r="300" spans="23:23" x14ac:dyDescent="0.15">
      <c r="W300" s="206">
        <f>Admin!B300</f>
        <v>46781</v>
      </c>
    </row>
    <row r="301" spans="23:23" x14ac:dyDescent="0.15">
      <c r="W301" s="206">
        <f>Admin!B301</f>
        <v>46782</v>
      </c>
    </row>
    <row r="302" spans="23:23" x14ac:dyDescent="0.15">
      <c r="W302" s="206">
        <f>Admin!B302</f>
        <v>46783</v>
      </c>
    </row>
    <row r="303" spans="23:23" x14ac:dyDescent="0.15">
      <c r="W303" s="206">
        <f>Admin!B303</f>
        <v>46784</v>
      </c>
    </row>
    <row r="304" spans="23:23" x14ac:dyDescent="0.15">
      <c r="W304" s="206">
        <f>Admin!B304</f>
        <v>46785</v>
      </c>
    </row>
    <row r="305" spans="23:23" x14ac:dyDescent="0.15">
      <c r="W305" s="206">
        <f>Admin!B305</f>
        <v>46786</v>
      </c>
    </row>
    <row r="306" spans="23:23" x14ac:dyDescent="0.15">
      <c r="W306" s="206">
        <f>Admin!B306</f>
        <v>46787</v>
      </c>
    </row>
    <row r="307" spans="23:23" x14ac:dyDescent="0.15">
      <c r="W307" s="206">
        <f>Admin!B307</f>
        <v>46788</v>
      </c>
    </row>
    <row r="308" spans="23:23" x14ac:dyDescent="0.15">
      <c r="W308" s="206">
        <f>Admin!B308</f>
        <v>46789</v>
      </c>
    </row>
    <row r="309" spans="23:23" x14ac:dyDescent="0.15">
      <c r="W309" s="206">
        <f>Admin!B309</f>
        <v>46790</v>
      </c>
    </row>
    <row r="310" spans="23:23" x14ac:dyDescent="0.15">
      <c r="W310" s="206">
        <f>Admin!B310</f>
        <v>46791</v>
      </c>
    </row>
    <row r="311" spans="23:23" x14ac:dyDescent="0.15">
      <c r="W311" s="206">
        <f>Admin!B311</f>
        <v>46792</v>
      </c>
    </row>
    <row r="312" spans="23:23" x14ac:dyDescent="0.15">
      <c r="W312" s="206">
        <f>Admin!B312</f>
        <v>46793</v>
      </c>
    </row>
    <row r="313" spans="23:23" x14ac:dyDescent="0.15">
      <c r="W313" s="206">
        <f>Admin!B313</f>
        <v>46794</v>
      </c>
    </row>
    <row r="314" spans="23:23" x14ac:dyDescent="0.15">
      <c r="W314" s="206">
        <f>Admin!B314</f>
        <v>46795</v>
      </c>
    </row>
    <row r="315" spans="23:23" x14ac:dyDescent="0.15">
      <c r="W315" s="206">
        <f>Admin!B315</f>
        <v>46796</v>
      </c>
    </row>
    <row r="316" spans="23:23" x14ac:dyDescent="0.15">
      <c r="W316" s="206">
        <f>Admin!B316</f>
        <v>46797</v>
      </c>
    </row>
    <row r="317" spans="23:23" x14ac:dyDescent="0.15">
      <c r="W317" s="206">
        <f>Admin!B317</f>
        <v>46798</v>
      </c>
    </row>
    <row r="318" spans="23:23" x14ac:dyDescent="0.15">
      <c r="W318" s="206">
        <f>Admin!B318</f>
        <v>46799</v>
      </c>
    </row>
    <row r="319" spans="23:23" x14ac:dyDescent="0.15">
      <c r="W319" s="206">
        <f>Admin!B319</f>
        <v>46800</v>
      </c>
    </row>
    <row r="320" spans="23:23" x14ac:dyDescent="0.15">
      <c r="W320" s="206">
        <f>Admin!B320</f>
        <v>46801</v>
      </c>
    </row>
    <row r="321" spans="23:23" x14ac:dyDescent="0.15">
      <c r="W321" s="206">
        <f>Admin!B321</f>
        <v>46802</v>
      </c>
    </row>
    <row r="322" spans="23:23" x14ac:dyDescent="0.15">
      <c r="W322" s="206">
        <f>Admin!B322</f>
        <v>46803</v>
      </c>
    </row>
    <row r="323" spans="23:23" x14ac:dyDescent="0.15">
      <c r="W323" s="206">
        <f>Admin!B323</f>
        <v>46804</v>
      </c>
    </row>
    <row r="324" spans="23:23" x14ac:dyDescent="0.15">
      <c r="W324" s="206">
        <f>Admin!B324</f>
        <v>46805</v>
      </c>
    </row>
    <row r="325" spans="23:23" x14ac:dyDescent="0.15">
      <c r="W325" s="206">
        <f>Admin!B325</f>
        <v>46806</v>
      </c>
    </row>
    <row r="326" spans="23:23" x14ac:dyDescent="0.15">
      <c r="W326" s="206">
        <f>Admin!B326</f>
        <v>46807</v>
      </c>
    </row>
    <row r="327" spans="23:23" x14ac:dyDescent="0.15">
      <c r="W327" s="206">
        <f>Admin!B327</f>
        <v>46808</v>
      </c>
    </row>
    <row r="328" spans="23:23" x14ac:dyDescent="0.15">
      <c r="W328" s="206">
        <f>Admin!B328</f>
        <v>46809</v>
      </c>
    </row>
    <row r="329" spans="23:23" x14ac:dyDescent="0.15">
      <c r="W329" s="206">
        <f>Admin!B329</f>
        <v>46810</v>
      </c>
    </row>
    <row r="330" spans="23:23" x14ac:dyDescent="0.15">
      <c r="W330" s="206">
        <f>Admin!B330</f>
        <v>46811</v>
      </c>
    </row>
    <row r="331" spans="23:23" x14ac:dyDescent="0.15">
      <c r="W331" s="206">
        <f>Admin!B331</f>
        <v>46812</v>
      </c>
    </row>
    <row r="332" spans="23:23" x14ac:dyDescent="0.15">
      <c r="W332" s="206">
        <f>Admin!B332</f>
        <v>46813</v>
      </c>
    </row>
    <row r="333" spans="23:23" x14ac:dyDescent="0.15">
      <c r="W333" s="206">
        <f>Admin!B333</f>
        <v>46814</v>
      </c>
    </row>
    <row r="334" spans="23:23" x14ac:dyDescent="0.15">
      <c r="W334" s="206">
        <f>Admin!B334</f>
        <v>46815</v>
      </c>
    </row>
    <row r="335" spans="23:23" x14ac:dyDescent="0.15">
      <c r="W335" s="206">
        <f>Admin!B335</f>
        <v>46816</v>
      </c>
    </row>
    <row r="336" spans="23:23" x14ac:dyDescent="0.15">
      <c r="W336" s="206">
        <f>Admin!B336</f>
        <v>46817</v>
      </c>
    </row>
    <row r="337" spans="23:23" x14ac:dyDescent="0.15">
      <c r="W337" s="206">
        <f>Admin!B337</f>
        <v>46818</v>
      </c>
    </row>
    <row r="338" spans="23:23" x14ac:dyDescent="0.15">
      <c r="W338" s="206">
        <f>Admin!B338</f>
        <v>46819</v>
      </c>
    </row>
    <row r="339" spans="23:23" x14ac:dyDescent="0.15">
      <c r="W339" s="206">
        <f>Admin!B339</f>
        <v>46820</v>
      </c>
    </row>
    <row r="340" spans="23:23" x14ac:dyDescent="0.15">
      <c r="W340" s="206">
        <f>Admin!B340</f>
        <v>46821</v>
      </c>
    </row>
    <row r="341" spans="23:23" x14ac:dyDescent="0.15">
      <c r="W341" s="206">
        <f>Admin!B341</f>
        <v>46822</v>
      </c>
    </row>
    <row r="342" spans="23:23" x14ac:dyDescent="0.15">
      <c r="W342" s="206">
        <f>Admin!B342</f>
        <v>46823</v>
      </c>
    </row>
    <row r="343" spans="23:23" x14ac:dyDescent="0.15">
      <c r="W343" s="206">
        <f>Admin!B343</f>
        <v>46824</v>
      </c>
    </row>
    <row r="344" spans="23:23" x14ac:dyDescent="0.15">
      <c r="W344" s="206">
        <f>Admin!B344</f>
        <v>46825</v>
      </c>
    </row>
    <row r="345" spans="23:23" x14ac:dyDescent="0.15">
      <c r="W345" s="206">
        <f>Admin!B345</f>
        <v>46826</v>
      </c>
    </row>
    <row r="346" spans="23:23" x14ac:dyDescent="0.15">
      <c r="W346" s="206">
        <f>Admin!B346</f>
        <v>46827</v>
      </c>
    </row>
    <row r="347" spans="23:23" x14ac:dyDescent="0.15">
      <c r="W347" s="206">
        <f>Admin!B347</f>
        <v>46828</v>
      </c>
    </row>
    <row r="348" spans="23:23" x14ac:dyDescent="0.15">
      <c r="W348" s="206">
        <f>Admin!B348</f>
        <v>46829</v>
      </c>
    </row>
    <row r="349" spans="23:23" x14ac:dyDescent="0.15">
      <c r="W349" s="206">
        <f>Admin!B349</f>
        <v>46830</v>
      </c>
    </row>
    <row r="350" spans="23:23" x14ac:dyDescent="0.15">
      <c r="W350" s="206">
        <f>Admin!B350</f>
        <v>46831</v>
      </c>
    </row>
    <row r="351" spans="23:23" x14ac:dyDescent="0.15">
      <c r="W351" s="206">
        <f>Admin!B351</f>
        <v>46832</v>
      </c>
    </row>
    <row r="352" spans="23:23" x14ac:dyDescent="0.15">
      <c r="W352" s="206">
        <f>Admin!B352</f>
        <v>46833</v>
      </c>
    </row>
    <row r="353" spans="23:23" x14ac:dyDescent="0.15">
      <c r="W353" s="206">
        <f>Admin!B353</f>
        <v>46834</v>
      </c>
    </row>
    <row r="354" spans="23:23" x14ac:dyDescent="0.15">
      <c r="W354" s="206">
        <f>Admin!B354</f>
        <v>46835</v>
      </c>
    </row>
    <row r="355" spans="23:23" x14ac:dyDescent="0.15">
      <c r="W355" s="206">
        <f>Admin!B355</f>
        <v>46836</v>
      </c>
    </row>
    <row r="356" spans="23:23" x14ac:dyDescent="0.15">
      <c r="W356" s="206">
        <f>Admin!B356</f>
        <v>46837</v>
      </c>
    </row>
    <row r="357" spans="23:23" x14ac:dyDescent="0.15">
      <c r="W357" s="206">
        <f>Admin!B357</f>
        <v>46838</v>
      </c>
    </row>
    <row r="358" spans="23:23" x14ac:dyDescent="0.15">
      <c r="W358" s="206">
        <f>Admin!B358</f>
        <v>46839</v>
      </c>
    </row>
    <row r="359" spans="23:23" x14ac:dyDescent="0.15">
      <c r="W359" s="206">
        <f>Admin!B359</f>
        <v>46840</v>
      </c>
    </row>
    <row r="360" spans="23:23" x14ac:dyDescent="0.15">
      <c r="W360" s="206">
        <f>Admin!B360</f>
        <v>46841</v>
      </c>
    </row>
    <row r="361" spans="23:23" x14ac:dyDescent="0.15">
      <c r="W361" s="206">
        <f>Admin!B361</f>
        <v>46842</v>
      </c>
    </row>
    <row r="362" spans="23:23" x14ac:dyDescent="0.15">
      <c r="W362" s="206">
        <f>Admin!B362</f>
        <v>46843</v>
      </c>
    </row>
    <row r="363" spans="23:23" x14ac:dyDescent="0.15">
      <c r="W363" s="206">
        <f>Admin!B363</f>
        <v>46844</v>
      </c>
    </row>
    <row r="364" spans="23:23" x14ac:dyDescent="0.15">
      <c r="W364" s="206">
        <f>Admin!B364</f>
        <v>46845</v>
      </c>
    </row>
    <row r="365" spans="23:23" x14ac:dyDescent="0.15">
      <c r="W365" s="206">
        <f>Admin!B365</f>
        <v>46846</v>
      </c>
    </row>
    <row r="366" spans="23:23" x14ac:dyDescent="0.15">
      <c r="W366" s="206">
        <f>Admin!B366</f>
        <v>46847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46483</v>
      </c>
      <c r="L9" s="200" t="s">
        <v>76</v>
      </c>
      <c r="M9" s="202">
        <f>K9+(7-WEEKDAY(K9, 2))</f>
        <v>46488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46489</v>
      </c>
      <c r="L19" s="200" t="s">
        <v>76</v>
      </c>
      <c r="M19" s="202">
        <f>K19+6</f>
        <v>46495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46496</v>
      </c>
      <c r="L29" s="200" t="s">
        <v>76</v>
      </c>
      <c r="M29" s="202">
        <f>K29+6</f>
        <v>46502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46503</v>
      </c>
      <c r="L39" s="200" t="s">
        <v>76</v>
      </c>
      <c r="M39" s="202">
        <f>K39+6</f>
        <v>46509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DATE(2026,7,1)</f>
        <v>46204</v>
      </c>
      <c r="L49" s="203" t="s">
        <v>76</v>
      </c>
      <c r="M49" s="205">
        <f>DATE(2026,7,31)</f>
        <v>46234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Jul!M39+1</f>
        <v>46510</v>
      </c>
      <c r="L9" s="203" t="s">
        <v>76</v>
      </c>
      <c r="M9" s="205">
        <f>K9+6</f>
        <v>46516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46517</v>
      </c>
      <c r="L19" s="203" t="s">
        <v>76</v>
      </c>
      <c r="M19" s="205">
        <f>K19+6</f>
        <v>46523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46524</v>
      </c>
      <c r="L29" s="203" t="s">
        <v>76</v>
      </c>
      <c r="M29" s="205">
        <f>K29+6</f>
        <v>46530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46531</v>
      </c>
      <c r="L39" s="203" t="s">
        <v>76</v>
      </c>
      <c r="M39" s="205">
        <f>K39+6</f>
        <v>46537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DATE(2026,8,1)</f>
        <v>46235</v>
      </c>
      <c r="L49" s="203" t="s">
        <v>76</v>
      </c>
      <c r="M49" s="205">
        <f>DATE(2026,8,31)</f>
        <v>46265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Aug!M39+1</f>
        <v>46538</v>
      </c>
      <c r="L9" s="203" t="s">
        <v>76</v>
      </c>
      <c r="M9" s="205">
        <f>K9+6</f>
        <v>46544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46545</v>
      </c>
      <c r="L19" s="203" t="s">
        <v>76</v>
      </c>
      <c r="M19" s="205">
        <f>K19+6</f>
        <v>46551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46552</v>
      </c>
      <c r="L29" s="203" t="s">
        <v>76</v>
      </c>
      <c r="M29" s="205">
        <f>K29+6</f>
        <v>46558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46559</v>
      </c>
      <c r="L39" s="203" t="s">
        <v>76</v>
      </c>
      <c r="M39" s="205">
        <f>K39+6</f>
        <v>46565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46566</v>
      </c>
      <c r="L49" s="203" t="s">
        <v>76</v>
      </c>
      <c r="M49" s="205">
        <f>K49+6</f>
        <v>46572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DATE(2026,9,1)</f>
        <v>46266</v>
      </c>
      <c r="L59" s="203" t="s">
        <v>76</v>
      </c>
      <c r="M59" s="205">
        <f>DATE(2026,9,30)</f>
        <v>46295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46572</v>
      </c>
      <c r="L9" s="203" t="s">
        <v>76</v>
      </c>
      <c r="M9" s="205">
        <f>K9+6</f>
        <v>46578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89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92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92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92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5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46579</v>
      </c>
      <c r="L19" s="203" t="s">
        <v>76</v>
      </c>
      <c r="M19" s="205">
        <f>K19+6</f>
        <v>46585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46586</v>
      </c>
      <c r="L29" s="203" t="s">
        <v>76</v>
      </c>
      <c r="M29" s="205">
        <f>K29+6</f>
        <v>46592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46593</v>
      </c>
      <c r="L39" s="203" t="s">
        <v>76</v>
      </c>
      <c r="M39" s="205">
        <f>K39+6</f>
        <v>46599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DATE(2026,10,1)</f>
        <v>46296</v>
      </c>
      <c r="L49" s="203" t="s">
        <v>76</v>
      </c>
      <c r="M49" s="205">
        <f>DATE(2026,10,31)</f>
        <v>46326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46600</v>
      </c>
      <c r="L9" s="203" t="s">
        <v>76</v>
      </c>
      <c r="M9" s="205">
        <f>K9+6</f>
        <v>46606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IF(T$9="Y",Oct!H41,0)</f>
        <v>0</v>
      </c>
      <c r="I12" s="92">
        <f>IF(T$9="Y",Oct!I41,0)</f>
        <v>0</v>
      </c>
      <c r="J12" s="92">
        <f>IF(T$9="Y",Oct!J41,0)</f>
        <v>0</v>
      </c>
      <c r="K12" s="92">
        <f>IF(T$9="Y",Oct!K41,I12*J12)</f>
        <v>0</v>
      </c>
      <c r="L12" s="111">
        <f>IF(T$9="Y",Oct!L41,0)</f>
        <v>0</v>
      </c>
      <c r="M12" s="111" t="str">
        <f>IF(E12=" "," ",IF(T$9="Y",Oct!M41,IF((H12+K12+L12)&gt;0,H12+K12+L12,"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IF(T$9="Y",Oct!H41,0)</f>
        <v>0</v>
      </c>
      <c r="I13" s="92">
        <f>IF(T$9="Y",Oct!I41,0)</f>
        <v>0</v>
      </c>
      <c r="J13" s="92">
        <f>IF(T$9="Y",Oct!J41,0)</f>
        <v>0</v>
      </c>
      <c r="K13" s="92">
        <f>IF(T$9="Y",Oct!K41,I13*J13)</f>
        <v>0</v>
      </c>
      <c r="L13" s="111">
        <f>IF(T$9="Y",Oct!L41,0)</f>
        <v>0</v>
      </c>
      <c r="M13" s="111" t="str">
        <f>IF(E13=" "," ",IF(T$9="Y",Oct!M41,IF((H13+K13+L13)&gt;0,H13+K13+L13,"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IF(T$9="Y",Oct!H41,0)</f>
        <v>0</v>
      </c>
      <c r="I14" s="92">
        <f>IF(T$9="Y",Oct!I41,0)</f>
        <v>0</v>
      </c>
      <c r="J14" s="92">
        <f>IF(T$9="Y",Oct!J41,0)</f>
        <v>0</v>
      </c>
      <c r="K14" s="92">
        <f>IF(T$9="Y",Oct!K41,I14*J14)</f>
        <v>0</v>
      </c>
      <c r="L14" s="111">
        <f>IF(T$9="Y",Oct!L41,0)</f>
        <v>0</v>
      </c>
      <c r="M14" s="111" t="str">
        <f>IF(E14=" "," ",IF(T$9="Y",Oct!M41,IF((H14+K14+L14)&gt;0,H14+K14+L14,"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IF(T$9="Y",Oct!H41,0)</f>
        <v>0</v>
      </c>
      <c r="I15" s="245">
        <f>IF(T$9="Y",Oct!I41,0)</f>
        <v>0</v>
      </c>
      <c r="J15" s="245">
        <f>IF(T$9="Y",Oct!J41,0)</f>
        <v>0</v>
      </c>
      <c r="K15" s="245">
        <f>IF(T$9="Y",Oct!K41,I15*J15)</f>
        <v>0</v>
      </c>
      <c r="L15" s="246">
        <f>IF(T$9="Y",Oct!L41,0)</f>
        <v>0</v>
      </c>
      <c r="M15" s="246" t="str">
        <f>IF(E15=" "," ",IF(T$9="Y",Oct!M41,IF((H15+K15+L15)&gt;0,H15+K15+L15,"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46607</v>
      </c>
      <c r="L19" s="203" t="s">
        <v>76</v>
      </c>
      <c r="M19" s="205">
        <f>K19+6</f>
        <v>46613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46614</v>
      </c>
      <c r="L29" s="203" t="s">
        <v>76</v>
      </c>
      <c r="M29" s="205">
        <f>K29+6</f>
        <v>46620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46621</v>
      </c>
      <c r="L39" s="203" t="s">
        <v>76</v>
      </c>
      <c r="M39" s="205">
        <f>K39+6</f>
        <v>46627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DATE(2026,11,1)</f>
        <v>46327</v>
      </c>
      <c r="L49" s="203" t="s">
        <v>76</v>
      </c>
      <c r="M49" s="205">
        <f>DATE(2026,11,30)</f>
        <v>46356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89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92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92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92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IF(T$49="Y",Oct!H55,0)</f>
        <v>0</v>
      </c>
      <c r="I55" s="92">
        <f>IF(T$49="Y",Oct!I55,0)</f>
        <v>0</v>
      </c>
      <c r="J55" s="92">
        <f>IF(T$49="Y",Oct!J55,0)</f>
        <v>0</v>
      </c>
      <c r="K55" s="92">
        <f>IF(T$49="Y",Oct!K55,I55*J55)</f>
        <v>0</v>
      </c>
      <c r="L55" s="92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Nov!M39+1</f>
        <v>46628</v>
      </c>
      <c r="L9" s="203" t="s">
        <v>76</v>
      </c>
      <c r="M9" s="205">
        <f>K9+6</f>
        <v>46634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46635</v>
      </c>
      <c r="L19" s="203" t="s">
        <v>76</v>
      </c>
      <c r="M19" s="205">
        <f>K19+6</f>
        <v>46641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46642</v>
      </c>
      <c r="L29" s="203" t="s">
        <v>76</v>
      </c>
      <c r="M29" s="205">
        <f>K29+6</f>
        <v>46648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46649</v>
      </c>
      <c r="L39" s="203" t="s">
        <v>76</v>
      </c>
      <c r="M39" s="205">
        <f>K39+6</f>
        <v>46655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46656</v>
      </c>
      <c r="L49" s="203" t="s">
        <v>76</v>
      </c>
      <c r="M49" s="205">
        <f>K49+6</f>
        <v>46662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DATE(2026,12,1)</f>
        <v>46357</v>
      </c>
      <c r="L59" s="203" t="s">
        <v>76</v>
      </c>
      <c r="M59" s="205">
        <f>DATE(2026,12,31)</f>
        <v>46387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46663</v>
      </c>
      <c r="L9" s="203" t="s">
        <v>76</v>
      </c>
      <c r="M9" s="205">
        <f>Admin!B188</f>
        <v>46669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99" t="str">
        <f>IF(E11=" "," ",IF(T$9="Y",Dec!M51,IF((H11+K11+L11)&gt;0,H11+K11+L11,"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00" t="str">
        <f>IF(E12=" "," ",IF(T$9="Y",Dec!M52,IF((H12+K12+L12)&gt;0,H12+K12+L12,"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00" t="str">
        <f>IF(E13=" "," ",IF(T$9="Y",Dec!M53,IF((H13+K13+L13)&gt;0,H13+K13+L13,"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00" t="str">
        <f>IF(E14=" "," ",IF(T$9="Y",Dec!M54,IF((H14+K14+L14)&gt;0,H14+K14+L14,"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247" t="str">
        <f>IF(E15=" "," ",IF(T$9="Y",Dec!M55,IF((H15+K15+L15)&gt;0,H15+K15+L15,"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46670</v>
      </c>
      <c r="L19" s="203" t="s">
        <v>76</v>
      </c>
      <c r="M19" s="205">
        <f>K19+6</f>
        <v>46676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46677</v>
      </c>
      <c r="L29" s="203" t="s">
        <v>76</v>
      </c>
      <c r="M29" s="205">
        <f>K29+6</f>
        <v>46683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46684</v>
      </c>
      <c r="L39" s="203" t="s">
        <v>76</v>
      </c>
      <c r="M39" s="205">
        <f>K39+6</f>
        <v>46690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DATE(2027,1,1)</f>
        <v>46388</v>
      </c>
      <c r="L49" s="203" t="s">
        <v>76</v>
      </c>
      <c r="M49" s="205">
        <f>DATE(2027,1,31)</f>
        <v>46418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46691</v>
      </c>
      <c r="L9" s="203" t="s">
        <v>76</v>
      </c>
      <c r="M9" s="205">
        <f>K9+6</f>
        <v>46697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46698</v>
      </c>
      <c r="L19" s="203" t="s">
        <v>76</v>
      </c>
      <c r="M19" s="205">
        <f>K19+6</f>
        <v>46704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46705</v>
      </c>
      <c r="L29" s="203" t="s">
        <v>76</v>
      </c>
      <c r="M29" s="205">
        <f>K29+6</f>
        <v>46711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46712</v>
      </c>
      <c r="L39" s="203" t="s">
        <v>76</v>
      </c>
      <c r="M39" s="205">
        <f>K39+6</f>
        <v>46718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DATE(2027,2,1)</f>
        <v>46419</v>
      </c>
      <c r="L49" s="203" t="s">
        <v>76</v>
      </c>
      <c r="M49" s="205">
        <f>DATE(2027,2,28)</f>
        <v>46446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Feb!M39+1</f>
        <v>46719</v>
      </c>
      <c r="L9" s="203" t="s">
        <v>76</v>
      </c>
      <c r="M9" s="205">
        <f>K9+6</f>
        <v>46725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46726</v>
      </c>
      <c r="L19" s="203" t="s">
        <v>76</v>
      </c>
      <c r="M19" s="205">
        <f>K19+6</f>
        <v>46732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46733</v>
      </c>
      <c r="L29" s="203" t="s">
        <v>76</v>
      </c>
      <c r="M29" s="205">
        <f>K29+6</f>
        <v>46739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46740</v>
      </c>
      <c r="L39" s="203" t="s">
        <v>76</v>
      </c>
      <c r="M39" s="205">
        <f>K39+6</f>
        <v>46746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46747</v>
      </c>
      <c r="L49" s="203" t="s">
        <v>76</v>
      </c>
      <c r="M49" s="205">
        <f>K49+6</f>
        <v>46753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DATE(2027,3,1)</f>
        <v>46447</v>
      </c>
      <c r="L59" s="203" t="s">
        <v>76</v>
      </c>
      <c r="M59" s="205">
        <f>DATE(2027,3,31)</f>
        <v>46477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Mar!M49+1</f>
        <v>46754</v>
      </c>
      <c r="L9" s="203" t="s">
        <v>76</v>
      </c>
      <c r="M9" s="205">
        <f>K9+6</f>
        <v>46760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110" t="str">
        <f>IF(E11=" "," ",IF(T$9="Y",Mar!M51,IF((H11+K11+L11)&gt;0,H11+K11+L11,"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11" t="str">
        <f>IF(E12=" "," ",IF(T$9="Y",Mar!M52,IF((H12+K12+L12)&gt;0,H12+K12+L12,"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11" t="str">
        <f>IF(E13=" "," ",IF(T$9="Y",Mar!M53,IF((H13+K13+L13)&gt;0,H13+K13+L13,"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11" t="str">
        <f>IF(E14=" "," ",IF(T$9="Y",Mar!M54,IF((H14+K14+L14)&gt;0,H14+K14+L14,"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111" t="str">
        <f>IF(E15=" "," ",IF(T$9="Y",Mar!M55,IF((H15+K15+L15)&gt;0,H15+K15+L15,"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46761</v>
      </c>
      <c r="L19" s="203" t="s">
        <v>76</v>
      </c>
      <c r="M19" s="205">
        <f>K19+6</f>
        <v>46767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46768</v>
      </c>
      <c r="L29" s="203" t="s">
        <v>76</v>
      </c>
      <c r="M29" s="205">
        <f>K29+6</f>
        <v>46774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46775</v>
      </c>
      <c r="L39" s="203" t="s">
        <v>76</v>
      </c>
      <c r="M39" s="205">
        <f>K39+6</f>
        <v>46781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DATE(2027,4,1)</f>
        <v>46478</v>
      </c>
      <c r="L49" s="203" t="s">
        <v>76</v>
      </c>
      <c r="M49" s="205">
        <f>DATE(2027,4,30)</f>
        <v>46507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Apr!M39+1</f>
        <v>46782</v>
      </c>
      <c r="L9" s="203" t="s">
        <v>76</v>
      </c>
      <c r="M9" s="205">
        <f>K9+6</f>
        <v>46788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IF(T$19="Y",Apr!L45,0)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46789</v>
      </c>
      <c r="L19" s="203" t="s">
        <v>76</v>
      </c>
      <c r="M19" s="205">
        <f>K19+6</f>
        <v>46795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46796</v>
      </c>
      <c r="L29" s="203" t="s">
        <v>76</v>
      </c>
      <c r="M29" s="205">
        <f>K29+6</f>
        <v>46802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46803</v>
      </c>
      <c r="L39" s="203" t="s">
        <v>76</v>
      </c>
      <c r="M39" s="205">
        <f>K39+6</f>
        <v>46809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DATE(2027,5,1)</f>
        <v>46508</v>
      </c>
      <c r="L49" s="203" t="s">
        <v>76</v>
      </c>
      <c r="M49" s="205">
        <f>DATE(2027,5,31)</f>
        <v>46538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May!M39+1</f>
        <v>46810</v>
      </c>
      <c r="L9" s="203" t="s">
        <v>76</v>
      </c>
      <c r="M9" s="205">
        <f>K9+6</f>
        <v>46816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46817</v>
      </c>
      <c r="L19" s="203" t="s">
        <v>76</v>
      </c>
      <c r="M19" s="205">
        <f>K19+6</f>
        <v>46823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46824</v>
      </c>
      <c r="L29" s="203" t="s">
        <v>76</v>
      </c>
      <c r="M29" s="205">
        <f>K29+6</f>
        <v>46830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46831</v>
      </c>
      <c r="L39" s="203" t="s">
        <v>76</v>
      </c>
      <c r="M39" s="205">
        <f>K39+6</f>
        <v>46837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46838</v>
      </c>
      <c r="L49" s="203" t="s">
        <v>76</v>
      </c>
      <c r="M49" s="205">
        <f>K49+6</f>
        <v>46844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46845</v>
      </c>
      <c r="L59" s="203" t="s">
        <v>76</v>
      </c>
      <c r="M59" s="205">
        <f>K59+4</f>
        <v>46849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DATE(2027,6,1)</f>
        <v>46539</v>
      </c>
      <c r="L69" s="203" t="s">
        <v>76</v>
      </c>
      <c r="M69" s="205">
        <f>DATE(2027,6,30)</f>
        <v>46568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IF(T$69="Y",May!H51,0)</f>
        <v>0</v>
      </c>
      <c r="I71" s="89">
        <f>IF(T$69="Y",May!I51,0)</f>
        <v>0</v>
      </c>
      <c r="J71" s="89">
        <f>IF(T$69="Y",May!J51,0)</f>
        <v>0</v>
      </c>
      <c r="K71" s="89">
        <f>IF(T$69="Y",May!K51,I71*J71)</f>
        <v>0</v>
      </c>
      <c r="L71" s="110">
        <f>IF(T$69="Y",May!L51,0)</f>
        <v>0</v>
      </c>
      <c r="M71" s="99" t="str">
        <f>IF(E71=" "," ",IF(T$69="Y",May!M51,IF((H71+K71+L71)&gt;0,H71+K71+L71,"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IF(Employee!H$35=E$69,Employee!D$34+SUM(M71)+May!V51,SUM(M71)+May!V51)</f>
        <v>0</v>
      </c>
      <c r="W71" s="49">
        <f>IF(Employee!H$35=E$69,Employee!D$35+SUM(N71)+May!W51,SUM(N71)+May!W51)</f>
        <v>0</v>
      </c>
      <c r="X71" s="49">
        <f>IF(O71=" ",May!X51,O71+May!X51)</f>
        <v>0</v>
      </c>
      <c r="Y71" s="49">
        <f>IF(P71=" ",May!Y51,P71+May!Y51)</f>
        <v>0</v>
      </c>
      <c r="Z71" s="49">
        <f>IF(Q71=" ",May!Z51,Q71+May!Z51)</f>
        <v>0</v>
      </c>
      <c r="AA71" s="49">
        <f>IF(R71=" ",May!AA51,R71+May!AA51)</f>
        <v>0</v>
      </c>
      <c r="AC71" s="49">
        <f>IF(T71=" ",May!AC51,T71+May!AC51)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IF(T$69="Y",May!H52,0)</f>
        <v>0</v>
      </c>
      <c r="I72" s="92">
        <f>IF(T$69="Y",May!I52,0)</f>
        <v>0</v>
      </c>
      <c r="J72" s="92">
        <f>IF(T$69="Y",May!J52,0)</f>
        <v>0</v>
      </c>
      <c r="K72" s="92">
        <f>IF(T$69="Y",May!K52,I72*J72)</f>
        <v>0</v>
      </c>
      <c r="L72" s="111">
        <f>IF(T$69="Y",May!L52,0)</f>
        <v>0</v>
      </c>
      <c r="M72" s="100" t="str">
        <f>IF(E72=" "," ",IF(T$69="Y",May!M52,IF((H72+K72+L72)&gt;0,H72+K72+L72,"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IF(Employee!H$61=E$69,Employee!D$60+SUM(M72)+May!V52,SUM(M72)+May!V52)</f>
        <v>0</v>
      </c>
      <c r="W72" s="49">
        <f>IF(Employee!H$61=E$69,Employee!D$61+SUM(N72)+May!W52,SUM(N72)+May!W52)</f>
        <v>0</v>
      </c>
      <c r="X72" s="49">
        <f>IF(O72=" ",May!X52,O72+May!X52)</f>
        <v>0</v>
      </c>
      <c r="Y72" s="49">
        <f>IF(P72=" ",May!Y52,P72+May!Y52)</f>
        <v>0</v>
      </c>
      <c r="Z72" s="49">
        <f>IF(Q72=" ",May!Z52,Q72+May!Z52)</f>
        <v>0</v>
      </c>
      <c r="AA72" s="49">
        <f>IF(R72=" ",May!AA52,R72+May!AA52)</f>
        <v>0</v>
      </c>
      <c r="AC72" s="49">
        <f>IF(T72=" ",May!AC52,T72+May!AC52)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IF(T$69="Y",May!H53,0)</f>
        <v>0</v>
      </c>
      <c r="I73" s="92">
        <f>IF(T$69="Y",May!I53,0)</f>
        <v>0</v>
      </c>
      <c r="J73" s="92">
        <f>IF(T$69="Y",May!J53,0)</f>
        <v>0</v>
      </c>
      <c r="K73" s="92">
        <f>IF(T$69="Y",May!K53,I73*J73)</f>
        <v>0</v>
      </c>
      <c r="L73" s="111">
        <f>IF(T$69="Y",May!L53,0)</f>
        <v>0</v>
      </c>
      <c r="M73" s="100" t="str">
        <f>IF(E73=" "," ",IF(T$69="Y",May!M53,IF((H73+K73+L73)&gt;0,H73+K73+L73,"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IF(Employee!H$87=E$69,Employee!D$86+SUM(M73)+May!V53,SUM(M73)+May!V53)</f>
        <v>0</v>
      </c>
      <c r="W73" s="49">
        <f>IF(Employee!H$87=E$69,Employee!D$87+SUM(N73)+May!W53,SUM(N73)+May!W53)</f>
        <v>0</v>
      </c>
      <c r="X73" s="49">
        <f>IF(O73=" ",May!X53,O73+May!X53)</f>
        <v>0</v>
      </c>
      <c r="Y73" s="49">
        <f>IF(P73=" ",May!Y53,P73+May!Y53)</f>
        <v>0</v>
      </c>
      <c r="Z73" s="49">
        <f>IF(Q73=" ",May!Z53,Q73+May!Z53)</f>
        <v>0</v>
      </c>
      <c r="AA73" s="49">
        <f>IF(R73=" ",May!AA53,R73+May!AA53)</f>
        <v>0</v>
      </c>
      <c r="AC73" s="49">
        <f>IF(T73=" ",May!AC53,T73+May!AC53)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IF(T$69="Y",May!H54,0)</f>
        <v>0</v>
      </c>
      <c r="I74" s="92">
        <f>IF(T$69="Y",May!I54,0)</f>
        <v>0</v>
      </c>
      <c r="J74" s="92">
        <f>IF(T$69="Y",May!J54,0)</f>
        <v>0</v>
      </c>
      <c r="K74" s="92">
        <f>IF(T$69="Y",May!K54,I74*J74)</f>
        <v>0</v>
      </c>
      <c r="L74" s="111">
        <f>IF(T$69="Y",May!L54,0)</f>
        <v>0</v>
      </c>
      <c r="M74" s="100" t="str">
        <f>IF(E74=" "," ",IF(T$69="Y",May!M54,IF((H74+K74+L74)&gt;0,H74+K74+L74,"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IF(Employee!H$113=E$69,Employee!D$112+SUM(M74)+May!V54,SUM(M74)+May!V54)</f>
        <v>0</v>
      </c>
      <c r="W74" s="49">
        <f>IF(Employee!H$113=E$69,Employee!D$113+SUM(N74)+May!W54,SUM(N74)+May!W54)</f>
        <v>0</v>
      </c>
      <c r="X74" s="49">
        <f>IF(O74=" ",May!X54,O74+May!X54)</f>
        <v>0</v>
      </c>
      <c r="Y74" s="49">
        <f>IF(P74=" ",May!Y54,P74+May!Y54)</f>
        <v>0</v>
      </c>
      <c r="Z74" s="49">
        <f>IF(Q74=" ",May!Z54,Q74+May!Z54)</f>
        <v>0</v>
      </c>
      <c r="AA74" s="49">
        <f>IF(R74=" ",May!AA54,R74+May!AA54)</f>
        <v>0</v>
      </c>
      <c r="AC74" s="49">
        <f>IF(T74=" ",May!AC54,T74+May!AC54)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IF(T$69="Y",May!H55,0)</f>
        <v>0</v>
      </c>
      <c r="I75" s="245">
        <f>IF(T$69="Y",May!I55,0)</f>
        <v>0</v>
      </c>
      <c r="J75" s="245">
        <f>IF(T$69="Y",May!J55,0)</f>
        <v>0</v>
      </c>
      <c r="K75" s="245">
        <f>IF(T$69="Y",May!K55,I75*J75)</f>
        <v>0</v>
      </c>
      <c r="L75" s="246">
        <f>IF(T$69="Y",May!L55,0)</f>
        <v>0</v>
      </c>
      <c r="M75" s="100" t="str">
        <f>IF(E75=" "," ",IF(T$69="Y",May!M55,IF((H75+K75+L75)&gt;0,H75+K75+L75,"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IF(Employee!H$139=E$69,Employee!D$138+SUM(M75)+May!V55,SUM(M75)+May!V55)</f>
        <v>0</v>
      </c>
      <c r="W75" s="49">
        <f>IF(Employee!H$139=E$69,Employee!D$139+SUM(N75)+May!W55,SUM(N75)+May!W55)</f>
        <v>0</v>
      </c>
      <c r="X75" s="49">
        <f>IF(O75=" ",May!X55,O75+May!X55)</f>
        <v>0</v>
      </c>
      <c r="Y75" s="49">
        <f>IF(P75=" ",May!Y55,P75+May!Y55)</f>
        <v>0</v>
      </c>
      <c r="Z75" s="49">
        <f>IF(Q75=" ",May!Z55,Q75+May!Z55)</f>
        <v>0</v>
      </c>
      <c r="AA75" s="49">
        <f>IF(R75=" ",May!AA55,R75+May!AA55)</f>
        <v>0</v>
      </c>
      <c r="AC75" s="49">
        <f>IF(T75=" ",May!AC55,T75+May!AC55)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AD80+May!AD65</f>
        <v>0</v>
      </c>
      <c r="AE85" s="158">
        <f>AE80+May!AE65</f>
        <v>0</v>
      </c>
      <c r="AF85" s="158">
        <f>AF80+May!AF65</f>
        <v>0</v>
      </c>
      <c r="AG85" s="158">
        <f>AG80+May!AG65</f>
        <v>0</v>
      </c>
    </row>
    <row r="86" spans="6:33" ht="14" thickTop="1" x14ac:dyDescent="0.15"/>
    <row r="87" spans="6:33" x14ac:dyDescent="0.15">
      <c r="AD87" s="162"/>
      <c r="AE87" s="158">
        <f>AE82+May!AE67</f>
        <v>0</v>
      </c>
      <c r="AF87" s="158">
        <f>AF82+May!AF67</f>
        <v>0</v>
      </c>
      <c r="AG87" s="158">
        <f>AG82+May!AG67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Jul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46488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46488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46488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46488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46488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DATE(2027,4,30)</f>
        <v>46507</v>
      </c>
      <c r="C4" s="229">
        <f>DATE(2027,5,19)</f>
        <v>46526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2801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DATE(2027,5,31)</f>
        <v>46538</v>
      </c>
      <c r="C5" s="229">
        <f>DATE(2027,6,19)</f>
        <v>46557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2802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DATE(2027,6,30)</f>
        <v>46568</v>
      </c>
      <c r="C6" s="229">
        <f>DATE(2027,7,19)</f>
        <v>46587</v>
      </c>
      <c r="D6" s="227">
        <f>Jun!T1+Jun!O1</f>
        <v>0</v>
      </c>
      <c r="E6" s="228">
        <f>Jun!N1</f>
        <v>0</v>
      </c>
      <c r="F6" s="228">
        <f>Jun!AD80+Jun!AE80+Jun!AF80+Jun!AG80</f>
        <v>0</v>
      </c>
      <c r="G6" s="228">
        <f>Jun!AE82+Jun!AF82+Jun!AG82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2803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DATE(2027,7,31)</f>
        <v>46599</v>
      </c>
      <c r="C7" s="229">
        <f>DATE(2027,8,19)</f>
        <v>46618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2804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DATE(2027,8,31)</f>
        <v>46630</v>
      </c>
      <c r="C8" s="229">
        <f>DATE(2027,9,19)</f>
        <v>46649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2805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DATE(2027,9,30)</f>
        <v>46660</v>
      </c>
      <c r="C9" s="229">
        <f>DATE(2027,10,19)</f>
        <v>46679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2806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DATE(2027,10,31)</f>
        <v>46691</v>
      </c>
      <c r="C10" s="229">
        <f>DATE(2027,11,19)</f>
        <v>46710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2807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DATE(2027,11,30)</f>
        <v>46721</v>
      </c>
      <c r="C11" s="229">
        <f>DATE(2027,12,19)</f>
        <v>46740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2808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DATE(2027,12,31)</f>
        <v>46752</v>
      </c>
      <c r="C12" s="229">
        <f>DATE(2028,1,19)</f>
        <v>46771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2809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DATE(2028,1,31)</f>
        <v>46783</v>
      </c>
      <c r="C13" s="229">
        <f>DATE(2028,2,19)</f>
        <v>46802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2810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DATE(2028,2,29)</f>
        <v>46812</v>
      </c>
      <c r="C14" s="229">
        <f>DATE(2028,3,19)</f>
        <v>46831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2811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DATE(2028,3,31)</f>
        <v>46843</v>
      </c>
      <c r="C15" s="229">
        <f>DATE(2028,4,19)</f>
        <v>46862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2812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46848</v>
      </c>
      <c r="J1" s="493"/>
      <c r="K1" s="303"/>
      <c r="L1" s="303"/>
      <c r="M1" s="304"/>
      <c r="N1" s="305" t="str">
        <f>TEXT(YEAR(I1)-1,"0") &amp; "-" &amp; TEXT(YEAR(I1)-2000,"0")</f>
        <v>2027-28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TEXT(DATE(YEAR(B$2),MONTH(B$2)+(D2-1)+3,1),"Mmm")</f>
        <v>Jul</v>
      </c>
      <c r="B2" s="308">
        <v>46483</v>
      </c>
      <c r="C2" s="309">
        <v>1</v>
      </c>
      <c r="D2" s="309">
        <v>1</v>
      </c>
      <c r="E2" s="310">
        <f>B2</f>
        <v>46483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TEXT(DATE(YEAR(B$2),MONTH(B$2)+(D3-1)+3,1),"Mmm")</f>
        <v>Jul</v>
      </c>
      <c r="B3" s="308">
        <f>B2+1</f>
        <v>46484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Jul</v>
      </c>
      <c r="B4" s="308">
        <f t="shared" ref="B4:B67" si="1">B3+1</f>
        <v>46485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Jul</v>
      </c>
      <c r="B5" s="308">
        <f t="shared" si="1"/>
        <v>46486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Jul</v>
      </c>
      <c r="B6" s="308">
        <f t="shared" si="1"/>
        <v>46487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Jul</v>
      </c>
      <c r="B7" s="308">
        <f t="shared" si="1"/>
        <v>46488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Jul</v>
      </c>
      <c r="B8" s="308">
        <f t="shared" si="1"/>
        <v>46489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Jul</v>
      </c>
      <c r="B9" s="308">
        <f t="shared" si="1"/>
        <v>46490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Jul</v>
      </c>
      <c r="B10" s="308">
        <f t="shared" si="1"/>
        <v>46491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Jul</v>
      </c>
      <c r="B11" s="308">
        <f t="shared" si="1"/>
        <v>46492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Jul</v>
      </c>
      <c r="B12" s="308">
        <f t="shared" si="1"/>
        <v>46493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Jul</v>
      </c>
      <c r="B13" s="308">
        <f t="shared" si="1"/>
        <v>46494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Jul</v>
      </c>
      <c r="B14" s="308">
        <f t="shared" si="1"/>
        <v>46495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Jul</v>
      </c>
      <c r="B15" s="308">
        <f t="shared" si="1"/>
        <v>46496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Jul</v>
      </c>
      <c r="B16" s="308">
        <f t="shared" si="1"/>
        <v>46497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Jul</v>
      </c>
      <c r="B17" s="308">
        <f t="shared" si="1"/>
        <v>46498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Jul</v>
      </c>
      <c r="B18" s="308">
        <f t="shared" si="1"/>
        <v>46499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Jul</v>
      </c>
      <c r="B19" s="308">
        <f t="shared" si="1"/>
        <v>46500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Jul</v>
      </c>
      <c r="B20" s="308">
        <f t="shared" si="1"/>
        <v>46501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Jul</v>
      </c>
      <c r="B21" s="308">
        <f t="shared" si="1"/>
        <v>46502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Jul</v>
      </c>
      <c r="B22" s="308">
        <f t="shared" si="1"/>
        <v>46503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Jul</v>
      </c>
      <c r="B23" s="308">
        <f t="shared" si="1"/>
        <v>46504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Jul</v>
      </c>
      <c r="B24" s="308">
        <f t="shared" si="1"/>
        <v>46505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Jul</v>
      </c>
      <c r="B25" s="308">
        <f t="shared" si="1"/>
        <v>46506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Jul</v>
      </c>
      <c r="B26" s="308">
        <f t="shared" si="1"/>
        <v>46507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Jul</v>
      </c>
      <c r="B27" s="308">
        <f t="shared" si="1"/>
        <v>46508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Aug</v>
      </c>
      <c r="B28" s="308">
        <f t="shared" si="1"/>
        <v>46509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Aug</v>
      </c>
      <c r="B29" s="308">
        <f t="shared" si="1"/>
        <v>46510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Aug</v>
      </c>
      <c r="B30" s="308">
        <f t="shared" si="1"/>
        <v>46511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Aug</v>
      </c>
      <c r="B31" s="308">
        <f t="shared" si="1"/>
        <v>46512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Aug</v>
      </c>
      <c r="B32" s="308">
        <f t="shared" si="1"/>
        <v>46513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Aug</v>
      </c>
      <c r="B33" s="308">
        <f t="shared" si="1"/>
        <v>46514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Aug</v>
      </c>
      <c r="B34" s="308">
        <f t="shared" si="1"/>
        <v>46515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Aug</v>
      </c>
      <c r="B35" s="308">
        <f t="shared" si="1"/>
        <v>46516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Aug</v>
      </c>
      <c r="B36" s="308">
        <f t="shared" si="1"/>
        <v>46517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Aug</v>
      </c>
      <c r="B37" s="308">
        <f t="shared" si="1"/>
        <v>46518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Aug</v>
      </c>
      <c r="B38" s="308">
        <f t="shared" si="1"/>
        <v>46519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Aug</v>
      </c>
      <c r="B39" s="308">
        <f t="shared" si="1"/>
        <v>46520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Aug</v>
      </c>
      <c r="B40" s="308">
        <f t="shared" si="1"/>
        <v>46521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Aug</v>
      </c>
      <c r="B41" s="308">
        <f t="shared" si="1"/>
        <v>46522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Aug</v>
      </c>
      <c r="B42" s="308">
        <f t="shared" si="1"/>
        <v>46523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Aug</v>
      </c>
      <c r="B43" s="308">
        <f t="shared" si="1"/>
        <v>46524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Aug</v>
      </c>
      <c r="B44" s="308">
        <f t="shared" si="1"/>
        <v>46525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Aug</v>
      </c>
      <c r="B45" s="308">
        <f t="shared" si="1"/>
        <v>46526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Aug</v>
      </c>
      <c r="B46" s="308">
        <f t="shared" si="1"/>
        <v>46527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Aug</v>
      </c>
      <c r="B47" s="308">
        <f t="shared" si="1"/>
        <v>46528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Aug</v>
      </c>
      <c r="B48" s="308">
        <f t="shared" si="1"/>
        <v>46529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Aug</v>
      </c>
      <c r="B49" s="308">
        <f t="shared" si="1"/>
        <v>46530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Aug</v>
      </c>
      <c r="B50" s="308">
        <f t="shared" si="1"/>
        <v>46531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Aug</v>
      </c>
      <c r="B51" s="308">
        <f t="shared" si="1"/>
        <v>46532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Aug</v>
      </c>
      <c r="B52" s="308">
        <f t="shared" si="1"/>
        <v>46533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Aug</v>
      </c>
      <c r="B53" s="308">
        <f t="shared" si="1"/>
        <v>46534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Aug</v>
      </c>
      <c r="B54" s="308">
        <f t="shared" si="1"/>
        <v>46535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Aug</v>
      </c>
      <c r="B55" s="308">
        <f t="shared" si="1"/>
        <v>46536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Sep</v>
      </c>
      <c r="B56" s="308">
        <f t="shared" si="1"/>
        <v>46537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Sep</v>
      </c>
      <c r="B57" s="308">
        <f t="shared" si="1"/>
        <v>46538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Sep</v>
      </c>
      <c r="B58" s="308">
        <f t="shared" si="1"/>
        <v>46539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Sep</v>
      </c>
      <c r="B59" s="308">
        <f t="shared" si="1"/>
        <v>46540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Sep</v>
      </c>
      <c r="B60" s="308">
        <f t="shared" si="1"/>
        <v>46541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Sep</v>
      </c>
      <c r="B61" s="308">
        <f t="shared" si="1"/>
        <v>46542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Sep</v>
      </c>
      <c r="B62" s="308">
        <f t="shared" si="1"/>
        <v>46543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Sep</v>
      </c>
      <c r="B63" s="308">
        <f t="shared" si="1"/>
        <v>46544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Sep</v>
      </c>
      <c r="B64" s="308">
        <f t="shared" si="1"/>
        <v>46545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Sep</v>
      </c>
      <c r="B65" s="308">
        <f t="shared" si="1"/>
        <v>46546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Sep</v>
      </c>
      <c r="B66" s="308">
        <f t="shared" si="1"/>
        <v>46547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TEXT(DATE(YEAR(B$2),MONTH(B$2)+(D67-1)+3,1),"Mmm")</f>
        <v>Sep</v>
      </c>
      <c r="B67" s="308">
        <f t="shared" si="1"/>
        <v>46548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Sep</v>
      </c>
      <c r="B68" s="308">
        <f t="shared" ref="B68:B131" si="3">B67+1</f>
        <v>46549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Sep</v>
      </c>
      <c r="B69" s="308">
        <f t="shared" si="3"/>
        <v>46550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Sep</v>
      </c>
      <c r="B70" s="308">
        <f t="shared" si="3"/>
        <v>46551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Sep</v>
      </c>
      <c r="B71" s="308">
        <f t="shared" si="3"/>
        <v>46552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Sep</v>
      </c>
      <c r="B72" s="308">
        <f t="shared" si="3"/>
        <v>46553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Sep</v>
      </c>
      <c r="B73" s="308">
        <f t="shared" si="3"/>
        <v>46554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Sep</v>
      </c>
      <c r="B74" s="308">
        <f t="shared" si="3"/>
        <v>46555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Sep</v>
      </c>
      <c r="B75" s="308">
        <f t="shared" si="3"/>
        <v>46556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Sep</v>
      </c>
      <c r="B76" s="308">
        <f t="shared" si="3"/>
        <v>46557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Sep</v>
      </c>
      <c r="B77" s="308">
        <f t="shared" si="3"/>
        <v>46558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Sep</v>
      </c>
      <c r="B78" s="308">
        <f t="shared" si="3"/>
        <v>46559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Sep</v>
      </c>
      <c r="B79" s="308">
        <f t="shared" si="3"/>
        <v>46560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Sep</v>
      </c>
      <c r="B80" s="308">
        <f t="shared" si="3"/>
        <v>46561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Sep</v>
      </c>
      <c r="B81" s="308">
        <f t="shared" si="3"/>
        <v>46562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Sep</v>
      </c>
      <c r="B82" s="308">
        <f t="shared" si="3"/>
        <v>46563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Sep</v>
      </c>
      <c r="B83" s="308">
        <f t="shared" si="3"/>
        <v>46564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Sep</v>
      </c>
      <c r="B84" s="308">
        <f t="shared" si="3"/>
        <v>46565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Sep</v>
      </c>
      <c r="B85" s="308">
        <f t="shared" si="3"/>
        <v>46566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Sep</v>
      </c>
      <c r="B86" s="308">
        <f t="shared" si="3"/>
        <v>46567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Sep</v>
      </c>
      <c r="B87" s="308">
        <f t="shared" si="3"/>
        <v>46568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Sep</v>
      </c>
      <c r="B88" s="308">
        <f t="shared" si="3"/>
        <v>46569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Sep</v>
      </c>
      <c r="B89" s="308">
        <f t="shared" si="3"/>
        <v>46570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Sep</v>
      </c>
      <c r="B90" s="308">
        <f t="shared" si="3"/>
        <v>46571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Oct</v>
      </c>
      <c r="B91" s="308">
        <f t="shared" si="3"/>
        <v>46572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Oct</v>
      </c>
      <c r="B92" s="308">
        <f t="shared" si="3"/>
        <v>46573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Oct</v>
      </c>
      <c r="B93" s="308">
        <f t="shared" si="3"/>
        <v>46574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Oct</v>
      </c>
      <c r="B94" s="308">
        <f t="shared" si="3"/>
        <v>46575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Oct</v>
      </c>
      <c r="B95" s="308">
        <f t="shared" si="3"/>
        <v>46576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Oct</v>
      </c>
      <c r="B96" s="308">
        <f t="shared" si="3"/>
        <v>46577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Oct</v>
      </c>
      <c r="B97" s="308">
        <f t="shared" si="3"/>
        <v>46578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Oct</v>
      </c>
      <c r="B98" s="308">
        <f t="shared" si="3"/>
        <v>46579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Oct</v>
      </c>
      <c r="B99" s="308">
        <f t="shared" si="3"/>
        <v>46580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Oct</v>
      </c>
      <c r="B100" s="308">
        <f t="shared" si="3"/>
        <v>46581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Oct</v>
      </c>
      <c r="B101" s="308">
        <f t="shared" si="3"/>
        <v>46582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Oct</v>
      </c>
      <c r="B102" s="308">
        <f t="shared" si="3"/>
        <v>46583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Oct</v>
      </c>
      <c r="B103" s="308">
        <f t="shared" si="3"/>
        <v>46584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Oct</v>
      </c>
      <c r="B104" s="308">
        <f t="shared" si="3"/>
        <v>46585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Oct</v>
      </c>
      <c r="B105" s="308">
        <f t="shared" si="3"/>
        <v>46586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Oct</v>
      </c>
      <c r="B106" s="308">
        <f t="shared" si="3"/>
        <v>46587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Oct</v>
      </c>
      <c r="B107" s="308">
        <f t="shared" si="3"/>
        <v>46588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Oct</v>
      </c>
      <c r="B108" s="308">
        <f t="shared" si="3"/>
        <v>46589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Oct</v>
      </c>
      <c r="B109" s="308">
        <f t="shared" si="3"/>
        <v>46590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Oct</v>
      </c>
      <c r="B110" s="308">
        <f t="shared" si="3"/>
        <v>46591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Oct</v>
      </c>
      <c r="B111" s="308">
        <f t="shared" si="3"/>
        <v>46592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Oct</v>
      </c>
      <c r="B112" s="308">
        <f t="shared" si="3"/>
        <v>46593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Oct</v>
      </c>
      <c r="B113" s="308">
        <f t="shared" si="3"/>
        <v>46594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Oct</v>
      </c>
      <c r="B114" s="308">
        <f t="shared" si="3"/>
        <v>46595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Oct</v>
      </c>
      <c r="B115" s="308">
        <f t="shared" si="3"/>
        <v>46596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Oct</v>
      </c>
      <c r="B116" s="308">
        <f t="shared" si="3"/>
        <v>46597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Oct</v>
      </c>
      <c r="B117" s="308">
        <f t="shared" si="3"/>
        <v>46598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Oct</v>
      </c>
      <c r="B118" s="308">
        <f t="shared" si="3"/>
        <v>46599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Nov</v>
      </c>
      <c r="B119" s="308">
        <f t="shared" si="3"/>
        <v>46600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Nov</v>
      </c>
      <c r="B120" s="308">
        <f t="shared" si="3"/>
        <v>46601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Nov</v>
      </c>
      <c r="B121" s="308">
        <f t="shared" si="3"/>
        <v>46602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Nov</v>
      </c>
      <c r="B122" s="308">
        <f t="shared" si="3"/>
        <v>46603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Nov</v>
      </c>
      <c r="B123" s="308">
        <f t="shared" si="3"/>
        <v>46604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Nov</v>
      </c>
      <c r="B124" s="308">
        <f t="shared" si="3"/>
        <v>46605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Nov</v>
      </c>
      <c r="B125" s="308">
        <f t="shared" si="3"/>
        <v>46606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Nov</v>
      </c>
      <c r="B126" s="308">
        <f t="shared" si="3"/>
        <v>46607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Nov</v>
      </c>
      <c r="B127" s="308">
        <f t="shared" si="3"/>
        <v>46608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Nov</v>
      </c>
      <c r="B128" s="308">
        <f t="shared" si="3"/>
        <v>46609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Nov</v>
      </c>
      <c r="B129" s="308">
        <f t="shared" si="3"/>
        <v>46610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Nov</v>
      </c>
      <c r="B130" s="308">
        <f t="shared" si="3"/>
        <v>46611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TEXT(DATE(YEAR(B$2),MONTH(B$2)+(D131-1)+3,1),"Mmm")</f>
        <v>Nov</v>
      </c>
      <c r="B131" s="308">
        <f t="shared" si="3"/>
        <v>46612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Nov</v>
      </c>
      <c r="B132" s="308">
        <f t="shared" ref="B132:B195" si="5">B131+1</f>
        <v>46613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Nov</v>
      </c>
      <c r="B133" s="308">
        <f t="shared" si="5"/>
        <v>46614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Nov</v>
      </c>
      <c r="B134" s="308">
        <f t="shared" si="5"/>
        <v>46615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Nov</v>
      </c>
      <c r="B135" s="308">
        <f t="shared" si="5"/>
        <v>46616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Nov</v>
      </c>
      <c r="B136" s="308">
        <f t="shared" si="5"/>
        <v>46617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Nov</v>
      </c>
      <c r="B137" s="308">
        <f t="shared" si="5"/>
        <v>46618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Nov</v>
      </c>
      <c r="B138" s="308">
        <f t="shared" si="5"/>
        <v>46619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Nov</v>
      </c>
      <c r="B139" s="308">
        <f t="shared" si="5"/>
        <v>46620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Nov</v>
      </c>
      <c r="B140" s="308">
        <f t="shared" si="5"/>
        <v>46621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Nov</v>
      </c>
      <c r="B141" s="308">
        <f t="shared" si="5"/>
        <v>46622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Nov</v>
      </c>
      <c r="B142" s="308">
        <f t="shared" si="5"/>
        <v>46623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Nov</v>
      </c>
      <c r="B143" s="308">
        <f t="shared" si="5"/>
        <v>46624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Nov</v>
      </c>
      <c r="B144" s="308">
        <f t="shared" si="5"/>
        <v>46625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Nov</v>
      </c>
      <c r="B145" s="308">
        <f t="shared" si="5"/>
        <v>46626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Nov</v>
      </c>
      <c r="B146" s="308">
        <f t="shared" si="5"/>
        <v>46627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Dec</v>
      </c>
      <c r="B147" s="308">
        <f t="shared" si="5"/>
        <v>46628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Dec</v>
      </c>
      <c r="B148" s="308">
        <f t="shared" si="5"/>
        <v>46629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Dec</v>
      </c>
      <c r="B149" s="308">
        <f t="shared" si="5"/>
        <v>46630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Dec</v>
      </c>
      <c r="B150" s="308">
        <f t="shared" si="5"/>
        <v>46631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Dec</v>
      </c>
      <c r="B151" s="308">
        <f t="shared" si="5"/>
        <v>46632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Dec</v>
      </c>
      <c r="B152" s="308">
        <f t="shared" si="5"/>
        <v>46633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Dec</v>
      </c>
      <c r="B153" s="308">
        <f t="shared" si="5"/>
        <v>46634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Dec</v>
      </c>
      <c r="B154" s="308">
        <f t="shared" si="5"/>
        <v>46635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Dec</v>
      </c>
      <c r="B155" s="321">
        <f t="shared" si="5"/>
        <v>46636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Dec</v>
      </c>
      <c r="B156" s="308">
        <f t="shared" si="5"/>
        <v>46637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Dec</v>
      </c>
      <c r="B157" s="308">
        <f t="shared" si="5"/>
        <v>46638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Dec</v>
      </c>
      <c r="B158" s="308">
        <f t="shared" si="5"/>
        <v>46639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Dec</v>
      </c>
      <c r="B159" s="308">
        <f t="shared" si="5"/>
        <v>46640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Dec</v>
      </c>
      <c r="B160" s="308">
        <f t="shared" si="5"/>
        <v>46641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Dec</v>
      </c>
      <c r="B161" s="308">
        <f t="shared" si="5"/>
        <v>46642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Dec</v>
      </c>
      <c r="B162" s="308">
        <f t="shared" si="5"/>
        <v>46643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Dec</v>
      </c>
      <c r="B163" s="308">
        <f t="shared" si="5"/>
        <v>46644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Dec</v>
      </c>
      <c r="B164" s="308">
        <f t="shared" si="5"/>
        <v>46645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Dec</v>
      </c>
      <c r="B165" s="308">
        <f t="shared" si="5"/>
        <v>46646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Dec</v>
      </c>
      <c r="B166" s="308">
        <f t="shared" si="5"/>
        <v>46647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Dec</v>
      </c>
      <c r="B167" s="308">
        <f t="shared" si="5"/>
        <v>46648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Dec</v>
      </c>
      <c r="B168" s="308">
        <f t="shared" si="5"/>
        <v>46649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Dec</v>
      </c>
      <c r="B169" s="308">
        <f t="shared" si="5"/>
        <v>46650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Dec</v>
      </c>
      <c r="B170" s="308">
        <f t="shared" si="5"/>
        <v>46651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Dec</v>
      </c>
      <c r="B171" s="308">
        <f t="shared" si="5"/>
        <v>46652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Dec</v>
      </c>
      <c r="B172" s="308">
        <f t="shared" si="5"/>
        <v>46653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Dec</v>
      </c>
      <c r="B173" s="308">
        <f t="shared" si="5"/>
        <v>46654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Dec</v>
      </c>
      <c r="B174" s="308">
        <f t="shared" si="5"/>
        <v>46655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Dec</v>
      </c>
      <c r="B175" s="308">
        <f t="shared" si="5"/>
        <v>46656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Dec</v>
      </c>
      <c r="B176" s="308">
        <f t="shared" si="5"/>
        <v>46657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Dec</v>
      </c>
      <c r="B177" s="308">
        <f t="shared" si="5"/>
        <v>46658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Dec</v>
      </c>
      <c r="B178" s="308">
        <f t="shared" si="5"/>
        <v>46659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Dec</v>
      </c>
      <c r="B179" s="308">
        <f t="shared" si="5"/>
        <v>46660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Dec</v>
      </c>
      <c r="B180" s="308">
        <f t="shared" si="5"/>
        <v>46661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Dec</v>
      </c>
      <c r="B181" s="308">
        <f t="shared" si="5"/>
        <v>46662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Jan</v>
      </c>
      <c r="B182" s="308">
        <f t="shared" si="5"/>
        <v>46663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Jan</v>
      </c>
      <c r="B183" s="308">
        <f t="shared" si="5"/>
        <v>46664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Jan</v>
      </c>
      <c r="B184" s="308">
        <f t="shared" si="5"/>
        <v>46665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Jan</v>
      </c>
      <c r="B185" s="321">
        <f t="shared" si="5"/>
        <v>46666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Jan</v>
      </c>
      <c r="B186" s="308">
        <f t="shared" si="5"/>
        <v>46667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Jan</v>
      </c>
      <c r="B187" s="308">
        <f t="shared" si="5"/>
        <v>46668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Jan</v>
      </c>
      <c r="B188" s="308">
        <f t="shared" si="5"/>
        <v>46669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Jan</v>
      </c>
      <c r="B189" s="308">
        <f t="shared" si="5"/>
        <v>46670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Jan</v>
      </c>
      <c r="B190" s="308">
        <f t="shared" si="5"/>
        <v>46671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Jan</v>
      </c>
      <c r="B191" s="308">
        <f t="shared" si="5"/>
        <v>46672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Jan</v>
      </c>
      <c r="B192" s="308">
        <f t="shared" si="5"/>
        <v>46673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Jan</v>
      </c>
      <c r="B193" s="308">
        <f t="shared" si="5"/>
        <v>46674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Jan</v>
      </c>
      <c r="B194" s="308">
        <f t="shared" si="5"/>
        <v>46675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TEXT(DATE(YEAR(B$2),MONTH(B$2)+(D195-1)+3,1),"Mmm")</f>
        <v>Jan</v>
      </c>
      <c r="B195" s="308">
        <f t="shared" si="5"/>
        <v>46676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Jan</v>
      </c>
      <c r="B196" s="308">
        <f t="shared" ref="B196:B259" si="7">B195+1</f>
        <v>46677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Jan</v>
      </c>
      <c r="B197" s="308">
        <f t="shared" si="7"/>
        <v>46678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Jan</v>
      </c>
      <c r="B198" s="308">
        <f t="shared" si="7"/>
        <v>46679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Jan</v>
      </c>
      <c r="B199" s="308">
        <f t="shared" si="7"/>
        <v>46680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Jan</v>
      </c>
      <c r="B200" s="308">
        <f t="shared" si="7"/>
        <v>46681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Jan</v>
      </c>
      <c r="B201" s="308">
        <f t="shared" si="7"/>
        <v>46682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Jan</v>
      </c>
      <c r="B202" s="308">
        <f t="shared" si="7"/>
        <v>46683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Jan</v>
      </c>
      <c r="B203" s="308">
        <f t="shared" si="7"/>
        <v>46684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Jan</v>
      </c>
      <c r="B204" s="308">
        <f t="shared" si="7"/>
        <v>46685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Jan</v>
      </c>
      <c r="B205" s="308">
        <f t="shared" si="7"/>
        <v>46686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Jan</v>
      </c>
      <c r="B206" s="308">
        <f t="shared" si="7"/>
        <v>46687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Jan</v>
      </c>
      <c r="B207" s="308">
        <f t="shared" si="7"/>
        <v>46688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Jan</v>
      </c>
      <c r="B208" s="308">
        <f t="shared" si="7"/>
        <v>46689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Jan</v>
      </c>
      <c r="B209" s="308">
        <f t="shared" si="7"/>
        <v>46690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Feb</v>
      </c>
      <c r="B210" s="308">
        <f t="shared" si="7"/>
        <v>46691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Feb</v>
      </c>
      <c r="B211" s="308">
        <f t="shared" si="7"/>
        <v>46692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Feb</v>
      </c>
      <c r="B212" s="308">
        <f t="shared" si="7"/>
        <v>46693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Feb</v>
      </c>
      <c r="B213" s="308">
        <f t="shared" si="7"/>
        <v>46694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Feb</v>
      </c>
      <c r="B214" s="308">
        <f t="shared" si="7"/>
        <v>46695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Feb</v>
      </c>
      <c r="B215" s="308">
        <f t="shared" si="7"/>
        <v>46696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Feb</v>
      </c>
      <c r="B216" s="321">
        <f t="shared" si="7"/>
        <v>46697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Feb</v>
      </c>
      <c r="B217" s="308">
        <f t="shared" si="7"/>
        <v>46698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Feb</v>
      </c>
      <c r="B218" s="308">
        <f t="shared" si="7"/>
        <v>46699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Feb</v>
      </c>
      <c r="B219" s="308">
        <f t="shared" si="7"/>
        <v>46700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Feb</v>
      </c>
      <c r="B220" s="308">
        <f t="shared" si="7"/>
        <v>46701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Feb</v>
      </c>
      <c r="B221" s="308">
        <f t="shared" si="7"/>
        <v>46702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Feb</v>
      </c>
      <c r="B222" s="308">
        <f t="shared" si="7"/>
        <v>46703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Feb</v>
      </c>
      <c r="B223" s="308">
        <f t="shared" si="7"/>
        <v>46704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Feb</v>
      </c>
      <c r="B224" s="308">
        <f t="shared" si="7"/>
        <v>46705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Feb</v>
      </c>
      <c r="B225" s="308">
        <f t="shared" si="7"/>
        <v>46706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Feb</v>
      </c>
      <c r="B226" s="308">
        <f t="shared" si="7"/>
        <v>46707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Feb</v>
      </c>
      <c r="B227" s="308">
        <f t="shared" si="7"/>
        <v>46708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Feb</v>
      </c>
      <c r="B228" s="308">
        <f t="shared" si="7"/>
        <v>46709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Feb</v>
      </c>
      <c r="B229" s="308">
        <f t="shared" si="7"/>
        <v>46710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Feb</v>
      </c>
      <c r="B230" s="308">
        <f t="shared" si="7"/>
        <v>46711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Feb</v>
      </c>
      <c r="B231" s="308">
        <f t="shared" si="7"/>
        <v>46712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Feb</v>
      </c>
      <c r="B232" s="308">
        <f t="shared" si="7"/>
        <v>46713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Feb</v>
      </c>
      <c r="B233" s="308">
        <f t="shared" si="7"/>
        <v>46714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Feb</v>
      </c>
      <c r="B234" s="308">
        <f t="shared" si="7"/>
        <v>46715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Feb</v>
      </c>
      <c r="B235" s="308">
        <f t="shared" si="7"/>
        <v>46716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Feb</v>
      </c>
      <c r="B236" s="308">
        <f t="shared" si="7"/>
        <v>46717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Feb</v>
      </c>
      <c r="B237" s="308">
        <f t="shared" si="7"/>
        <v>46718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Mar</v>
      </c>
      <c r="B238" s="308">
        <f t="shared" si="7"/>
        <v>46719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Mar</v>
      </c>
      <c r="B239" s="308">
        <f t="shared" si="7"/>
        <v>46720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Mar</v>
      </c>
      <c r="B240" s="308">
        <f t="shared" si="7"/>
        <v>46721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Mar</v>
      </c>
      <c r="B241" s="308">
        <f t="shared" si="7"/>
        <v>46722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Mar</v>
      </c>
      <c r="B242" s="308">
        <f t="shared" si="7"/>
        <v>46723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Mar</v>
      </c>
      <c r="B243" s="308">
        <f t="shared" si="7"/>
        <v>46724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Mar</v>
      </c>
      <c r="B244" s="308">
        <f t="shared" si="7"/>
        <v>46725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Mar</v>
      </c>
      <c r="B245" s="308">
        <f t="shared" si="7"/>
        <v>46726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Mar</v>
      </c>
      <c r="B246" s="321">
        <f t="shared" si="7"/>
        <v>46727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Mar</v>
      </c>
      <c r="B247" s="308">
        <f t="shared" si="7"/>
        <v>46728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Mar</v>
      </c>
      <c r="B248" s="308">
        <f t="shared" si="7"/>
        <v>46729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Mar</v>
      </c>
      <c r="B249" s="308">
        <f t="shared" si="7"/>
        <v>46730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Mar</v>
      </c>
      <c r="B250" s="308">
        <f t="shared" si="7"/>
        <v>46731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Mar</v>
      </c>
      <c r="B251" s="308">
        <f t="shared" si="7"/>
        <v>46732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Mar</v>
      </c>
      <c r="B252" s="308">
        <f t="shared" si="7"/>
        <v>46733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Mar</v>
      </c>
      <c r="B253" s="308">
        <f t="shared" si="7"/>
        <v>46734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Mar</v>
      </c>
      <c r="B254" s="308">
        <f t="shared" si="7"/>
        <v>46735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Mar</v>
      </c>
      <c r="B255" s="308">
        <f t="shared" si="7"/>
        <v>46736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Mar</v>
      </c>
      <c r="B256" s="308">
        <f t="shared" si="7"/>
        <v>46737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Mar</v>
      </c>
      <c r="B257" s="308">
        <f t="shared" si="7"/>
        <v>46738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Mar</v>
      </c>
      <c r="B258" s="308">
        <f t="shared" si="7"/>
        <v>46739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TEXT(DATE(YEAR(B$2),MONTH(B$2)+(D259-1)+3,1),"Mmm")</f>
        <v>Mar</v>
      </c>
      <c r="B259" s="308">
        <f t="shared" si="7"/>
        <v>46740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Mar</v>
      </c>
      <c r="B260" s="308">
        <f t="shared" ref="B260:B323" si="9">B259+1</f>
        <v>46741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Mar</v>
      </c>
      <c r="B261" s="308">
        <f t="shared" si="9"/>
        <v>46742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Mar</v>
      </c>
      <c r="B262" s="308">
        <f t="shared" si="9"/>
        <v>46743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Mar</v>
      </c>
      <c r="B263" s="308">
        <f t="shared" si="9"/>
        <v>46744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Mar</v>
      </c>
      <c r="B264" s="308">
        <f t="shared" si="9"/>
        <v>46745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Mar</v>
      </c>
      <c r="B265" s="308">
        <f t="shared" si="9"/>
        <v>46746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Mar</v>
      </c>
      <c r="B266" s="308">
        <f t="shared" si="9"/>
        <v>46747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Mar</v>
      </c>
      <c r="B267" s="308">
        <f t="shared" si="9"/>
        <v>46748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Mar</v>
      </c>
      <c r="B268" s="308">
        <f t="shared" si="9"/>
        <v>46749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Mar</v>
      </c>
      <c r="B269" s="308">
        <f t="shared" si="9"/>
        <v>46750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Mar</v>
      </c>
      <c r="B270" s="308">
        <f t="shared" si="9"/>
        <v>46751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Mar</v>
      </c>
      <c r="B271" s="308">
        <f t="shared" si="9"/>
        <v>46752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Mar</v>
      </c>
      <c r="B272" s="308">
        <f t="shared" si="9"/>
        <v>46753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Apr</v>
      </c>
      <c r="B273" s="308">
        <f t="shared" si="9"/>
        <v>46754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Apr</v>
      </c>
      <c r="B274" s="308">
        <f t="shared" si="9"/>
        <v>46755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Apr</v>
      </c>
      <c r="B275" s="308">
        <f t="shared" si="9"/>
        <v>46756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Apr</v>
      </c>
      <c r="B276" s="321">
        <f t="shared" si="9"/>
        <v>46757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Apr</v>
      </c>
      <c r="B277" s="321">
        <f t="shared" si="9"/>
        <v>46758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Apr</v>
      </c>
      <c r="B278" s="308">
        <f t="shared" si="9"/>
        <v>46759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Apr</v>
      </c>
      <c r="B279" s="308">
        <f t="shared" si="9"/>
        <v>46760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Apr</v>
      </c>
      <c r="B280" s="308">
        <f t="shared" si="9"/>
        <v>46761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Apr</v>
      </c>
      <c r="B281" s="308">
        <f t="shared" si="9"/>
        <v>46762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Apr</v>
      </c>
      <c r="B282" s="308">
        <f t="shared" si="9"/>
        <v>46763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Apr</v>
      </c>
      <c r="B283" s="308">
        <f t="shared" si="9"/>
        <v>46764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Apr</v>
      </c>
      <c r="B284" s="308">
        <f t="shared" si="9"/>
        <v>46765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Apr</v>
      </c>
      <c r="B285" s="308">
        <f t="shared" si="9"/>
        <v>46766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Apr</v>
      </c>
      <c r="B286" s="308">
        <f t="shared" si="9"/>
        <v>46767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Apr</v>
      </c>
      <c r="B287" s="308">
        <f t="shared" si="9"/>
        <v>46768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Apr</v>
      </c>
      <c r="B288" s="308">
        <f t="shared" si="9"/>
        <v>46769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Apr</v>
      </c>
      <c r="B289" s="308">
        <f t="shared" si="9"/>
        <v>46770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Apr</v>
      </c>
      <c r="B290" s="308">
        <f t="shared" si="9"/>
        <v>46771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Apr</v>
      </c>
      <c r="B291" s="308">
        <f t="shared" si="9"/>
        <v>46772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Apr</v>
      </c>
      <c r="B292" s="308">
        <f t="shared" si="9"/>
        <v>46773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Apr</v>
      </c>
      <c r="B293" s="308">
        <f t="shared" si="9"/>
        <v>46774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Apr</v>
      </c>
      <c r="B294" s="308">
        <f t="shared" si="9"/>
        <v>46775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Apr</v>
      </c>
      <c r="B295" s="308">
        <f t="shared" si="9"/>
        <v>46776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Apr</v>
      </c>
      <c r="B296" s="308">
        <f t="shared" si="9"/>
        <v>46777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Apr</v>
      </c>
      <c r="B297" s="308">
        <f t="shared" si="9"/>
        <v>46778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Apr</v>
      </c>
      <c r="B298" s="308">
        <f t="shared" si="9"/>
        <v>46779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Apr</v>
      </c>
      <c r="B299" s="308">
        <f t="shared" si="9"/>
        <v>46780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Apr</v>
      </c>
      <c r="B300" s="308">
        <f t="shared" si="9"/>
        <v>46781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May</v>
      </c>
      <c r="B301" s="308">
        <f t="shared" si="9"/>
        <v>46782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May</v>
      </c>
      <c r="B302" s="308">
        <f t="shared" si="9"/>
        <v>46783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May</v>
      </c>
      <c r="B303" s="308">
        <f t="shared" si="9"/>
        <v>46784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May</v>
      </c>
      <c r="B304" s="308">
        <f t="shared" si="9"/>
        <v>46785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May</v>
      </c>
      <c r="B305" s="308">
        <f t="shared" si="9"/>
        <v>46786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May</v>
      </c>
      <c r="B306" s="308">
        <f t="shared" si="9"/>
        <v>46787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May</v>
      </c>
      <c r="B307" s="308">
        <f t="shared" si="9"/>
        <v>46788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May</v>
      </c>
      <c r="B308" s="321">
        <f t="shared" si="9"/>
        <v>46789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May</v>
      </c>
      <c r="B309" s="308">
        <f t="shared" si="9"/>
        <v>46790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May</v>
      </c>
      <c r="B310" s="308">
        <f t="shared" si="9"/>
        <v>46791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May</v>
      </c>
      <c r="B311" s="308">
        <f t="shared" si="9"/>
        <v>46792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May</v>
      </c>
      <c r="B312" s="308">
        <f t="shared" si="9"/>
        <v>46793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May</v>
      </c>
      <c r="B313" s="308">
        <f t="shared" si="9"/>
        <v>46794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May</v>
      </c>
      <c r="B314" s="308">
        <f t="shared" si="9"/>
        <v>46795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May</v>
      </c>
      <c r="B315" s="308">
        <f t="shared" si="9"/>
        <v>46796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May</v>
      </c>
      <c r="B316" s="308">
        <f t="shared" si="9"/>
        <v>46797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May</v>
      </c>
      <c r="B317" s="308">
        <f t="shared" si="9"/>
        <v>46798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May</v>
      </c>
      <c r="B318" s="308">
        <f t="shared" si="9"/>
        <v>46799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May</v>
      </c>
      <c r="B319" s="308">
        <f t="shared" si="9"/>
        <v>46800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May</v>
      </c>
      <c r="B320" s="308">
        <f t="shared" si="9"/>
        <v>46801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May</v>
      </c>
      <c r="B321" s="308">
        <f t="shared" si="9"/>
        <v>46802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May</v>
      </c>
      <c r="B322" s="308">
        <f t="shared" si="9"/>
        <v>46803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TEXT(DATE(YEAR(B$2),MONTH(B$2)+(D323-1)+3,1),"Mmm")</f>
        <v>May</v>
      </c>
      <c r="B323" s="308">
        <f t="shared" si="9"/>
        <v>46804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May</v>
      </c>
      <c r="B324" s="308">
        <f t="shared" ref="B324:B381" si="11">B323+1</f>
        <v>46805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May</v>
      </c>
      <c r="B325" s="308">
        <f t="shared" si="11"/>
        <v>46806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May</v>
      </c>
      <c r="B326" s="308">
        <f t="shared" si="11"/>
        <v>46807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May</v>
      </c>
      <c r="B327" s="308">
        <f t="shared" si="11"/>
        <v>46808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May</v>
      </c>
      <c r="B328" s="308">
        <f t="shared" si="11"/>
        <v>46809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Jun</v>
      </c>
      <c r="B329" s="308">
        <f t="shared" si="11"/>
        <v>46810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Jun</v>
      </c>
      <c r="B330" s="308">
        <f t="shared" si="11"/>
        <v>46811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Jun</v>
      </c>
      <c r="B331" s="308">
        <f t="shared" si="11"/>
        <v>46812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Jun</v>
      </c>
      <c r="B332" s="308">
        <f t="shared" si="11"/>
        <v>46813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Jun</v>
      </c>
      <c r="B333" s="308">
        <f t="shared" si="11"/>
        <v>46814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Jun</v>
      </c>
      <c r="B334" s="308">
        <f t="shared" si="11"/>
        <v>46815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Jun</v>
      </c>
      <c r="B335" s="308">
        <f t="shared" si="11"/>
        <v>46816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Jun</v>
      </c>
      <c r="B336" s="321">
        <f t="shared" si="11"/>
        <v>46817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Jun</v>
      </c>
      <c r="B337" s="308">
        <f t="shared" si="11"/>
        <v>46818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Jun</v>
      </c>
      <c r="B338" s="308">
        <f t="shared" si="11"/>
        <v>46819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Jun</v>
      </c>
      <c r="B339" s="308">
        <f t="shared" si="11"/>
        <v>46820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Jun</v>
      </c>
      <c r="B340" s="308">
        <f t="shared" si="11"/>
        <v>46821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Jun</v>
      </c>
      <c r="B341" s="308">
        <f t="shared" si="11"/>
        <v>46822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Jun</v>
      </c>
      <c r="B342" s="308">
        <f t="shared" si="11"/>
        <v>46823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Jun</v>
      </c>
      <c r="B343" s="308">
        <f t="shared" si="11"/>
        <v>46824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Jun</v>
      </c>
      <c r="B344" s="308">
        <f t="shared" si="11"/>
        <v>46825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Jun</v>
      </c>
      <c r="B345" s="308">
        <f t="shared" si="11"/>
        <v>46826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Jun</v>
      </c>
      <c r="B346" s="308">
        <f t="shared" si="11"/>
        <v>46827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Jun</v>
      </c>
      <c r="B347" s="308">
        <f t="shared" si="11"/>
        <v>46828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Jun</v>
      </c>
      <c r="B348" s="308">
        <f t="shared" si="11"/>
        <v>46829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Jun</v>
      </c>
      <c r="B349" s="308">
        <f t="shared" si="11"/>
        <v>46830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Jun</v>
      </c>
      <c r="B350" s="308">
        <f t="shared" si="11"/>
        <v>46831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Jun</v>
      </c>
      <c r="B351" s="308">
        <f t="shared" si="11"/>
        <v>46832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Jun</v>
      </c>
      <c r="B352" s="308">
        <f t="shared" si="11"/>
        <v>46833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Jun</v>
      </c>
      <c r="B353" s="308">
        <f t="shared" si="11"/>
        <v>46834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Jun</v>
      </c>
      <c r="B354" s="308">
        <f t="shared" si="11"/>
        <v>46835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Jun</v>
      </c>
      <c r="B355" s="308">
        <f t="shared" si="11"/>
        <v>46836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Jun</v>
      </c>
      <c r="B356" s="308">
        <f t="shared" si="11"/>
        <v>46837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Jun</v>
      </c>
      <c r="B357" s="308">
        <f t="shared" si="11"/>
        <v>46838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Jun</v>
      </c>
      <c r="B358" s="308">
        <f t="shared" si="11"/>
        <v>46839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Jun</v>
      </c>
      <c r="B359" s="308">
        <f t="shared" si="11"/>
        <v>46840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Jun</v>
      </c>
      <c r="B360" s="308">
        <f t="shared" si="11"/>
        <v>46841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Jun</v>
      </c>
      <c r="B361" s="308">
        <f t="shared" si="11"/>
        <v>46842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Jun</v>
      </c>
      <c r="B362" s="308">
        <f t="shared" si="11"/>
        <v>46843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Jun</v>
      </c>
      <c r="B363" s="308">
        <f t="shared" si="11"/>
        <v>46844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Jun</v>
      </c>
      <c r="B364" s="308">
        <f t="shared" si="11"/>
        <v>46845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Jun</v>
      </c>
      <c r="B365" s="308">
        <f t="shared" si="11"/>
        <v>46846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Jun</v>
      </c>
      <c r="B366" s="308">
        <f t="shared" si="11"/>
        <v>46847</v>
      </c>
      <c r="C366" s="309">
        <v>53</v>
      </c>
      <c r="D366" s="309">
        <v>12</v>
      </c>
      <c r="E366" s="310">
        <f>B366</f>
        <v>46847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Jun</v>
      </c>
      <c r="B367" s="308">
        <f t="shared" si="11"/>
        <v>46848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Jun</v>
      </c>
      <c r="B368" s="308">
        <f t="shared" si="11"/>
        <v>46849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Jun</v>
      </c>
      <c r="B369" s="308">
        <f t="shared" si="11"/>
        <v>46850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Jun</v>
      </c>
      <c r="B370" s="308">
        <f t="shared" si="11"/>
        <v>46851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Jun</v>
      </c>
      <c r="B371" s="308">
        <f t="shared" si="11"/>
        <v>46852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Jun</v>
      </c>
      <c r="B372" s="308">
        <f t="shared" si="11"/>
        <v>46853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Jun</v>
      </c>
      <c r="B373" s="308">
        <f t="shared" si="11"/>
        <v>46854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Jun</v>
      </c>
      <c r="B374" s="308">
        <f t="shared" si="11"/>
        <v>46855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Jun</v>
      </c>
      <c r="B375" s="308">
        <f t="shared" si="11"/>
        <v>46856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Jun</v>
      </c>
      <c r="B376" s="308">
        <f t="shared" si="11"/>
        <v>46857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Jun</v>
      </c>
      <c r="B377" s="308">
        <f t="shared" si="11"/>
        <v>46858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Jun</v>
      </c>
      <c r="B378" s="308">
        <f t="shared" si="11"/>
        <v>46859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Jun</v>
      </c>
      <c r="B379" s="308">
        <f t="shared" si="11"/>
        <v>46860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Jun</v>
      </c>
      <c r="B380" s="308">
        <f t="shared" si="11"/>
        <v>46861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Jun</v>
      </c>
      <c r="B381" s="308">
        <f t="shared" si="11"/>
        <v>46862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