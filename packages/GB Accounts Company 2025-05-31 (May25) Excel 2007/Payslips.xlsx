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<sst xmlns="http://schemas.openxmlformats.org/spreadsheetml/2006/main" count="1383" uniqueCount="138">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</sst>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DATE(2024,6,1)</f>
        <v>45444</v>
      </c>
      <c r="L49" s="203" t="s">
        <v>76</v>
      </c>
      <c r="M49" s="205">
        <f>DATE(2024,6,30)</f>
        <v>45473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Jun!M39+1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DATE(2024,7,1)</f>
        <v>45474</v>
      </c>
      <c r="L49" s="203" t="s">
        <v>76</v>
      </c>
      <c r="M49" s="205">
        <f>DATE(2024,7,31)</f>
        <v>45504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Jul!M39+1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DATE(2024,8,1)</f>
        <v>45505</v>
      </c>
      <c r="L59" s="203" t="s">
        <v>76</v>
      </c>
      <c r="M59" s="205">
        <f>DATE(2024,8,31)</f>
        <v>45535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89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92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92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92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5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DATE(2024,9,1)</f>
        <v>45536</v>
      </c>
      <c r="L49" s="203" t="s">
        <v>76</v>
      </c>
      <c r="M49" s="205">
        <f>DATE(2024,9,30)</f>
        <v>45565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IF(T$9="Y",Sep!H41,0)</f>
        <v>0</v>
      </c>
      <c r="I12" s="92">
        <f>IF(T$9="Y",Sep!I41,0)</f>
        <v>0</v>
      </c>
      <c r="J12" s="92">
        <f>IF(T$9="Y",Sep!J41,0)</f>
        <v>0</v>
      </c>
      <c r="K12" s="92">
        <f>IF(T$9="Y",Sep!K41,I12*J12)</f>
        <v>0</v>
      </c>
      <c r="L12" s="111">
        <f>IF(T$9="Y",Sep!L41,0)</f>
        <v>0</v>
      </c>
      <c r="M12" s="111" t="str">
        <f>IF(E12=" "," ",IF(T$9="Y",Sep!M41,IF((H12+K12+L12)&gt;0,H12+K12+L12,"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IF(T$9="Y",Sep!H41,0)</f>
        <v>0</v>
      </c>
      <c r="I13" s="92">
        <f>IF(T$9="Y",Sep!I41,0)</f>
        <v>0</v>
      </c>
      <c r="J13" s="92">
        <f>IF(T$9="Y",Sep!J41,0)</f>
        <v>0</v>
      </c>
      <c r="K13" s="92">
        <f>IF(T$9="Y",Sep!K41,I13*J13)</f>
        <v>0</v>
      </c>
      <c r="L13" s="111">
        <f>IF(T$9="Y",Sep!L41,0)</f>
        <v>0</v>
      </c>
      <c r="M13" s="111" t="str">
        <f>IF(E13=" "," ",IF(T$9="Y",Sep!M41,IF((H13+K13+L13)&gt;0,H13+K13+L13,"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IF(T$9="Y",Sep!H41,0)</f>
        <v>0</v>
      </c>
      <c r="I14" s="92">
        <f>IF(T$9="Y",Sep!I41,0)</f>
        <v>0</v>
      </c>
      <c r="J14" s="92">
        <f>IF(T$9="Y",Sep!J41,0)</f>
        <v>0</v>
      </c>
      <c r="K14" s="92">
        <f>IF(T$9="Y",Sep!K41,I14*J14)</f>
        <v>0</v>
      </c>
      <c r="L14" s="111">
        <f>IF(T$9="Y",Sep!L41,0)</f>
        <v>0</v>
      </c>
      <c r="M14" s="111" t="str">
        <f>IF(E14=" "," ",IF(T$9="Y",Sep!M41,IF((H14+K14+L14)&gt;0,H14+K14+L14,"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IF(T$9="Y",Sep!H41,0)</f>
        <v>0</v>
      </c>
      <c r="I15" s="245">
        <f>IF(T$9="Y",Sep!I41,0)</f>
        <v>0</v>
      </c>
      <c r="J15" s="245">
        <f>IF(T$9="Y",Sep!J41,0)</f>
        <v>0</v>
      </c>
      <c r="K15" s="245">
        <f>IF(T$9="Y",Sep!K41,I15*J15)</f>
        <v>0</v>
      </c>
      <c r="L15" s="246">
        <f>IF(T$9="Y",Sep!L41,0)</f>
        <v>0</v>
      </c>
      <c r="M15" s="246" t="str">
        <f>IF(E15=" "," ",IF(T$9="Y",Sep!M41,IF((H15+K15+L15)&gt;0,H15+K15+L15,"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DATE(2024,10,1)</f>
        <v>45566</v>
      </c>
      <c r="L49" s="203" t="s">
        <v>76</v>
      </c>
      <c r="M49" s="205">
        <f>DATE(2024,10,31)</f>
        <v>45596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89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92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92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92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IF(T$49="Y",Sep!H55,0)</f>
        <v>0</v>
      </c>
      <c r="I55" s="92">
        <f>IF(T$49="Y",Sep!I55,0)</f>
        <v>0</v>
      </c>
      <c r="J55" s="92">
        <f>IF(T$49="Y",Sep!J55,0)</f>
        <v>0</v>
      </c>
      <c r="K55" s="92">
        <f>IF(T$49="Y",Sep!K55,I55*J55)</f>
        <v>0</v>
      </c>
      <c r="L55" s="92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Oct!M39+1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DATE(2024,11,1)</f>
        <v>45597</v>
      </c>
      <c r="L59" s="203" t="s">
        <v>76</v>
      </c>
      <c r="M59" s="205">
        <f>DATE(2024,11,30)</f>
        <v>45626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99" t="str">
        <f>IF(E11=" "," ",IF(T$9="Y",Nov!M51,IF((H11+K11+L11)&gt;0,H11+K11+L11,"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00" t="str">
        <f>IF(E12=" "," ",IF(T$9="Y",Nov!M52,IF((H12+K12+L12)&gt;0,H12+K12+L12,"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00" t="str">
        <f>IF(E13=" "," ",IF(T$9="Y",Nov!M53,IF((H13+K13+L13)&gt;0,H13+K13+L13,"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00" t="str">
        <f>IF(E14=" "," ",IF(T$9="Y",Nov!M54,IF((H14+K14+L14)&gt;0,H14+K14+L14,"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247" t="str">
        <f>IF(E15=" "," ",IF(T$9="Y",Nov!M55,IF((H15+K15+L15)&gt;0,H15+K15+L15,"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DATE(2024,12,1)</f>
        <v>45627</v>
      </c>
      <c r="L49" s="203" t="s">
        <v>76</v>
      </c>
      <c r="M49" s="205">
        <f>DATE(2024,12,31)</f>
        <v>45657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DATE(2025,1,1)</f>
        <v>45658</v>
      </c>
      <c r="L49" s="203" t="s">
        <v>76</v>
      </c>
      <c r="M49" s="205">
        <f>DATE(2025,1,31)</f>
        <v>45688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Jan!M39+1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DATE(2025,2,1)</f>
        <v>45689</v>
      </c>
      <c r="L59" s="203" t="s">
        <v>76</v>
      </c>
      <c r="M59" s="205">
        <f>DATE(2025,2,28)</f>
        <v>45716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Feb!M49+1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110" t="str">
        <f>IF(E11=" "," ",IF(T$9="Y",Feb!M51,IF((H11+K11+L11)&gt;0,H11+K11+L11,"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11" t="str">
        <f>IF(E12=" "," ",IF(T$9="Y",Feb!M52,IF((H12+K12+L12)&gt;0,H12+K12+L12,"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11" t="str">
        <f>IF(E13=" "," ",IF(T$9="Y",Feb!M53,IF((H13+K13+L13)&gt;0,H13+K13+L13,"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11" t="str">
        <f>IF(E14=" "," ",IF(T$9="Y",Feb!M54,IF((H14+K14+L14)&gt;0,H14+K14+L14,"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111" t="str">
        <f>IF(E15=" "," ",IF(T$9="Y",Feb!M55,IF((H15+K15+L15)&gt;0,H15+K15+L15,"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DATE(2025,3,1)</f>
        <v>45717</v>
      </c>
      <c r="L49" s="203" t="s">
        <v>76</v>
      </c>
      <c r="M49" s="205">
        <f>DATE(2025,3,31)</f>
        <v>45747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Mar!M39+1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IF(T$19="Y",Mar!L45,0)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DATE(2025,4,1)</f>
        <v>45748</v>
      </c>
      <c r="L49" s="203" t="s">
        <v>76</v>
      </c>
      <c r="M49" s="205">
        <f>DATE(2025,4,30)</f>
        <v>45777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Jun!H3:H6</f>
        <v>Statutory Pay</v>
      </c>
      <c r="I3" s="365" t="str">
        <f>Jun!I3:I6</f>
        <v>Basic hours</v>
      </c>
      <c r="J3" s="365" t="str">
        <f>Jun!J3:J6</f>
        <v>Hourly rate</v>
      </c>
      <c r="K3" s="365" t="str">
        <f>Jun!K3:K6</f>
        <v>Basic    wages</v>
      </c>
      <c r="L3" s="365" t="str">
        <f>Jun!L3:L6</f>
        <v>Overtime Bonus Gratuities</v>
      </c>
      <c r="M3" s="428" t="str">
        <f>Jun!M3:M6</f>
        <v>GROSS WAGES</v>
      </c>
      <c r="N3" s="365" t="str">
        <f>Jun!N3:N6</f>
        <v>Income Tax</v>
      </c>
      <c r="O3" s="365" t="str">
        <f>Jun!O3:O6</f>
        <v>Employees National Insurance</v>
      </c>
      <c r="P3" s="365" t="str">
        <f>Jun!P3:P6</f>
        <v>Student Loans</v>
      </c>
      <c r="Q3" s="365" t="str">
        <f>Jun!Q3:Q6</f>
        <v>Other Deductions</v>
      </c>
      <c r="R3" s="428" t="str">
        <f>Jun!R3:R6</f>
        <v>NET      PAY</v>
      </c>
      <c r="S3" s="42"/>
      <c r="T3" s="365" t="str">
        <f>Jun!T3:T6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Apr!M39+1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DATE(2025,5,1)</f>
        <v>45778</v>
      </c>
      <c r="L69" s="203" t="s">
        <v>76</v>
      </c>
      <c r="M69" s="205">
        <f>DATE(2025,5,31)</f>
        <v>45808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IF(T$69="Y",Apr!H51,0)</f>
        <v>0</v>
      </c>
      <c r="I71" s="89">
        <f>IF(T$69="Y",Apr!I51,0)</f>
        <v>0</v>
      </c>
      <c r="J71" s="89">
        <f>IF(T$69="Y",Apr!J51,0)</f>
        <v>0</v>
      </c>
      <c r="K71" s="89">
        <f>IF(T$69="Y",Apr!K51,I71*J71)</f>
        <v>0</v>
      </c>
      <c r="L71" s="110">
        <f>IF(T$69="Y",Apr!L51,0)</f>
        <v>0</v>
      </c>
      <c r="M71" s="99" t="str">
        <f>IF(E71=" "," ",IF(T$69="Y",Apr!M51,IF((H71+K71+L71)&gt;0,H71+K71+L71,"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IF(Employee!H$35=E$69,Employee!D$34+SUM(M71)+Apr!V51,SUM(M71)+Apr!V51)</f>
        <v>0</v>
      </c>
      <c r="W71" s="49">
        <f>IF(Employee!H$35=E$69,Employee!D$35+SUM(N71)+Apr!W51,SUM(N71)+Apr!W51)</f>
        <v>0</v>
      </c>
      <c r="X71" s="49">
        <f>IF(O71=" ",Apr!X51,O71+Apr!X51)</f>
        <v>0</v>
      </c>
      <c r="Y71" s="49">
        <f>IF(P71=" ",Apr!Y51,P71+Apr!Y51)</f>
        <v>0</v>
      </c>
      <c r="Z71" s="49">
        <f>IF(Q71=" ",Apr!Z51,Q71+Apr!Z51)</f>
        <v>0</v>
      </c>
      <c r="AA71" s="49">
        <f>IF(R71=" ",Apr!AA51,R71+Apr!AA51)</f>
        <v>0</v>
      </c>
      <c r="AC71" s="49">
        <f>IF(T71=" ",Apr!AC51,T71+Apr!AC51)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IF(T$69="Y",Apr!H52,0)</f>
        <v>0</v>
      </c>
      <c r="I72" s="92">
        <f>IF(T$69="Y",Apr!I52,0)</f>
        <v>0</v>
      </c>
      <c r="J72" s="92">
        <f>IF(T$69="Y",Apr!J52,0)</f>
        <v>0</v>
      </c>
      <c r="K72" s="92">
        <f>IF(T$69="Y",Apr!K52,I72*J72)</f>
        <v>0</v>
      </c>
      <c r="L72" s="111">
        <f>IF(T$69="Y",Apr!L52,0)</f>
        <v>0</v>
      </c>
      <c r="M72" s="100" t="str">
        <f>IF(E72=" "," ",IF(T$69="Y",Apr!M52,IF((H72+K72+L72)&gt;0,H72+K72+L72,"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IF(Employee!H$61=E$69,Employee!D$60+SUM(M72)+Apr!V52,SUM(M72)+Apr!V52)</f>
        <v>0</v>
      </c>
      <c r="W72" s="49">
        <f>IF(Employee!H$61=E$69,Employee!D$61+SUM(N72)+Apr!W52,SUM(N72)+Apr!W52)</f>
        <v>0</v>
      </c>
      <c r="X72" s="49">
        <f>IF(O72=" ",Apr!X52,O72+Apr!X52)</f>
        <v>0</v>
      </c>
      <c r="Y72" s="49">
        <f>IF(P72=" ",Apr!Y52,P72+Apr!Y52)</f>
        <v>0</v>
      </c>
      <c r="Z72" s="49">
        <f>IF(Q72=" ",Apr!Z52,Q72+Apr!Z52)</f>
        <v>0</v>
      </c>
      <c r="AA72" s="49">
        <f>IF(R72=" ",Apr!AA52,R72+Apr!AA52)</f>
        <v>0</v>
      </c>
      <c r="AC72" s="49">
        <f>IF(T72=" ",Apr!AC52,T72+Apr!AC52)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IF(T$69="Y",Apr!H53,0)</f>
        <v>0</v>
      </c>
      <c r="I73" s="92">
        <f>IF(T$69="Y",Apr!I53,0)</f>
        <v>0</v>
      </c>
      <c r="J73" s="92">
        <f>IF(T$69="Y",Apr!J53,0)</f>
        <v>0</v>
      </c>
      <c r="K73" s="92">
        <f>IF(T$69="Y",Apr!K53,I73*J73)</f>
        <v>0</v>
      </c>
      <c r="L73" s="111">
        <f>IF(T$69="Y",Apr!L53,0)</f>
        <v>0</v>
      </c>
      <c r="M73" s="100" t="str">
        <f>IF(E73=" "," ",IF(T$69="Y",Apr!M53,IF((H73+K73+L73)&gt;0,H73+K73+L73,"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IF(Employee!H$87=E$69,Employee!D$86+SUM(M73)+Apr!V53,SUM(M73)+Apr!V53)</f>
        <v>0</v>
      </c>
      <c r="W73" s="49">
        <f>IF(Employee!H$87=E$69,Employee!D$87+SUM(N73)+Apr!W53,SUM(N73)+Apr!W53)</f>
        <v>0</v>
      </c>
      <c r="X73" s="49">
        <f>IF(O73=" ",Apr!X53,O73+Apr!X53)</f>
        <v>0</v>
      </c>
      <c r="Y73" s="49">
        <f>IF(P73=" ",Apr!Y53,P73+Apr!Y53)</f>
        <v>0</v>
      </c>
      <c r="Z73" s="49">
        <f>IF(Q73=" ",Apr!Z53,Q73+Apr!Z53)</f>
        <v>0</v>
      </c>
      <c r="AA73" s="49">
        <f>IF(R73=" ",Apr!AA53,R73+Apr!AA53)</f>
        <v>0</v>
      </c>
      <c r="AC73" s="49">
        <f>IF(T73=" ",Apr!AC53,T73+Apr!AC53)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IF(T$69="Y",Apr!H54,0)</f>
        <v>0</v>
      </c>
      <c r="I74" s="92">
        <f>IF(T$69="Y",Apr!I54,0)</f>
        <v>0</v>
      </c>
      <c r="J74" s="92">
        <f>IF(T$69="Y",Apr!J54,0)</f>
        <v>0</v>
      </c>
      <c r="K74" s="92">
        <f>IF(T$69="Y",Apr!K54,I74*J74)</f>
        <v>0</v>
      </c>
      <c r="L74" s="111">
        <f>IF(T$69="Y",Apr!L54,0)</f>
        <v>0</v>
      </c>
      <c r="M74" s="100" t="str">
        <f>IF(E74=" "," ",IF(T$69="Y",Apr!M54,IF((H74+K74+L74)&gt;0,H74+K74+L74,"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IF(Employee!H$113=E$69,Employee!D$112+SUM(M74)+Apr!V54,SUM(M74)+Apr!V54)</f>
        <v>0</v>
      </c>
      <c r="W74" s="49">
        <f>IF(Employee!H$113=E$69,Employee!D$113+SUM(N74)+Apr!W54,SUM(N74)+Apr!W54)</f>
        <v>0</v>
      </c>
      <c r="X74" s="49">
        <f>IF(O74=" ",Apr!X54,O74+Apr!X54)</f>
        <v>0</v>
      </c>
      <c r="Y74" s="49">
        <f>IF(P74=" ",Apr!Y54,P74+Apr!Y54)</f>
        <v>0</v>
      </c>
      <c r="Z74" s="49">
        <f>IF(Q74=" ",Apr!Z54,Q74+Apr!Z54)</f>
        <v>0</v>
      </c>
      <c r="AA74" s="49">
        <f>IF(R74=" ",Apr!AA54,R74+Apr!AA54)</f>
        <v>0</v>
      </c>
      <c r="AC74" s="49">
        <f>IF(T74=" ",Apr!AC54,T74+Apr!AC54)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IF(T$69="Y",Apr!H55,0)</f>
        <v>0</v>
      </c>
      <c r="I75" s="245">
        <f>IF(T$69="Y",Apr!I55,0)</f>
        <v>0</v>
      </c>
      <c r="J75" s="245">
        <f>IF(T$69="Y",Apr!J55,0)</f>
        <v>0</v>
      </c>
      <c r="K75" s="245">
        <f>IF(T$69="Y",Apr!K55,I75*J75)</f>
        <v>0</v>
      </c>
      <c r="L75" s="246">
        <f>IF(T$69="Y",Apr!L55,0)</f>
        <v>0</v>
      </c>
      <c r="M75" s="100" t="str">
        <f>IF(E75=" "," ",IF(T$69="Y",Apr!M55,IF((H75+K75+L75)&gt;0,H75+K75+L75,"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IF(Employee!H$139=E$69,Employee!D$138+SUM(M75)+Apr!V55,SUM(M75)+Apr!V55)</f>
        <v>0</v>
      </c>
      <c r="W75" s="49">
        <f>IF(Employee!H$139=E$69,Employee!D$139+SUM(N75)+Apr!W55,SUM(N75)+Apr!W55)</f>
        <v>0</v>
      </c>
      <c r="X75" s="49">
        <f>IF(O75=" ",Apr!X55,O75+Apr!X55)</f>
        <v>0</v>
      </c>
      <c r="Y75" s="49">
        <f>IF(P75=" ",Apr!Y55,P75+Apr!Y55)</f>
        <v>0</v>
      </c>
      <c r="Z75" s="49">
        <f>IF(Q75=" ",Apr!Z55,Q75+Apr!Z55)</f>
        <v>0</v>
      </c>
      <c r="AA75" s="49">
        <f>IF(R75=" ",Apr!AA55,R75+Apr!AA55)</f>
        <v>0</v>
      </c>
      <c r="AC75" s="49">
        <f>IF(T75=" ",Apr!AC55,T75+Apr!AC55)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AD80+Apr!AD65</f>
        <v>0</v>
      </c>
      <c r="AE85" s="158">
        <f>AE80+Apr!AE65</f>
        <v>0</v>
      </c>
      <c r="AF85" s="158">
        <f>AF80+Apr!AF65</f>
        <v>0</v>
      </c>
      <c r="AG85" s="158">
        <f>AG80+Apr!AG65</f>
        <v>0</v>
      </c>
    </row>
    <row r="86" spans="6:33" ht="14" thickTop="1" x14ac:dyDescent="0.15"/>
    <row r="87" spans="6:33" x14ac:dyDescent="0.15">
      <c r="AD87" s="162"/>
      <c r="AE87" s="158">
        <f>AE82+Apr!AE67</f>
        <v>0</v>
      </c>
      <c r="AF87" s="158">
        <f>AF82+Apr!AF67</f>
        <v>0</v>
      </c>
      <c r="AG87" s="158">
        <f>AG82+Apr!AG67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DATE(2025,4,30)</f>
        <v>45777</v>
      </c>
      <c r="C4" s="229">
        <f>DATE(2025,5,19)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DATE(2025,5,31)</f>
        <v>45808</v>
      </c>
      <c r="C5" s="229">
        <f>DATE(2025,6,19)</f>
        <v>45827</v>
      </c>
      <c r="D5" s="227">
        <f>May!T1+May!O1</f>
        <v>0</v>
      </c>
      <c r="E5" s="228">
        <f>May!N1</f>
        <v>0</v>
      </c>
      <c r="F5" s="228">
        <f>May!AD80+May!AE80+May!AF80+May!AG80</f>
        <v>0</v>
      </c>
      <c r="G5" s="228">
        <f>May!AE82+May!AF82+May!AG82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DATE(2025,6,30)</f>
        <v>45838</v>
      </c>
      <c r="C6" s="229">
        <f>DATE(2025,7,19)</f>
        <v>45857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DATE(2025,7,31)</f>
        <v>45869</v>
      </c>
      <c r="C7" s="229">
        <f>DATE(2025,8,19)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DATE(2025,8,31)</f>
        <v>45900</v>
      </c>
      <c r="C8" s="229">
        <f>DATE(2025,9,19)</f>
        <v>45919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DATE(2025,9,30)</f>
        <v>45930</v>
      </c>
      <c r="C9" s="229">
        <f>DATE(2025,10,19)</f>
        <v>45949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DATE(2025,10,31)</f>
        <v>45961</v>
      </c>
      <c r="C10" s="229">
        <f>DATE(2025,11,19)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DATE(2025,11,30)</f>
        <v>45991</v>
      </c>
      <c r="C11" s="229">
        <f>DATE(2025,12,19)</f>
        <v>46010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DATE(2025,12,31)</f>
        <v>46022</v>
      </c>
      <c r="C12" s="229">
        <f>DATE(2026,1,19)</f>
        <v>46041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DATE(2026,1,31)</f>
        <v>46053</v>
      </c>
      <c r="C13" s="229">
        <f>DATE(2026,2,19)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DATE(2026,2,28)</f>
        <v>46081</v>
      </c>
      <c r="C14" s="229">
        <f>DATE(2026,3,19)</f>
        <v>46100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DATE(2026,3,31)</f>
        <v>46112</v>
      </c>
      <c r="C15" s="229">
        <f>DATE(2026,4,19)</f>
        <v>46131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TEXT(DATE(YEAR(B$2),MONTH(B$2)+(D2-1)+2,1),"Mmm")</f>
        <v>Jun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TEXT(DATE(YEAR(B$2),MONTH(B$2)+(D3-1)+2,1),"Mmm")</f>
        <v>Jun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Jun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Jun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Jun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Jun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Jun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Jun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Jun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Jun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Jun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Jun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Jun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Jun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Jun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Jun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Jun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Jun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Jun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Jun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Jun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Jun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Jun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Jun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Jun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Jun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Jul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Jul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Jul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Jul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Jul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Jul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Jul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Jul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Jul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Jul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Jul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Jul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Jul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Jul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Jul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Jul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Jul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Jul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Jul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Jul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Jul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Jul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Jul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Jul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Jul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Jul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Jul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Jul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Aug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Aug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Aug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Aug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Aug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Aug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Aug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Aug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Aug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Aug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Aug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TEXT(DATE(YEAR(B$2),MONTH(B$2)+(D67-1)+2,1),"Mmm")</f>
        <v>Aug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Aug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Aug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Aug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Aug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Aug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Aug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Aug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Aug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Aug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Aug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Aug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Aug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Aug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Aug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Aug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Aug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Aug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Aug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Aug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Aug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Aug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Aug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Aug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Sep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Sep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Sep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Sep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Sep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Sep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Sep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Sep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Sep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Sep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Sep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Sep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Sep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Sep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Sep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Sep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Sep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Sep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Sep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Sep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Sep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Sep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Sep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Sep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Sep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Sep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Sep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Sep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Oct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Oct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Oct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Oct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Oct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Oct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Oct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Oct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Oct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Oct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Oct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Oct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TEXT(DATE(YEAR(B$2),MONTH(B$2)+(D131-1)+2,1),"Mmm")</f>
        <v>Oct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Oct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Oct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Oct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Oct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Oct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Oct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Oct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Oct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Oct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Oct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Oct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Oct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Oct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Oct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Oct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Nov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Nov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Nov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Nov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Nov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Nov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Nov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Nov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Nov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Nov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Nov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Nov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Nov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Nov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Nov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Nov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Nov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Nov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Nov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Nov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Nov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Nov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Nov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Nov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Nov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Nov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Nov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Nov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Nov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Nov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Nov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Nov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Nov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Nov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Nov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Dec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Dec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Dec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Dec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Dec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Dec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Dec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Dec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Dec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Dec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Dec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Dec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Dec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TEXT(DATE(YEAR(B$2),MONTH(B$2)+(D195-1)+2,1),"Mmm")</f>
        <v>Dec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Dec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Dec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Dec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Dec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Dec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Dec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Dec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Dec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Dec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Dec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Dec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Dec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Dec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Dec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Jan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Jan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Jan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Jan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Jan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Jan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Jan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Jan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Jan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Jan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Jan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Jan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Jan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Jan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Jan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Jan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Jan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Jan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Jan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Jan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Jan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Jan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Jan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Jan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Jan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Jan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Jan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Jan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Feb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Feb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Feb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Feb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Feb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Feb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Feb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Feb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Feb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Feb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Feb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Feb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Feb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Feb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Feb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Feb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Feb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Feb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Feb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Feb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Feb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TEXT(DATE(YEAR(B$2),MONTH(B$2)+(D259-1)+2,1),"Mmm")</f>
        <v>Feb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Feb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Feb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Feb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Feb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Feb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Feb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Feb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Feb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Feb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Feb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Feb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Feb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Feb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Mar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Mar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Mar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Mar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Mar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Mar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Mar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Mar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Mar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Mar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Mar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Mar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Mar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Mar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Mar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Mar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Mar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Mar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Mar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Mar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Mar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Mar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Mar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Mar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Mar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Mar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Mar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Mar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Apr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Apr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Apr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Apr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Apr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Apr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Apr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Apr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Apr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Apr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Apr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Apr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Apr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Apr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Apr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Apr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Apr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Apr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Apr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Apr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Apr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Apr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TEXT(DATE(YEAR(B$2),MONTH(B$2)+(D323-1)+2,1),"Mmm")</f>
        <v>Apr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Apr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Apr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Apr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Apr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Apr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May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May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May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May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May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May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May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May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May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May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May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May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May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May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May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May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May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May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May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May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May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May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May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May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May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May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May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May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May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May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May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May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May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May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May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May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May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May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May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May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May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May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May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May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May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May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May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May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May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May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May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May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May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