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<sst xmlns="http://schemas.openxmlformats.org/spreadsheetml/2006/main" count="182" uniqueCount="45">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</sst>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44561</v>
          </cell>
        </row>
        <row r="8">
          <cell r="B8">
            <v>44592</v>
          </cell>
        </row>
        <row r="10">
          <cell r="B10">
            <v>44620</v>
          </cell>
        </row>
        <row r="12">
          <cell r="B12">
            <v>44651</v>
          </cell>
        </row>
        <row r="14">
          <cell r="B14">
            <v>44681</v>
          </cell>
        </row>
        <row r="16">
          <cell r="B16">
            <v>44712</v>
          </cell>
        </row>
        <row r="18">
          <cell r="B18">
            <v>44742</v>
          </cell>
        </row>
        <row r="20">
          <cell r="B20">
            <v>44773</v>
          </cell>
        </row>
        <row r="22">
          <cell r="B22">
            <v>44804</v>
          </cell>
        </row>
        <row r="24">
          <cell r="B24">
            <v>44834</v>
          </cell>
        </row>
        <row r="26">
          <cell r="B26">
            <v>44865</v>
          </cell>
        </row>
        <row r="28">
          <cell r="B28">
            <v>44895</v>
          </cell>
        </row>
        <row r="30">
          <cell r="B30">
            <v>44926</v>
          </cell>
        </row>
        <row r="32">
          <cell r="B32">
            <v>44957</v>
          </cell>
        </row>
        <row r="34">
          <cell r="B34">
            <v>44985</v>
          </cell>
        </row>
        <row r="36">
          <cell r="B36">
            <v>45016</v>
          </cell>
        </row>
        <row r="38">
          <cell r="B38">
            <v>45046</v>
          </cell>
        </row>
        <row r="40">
          <cell r="B40">
            <v>45077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44620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44681</v>
      </c>
      <c r="H5" s="10"/>
      <c r="I5" s="13"/>
      <c r="K5" s="69">
        <f>Vatinterface!B9</f>
        <v>44712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44712</v>
      </c>
      <c r="H7" s="10"/>
      <c r="I7" s="13"/>
      <c r="K7" s="69">
        <f>Vatinterface!B11</f>
        <v>44773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44985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44620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44773</v>
      </c>
      <c r="H5" s="10"/>
      <c r="I5" s="13"/>
      <c r="K5" s="69">
        <f>Vatinterface!B9</f>
        <v>44712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44804</v>
      </c>
      <c r="H7" s="10"/>
      <c r="I7" s="13"/>
      <c r="K7" s="69">
        <f>Vatinterface!B11</f>
        <v>44773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44985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44620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44865</v>
      </c>
      <c r="H5" s="10"/>
      <c r="I5" s="13"/>
      <c r="K5" s="69">
        <f>Vatinterface!B9</f>
        <v>44712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44895</v>
      </c>
      <c r="H7" s="10"/>
      <c r="I7" s="13"/>
      <c r="K7" s="69">
        <f>Vatinterface!B11</f>
        <v>44773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44985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44620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44957</v>
      </c>
      <c r="H5" s="10"/>
      <c r="I5" s="13"/>
      <c r="K5" s="69">
        <f>Vatinterface!B9</f>
        <v>44712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44985</v>
      </c>
      <c r="H7" s="10"/>
      <c r="I7" s="13"/>
      <c r="K7" s="69">
        <f>Vatinterface!B11</f>
        <v>44773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44985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44620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44651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44681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45046</v>
      </c>
      <c r="H5" s="10"/>
      <c r="I5" s="13"/>
      <c r="K5" s="69">
        <f>Vatinterface!B9</f>
        <v>44712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45077</v>
      </c>
      <c r="H7" s="10"/>
      <c r="I7" s="13"/>
      <c r="K7" s="69">
        <f>Vatinterface!B11</f>
        <v>44773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44804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44895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44957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44985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45016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44561</v>
      </c>
      <c r="C4" s="62">
        <f>B5</f>
        <v>44592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[1]Admin!$B$8</f>
        <v>44592</v>
      </c>
      <c r="C5" s="62">
        <f t="shared" ref="C5:C18" si="0">B6</f>
        <v>44620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[1]Admin!$B$10</f>
        <v>44620</v>
      </c>
      <c r="C6" s="62">
        <f t="shared" si="0"/>
        <v>44651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[1]Admin!$B$12</f>
        <v>44651</v>
      </c>
      <c r="C7" s="62">
        <f t="shared" si="0"/>
        <v>44681</v>
      </c>
      <c r="D7" s="104">
        <f>[2]Mar!$H$1</f>
        <v>0</v>
      </c>
      <c r="E7" s="105">
        <f t="shared" ref="E7:G19" si="3">SUM(D5:D7)</f>
        <v>0</v>
      </c>
      <c r="F7" s="105">
        <f>[2]Mar!$G$1</f>
        <v>0</v>
      </c>
      <c r="G7" s="105">
        <f t="shared" si="3"/>
        <v>0</v>
      </c>
      <c r="H7" s="105">
        <f>[3]Mar!$H$1</f>
        <v>0</v>
      </c>
      <c r="I7" s="105">
        <f t="shared" si="1"/>
        <v>0</v>
      </c>
      <c r="J7" s="105">
        <f>[3]Mar!$G$1</f>
        <v>0</v>
      </c>
      <c r="K7" s="105">
        <f t="shared" si="2"/>
        <v>0</v>
      </c>
      <c r="L7" s="115"/>
      <c r="M7" s="116">
        <f>IF([2]Mar!$G$4&gt;0,[2]Mar!$G$4,0)</f>
        <v>0</v>
      </c>
      <c r="N7" s="57"/>
    </row>
    <row r="8" spans="1:14" x14ac:dyDescent="0.15">
      <c r="A8" s="56"/>
      <c r="B8" s="62">
        <f>[1]Admin!$B$14</f>
        <v>44681</v>
      </c>
      <c r="C8" s="62">
        <f t="shared" si="0"/>
        <v>44712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[1]Admin!$B$16</f>
        <v>44712</v>
      </c>
      <c r="C9" s="62">
        <f t="shared" si="0"/>
        <v>44742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44742</v>
      </c>
      <c r="C10" s="62">
        <f t="shared" si="0"/>
        <v>44773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IF([2]Jun!$G$4&gt;0,[2]Jun!$G$4,0)</f>
        <v>0</v>
      </c>
      <c r="N10" s="57"/>
    </row>
    <row r="11" spans="1:14" x14ac:dyDescent="0.15">
      <c r="A11" s="56"/>
      <c r="B11" s="62">
        <f>[1]Admin!$B$20</f>
        <v>44773</v>
      </c>
      <c r="C11" s="62">
        <f t="shared" si="0"/>
        <v>44804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IF([2]Jul!$G$4&gt;0,[2]Jul!$G$4,0)</f>
        <v>0</v>
      </c>
      <c r="N11" s="57"/>
    </row>
    <row r="12" spans="1:14" x14ac:dyDescent="0.15">
      <c r="A12" s="56"/>
      <c r="B12" s="62">
        <f>[1]Admin!$B$22</f>
        <v>44804</v>
      </c>
      <c r="C12" s="62">
        <f t="shared" si="0"/>
        <v>44834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IF([2]Aug!$G$4&gt;0,[2]Aug!$G$4,0)</f>
        <v>0</v>
      </c>
      <c r="N12" s="57"/>
    </row>
    <row r="13" spans="1:14" x14ac:dyDescent="0.15">
      <c r="A13" s="56"/>
      <c r="B13" s="62">
        <f>[1]Admin!$B$24</f>
        <v>44834</v>
      </c>
      <c r="C13" s="62">
        <f t="shared" si="0"/>
        <v>44865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IF([2]Sep!$G$4&gt;0,[2]Sep!$G$4,0)</f>
        <v>0</v>
      </c>
      <c r="N13" s="57"/>
    </row>
    <row r="14" spans="1:14" x14ac:dyDescent="0.15">
      <c r="A14" s="56"/>
      <c r="B14" s="62">
        <f>[1]Admin!$B$26</f>
        <v>44865</v>
      </c>
      <c r="C14" s="62">
        <f t="shared" si="0"/>
        <v>44895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IF([2]Oct!$G$4&gt;0,[2]Oct!$G$4,0)</f>
        <v>0</v>
      </c>
      <c r="N14" s="57"/>
    </row>
    <row r="15" spans="1:14" x14ac:dyDescent="0.15">
      <c r="A15" s="56"/>
      <c r="B15" s="62">
        <f>[1]Admin!$B$28</f>
        <v>44895</v>
      </c>
      <c r="C15" s="62">
        <f t="shared" si="0"/>
        <v>44926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44926</v>
      </c>
      <c r="C16" s="62">
        <f t="shared" si="0"/>
        <v>44957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IF([2]Dec!$G$4&gt;0,[2]Dec!$G$4,0)</f>
        <v>0</v>
      </c>
      <c r="N16" s="57"/>
    </row>
    <row r="17" spans="1:14" x14ac:dyDescent="0.15">
      <c r="A17" s="56"/>
      <c r="B17" s="62">
        <f>[1]Admin!$B$32</f>
        <v>44957</v>
      </c>
      <c r="C17" s="62">
        <f t="shared" si="0"/>
        <v>44985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[1]Admin!$B$34</f>
        <v>44985</v>
      </c>
      <c r="C18" s="62">
        <f t="shared" si="0"/>
        <v>45016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[1]Admin!$B$36</f>
        <v>45016</v>
      </c>
      <c r="C19" s="62">
        <f>[1]Admin!$B$38</f>
        <v>45046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x14ac:dyDescent="0.15">
      <c r="A20" s="56"/>
      <c r="B20" s="62">
        <f>[1]Admin!$B$38</f>
        <v>45046</v>
      </c>
      <c r="C20" s="63">
        <f>[1]Admin!$B$40</f>
        <v>45077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IF([2]Jan!$G$4&gt;0,[2]Jan!$G$4,0)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