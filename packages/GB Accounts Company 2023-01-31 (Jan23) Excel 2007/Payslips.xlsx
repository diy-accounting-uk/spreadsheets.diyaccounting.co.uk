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<sst xmlns="http://schemas.openxmlformats.org/spreadsheetml/2006/main" count="1383" uniqueCount="138">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</sst>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45021</v>
      </c>
      <c r="P9" s="145"/>
      <c r="Q9" s="140"/>
      <c r="R9" s="141"/>
      <c r="S9" s="141"/>
      <c r="T9" s="80"/>
      <c r="U9" s="345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44717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44743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44769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44795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44657</v>
      </c>
      <c r="L9" s="200" t="s">
        <v>76</v>
      </c>
      <c r="M9" s="202">
        <f>K9+(7-WEEKDAY(K9, 2))</f>
        <v>44661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44662</v>
      </c>
      <c r="L19" s="200" t="s">
        <v>76</v>
      </c>
      <c r="M19" s="202">
        <f>K19+6</f>
        <v>44668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44669</v>
      </c>
      <c r="L29" s="200" t="s">
        <v>76</v>
      </c>
      <c r="M29" s="202">
        <f>K29+6</f>
        <v>44675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44676</v>
      </c>
      <c r="L39" s="200" t="s">
        <v>76</v>
      </c>
      <c r="M39" s="202">
        <f>K39+6</f>
        <v>44682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DATE(2022,2,1)</f>
        <v>44593</v>
      </c>
      <c r="L49" s="203" t="s">
        <v>76</v>
      </c>
      <c r="M49" s="205">
        <f>DATE(2022,2,28)</f>
        <v>44620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44683</v>
      </c>
      <c r="L9" s="203" t="s">
        <v>76</v>
      </c>
      <c r="M9" s="205">
        <f>K9+6</f>
        <v>44689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44690</v>
      </c>
      <c r="L19" s="203" t="s">
        <v>76</v>
      </c>
      <c r="M19" s="205">
        <f>K19+6</f>
        <v>44696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44697</v>
      </c>
      <c r="L29" s="203" t="s">
        <v>76</v>
      </c>
      <c r="M29" s="205">
        <f>K29+6</f>
        <v>44703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44704</v>
      </c>
      <c r="L39" s="203" t="s">
        <v>76</v>
      </c>
      <c r="M39" s="205">
        <f>K39+6</f>
        <v>44710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DATE(2022,3,1)</f>
        <v>44621</v>
      </c>
      <c r="L49" s="203" t="s">
        <v>76</v>
      </c>
      <c r="M49" s="205">
        <f>DATE(2022,3,31)</f>
        <v>44651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44711</v>
      </c>
      <c r="L9" s="203" t="s">
        <v>76</v>
      </c>
      <c r="M9" s="205">
        <f>K9+6</f>
        <v>44717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44718</v>
      </c>
      <c r="L19" s="203" t="s">
        <v>76</v>
      </c>
      <c r="M19" s="205">
        <f>K19+6</f>
        <v>44724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44725</v>
      </c>
      <c r="L29" s="203" t="s">
        <v>76</v>
      </c>
      <c r="M29" s="205">
        <f>K29+6</f>
        <v>44731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44732</v>
      </c>
      <c r="L39" s="203" t="s">
        <v>76</v>
      </c>
      <c r="M39" s="205">
        <f>K39+6</f>
        <v>44738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44739</v>
      </c>
      <c r="L49" s="203" t="s">
        <v>76</v>
      </c>
      <c r="M49" s="205">
        <f>K49+6</f>
        <v>44745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DATE(2022,4,1)</f>
        <v>44652</v>
      </c>
      <c r="L59" s="203" t="s">
        <v>76</v>
      </c>
      <c r="M59" s="205">
        <f>DATE(2022,4,30)</f>
        <v>44681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44746</v>
      </c>
      <c r="L9" s="203" t="s">
        <v>76</v>
      </c>
      <c r="M9" s="205">
        <f>K9+6</f>
        <v>44752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44753</v>
      </c>
      <c r="L19" s="203" t="s">
        <v>76</v>
      </c>
      <c r="M19" s="205">
        <f>K19+6</f>
        <v>44759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44760</v>
      </c>
      <c r="L29" s="203" t="s">
        <v>76</v>
      </c>
      <c r="M29" s="205">
        <f>K29+6</f>
        <v>44766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44767</v>
      </c>
      <c r="L39" s="203" t="s">
        <v>76</v>
      </c>
      <c r="M39" s="205">
        <f>K39+6</f>
        <v>44773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DATE(2022,5,1)</f>
        <v>44682</v>
      </c>
      <c r="L49" s="203" t="s">
        <v>76</v>
      </c>
      <c r="M49" s="205">
        <f>DATE(2022,5,31)</f>
        <v>44712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44774</v>
      </c>
      <c r="L9" s="203" t="s">
        <v>76</v>
      </c>
      <c r="M9" s="205">
        <f>K9+6</f>
        <v>44780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IF(T$9="Y",May!H41,0)</f>
        <v>0</v>
      </c>
      <c r="I12" s="92">
        <f>IF(T$9="Y",May!I41,0)</f>
        <v>0</v>
      </c>
      <c r="J12" s="92">
        <f>IF(T$9="Y",May!J41,0)</f>
        <v>0</v>
      </c>
      <c r="K12" s="92">
        <f>IF(T$9="Y",May!K41,I12*J12)</f>
        <v>0</v>
      </c>
      <c r="L12" s="111">
        <f>IF(T$9="Y",May!L41,0)</f>
        <v>0</v>
      </c>
      <c r="M12" s="111" t="str">
        <f>IF(E12=" "," ",IF(T$9="Y",May!M41,IF((H12+K12+L12)&gt;0,H12+K12+L12,"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IF(T$9="Y",May!H41,0)</f>
        <v>0</v>
      </c>
      <c r="I13" s="92">
        <f>IF(T$9="Y",May!I41,0)</f>
        <v>0</v>
      </c>
      <c r="J13" s="92">
        <f>IF(T$9="Y",May!J41,0)</f>
        <v>0</v>
      </c>
      <c r="K13" s="92">
        <f>IF(T$9="Y",May!K41,I13*J13)</f>
        <v>0</v>
      </c>
      <c r="L13" s="111">
        <f>IF(T$9="Y",May!L41,0)</f>
        <v>0</v>
      </c>
      <c r="M13" s="111" t="str">
        <f>IF(E13=" "," ",IF(T$9="Y",May!M41,IF((H13+K13+L13)&gt;0,H13+K13+L13,"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IF(T$9="Y",May!H41,0)</f>
        <v>0</v>
      </c>
      <c r="I14" s="92">
        <f>IF(T$9="Y",May!I41,0)</f>
        <v>0</v>
      </c>
      <c r="J14" s="92">
        <f>IF(T$9="Y",May!J41,0)</f>
        <v>0</v>
      </c>
      <c r="K14" s="92">
        <f>IF(T$9="Y",May!K41,I14*J14)</f>
        <v>0</v>
      </c>
      <c r="L14" s="111">
        <f>IF(T$9="Y",May!L41,0)</f>
        <v>0</v>
      </c>
      <c r="M14" s="111" t="str">
        <f>IF(E14=" "," ",IF(T$9="Y",May!M41,IF((H14+K14+L14)&gt;0,H14+K14+L14,"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IF(T$9="Y",May!H41,0)</f>
        <v>0</v>
      </c>
      <c r="I15" s="245">
        <f>IF(T$9="Y",May!I41,0)</f>
        <v>0</v>
      </c>
      <c r="J15" s="245">
        <f>IF(T$9="Y",May!J41,0)</f>
        <v>0</v>
      </c>
      <c r="K15" s="245">
        <f>IF(T$9="Y",May!K41,I15*J15)</f>
        <v>0</v>
      </c>
      <c r="L15" s="246">
        <f>IF(T$9="Y",May!L41,0)</f>
        <v>0</v>
      </c>
      <c r="M15" s="246" t="str">
        <f>IF(E15=" "," ",IF(T$9="Y",May!M41,IF((H15+K15+L15)&gt;0,H15+K15+L15,"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44781</v>
      </c>
      <c r="L19" s="203" t="s">
        <v>76</v>
      </c>
      <c r="M19" s="205">
        <f>K19+6</f>
        <v>44787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44788</v>
      </c>
      <c r="L29" s="203" t="s">
        <v>76</v>
      </c>
      <c r="M29" s="205">
        <f>K29+6</f>
        <v>44794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44795</v>
      </c>
      <c r="L39" s="203" t="s">
        <v>76</v>
      </c>
      <c r="M39" s="205">
        <f>K39+6</f>
        <v>44801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DATE(2022,6,1)</f>
        <v>44713</v>
      </c>
      <c r="L49" s="203" t="s">
        <v>76</v>
      </c>
      <c r="M49" s="205">
        <f>DATE(2022,6,30)</f>
        <v>44742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44802</v>
      </c>
      <c r="L9" s="203" t="s">
        <v>76</v>
      </c>
      <c r="M9" s="205">
        <f>K9+6</f>
        <v>44808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44809</v>
      </c>
      <c r="L19" s="203" t="s">
        <v>76</v>
      </c>
      <c r="M19" s="205">
        <f>K19+6</f>
        <v>44815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44816</v>
      </c>
      <c r="L29" s="203" t="s">
        <v>76</v>
      </c>
      <c r="M29" s="205">
        <f>K29+6</f>
        <v>44822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44823</v>
      </c>
      <c r="L39" s="203" t="s">
        <v>76</v>
      </c>
      <c r="M39" s="205">
        <f>K39+6</f>
        <v>44829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44830</v>
      </c>
      <c r="L49" s="203" t="s">
        <v>76</v>
      </c>
      <c r="M49" s="205">
        <f>K49+6</f>
        <v>44836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DATE(2022,7,1)</f>
        <v>44743</v>
      </c>
      <c r="L59" s="203" t="s">
        <v>76</v>
      </c>
      <c r="M59" s="205">
        <f>DATE(2022,7,31)</f>
        <v>44773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44837</v>
      </c>
      <c r="L9" s="203" t="s">
        <v>76</v>
      </c>
      <c r="M9" s="205">
        <f>Admin!B188</f>
        <v>44843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44844</v>
      </c>
      <c r="L19" s="203" t="s">
        <v>76</v>
      </c>
      <c r="M19" s="205">
        <f>K19+6</f>
        <v>44850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44851</v>
      </c>
      <c r="L29" s="203" t="s">
        <v>76</v>
      </c>
      <c r="M29" s="205">
        <f>K29+6</f>
        <v>44857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44858</v>
      </c>
      <c r="L39" s="203" t="s">
        <v>76</v>
      </c>
      <c r="M39" s="205">
        <f>K39+6</f>
        <v>44864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DATE(2022,8,1)</f>
        <v>44774</v>
      </c>
      <c r="L49" s="203" t="s">
        <v>76</v>
      </c>
      <c r="M49" s="205">
        <f>DATE(2022,8,31)</f>
        <v>44804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44865</v>
      </c>
      <c r="L9" s="203" t="s">
        <v>76</v>
      </c>
      <c r="M9" s="205">
        <f>K9+6</f>
        <v>44871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44872</v>
      </c>
      <c r="L19" s="203" t="s">
        <v>76</v>
      </c>
      <c r="M19" s="205">
        <f>K19+6</f>
        <v>44878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44879</v>
      </c>
      <c r="L29" s="203" t="s">
        <v>76</v>
      </c>
      <c r="M29" s="205">
        <f>K29+6</f>
        <v>44885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44886</v>
      </c>
      <c r="L39" s="203" t="s">
        <v>76</v>
      </c>
      <c r="M39" s="205">
        <f>K39+6</f>
        <v>44892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DATE(2022,9,1)</f>
        <v>44805</v>
      </c>
      <c r="L49" s="203" t="s">
        <v>76</v>
      </c>
      <c r="M49" s="205">
        <f>DATE(2022,9,30)</f>
        <v>44834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44893</v>
      </c>
      <c r="L9" s="203" t="s">
        <v>76</v>
      </c>
      <c r="M9" s="205">
        <f>K9+6</f>
        <v>44899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44900</v>
      </c>
      <c r="L19" s="203" t="s">
        <v>76</v>
      </c>
      <c r="M19" s="205">
        <f>K19+6</f>
        <v>44906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44907</v>
      </c>
      <c r="L29" s="203" t="s">
        <v>76</v>
      </c>
      <c r="M29" s="205">
        <f>K29+6</f>
        <v>44913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44914</v>
      </c>
      <c r="L39" s="203" t="s">
        <v>76</v>
      </c>
      <c r="M39" s="205">
        <f>K39+6</f>
        <v>44920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44921</v>
      </c>
      <c r="L49" s="203" t="s">
        <v>76</v>
      </c>
      <c r="M49" s="205">
        <f>K49+6</f>
        <v>44927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DATE(2022,10,1)</f>
        <v>44835</v>
      </c>
      <c r="L59" s="203" t="s">
        <v>76</v>
      </c>
      <c r="M59" s="205">
        <f>DATE(2022,10,31)</f>
        <v>44865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44928</v>
      </c>
      <c r="L9" s="203" t="s">
        <v>76</v>
      </c>
      <c r="M9" s="205">
        <f>K9+6</f>
        <v>44934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44935</v>
      </c>
      <c r="L19" s="203" t="s">
        <v>76</v>
      </c>
      <c r="M19" s="205">
        <f>K19+6</f>
        <v>44941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44942</v>
      </c>
      <c r="L29" s="203" t="s">
        <v>76</v>
      </c>
      <c r="M29" s="205">
        <f>K29+6</f>
        <v>44948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44949</v>
      </c>
      <c r="L39" s="203" t="s">
        <v>76</v>
      </c>
      <c r="M39" s="205">
        <f>K39+6</f>
        <v>44955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DATE(2022,11,1)</f>
        <v>44866</v>
      </c>
      <c r="L49" s="203" t="s">
        <v>76</v>
      </c>
      <c r="M49" s="205">
        <f>DATE(2022,11,30)</f>
        <v>44895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44956</v>
      </c>
      <c r="L9" s="203" t="s">
        <v>76</v>
      </c>
      <c r="M9" s="205">
        <f>K9+6</f>
        <v>44962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44963</v>
      </c>
      <c r="L19" s="203" t="s">
        <v>76</v>
      </c>
      <c r="M19" s="205">
        <f>K19+6</f>
        <v>44969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44970</v>
      </c>
      <c r="L29" s="203" t="s">
        <v>76</v>
      </c>
      <c r="M29" s="205">
        <f>K29+6</f>
        <v>44976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44977</v>
      </c>
      <c r="L39" s="203" t="s">
        <v>76</v>
      </c>
      <c r="M39" s="205">
        <f>K39+6</f>
        <v>44983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DATE(2022,12,1)</f>
        <v>44896</v>
      </c>
      <c r="L49" s="203" t="s">
        <v>76</v>
      </c>
      <c r="M49" s="205">
        <f>DATE(2022,12,31)</f>
        <v>44926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44984</v>
      </c>
      <c r="L9" s="203" t="s">
        <v>76</v>
      </c>
      <c r="M9" s="205">
        <f>K9+6</f>
        <v>44990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44991</v>
      </c>
      <c r="L19" s="203" t="s">
        <v>76</v>
      </c>
      <c r="M19" s="205">
        <f>K19+6</f>
        <v>44997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44998</v>
      </c>
      <c r="L29" s="203" t="s">
        <v>76</v>
      </c>
      <c r="M29" s="205">
        <f>K29+6</f>
        <v>45004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45005</v>
      </c>
      <c r="L39" s="203" t="s">
        <v>76</v>
      </c>
      <c r="M39" s="205">
        <f>K39+6</f>
        <v>45011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45012</v>
      </c>
      <c r="L49" s="203" t="s">
        <v>76</v>
      </c>
      <c r="M49" s="205">
        <f>K49+6</f>
        <v>45018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45019</v>
      </c>
      <c r="L59" s="203" t="s">
        <v>76</v>
      </c>
      <c r="M59" s="205">
        <f>K59+4</f>
        <v>45023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DATE(2023,1,1)</f>
        <v>44927</v>
      </c>
      <c r="L69" s="203" t="s">
        <v>76</v>
      </c>
      <c r="M69" s="205">
        <f>DATE(2023,1,31)</f>
        <v>44957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Feb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44661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44661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44661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44661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44661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DATE(2022,4,30)</f>
        <v>44681</v>
      </c>
      <c r="C4" s="229">
        <f>DATE(2022,5,19)</f>
        <v>44700</v>
      </c>
      <c r="D4" s="227">
        <f>Apr!T1+Apr!O1</f>
        <v>0</v>
      </c>
      <c r="E4" s="228">
        <f>Apr!N1</f>
        <v>0</v>
      </c>
      <c r="F4" s="228">
        <f>Apr!AD70+Apr!AE70+Apr!AF70+Apr!AG70</f>
        <v>0</v>
      </c>
      <c r="G4" s="228">
        <f>Apr!AE72+Apr!AF72+Apr!AG72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2301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DATE(2022,5,31)</f>
        <v>44712</v>
      </c>
      <c r="C5" s="229">
        <f>DATE(2022,6,19)</f>
        <v>44731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2302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DATE(2022,6,30)</f>
        <v>44742</v>
      </c>
      <c r="C6" s="229">
        <f>DATE(2022,7,19)</f>
        <v>44761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2303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DATE(2022,7,31)</f>
        <v>44773</v>
      </c>
      <c r="C7" s="229">
        <f>DATE(2022,8,19)</f>
        <v>44792</v>
      </c>
      <c r="D7" s="227">
        <f>Jul!T1+Jul!O1</f>
        <v>0</v>
      </c>
      <c r="E7" s="228">
        <f>Jul!N1</f>
        <v>0</v>
      </c>
      <c r="F7" s="228">
        <f>Jul!AD70+Jul!AE70+Jul!AF70+Jul!AG70</f>
        <v>0</v>
      </c>
      <c r="G7" s="228">
        <f>Jul!AE72+Jul!AF72+Jul!AG72</f>
        <v>0</v>
      </c>
      <c r="H7" s="228">
        <f>Jul!P1</f>
        <v>0</v>
      </c>
      <c r="I7" s="227">
        <f t="shared" si="0"/>
        <v>0</v>
      </c>
      <c r="M7" s="212">
        <f t="shared" si="2"/>
        <v>2304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DATE(2022,8,31)</f>
        <v>44804</v>
      </c>
      <c r="C8" s="229">
        <f>DATE(2022,9,19)</f>
        <v>44823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2305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DATE(2022,9,30)</f>
        <v>44834</v>
      </c>
      <c r="C9" s="229">
        <f>DATE(2022,10,19)</f>
        <v>44853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2306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DATE(2022,10,31)</f>
        <v>44865</v>
      </c>
      <c r="C10" s="229">
        <f>DATE(2022,11,19)</f>
        <v>44884</v>
      </c>
      <c r="D10" s="227">
        <f>Oct!T1+Oct!O1</f>
        <v>0</v>
      </c>
      <c r="E10" s="228">
        <f>Oct!N1</f>
        <v>0</v>
      </c>
      <c r="F10" s="228">
        <f>Oct!AD70+Oct!AE70+Oct!AF70+Oct!AG70</f>
        <v>0</v>
      </c>
      <c r="G10" s="228">
        <f>Oct!AE72+Oct!AF72+Oct!AG72</f>
        <v>0</v>
      </c>
      <c r="H10" s="228">
        <f>Oct!P1</f>
        <v>0</v>
      </c>
      <c r="I10" s="227">
        <f t="shared" si="0"/>
        <v>0</v>
      </c>
      <c r="M10" s="212">
        <f t="shared" si="2"/>
        <v>2307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DATE(2022,11,30)</f>
        <v>44895</v>
      </c>
      <c r="C11" s="229">
        <f>DATE(2022,12,19)</f>
        <v>44914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2308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DATE(2022,12,31)</f>
        <v>44926</v>
      </c>
      <c r="C12" s="229">
        <f>DATE(2023,1,19)</f>
        <v>44945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2309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DATE(2023,1,31)</f>
        <v>44957</v>
      </c>
      <c r="C13" s="229">
        <f>DATE(2023,2,19)</f>
        <v>44976</v>
      </c>
      <c r="D13" s="227">
        <f>Jan!T1+Jan!O1</f>
        <v>0</v>
      </c>
      <c r="E13" s="228">
        <f>Jan!N1</f>
        <v>0</v>
      </c>
      <c r="F13" s="228">
        <f>Jan!AD80+Jan!AE80+Jan!AF80+Jan!AG80</f>
        <v>0</v>
      </c>
      <c r="G13" s="228">
        <f>Jan!AE82+Jan!AF82+Jan!AG82</f>
        <v>0</v>
      </c>
      <c r="H13" s="228">
        <f>Jan!P1</f>
        <v>0</v>
      </c>
      <c r="I13" s="227">
        <f t="shared" si="0"/>
        <v>0</v>
      </c>
      <c r="M13" s="212">
        <f t="shared" si="2"/>
        <v>2310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DATE(2023,2,28)</f>
        <v>44985</v>
      </c>
      <c r="C14" s="229">
        <f>DATE(2023,3,19)</f>
        <v>45004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2311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DATE(2023,3,31)</f>
        <v>45016</v>
      </c>
      <c r="C15" s="229">
        <f>DATE(2023,4,19)</f>
        <v>45035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2312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TEXT(DATE(YEAR(B$2),MONTH(B$2)+(D2-1)+10,1),"Mmm")</f>
        <v>Feb</v>
      </c>
      <c r="B2" s="308">
        <v>44657</v>
      </c>
      <c r="C2" s="309">
        <v>1</v>
      </c>
      <c r="D2" s="309">
        <v>1</v>
      </c>
      <c r="E2" s="310">
        <f>B2</f>
        <v>44657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TEXT(DATE(YEAR(B$2),MONTH(B$2)+(D3-1)+10,1),"Mmm")</f>
        <v>Feb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Feb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Feb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Feb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Feb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Feb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Feb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Feb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Feb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Feb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Feb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Feb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Feb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Feb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Feb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Feb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Feb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Feb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Feb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Feb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Feb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Feb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Feb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Feb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Feb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Mar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Mar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Mar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Mar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Mar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Mar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Mar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Mar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Mar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Mar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Mar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Mar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Mar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Mar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Mar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Mar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Mar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Mar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Mar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Mar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Mar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Mar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Mar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Mar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Mar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Mar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Mar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Mar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Apr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Apr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Apr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Apr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Apr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Apr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Apr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Apr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Apr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Apr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Apr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TEXT(DATE(YEAR(B$2),MONTH(B$2)+(D67-1)+10,1),"Mmm")</f>
        <v>Apr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Apr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Apr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Apr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Apr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Apr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Apr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Apr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Apr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Apr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Apr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Apr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Apr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Apr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Apr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Apr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Apr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Apr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Apr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Apr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Apr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Apr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Apr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Apr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May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May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May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May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May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May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May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May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May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May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May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May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May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May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May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May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May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May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May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May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May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May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May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May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May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May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May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May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Jun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Jun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Jun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Jun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Jun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Jun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Jun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Jun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Jun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Jun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Jun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Jun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TEXT(DATE(YEAR(B$2),MONTH(B$2)+(D131-1)+10,1),"Mmm")</f>
        <v>Jun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Jun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Jun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Jun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Jun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Jun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Jun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Jun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Jun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Jun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Jun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Jun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Jun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Jun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Jun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Jun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Jul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Jul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Jul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Jul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Jul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Jul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Jul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Jul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Jul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Jul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Jul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Jul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Jul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Jul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Jul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Jul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Jul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Jul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Jul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Jul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Jul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Jul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Jul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Jul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Jul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Jul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Jul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Jul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Jul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Jul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Jul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Jul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Jul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Jul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Jul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Aug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Aug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Aug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Aug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Aug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Aug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Aug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Aug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Aug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Aug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Aug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Aug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Aug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TEXT(DATE(YEAR(B$2),MONTH(B$2)+(D195-1)+10,1),"Mmm")</f>
        <v>Aug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Aug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Aug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Aug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Aug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Aug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Aug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Aug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Aug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Aug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Aug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Aug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Aug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Aug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Aug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Sep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Sep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Sep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Sep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Sep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Sep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Sep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Sep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Sep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Sep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Sep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Sep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Sep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Sep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Sep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Sep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Sep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Sep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Sep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Sep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Sep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Sep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Sep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Sep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Sep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Sep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Sep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Sep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Oct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Oct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Oct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Oct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Oct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Oct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Oct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Oct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Oct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Oct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Oct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Oct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Oct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Oct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Oct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Oct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Oct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Oct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Oct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Oct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Oct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TEXT(DATE(YEAR(B$2),MONTH(B$2)+(D259-1)+10,1),"Mmm")</f>
        <v>Oct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Oct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Oct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Oct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Oct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Oct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Oct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Oct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Oct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Oct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Oct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Oct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Oct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Oct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Nov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Nov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Nov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Nov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Nov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Nov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Nov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Nov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Nov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Nov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Nov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Nov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Nov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Nov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Nov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Nov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Nov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Nov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Nov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Nov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Nov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Nov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Nov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Nov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Nov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Nov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Nov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Nov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Dec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Dec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Dec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Dec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Dec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Dec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Dec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Dec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Dec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Dec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Dec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Dec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Dec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Dec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Dec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Dec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Dec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Dec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Dec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Dec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Dec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Dec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TEXT(DATE(YEAR(B$2),MONTH(B$2)+(D323-1)+10,1),"Mmm")</f>
        <v>Dec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Dec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Dec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Dec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Dec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Dec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Jan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Jan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Jan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Jan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Jan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Jan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Jan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Jan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Jan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Jan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Jan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Jan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Jan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Jan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Jan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Jan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Jan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Jan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Jan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Jan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Jan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Jan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Jan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Jan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Jan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Jan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Jan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Jan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Jan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Jan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Jan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Jan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Jan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Jan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Jan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Jan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Jan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Jan</v>
      </c>
      <c r="B366" s="308">
        <f t="shared" si="11"/>
        <v>45021</v>
      </c>
      <c r="C366" s="309">
        <v>53</v>
      </c>
      <c r="D366" s="309">
        <v>12</v>
      </c>
      <c r="E366" s="310">
        <f>B366</f>
        <v>45021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Jan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Jan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Jan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Jan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Jan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Jan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Jan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Jan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Jan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Jan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Jan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Jan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Jan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Jan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Jan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