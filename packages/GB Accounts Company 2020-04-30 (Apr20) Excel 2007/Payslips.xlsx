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May" sheetId="12" r:id="rId2"/>
    <sheet name="Jun" sheetId="11" r:id="rId3"/>
    <sheet name="Jul" sheetId="10" r:id="rId4"/>
    <sheet name="Aug" sheetId="9" r:id="rId5"/>
    <sheet name="Sep" sheetId="8" r:id="rId6"/>
    <sheet name="Oct" sheetId="17" r:id="rId7"/>
    <sheet name="Nov" sheetId="16" r:id="rId8"/>
    <sheet name="Dec" sheetId="15" r:id="rId9"/>
    <sheet name="Jan" sheetId="14" r:id="rId10"/>
    <sheet name="Feb" sheetId="13" r:id="rId11"/>
    <sheet name="Mar" sheetId="19" r:id="rId12"/>
    <sheet name="Ap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<sst xmlns="http://schemas.openxmlformats.org/spreadsheetml/2006/main" count="1383" uniqueCount="138">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</sst>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May!M39+1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Jun!M39+1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89">
        <f>IF(T$9="Y",Jul!L41,0)</f>
        <v>0</v>
      </c>
      <c r="M11" s="99" t="str">
        <f>IF(E11=" "," ",IF(T$9="Y",Jul!M41,IF((H11+K11+L11)&gt;0,H11+K11+L11,"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92">
        <f>IF(T$9="Y",Jul!L42,0)</f>
        <v>0</v>
      </c>
      <c r="M12" s="100" t="str">
        <f>IF(E12=" "," ",IF(T$9="Y",Jul!M42,IF((H12+K12+L12)&gt;0,H12+K12+L12,"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92">
        <f>IF(T$9="Y",Jul!L43,0)</f>
        <v>0</v>
      </c>
      <c r="M13" s="100" t="str">
        <f>IF(E13=" "," ",IF(T$9="Y",Jul!M43,IF((H13+K13+L13)&gt;0,H13+K13+L13,"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92">
        <f>IF(T$9="Y",Jul!L44,0)</f>
        <v>0</v>
      </c>
      <c r="M14" s="100" t="str">
        <f>IF(E14=" "," ",IF(T$9="Y",Jul!M44,IF((H14+K14+L14)&gt;0,H14+K14+L14,"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5">
        <f>IF(T$9="Y",Jul!L45,0)</f>
        <v>0</v>
      </c>
      <c r="M15" s="247" t="str">
        <f>IF(E15=" "," ",IF(T$9="Y",Jul!M45,IF((H15+K15+L15)&gt;0,H15+K15+L15,"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IF(T$9="Y",Aug!#REF!,0)</f>
        <v>0</v>
      </c>
      <c r="I11" s="89">
        <f>IF(T$9="Y",Aug!#REF!,0)</f>
        <v>0</v>
      </c>
      <c r="J11" s="89">
        <f>IF(T$9="Y",Aug!#REF!,0)</f>
        <v>0</v>
      </c>
      <c r="K11" s="89">
        <v>0</v>
      </c>
      <c r="L11" s="110">
        <f>IF(T$9="Y",Aug!#REF!,0)</f>
        <v>0</v>
      </c>
      <c r="M11" s="110" t="str">
        <f>IF(E11=" "," ",IF(T$9="Y",Aug!#REF!,IF((H11+K11+L11)&gt;0,H11+K11+L11,"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IF(T$9="Y",Aug!#REF!,0)</f>
        <v>0</v>
      </c>
      <c r="I12" s="92">
        <f>IF(T$9="Y",Aug!#REF!,0)</f>
        <v>0</v>
      </c>
      <c r="J12" s="92">
        <f>IF(T$9="Y",Aug!#REF!,0)</f>
        <v>0</v>
      </c>
      <c r="K12" s="92">
        <f>IF(T$9="Y",Aug!#REF!,I12*J12)</f>
        <v>0</v>
      </c>
      <c r="L12" s="111">
        <f>IF(T$9="Y",Aug!#REF!,0)</f>
        <v>0</v>
      </c>
      <c r="M12" s="111" t="str">
        <f>IF(E12=" "," ",IF(T$9="Y",Aug!#REF!,IF((H12+K12+L12)&gt;0,H12+K12+L12,"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IF(T$9="Y",Aug!#REF!,0)</f>
        <v>0</v>
      </c>
      <c r="I13" s="92">
        <f>IF(T$9="Y",Aug!#REF!,0)</f>
        <v>0</v>
      </c>
      <c r="J13" s="92">
        <f>IF(T$9="Y",Aug!#REF!,0)</f>
        <v>0</v>
      </c>
      <c r="K13" s="92">
        <f>IF(T$9="Y",Aug!#REF!,I13*J13)</f>
        <v>0</v>
      </c>
      <c r="L13" s="111">
        <f>IF(T$9="Y",Aug!#REF!,0)</f>
        <v>0</v>
      </c>
      <c r="M13" s="111" t="str">
        <f>IF(E13=" "," ",IF(T$9="Y",Aug!#REF!,IF((H13+K13+L13)&gt;0,H13+K13+L13,"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IF(T$9="Y",Aug!#REF!,0)</f>
        <v>0</v>
      </c>
      <c r="I14" s="92">
        <f>IF(T$9="Y",Aug!#REF!,0)</f>
        <v>0</v>
      </c>
      <c r="J14" s="92">
        <f>IF(T$9="Y",Aug!#REF!,0)</f>
        <v>0</v>
      </c>
      <c r="K14" s="92">
        <f>IF(T$9="Y",Aug!#REF!,I14*J14)</f>
        <v>0</v>
      </c>
      <c r="L14" s="111">
        <f>IF(T$9="Y",Aug!#REF!,0)</f>
        <v>0</v>
      </c>
      <c r="M14" s="111" t="str">
        <f>IF(E14=" "," ",IF(T$9="Y",Aug!#REF!,IF((H14+K14+L14)&gt;0,H14+K14+L14,"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IF(T$9="Y",Aug!#REF!,0)</f>
        <v>0</v>
      </c>
      <c r="I15" s="245">
        <f>IF(T$9="Y",Aug!#REF!,0)</f>
        <v>0</v>
      </c>
      <c r="J15" s="245">
        <f>IF(T$9="Y",Aug!#REF!,0)</f>
        <v>0</v>
      </c>
      <c r="K15" s="245">
        <f>IF(T$9="Y",Aug!#REF!,I15*J15)</f>
        <v>0</v>
      </c>
      <c r="L15" s="246">
        <f>IF(T$9="Y",Aug!#REF!,0)</f>
        <v>0</v>
      </c>
      <c r="M15" s="246" t="str">
        <f>IF(E15=" "," ",IF(T$9="Y",Aug!#REF!,IF((H15+K15+L15)&gt;0,H15+K15+L15,"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89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92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92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92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IF(T$49="Y",Aug!H55,0)</f>
        <v>0</v>
      </c>
      <c r="I55" s="92">
        <f>IF(T$49="Y",Aug!I55,0)</f>
        <v>0</v>
      </c>
      <c r="J55" s="92">
        <f>IF(T$49="Y",Aug!J55,0)</f>
        <v>0</v>
      </c>
      <c r="K55" s="92">
        <f>IF(T$49="Y",Aug!K55,I55*J55)</f>
        <v>0</v>
      </c>
      <c r="L55" s="92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Sep!M39+1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IF(T$9="Y",Oct!H51,0)</f>
        <v>0</v>
      </c>
      <c r="I11" s="89">
        <f>IF(T$9="Y",Oct!I51,0)</f>
        <v>0</v>
      </c>
      <c r="J11" s="89">
        <f>IF(T$9="Y",Oct!J51,0)</f>
        <v>0</v>
      </c>
      <c r="K11" s="89">
        <f>IF(T$9="Y",Oct!K51,I11*J11)</f>
        <v>0</v>
      </c>
      <c r="L11" s="110">
        <f>IF(T$9="Y",Oct!L51,0)</f>
        <v>0</v>
      </c>
      <c r="M11" s="99" t="str">
        <f>IF(E11=" "," ",IF(T$9="Y",Oct!M51,IF((H11+K11+L11)&gt;0,H11+K11+L11,"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IF(T$9="Y",Oct!H52,0)</f>
        <v>0</v>
      </c>
      <c r="I12" s="92">
        <f>IF(T$9="Y",Oct!I52,0)</f>
        <v>0</v>
      </c>
      <c r="J12" s="92">
        <f>IF(T$9="Y",Oct!J52,0)</f>
        <v>0</v>
      </c>
      <c r="K12" s="92">
        <f>IF(T$9="Y",Oct!K52,I12*J12)</f>
        <v>0</v>
      </c>
      <c r="L12" s="111">
        <f>IF(T$9="Y",Oct!L52,0)</f>
        <v>0</v>
      </c>
      <c r="M12" s="100" t="str">
        <f>IF(E12=" "," ",IF(T$9="Y",Oct!M52,IF((H12+K12+L12)&gt;0,H12+K12+L12,"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IF(T$9="Y",Oct!H53,0)</f>
        <v>0</v>
      </c>
      <c r="I13" s="92">
        <f>IF(T$9="Y",Oct!I53,0)</f>
        <v>0</v>
      </c>
      <c r="J13" s="92">
        <f>IF(T$9="Y",Oct!J53,0)</f>
        <v>0</v>
      </c>
      <c r="K13" s="92">
        <f>IF(T$9="Y",Oct!K53,I13*J13)</f>
        <v>0</v>
      </c>
      <c r="L13" s="111">
        <f>IF(T$9="Y",Oct!L53,0)</f>
        <v>0</v>
      </c>
      <c r="M13" s="100" t="str">
        <f>IF(E13=" "," ",IF(T$9="Y",Oct!M53,IF((H13+K13+L13)&gt;0,H13+K13+L13,"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IF(T$9="Y",Oct!H54,0)</f>
        <v>0</v>
      </c>
      <c r="I14" s="92">
        <f>IF(T$9="Y",Oct!I54,0)</f>
        <v>0</v>
      </c>
      <c r="J14" s="92">
        <f>IF(T$9="Y",Oct!J54,0)</f>
        <v>0</v>
      </c>
      <c r="K14" s="92">
        <f>IF(T$9="Y",Oct!K54,I14*J14)</f>
        <v>0</v>
      </c>
      <c r="L14" s="111">
        <f>IF(T$9="Y",Oct!L54,0)</f>
        <v>0</v>
      </c>
      <c r="M14" s="100" t="str">
        <f>IF(E14=" "," ",IF(T$9="Y",Oct!M54,IF((H14+K14+L14)&gt;0,H14+K14+L14,"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IF(T$9="Y",Oct!H55,0)</f>
        <v>0</v>
      </c>
      <c r="I15" s="245">
        <f>IF(T$9="Y",Oct!I55,0)</f>
        <v>0</v>
      </c>
      <c r="J15" s="245">
        <f>IF(T$9="Y",Oct!J55,0)</f>
        <v>0</v>
      </c>
      <c r="K15" s="245">
        <f>IF(T$9="Y",Oct!K55,I15*J15)</f>
        <v>0</v>
      </c>
      <c r="L15" s="246">
        <f>IF(T$9="Y",Oct!L55,0)</f>
        <v>0</v>
      </c>
      <c r="M15" s="247" t="str">
        <f>IF(E15=" "," ",IF(T$9="Y",Oct!M55,IF((H15+K15+L15)&gt;0,H15+K15+L15,"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99" t="str">
        <f>IF(E11=" "," ",IF(T$9="Y",Nov!M41,IF((H11+K11+L11)&gt;0,H11+K11+L11,"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00" t="str">
        <f>IF(E12=" "," ",IF(T$9="Y",Nov!M42,IF((H12+K12+L12)&gt;0,H12+K12+L12,"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00" t="str">
        <f>IF(E13=" "," ",IF(T$9="Y",Nov!M43,IF((H13+K13+L13)&gt;0,H13+K13+L13,"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00" t="str">
        <f>IF(E14=" "," ",IF(T$9="Y",Nov!M44,IF((H14+K14+L14)&gt;0,H14+K14+L14,"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247" t="str">
        <f>IF(E15=" "," ",IF(T$9="Y",Nov!M45,IF((H15+K15+L15)&gt;0,H15+K15+L15,"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Dec!M39+1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Jan!M49+1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IF(T$9="Y",Jan!H51,0)</f>
        <v>0</v>
      </c>
      <c r="I11" s="89">
        <f>IF(T$9="Y",Jan!I51,0)</f>
        <v>0</v>
      </c>
      <c r="J11" s="89">
        <f>IF(T$9="Y",Jan!J51,0)</f>
        <v>0</v>
      </c>
      <c r="K11" s="89">
        <f>IF(T$9="Y",Jan!K51,I11*J11)</f>
        <v>0</v>
      </c>
      <c r="L11" s="110">
        <f>IF(T$9="Y",Jan!L51,0)</f>
        <v>0</v>
      </c>
      <c r="M11" s="110" t="str">
        <f>IF(E11=" "," ",IF(T$9="Y",Jan!M51,IF((H11+K11+L11)&gt;0,H11+K11+L11,"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IF(T$9="Y",Jan!H52,0)</f>
        <v>0</v>
      </c>
      <c r="I12" s="92">
        <f>IF(T$9="Y",Jan!I52,0)</f>
        <v>0</v>
      </c>
      <c r="J12" s="92">
        <f>IF(T$9="Y",Jan!J52,0)</f>
        <v>0</v>
      </c>
      <c r="K12" s="92">
        <f>IF(T$9="Y",Jan!K52,I12*J12)</f>
        <v>0</v>
      </c>
      <c r="L12" s="111">
        <f>IF(T$9="Y",Jan!L52,0)</f>
        <v>0</v>
      </c>
      <c r="M12" s="111" t="str">
        <f>IF(E12=" "," ",IF(T$9="Y",Jan!M52,IF((H12+K12+L12)&gt;0,H12+K12+L12,"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IF(T$9="Y",Jan!H53,0)</f>
        <v>0</v>
      </c>
      <c r="I13" s="92">
        <f>IF(T$9="Y",Jan!I53,0)</f>
        <v>0</v>
      </c>
      <c r="J13" s="92">
        <f>IF(T$9="Y",Jan!J53,0)</f>
        <v>0</v>
      </c>
      <c r="K13" s="92">
        <f>IF(T$9="Y",Jan!K53,I13*J13)</f>
        <v>0</v>
      </c>
      <c r="L13" s="111">
        <f>IF(T$9="Y",Jan!L53,0)</f>
        <v>0</v>
      </c>
      <c r="M13" s="111" t="str">
        <f>IF(E13=" "," ",IF(T$9="Y",Jan!M53,IF((H13+K13+L13)&gt;0,H13+K13+L13,"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IF(T$9="Y",Jan!H54,0)</f>
        <v>0</v>
      </c>
      <c r="I14" s="92">
        <f>IF(T$9="Y",Jan!I54,0)</f>
        <v>0</v>
      </c>
      <c r="J14" s="92">
        <f>IF(T$9="Y",Jan!J54,0)</f>
        <v>0</v>
      </c>
      <c r="K14" s="92">
        <f>IF(T$9="Y",Jan!K54,I14*J14)</f>
        <v>0</v>
      </c>
      <c r="L14" s="111">
        <f>IF(T$9="Y",Jan!L54,0)</f>
        <v>0</v>
      </c>
      <c r="M14" s="111" t="str">
        <f>IF(E14=" "," ",IF(T$9="Y",Jan!M54,IF((H14+K14+L14)&gt;0,H14+K14+L14,"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IF(T$9="Y",Jan!H55,0)</f>
        <v>0</v>
      </c>
      <c r="I15" s="245">
        <f>IF(T$9="Y",Jan!I55,0)</f>
        <v>0</v>
      </c>
      <c r="J15" s="245">
        <f>IF(T$9="Y",Jan!J55,0)</f>
        <v>0</v>
      </c>
      <c r="K15" s="245">
        <f>IF(T$9="Y",Jan!K55,I15*J15)</f>
        <v>0</v>
      </c>
      <c r="L15" s="246">
        <f>IF(T$9="Y",Jan!L55,0)</f>
        <v>0</v>
      </c>
      <c r="M15" s="111" t="str">
        <f>IF(E15=" "," ",IF(T$9="Y",Jan!M55,IF((H15+K15+L15)&gt;0,H15+K15+L15,"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Feb!M39+1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IF(T$19="Y",Feb!L45,0)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Mar!M39+1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IF(T$69="Y",Mar!H51,0)</f>
        <v>0</v>
      </c>
      <c r="I71" s="89">
        <f>IF(T$69="Y",Mar!I51,0)</f>
        <v>0</v>
      </c>
      <c r="J71" s="89">
        <f>IF(T$69="Y",Mar!J51,0)</f>
        <v>0</v>
      </c>
      <c r="K71" s="89">
        <f>IF(T$69="Y",Mar!K51,I71*J71)</f>
        <v>0</v>
      </c>
      <c r="L71" s="110">
        <f>IF(T$69="Y",Mar!L51,0)</f>
        <v>0</v>
      </c>
      <c r="M71" s="99" t="str">
        <f>IF(E71=" "," ",IF(T$69="Y",Mar!M51,IF((H71+K71+L71)&gt;0,H71+K71+L71,"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IF(Employee!H$35=E$69,Employee!D$34+SUM(M71)+Mar!V51,SUM(M71)+Mar!V51)</f>
        <v>0</v>
      </c>
      <c r="W71" s="49">
        <f>IF(Employee!H$35=E$69,Employee!D$35+SUM(N71)+Mar!W51,SUM(N71)+Mar!W51)</f>
        <v>0</v>
      </c>
      <c r="X71" s="49">
        <f>IF(O71=" ",Mar!X51,O71+Mar!X51)</f>
        <v>0</v>
      </c>
      <c r="Y71" s="49">
        <f>IF(P71=" ",Mar!Y51,P71+Mar!Y51)</f>
        <v>0</v>
      </c>
      <c r="Z71" s="49">
        <f>IF(Q71=" ",Mar!Z51,Q71+Mar!Z51)</f>
        <v>0</v>
      </c>
      <c r="AA71" s="49">
        <f>IF(R71=" ",Mar!AA51,R71+Mar!AA51)</f>
        <v>0</v>
      </c>
      <c r="AC71" s="49">
        <f>IF(T71=" ",Mar!AC51,T71+Mar!AC51)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IF(T$69="Y",Mar!H52,0)</f>
        <v>0</v>
      </c>
      <c r="I72" s="92">
        <f>IF(T$69="Y",Mar!I52,0)</f>
        <v>0</v>
      </c>
      <c r="J72" s="92">
        <f>IF(T$69="Y",Mar!J52,0)</f>
        <v>0</v>
      </c>
      <c r="K72" s="92">
        <f>IF(T$69="Y",Mar!K52,I72*J72)</f>
        <v>0</v>
      </c>
      <c r="L72" s="111">
        <f>IF(T$69="Y",Mar!L52,0)</f>
        <v>0</v>
      </c>
      <c r="M72" s="100" t="str">
        <f>IF(E72=" "," ",IF(T$69="Y",Mar!M52,IF((H72+K72+L72)&gt;0,H72+K72+L72,"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IF(Employee!H$61=E$69,Employee!D$60+SUM(M72)+Mar!V52,SUM(M72)+Mar!V52)</f>
        <v>0</v>
      </c>
      <c r="W72" s="49">
        <f>IF(Employee!H$61=E$69,Employee!D$61+SUM(N72)+Mar!W52,SUM(N72)+Mar!W52)</f>
        <v>0</v>
      </c>
      <c r="X72" s="49">
        <f>IF(O72=" ",Mar!X52,O72+Mar!X52)</f>
        <v>0</v>
      </c>
      <c r="Y72" s="49">
        <f>IF(P72=" ",Mar!Y52,P72+Mar!Y52)</f>
        <v>0</v>
      </c>
      <c r="Z72" s="49">
        <f>IF(Q72=" ",Mar!Z52,Q72+Mar!Z52)</f>
        <v>0</v>
      </c>
      <c r="AA72" s="49">
        <f>IF(R72=" ",Mar!AA52,R72+Mar!AA52)</f>
        <v>0</v>
      </c>
      <c r="AC72" s="49">
        <f>IF(T72=" ",Mar!AC52,T72+Mar!AC52)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IF(T$69="Y",Mar!H53,0)</f>
        <v>0</v>
      </c>
      <c r="I73" s="92">
        <f>IF(T$69="Y",Mar!I53,0)</f>
        <v>0</v>
      </c>
      <c r="J73" s="92">
        <f>IF(T$69="Y",Mar!J53,0)</f>
        <v>0</v>
      </c>
      <c r="K73" s="92">
        <f>IF(T$69="Y",Mar!K53,I73*J73)</f>
        <v>0</v>
      </c>
      <c r="L73" s="111">
        <f>IF(T$69="Y",Mar!L53,0)</f>
        <v>0</v>
      </c>
      <c r="M73" s="100" t="str">
        <f>IF(E73=" "," ",IF(T$69="Y",Mar!M53,IF((H73+K73+L73)&gt;0,H73+K73+L73,"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IF(Employee!H$87=E$69,Employee!D$86+SUM(M73)+Mar!V53,SUM(M73)+Mar!V53)</f>
        <v>0</v>
      </c>
      <c r="W73" s="49">
        <f>IF(Employee!H$87=E$69,Employee!D$87+SUM(N73)+Mar!W53,SUM(N73)+Mar!W53)</f>
        <v>0</v>
      </c>
      <c r="X73" s="49">
        <f>IF(O73=" ",Mar!X53,O73+Mar!X53)</f>
        <v>0</v>
      </c>
      <c r="Y73" s="49">
        <f>IF(P73=" ",Mar!Y53,P73+Mar!Y53)</f>
        <v>0</v>
      </c>
      <c r="Z73" s="49">
        <f>IF(Q73=" ",Mar!Z53,Q73+Mar!Z53)</f>
        <v>0</v>
      </c>
      <c r="AA73" s="49">
        <f>IF(R73=" ",Mar!AA53,R73+Mar!AA53)</f>
        <v>0</v>
      </c>
      <c r="AC73" s="49">
        <f>IF(T73=" ",Mar!AC53,T73+Mar!AC53)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IF(T$69="Y",Mar!H54,0)</f>
        <v>0</v>
      </c>
      <c r="I74" s="92">
        <f>IF(T$69="Y",Mar!I54,0)</f>
        <v>0</v>
      </c>
      <c r="J74" s="92">
        <f>IF(T$69="Y",Mar!J54,0)</f>
        <v>0</v>
      </c>
      <c r="K74" s="92">
        <f>IF(T$69="Y",Mar!K54,I74*J74)</f>
        <v>0</v>
      </c>
      <c r="L74" s="111">
        <f>IF(T$69="Y",Mar!L54,0)</f>
        <v>0</v>
      </c>
      <c r="M74" s="100" t="str">
        <f>IF(E74=" "," ",IF(T$69="Y",Mar!M54,IF((H74+K74+L74)&gt;0,H74+K74+L74,"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IF(Employee!H$113=E$69,Employee!D$112+SUM(M74)+Mar!V54,SUM(M74)+Mar!V54)</f>
        <v>0</v>
      </c>
      <c r="W74" s="49">
        <f>IF(Employee!H$113=E$69,Employee!D$113+SUM(N74)+Mar!W54,SUM(N74)+Mar!W54)</f>
        <v>0</v>
      </c>
      <c r="X74" s="49">
        <f>IF(O74=" ",Mar!X54,O74+Mar!X54)</f>
        <v>0</v>
      </c>
      <c r="Y74" s="49">
        <f>IF(P74=" ",Mar!Y54,P74+Mar!Y54)</f>
        <v>0</v>
      </c>
      <c r="Z74" s="49">
        <f>IF(Q74=" ",Mar!Z54,Q74+Mar!Z54)</f>
        <v>0</v>
      </c>
      <c r="AA74" s="49">
        <f>IF(R74=" ",Mar!AA54,R74+Mar!AA54)</f>
        <v>0</v>
      </c>
      <c r="AC74" s="49">
        <f>IF(T74=" ",Mar!AC54,T74+Mar!AC54)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IF(T$69="Y",Mar!H55,0)</f>
        <v>0</v>
      </c>
      <c r="I75" s="245">
        <f>IF(T$69="Y",Mar!I55,0)</f>
        <v>0</v>
      </c>
      <c r="J75" s="245">
        <f>IF(T$69="Y",Mar!J55,0)</f>
        <v>0</v>
      </c>
      <c r="K75" s="245">
        <f>IF(T$69="Y",Mar!K55,I75*J75)</f>
        <v>0</v>
      </c>
      <c r="L75" s="246">
        <f>IF(T$69="Y",Mar!L55,0)</f>
        <v>0</v>
      </c>
      <c r="M75" s="100" t="str">
        <f>IF(E75=" "," ",IF(T$69="Y",Mar!M55,IF((H75+K75+L75)&gt;0,H75+K75+L75,"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IF(Employee!H$139=E$69,Employee!D$138+SUM(M75)+Mar!V55,SUM(M75)+Mar!V55)</f>
        <v>0</v>
      </c>
      <c r="W75" s="49">
        <f>IF(Employee!H$139=E$69,Employee!D$139+SUM(N75)+Mar!W55,SUM(N75)+Mar!W55)</f>
        <v>0</v>
      </c>
      <c r="X75" s="49">
        <f>IF(O75=" ",Mar!X55,O75+Mar!X55)</f>
        <v>0</v>
      </c>
      <c r="Y75" s="49">
        <f>IF(P75=" ",Mar!Y55,P75+Mar!Y55)</f>
        <v>0</v>
      </c>
      <c r="Z75" s="49">
        <f>IF(Q75=" ",Mar!Z55,Q75+Mar!Z55)</f>
        <v>0</v>
      </c>
      <c r="AA75" s="49">
        <f>IF(R75=" ",Mar!AA55,R75+Mar!AA55)</f>
        <v>0</v>
      </c>
      <c r="AC75" s="49">
        <f>IF(T75=" ",Mar!AC55,T75+Mar!AC55)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AD80+Mar!AD65</f>
        <v>0</v>
      </c>
      <c r="AE85" s="158">
        <f>AE80+Mar!AE65</f>
        <v>0</v>
      </c>
      <c r="AF85" s="158">
        <f>AF80+Mar!AF65</f>
        <v>0</v>
      </c>
      <c r="AG85" s="158">
        <f>AG80+Mar!AG65</f>
        <v>0</v>
      </c>
    </row>
    <row r="86" spans="6:33" ht="14" thickTop="1" x14ac:dyDescent="0.15"/>
    <row r="87" spans="6:33" x14ac:dyDescent="0.15">
      <c r="AD87" s="162"/>
      <c r="AE87" s="158">
        <f>AE82+Mar!AE67</f>
        <v>0</v>
      </c>
      <c r="AF87" s="158">
        <f>AF82+Mar!AF67</f>
        <v>0</v>
      </c>
      <c r="AG87" s="158">
        <f>AG82+Mar!AG67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May!T1+May!O1</f>
        <v>0</v>
      </c>
      <c r="E4" s="228">
        <f>May!N1</f>
        <v>0</v>
      </c>
      <c r="F4" s="228">
        <f>May!AD60+May!AE60+May!AF60+May!AG60</f>
        <v>0</v>
      </c>
      <c r="G4" s="228">
        <f>May!AE62+May!AF62+May!AG62</f>
        <v>0</v>
      </c>
      <c r="H4" s="228">
        <f>May!P1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Jun!T1+Jun!O1</f>
        <v>0</v>
      </c>
      <c r="E5" s="228">
        <f>Jun!N1</f>
        <v>0</v>
      </c>
      <c r="F5" s="228">
        <f>Jun!AD60+Jun!AE60+Jun!AF60+Jun!AG60</f>
        <v>0</v>
      </c>
      <c r="G5" s="228">
        <f>Jun!AE62+Jun!AF62+Jun!AG62</f>
        <v>0</v>
      </c>
      <c r="H5" s="228">
        <f>Jun!P1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Jul!T1+Jul!O1</f>
        <v>0</v>
      </c>
      <c r="E6" s="228">
        <f>Jul!N1</f>
        <v>0</v>
      </c>
      <c r="F6" s="228">
        <f>Jul!AD70+Jul!AE70+Jul!AF70+Jul!AG70</f>
        <v>0</v>
      </c>
      <c r="G6" s="228">
        <f>Jul!AE72+Jul!AF72+Jul!AG72</f>
        <v>0</v>
      </c>
      <c r="H6" s="228">
        <f>Jul!P1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Aug!T1+Aug!O1</f>
        <v>0</v>
      </c>
      <c r="E7" s="228">
        <f>Aug!N1</f>
        <v>0</v>
      </c>
      <c r="F7" s="228">
        <f>Aug!AD60+Aug!AE60+Aug!AF60+Aug!AG60</f>
        <v>0</v>
      </c>
      <c r="G7" s="228">
        <f>Aug!AE62+Aug!AF62+Aug!AG62</f>
        <v>0</v>
      </c>
      <c r="H7" s="228">
        <f>Aug!P1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Sep!T1+Sep!O1</f>
        <v>0</v>
      </c>
      <c r="E8" s="228">
        <f>Sep!N1</f>
        <v>0</v>
      </c>
      <c r="F8" s="228">
        <f>Sep!AD60+Sep!AE60+Sep!AF60+Sep!AG60</f>
        <v>0</v>
      </c>
      <c r="G8" s="228">
        <f>Sep!AE62+Sep!AF62+Sep!AG62</f>
        <v>0</v>
      </c>
      <c r="H8" s="228">
        <f>Sep!P1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Oct!T1+Oct!O1</f>
        <v>0</v>
      </c>
      <c r="E9" s="228">
        <f>Oct!N1</f>
        <v>0</v>
      </c>
      <c r="F9" s="228">
        <f>Oct!AD70+Oct!AE70+Oct!AF70+Oct!AG70</f>
        <v>0</v>
      </c>
      <c r="G9" s="228">
        <f>Oct!AE72+Oct!AF72+Oct!AG72</f>
        <v>0</v>
      </c>
      <c r="H9" s="228">
        <f>Oct!P1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Nov!T1+Nov!O1</f>
        <v>0</v>
      </c>
      <c r="E10" s="228">
        <f>Nov!N1</f>
        <v>0</v>
      </c>
      <c r="F10" s="228">
        <f>Nov!AD60+Nov!AE60+Nov!AF60+Nov!AG60</f>
        <v>0</v>
      </c>
      <c r="G10" s="228">
        <f>Nov!AE62+Nov!AF62+Nov!AG62</f>
        <v>0</v>
      </c>
      <c r="H10" s="228">
        <f>Nov!P1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Dec!T1+Dec!O1</f>
        <v>0</v>
      </c>
      <c r="E11" s="228">
        <f>Dec!N1</f>
        <v>0</v>
      </c>
      <c r="F11" s="228">
        <f>Dec!AD60+Dec!AE60+Dec!AF60+Dec!AG60</f>
        <v>0</v>
      </c>
      <c r="G11" s="228">
        <f>Dec!AE62+Dec!AF62+Dec!AG62</f>
        <v>0</v>
      </c>
      <c r="H11" s="228">
        <f>Dec!P1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Jan!T1+Jan!O1</f>
        <v>0</v>
      </c>
      <c r="E12" s="228">
        <f>Jan!N1</f>
        <v>0</v>
      </c>
      <c r="F12" s="228">
        <f>Jan!AD70+Jan!AE70+Jan!AF70+Jan!AG70</f>
        <v>0</v>
      </c>
      <c r="G12" s="228">
        <f>Jan!AE72+Jan!AF72+Jan!AG72</f>
        <v>0</v>
      </c>
      <c r="H12" s="228">
        <f>Jan!P1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Feb!T1+Feb!O1</f>
        <v>0</v>
      </c>
      <c r="E13" s="228">
        <f>Feb!N1</f>
        <v>0</v>
      </c>
      <c r="F13" s="228">
        <f>Feb!AD60+Feb!AE60+Feb!AF60+Feb!AG60</f>
        <v>0</v>
      </c>
      <c r="G13" s="228">
        <f>Feb!AE62+Feb!AF62+Feb!AG62</f>
        <v>0</v>
      </c>
      <c r="H13" s="228">
        <f>Feb!P1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Mar!T1+Mar!O1</f>
        <v>0</v>
      </c>
      <c r="E14" s="228">
        <f>Mar!N1</f>
        <v>0</v>
      </c>
      <c r="F14" s="228">
        <f>Mar!AD60+Mar!AE60+Mar!AF60+Mar!AG60</f>
        <v>0</v>
      </c>
      <c r="G14" s="228">
        <f>Mar!AE62+Mar!AF62+Mar!AG62</f>
        <v>0</v>
      </c>
      <c r="H14" s="228">
        <f>Mar!P1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Apr!T1+Apr!O1</f>
        <v>0</v>
      </c>
      <c r="E15" s="228">
        <f>Apr!N1</f>
        <v>0</v>
      </c>
      <c r="F15" s="228">
        <f>Apr!AD80+Apr!AE80+Apr!AF80+Apr!AG80</f>
        <v>0</v>
      </c>
      <c r="G15" s="228">
        <f>Apr!AE82+Apr!AF82+Apr!AG82</f>
        <v>0</v>
      </c>
      <c r="H15" s="228">
        <f>Apr!P1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44291</v>
      </c>
      <c r="J1" s="493"/>
      <c r="K1" s="303"/>
      <c r="L1" s="303"/>
      <c r="M1" s="304"/>
      <c r="N1" s="305" t="str">
        <f>TEXT(YEAR(I1)-1,"0") &amp; "-" &amp; TEXT(YEAR(I1)-2000,"0")</f>
        <v>2020-21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43927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43928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43929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43930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43931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43932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43933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43934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43935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43936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43937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43938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43939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43940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43941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43942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43943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43944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43945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43946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43947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43948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43949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43950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43951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43952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43953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43954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43955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43956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43957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43958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43959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43960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43961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43962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43963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43964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43965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43966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43967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43968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43969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43970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43971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43972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43973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43974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43975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43976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43977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43978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43979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43980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43981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43982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43983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43984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43985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43986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43987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43988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43989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43990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43991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43992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43993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43994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43995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43996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43997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43998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43999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44000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44001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44002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44003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44004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44005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44006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44007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44008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44009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44010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44011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44012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44013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44014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44015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44016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44017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44018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44019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44020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44021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44022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44023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44024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44025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44026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44027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44028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44029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44030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44031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44032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44033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44034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44035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44036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44037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44038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44039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44040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44041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44042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44043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44044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44045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44046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44047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44048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44049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44050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44051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44052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44053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44054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44055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44056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44057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44058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44059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44060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44061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44062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44063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44064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44065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44066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44067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44068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44069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44070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44071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44072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44073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44074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44075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44076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44077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44078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44079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44080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44081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44082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44083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44084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44085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44086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44087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44088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44089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44090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44091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44092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44093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44094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44095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44096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44097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44098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44099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44100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44101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44102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44103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44104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44105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44106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44107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44108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44109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44110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44111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44112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44113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44114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44115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44116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44117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44118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44119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44120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44121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44122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44123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44124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44125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44126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44127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44128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44129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44130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44131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44132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44133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44134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44135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44136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44137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44138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44139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44140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44141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44142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44143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44144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44145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44146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44147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44148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44149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44150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44151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44152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44153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44154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44155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44156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44157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44158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44159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44160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44161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44162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44163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44164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44165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44166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44167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44168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44169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44170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44171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44172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44173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44174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44175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44176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44177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44178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44179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44180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44181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44182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44183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44184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44185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44186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44187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44188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44189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44190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44191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44192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44193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44194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44195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44196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44197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44198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44199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44200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44201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44202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44203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44204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44205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44206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44207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44208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44209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44210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44211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44212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44213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44214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44215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44216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44217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44218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44219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44220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44221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44222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44223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44224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44225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44226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44227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44228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44229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44230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44231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44232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44233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44234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44235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44236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44237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44238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44239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44240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44241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44242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44243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44244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44245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44246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44247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44248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44249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44250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44251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44252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44253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44254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44255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44256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44257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44258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44259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44260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44261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44262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44263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44264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44265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44266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44267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44268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44269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44270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44271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44272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44273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44274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44275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44276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44277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44278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44279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44280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44281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44282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44283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44284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44285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44286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44287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44288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44289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44290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44291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44292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44293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44294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44295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44296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44297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44298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44299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44300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44301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44302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44303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44304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44305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44306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