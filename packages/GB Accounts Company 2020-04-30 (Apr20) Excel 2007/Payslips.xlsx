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<sst xmlns="http://schemas.openxmlformats.org/spreadsheetml/2006/main" count="1383" uniqueCount="138">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</sst>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DATE(2019,5,1)</f>
        <v>43586</v>
      </c>
      <c r="L49" s="203" t="s">
        <v>76</v>
      </c>
      <c r="M49" s="205">
        <f>DATE(2019,5,31)</f>
        <v>43616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DATE(2019,6,1)</f>
        <v>43617</v>
      </c>
      <c r="L49" s="203" t="s">
        <v>76</v>
      </c>
      <c r="M49" s="205">
        <f>DATE(2019,6,30)</f>
        <v>43646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DATE(2019,7,1)</f>
        <v>43647</v>
      </c>
      <c r="L59" s="203" t="s">
        <v>76</v>
      </c>
      <c r="M59" s="205">
        <f>DATE(2019,7,31)</f>
        <v>43677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DATE(2019,8,1)</f>
        <v>43678</v>
      </c>
      <c r="L49" s="203" t="s">
        <v>76</v>
      </c>
      <c r="M49" s="205">
        <f>DATE(2019,8,31)</f>
        <v>43708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IF(T$9="Y",Aug!H41,0)</f>
        <v>0</v>
      </c>
      <c r="I12" s="92">
        <f>IF(T$9="Y",Aug!I41,0)</f>
        <v>0</v>
      </c>
      <c r="J12" s="92">
        <f>IF(T$9="Y",Aug!J41,0)</f>
        <v>0</v>
      </c>
      <c r="K12" s="92">
        <f>IF(T$9="Y",Aug!K41,I12*J12)</f>
        <v>0</v>
      </c>
      <c r="L12" s="111">
        <f>IF(T$9="Y",Aug!L41,0)</f>
        <v>0</v>
      </c>
      <c r="M12" s="111" t="str">
        <f>IF(E12=" "," ",IF(T$9="Y",Aug!M41,IF((H12+K12+L12)&gt;0,H12+K12+L12,"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IF(T$9="Y",Aug!H41,0)</f>
        <v>0</v>
      </c>
      <c r="I13" s="92">
        <f>IF(T$9="Y",Aug!I41,0)</f>
        <v>0</v>
      </c>
      <c r="J13" s="92">
        <f>IF(T$9="Y",Aug!J41,0)</f>
        <v>0</v>
      </c>
      <c r="K13" s="92">
        <f>IF(T$9="Y",Aug!K41,I13*J13)</f>
        <v>0</v>
      </c>
      <c r="L13" s="111">
        <f>IF(T$9="Y",Aug!L41,0)</f>
        <v>0</v>
      </c>
      <c r="M13" s="111" t="str">
        <f>IF(E13=" "," ",IF(T$9="Y",Aug!M41,IF((H13+K13+L13)&gt;0,H13+K13+L13,"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IF(T$9="Y",Aug!H41,0)</f>
        <v>0</v>
      </c>
      <c r="I14" s="92">
        <f>IF(T$9="Y",Aug!I41,0)</f>
        <v>0</v>
      </c>
      <c r="J14" s="92">
        <f>IF(T$9="Y",Aug!J41,0)</f>
        <v>0</v>
      </c>
      <c r="K14" s="92">
        <f>IF(T$9="Y",Aug!K41,I14*J14)</f>
        <v>0</v>
      </c>
      <c r="L14" s="111">
        <f>IF(T$9="Y",Aug!L41,0)</f>
        <v>0</v>
      </c>
      <c r="M14" s="111" t="str">
        <f>IF(E14=" "," ",IF(T$9="Y",Aug!M41,IF((H14+K14+L14)&gt;0,H14+K14+L14,"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IF(T$9="Y",Aug!H41,0)</f>
        <v>0</v>
      </c>
      <c r="I15" s="245">
        <f>IF(T$9="Y",Aug!I41,0)</f>
        <v>0</v>
      </c>
      <c r="J15" s="245">
        <f>IF(T$9="Y",Aug!J41,0)</f>
        <v>0</v>
      </c>
      <c r="K15" s="245">
        <f>IF(T$9="Y",Aug!K41,I15*J15)</f>
        <v>0</v>
      </c>
      <c r="L15" s="246">
        <f>IF(T$9="Y",Aug!L41,0)</f>
        <v>0</v>
      </c>
      <c r="M15" s="246" t="str">
        <f>IF(E15=" "," ",IF(T$9="Y",Aug!M41,IF((H15+K15+L15)&gt;0,H15+K15+L15,"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DATE(2019,9,1)</f>
        <v>43709</v>
      </c>
      <c r="L49" s="203" t="s">
        <v>76</v>
      </c>
      <c r="M49" s="205">
        <f>DATE(2019,9,30)</f>
        <v>43738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DATE(2019,10,1)</f>
        <v>43739</v>
      </c>
      <c r="L59" s="203" t="s">
        <v>76</v>
      </c>
      <c r="M59" s="205">
        <f>DATE(2019,10,31)</f>
        <v>43769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DATE(2019,11,1)</f>
        <v>43770</v>
      </c>
      <c r="L49" s="203" t="s">
        <v>76</v>
      </c>
      <c r="M49" s="205">
        <f>DATE(2019,11,30)</f>
        <v>43799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DATE(2019,12,1)</f>
        <v>43800</v>
      </c>
      <c r="L49" s="203" t="s">
        <v>76</v>
      </c>
      <c r="M49" s="205">
        <f>DATE(2019,12,31)</f>
        <v>43830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DATE(2020,1,1)</f>
        <v>43831</v>
      </c>
      <c r="L59" s="203" t="s">
        <v>76</v>
      </c>
      <c r="M59" s="205">
        <f>DATE(2020,1,31)</f>
        <v>43861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DATE(2020,2,1)</f>
        <v>43862</v>
      </c>
      <c r="L49" s="203" t="s">
        <v>76</v>
      </c>
      <c r="M49" s="205">
        <f>DATE(2020,2,29)</f>
        <v>43890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DATE(2020,3,1)</f>
        <v>43891</v>
      </c>
      <c r="L49" s="203" t="s">
        <v>76</v>
      </c>
      <c r="M49" s="205">
        <f>DATE(2020,3,31)</f>
        <v>43921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DATE(2020,4,1)</f>
        <v>43922</v>
      </c>
      <c r="L69" s="203" t="s">
        <v>76</v>
      </c>
      <c r="M69" s="205">
        <f>DATE(2020,4,30)</f>
        <v>43951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May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Apr!AD80+Apr!AE80+Apr!AF80+Apr!AG80</f>
        <v>0</v>
      </c>
      <c r="G4" s="228">
        <f>Apr!AE82+Apr!AF82+Apr!AG82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TEXT(DATE(YEAR(B$2),MONTH(B$2)+(D2-1)+1,1),"Mmm")</f>
        <v>May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TEXT(DATE(YEAR(B$2),MONTH(B$2)+(D3-1)+1,1),"Mmm")</f>
        <v>May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May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May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May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May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May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May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May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May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May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May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May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May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May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May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May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May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May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May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May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May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May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May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May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Jun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Jun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Jun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Jun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Jun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Jun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Jun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Jun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Jun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Jun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Jun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Jun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Jun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Jun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Jun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Jun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Jun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Jun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Jun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Jun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Jun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Jun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Jun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Jun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Jun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Jun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Jun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Jul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Jul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Jul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Jul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Jul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Jul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Jul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Jul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Jul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Jul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Jul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TEXT(DATE(YEAR(B$2),MONTH(B$2)+(D67-1)+1,1),"Mmm")</f>
        <v>Jul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Jul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Jul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Jul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Jul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Jul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Jul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Jul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Jul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Jul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Jul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Jul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Jul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Jul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Jul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Jul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Jul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Jul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Jul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Jul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Jul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Jul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Jul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Aug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Aug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Aug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Aug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Aug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Aug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Aug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Aug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Aug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Aug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Aug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Aug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Aug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Aug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Aug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Aug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Aug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Aug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Aug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Aug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Aug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Aug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Aug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Aug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Aug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Aug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Aug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Sep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Sep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Sep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Sep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Sep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Sep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Sep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Sep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Sep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Sep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Sep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Sep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TEXT(DATE(YEAR(B$2),MONTH(B$2)+(D131-1)+1,1),"Mmm")</f>
        <v>Sep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Sep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Sep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Sep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Sep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Sep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Sep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Sep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Sep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Sep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Sep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Sep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Sep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Sep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Sep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Sep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Oct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Oct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Oct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Oct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Oct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Oct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Oct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Oct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Oct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Oct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Oct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Oct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Oct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Oct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Oct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Oct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Oct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Oct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Oct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Oct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Oct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Oct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Oct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Oct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Oct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Oct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Oct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Oct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Oct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Oct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Oct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Oct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Oct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Oct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Nov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Nov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Nov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Nov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Nov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Nov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Nov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Nov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Nov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Nov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Nov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Nov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Nov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TEXT(DATE(YEAR(B$2),MONTH(B$2)+(D195-1)+1,1),"Mmm")</f>
        <v>Nov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Nov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Nov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Nov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Nov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Nov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Nov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Nov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Nov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Nov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Nov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Nov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Nov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Nov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Dec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Dec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Dec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Dec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Dec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Dec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Dec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Dec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Dec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Dec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Dec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Dec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Dec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Dec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Dec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Dec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Dec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Dec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Dec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Dec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Dec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Dec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Dec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Dec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Dec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Dec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Dec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Dec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Jan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Jan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Jan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Jan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Jan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Jan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Jan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Jan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Jan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Jan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Jan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Jan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Jan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Jan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Jan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Jan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Jan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Jan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Jan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Jan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Jan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TEXT(DATE(YEAR(B$2),MONTH(B$2)+(D259-1)+1,1),"Mmm")</f>
        <v>Jan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Jan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Jan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Jan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Jan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Jan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Jan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Jan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Jan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Jan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Jan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Jan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Jan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Feb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Feb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Feb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Feb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Feb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Feb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Feb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Feb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Feb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Feb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Feb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Feb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Feb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Feb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Feb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Feb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Feb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Feb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Feb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Feb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Feb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Feb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Feb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Feb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Feb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Feb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Feb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Mar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Mar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Mar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Mar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Mar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Mar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Mar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Mar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Mar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Mar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Mar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Mar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Mar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Mar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Mar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Mar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Mar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Mar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Mar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Mar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Mar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Mar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TEXT(DATE(YEAR(B$2),MONTH(B$2)+(D323-1)+1,1),"Mmm")</f>
        <v>Mar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Mar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Mar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Mar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Mar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Mar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Apr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Apr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Apr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Apr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Apr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Apr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Apr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Apr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Apr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Apr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Apr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Apr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Apr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Apr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Apr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Apr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Apr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Apr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Apr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Apr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Apr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Apr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Apr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Apr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Apr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Apr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Apr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Apr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Apr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Apr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Apr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Apr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Apr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Apr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Apr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Apr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Apr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Apr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Apr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Apr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Apr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Apr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Apr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Apr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Apr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Apr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Apr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Apr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Apr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Apr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Apr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Apr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Apr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