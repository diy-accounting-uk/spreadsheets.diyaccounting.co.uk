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<sst xmlns="http://schemas.openxmlformats.org/spreadsheetml/2006/main" count="1383" uniqueCount="138">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</sst>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46482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46124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46125</v>
      </c>
      <c r="L19" s="200" t="s">
        <v>76</v>
      </c>
      <c r="M19" s="202">
        <f>K19+6</f>
        <v>46131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46132</v>
      </c>
      <c r="L29" s="200" t="s">
        <v>76</v>
      </c>
      <c r="M29" s="202">
        <f>K29+6</f>
        <v>46138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46139</v>
      </c>
      <c r="L39" s="200" t="s">
        <v>76</v>
      </c>
      <c r="M39" s="202">
        <f>K39+6</f>
        <v>46145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DATE(2025,10,1)</f>
        <v>45931</v>
      </c>
      <c r="L49" s="203" t="s">
        <v>76</v>
      </c>
      <c r="M49" s="205">
        <f>DATE(2025,10,31)</f>
        <v>45961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46146</v>
      </c>
      <c r="L9" s="203" t="s">
        <v>76</v>
      </c>
      <c r="M9" s="205">
        <f>K9+6</f>
        <v>46152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46153</v>
      </c>
      <c r="L19" s="203" t="s">
        <v>76</v>
      </c>
      <c r="M19" s="205">
        <f>K19+6</f>
        <v>46159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46160</v>
      </c>
      <c r="L29" s="203" t="s">
        <v>76</v>
      </c>
      <c r="M29" s="205">
        <f>K29+6</f>
        <v>46166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46167</v>
      </c>
      <c r="L39" s="203" t="s">
        <v>76</v>
      </c>
      <c r="M39" s="205">
        <f>K39+6</f>
        <v>46173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DATE(2025,11,1)</f>
        <v>45962</v>
      </c>
      <c r="L49" s="203" t="s">
        <v>76</v>
      </c>
      <c r="M49" s="205">
        <f>DATE(2025,11,30)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46174</v>
      </c>
      <c r="L9" s="203" t="s">
        <v>76</v>
      </c>
      <c r="M9" s="205">
        <f>K9+6</f>
        <v>46180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46181</v>
      </c>
      <c r="L19" s="203" t="s">
        <v>76</v>
      </c>
      <c r="M19" s="205">
        <f>K19+6</f>
        <v>46187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46188</v>
      </c>
      <c r="L29" s="203" t="s">
        <v>76</v>
      </c>
      <c r="M29" s="205">
        <f>K29+6</f>
        <v>46194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46195</v>
      </c>
      <c r="L39" s="203" t="s">
        <v>76</v>
      </c>
      <c r="M39" s="205">
        <f>K39+6</f>
        <v>46201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46202</v>
      </c>
      <c r="L49" s="203" t="s">
        <v>76</v>
      </c>
      <c r="M49" s="205">
        <f>K49+6</f>
        <v>46208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DATE(2025,12,1)</f>
        <v>45992</v>
      </c>
      <c r="L59" s="203" t="s">
        <v>76</v>
      </c>
      <c r="M59" s="205">
        <f>DATE(2025,12,31)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46213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46214</v>
      </c>
      <c r="L19" s="203" t="s">
        <v>76</v>
      </c>
      <c r="M19" s="205">
        <f>K19+6</f>
        <v>46220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46221</v>
      </c>
      <c r="L29" s="203" t="s">
        <v>76</v>
      </c>
      <c r="M29" s="205">
        <f>K29+6</f>
        <v>46227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46228</v>
      </c>
      <c r="L39" s="203" t="s">
        <v>76</v>
      </c>
      <c r="M39" s="205">
        <f>K39+6</f>
        <v>46234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DATE(2026,1,1)</f>
        <v>46023</v>
      </c>
      <c r="L49" s="203" t="s">
        <v>76</v>
      </c>
      <c r="M49" s="205">
        <f>DATE(2026,1,31)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46241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IF(T$9="Y",Jan!H41,0)</f>
        <v>0</v>
      </c>
      <c r="I12" s="92">
        <f>IF(T$9="Y",Jan!I41,0)</f>
        <v>0</v>
      </c>
      <c r="J12" s="92">
        <f>IF(T$9="Y",Jan!J41,0)</f>
        <v>0</v>
      </c>
      <c r="K12" s="92">
        <f>IF(T$9="Y",Jan!K41,I12*J12)</f>
        <v>0</v>
      </c>
      <c r="L12" s="111">
        <f>IF(T$9="Y",Jan!L41,0)</f>
        <v>0</v>
      </c>
      <c r="M12" s="111" t="str">
        <f>IF(E12=" "," ",IF(T$9="Y",Jan!M41,IF((H12+K12+L12)&gt;0,H12+K12+L12,"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IF(T$9="Y",Jan!H41,0)</f>
        <v>0</v>
      </c>
      <c r="I13" s="92">
        <f>IF(T$9="Y",Jan!I41,0)</f>
        <v>0</v>
      </c>
      <c r="J13" s="92">
        <f>IF(T$9="Y",Jan!J41,0)</f>
        <v>0</v>
      </c>
      <c r="K13" s="92">
        <f>IF(T$9="Y",Jan!K41,I13*J13)</f>
        <v>0</v>
      </c>
      <c r="L13" s="111">
        <f>IF(T$9="Y",Jan!L41,0)</f>
        <v>0</v>
      </c>
      <c r="M13" s="111" t="str">
        <f>IF(E13=" "," ",IF(T$9="Y",Jan!M41,IF((H13+K13+L13)&gt;0,H13+K13+L13,"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IF(T$9="Y",Jan!H41,0)</f>
        <v>0</v>
      </c>
      <c r="I14" s="92">
        <f>IF(T$9="Y",Jan!I41,0)</f>
        <v>0</v>
      </c>
      <c r="J14" s="92">
        <f>IF(T$9="Y",Jan!J41,0)</f>
        <v>0</v>
      </c>
      <c r="K14" s="92">
        <f>IF(T$9="Y",Jan!K41,I14*J14)</f>
        <v>0</v>
      </c>
      <c r="L14" s="111">
        <f>IF(T$9="Y",Jan!L41,0)</f>
        <v>0</v>
      </c>
      <c r="M14" s="111" t="str">
        <f>IF(E14=" "," ",IF(T$9="Y",Jan!M41,IF((H14+K14+L14)&gt;0,H14+K14+L14,"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IF(T$9="Y",Jan!H41,0)</f>
        <v>0</v>
      </c>
      <c r="I15" s="245">
        <f>IF(T$9="Y",Jan!I41,0)</f>
        <v>0</v>
      </c>
      <c r="J15" s="245">
        <f>IF(T$9="Y",Jan!J41,0)</f>
        <v>0</v>
      </c>
      <c r="K15" s="245">
        <f>IF(T$9="Y",Jan!K41,I15*J15)</f>
        <v>0</v>
      </c>
      <c r="L15" s="246">
        <f>IF(T$9="Y",Jan!L41,0)</f>
        <v>0</v>
      </c>
      <c r="M15" s="246" t="str">
        <f>IF(E15=" "," ",IF(T$9="Y",Jan!M41,IF((H15+K15+L15)&gt;0,H15+K15+L15,"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46242</v>
      </c>
      <c r="L19" s="203" t="s">
        <v>76</v>
      </c>
      <c r="M19" s="205">
        <f>K19+6</f>
        <v>46248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46249</v>
      </c>
      <c r="L29" s="203" t="s">
        <v>76</v>
      </c>
      <c r="M29" s="205">
        <f>K29+6</f>
        <v>46255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46256</v>
      </c>
      <c r="L39" s="203" t="s">
        <v>76</v>
      </c>
      <c r="M39" s="205">
        <f>K39+6</f>
        <v>46262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DATE(2026,2,1)</f>
        <v>46054</v>
      </c>
      <c r="L49" s="203" t="s">
        <v>76</v>
      </c>
      <c r="M49" s="205">
        <f>DATE(2026,2,28)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46263</v>
      </c>
      <c r="L9" s="203" t="s">
        <v>76</v>
      </c>
      <c r="M9" s="205">
        <f>K9+6</f>
        <v>46269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46270</v>
      </c>
      <c r="L19" s="203" t="s">
        <v>76</v>
      </c>
      <c r="M19" s="205">
        <f>K19+6</f>
        <v>46276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46277</v>
      </c>
      <c r="L29" s="203" t="s">
        <v>76</v>
      </c>
      <c r="M29" s="205">
        <f>K29+6</f>
        <v>46283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46284</v>
      </c>
      <c r="L39" s="203" t="s">
        <v>76</v>
      </c>
      <c r="M39" s="205">
        <f>K39+6</f>
        <v>46290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46297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DATE(2026,3,1)</f>
        <v>46082</v>
      </c>
      <c r="L59" s="203" t="s">
        <v>76</v>
      </c>
      <c r="M59" s="205">
        <f>DATE(2026,3,31)</f>
        <v>46112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46305</v>
      </c>
      <c r="L19" s="203" t="s">
        <v>76</v>
      </c>
      <c r="M19" s="205">
        <f>K19+6</f>
        <v>46311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46312</v>
      </c>
      <c r="L29" s="203" t="s">
        <v>76</v>
      </c>
      <c r="M29" s="205">
        <f>K29+6</f>
        <v>46318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46319</v>
      </c>
      <c r="L39" s="203" t="s">
        <v>76</v>
      </c>
      <c r="M39" s="205">
        <f>K39+6</f>
        <v>46325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DATE(2026,4,1)</f>
        <v>46113</v>
      </c>
      <c r="L49" s="203" t="s">
        <v>76</v>
      </c>
      <c r="M49" s="205">
        <f>DATE(2026,4,30)</f>
        <v>46142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46332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46333</v>
      </c>
      <c r="L19" s="203" t="s">
        <v>76</v>
      </c>
      <c r="M19" s="205">
        <f>K19+6</f>
        <v>46339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46340</v>
      </c>
      <c r="L29" s="203" t="s">
        <v>76</v>
      </c>
      <c r="M29" s="205">
        <f>K29+6</f>
        <v>46346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46347</v>
      </c>
      <c r="L39" s="203" t="s">
        <v>76</v>
      </c>
      <c r="M39" s="205">
        <f>K39+6</f>
        <v>46353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DATE(2026,5,1)</f>
        <v>46143</v>
      </c>
      <c r="L49" s="203" t="s">
        <v>76</v>
      </c>
      <c r="M49" s="205">
        <f>DATE(2026,5,31)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46354</v>
      </c>
      <c r="L9" s="203" t="s">
        <v>76</v>
      </c>
      <c r="M9" s="205">
        <f>K9+6</f>
        <v>46360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46361</v>
      </c>
      <c r="L19" s="203" t="s">
        <v>76</v>
      </c>
      <c r="M19" s="205">
        <f>K19+6</f>
        <v>46367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46368</v>
      </c>
      <c r="L29" s="203" t="s">
        <v>76</v>
      </c>
      <c r="M29" s="205">
        <f>K29+6</f>
        <v>46374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46375</v>
      </c>
      <c r="L39" s="203" t="s">
        <v>76</v>
      </c>
      <c r="M39" s="205">
        <f>K39+6</f>
        <v>46381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46382</v>
      </c>
      <c r="L49" s="203" t="s">
        <v>76</v>
      </c>
      <c r="M49" s="205">
        <f>K49+6</f>
        <v>46388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DATE(2026,6,1)</f>
        <v>46174</v>
      </c>
      <c r="L59" s="203" t="s">
        <v>76</v>
      </c>
      <c r="M59" s="205">
        <f>DATE(2026,6,30)</f>
        <v>46203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46389</v>
      </c>
      <c r="L9" s="203" t="s">
        <v>76</v>
      </c>
      <c r="M9" s="205">
        <f>K9+6</f>
        <v>46395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46396</v>
      </c>
      <c r="L19" s="203" t="s">
        <v>76</v>
      </c>
      <c r="M19" s="205">
        <f>K19+6</f>
        <v>46402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46403</v>
      </c>
      <c r="L29" s="203" t="s">
        <v>76</v>
      </c>
      <c r="M29" s="205">
        <f>K29+6</f>
        <v>46409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46410</v>
      </c>
      <c r="L39" s="203" t="s">
        <v>76</v>
      </c>
      <c r="M39" s="205">
        <f>K39+6</f>
        <v>46416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DATE(2026,7,1)</f>
        <v>46204</v>
      </c>
      <c r="L49" s="203" t="s">
        <v>76</v>
      </c>
      <c r="M49" s="205">
        <f>DATE(2026,7,31)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46417</v>
      </c>
      <c r="L9" s="203" t="s">
        <v>76</v>
      </c>
      <c r="M9" s="205">
        <f>K9+6</f>
        <v>46423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46424</v>
      </c>
      <c r="L19" s="203" t="s">
        <v>76</v>
      </c>
      <c r="M19" s="205">
        <f>K19+6</f>
        <v>46430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46431</v>
      </c>
      <c r="L29" s="203" t="s">
        <v>76</v>
      </c>
      <c r="M29" s="205">
        <f>K29+6</f>
        <v>46437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46438</v>
      </c>
      <c r="L39" s="203" t="s">
        <v>76</v>
      </c>
      <c r="M39" s="205">
        <f>K39+6</f>
        <v>46444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DATE(2026,8,1)</f>
        <v>46235</v>
      </c>
      <c r="L49" s="203" t="s">
        <v>76</v>
      </c>
      <c r="M49" s="205">
        <f>DATE(2026,8,31)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46445</v>
      </c>
      <c r="L9" s="203" t="s">
        <v>76</v>
      </c>
      <c r="M9" s="205">
        <f>K9+6</f>
        <v>46451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46452</v>
      </c>
      <c r="L19" s="203" t="s">
        <v>76</v>
      </c>
      <c r="M19" s="205">
        <f>K19+6</f>
        <v>46458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46459</v>
      </c>
      <c r="L29" s="203" t="s">
        <v>76</v>
      </c>
      <c r="M29" s="205">
        <f>K29+6</f>
        <v>46465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46466</v>
      </c>
      <c r="L39" s="203" t="s">
        <v>76</v>
      </c>
      <c r="M39" s="205">
        <f>K39+6</f>
        <v>46472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46473</v>
      </c>
      <c r="L49" s="203" t="s">
        <v>76</v>
      </c>
      <c r="M49" s="205">
        <f>K49+6</f>
        <v>46479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46480</v>
      </c>
      <c r="L59" s="203" t="s">
        <v>76</v>
      </c>
      <c r="M59" s="205">
        <f>K59+4</f>
        <v>46484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DATE(2026,9,1)</f>
        <v>46266</v>
      </c>
      <c r="L69" s="203" t="s">
        <v>76</v>
      </c>
      <c r="M69" s="205">
        <f>DATE(2026,9,30)</f>
        <v>46295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Oct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46124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46124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46124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46124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46124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DATE(2026,4,30)</f>
        <v>46142</v>
      </c>
      <c r="C4" s="229">
        <f>DATE(2026,5,19)</f>
        <v>46161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2701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DATE(2026,5,31)</f>
        <v>46173</v>
      </c>
      <c r="C5" s="229">
        <f>DATE(2026,6,19)</f>
        <v>46192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2702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DATE(2026,6,30)</f>
        <v>46203</v>
      </c>
      <c r="C6" s="229">
        <f>DATE(2026,7,19)</f>
        <v>46222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2703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DATE(2026,7,31)</f>
        <v>46234</v>
      </c>
      <c r="C7" s="229">
        <f>DATE(2026,8,19)</f>
        <v>46253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2704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DATE(2026,8,31)</f>
        <v>46265</v>
      </c>
      <c r="C8" s="229">
        <f>DATE(2026,9,19)</f>
        <v>46284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2705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DATE(2026,9,30)</f>
        <v>46295</v>
      </c>
      <c r="C9" s="229">
        <f>DATE(2026,10,19)</f>
        <v>46314</v>
      </c>
      <c r="D9" s="227">
        <f>Sep!T1+Sep!O1</f>
        <v>0</v>
      </c>
      <c r="E9" s="228">
        <f>Sep!N1</f>
        <v>0</v>
      </c>
      <c r="F9" s="228">
        <f>Sep!AD80+Sep!AE80+Sep!AF80+Sep!AG80</f>
        <v>0</v>
      </c>
      <c r="G9" s="228">
        <f>Sep!AE82+Sep!AF82+Sep!AG82</f>
        <v>0</v>
      </c>
      <c r="H9" s="228">
        <f>Sep!P1</f>
        <v>0</v>
      </c>
      <c r="I9" s="227">
        <f t="shared" si="0"/>
        <v>0</v>
      </c>
      <c r="M9" s="212">
        <f t="shared" si="2"/>
        <v>2706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DATE(2026,10,31)</f>
        <v>46326</v>
      </c>
      <c r="C10" s="229">
        <f>DATE(2026,11,19)</f>
        <v>46345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2707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DATE(2026,11,30)</f>
        <v>46356</v>
      </c>
      <c r="C11" s="229">
        <f>DATE(2026,12,19)</f>
        <v>46375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2708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DATE(2026,12,31)</f>
        <v>46387</v>
      </c>
      <c r="C12" s="229">
        <f>DATE(2027,1,19)</f>
        <v>46406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2709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DATE(2027,1,31)</f>
        <v>46418</v>
      </c>
      <c r="C13" s="229">
        <f>DATE(2027,2,19)</f>
        <v>46437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2710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DATE(2027,2,28)</f>
        <v>46446</v>
      </c>
      <c r="C14" s="229">
        <f>DATE(2027,3,19)</f>
        <v>46465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2711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DATE(2027,3,31)</f>
        <v>46477</v>
      </c>
      <c r="C15" s="229">
        <f>DATE(2027,4,19)</f>
        <v>46496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2712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TEXT(DATE(YEAR(B$2),MONTH(B$2)+(D2-1)+6,1),"Mmm")</f>
        <v>Oct</v>
      </c>
      <c r="B2" s="308">
        <v>46118</v>
      </c>
      <c r="C2" s="309">
        <v>1</v>
      </c>
      <c r="D2" s="309">
        <v>1</v>
      </c>
      <c r="E2" s="310">
        <f>B2</f>
        <v>46118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TEXT(DATE(YEAR(B$2),MONTH(B$2)+(D3-1)+6,1),"Mmm")</f>
        <v>Oct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Oct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Oct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Oct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Oct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Oct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Oct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Oct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Oct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Oct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Oct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Oct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Oct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Oct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Oct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Oct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Oct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Oct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Oct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Oct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Oct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Oct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Oct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Oct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Oct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Nov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Nov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Nov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Nov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Nov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Nov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Nov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Nov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Nov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Nov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Nov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Nov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Nov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Nov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Nov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Nov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Nov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Nov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Nov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Nov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Nov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Nov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Nov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Nov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Nov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Nov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Nov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Nov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Dec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Dec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Dec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Dec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Dec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Dec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Dec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Dec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Dec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Dec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Dec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TEXT(DATE(YEAR(B$2),MONTH(B$2)+(D67-1)+6,1),"Mmm")</f>
        <v>Dec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Dec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Dec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Dec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Dec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Dec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Dec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Dec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Dec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Dec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Dec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Dec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Dec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Dec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Dec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Dec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Dec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Dec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Dec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Dec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Dec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Dec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Dec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Dec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Jan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Jan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Jan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Jan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Jan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Jan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Jan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Jan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Jan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Jan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Jan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Jan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Jan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Jan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Jan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Jan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Jan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Jan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Jan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Jan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Jan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Jan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Jan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Jan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Jan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Jan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Jan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Jan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Feb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Feb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Feb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Feb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Feb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Feb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Feb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Feb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Feb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Feb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Feb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Feb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TEXT(DATE(YEAR(B$2),MONTH(B$2)+(D131-1)+6,1),"Mmm")</f>
        <v>Feb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Feb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Feb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Feb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Feb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Feb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Feb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Feb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Feb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Feb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Feb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Feb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Feb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Feb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Feb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Feb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Mar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Mar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Mar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Mar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Mar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Mar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Mar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Mar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Mar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Mar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Mar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Mar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Mar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Mar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Mar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Mar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Mar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Mar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Mar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Mar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Mar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Mar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Mar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Mar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Mar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Mar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Mar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Mar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Mar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Mar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Mar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Mar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Mar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Mar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Mar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Apr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Apr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Apr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Apr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Apr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Apr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Apr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Apr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Apr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Apr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Apr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Apr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Apr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TEXT(DATE(YEAR(B$2),MONTH(B$2)+(D195-1)+6,1),"Mmm")</f>
        <v>Apr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Apr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Apr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Apr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Apr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Apr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Apr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Apr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Apr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Apr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Apr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Apr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Apr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Apr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Apr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May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May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May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May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May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May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May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May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May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May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May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May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May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May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May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May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May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May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May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May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May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May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May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May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May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May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May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May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Jun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Jun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Jun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Jun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Jun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Jun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Jun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Jun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Jun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Jun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Jun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Jun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Jun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Jun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Jun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Jun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Jun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Jun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Jun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Jun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Jun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TEXT(DATE(YEAR(B$2),MONTH(B$2)+(D259-1)+6,1),"Mmm")</f>
        <v>Jun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Jun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Jun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Jun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Jun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Jun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Jun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Jun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Jun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Jun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Jun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Jun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Jun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Jun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Jul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Jul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Jul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Jul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Jul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Jul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Jul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Jul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Jul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Jul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Jul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Jul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Jul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Jul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Jul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Jul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Jul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Jul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Jul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Jul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Jul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Jul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Jul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Jul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Jul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Jul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Jul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Jul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Aug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Aug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Aug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Aug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Aug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Aug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Aug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Aug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Aug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Aug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Aug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Aug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Aug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Aug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Aug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Aug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Aug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Aug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Aug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Aug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Aug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Aug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TEXT(DATE(YEAR(B$2),MONTH(B$2)+(D323-1)+6,1),"Mmm")</f>
        <v>Aug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Aug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Aug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Aug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Aug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Aug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Sep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Sep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Sep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Sep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Sep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Sep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Sep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Sep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Sep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Sep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Sep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Sep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Sep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Sep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Sep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Sep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Sep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Sep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Sep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Sep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Sep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Sep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Sep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Sep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Sep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Sep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Sep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Sep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Sep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Sep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Sep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Sep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Sep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Sep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Sep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Sep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Sep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Sep</v>
      </c>
      <c r="B366" s="308">
        <f t="shared" si="11"/>
        <v>46482</v>
      </c>
      <c r="C366" s="309">
        <v>53</v>
      </c>
      <c r="D366" s="309">
        <v>12</v>
      </c>
      <c r="E366" s="310">
        <f>B366</f>
        <v>46482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Sep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Sep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Sep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Sep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Sep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Sep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Sep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Sep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Sep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Sep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Sep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Sep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Sep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Sep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Sep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