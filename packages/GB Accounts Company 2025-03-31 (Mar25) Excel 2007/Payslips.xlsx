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<sst xmlns="http://schemas.openxmlformats.org/spreadsheetml/2006/main" count="1383" uniqueCount="138">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</sst>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45388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45389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45390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45391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45392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45393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45394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45388</v>
      </c>
      <c r="N9" s="5"/>
      <c r="O9" s="163">
        <f>Admin!I1</f>
        <v>45752</v>
      </c>
      <c r="P9" s="145"/>
      <c r="Q9" s="140"/>
      <c r="R9" s="141"/>
      <c r="S9" s="141"/>
      <c r="T9" s="80"/>
      <c r="U9" s="345"/>
      <c r="W9" s="206">
        <f>Admin!B9</f>
        <v>45395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45396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45397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45398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45399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45400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45401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45402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45403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45404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45405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45406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45407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45408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45409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45410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45411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45412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45413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45414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45415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45416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45417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45418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45419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45420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45421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45422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45423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45424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45425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45426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45427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45428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45429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45430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45431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45432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45433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45434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45435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45436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45437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45438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45439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45440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45441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45442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45443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45444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45445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45446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45447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45448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45449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45450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45451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45452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45453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45454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45455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45456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45457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45458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45459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45460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45461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45462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45463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45464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45465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45466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45467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45468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45469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45470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45471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45472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45473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45474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45475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45476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45477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45478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45479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45480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45481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45482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45483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45484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45485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45486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45487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45488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45489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45490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45491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45492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45493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45494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45495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45496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45497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45498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45499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45500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45501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45502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45503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45504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45505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45506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45507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45508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45509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45510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45511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45512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45513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45514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45515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45516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45517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45518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45519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45520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45521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45522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45523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45524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45525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45526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45527</v>
      </c>
    </row>
    <row r="142" spans="1:23" x14ac:dyDescent="0.15">
      <c r="W142" s="206">
        <f>Admin!B142</f>
        <v>45528</v>
      </c>
    </row>
    <row r="143" spans="1:23" x14ac:dyDescent="0.15">
      <c r="W143" s="206">
        <f>Admin!B143</f>
        <v>45529</v>
      </c>
    </row>
    <row r="144" spans="1:23" x14ac:dyDescent="0.15">
      <c r="W144" s="206">
        <f>Admin!B144</f>
        <v>45530</v>
      </c>
    </row>
    <row r="145" spans="23:23" x14ac:dyDescent="0.15">
      <c r="W145" s="206">
        <f>Admin!B145</f>
        <v>45531</v>
      </c>
    </row>
    <row r="146" spans="23:23" x14ac:dyDescent="0.15">
      <c r="W146" s="206">
        <f>Admin!B146</f>
        <v>45532</v>
      </c>
    </row>
    <row r="147" spans="23:23" x14ac:dyDescent="0.15">
      <c r="W147" s="206">
        <f>Admin!B147</f>
        <v>45533</v>
      </c>
    </row>
    <row r="148" spans="23:23" x14ac:dyDescent="0.15">
      <c r="W148" s="206">
        <f>Admin!B148</f>
        <v>45534</v>
      </c>
    </row>
    <row r="149" spans="23:23" x14ac:dyDescent="0.15">
      <c r="W149" s="206">
        <f>Admin!B149</f>
        <v>45535</v>
      </c>
    </row>
    <row r="150" spans="23:23" x14ac:dyDescent="0.15">
      <c r="W150" s="206">
        <f>Admin!B150</f>
        <v>45536</v>
      </c>
    </row>
    <row r="151" spans="23:23" x14ac:dyDescent="0.15">
      <c r="W151" s="206">
        <f>Admin!B151</f>
        <v>45537</v>
      </c>
    </row>
    <row r="152" spans="23:23" x14ac:dyDescent="0.15">
      <c r="W152" s="206">
        <f>Admin!B152</f>
        <v>45538</v>
      </c>
    </row>
    <row r="153" spans="23:23" x14ac:dyDescent="0.15">
      <c r="W153" s="206">
        <f>Admin!B153</f>
        <v>45539</v>
      </c>
    </row>
    <row r="154" spans="23:23" x14ac:dyDescent="0.15">
      <c r="W154" s="206">
        <f>Admin!B154</f>
        <v>45540</v>
      </c>
    </row>
    <row r="155" spans="23:23" x14ac:dyDescent="0.15">
      <c r="W155" s="206">
        <f>Admin!B155</f>
        <v>45541</v>
      </c>
    </row>
    <row r="156" spans="23:23" x14ac:dyDescent="0.15">
      <c r="W156" s="206">
        <f>Admin!B156</f>
        <v>45542</v>
      </c>
    </row>
    <row r="157" spans="23:23" x14ac:dyDescent="0.15">
      <c r="W157" s="206">
        <f>Admin!B157</f>
        <v>45543</v>
      </c>
    </row>
    <row r="158" spans="23:23" x14ac:dyDescent="0.15">
      <c r="W158" s="206">
        <f>Admin!B158</f>
        <v>45544</v>
      </c>
    </row>
    <row r="159" spans="23:23" x14ac:dyDescent="0.15">
      <c r="W159" s="206">
        <f>Admin!B159</f>
        <v>45545</v>
      </c>
    </row>
    <row r="160" spans="23:23" x14ac:dyDescent="0.15">
      <c r="W160" s="206">
        <f>Admin!B160</f>
        <v>45546</v>
      </c>
    </row>
    <row r="161" spans="23:23" x14ac:dyDescent="0.15">
      <c r="W161" s="206">
        <f>Admin!B161</f>
        <v>45547</v>
      </c>
    </row>
    <row r="162" spans="23:23" x14ac:dyDescent="0.15">
      <c r="W162" s="206">
        <f>Admin!B162</f>
        <v>45548</v>
      </c>
    </row>
    <row r="163" spans="23:23" x14ac:dyDescent="0.15">
      <c r="W163" s="206">
        <f>Admin!B163</f>
        <v>45549</v>
      </c>
    </row>
    <row r="164" spans="23:23" x14ac:dyDescent="0.15">
      <c r="W164" s="206">
        <f>Admin!B164</f>
        <v>45550</v>
      </c>
    </row>
    <row r="165" spans="23:23" x14ac:dyDescent="0.15">
      <c r="W165" s="206">
        <f>Admin!B165</f>
        <v>45551</v>
      </c>
    </row>
    <row r="166" spans="23:23" x14ac:dyDescent="0.15">
      <c r="W166" s="206">
        <f>Admin!B166</f>
        <v>45552</v>
      </c>
    </row>
    <row r="167" spans="23:23" x14ac:dyDescent="0.15">
      <c r="W167" s="206">
        <f>Admin!B167</f>
        <v>45553</v>
      </c>
    </row>
    <row r="168" spans="23:23" x14ac:dyDescent="0.15">
      <c r="W168" s="206">
        <f>Admin!B168</f>
        <v>45554</v>
      </c>
    </row>
    <row r="169" spans="23:23" x14ac:dyDescent="0.15">
      <c r="W169" s="206">
        <f>Admin!B169</f>
        <v>45555</v>
      </c>
    </row>
    <row r="170" spans="23:23" x14ac:dyDescent="0.15">
      <c r="W170" s="206">
        <f>Admin!B170</f>
        <v>45556</v>
      </c>
    </row>
    <row r="171" spans="23:23" x14ac:dyDescent="0.15">
      <c r="W171" s="206">
        <f>Admin!B171</f>
        <v>45557</v>
      </c>
    </row>
    <row r="172" spans="23:23" x14ac:dyDescent="0.15">
      <c r="W172" s="206">
        <f>Admin!B172</f>
        <v>45558</v>
      </c>
    </row>
    <row r="173" spans="23:23" x14ac:dyDescent="0.15">
      <c r="W173" s="206">
        <f>Admin!B173</f>
        <v>45559</v>
      </c>
    </row>
    <row r="174" spans="23:23" x14ac:dyDescent="0.15">
      <c r="W174" s="206">
        <f>Admin!B174</f>
        <v>45560</v>
      </c>
    </row>
    <row r="175" spans="23:23" x14ac:dyDescent="0.15">
      <c r="W175" s="206">
        <f>Admin!B175</f>
        <v>45561</v>
      </c>
    </row>
    <row r="176" spans="23:23" x14ac:dyDescent="0.15">
      <c r="W176" s="206">
        <f>Admin!B176</f>
        <v>45562</v>
      </c>
    </row>
    <row r="177" spans="23:23" x14ac:dyDescent="0.15">
      <c r="W177" s="206">
        <f>Admin!B177</f>
        <v>45563</v>
      </c>
    </row>
    <row r="178" spans="23:23" x14ac:dyDescent="0.15">
      <c r="W178" s="206">
        <f>Admin!B178</f>
        <v>45564</v>
      </c>
    </row>
    <row r="179" spans="23:23" x14ac:dyDescent="0.15">
      <c r="W179" s="206">
        <f>Admin!B179</f>
        <v>45565</v>
      </c>
    </row>
    <row r="180" spans="23:23" x14ac:dyDescent="0.15">
      <c r="W180" s="206">
        <f>Admin!B180</f>
        <v>45566</v>
      </c>
    </row>
    <row r="181" spans="23:23" x14ac:dyDescent="0.15">
      <c r="W181" s="206">
        <f>Admin!B181</f>
        <v>45567</v>
      </c>
    </row>
    <row r="182" spans="23:23" x14ac:dyDescent="0.15">
      <c r="W182" s="206">
        <f>Admin!B182</f>
        <v>45568</v>
      </c>
    </row>
    <row r="183" spans="23:23" x14ac:dyDescent="0.15">
      <c r="W183" s="206">
        <f>Admin!B183</f>
        <v>45569</v>
      </c>
    </row>
    <row r="184" spans="23:23" x14ac:dyDescent="0.15">
      <c r="W184" s="206">
        <f>Admin!B184</f>
        <v>45570</v>
      </c>
    </row>
    <row r="185" spans="23:23" x14ac:dyDescent="0.15">
      <c r="W185" s="206">
        <f>Admin!B185</f>
        <v>45571</v>
      </c>
    </row>
    <row r="186" spans="23:23" x14ac:dyDescent="0.15">
      <c r="W186" s="206">
        <f>Admin!B186</f>
        <v>45572</v>
      </c>
    </row>
    <row r="187" spans="23:23" x14ac:dyDescent="0.15">
      <c r="W187" s="206">
        <f>Admin!B187</f>
        <v>45573</v>
      </c>
    </row>
    <row r="188" spans="23:23" x14ac:dyDescent="0.15">
      <c r="W188" s="206">
        <f>Admin!B188</f>
        <v>45574</v>
      </c>
    </row>
    <row r="189" spans="23:23" x14ac:dyDescent="0.15">
      <c r="W189" s="206">
        <f>Admin!B189</f>
        <v>45575</v>
      </c>
    </row>
    <row r="190" spans="23:23" x14ac:dyDescent="0.15">
      <c r="W190" s="206">
        <f>Admin!B190</f>
        <v>45576</v>
      </c>
    </row>
    <row r="191" spans="23:23" x14ac:dyDescent="0.15">
      <c r="W191" s="206">
        <f>Admin!B191</f>
        <v>45577</v>
      </c>
    </row>
    <row r="192" spans="23:23" x14ac:dyDescent="0.15">
      <c r="W192" s="206">
        <f>Admin!B192</f>
        <v>45578</v>
      </c>
    </row>
    <row r="193" spans="23:23" x14ac:dyDescent="0.15">
      <c r="W193" s="206">
        <f>Admin!B193</f>
        <v>45579</v>
      </c>
    </row>
    <row r="194" spans="23:23" x14ac:dyDescent="0.15">
      <c r="W194" s="206">
        <f>Admin!B194</f>
        <v>45580</v>
      </c>
    </row>
    <row r="195" spans="23:23" x14ac:dyDescent="0.15">
      <c r="W195" s="206">
        <f>Admin!B195</f>
        <v>45581</v>
      </c>
    </row>
    <row r="196" spans="23:23" x14ac:dyDescent="0.15">
      <c r="W196" s="206">
        <f>Admin!B196</f>
        <v>45582</v>
      </c>
    </row>
    <row r="197" spans="23:23" x14ac:dyDescent="0.15">
      <c r="W197" s="206">
        <f>Admin!B197</f>
        <v>45583</v>
      </c>
    </row>
    <row r="198" spans="23:23" x14ac:dyDescent="0.15">
      <c r="W198" s="206">
        <f>Admin!B198</f>
        <v>45584</v>
      </c>
    </row>
    <row r="199" spans="23:23" x14ac:dyDescent="0.15">
      <c r="W199" s="206">
        <f>Admin!B199</f>
        <v>45585</v>
      </c>
    </row>
    <row r="200" spans="23:23" x14ac:dyDescent="0.15">
      <c r="W200" s="206">
        <f>Admin!B200</f>
        <v>45586</v>
      </c>
    </row>
    <row r="201" spans="23:23" x14ac:dyDescent="0.15">
      <c r="W201" s="206">
        <f>Admin!B201</f>
        <v>45587</v>
      </c>
    </row>
    <row r="202" spans="23:23" x14ac:dyDescent="0.15">
      <c r="W202" s="206">
        <f>Admin!B202</f>
        <v>45588</v>
      </c>
    </row>
    <row r="203" spans="23:23" x14ac:dyDescent="0.15">
      <c r="W203" s="206">
        <f>Admin!B203</f>
        <v>45589</v>
      </c>
    </row>
    <row r="204" spans="23:23" x14ac:dyDescent="0.15">
      <c r="W204" s="206">
        <f>Admin!B204</f>
        <v>45590</v>
      </c>
    </row>
    <row r="205" spans="23:23" x14ac:dyDescent="0.15">
      <c r="W205" s="206">
        <f>Admin!B205</f>
        <v>45591</v>
      </c>
    </row>
    <row r="206" spans="23:23" x14ac:dyDescent="0.15">
      <c r="W206" s="206">
        <f>Admin!B206</f>
        <v>45592</v>
      </c>
    </row>
    <row r="207" spans="23:23" x14ac:dyDescent="0.15">
      <c r="W207" s="206">
        <f>Admin!B207</f>
        <v>45593</v>
      </c>
    </row>
    <row r="208" spans="23:23" x14ac:dyDescent="0.15">
      <c r="W208" s="206">
        <f>Admin!B208</f>
        <v>45594</v>
      </c>
    </row>
    <row r="209" spans="23:23" x14ac:dyDescent="0.15">
      <c r="W209" s="206">
        <f>Admin!B209</f>
        <v>45595</v>
      </c>
    </row>
    <row r="210" spans="23:23" x14ac:dyDescent="0.15">
      <c r="W210" s="206">
        <f>Admin!B210</f>
        <v>45596</v>
      </c>
    </row>
    <row r="211" spans="23:23" x14ac:dyDescent="0.15">
      <c r="W211" s="206">
        <f>Admin!B211</f>
        <v>45597</v>
      </c>
    </row>
    <row r="212" spans="23:23" x14ac:dyDescent="0.15">
      <c r="W212" s="206">
        <f>Admin!B212</f>
        <v>45598</v>
      </c>
    </row>
    <row r="213" spans="23:23" x14ac:dyDescent="0.15">
      <c r="W213" s="206">
        <f>Admin!B213</f>
        <v>45599</v>
      </c>
    </row>
    <row r="214" spans="23:23" x14ac:dyDescent="0.15">
      <c r="W214" s="206">
        <f>Admin!B214</f>
        <v>45600</v>
      </c>
    </row>
    <row r="215" spans="23:23" x14ac:dyDescent="0.15">
      <c r="W215" s="206">
        <f>Admin!B215</f>
        <v>45601</v>
      </c>
    </row>
    <row r="216" spans="23:23" x14ac:dyDescent="0.15">
      <c r="W216" s="206">
        <f>Admin!B216</f>
        <v>45602</v>
      </c>
    </row>
    <row r="217" spans="23:23" x14ac:dyDescent="0.15">
      <c r="W217" s="206">
        <f>Admin!B217</f>
        <v>45603</v>
      </c>
    </row>
    <row r="218" spans="23:23" x14ac:dyDescent="0.15">
      <c r="W218" s="206">
        <f>Admin!B218</f>
        <v>45604</v>
      </c>
    </row>
    <row r="219" spans="23:23" x14ac:dyDescent="0.15">
      <c r="W219" s="206">
        <f>Admin!B219</f>
        <v>45605</v>
      </c>
    </row>
    <row r="220" spans="23:23" x14ac:dyDescent="0.15">
      <c r="W220" s="206">
        <f>Admin!B220</f>
        <v>45606</v>
      </c>
    </row>
    <row r="221" spans="23:23" x14ac:dyDescent="0.15">
      <c r="W221" s="206">
        <f>Admin!B221</f>
        <v>45607</v>
      </c>
    </row>
    <row r="222" spans="23:23" x14ac:dyDescent="0.15">
      <c r="W222" s="206">
        <f>Admin!B222</f>
        <v>45608</v>
      </c>
    </row>
    <row r="223" spans="23:23" x14ac:dyDescent="0.15">
      <c r="W223" s="206">
        <f>Admin!B223</f>
        <v>45609</v>
      </c>
    </row>
    <row r="224" spans="23:23" x14ac:dyDescent="0.15">
      <c r="W224" s="206">
        <f>Admin!B224</f>
        <v>45610</v>
      </c>
    </row>
    <row r="225" spans="23:23" x14ac:dyDescent="0.15">
      <c r="W225" s="206">
        <f>Admin!B225</f>
        <v>45611</v>
      </c>
    </row>
    <row r="226" spans="23:23" x14ac:dyDescent="0.15">
      <c r="W226" s="206">
        <f>Admin!B226</f>
        <v>45612</v>
      </c>
    </row>
    <row r="227" spans="23:23" x14ac:dyDescent="0.15">
      <c r="W227" s="206">
        <f>Admin!B227</f>
        <v>45613</v>
      </c>
    </row>
    <row r="228" spans="23:23" x14ac:dyDescent="0.15">
      <c r="W228" s="206">
        <f>Admin!B228</f>
        <v>45614</v>
      </c>
    </row>
    <row r="229" spans="23:23" x14ac:dyDescent="0.15">
      <c r="W229" s="206">
        <f>Admin!B229</f>
        <v>45615</v>
      </c>
    </row>
    <row r="230" spans="23:23" x14ac:dyDescent="0.15">
      <c r="W230" s="206">
        <f>Admin!B230</f>
        <v>45616</v>
      </c>
    </row>
    <row r="231" spans="23:23" x14ac:dyDescent="0.15">
      <c r="W231" s="206">
        <f>Admin!B231</f>
        <v>45617</v>
      </c>
    </row>
    <row r="232" spans="23:23" x14ac:dyDescent="0.15">
      <c r="W232" s="206">
        <f>Admin!B232</f>
        <v>45618</v>
      </c>
    </row>
    <row r="233" spans="23:23" x14ac:dyDescent="0.15">
      <c r="W233" s="206">
        <f>Admin!B233</f>
        <v>45619</v>
      </c>
    </row>
    <row r="234" spans="23:23" x14ac:dyDescent="0.15">
      <c r="W234" s="206">
        <f>Admin!B234</f>
        <v>45620</v>
      </c>
    </row>
    <row r="235" spans="23:23" x14ac:dyDescent="0.15">
      <c r="W235" s="206">
        <f>Admin!B235</f>
        <v>45621</v>
      </c>
    </row>
    <row r="236" spans="23:23" x14ac:dyDescent="0.15">
      <c r="W236" s="206">
        <f>Admin!B236</f>
        <v>45622</v>
      </c>
    </row>
    <row r="237" spans="23:23" x14ac:dyDescent="0.15">
      <c r="W237" s="206">
        <f>Admin!B237</f>
        <v>45623</v>
      </c>
    </row>
    <row r="238" spans="23:23" x14ac:dyDescent="0.15">
      <c r="W238" s="206">
        <f>Admin!B238</f>
        <v>45624</v>
      </c>
    </row>
    <row r="239" spans="23:23" x14ac:dyDescent="0.15">
      <c r="W239" s="206">
        <f>Admin!B239</f>
        <v>45625</v>
      </c>
    </row>
    <row r="240" spans="23:23" x14ac:dyDescent="0.15">
      <c r="W240" s="206">
        <f>Admin!B240</f>
        <v>45626</v>
      </c>
    </row>
    <row r="241" spans="23:23" x14ac:dyDescent="0.15">
      <c r="W241" s="206">
        <f>Admin!B241</f>
        <v>45627</v>
      </c>
    </row>
    <row r="242" spans="23:23" x14ac:dyDescent="0.15">
      <c r="W242" s="206">
        <f>Admin!B242</f>
        <v>45628</v>
      </c>
    </row>
    <row r="243" spans="23:23" x14ac:dyDescent="0.15">
      <c r="W243" s="206">
        <f>Admin!B243</f>
        <v>45629</v>
      </c>
    </row>
    <row r="244" spans="23:23" x14ac:dyDescent="0.15">
      <c r="W244" s="206">
        <f>Admin!B244</f>
        <v>45630</v>
      </c>
    </row>
    <row r="245" spans="23:23" x14ac:dyDescent="0.15">
      <c r="W245" s="206">
        <f>Admin!B245</f>
        <v>45631</v>
      </c>
    </row>
    <row r="246" spans="23:23" x14ac:dyDescent="0.15">
      <c r="W246" s="206">
        <f>Admin!B246</f>
        <v>45632</v>
      </c>
    </row>
    <row r="247" spans="23:23" x14ac:dyDescent="0.15">
      <c r="W247" s="206">
        <f>Admin!B247</f>
        <v>45633</v>
      </c>
    </row>
    <row r="248" spans="23:23" x14ac:dyDescent="0.15">
      <c r="W248" s="206">
        <f>Admin!B248</f>
        <v>45634</v>
      </c>
    </row>
    <row r="249" spans="23:23" x14ac:dyDescent="0.15">
      <c r="W249" s="206">
        <f>Admin!B249</f>
        <v>45635</v>
      </c>
    </row>
    <row r="250" spans="23:23" x14ac:dyDescent="0.15">
      <c r="W250" s="206">
        <f>Admin!B250</f>
        <v>45636</v>
      </c>
    </row>
    <row r="251" spans="23:23" x14ac:dyDescent="0.15">
      <c r="W251" s="206">
        <f>Admin!B251</f>
        <v>45637</v>
      </c>
    </row>
    <row r="252" spans="23:23" x14ac:dyDescent="0.15">
      <c r="W252" s="206">
        <f>Admin!B252</f>
        <v>45638</v>
      </c>
    </row>
    <row r="253" spans="23:23" x14ac:dyDescent="0.15">
      <c r="W253" s="206">
        <f>Admin!B253</f>
        <v>45639</v>
      </c>
    </row>
    <row r="254" spans="23:23" x14ac:dyDescent="0.15">
      <c r="W254" s="206">
        <f>Admin!B254</f>
        <v>45640</v>
      </c>
    </row>
    <row r="255" spans="23:23" x14ac:dyDescent="0.15">
      <c r="W255" s="206">
        <f>Admin!B255</f>
        <v>45641</v>
      </c>
    </row>
    <row r="256" spans="23:23" x14ac:dyDescent="0.15">
      <c r="W256" s="206">
        <f>Admin!B256</f>
        <v>45642</v>
      </c>
    </row>
    <row r="257" spans="23:23" x14ac:dyDescent="0.15">
      <c r="W257" s="206">
        <f>Admin!B257</f>
        <v>45643</v>
      </c>
    </row>
    <row r="258" spans="23:23" x14ac:dyDescent="0.15">
      <c r="W258" s="206">
        <f>Admin!B258</f>
        <v>45644</v>
      </c>
    </row>
    <row r="259" spans="23:23" x14ac:dyDescent="0.15">
      <c r="W259" s="206">
        <f>Admin!B259</f>
        <v>45645</v>
      </c>
    </row>
    <row r="260" spans="23:23" x14ac:dyDescent="0.15">
      <c r="W260" s="206">
        <f>Admin!B260</f>
        <v>45646</v>
      </c>
    </row>
    <row r="261" spans="23:23" x14ac:dyDescent="0.15">
      <c r="W261" s="206">
        <f>Admin!B261</f>
        <v>45647</v>
      </c>
    </row>
    <row r="262" spans="23:23" x14ac:dyDescent="0.15">
      <c r="W262" s="206">
        <f>Admin!B262</f>
        <v>45648</v>
      </c>
    </row>
    <row r="263" spans="23:23" x14ac:dyDescent="0.15">
      <c r="W263" s="206">
        <f>Admin!B263</f>
        <v>45649</v>
      </c>
    </row>
    <row r="264" spans="23:23" x14ac:dyDescent="0.15">
      <c r="W264" s="206">
        <f>Admin!B264</f>
        <v>45650</v>
      </c>
    </row>
    <row r="265" spans="23:23" x14ac:dyDescent="0.15">
      <c r="W265" s="206">
        <f>Admin!B265</f>
        <v>45651</v>
      </c>
    </row>
    <row r="266" spans="23:23" x14ac:dyDescent="0.15">
      <c r="W266" s="206">
        <f>Admin!B266</f>
        <v>45652</v>
      </c>
    </row>
    <row r="267" spans="23:23" x14ac:dyDescent="0.15">
      <c r="W267" s="206">
        <f>Admin!B267</f>
        <v>45653</v>
      </c>
    </row>
    <row r="268" spans="23:23" x14ac:dyDescent="0.15">
      <c r="W268" s="206">
        <f>Admin!B268</f>
        <v>45654</v>
      </c>
    </row>
    <row r="269" spans="23:23" x14ac:dyDescent="0.15">
      <c r="W269" s="206">
        <f>Admin!B269</f>
        <v>45655</v>
      </c>
    </row>
    <row r="270" spans="23:23" x14ac:dyDescent="0.15">
      <c r="W270" s="206">
        <f>Admin!B270</f>
        <v>45656</v>
      </c>
    </row>
    <row r="271" spans="23:23" x14ac:dyDescent="0.15">
      <c r="W271" s="206">
        <f>Admin!B271</f>
        <v>45657</v>
      </c>
    </row>
    <row r="272" spans="23:23" x14ac:dyDescent="0.15">
      <c r="W272" s="206">
        <f>Admin!B272</f>
        <v>45658</v>
      </c>
    </row>
    <row r="273" spans="23:23" x14ac:dyDescent="0.15">
      <c r="W273" s="206">
        <f>Admin!B273</f>
        <v>45659</v>
      </c>
    </row>
    <row r="274" spans="23:23" x14ac:dyDescent="0.15">
      <c r="W274" s="206">
        <f>Admin!B274</f>
        <v>45660</v>
      </c>
    </row>
    <row r="275" spans="23:23" x14ac:dyDescent="0.15">
      <c r="W275" s="206">
        <f>Admin!B275</f>
        <v>45661</v>
      </c>
    </row>
    <row r="276" spans="23:23" x14ac:dyDescent="0.15">
      <c r="W276" s="206">
        <f>Admin!B276</f>
        <v>45662</v>
      </c>
    </row>
    <row r="277" spans="23:23" x14ac:dyDescent="0.15">
      <c r="W277" s="206">
        <f>Admin!B277</f>
        <v>45663</v>
      </c>
    </row>
    <row r="278" spans="23:23" x14ac:dyDescent="0.15">
      <c r="W278" s="206">
        <f>Admin!B278</f>
        <v>45664</v>
      </c>
    </row>
    <row r="279" spans="23:23" x14ac:dyDescent="0.15">
      <c r="W279" s="206">
        <f>Admin!B279</f>
        <v>45665</v>
      </c>
    </row>
    <row r="280" spans="23:23" x14ac:dyDescent="0.15">
      <c r="W280" s="206">
        <f>Admin!B280</f>
        <v>45666</v>
      </c>
    </row>
    <row r="281" spans="23:23" x14ac:dyDescent="0.15">
      <c r="W281" s="206">
        <f>Admin!B281</f>
        <v>45667</v>
      </c>
    </row>
    <row r="282" spans="23:23" x14ac:dyDescent="0.15">
      <c r="W282" s="206">
        <f>Admin!B282</f>
        <v>45668</v>
      </c>
    </row>
    <row r="283" spans="23:23" x14ac:dyDescent="0.15">
      <c r="W283" s="206">
        <f>Admin!B283</f>
        <v>45669</v>
      </c>
    </row>
    <row r="284" spans="23:23" x14ac:dyDescent="0.15">
      <c r="W284" s="206">
        <f>Admin!B284</f>
        <v>45670</v>
      </c>
    </row>
    <row r="285" spans="23:23" x14ac:dyDescent="0.15">
      <c r="W285" s="206">
        <f>Admin!B285</f>
        <v>45671</v>
      </c>
    </row>
    <row r="286" spans="23:23" x14ac:dyDescent="0.15">
      <c r="W286" s="206">
        <f>Admin!B286</f>
        <v>45672</v>
      </c>
    </row>
    <row r="287" spans="23:23" x14ac:dyDescent="0.15">
      <c r="W287" s="206">
        <f>Admin!B287</f>
        <v>45673</v>
      </c>
    </row>
    <row r="288" spans="23:23" x14ac:dyDescent="0.15">
      <c r="W288" s="206">
        <f>Admin!B288</f>
        <v>45674</v>
      </c>
    </row>
    <row r="289" spans="23:23" x14ac:dyDescent="0.15">
      <c r="W289" s="206">
        <f>Admin!B289</f>
        <v>45675</v>
      </c>
    </row>
    <row r="290" spans="23:23" x14ac:dyDescent="0.15">
      <c r="W290" s="206">
        <f>Admin!B290</f>
        <v>45676</v>
      </c>
    </row>
    <row r="291" spans="23:23" x14ac:dyDescent="0.15">
      <c r="W291" s="206">
        <f>Admin!B291</f>
        <v>45677</v>
      </c>
    </row>
    <row r="292" spans="23:23" x14ac:dyDescent="0.15">
      <c r="W292" s="206">
        <f>Admin!B292</f>
        <v>45678</v>
      </c>
    </row>
    <row r="293" spans="23:23" x14ac:dyDescent="0.15">
      <c r="W293" s="206">
        <f>Admin!B293</f>
        <v>45679</v>
      </c>
    </row>
    <row r="294" spans="23:23" x14ac:dyDescent="0.15">
      <c r="W294" s="206">
        <f>Admin!B294</f>
        <v>45680</v>
      </c>
    </row>
    <row r="295" spans="23:23" x14ac:dyDescent="0.15">
      <c r="W295" s="206">
        <f>Admin!B295</f>
        <v>45681</v>
      </c>
    </row>
    <row r="296" spans="23:23" x14ac:dyDescent="0.15">
      <c r="W296" s="206">
        <f>Admin!B296</f>
        <v>45682</v>
      </c>
    </row>
    <row r="297" spans="23:23" x14ac:dyDescent="0.15">
      <c r="W297" s="206">
        <f>Admin!B297</f>
        <v>45683</v>
      </c>
    </row>
    <row r="298" spans="23:23" x14ac:dyDescent="0.15">
      <c r="W298" s="206">
        <f>Admin!B298</f>
        <v>45684</v>
      </c>
    </row>
    <row r="299" spans="23:23" x14ac:dyDescent="0.15">
      <c r="W299" s="206">
        <f>Admin!B299</f>
        <v>45685</v>
      </c>
    </row>
    <row r="300" spans="23:23" x14ac:dyDescent="0.15">
      <c r="W300" s="206">
        <f>Admin!B300</f>
        <v>45686</v>
      </c>
    </row>
    <row r="301" spans="23:23" x14ac:dyDescent="0.15">
      <c r="W301" s="206">
        <f>Admin!B301</f>
        <v>45687</v>
      </c>
    </row>
    <row r="302" spans="23:23" x14ac:dyDescent="0.15">
      <c r="W302" s="206">
        <f>Admin!B302</f>
        <v>45688</v>
      </c>
    </row>
    <row r="303" spans="23:23" x14ac:dyDescent="0.15">
      <c r="W303" s="206">
        <f>Admin!B303</f>
        <v>45689</v>
      </c>
    </row>
    <row r="304" spans="23:23" x14ac:dyDescent="0.15">
      <c r="W304" s="206">
        <f>Admin!B304</f>
        <v>45690</v>
      </c>
    </row>
    <row r="305" spans="23:23" x14ac:dyDescent="0.15">
      <c r="W305" s="206">
        <f>Admin!B305</f>
        <v>45691</v>
      </c>
    </row>
    <row r="306" spans="23:23" x14ac:dyDescent="0.15">
      <c r="W306" s="206">
        <f>Admin!B306</f>
        <v>45692</v>
      </c>
    </row>
    <row r="307" spans="23:23" x14ac:dyDescent="0.15">
      <c r="W307" s="206">
        <f>Admin!B307</f>
        <v>45693</v>
      </c>
    </row>
    <row r="308" spans="23:23" x14ac:dyDescent="0.15">
      <c r="W308" s="206">
        <f>Admin!B308</f>
        <v>45694</v>
      </c>
    </row>
    <row r="309" spans="23:23" x14ac:dyDescent="0.15">
      <c r="W309" s="206">
        <f>Admin!B309</f>
        <v>45695</v>
      </c>
    </row>
    <row r="310" spans="23:23" x14ac:dyDescent="0.15">
      <c r="W310" s="206">
        <f>Admin!B310</f>
        <v>45696</v>
      </c>
    </row>
    <row r="311" spans="23:23" x14ac:dyDescent="0.15">
      <c r="W311" s="206">
        <f>Admin!B311</f>
        <v>45697</v>
      </c>
    </row>
    <row r="312" spans="23:23" x14ac:dyDescent="0.15">
      <c r="W312" s="206">
        <f>Admin!B312</f>
        <v>45698</v>
      </c>
    </row>
    <row r="313" spans="23:23" x14ac:dyDescent="0.15">
      <c r="W313" s="206">
        <f>Admin!B313</f>
        <v>45699</v>
      </c>
    </row>
    <row r="314" spans="23:23" x14ac:dyDescent="0.15">
      <c r="W314" s="206">
        <f>Admin!B314</f>
        <v>45700</v>
      </c>
    </row>
    <row r="315" spans="23:23" x14ac:dyDescent="0.15">
      <c r="W315" s="206">
        <f>Admin!B315</f>
        <v>45701</v>
      </c>
    </row>
    <row r="316" spans="23:23" x14ac:dyDescent="0.15">
      <c r="W316" s="206">
        <f>Admin!B316</f>
        <v>45702</v>
      </c>
    </row>
    <row r="317" spans="23:23" x14ac:dyDescent="0.15">
      <c r="W317" s="206">
        <f>Admin!B317</f>
        <v>45703</v>
      </c>
    </row>
    <row r="318" spans="23:23" x14ac:dyDescent="0.15">
      <c r="W318" s="206">
        <f>Admin!B318</f>
        <v>45704</v>
      </c>
    </row>
    <row r="319" spans="23:23" x14ac:dyDescent="0.15">
      <c r="W319" s="206">
        <f>Admin!B319</f>
        <v>45705</v>
      </c>
    </row>
    <row r="320" spans="23:23" x14ac:dyDescent="0.15">
      <c r="W320" s="206">
        <f>Admin!B320</f>
        <v>45706</v>
      </c>
    </row>
    <row r="321" spans="23:23" x14ac:dyDescent="0.15">
      <c r="W321" s="206">
        <f>Admin!B321</f>
        <v>45707</v>
      </c>
    </row>
    <row r="322" spans="23:23" x14ac:dyDescent="0.15">
      <c r="W322" s="206">
        <f>Admin!B322</f>
        <v>45708</v>
      </c>
    </row>
    <row r="323" spans="23:23" x14ac:dyDescent="0.15">
      <c r="W323" s="206">
        <f>Admin!B323</f>
        <v>45709</v>
      </c>
    </row>
    <row r="324" spans="23:23" x14ac:dyDescent="0.15">
      <c r="W324" s="206">
        <f>Admin!B324</f>
        <v>45710</v>
      </c>
    </row>
    <row r="325" spans="23:23" x14ac:dyDescent="0.15">
      <c r="W325" s="206">
        <f>Admin!B325</f>
        <v>45711</v>
      </c>
    </row>
    <row r="326" spans="23:23" x14ac:dyDescent="0.15">
      <c r="W326" s="206">
        <f>Admin!B326</f>
        <v>45712</v>
      </c>
    </row>
    <row r="327" spans="23:23" x14ac:dyDescent="0.15">
      <c r="W327" s="206">
        <f>Admin!B327</f>
        <v>45713</v>
      </c>
    </row>
    <row r="328" spans="23:23" x14ac:dyDescent="0.15">
      <c r="W328" s="206">
        <f>Admin!B328</f>
        <v>45714</v>
      </c>
    </row>
    <row r="329" spans="23:23" x14ac:dyDescent="0.15">
      <c r="W329" s="206">
        <f>Admin!B329</f>
        <v>45715</v>
      </c>
    </row>
    <row r="330" spans="23:23" x14ac:dyDescent="0.15">
      <c r="W330" s="206">
        <f>Admin!B330</f>
        <v>45716</v>
      </c>
    </row>
    <row r="331" spans="23:23" x14ac:dyDescent="0.15">
      <c r="W331" s="206">
        <f>Admin!B331</f>
        <v>45717</v>
      </c>
    </row>
    <row r="332" spans="23:23" x14ac:dyDescent="0.15">
      <c r="W332" s="206">
        <f>Admin!B332</f>
        <v>45718</v>
      </c>
    </row>
    <row r="333" spans="23:23" x14ac:dyDescent="0.15">
      <c r="W333" s="206">
        <f>Admin!B333</f>
        <v>45719</v>
      </c>
    </row>
    <row r="334" spans="23:23" x14ac:dyDescent="0.15">
      <c r="W334" s="206">
        <f>Admin!B334</f>
        <v>45720</v>
      </c>
    </row>
    <row r="335" spans="23:23" x14ac:dyDescent="0.15">
      <c r="W335" s="206">
        <f>Admin!B335</f>
        <v>45721</v>
      </c>
    </row>
    <row r="336" spans="23:23" x14ac:dyDescent="0.15">
      <c r="W336" s="206">
        <f>Admin!B336</f>
        <v>45722</v>
      </c>
    </row>
    <row r="337" spans="23:23" x14ac:dyDescent="0.15">
      <c r="W337" s="206">
        <f>Admin!B337</f>
        <v>45723</v>
      </c>
    </row>
    <row r="338" spans="23:23" x14ac:dyDescent="0.15">
      <c r="W338" s="206">
        <f>Admin!B338</f>
        <v>45724</v>
      </c>
    </row>
    <row r="339" spans="23:23" x14ac:dyDescent="0.15">
      <c r="W339" s="206">
        <f>Admin!B339</f>
        <v>45725</v>
      </c>
    </row>
    <row r="340" spans="23:23" x14ac:dyDescent="0.15">
      <c r="W340" s="206">
        <f>Admin!B340</f>
        <v>45726</v>
      </c>
    </row>
    <row r="341" spans="23:23" x14ac:dyDescent="0.15">
      <c r="W341" s="206">
        <f>Admin!B341</f>
        <v>45727</v>
      </c>
    </row>
    <row r="342" spans="23:23" x14ac:dyDescent="0.15">
      <c r="W342" s="206">
        <f>Admin!B342</f>
        <v>45728</v>
      </c>
    </row>
    <row r="343" spans="23:23" x14ac:dyDescent="0.15">
      <c r="W343" s="206">
        <f>Admin!B343</f>
        <v>45729</v>
      </c>
    </row>
    <row r="344" spans="23:23" x14ac:dyDescent="0.15">
      <c r="W344" s="206">
        <f>Admin!B344</f>
        <v>45730</v>
      </c>
    </row>
    <row r="345" spans="23:23" x14ac:dyDescent="0.15">
      <c r="W345" s="206">
        <f>Admin!B345</f>
        <v>45731</v>
      </c>
    </row>
    <row r="346" spans="23:23" x14ac:dyDescent="0.15">
      <c r="W346" s="206">
        <f>Admin!B346</f>
        <v>45732</v>
      </c>
    </row>
    <row r="347" spans="23:23" x14ac:dyDescent="0.15">
      <c r="W347" s="206">
        <f>Admin!B347</f>
        <v>45733</v>
      </c>
    </row>
    <row r="348" spans="23:23" x14ac:dyDescent="0.15">
      <c r="W348" s="206">
        <f>Admin!B348</f>
        <v>45734</v>
      </c>
    </row>
    <row r="349" spans="23:23" x14ac:dyDescent="0.15">
      <c r="W349" s="206">
        <f>Admin!B349</f>
        <v>45735</v>
      </c>
    </row>
    <row r="350" spans="23:23" x14ac:dyDescent="0.15">
      <c r="W350" s="206">
        <f>Admin!B350</f>
        <v>45736</v>
      </c>
    </row>
    <row r="351" spans="23:23" x14ac:dyDescent="0.15">
      <c r="W351" s="206">
        <f>Admin!B351</f>
        <v>45737</v>
      </c>
    </row>
    <row r="352" spans="23:23" x14ac:dyDescent="0.15">
      <c r="W352" s="206">
        <f>Admin!B352</f>
        <v>45738</v>
      </c>
    </row>
    <row r="353" spans="23:23" x14ac:dyDescent="0.15">
      <c r="W353" s="206">
        <f>Admin!B353</f>
        <v>45739</v>
      </c>
    </row>
    <row r="354" spans="23:23" x14ac:dyDescent="0.15">
      <c r="W354" s="206">
        <f>Admin!B354</f>
        <v>45740</v>
      </c>
    </row>
    <row r="355" spans="23:23" x14ac:dyDescent="0.15">
      <c r="W355" s="206">
        <f>Admin!B355</f>
        <v>45741</v>
      </c>
    </row>
    <row r="356" spans="23:23" x14ac:dyDescent="0.15">
      <c r="W356" s="206">
        <f>Admin!B356</f>
        <v>45742</v>
      </c>
    </row>
    <row r="357" spans="23:23" x14ac:dyDescent="0.15">
      <c r="W357" s="206">
        <f>Admin!B357</f>
        <v>45743</v>
      </c>
    </row>
    <row r="358" spans="23:23" x14ac:dyDescent="0.15">
      <c r="W358" s="206">
        <f>Admin!B358</f>
        <v>45744</v>
      </c>
    </row>
    <row r="359" spans="23:23" x14ac:dyDescent="0.15">
      <c r="W359" s="206">
        <f>Admin!B359</f>
        <v>45745</v>
      </c>
    </row>
    <row r="360" spans="23:23" x14ac:dyDescent="0.15">
      <c r="W360" s="206">
        <f>Admin!B360</f>
        <v>45746</v>
      </c>
    </row>
    <row r="361" spans="23:23" x14ac:dyDescent="0.15">
      <c r="W361" s="206">
        <f>Admin!B361</f>
        <v>45747</v>
      </c>
    </row>
    <row r="362" spans="23:23" x14ac:dyDescent="0.15">
      <c r="W362" s="206">
        <f>Admin!B362</f>
        <v>45748</v>
      </c>
    </row>
    <row r="363" spans="23:23" x14ac:dyDescent="0.15">
      <c r="W363" s="206">
        <f>Admin!B363</f>
        <v>45749</v>
      </c>
    </row>
    <row r="364" spans="23:23" x14ac:dyDescent="0.15">
      <c r="W364" s="206">
        <f>Admin!B364</f>
        <v>45750</v>
      </c>
    </row>
    <row r="365" spans="23:23" x14ac:dyDescent="0.15">
      <c r="W365" s="206">
        <f>Admin!B365</f>
        <v>45751</v>
      </c>
    </row>
    <row r="366" spans="23:23" x14ac:dyDescent="0.15">
      <c r="W366" s="206">
        <f>Admin!B366</f>
        <v>45752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45388</v>
      </c>
      <c r="L9" s="200" t="s">
        <v>76</v>
      </c>
      <c r="M9" s="202">
        <f>K9+(7-WEEKDAY(K9, 2))</f>
        <v>45389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45390</v>
      </c>
      <c r="L19" s="200" t="s">
        <v>76</v>
      </c>
      <c r="M19" s="202">
        <f>K19+6</f>
        <v>45396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45397</v>
      </c>
      <c r="L29" s="200" t="s">
        <v>76</v>
      </c>
      <c r="M29" s="202">
        <f>K29+6</f>
        <v>45403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45404</v>
      </c>
      <c r="L39" s="200" t="s">
        <v>76</v>
      </c>
      <c r="M39" s="202">
        <f>K39+6</f>
        <v>45410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DATE(2024,4,6)</f>
        <v>45388</v>
      </c>
      <c r="L49" s="203" t="s">
        <v>76</v>
      </c>
      <c r="M49" s="205">
        <f>DATE(2024,4,30)</f>
        <v>45412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45411</v>
      </c>
      <c r="L9" s="203" t="s">
        <v>76</v>
      </c>
      <c r="M9" s="205">
        <f>K9+6</f>
        <v>45417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45418</v>
      </c>
      <c r="L19" s="203" t="s">
        <v>76</v>
      </c>
      <c r="M19" s="205">
        <f>K19+6</f>
        <v>45424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45425</v>
      </c>
      <c r="L29" s="203" t="s">
        <v>76</v>
      </c>
      <c r="M29" s="205">
        <f>K29+6</f>
        <v>45431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45432</v>
      </c>
      <c r="L39" s="203" t="s">
        <v>76</v>
      </c>
      <c r="M39" s="205">
        <f>K39+6</f>
        <v>45438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DATE(2024,5,1)</f>
        <v>45413</v>
      </c>
      <c r="L49" s="203" t="s">
        <v>76</v>
      </c>
      <c r="M49" s="205">
        <f>DATE(2024,5,31)</f>
        <v>45443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45439</v>
      </c>
      <c r="L9" s="203" t="s">
        <v>76</v>
      </c>
      <c r="M9" s="205">
        <f>K9+6</f>
        <v>45445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45446</v>
      </c>
      <c r="L19" s="203" t="s">
        <v>76</v>
      </c>
      <c r="M19" s="205">
        <f>K19+6</f>
        <v>45452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45453</v>
      </c>
      <c r="L29" s="203" t="s">
        <v>76</v>
      </c>
      <c r="M29" s="205">
        <f>K29+6</f>
        <v>45459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45460</v>
      </c>
      <c r="L39" s="203" t="s">
        <v>76</v>
      </c>
      <c r="M39" s="205">
        <f>K39+6</f>
        <v>45466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45467</v>
      </c>
      <c r="L49" s="203" t="s">
        <v>76</v>
      </c>
      <c r="M49" s="205">
        <f>K49+6</f>
        <v>45473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DATE(2024,6,1)</f>
        <v>45444</v>
      </c>
      <c r="L59" s="203" t="s">
        <v>76</v>
      </c>
      <c r="M59" s="205">
        <f>DATE(2024,6,30)</f>
        <v>45473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45477</v>
      </c>
      <c r="L9" s="203" t="s">
        <v>76</v>
      </c>
      <c r="M9" s="205">
        <f>K9+6</f>
        <v>45483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45484</v>
      </c>
      <c r="L19" s="203" t="s">
        <v>76</v>
      </c>
      <c r="M19" s="205">
        <f>K19+6</f>
        <v>45490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45491</v>
      </c>
      <c r="L29" s="203" t="s">
        <v>76</v>
      </c>
      <c r="M29" s="205">
        <f>K29+6</f>
        <v>45497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45498</v>
      </c>
      <c r="L39" s="203" t="s">
        <v>76</v>
      </c>
      <c r="M39" s="205">
        <f>K39+6</f>
        <v>45504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DATE(2024,7,1)</f>
        <v>45474</v>
      </c>
      <c r="L49" s="203" t="s">
        <v>76</v>
      </c>
      <c r="M49" s="205">
        <f>DATE(2024,7,31)</f>
        <v>45504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45505</v>
      </c>
      <c r="L9" s="203" t="s">
        <v>76</v>
      </c>
      <c r="M9" s="205">
        <f>K9+6</f>
        <v>45511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45512</v>
      </c>
      <c r="L19" s="203" t="s">
        <v>76</v>
      </c>
      <c r="M19" s="205">
        <f>K19+6</f>
        <v>45518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45519</v>
      </c>
      <c r="L29" s="203" t="s">
        <v>76</v>
      </c>
      <c r="M29" s="205">
        <f>K29+6</f>
        <v>45525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45526</v>
      </c>
      <c r="L39" s="203" t="s">
        <v>76</v>
      </c>
      <c r="M39" s="205">
        <f>K39+6</f>
        <v>45532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DATE(2024,8,1)</f>
        <v>45505</v>
      </c>
      <c r="L49" s="203" t="s">
        <v>76</v>
      </c>
      <c r="M49" s="205">
        <f>DATE(2024,8,31)</f>
        <v>45535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45533</v>
      </c>
      <c r="L9" s="203" t="s">
        <v>76</v>
      </c>
      <c r="M9" s="205">
        <f>K9+6</f>
        <v>45539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45540</v>
      </c>
      <c r="L19" s="203" t="s">
        <v>76</v>
      </c>
      <c r="M19" s="205">
        <f>K19+6</f>
        <v>45546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45547</v>
      </c>
      <c r="L29" s="203" t="s">
        <v>76</v>
      </c>
      <c r="M29" s="205">
        <f>K29+6</f>
        <v>45553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45554</v>
      </c>
      <c r="L39" s="203" t="s">
        <v>76</v>
      </c>
      <c r="M39" s="205">
        <f>K39+6</f>
        <v>45560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45561</v>
      </c>
      <c r="L49" s="203" t="s">
        <v>76</v>
      </c>
      <c r="M49" s="205">
        <f>K49+6</f>
        <v>45567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DATE(2024,9,1)</f>
        <v>45536</v>
      </c>
      <c r="L59" s="203" t="s">
        <v>76</v>
      </c>
      <c r="M59" s="205">
        <f>DATE(2024,9,30)</f>
        <v>45565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45568</v>
      </c>
      <c r="L9" s="203" t="s">
        <v>76</v>
      </c>
      <c r="M9" s="205">
        <f>Admin!B188</f>
        <v>45574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45575</v>
      </c>
      <c r="L19" s="203" t="s">
        <v>76</v>
      </c>
      <c r="M19" s="205">
        <f>K19+6</f>
        <v>45581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45582</v>
      </c>
      <c r="L29" s="203" t="s">
        <v>76</v>
      </c>
      <c r="M29" s="205">
        <f>K29+6</f>
        <v>45588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45589</v>
      </c>
      <c r="L39" s="203" t="s">
        <v>76</v>
      </c>
      <c r="M39" s="205">
        <f>K39+6</f>
        <v>45595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DATE(2024,10,1)</f>
        <v>45566</v>
      </c>
      <c r="L49" s="203" t="s">
        <v>76</v>
      </c>
      <c r="M49" s="205">
        <f>DATE(2024,10,31)</f>
        <v>45596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45596</v>
      </c>
      <c r="L9" s="203" t="s">
        <v>76</v>
      </c>
      <c r="M9" s="205">
        <f>K9+6</f>
        <v>45602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45603</v>
      </c>
      <c r="L19" s="203" t="s">
        <v>76</v>
      </c>
      <c r="M19" s="205">
        <f>K19+6</f>
        <v>45609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45610</v>
      </c>
      <c r="L29" s="203" t="s">
        <v>76</v>
      </c>
      <c r="M29" s="205">
        <f>K29+6</f>
        <v>45616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45617</v>
      </c>
      <c r="L39" s="203" t="s">
        <v>76</v>
      </c>
      <c r="M39" s="205">
        <f>K39+6</f>
        <v>45623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DATE(2024,11,1)</f>
        <v>45597</v>
      </c>
      <c r="L49" s="203" t="s">
        <v>76</v>
      </c>
      <c r="M49" s="205">
        <f>DATE(2024,11,30)</f>
        <v>45626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45624</v>
      </c>
      <c r="L9" s="203" t="s">
        <v>76</v>
      </c>
      <c r="M9" s="205">
        <f>K9+6</f>
        <v>45630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45631</v>
      </c>
      <c r="L19" s="203" t="s">
        <v>76</v>
      </c>
      <c r="M19" s="205">
        <f>K19+6</f>
        <v>45637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45638</v>
      </c>
      <c r="L29" s="203" t="s">
        <v>76</v>
      </c>
      <c r="M29" s="205">
        <f>K29+6</f>
        <v>45644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45645</v>
      </c>
      <c r="L39" s="203" t="s">
        <v>76</v>
      </c>
      <c r="M39" s="205">
        <f>K39+6</f>
        <v>45651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45652</v>
      </c>
      <c r="L49" s="203" t="s">
        <v>76</v>
      </c>
      <c r="M49" s="205">
        <f>K49+6</f>
        <v>45658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DATE(2024,12,1)</f>
        <v>45627</v>
      </c>
      <c r="L59" s="203" t="s">
        <v>76</v>
      </c>
      <c r="M59" s="205">
        <f>DATE(2024,12,31)</f>
        <v>45657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45659</v>
      </c>
      <c r="L9" s="203" t="s">
        <v>76</v>
      </c>
      <c r="M9" s="205">
        <f>K9+6</f>
        <v>45665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45666</v>
      </c>
      <c r="L19" s="203" t="s">
        <v>76</v>
      </c>
      <c r="M19" s="205">
        <f>K19+6</f>
        <v>45672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45673</v>
      </c>
      <c r="L29" s="203" t="s">
        <v>76</v>
      </c>
      <c r="M29" s="205">
        <f>K29+6</f>
        <v>45679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45680</v>
      </c>
      <c r="L39" s="203" t="s">
        <v>76</v>
      </c>
      <c r="M39" s="205">
        <f>K39+6</f>
        <v>45686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DATE(2025,1,1)</f>
        <v>45658</v>
      </c>
      <c r="L49" s="203" t="s">
        <v>76</v>
      </c>
      <c r="M49" s="205">
        <f>DATE(2025,1,31)</f>
        <v>45688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45687</v>
      </c>
      <c r="L9" s="203" t="s">
        <v>76</v>
      </c>
      <c r="M9" s="205">
        <f>K9+6</f>
        <v>45693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45694</v>
      </c>
      <c r="L19" s="203" t="s">
        <v>76</v>
      </c>
      <c r="M19" s="205">
        <f>K19+6</f>
        <v>45700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45701</v>
      </c>
      <c r="L29" s="203" t="s">
        <v>76</v>
      </c>
      <c r="M29" s="205">
        <f>K29+6</f>
        <v>45707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45708</v>
      </c>
      <c r="L39" s="203" t="s">
        <v>76</v>
      </c>
      <c r="M39" s="205">
        <f>K39+6</f>
        <v>45714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DATE(2025,2,1)</f>
        <v>45689</v>
      </c>
      <c r="L49" s="203" t="s">
        <v>76</v>
      </c>
      <c r="M49" s="205">
        <f>DATE(2025,2,28)</f>
        <v>45716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45715</v>
      </c>
      <c r="L9" s="203" t="s">
        <v>76</v>
      </c>
      <c r="M9" s="205">
        <f>K9+6</f>
        <v>45721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45722</v>
      </c>
      <c r="L19" s="203" t="s">
        <v>76</v>
      </c>
      <c r="M19" s="205">
        <f>K19+6</f>
        <v>45728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45729</v>
      </c>
      <c r="L29" s="203" t="s">
        <v>76</v>
      </c>
      <c r="M29" s="205">
        <f>K29+6</f>
        <v>45735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45736</v>
      </c>
      <c r="L39" s="203" t="s">
        <v>76</v>
      </c>
      <c r="M39" s="205">
        <f>K39+6</f>
        <v>45742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45743</v>
      </c>
      <c r="L49" s="203" t="s">
        <v>76</v>
      </c>
      <c r="M49" s="205">
        <f>K49+6</f>
        <v>45749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45750</v>
      </c>
      <c r="L59" s="203" t="s">
        <v>76</v>
      </c>
      <c r="M59" s="205">
        <f>K59+4</f>
        <v>45754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DATE(2025,3,1)</f>
        <v>45717</v>
      </c>
      <c r="L69" s="203" t="s">
        <v>76</v>
      </c>
      <c r="M69" s="205">
        <f>DATE(2025,3,31)</f>
        <v>45747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45389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45389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45389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45389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45389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DATE(2024,4,30)</f>
        <v>45412</v>
      </c>
      <c r="C4" s="229">
        <f>DATE(2024,5,19)</f>
        <v>45431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2501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DATE(2024,5,31)</f>
        <v>45443</v>
      </c>
      <c r="C5" s="229">
        <f>DATE(2024,6,19)</f>
        <v>45462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2502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DATE(2024,6,30)</f>
        <v>45473</v>
      </c>
      <c r="C6" s="229">
        <f>DATE(2024,7,19)</f>
        <v>45492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2503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DATE(2024,7,31)</f>
        <v>45504</v>
      </c>
      <c r="C7" s="229">
        <f>DATE(2024,8,19)</f>
        <v>45523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2504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DATE(2024,8,31)</f>
        <v>45535</v>
      </c>
      <c r="C8" s="229">
        <f>DATE(2024,9,19)</f>
        <v>45554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2505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DATE(2024,9,30)</f>
        <v>45565</v>
      </c>
      <c r="C9" s="229">
        <f>DATE(2024,10,19)</f>
        <v>45584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2506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DATE(2024,10,31)</f>
        <v>45596</v>
      </c>
      <c r="C10" s="229">
        <f>DATE(2024,11,19)</f>
        <v>45615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2507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DATE(2024,11,30)</f>
        <v>45626</v>
      </c>
      <c r="C11" s="229">
        <f>DATE(2024,12,19)</f>
        <v>45645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2508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DATE(2024,12,31)</f>
        <v>45657</v>
      </c>
      <c r="C12" s="229">
        <f>DATE(2025,1,19)</f>
        <v>45676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2509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DATE(2025,1,31)</f>
        <v>45688</v>
      </c>
      <c r="C13" s="229">
        <f>DATE(2025,2,19)</f>
        <v>45707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2510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DATE(2025,2,28)</f>
        <v>45716</v>
      </c>
      <c r="C14" s="229">
        <f>DATE(2025,3,19)</f>
        <v>45735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2511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DATE(2025,3,31)</f>
        <v>45747</v>
      </c>
      <c r="C15" s="229">
        <f>DATE(2025,4,19)</f>
        <v>45766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2512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45752</v>
      </c>
      <c r="J1" s="493"/>
      <c r="K1" s="303"/>
      <c r="L1" s="303"/>
      <c r="M1" s="304"/>
      <c r="N1" s="305" t="str">
        <f>TEXT(YEAR(I1)-1,"0") &amp; "-" &amp; TEXT(YEAR(I1)-2000,"0")</f>
        <v>2024-25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45388</v>
      </c>
      <c r="C2" s="309">
        <v>1</v>
      </c>
      <c r="D2" s="309">
        <v>1</v>
      </c>
      <c r="E2" s="310">
        <f>B2</f>
        <v>45388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45389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45390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45391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45392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45393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45394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45395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45396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45397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45398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45399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45400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45401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45402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45403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45404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45405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45406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45407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45408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45409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45410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45411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45412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45413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45414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45415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45416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45417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45418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45419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45420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45421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45422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45423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45424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45425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45426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45427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45428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45429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45430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45431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45432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45433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45434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45435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45436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45437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45438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45439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45440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45441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45442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45443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45444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45445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45446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45447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45448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45449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45450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45451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45452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45453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45454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45455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45456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45457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45458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45459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45460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45461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45462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45463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45464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45465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45466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45467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45468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45469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45470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45471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45472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45473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45474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45475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45476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45477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45478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45479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45480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45481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45482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45483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45484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45485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45486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45487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45488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45489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45490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45491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45492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45493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45494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45495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45496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45497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45498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45499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45500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45501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45502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45503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45504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45505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45506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45507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45508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45509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45510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45511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45512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45513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45514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45515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45516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45517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45518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45519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45520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45521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45522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45523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45524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45525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45526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45527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45528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45529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45530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45531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45532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45533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45534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45535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45536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45537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45538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45539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45540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45541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45542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45543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45544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45545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45546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45547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45548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45549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45550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45551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45552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45553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45554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45555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45556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45557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45558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45559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45560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45561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45562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45563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45564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45565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45566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45567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45568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45569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45570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45571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45572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45573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45574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45575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45576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45577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45578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45579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45580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45581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45582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45583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45584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45585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45586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45587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45588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45589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45590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45591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45592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45593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45594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45595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45596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45597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45598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45599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45600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45601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45602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45603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45604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45605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45606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45607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45608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45609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45610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45611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45612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45613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45614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45615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45616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45617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45618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45619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45620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45621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45622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45623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45624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45625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45626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45627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45628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45629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45630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45631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45632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45633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45634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45635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45636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45637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45638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45639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45640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45641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45642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45643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45644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45645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45646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45647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45648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45649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45650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45651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45652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45653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45654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45655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45656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45657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45658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45659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45660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45661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45662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45663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45664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45665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45666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45667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45668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45669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45670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45671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45672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45673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45674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45675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45676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45677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45678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45679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45680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45681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45682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45683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45684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45685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45686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45687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45688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45689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45690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45691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45692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45693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45694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45695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45696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45697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45698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45699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45700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45701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45702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45703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45704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45705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45706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45707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45708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45709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45710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45711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45712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45713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45714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45715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45716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45717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45718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45719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45720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45721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45722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45723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45724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45725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45726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45727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45728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45729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45730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45731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45732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45733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45734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45735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45736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45737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45738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45739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45740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45741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45742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45743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45744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45745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45746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45747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45748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45749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45750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45751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45752</v>
      </c>
      <c r="C366" s="309">
        <v>53</v>
      </c>
      <c r="D366" s="309">
        <v>12</v>
      </c>
      <c r="E366" s="310">
        <f>B366</f>
        <v>45752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45753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45754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45755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45756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45757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45758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45759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45760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45761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45762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45763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45764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45765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45766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45767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