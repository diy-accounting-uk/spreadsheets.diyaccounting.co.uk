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Apr" sheetId="12" r:id="rId2"/>
    <sheet name="May" sheetId="11" r:id="rId3"/>
    <sheet name="Jun" sheetId="10" r:id="rId4"/>
    <sheet name="Jul" sheetId="9" r:id="rId5"/>
    <sheet name="Aug" sheetId="8" r:id="rId6"/>
    <sheet name="Sep" sheetId="17" r:id="rId7"/>
    <sheet name="Oct" sheetId="16" r:id="rId8"/>
    <sheet name="Nov" sheetId="15" r:id="rId9"/>
    <sheet name="Dec" sheetId="14" r:id="rId10"/>
    <sheet name="Jan" sheetId="13" r:id="rId11"/>
    <sheet name="Feb" sheetId="19" r:id="rId12"/>
    <sheet name="Mar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<sst xmlns="http://schemas.openxmlformats.org/spreadsheetml/2006/main" count="1383" uniqueCount="138">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</sst>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43927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43928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43929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43930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43931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43932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43933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43927</v>
      </c>
      <c r="N9" s="5"/>
      <c r="O9" s="163">
        <f>Admin!I1</f>
        <v>44291</v>
      </c>
      <c r="P9" s="145"/>
      <c r="Q9" s="140"/>
      <c r="R9" s="141"/>
      <c r="S9" s="141"/>
      <c r="T9" s="80"/>
      <c r="U9" s="345"/>
      <c r="W9" s="206">
        <f>Admin!B9</f>
        <v>43934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43935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43936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43937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43938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43939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43940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43941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43942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43943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43944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43945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43946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43947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43948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43949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43950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43951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43952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43953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43954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43955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43956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43957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43958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43959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43960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43961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43962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43963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43964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43965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43966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43967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43968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43969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43970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43971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43972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43973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43974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43975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43976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43977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43978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43979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43980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43981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43982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43983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43984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43985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43986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43987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43988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43989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43990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43991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43992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43993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43994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43995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43996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43997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43998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43999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44000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44001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44002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44003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44004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44005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44006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44007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44008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44009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44010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44011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44012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44013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44014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44015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44016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44017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44018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44019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44020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44021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44022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44023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44024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44025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44026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44027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44028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44029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44030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44031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44032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44033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44034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44035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44036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44037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44038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44039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44040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44041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44042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44043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44044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44045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44046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44047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44048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44049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44050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44051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44052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44053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44054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44055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44056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44057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44058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44059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44060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44061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44062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44063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44064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44065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44066</v>
      </c>
    </row>
    <row r="142" spans="1:23" x14ac:dyDescent="0.15">
      <c r="W142" s="206">
        <f>Admin!B142</f>
        <v>44067</v>
      </c>
    </row>
    <row r="143" spans="1:23" x14ac:dyDescent="0.15">
      <c r="W143" s="206">
        <f>Admin!B143</f>
        <v>44068</v>
      </c>
    </row>
    <row r="144" spans="1:23" x14ac:dyDescent="0.15">
      <c r="W144" s="206">
        <f>Admin!B144</f>
        <v>44069</v>
      </c>
    </row>
    <row r="145" spans="23:23" x14ac:dyDescent="0.15">
      <c r="W145" s="206">
        <f>Admin!B145</f>
        <v>44070</v>
      </c>
    </row>
    <row r="146" spans="23:23" x14ac:dyDescent="0.15">
      <c r="W146" s="206">
        <f>Admin!B146</f>
        <v>44071</v>
      </c>
    </row>
    <row r="147" spans="23:23" x14ac:dyDescent="0.15">
      <c r="W147" s="206">
        <f>Admin!B147</f>
        <v>44072</v>
      </c>
    </row>
    <row r="148" spans="23:23" x14ac:dyDescent="0.15">
      <c r="W148" s="206">
        <f>Admin!B148</f>
        <v>44073</v>
      </c>
    </row>
    <row r="149" spans="23:23" x14ac:dyDescent="0.15">
      <c r="W149" s="206">
        <f>Admin!B149</f>
        <v>44074</v>
      </c>
    </row>
    <row r="150" spans="23:23" x14ac:dyDescent="0.15">
      <c r="W150" s="206">
        <f>Admin!B150</f>
        <v>44075</v>
      </c>
    </row>
    <row r="151" spans="23:23" x14ac:dyDescent="0.15">
      <c r="W151" s="206">
        <f>Admin!B151</f>
        <v>44076</v>
      </c>
    </row>
    <row r="152" spans="23:23" x14ac:dyDescent="0.15">
      <c r="W152" s="206">
        <f>Admin!B152</f>
        <v>44077</v>
      </c>
    </row>
    <row r="153" spans="23:23" x14ac:dyDescent="0.15">
      <c r="W153" s="206">
        <f>Admin!B153</f>
        <v>44078</v>
      </c>
    </row>
    <row r="154" spans="23:23" x14ac:dyDescent="0.15">
      <c r="W154" s="206">
        <f>Admin!B154</f>
        <v>44079</v>
      </c>
    </row>
    <row r="155" spans="23:23" x14ac:dyDescent="0.15">
      <c r="W155" s="206">
        <f>Admin!B155</f>
        <v>44080</v>
      </c>
    </row>
    <row r="156" spans="23:23" x14ac:dyDescent="0.15">
      <c r="W156" s="206">
        <f>Admin!B156</f>
        <v>44081</v>
      </c>
    </row>
    <row r="157" spans="23:23" x14ac:dyDescent="0.15">
      <c r="W157" s="206">
        <f>Admin!B157</f>
        <v>44082</v>
      </c>
    </row>
    <row r="158" spans="23:23" x14ac:dyDescent="0.15">
      <c r="W158" s="206">
        <f>Admin!B158</f>
        <v>44083</v>
      </c>
    </row>
    <row r="159" spans="23:23" x14ac:dyDescent="0.15">
      <c r="W159" s="206">
        <f>Admin!B159</f>
        <v>44084</v>
      </c>
    </row>
    <row r="160" spans="23:23" x14ac:dyDescent="0.15">
      <c r="W160" s="206">
        <f>Admin!B160</f>
        <v>44085</v>
      </c>
    </row>
    <row r="161" spans="23:23" x14ac:dyDescent="0.15">
      <c r="W161" s="206">
        <f>Admin!B161</f>
        <v>44086</v>
      </c>
    </row>
    <row r="162" spans="23:23" x14ac:dyDescent="0.15">
      <c r="W162" s="206">
        <f>Admin!B162</f>
        <v>44087</v>
      </c>
    </row>
    <row r="163" spans="23:23" x14ac:dyDescent="0.15">
      <c r="W163" s="206">
        <f>Admin!B163</f>
        <v>44088</v>
      </c>
    </row>
    <row r="164" spans="23:23" x14ac:dyDescent="0.15">
      <c r="W164" s="206">
        <f>Admin!B164</f>
        <v>44089</v>
      </c>
    </row>
    <row r="165" spans="23:23" x14ac:dyDescent="0.15">
      <c r="W165" s="206">
        <f>Admin!B165</f>
        <v>44090</v>
      </c>
    </row>
    <row r="166" spans="23:23" x14ac:dyDescent="0.15">
      <c r="W166" s="206">
        <f>Admin!B166</f>
        <v>44091</v>
      </c>
    </row>
    <row r="167" spans="23:23" x14ac:dyDescent="0.15">
      <c r="W167" s="206">
        <f>Admin!B167</f>
        <v>44092</v>
      </c>
    </row>
    <row r="168" spans="23:23" x14ac:dyDescent="0.15">
      <c r="W168" s="206">
        <f>Admin!B168</f>
        <v>44093</v>
      </c>
    </row>
    <row r="169" spans="23:23" x14ac:dyDescent="0.15">
      <c r="W169" s="206">
        <f>Admin!B169</f>
        <v>44094</v>
      </c>
    </row>
    <row r="170" spans="23:23" x14ac:dyDescent="0.15">
      <c r="W170" s="206">
        <f>Admin!B170</f>
        <v>44095</v>
      </c>
    </row>
    <row r="171" spans="23:23" x14ac:dyDescent="0.15">
      <c r="W171" s="206">
        <f>Admin!B171</f>
        <v>44096</v>
      </c>
    </row>
    <row r="172" spans="23:23" x14ac:dyDescent="0.15">
      <c r="W172" s="206">
        <f>Admin!B172</f>
        <v>44097</v>
      </c>
    </row>
    <row r="173" spans="23:23" x14ac:dyDescent="0.15">
      <c r="W173" s="206">
        <f>Admin!B173</f>
        <v>44098</v>
      </c>
    </row>
    <row r="174" spans="23:23" x14ac:dyDescent="0.15">
      <c r="W174" s="206">
        <f>Admin!B174</f>
        <v>44099</v>
      </c>
    </row>
    <row r="175" spans="23:23" x14ac:dyDescent="0.15">
      <c r="W175" s="206">
        <f>Admin!B175</f>
        <v>44100</v>
      </c>
    </row>
    <row r="176" spans="23:23" x14ac:dyDescent="0.15">
      <c r="W176" s="206">
        <f>Admin!B176</f>
        <v>44101</v>
      </c>
    </row>
    <row r="177" spans="23:23" x14ac:dyDescent="0.15">
      <c r="W177" s="206">
        <f>Admin!B177</f>
        <v>44102</v>
      </c>
    </row>
    <row r="178" spans="23:23" x14ac:dyDescent="0.15">
      <c r="W178" s="206">
        <f>Admin!B178</f>
        <v>44103</v>
      </c>
    </row>
    <row r="179" spans="23:23" x14ac:dyDescent="0.15">
      <c r="W179" s="206">
        <f>Admin!B179</f>
        <v>44104</v>
      </c>
    </row>
    <row r="180" spans="23:23" x14ac:dyDescent="0.15">
      <c r="W180" s="206">
        <f>Admin!B180</f>
        <v>44105</v>
      </c>
    </row>
    <row r="181" spans="23:23" x14ac:dyDescent="0.15">
      <c r="W181" s="206">
        <f>Admin!B181</f>
        <v>44106</v>
      </c>
    </row>
    <row r="182" spans="23:23" x14ac:dyDescent="0.15">
      <c r="W182" s="206">
        <f>Admin!B182</f>
        <v>44107</v>
      </c>
    </row>
    <row r="183" spans="23:23" x14ac:dyDescent="0.15">
      <c r="W183" s="206">
        <f>Admin!B183</f>
        <v>44108</v>
      </c>
    </row>
    <row r="184" spans="23:23" x14ac:dyDescent="0.15">
      <c r="W184" s="206">
        <f>Admin!B184</f>
        <v>44109</v>
      </c>
    </row>
    <row r="185" spans="23:23" x14ac:dyDescent="0.15">
      <c r="W185" s="206">
        <f>Admin!B185</f>
        <v>44110</v>
      </c>
    </row>
    <row r="186" spans="23:23" x14ac:dyDescent="0.15">
      <c r="W186" s="206">
        <f>Admin!B186</f>
        <v>44111</v>
      </c>
    </row>
    <row r="187" spans="23:23" x14ac:dyDescent="0.15">
      <c r="W187" s="206">
        <f>Admin!B187</f>
        <v>44112</v>
      </c>
    </row>
    <row r="188" spans="23:23" x14ac:dyDescent="0.15">
      <c r="W188" s="206">
        <f>Admin!B188</f>
        <v>44113</v>
      </c>
    </row>
    <row r="189" spans="23:23" x14ac:dyDescent="0.15">
      <c r="W189" s="206">
        <f>Admin!B189</f>
        <v>44114</v>
      </c>
    </row>
    <row r="190" spans="23:23" x14ac:dyDescent="0.15">
      <c r="W190" s="206">
        <f>Admin!B190</f>
        <v>44115</v>
      </c>
    </row>
    <row r="191" spans="23:23" x14ac:dyDescent="0.15">
      <c r="W191" s="206">
        <f>Admin!B191</f>
        <v>44116</v>
      </c>
    </row>
    <row r="192" spans="23:23" x14ac:dyDescent="0.15">
      <c r="W192" s="206">
        <f>Admin!B192</f>
        <v>44117</v>
      </c>
    </row>
    <row r="193" spans="23:23" x14ac:dyDescent="0.15">
      <c r="W193" s="206">
        <f>Admin!B193</f>
        <v>44118</v>
      </c>
    </row>
    <row r="194" spans="23:23" x14ac:dyDescent="0.15">
      <c r="W194" s="206">
        <f>Admin!B194</f>
        <v>44119</v>
      </c>
    </row>
    <row r="195" spans="23:23" x14ac:dyDescent="0.15">
      <c r="W195" s="206">
        <f>Admin!B195</f>
        <v>44120</v>
      </c>
    </row>
    <row r="196" spans="23:23" x14ac:dyDescent="0.15">
      <c r="W196" s="206">
        <f>Admin!B196</f>
        <v>44121</v>
      </c>
    </row>
    <row r="197" spans="23:23" x14ac:dyDescent="0.15">
      <c r="W197" s="206">
        <f>Admin!B197</f>
        <v>44122</v>
      </c>
    </row>
    <row r="198" spans="23:23" x14ac:dyDescent="0.15">
      <c r="W198" s="206">
        <f>Admin!B198</f>
        <v>44123</v>
      </c>
    </row>
    <row r="199" spans="23:23" x14ac:dyDescent="0.15">
      <c r="W199" s="206">
        <f>Admin!B199</f>
        <v>44124</v>
      </c>
    </row>
    <row r="200" spans="23:23" x14ac:dyDescent="0.15">
      <c r="W200" s="206">
        <f>Admin!B200</f>
        <v>44125</v>
      </c>
    </row>
    <row r="201" spans="23:23" x14ac:dyDescent="0.15">
      <c r="W201" s="206">
        <f>Admin!B201</f>
        <v>44126</v>
      </c>
    </row>
    <row r="202" spans="23:23" x14ac:dyDescent="0.15">
      <c r="W202" s="206">
        <f>Admin!B202</f>
        <v>44127</v>
      </c>
    </row>
    <row r="203" spans="23:23" x14ac:dyDescent="0.15">
      <c r="W203" s="206">
        <f>Admin!B203</f>
        <v>44128</v>
      </c>
    </row>
    <row r="204" spans="23:23" x14ac:dyDescent="0.15">
      <c r="W204" s="206">
        <f>Admin!B204</f>
        <v>44129</v>
      </c>
    </row>
    <row r="205" spans="23:23" x14ac:dyDescent="0.15">
      <c r="W205" s="206">
        <f>Admin!B205</f>
        <v>44130</v>
      </c>
    </row>
    <row r="206" spans="23:23" x14ac:dyDescent="0.15">
      <c r="W206" s="206">
        <f>Admin!B206</f>
        <v>44131</v>
      </c>
    </row>
    <row r="207" spans="23:23" x14ac:dyDescent="0.15">
      <c r="W207" s="206">
        <f>Admin!B207</f>
        <v>44132</v>
      </c>
    </row>
    <row r="208" spans="23:23" x14ac:dyDescent="0.15">
      <c r="W208" s="206">
        <f>Admin!B208</f>
        <v>44133</v>
      </c>
    </row>
    <row r="209" spans="23:23" x14ac:dyDescent="0.15">
      <c r="W209" s="206">
        <f>Admin!B209</f>
        <v>44134</v>
      </c>
    </row>
    <row r="210" spans="23:23" x14ac:dyDescent="0.15">
      <c r="W210" s="206">
        <f>Admin!B210</f>
        <v>44135</v>
      </c>
    </row>
    <row r="211" spans="23:23" x14ac:dyDescent="0.15">
      <c r="W211" s="206">
        <f>Admin!B211</f>
        <v>44136</v>
      </c>
    </row>
    <row r="212" spans="23:23" x14ac:dyDescent="0.15">
      <c r="W212" s="206">
        <f>Admin!B212</f>
        <v>44137</v>
      </c>
    </row>
    <row r="213" spans="23:23" x14ac:dyDescent="0.15">
      <c r="W213" s="206">
        <f>Admin!B213</f>
        <v>44138</v>
      </c>
    </row>
    <row r="214" spans="23:23" x14ac:dyDescent="0.15">
      <c r="W214" s="206">
        <f>Admin!B214</f>
        <v>44139</v>
      </c>
    </row>
    <row r="215" spans="23:23" x14ac:dyDescent="0.15">
      <c r="W215" s="206">
        <f>Admin!B215</f>
        <v>44140</v>
      </c>
    </row>
    <row r="216" spans="23:23" x14ac:dyDescent="0.15">
      <c r="W216" s="206">
        <f>Admin!B216</f>
        <v>44141</v>
      </c>
    </row>
    <row r="217" spans="23:23" x14ac:dyDescent="0.15">
      <c r="W217" s="206">
        <f>Admin!B217</f>
        <v>44142</v>
      </c>
    </row>
    <row r="218" spans="23:23" x14ac:dyDescent="0.15">
      <c r="W218" s="206">
        <f>Admin!B218</f>
        <v>44143</v>
      </c>
    </row>
    <row r="219" spans="23:23" x14ac:dyDescent="0.15">
      <c r="W219" s="206">
        <f>Admin!B219</f>
        <v>44144</v>
      </c>
    </row>
    <row r="220" spans="23:23" x14ac:dyDescent="0.15">
      <c r="W220" s="206">
        <f>Admin!B220</f>
        <v>44145</v>
      </c>
    </row>
    <row r="221" spans="23:23" x14ac:dyDescent="0.15">
      <c r="W221" s="206">
        <f>Admin!B221</f>
        <v>44146</v>
      </c>
    </row>
    <row r="222" spans="23:23" x14ac:dyDescent="0.15">
      <c r="W222" s="206">
        <f>Admin!B222</f>
        <v>44147</v>
      </c>
    </row>
    <row r="223" spans="23:23" x14ac:dyDescent="0.15">
      <c r="W223" s="206">
        <f>Admin!B223</f>
        <v>44148</v>
      </c>
    </row>
    <row r="224" spans="23:23" x14ac:dyDescent="0.15">
      <c r="W224" s="206">
        <f>Admin!B224</f>
        <v>44149</v>
      </c>
    </row>
    <row r="225" spans="23:23" x14ac:dyDescent="0.15">
      <c r="W225" s="206">
        <f>Admin!B225</f>
        <v>44150</v>
      </c>
    </row>
    <row r="226" spans="23:23" x14ac:dyDescent="0.15">
      <c r="W226" s="206">
        <f>Admin!B226</f>
        <v>44151</v>
      </c>
    </row>
    <row r="227" spans="23:23" x14ac:dyDescent="0.15">
      <c r="W227" s="206">
        <f>Admin!B227</f>
        <v>44152</v>
      </c>
    </row>
    <row r="228" spans="23:23" x14ac:dyDescent="0.15">
      <c r="W228" s="206">
        <f>Admin!B228</f>
        <v>44153</v>
      </c>
    </row>
    <row r="229" spans="23:23" x14ac:dyDescent="0.15">
      <c r="W229" s="206">
        <f>Admin!B229</f>
        <v>44154</v>
      </c>
    </row>
    <row r="230" spans="23:23" x14ac:dyDescent="0.15">
      <c r="W230" s="206">
        <f>Admin!B230</f>
        <v>44155</v>
      </c>
    </row>
    <row r="231" spans="23:23" x14ac:dyDescent="0.15">
      <c r="W231" s="206">
        <f>Admin!B231</f>
        <v>44156</v>
      </c>
    </row>
    <row r="232" spans="23:23" x14ac:dyDescent="0.15">
      <c r="W232" s="206">
        <f>Admin!B232</f>
        <v>44157</v>
      </c>
    </row>
    <row r="233" spans="23:23" x14ac:dyDescent="0.15">
      <c r="W233" s="206">
        <f>Admin!B233</f>
        <v>44158</v>
      </c>
    </row>
    <row r="234" spans="23:23" x14ac:dyDescent="0.15">
      <c r="W234" s="206">
        <f>Admin!B234</f>
        <v>44159</v>
      </c>
    </row>
    <row r="235" spans="23:23" x14ac:dyDescent="0.15">
      <c r="W235" s="206">
        <f>Admin!B235</f>
        <v>44160</v>
      </c>
    </row>
    <row r="236" spans="23:23" x14ac:dyDescent="0.15">
      <c r="W236" s="206">
        <f>Admin!B236</f>
        <v>44161</v>
      </c>
    </row>
    <row r="237" spans="23:23" x14ac:dyDescent="0.15">
      <c r="W237" s="206">
        <f>Admin!B237</f>
        <v>44162</v>
      </c>
    </row>
    <row r="238" spans="23:23" x14ac:dyDescent="0.15">
      <c r="W238" s="206">
        <f>Admin!B238</f>
        <v>44163</v>
      </c>
    </row>
    <row r="239" spans="23:23" x14ac:dyDescent="0.15">
      <c r="W239" s="206">
        <f>Admin!B239</f>
        <v>44164</v>
      </c>
    </row>
    <row r="240" spans="23:23" x14ac:dyDescent="0.15">
      <c r="W240" s="206">
        <f>Admin!B240</f>
        <v>44165</v>
      </c>
    </row>
    <row r="241" spans="23:23" x14ac:dyDescent="0.15">
      <c r="W241" s="206">
        <f>Admin!B241</f>
        <v>44166</v>
      </c>
    </row>
    <row r="242" spans="23:23" x14ac:dyDescent="0.15">
      <c r="W242" s="206">
        <f>Admin!B242</f>
        <v>44167</v>
      </c>
    </row>
    <row r="243" spans="23:23" x14ac:dyDescent="0.15">
      <c r="W243" s="206">
        <f>Admin!B243</f>
        <v>44168</v>
      </c>
    </row>
    <row r="244" spans="23:23" x14ac:dyDescent="0.15">
      <c r="W244" s="206">
        <f>Admin!B244</f>
        <v>44169</v>
      </c>
    </row>
    <row r="245" spans="23:23" x14ac:dyDescent="0.15">
      <c r="W245" s="206">
        <f>Admin!B245</f>
        <v>44170</v>
      </c>
    </row>
    <row r="246" spans="23:23" x14ac:dyDescent="0.15">
      <c r="W246" s="206">
        <f>Admin!B246</f>
        <v>44171</v>
      </c>
    </row>
    <row r="247" spans="23:23" x14ac:dyDescent="0.15">
      <c r="W247" s="206">
        <f>Admin!B247</f>
        <v>44172</v>
      </c>
    </row>
    <row r="248" spans="23:23" x14ac:dyDescent="0.15">
      <c r="W248" s="206">
        <f>Admin!B248</f>
        <v>44173</v>
      </c>
    </row>
    <row r="249" spans="23:23" x14ac:dyDescent="0.15">
      <c r="W249" s="206">
        <f>Admin!B249</f>
        <v>44174</v>
      </c>
    </row>
    <row r="250" spans="23:23" x14ac:dyDescent="0.15">
      <c r="W250" s="206">
        <f>Admin!B250</f>
        <v>44175</v>
      </c>
    </row>
    <row r="251" spans="23:23" x14ac:dyDescent="0.15">
      <c r="W251" s="206">
        <f>Admin!B251</f>
        <v>44176</v>
      </c>
    </row>
    <row r="252" spans="23:23" x14ac:dyDescent="0.15">
      <c r="W252" s="206">
        <f>Admin!B252</f>
        <v>44177</v>
      </c>
    </row>
    <row r="253" spans="23:23" x14ac:dyDescent="0.15">
      <c r="W253" s="206">
        <f>Admin!B253</f>
        <v>44178</v>
      </c>
    </row>
    <row r="254" spans="23:23" x14ac:dyDescent="0.15">
      <c r="W254" s="206">
        <f>Admin!B254</f>
        <v>44179</v>
      </c>
    </row>
    <row r="255" spans="23:23" x14ac:dyDescent="0.15">
      <c r="W255" s="206">
        <f>Admin!B255</f>
        <v>44180</v>
      </c>
    </row>
    <row r="256" spans="23:23" x14ac:dyDescent="0.15">
      <c r="W256" s="206">
        <f>Admin!B256</f>
        <v>44181</v>
      </c>
    </row>
    <row r="257" spans="23:23" x14ac:dyDescent="0.15">
      <c r="W257" s="206">
        <f>Admin!B257</f>
        <v>44182</v>
      </c>
    </row>
    <row r="258" spans="23:23" x14ac:dyDescent="0.15">
      <c r="W258" s="206">
        <f>Admin!B258</f>
        <v>44183</v>
      </c>
    </row>
    <row r="259" spans="23:23" x14ac:dyDescent="0.15">
      <c r="W259" s="206">
        <f>Admin!B259</f>
        <v>44184</v>
      </c>
    </row>
    <row r="260" spans="23:23" x14ac:dyDescent="0.15">
      <c r="W260" s="206">
        <f>Admin!B260</f>
        <v>44185</v>
      </c>
    </row>
    <row r="261" spans="23:23" x14ac:dyDescent="0.15">
      <c r="W261" s="206">
        <f>Admin!B261</f>
        <v>44186</v>
      </c>
    </row>
    <row r="262" spans="23:23" x14ac:dyDescent="0.15">
      <c r="W262" s="206">
        <f>Admin!B262</f>
        <v>44187</v>
      </c>
    </row>
    <row r="263" spans="23:23" x14ac:dyDescent="0.15">
      <c r="W263" s="206">
        <f>Admin!B263</f>
        <v>44188</v>
      </c>
    </row>
    <row r="264" spans="23:23" x14ac:dyDescent="0.15">
      <c r="W264" s="206">
        <f>Admin!B264</f>
        <v>44189</v>
      </c>
    </row>
    <row r="265" spans="23:23" x14ac:dyDescent="0.15">
      <c r="W265" s="206">
        <f>Admin!B265</f>
        <v>44190</v>
      </c>
    </row>
    <row r="266" spans="23:23" x14ac:dyDescent="0.15">
      <c r="W266" s="206">
        <f>Admin!B266</f>
        <v>44191</v>
      </c>
    </row>
    <row r="267" spans="23:23" x14ac:dyDescent="0.15">
      <c r="W267" s="206">
        <f>Admin!B267</f>
        <v>44192</v>
      </c>
    </row>
    <row r="268" spans="23:23" x14ac:dyDescent="0.15">
      <c r="W268" s="206">
        <f>Admin!B268</f>
        <v>44193</v>
      </c>
    </row>
    <row r="269" spans="23:23" x14ac:dyDescent="0.15">
      <c r="W269" s="206">
        <f>Admin!B269</f>
        <v>44194</v>
      </c>
    </row>
    <row r="270" spans="23:23" x14ac:dyDescent="0.15">
      <c r="W270" s="206">
        <f>Admin!B270</f>
        <v>44195</v>
      </c>
    </row>
    <row r="271" spans="23:23" x14ac:dyDescent="0.15">
      <c r="W271" s="206">
        <f>Admin!B271</f>
        <v>44196</v>
      </c>
    </row>
    <row r="272" spans="23:23" x14ac:dyDescent="0.15">
      <c r="W272" s="206">
        <f>Admin!B272</f>
        <v>44197</v>
      </c>
    </row>
    <row r="273" spans="23:23" x14ac:dyDescent="0.15">
      <c r="W273" s="206">
        <f>Admin!B273</f>
        <v>44198</v>
      </c>
    </row>
    <row r="274" spans="23:23" x14ac:dyDescent="0.15">
      <c r="W274" s="206">
        <f>Admin!B274</f>
        <v>44199</v>
      </c>
    </row>
    <row r="275" spans="23:23" x14ac:dyDescent="0.15">
      <c r="W275" s="206">
        <f>Admin!B275</f>
        <v>44200</v>
      </c>
    </row>
    <row r="276" spans="23:23" x14ac:dyDescent="0.15">
      <c r="W276" s="206">
        <f>Admin!B276</f>
        <v>44201</v>
      </c>
    </row>
    <row r="277" spans="23:23" x14ac:dyDescent="0.15">
      <c r="W277" s="206">
        <f>Admin!B277</f>
        <v>44202</v>
      </c>
    </row>
    <row r="278" spans="23:23" x14ac:dyDescent="0.15">
      <c r="W278" s="206">
        <f>Admin!B278</f>
        <v>44203</v>
      </c>
    </row>
    <row r="279" spans="23:23" x14ac:dyDescent="0.15">
      <c r="W279" s="206">
        <f>Admin!B279</f>
        <v>44204</v>
      </c>
    </row>
    <row r="280" spans="23:23" x14ac:dyDescent="0.15">
      <c r="W280" s="206">
        <f>Admin!B280</f>
        <v>44205</v>
      </c>
    </row>
    <row r="281" spans="23:23" x14ac:dyDescent="0.15">
      <c r="W281" s="206">
        <f>Admin!B281</f>
        <v>44206</v>
      </c>
    </row>
    <row r="282" spans="23:23" x14ac:dyDescent="0.15">
      <c r="W282" s="206">
        <f>Admin!B282</f>
        <v>44207</v>
      </c>
    </row>
    <row r="283" spans="23:23" x14ac:dyDescent="0.15">
      <c r="W283" s="206">
        <f>Admin!B283</f>
        <v>44208</v>
      </c>
    </row>
    <row r="284" spans="23:23" x14ac:dyDescent="0.15">
      <c r="W284" s="206">
        <f>Admin!B284</f>
        <v>44209</v>
      </c>
    </row>
    <row r="285" spans="23:23" x14ac:dyDescent="0.15">
      <c r="W285" s="206">
        <f>Admin!B285</f>
        <v>44210</v>
      </c>
    </row>
    <row r="286" spans="23:23" x14ac:dyDescent="0.15">
      <c r="W286" s="206">
        <f>Admin!B286</f>
        <v>44211</v>
      </c>
    </row>
    <row r="287" spans="23:23" x14ac:dyDescent="0.15">
      <c r="W287" s="206">
        <f>Admin!B287</f>
        <v>44212</v>
      </c>
    </row>
    <row r="288" spans="23:23" x14ac:dyDescent="0.15">
      <c r="W288" s="206">
        <f>Admin!B288</f>
        <v>44213</v>
      </c>
    </row>
    <row r="289" spans="23:23" x14ac:dyDescent="0.15">
      <c r="W289" s="206">
        <f>Admin!B289</f>
        <v>44214</v>
      </c>
    </row>
    <row r="290" spans="23:23" x14ac:dyDescent="0.15">
      <c r="W290" s="206">
        <f>Admin!B290</f>
        <v>44215</v>
      </c>
    </row>
    <row r="291" spans="23:23" x14ac:dyDescent="0.15">
      <c r="W291" s="206">
        <f>Admin!B291</f>
        <v>44216</v>
      </c>
    </row>
    <row r="292" spans="23:23" x14ac:dyDescent="0.15">
      <c r="W292" s="206">
        <f>Admin!B292</f>
        <v>44217</v>
      </c>
    </row>
    <row r="293" spans="23:23" x14ac:dyDescent="0.15">
      <c r="W293" s="206">
        <f>Admin!B293</f>
        <v>44218</v>
      </c>
    </row>
    <row r="294" spans="23:23" x14ac:dyDescent="0.15">
      <c r="W294" s="206">
        <f>Admin!B294</f>
        <v>44219</v>
      </c>
    </row>
    <row r="295" spans="23:23" x14ac:dyDescent="0.15">
      <c r="W295" s="206">
        <f>Admin!B295</f>
        <v>44220</v>
      </c>
    </row>
    <row r="296" spans="23:23" x14ac:dyDescent="0.15">
      <c r="W296" s="206">
        <f>Admin!B296</f>
        <v>44221</v>
      </c>
    </row>
    <row r="297" spans="23:23" x14ac:dyDescent="0.15">
      <c r="W297" s="206">
        <f>Admin!B297</f>
        <v>44222</v>
      </c>
    </row>
    <row r="298" spans="23:23" x14ac:dyDescent="0.15">
      <c r="W298" s="206">
        <f>Admin!B298</f>
        <v>44223</v>
      </c>
    </row>
    <row r="299" spans="23:23" x14ac:dyDescent="0.15">
      <c r="W299" s="206">
        <f>Admin!B299</f>
        <v>44224</v>
      </c>
    </row>
    <row r="300" spans="23:23" x14ac:dyDescent="0.15">
      <c r="W300" s="206">
        <f>Admin!B300</f>
        <v>44225</v>
      </c>
    </row>
    <row r="301" spans="23:23" x14ac:dyDescent="0.15">
      <c r="W301" s="206">
        <f>Admin!B301</f>
        <v>44226</v>
      </c>
    </row>
    <row r="302" spans="23:23" x14ac:dyDescent="0.15">
      <c r="W302" s="206">
        <f>Admin!B302</f>
        <v>44227</v>
      </c>
    </row>
    <row r="303" spans="23:23" x14ac:dyDescent="0.15">
      <c r="W303" s="206">
        <f>Admin!B303</f>
        <v>44228</v>
      </c>
    </row>
    <row r="304" spans="23:23" x14ac:dyDescent="0.15">
      <c r="W304" s="206">
        <f>Admin!B304</f>
        <v>44229</v>
      </c>
    </row>
    <row r="305" spans="23:23" x14ac:dyDescent="0.15">
      <c r="W305" s="206">
        <f>Admin!B305</f>
        <v>44230</v>
      </c>
    </row>
    <row r="306" spans="23:23" x14ac:dyDescent="0.15">
      <c r="W306" s="206">
        <f>Admin!B306</f>
        <v>44231</v>
      </c>
    </row>
    <row r="307" spans="23:23" x14ac:dyDescent="0.15">
      <c r="W307" s="206">
        <f>Admin!B307</f>
        <v>44232</v>
      </c>
    </row>
    <row r="308" spans="23:23" x14ac:dyDescent="0.15">
      <c r="W308" s="206">
        <f>Admin!B308</f>
        <v>44233</v>
      </c>
    </row>
    <row r="309" spans="23:23" x14ac:dyDescent="0.15">
      <c r="W309" s="206">
        <f>Admin!B309</f>
        <v>44234</v>
      </c>
    </row>
    <row r="310" spans="23:23" x14ac:dyDescent="0.15">
      <c r="W310" s="206">
        <f>Admin!B310</f>
        <v>44235</v>
      </c>
    </row>
    <row r="311" spans="23:23" x14ac:dyDescent="0.15">
      <c r="W311" s="206">
        <f>Admin!B311</f>
        <v>44236</v>
      </c>
    </row>
    <row r="312" spans="23:23" x14ac:dyDescent="0.15">
      <c r="W312" s="206">
        <f>Admin!B312</f>
        <v>44237</v>
      </c>
    </row>
    <row r="313" spans="23:23" x14ac:dyDescent="0.15">
      <c r="W313" s="206">
        <f>Admin!B313</f>
        <v>44238</v>
      </c>
    </row>
    <row r="314" spans="23:23" x14ac:dyDescent="0.15">
      <c r="W314" s="206">
        <f>Admin!B314</f>
        <v>44239</v>
      </c>
    </row>
    <row r="315" spans="23:23" x14ac:dyDescent="0.15">
      <c r="W315" s="206">
        <f>Admin!B315</f>
        <v>44240</v>
      </c>
    </row>
    <row r="316" spans="23:23" x14ac:dyDescent="0.15">
      <c r="W316" s="206">
        <f>Admin!B316</f>
        <v>44241</v>
      </c>
    </row>
    <row r="317" spans="23:23" x14ac:dyDescent="0.15">
      <c r="W317" s="206">
        <f>Admin!B317</f>
        <v>44242</v>
      </c>
    </row>
    <row r="318" spans="23:23" x14ac:dyDescent="0.15">
      <c r="W318" s="206">
        <f>Admin!B318</f>
        <v>44243</v>
      </c>
    </row>
    <row r="319" spans="23:23" x14ac:dyDescent="0.15">
      <c r="W319" s="206">
        <f>Admin!B319</f>
        <v>44244</v>
      </c>
    </row>
    <row r="320" spans="23:23" x14ac:dyDescent="0.15">
      <c r="W320" s="206">
        <f>Admin!B320</f>
        <v>44245</v>
      </c>
    </row>
    <row r="321" spans="23:23" x14ac:dyDescent="0.15">
      <c r="W321" s="206">
        <f>Admin!B321</f>
        <v>44246</v>
      </c>
    </row>
    <row r="322" spans="23:23" x14ac:dyDescent="0.15">
      <c r="W322" s="206">
        <f>Admin!B322</f>
        <v>44247</v>
      </c>
    </row>
    <row r="323" spans="23:23" x14ac:dyDescent="0.15">
      <c r="W323" s="206">
        <f>Admin!B323</f>
        <v>44248</v>
      </c>
    </row>
    <row r="324" spans="23:23" x14ac:dyDescent="0.15">
      <c r="W324" s="206">
        <f>Admin!B324</f>
        <v>44249</v>
      </c>
    </row>
    <row r="325" spans="23:23" x14ac:dyDescent="0.15">
      <c r="W325" s="206">
        <f>Admin!B325</f>
        <v>44250</v>
      </c>
    </row>
    <row r="326" spans="23:23" x14ac:dyDescent="0.15">
      <c r="W326" s="206">
        <f>Admin!B326</f>
        <v>44251</v>
      </c>
    </row>
    <row r="327" spans="23:23" x14ac:dyDescent="0.15">
      <c r="W327" s="206">
        <f>Admin!B327</f>
        <v>44252</v>
      </c>
    </row>
    <row r="328" spans="23:23" x14ac:dyDescent="0.15">
      <c r="W328" s="206">
        <f>Admin!B328</f>
        <v>44253</v>
      </c>
    </row>
    <row r="329" spans="23:23" x14ac:dyDescent="0.15">
      <c r="W329" s="206">
        <f>Admin!B329</f>
        <v>44254</v>
      </c>
    </row>
    <row r="330" spans="23:23" x14ac:dyDescent="0.15">
      <c r="W330" s="206">
        <f>Admin!B330</f>
        <v>44255</v>
      </c>
    </row>
    <row r="331" spans="23:23" x14ac:dyDescent="0.15">
      <c r="W331" s="206">
        <f>Admin!B331</f>
        <v>44256</v>
      </c>
    </row>
    <row r="332" spans="23:23" x14ac:dyDescent="0.15">
      <c r="W332" s="206">
        <f>Admin!B332</f>
        <v>44257</v>
      </c>
    </row>
    <row r="333" spans="23:23" x14ac:dyDescent="0.15">
      <c r="W333" s="206">
        <f>Admin!B333</f>
        <v>44258</v>
      </c>
    </row>
    <row r="334" spans="23:23" x14ac:dyDescent="0.15">
      <c r="W334" s="206">
        <f>Admin!B334</f>
        <v>44259</v>
      </c>
    </row>
    <row r="335" spans="23:23" x14ac:dyDescent="0.15">
      <c r="W335" s="206">
        <f>Admin!B335</f>
        <v>44260</v>
      </c>
    </row>
    <row r="336" spans="23:23" x14ac:dyDescent="0.15">
      <c r="W336" s="206">
        <f>Admin!B336</f>
        <v>44261</v>
      </c>
    </row>
    <row r="337" spans="23:23" x14ac:dyDescent="0.15">
      <c r="W337" s="206">
        <f>Admin!B337</f>
        <v>44262</v>
      </c>
    </row>
    <row r="338" spans="23:23" x14ac:dyDescent="0.15">
      <c r="W338" s="206">
        <f>Admin!B338</f>
        <v>44263</v>
      </c>
    </row>
    <row r="339" spans="23:23" x14ac:dyDescent="0.15">
      <c r="W339" s="206">
        <f>Admin!B339</f>
        <v>44264</v>
      </c>
    </row>
    <row r="340" spans="23:23" x14ac:dyDescent="0.15">
      <c r="W340" s="206">
        <f>Admin!B340</f>
        <v>44265</v>
      </c>
    </row>
    <row r="341" spans="23:23" x14ac:dyDescent="0.15">
      <c r="W341" s="206">
        <f>Admin!B341</f>
        <v>44266</v>
      </c>
    </row>
    <row r="342" spans="23:23" x14ac:dyDescent="0.15">
      <c r="W342" s="206">
        <f>Admin!B342</f>
        <v>44267</v>
      </c>
    </row>
    <row r="343" spans="23:23" x14ac:dyDescent="0.15">
      <c r="W343" s="206">
        <f>Admin!B343</f>
        <v>44268</v>
      </c>
    </row>
    <row r="344" spans="23:23" x14ac:dyDescent="0.15">
      <c r="W344" s="206">
        <f>Admin!B344</f>
        <v>44269</v>
      </c>
    </row>
    <row r="345" spans="23:23" x14ac:dyDescent="0.15">
      <c r="W345" s="206">
        <f>Admin!B345</f>
        <v>44270</v>
      </c>
    </row>
    <row r="346" spans="23:23" x14ac:dyDescent="0.15">
      <c r="W346" s="206">
        <f>Admin!B346</f>
        <v>44271</v>
      </c>
    </row>
    <row r="347" spans="23:23" x14ac:dyDescent="0.15">
      <c r="W347" s="206">
        <f>Admin!B347</f>
        <v>44272</v>
      </c>
    </row>
    <row r="348" spans="23:23" x14ac:dyDescent="0.15">
      <c r="W348" s="206">
        <f>Admin!B348</f>
        <v>44273</v>
      </c>
    </row>
    <row r="349" spans="23:23" x14ac:dyDescent="0.15">
      <c r="W349" s="206">
        <f>Admin!B349</f>
        <v>44274</v>
      </c>
    </row>
    <row r="350" spans="23:23" x14ac:dyDescent="0.15">
      <c r="W350" s="206">
        <f>Admin!B350</f>
        <v>44275</v>
      </c>
    </row>
    <row r="351" spans="23:23" x14ac:dyDescent="0.15">
      <c r="W351" s="206">
        <f>Admin!B351</f>
        <v>44276</v>
      </c>
    </row>
    <row r="352" spans="23:23" x14ac:dyDescent="0.15">
      <c r="W352" s="206">
        <f>Admin!B352</f>
        <v>44277</v>
      </c>
    </row>
    <row r="353" spans="23:23" x14ac:dyDescent="0.15">
      <c r="W353" s="206">
        <f>Admin!B353</f>
        <v>44278</v>
      </c>
    </row>
    <row r="354" spans="23:23" x14ac:dyDescent="0.15">
      <c r="W354" s="206">
        <f>Admin!B354</f>
        <v>44279</v>
      </c>
    </row>
    <row r="355" spans="23:23" x14ac:dyDescent="0.15">
      <c r="W355" s="206">
        <f>Admin!B355</f>
        <v>44280</v>
      </c>
    </row>
    <row r="356" spans="23:23" x14ac:dyDescent="0.15">
      <c r="W356" s="206">
        <f>Admin!B356</f>
        <v>44281</v>
      </c>
    </row>
    <row r="357" spans="23:23" x14ac:dyDescent="0.15">
      <c r="W357" s="206">
        <f>Admin!B357</f>
        <v>44282</v>
      </c>
    </row>
    <row r="358" spans="23:23" x14ac:dyDescent="0.15">
      <c r="W358" s="206">
        <f>Admin!B358</f>
        <v>44283</v>
      </c>
    </row>
    <row r="359" spans="23:23" x14ac:dyDescent="0.15">
      <c r="W359" s="206">
        <f>Admin!B359</f>
        <v>44284</v>
      </c>
    </row>
    <row r="360" spans="23:23" x14ac:dyDescent="0.15">
      <c r="W360" s="206">
        <f>Admin!B360</f>
        <v>44285</v>
      </c>
    </row>
    <row r="361" spans="23:23" x14ac:dyDescent="0.15">
      <c r="W361" s="206">
        <f>Admin!B361</f>
        <v>44286</v>
      </c>
    </row>
    <row r="362" spans="23:23" x14ac:dyDescent="0.15">
      <c r="W362" s="206">
        <f>Admin!B362</f>
        <v>44287</v>
      </c>
    </row>
    <row r="363" spans="23:23" x14ac:dyDescent="0.15">
      <c r="W363" s="206">
        <f>Admin!B363</f>
        <v>44288</v>
      </c>
    </row>
    <row r="364" spans="23:23" x14ac:dyDescent="0.15">
      <c r="W364" s="206">
        <f>Admin!B364</f>
        <v>44289</v>
      </c>
    </row>
    <row r="365" spans="23:23" x14ac:dyDescent="0.15">
      <c r="W365" s="206">
        <f>Admin!B365</f>
        <v>44290</v>
      </c>
    </row>
    <row r="366" spans="23:23" x14ac:dyDescent="0.15">
      <c r="W366" s="206">
        <f>Admin!B366</f>
        <v>44291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43927</v>
      </c>
      <c r="L9" s="200" t="s">
        <v>76</v>
      </c>
      <c r="M9" s="202">
        <f>K9+(7-WEEKDAY(K9, 2))</f>
        <v>43933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43934</v>
      </c>
      <c r="L19" s="200" t="s">
        <v>76</v>
      </c>
      <c r="M19" s="202">
        <f>K19+6</f>
        <v>43940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43941</v>
      </c>
      <c r="L29" s="200" t="s">
        <v>76</v>
      </c>
      <c r="M29" s="202">
        <f>K29+6</f>
        <v>43947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43948</v>
      </c>
      <c r="L39" s="200" t="s">
        <v>76</v>
      </c>
      <c r="M39" s="202">
        <f>K39+6</f>
        <v>43954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DATE(2020,4,6)</f>
        <v>43927</v>
      </c>
      <c r="L49" s="203" t="s">
        <v>76</v>
      </c>
      <c r="M49" s="205">
        <f>DATE(2020,4,30)</f>
        <v>43951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43955</v>
      </c>
      <c r="L9" s="203" t="s">
        <v>76</v>
      </c>
      <c r="M9" s="205">
        <f>K9+6</f>
        <v>43961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43962</v>
      </c>
      <c r="L19" s="203" t="s">
        <v>76</v>
      </c>
      <c r="M19" s="205">
        <f>K19+6</f>
        <v>43968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43969</v>
      </c>
      <c r="L29" s="203" t="s">
        <v>76</v>
      </c>
      <c r="M29" s="205">
        <f>K29+6</f>
        <v>43975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43976</v>
      </c>
      <c r="L39" s="203" t="s">
        <v>76</v>
      </c>
      <c r="M39" s="205">
        <f>K39+6</f>
        <v>43982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DATE(2020,5,1)</f>
        <v>43952</v>
      </c>
      <c r="L49" s="203" t="s">
        <v>76</v>
      </c>
      <c r="M49" s="205">
        <f>DATE(2020,5,31)</f>
        <v>43982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43983</v>
      </c>
      <c r="L9" s="203" t="s">
        <v>76</v>
      </c>
      <c r="M9" s="205">
        <f>K9+6</f>
        <v>43989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43990</v>
      </c>
      <c r="L19" s="203" t="s">
        <v>76</v>
      </c>
      <c r="M19" s="205">
        <f>K19+6</f>
        <v>43996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43997</v>
      </c>
      <c r="L29" s="203" t="s">
        <v>76</v>
      </c>
      <c r="M29" s="205">
        <f>K29+6</f>
        <v>44003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44004</v>
      </c>
      <c r="L39" s="203" t="s">
        <v>76</v>
      </c>
      <c r="M39" s="205">
        <f>K39+6</f>
        <v>44010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44011</v>
      </c>
      <c r="L49" s="203" t="s">
        <v>76</v>
      </c>
      <c r="M49" s="205">
        <f>K49+6</f>
        <v>44017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DATE(2020,6,1)</f>
        <v>43983</v>
      </c>
      <c r="L59" s="203" t="s">
        <v>76</v>
      </c>
      <c r="M59" s="205">
        <f>DATE(2020,6,30)</f>
        <v>44012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44016</v>
      </c>
      <c r="L9" s="203" t="s">
        <v>76</v>
      </c>
      <c r="M9" s="205">
        <f>K9+6</f>
        <v>44022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44023</v>
      </c>
      <c r="L19" s="203" t="s">
        <v>76</v>
      </c>
      <c r="M19" s="205">
        <f>K19+6</f>
        <v>44029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44030</v>
      </c>
      <c r="L29" s="203" t="s">
        <v>76</v>
      </c>
      <c r="M29" s="205">
        <f>K29+6</f>
        <v>44036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44037</v>
      </c>
      <c r="L39" s="203" t="s">
        <v>76</v>
      </c>
      <c r="M39" s="205">
        <f>K39+6</f>
        <v>44043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DATE(2020,7,1)</f>
        <v>44013</v>
      </c>
      <c r="L49" s="203" t="s">
        <v>76</v>
      </c>
      <c r="M49" s="205">
        <f>DATE(2020,7,31)</f>
        <v>44043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44044</v>
      </c>
      <c r="L9" s="203" t="s">
        <v>76</v>
      </c>
      <c r="M9" s="205">
        <f>K9+6</f>
        <v>44050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IF(T$9="Y",Jul!H41,0)</f>
        <v>0</v>
      </c>
      <c r="I12" s="92">
        <f>IF(T$9="Y",Jul!I41,0)</f>
        <v>0</v>
      </c>
      <c r="J12" s="92">
        <f>IF(T$9="Y",Jul!J41,0)</f>
        <v>0</v>
      </c>
      <c r="K12" s="92">
        <f>IF(T$9="Y",Jul!K41,I12*J12)</f>
        <v>0</v>
      </c>
      <c r="L12" s="111">
        <f>IF(T$9="Y",Jul!L41,0)</f>
        <v>0</v>
      </c>
      <c r="M12" s="111" t="str">
        <f>IF(E12=" "," ",IF(T$9="Y",Jul!M41,IF((H12+K12+L12)&gt;0,H12+K12+L12,"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IF(T$9="Y",Jul!H41,0)</f>
        <v>0</v>
      </c>
      <c r="I13" s="92">
        <f>IF(T$9="Y",Jul!I41,0)</f>
        <v>0</v>
      </c>
      <c r="J13" s="92">
        <f>IF(T$9="Y",Jul!J41,0)</f>
        <v>0</v>
      </c>
      <c r="K13" s="92">
        <f>IF(T$9="Y",Jul!K41,I13*J13)</f>
        <v>0</v>
      </c>
      <c r="L13" s="111">
        <f>IF(T$9="Y",Jul!L41,0)</f>
        <v>0</v>
      </c>
      <c r="M13" s="111" t="str">
        <f>IF(E13=" "," ",IF(T$9="Y",Jul!M41,IF((H13+K13+L13)&gt;0,H13+K13+L13,"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IF(T$9="Y",Jul!H41,0)</f>
        <v>0</v>
      </c>
      <c r="I14" s="92">
        <f>IF(T$9="Y",Jul!I41,0)</f>
        <v>0</v>
      </c>
      <c r="J14" s="92">
        <f>IF(T$9="Y",Jul!J41,0)</f>
        <v>0</v>
      </c>
      <c r="K14" s="92">
        <f>IF(T$9="Y",Jul!K41,I14*J14)</f>
        <v>0</v>
      </c>
      <c r="L14" s="111">
        <f>IF(T$9="Y",Jul!L41,0)</f>
        <v>0</v>
      </c>
      <c r="M14" s="111" t="str">
        <f>IF(E14=" "," ",IF(T$9="Y",Jul!M41,IF((H14+K14+L14)&gt;0,H14+K14+L14,"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IF(T$9="Y",Jul!H41,0)</f>
        <v>0</v>
      </c>
      <c r="I15" s="245">
        <f>IF(T$9="Y",Jul!I41,0)</f>
        <v>0</v>
      </c>
      <c r="J15" s="245">
        <f>IF(T$9="Y",Jul!J41,0)</f>
        <v>0</v>
      </c>
      <c r="K15" s="245">
        <f>IF(T$9="Y",Jul!K41,I15*J15)</f>
        <v>0</v>
      </c>
      <c r="L15" s="246">
        <f>IF(T$9="Y",Jul!L41,0)</f>
        <v>0</v>
      </c>
      <c r="M15" s="246" t="str">
        <f>IF(E15=" "," ",IF(T$9="Y",Jul!M41,IF((H15+K15+L15)&gt;0,H15+K15+L15,"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44051</v>
      </c>
      <c r="L19" s="203" t="s">
        <v>76</v>
      </c>
      <c r="M19" s="205">
        <f>K19+6</f>
        <v>44057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44058</v>
      </c>
      <c r="L29" s="203" t="s">
        <v>76</v>
      </c>
      <c r="M29" s="205">
        <f>K29+6</f>
        <v>44064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44065</v>
      </c>
      <c r="L39" s="203" t="s">
        <v>76</v>
      </c>
      <c r="M39" s="205">
        <f>K39+6</f>
        <v>44071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DATE(2020,8,1)</f>
        <v>44044</v>
      </c>
      <c r="L49" s="203" t="s">
        <v>76</v>
      </c>
      <c r="M49" s="205">
        <f>DATE(2020,8,31)</f>
        <v>44074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44072</v>
      </c>
      <c r="L9" s="203" t="s">
        <v>76</v>
      </c>
      <c r="M9" s="205">
        <f>K9+6</f>
        <v>44078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44079</v>
      </c>
      <c r="L19" s="203" t="s">
        <v>76</v>
      </c>
      <c r="M19" s="205">
        <f>K19+6</f>
        <v>44085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44086</v>
      </c>
      <c r="L29" s="203" t="s">
        <v>76</v>
      </c>
      <c r="M29" s="205">
        <f>K29+6</f>
        <v>44092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44093</v>
      </c>
      <c r="L39" s="203" t="s">
        <v>76</v>
      </c>
      <c r="M39" s="205">
        <f>K39+6</f>
        <v>44099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44100</v>
      </c>
      <c r="L49" s="203" t="s">
        <v>76</v>
      </c>
      <c r="M49" s="205">
        <f>K49+6</f>
        <v>44106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DATE(2020,9,1)</f>
        <v>44075</v>
      </c>
      <c r="L59" s="203" t="s">
        <v>76</v>
      </c>
      <c r="M59" s="205">
        <f>DATE(2020,9,30)</f>
        <v>44104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44107</v>
      </c>
      <c r="L9" s="203" t="s">
        <v>76</v>
      </c>
      <c r="M9" s="205">
        <f>Admin!B188</f>
        <v>44113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44114</v>
      </c>
      <c r="L19" s="203" t="s">
        <v>76</v>
      </c>
      <c r="M19" s="205">
        <f>K19+6</f>
        <v>44120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44121</v>
      </c>
      <c r="L29" s="203" t="s">
        <v>76</v>
      </c>
      <c r="M29" s="205">
        <f>K29+6</f>
        <v>44127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44128</v>
      </c>
      <c r="L39" s="203" t="s">
        <v>76</v>
      </c>
      <c r="M39" s="205">
        <f>K39+6</f>
        <v>44134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DATE(2020,10,1)</f>
        <v>44105</v>
      </c>
      <c r="L49" s="203" t="s">
        <v>76</v>
      </c>
      <c r="M49" s="205">
        <f>DATE(2020,10,31)</f>
        <v>44135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44135</v>
      </c>
      <c r="L9" s="203" t="s">
        <v>76</v>
      </c>
      <c r="M9" s="205">
        <f>K9+6</f>
        <v>44141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44142</v>
      </c>
      <c r="L19" s="203" t="s">
        <v>76</v>
      </c>
      <c r="M19" s="205">
        <f>K19+6</f>
        <v>44148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44149</v>
      </c>
      <c r="L29" s="203" t="s">
        <v>76</v>
      </c>
      <c r="M29" s="205">
        <f>K29+6</f>
        <v>44155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44156</v>
      </c>
      <c r="L39" s="203" t="s">
        <v>76</v>
      </c>
      <c r="M39" s="205">
        <f>K39+6</f>
        <v>44162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DATE(2020,11,1)</f>
        <v>44136</v>
      </c>
      <c r="L49" s="203" t="s">
        <v>76</v>
      </c>
      <c r="M49" s="205">
        <f>DATE(2020,11,30)</f>
        <v>44165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44163</v>
      </c>
      <c r="L9" s="203" t="s">
        <v>76</v>
      </c>
      <c r="M9" s="205">
        <f>K9+6</f>
        <v>44169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44170</v>
      </c>
      <c r="L19" s="203" t="s">
        <v>76</v>
      </c>
      <c r="M19" s="205">
        <f>K19+6</f>
        <v>44176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44177</v>
      </c>
      <c r="L29" s="203" t="s">
        <v>76</v>
      </c>
      <c r="M29" s="205">
        <f>K29+6</f>
        <v>44183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44184</v>
      </c>
      <c r="L39" s="203" t="s">
        <v>76</v>
      </c>
      <c r="M39" s="205">
        <f>K39+6</f>
        <v>44190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44191</v>
      </c>
      <c r="L49" s="203" t="s">
        <v>76</v>
      </c>
      <c r="M49" s="205">
        <f>K49+6</f>
        <v>44197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DATE(2020,12,1)</f>
        <v>44166</v>
      </c>
      <c r="L59" s="203" t="s">
        <v>76</v>
      </c>
      <c r="M59" s="205">
        <f>DATE(2020,12,31)</f>
        <v>44196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44198</v>
      </c>
      <c r="L9" s="203" t="s">
        <v>76</v>
      </c>
      <c r="M9" s="205">
        <f>K9+6</f>
        <v>44204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44205</v>
      </c>
      <c r="L19" s="203" t="s">
        <v>76</v>
      </c>
      <c r="M19" s="205">
        <f>K19+6</f>
        <v>44211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44212</v>
      </c>
      <c r="L29" s="203" t="s">
        <v>76</v>
      </c>
      <c r="M29" s="205">
        <f>K29+6</f>
        <v>44218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44219</v>
      </c>
      <c r="L39" s="203" t="s">
        <v>76</v>
      </c>
      <c r="M39" s="205">
        <f>K39+6</f>
        <v>44225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DATE(2021,1,1)</f>
        <v>44197</v>
      </c>
      <c r="L49" s="203" t="s">
        <v>76</v>
      </c>
      <c r="M49" s="205">
        <f>DATE(2021,1,31)</f>
        <v>44227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44226</v>
      </c>
      <c r="L9" s="203" t="s">
        <v>76</v>
      </c>
      <c r="M9" s="205">
        <f>K9+6</f>
        <v>44232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44233</v>
      </c>
      <c r="L19" s="203" t="s">
        <v>76</v>
      </c>
      <c r="M19" s="205">
        <f>K19+6</f>
        <v>44239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44240</v>
      </c>
      <c r="L29" s="203" t="s">
        <v>76</v>
      </c>
      <c r="M29" s="205">
        <f>K29+6</f>
        <v>44246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44247</v>
      </c>
      <c r="L39" s="203" t="s">
        <v>76</v>
      </c>
      <c r="M39" s="205">
        <f>K39+6</f>
        <v>44253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DATE(2021,2,1)</f>
        <v>44228</v>
      </c>
      <c r="L49" s="203" t="s">
        <v>76</v>
      </c>
      <c r="M49" s="205">
        <f>DATE(2021,2,28)</f>
        <v>44255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44254</v>
      </c>
      <c r="L9" s="203" t="s">
        <v>76</v>
      </c>
      <c r="M9" s="205">
        <f>K9+6</f>
        <v>44260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44261</v>
      </c>
      <c r="L19" s="203" t="s">
        <v>76</v>
      </c>
      <c r="M19" s="205">
        <f>K19+6</f>
        <v>44267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44268</v>
      </c>
      <c r="L29" s="203" t="s">
        <v>76</v>
      </c>
      <c r="M29" s="205">
        <f>K29+6</f>
        <v>44274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44275</v>
      </c>
      <c r="L39" s="203" t="s">
        <v>76</v>
      </c>
      <c r="M39" s="205">
        <f>K39+6</f>
        <v>44281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44282</v>
      </c>
      <c r="L49" s="203" t="s">
        <v>76</v>
      </c>
      <c r="M49" s="205">
        <f>K49+6</f>
        <v>44288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44289</v>
      </c>
      <c r="L59" s="203" t="s">
        <v>76</v>
      </c>
      <c r="M59" s="205">
        <f>K59+4</f>
        <v>44293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DATE(2021,3,1)</f>
        <v>44256</v>
      </c>
      <c r="L69" s="203" t="s">
        <v>76</v>
      </c>
      <c r="M69" s="205">
        <f>DATE(2021,3,31)</f>
        <v>44286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43933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43933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43933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43933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43933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DATE(2020,4,30)</f>
        <v>43951</v>
      </c>
      <c r="C4" s="229">
        <f>DATE(2020,5,19)</f>
        <v>43970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2101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DATE(2020,5,31)</f>
        <v>43982</v>
      </c>
      <c r="C5" s="229">
        <f>DATE(2020,6,19)</f>
        <v>44001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2102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DATE(2020,6,30)</f>
        <v>44012</v>
      </c>
      <c r="C6" s="229">
        <f>DATE(2020,7,19)</f>
        <v>44031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2103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DATE(2020,7,31)</f>
        <v>44043</v>
      </c>
      <c r="C7" s="229">
        <f>DATE(2020,8,19)</f>
        <v>44062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2104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DATE(2020,8,31)</f>
        <v>44074</v>
      </c>
      <c r="C8" s="229">
        <f>DATE(2020,9,19)</f>
        <v>44093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2105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DATE(2020,9,30)</f>
        <v>44104</v>
      </c>
      <c r="C9" s="229">
        <f>DATE(2020,10,19)</f>
        <v>44123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2106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DATE(2020,10,31)</f>
        <v>44135</v>
      </c>
      <c r="C10" s="229">
        <f>DATE(2020,11,19)</f>
        <v>44154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2107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DATE(2020,11,30)</f>
        <v>44165</v>
      </c>
      <c r="C11" s="229">
        <f>DATE(2020,12,19)</f>
        <v>44184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2108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DATE(2020,12,31)</f>
        <v>44196</v>
      </c>
      <c r="C12" s="229">
        <f>DATE(2021,1,19)</f>
        <v>44215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2109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DATE(2021,1,31)</f>
        <v>44227</v>
      </c>
      <c r="C13" s="229">
        <f>DATE(2021,2,19)</f>
        <v>44246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2110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DATE(2021,2,28)</f>
        <v>44255</v>
      </c>
      <c r="C14" s="229">
        <f>DATE(2021,3,19)</f>
        <v>44274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2111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DATE(2021,3,31)</f>
        <v>44286</v>
      </c>
      <c r="C15" s="229">
        <f>DATE(2021,4,19)</f>
        <v>44305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2112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44291</v>
      </c>
      <c r="J1" s="493"/>
      <c r="K1" s="303"/>
      <c r="L1" s="303"/>
      <c r="M1" s="304"/>
      <c r="N1" s="305" t="str">
        <f>TEXT(YEAR(I1)-1,"0") &amp; "-" &amp; TEXT(YEAR(I1)-2000,"0")</f>
        <v>2020-21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43927</v>
      </c>
      <c r="C2" s="309">
        <v>1</v>
      </c>
      <c r="D2" s="309">
        <v>1</v>
      </c>
      <c r="E2" s="310">
        <f>B2</f>
        <v>43927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43928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43929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43930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43931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43932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43933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43934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43935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43936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43937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43938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43939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43940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43941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43942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43943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43944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43945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43946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43947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43948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43949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43950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43951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43952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43953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43954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43955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43956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43957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43958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43959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43960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43961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43962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43963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43964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43965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43966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43967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43968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43969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43970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43971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43972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43973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43974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43975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43976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43977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43978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43979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43980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43981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43982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43983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43984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43985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43986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43987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43988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43989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43990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43991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43992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43993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43994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43995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43996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43997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43998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43999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44000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44001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44002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44003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44004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44005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44006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44007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44008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44009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44010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44011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44012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44013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44014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44015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44016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44017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44018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44019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44020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44021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44022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44023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44024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44025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44026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44027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44028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44029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44030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44031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44032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44033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44034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44035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44036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44037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44038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44039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44040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44041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44042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44043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44044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44045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44046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44047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44048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44049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44050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44051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44052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44053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44054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44055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44056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44057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44058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44059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44060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44061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44062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44063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44064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44065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44066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44067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44068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44069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44070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44071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44072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44073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44074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44075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44076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44077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44078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44079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44080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44081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44082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44083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44084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44085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44086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44087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44088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44089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44090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44091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44092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44093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44094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44095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44096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44097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44098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44099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44100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44101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44102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44103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44104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44105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44106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44107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44108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44109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44110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44111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44112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44113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44114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44115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44116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44117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44118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44119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44120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44121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44122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44123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44124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44125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44126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44127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44128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44129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44130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44131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44132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44133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44134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44135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44136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44137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44138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44139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44140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44141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44142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44143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44144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44145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44146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44147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44148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44149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44150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44151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44152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44153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44154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44155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44156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44157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44158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44159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44160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44161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44162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44163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44164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44165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44166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44167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44168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44169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44170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44171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44172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44173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44174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44175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44176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44177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44178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44179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44180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44181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44182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44183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44184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44185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44186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44187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44188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44189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44190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44191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44192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44193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44194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44195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44196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44197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44198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44199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44200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44201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44202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44203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44204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44205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44206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44207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44208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44209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44210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44211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44212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44213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44214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44215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44216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44217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44218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44219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44220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44221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44222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44223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44224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44225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44226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44227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44228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44229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44230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44231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44232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44233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44234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44235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44236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44237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44238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44239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44240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44241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44242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44243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44244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44245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44246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44247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44248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44249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44250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44251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44252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44253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44254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44255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44256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44257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44258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44259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44260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44261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44262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44263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44264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44265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44266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44267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44268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44269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44270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44271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44272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44273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44274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44275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44276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44277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44278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44279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44280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44281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44282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44283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44284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44285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44286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44287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44288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44289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44290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44291</v>
      </c>
      <c r="C366" s="309">
        <v>53</v>
      </c>
      <c r="D366" s="309">
        <v>12</v>
      </c>
      <c r="E366" s="310">
        <f>B366</f>
        <v>44291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44292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44293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44294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44295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44296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44297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44298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44299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44300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44301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44302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44303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44304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44305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44306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