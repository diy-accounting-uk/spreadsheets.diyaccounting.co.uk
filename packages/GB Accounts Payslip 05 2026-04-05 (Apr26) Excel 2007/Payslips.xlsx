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Self Employed 2026-04-05 (Apr26) Excel 2007/"/>
    </mc:Choice>
  </mc:AlternateContent>
  <xr:revisionPtr revIDLastSave="0" documentId="13_ncr:1_{40649C79-458A-FE4B-8510-69EF3739165D}" xr6:coauthVersionLast="47" xr6:coauthVersionMax="47" xr10:uidLastSave="{00000000-0000-0000-0000-000000000000}"/>
  <bookViews>
    <workbookView xWindow="12340" yWindow="1380" windowWidth="18620" windowHeight="18080" tabRatio="909" xr2:uid="{00000000-000D-0000-FFFF-FFFF00000000}"/>
  </bookViews>
  <sheets>
    <sheet name="Employee" sheetId="25" r:id="rId1"/>
    <sheet name="Apr" sheetId="12" r:id="rId2"/>
    <sheet name="May" sheetId="11" r:id="rId3"/>
    <sheet name="Jun" sheetId="10" r:id="rId4"/>
    <sheet name="Jul" sheetId="9" r:id="rId5"/>
    <sheet name="Aug" sheetId="8" r:id="rId6"/>
    <sheet name="Sep" sheetId="17" r:id="rId7"/>
    <sheet name="Oct" sheetId="16" r:id="rId8"/>
    <sheet name="Nov" sheetId="15" r:id="rId9"/>
    <sheet name="Dec" sheetId="14" r:id="rId10"/>
    <sheet name="Jan" sheetId="13" r:id="rId11"/>
    <sheet name="Feb" sheetId="19" r:id="rId12"/>
    <sheet name="Ma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8" i="40"/>
  <c r="M37" i="40"/>
  <c r="M51" i="40"/>
  <c r="M66" i="40"/>
  <c r="M22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<sst xmlns="http://schemas.openxmlformats.org/spreadsheetml/2006/main" count="1383" uniqueCount="138">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</sst>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14" fontId="7" fillId="2" borderId="0" xfId="0" applyNumberFormat="1" applyFont="1" applyFill="1" applyAlignment="1">
      <alignment horizontal="left" wrapText="1"/>
    </xf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0" xfId="0" applyFont="1"/>
    <xf numFmtId="0" fontId="0" fillId="0" borderId="0" xfId="0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7" fillId="0" borderId="38" xfId="0" applyFont="1" applyBorder="1"/>
    <xf numFmtId="0" fontId="19" fillId="3" borderId="0" xfId="0" applyFont="1" applyFill="1" applyAlignment="1">
      <alignment horizontal="center"/>
    </xf>
    <xf numFmtId="0" fontId="21" fillId="0" borderId="0" xfId="0" applyFont="1" applyAlignment="1">
      <alignment horizontal="center" wrapText="1"/>
    </xf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0" fontId="27" fillId="0" borderId="0" xfId="0" applyFont="1"/>
    <xf numFmtId="164" fontId="8" fillId="3" borderId="21" xfId="0" applyNumberFormat="1" applyFont="1" applyFill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17" fillId="2" borderId="32" xfId="0" applyFont="1" applyFill="1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8" fillId="3" borderId="23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17" fillId="2" borderId="33" xfId="0" applyFont="1" applyFill="1" applyBorder="1" applyAlignment="1">
      <alignment horizontal="center" vertic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6" fillId="3" borderId="0" xfId="0" applyFont="1" applyFill="1" applyAlignment="1" applyProtection="1">
      <alignment horizontal="left" vertical="center" indent="1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0" fontId="43" fillId="0" borderId="0" xfId="0" applyFont="1" applyAlignment="1">
      <alignment horizontal="left" vertical="center" indent="1"/>
    </xf>
    <xf numFmtId="0" fontId="41" fillId="0" borderId="0" xfId="0" applyFont="1" applyProtection="1"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53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49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9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48" t="s">
        <v>135</v>
      </c>
      <c r="I3" s="348"/>
      <c r="J3" s="348"/>
      <c r="K3" s="348"/>
      <c r="L3" s="348"/>
      <c r="M3" s="348"/>
      <c r="N3" s="5"/>
      <c r="O3" s="62"/>
      <c r="P3" s="143"/>
      <c r="Q3" s="345" t="s">
        <v>66</v>
      </c>
      <c r="R3" s="346"/>
      <c r="S3" s="347"/>
      <c r="T3" s="80"/>
      <c r="U3" s="349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9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36"/>
      <c r="E5" s="337"/>
      <c r="F5" s="338"/>
      <c r="G5" s="5"/>
      <c r="H5" s="342" t="s">
        <v>137</v>
      </c>
      <c r="I5" s="342"/>
      <c r="J5" s="342"/>
      <c r="K5" s="342"/>
      <c r="L5" s="342"/>
      <c r="M5" s="342"/>
      <c r="N5" s="342"/>
      <c r="O5" s="342"/>
      <c r="P5" s="68"/>
      <c r="Q5" s="5"/>
      <c r="R5" s="79"/>
      <c r="S5" s="79"/>
      <c r="T5" s="80"/>
      <c r="U5" s="349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36"/>
      <c r="E6" s="337"/>
      <c r="F6" s="338"/>
      <c r="G6" s="5"/>
      <c r="H6" s="342"/>
      <c r="I6" s="342"/>
      <c r="J6" s="342"/>
      <c r="K6" s="342"/>
      <c r="L6" s="342"/>
      <c r="M6" s="342"/>
      <c r="N6" s="342"/>
      <c r="O6" s="342"/>
      <c r="P6" s="68"/>
      <c r="Q6" s="5"/>
      <c r="R6" s="79"/>
      <c r="S6" s="79"/>
      <c r="T6" s="80"/>
      <c r="U6" s="349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36"/>
      <c r="E7" s="337"/>
      <c r="F7" s="338"/>
      <c r="G7" s="5"/>
      <c r="H7" s="342"/>
      <c r="I7" s="342"/>
      <c r="J7" s="342"/>
      <c r="K7" s="342"/>
      <c r="L7" s="342"/>
      <c r="M7" s="342"/>
      <c r="N7" s="342"/>
      <c r="O7" s="342"/>
      <c r="P7" s="68"/>
      <c r="Q7" s="5"/>
      <c r="R7" s="79"/>
      <c r="S7" s="79"/>
      <c r="T7" s="80"/>
      <c r="U7" s="349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9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9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9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51"/>
      <c r="B11" s="351"/>
      <c r="C11" s="351"/>
      <c r="D11" s="351"/>
      <c r="E11" s="351"/>
      <c r="F11" s="351"/>
      <c r="G11" s="351"/>
      <c r="H11" s="351"/>
      <c r="I11" s="351"/>
      <c r="J11" s="351"/>
      <c r="K11" s="351"/>
      <c r="L11" s="351"/>
      <c r="M11" s="351"/>
      <c r="N11" s="351"/>
      <c r="O11" s="351"/>
      <c r="P11" s="351"/>
      <c r="Q11" s="351"/>
      <c r="R11" s="352"/>
      <c r="S11" s="352"/>
      <c r="T11" s="352"/>
      <c r="U11" s="349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9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41" t="s">
        <v>50</v>
      </c>
      <c r="I13" s="14"/>
      <c r="J13" s="22"/>
      <c r="K13" s="83" t="s">
        <v>20</v>
      </c>
      <c r="L13" s="52"/>
      <c r="M13" s="70"/>
      <c r="N13" s="13"/>
      <c r="O13" s="339"/>
      <c r="P13" s="340"/>
      <c r="Q13" s="356"/>
      <c r="R13" s="53"/>
      <c r="S13" s="343"/>
      <c r="T13" s="15"/>
      <c r="U13" s="349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41"/>
      <c r="I14" s="14"/>
      <c r="J14" s="22"/>
      <c r="K14" s="52"/>
      <c r="L14" s="52"/>
      <c r="M14" s="70"/>
      <c r="N14" s="13"/>
      <c r="O14" s="14"/>
      <c r="P14" s="148"/>
      <c r="Q14" s="350"/>
      <c r="R14" s="14"/>
      <c r="S14" s="344"/>
      <c r="T14" s="15"/>
      <c r="U14" s="349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0"/>
      <c r="E15" s="331"/>
      <c r="F15" s="332"/>
      <c r="G15" s="14"/>
      <c r="H15" s="21" t="s">
        <v>51</v>
      </c>
      <c r="I15" s="14"/>
      <c r="J15" s="51"/>
      <c r="K15" s="14" t="s">
        <v>17</v>
      </c>
      <c r="L15" s="14"/>
      <c r="M15" s="333"/>
      <c r="N15" s="334"/>
      <c r="O15" s="335"/>
      <c r="P15" s="148"/>
      <c r="Q15" s="138"/>
      <c r="R15" s="136"/>
      <c r="S15" s="139"/>
      <c r="T15" s="15"/>
      <c r="U15" s="349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0"/>
      <c r="E16" s="331"/>
      <c r="F16" s="332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9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9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9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9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9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9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9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9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9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9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9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9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9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9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9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9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9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9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9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9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9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55"/>
      <c r="B37" s="355"/>
      <c r="C37" s="355"/>
      <c r="D37" s="355"/>
      <c r="E37" s="355"/>
      <c r="F37" s="355"/>
      <c r="G37" s="355"/>
      <c r="H37" s="355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0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50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41" t="s">
        <v>50</v>
      </c>
      <c r="I39" s="14"/>
      <c r="J39" s="22"/>
      <c r="K39" s="83" t="s">
        <v>20</v>
      </c>
      <c r="L39" s="52"/>
      <c r="M39" s="70"/>
      <c r="N39" s="13"/>
      <c r="O39" s="339"/>
      <c r="P39" s="340"/>
      <c r="Q39" s="356"/>
      <c r="R39" s="53"/>
      <c r="S39" s="343"/>
      <c r="T39" s="15"/>
      <c r="U39" s="350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41"/>
      <c r="I40" s="14"/>
      <c r="J40" s="22"/>
      <c r="K40" s="52"/>
      <c r="L40" s="52"/>
      <c r="M40" s="70"/>
      <c r="N40" s="13"/>
      <c r="O40" s="14"/>
      <c r="P40" s="148"/>
      <c r="Q40" s="350"/>
      <c r="R40" s="14"/>
      <c r="S40" s="344"/>
      <c r="T40" s="15"/>
      <c r="U40" s="350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0"/>
      <c r="E41" s="331"/>
      <c r="F41" s="332"/>
      <c r="G41" s="14"/>
      <c r="H41" s="21" t="s">
        <v>51</v>
      </c>
      <c r="I41" s="14"/>
      <c r="J41" s="51"/>
      <c r="K41" s="14" t="s">
        <v>17</v>
      </c>
      <c r="L41" s="14"/>
      <c r="M41" s="333"/>
      <c r="N41" s="334"/>
      <c r="O41" s="335"/>
      <c r="P41" s="148"/>
      <c r="Q41" s="138"/>
      <c r="R41" s="136"/>
      <c r="S41" s="139"/>
      <c r="T41" s="15"/>
      <c r="U41" s="350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0"/>
      <c r="E42" s="331"/>
      <c r="F42" s="332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50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50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50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50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50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50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50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50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50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50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50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50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50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50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50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50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50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50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50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41"/>
      <c r="L61" s="341"/>
      <c r="M61" s="357"/>
      <c r="N61" s="357"/>
      <c r="O61" s="357"/>
      <c r="P61" s="357"/>
      <c r="Q61" s="357"/>
      <c r="R61" s="357"/>
      <c r="S61" s="357"/>
      <c r="T61" s="15"/>
      <c r="U61" s="350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50"/>
      <c r="W62" s="206">
        <f>Admin!B62</f>
        <v>45813</v>
      </c>
    </row>
    <row r="63" spans="1:24" ht="22.5" customHeight="1" thickBot="1" x14ac:dyDescent="0.2">
      <c r="A63" s="355"/>
      <c r="B63" s="355"/>
      <c r="C63" s="355"/>
      <c r="D63" s="355"/>
      <c r="E63" s="355"/>
      <c r="F63" s="355"/>
      <c r="G63" s="355"/>
      <c r="H63" s="355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0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50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41" t="s">
        <v>50</v>
      </c>
      <c r="I65" s="14"/>
      <c r="J65" s="22"/>
      <c r="K65" s="83" t="s">
        <v>20</v>
      </c>
      <c r="L65" s="52"/>
      <c r="M65" s="70"/>
      <c r="N65" s="13"/>
      <c r="O65" s="339"/>
      <c r="P65" s="340"/>
      <c r="Q65" s="356"/>
      <c r="R65" s="53"/>
      <c r="S65" s="343"/>
      <c r="T65" s="15"/>
      <c r="U65" s="350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41"/>
      <c r="I66" s="14"/>
      <c r="J66" s="22"/>
      <c r="K66" s="52"/>
      <c r="L66" s="52"/>
      <c r="M66" s="70"/>
      <c r="N66" s="13"/>
      <c r="O66" s="14"/>
      <c r="P66" s="148"/>
      <c r="Q66" s="350"/>
      <c r="R66" s="14"/>
      <c r="S66" s="344"/>
      <c r="T66" s="15"/>
      <c r="U66" s="350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0"/>
      <c r="E67" s="331"/>
      <c r="F67" s="332"/>
      <c r="G67" s="14"/>
      <c r="H67" s="21" t="s">
        <v>51</v>
      </c>
      <c r="I67" s="14"/>
      <c r="J67" s="51"/>
      <c r="K67" s="14" t="s">
        <v>17</v>
      </c>
      <c r="L67" s="14"/>
      <c r="M67" s="333"/>
      <c r="N67" s="334"/>
      <c r="O67" s="335"/>
      <c r="P67" s="148"/>
      <c r="Q67" s="138"/>
      <c r="R67" s="136"/>
      <c r="S67" s="139"/>
      <c r="T67" s="15"/>
      <c r="U67" s="350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0"/>
      <c r="E68" s="331"/>
      <c r="F68" s="332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50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50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50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50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50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50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50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50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50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50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50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50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50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50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50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50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50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50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50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50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50"/>
      <c r="W88" s="206">
        <f>Admin!B88</f>
        <v>45839</v>
      </c>
    </row>
    <row r="89" spans="1:23" ht="22.5" customHeight="1" thickBot="1" x14ac:dyDescent="0.2">
      <c r="A89" s="355"/>
      <c r="B89" s="355"/>
      <c r="C89" s="355"/>
      <c r="D89" s="355"/>
      <c r="E89" s="355"/>
      <c r="F89" s="355"/>
      <c r="G89" s="355"/>
      <c r="H89" s="355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0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50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41" t="s">
        <v>50</v>
      </c>
      <c r="I91" s="14"/>
      <c r="J91" s="22"/>
      <c r="K91" s="83" t="s">
        <v>20</v>
      </c>
      <c r="L91" s="52"/>
      <c r="M91" s="70"/>
      <c r="N91" s="13"/>
      <c r="O91" s="339"/>
      <c r="P91" s="340"/>
      <c r="Q91" s="356"/>
      <c r="R91" s="53"/>
      <c r="S91" s="343"/>
      <c r="T91" s="15"/>
      <c r="U91" s="350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41"/>
      <c r="I92" s="14"/>
      <c r="J92" s="22"/>
      <c r="K92" s="52"/>
      <c r="L92" s="52"/>
      <c r="M92" s="70"/>
      <c r="N92" s="13"/>
      <c r="O92" s="14"/>
      <c r="P92" s="148"/>
      <c r="Q92" s="350"/>
      <c r="R92" s="14"/>
      <c r="S92" s="344"/>
      <c r="T92" s="15"/>
      <c r="U92" s="350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0"/>
      <c r="E93" s="331"/>
      <c r="F93" s="332"/>
      <c r="G93" s="14"/>
      <c r="H93" s="21" t="s">
        <v>51</v>
      </c>
      <c r="I93" s="14"/>
      <c r="J93" s="51"/>
      <c r="K93" s="14" t="s">
        <v>17</v>
      </c>
      <c r="L93" s="14"/>
      <c r="M93" s="333"/>
      <c r="N93" s="334"/>
      <c r="O93" s="335"/>
      <c r="P93" s="148"/>
      <c r="Q93" s="138"/>
      <c r="R93" s="136"/>
      <c r="S93" s="139"/>
      <c r="T93" s="15"/>
      <c r="U93" s="350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0"/>
      <c r="E94" s="331"/>
      <c r="F94" s="332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50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0"/>
      <c r="E95" s="331"/>
      <c r="F95" s="332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50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50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50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50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50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50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50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50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50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50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50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50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50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50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50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50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50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50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50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50"/>
      <c r="W114" s="206">
        <f>Admin!B114</f>
        <v>45865</v>
      </c>
    </row>
    <row r="115" spans="1:23" ht="22.5" customHeight="1" thickBot="1" x14ac:dyDescent="0.2">
      <c r="A115" s="355"/>
      <c r="B115" s="355"/>
      <c r="C115" s="355"/>
      <c r="D115" s="355"/>
      <c r="E115" s="355"/>
      <c r="F115" s="355"/>
      <c r="G115" s="355"/>
      <c r="H115" s="355"/>
      <c r="I115" s="355"/>
      <c r="J115" s="355"/>
      <c r="K115" s="355"/>
      <c r="L115" s="355"/>
      <c r="M115" s="355"/>
      <c r="N115" s="355"/>
      <c r="O115" s="355"/>
      <c r="P115" s="355"/>
      <c r="Q115" s="355"/>
      <c r="R115" s="355"/>
      <c r="S115" s="355"/>
      <c r="T115" s="355"/>
      <c r="U115" s="350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50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41" t="s">
        <v>50</v>
      </c>
      <c r="I117" s="14"/>
      <c r="J117" s="22"/>
      <c r="K117" s="83" t="s">
        <v>20</v>
      </c>
      <c r="L117" s="52"/>
      <c r="M117" s="70"/>
      <c r="N117" s="13"/>
      <c r="O117" s="339"/>
      <c r="P117" s="340"/>
      <c r="Q117" s="356"/>
      <c r="R117" s="53"/>
      <c r="S117" s="343"/>
      <c r="T117" s="15"/>
      <c r="U117" s="350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41"/>
      <c r="I118" s="14"/>
      <c r="J118" s="22"/>
      <c r="K118" s="52"/>
      <c r="L118" s="52"/>
      <c r="M118" s="70"/>
      <c r="N118" s="13"/>
      <c r="O118" s="14"/>
      <c r="P118" s="148"/>
      <c r="Q118" s="350"/>
      <c r="R118" s="14"/>
      <c r="S118" s="344"/>
      <c r="T118" s="15"/>
      <c r="U118" s="350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0"/>
      <c r="E119" s="331"/>
      <c r="F119" s="332"/>
      <c r="G119" s="14"/>
      <c r="H119" s="21" t="s">
        <v>51</v>
      </c>
      <c r="I119" s="14"/>
      <c r="J119" s="51"/>
      <c r="K119" s="14" t="s">
        <v>17</v>
      </c>
      <c r="L119" s="14"/>
      <c r="M119" s="333"/>
      <c r="N119" s="334"/>
      <c r="O119" s="335"/>
      <c r="P119" s="148"/>
      <c r="Q119" s="29"/>
      <c r="R119" s="136"/>
      <c r="S119" s="139"/>
      <c r="T119" s="15"/>
      <c r="U119" s="350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0"/>
      <c r="E120" s="331"/>
      <c r="F120" s="332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50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50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50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50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50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50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50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50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50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50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50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50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50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50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50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50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50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50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50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50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50"/>
      <c r="W140" s="206">
        <f>Admin!B140</f>
        <v>45891</v>
      </c>
    </row>
    <row r="141" spans="1:23" ht="22.5" customHeight="1" thickBot="1" x14ac:dyDescent="0.2">
      <c r="A141" s="355"/>
      <c r="B141" s="355"/>
      <c r="C141" s="355"/>
      <c r="D141" s="355"/>
      <c r="E141" s="355"/>
      <c r="F141" s="355"/>
      <c r="G141" s="355"/>
      <c r="H141" s="355"/>
      <c r="I141" s="355"/>
      <c r="J141" s="355"/>
      <c r="K141" s="355"/>
      <c r="L141" s="355"/>
      <c r="M141" s="355"/>
      <c r="N141" s="355"/>
      <c r="O141" s="355"/>
      <c r="P141" s="355"/>
      <c r="Q141" s="355"/>
      <c r="R141" s="355"/>
      <c r="S141" s="355"/>
      <c r="T141" s="355"/>
      <c r="U141" s="350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S91:S92"/>
    <mergeCell ref="D93:F93"/>
    <mergeCell ref="D67:F67"/>
    <mergeCell ref="D68:F68"/>
    <mergeCell ref="M67:O67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S39:S40"/>
    <mergeCell ref="H39:H40"/>
    <mergeCell ref="S13:S14"/>
    <mergeCell ref="Q3:S3"/>
    <mergeCell ref="H3:M3"/>
    <mergeCell ref="D15:F15"/>
    <mergeCell ref="D16:F16"/>
    <mergeCell ref="M15:O15"/>
    <mergeCell ref="D5:F5"/>
    <mergeCell ref="D6:F6"/>
    <mergeCell ref="O13:P13"/>
    <mergeCell ref="D7:F7"/>
    <mergeCell ref="H13:H14"/>
    <mergeCell ref="H5:O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03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03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">
        <v>105</v>
      </c>
      <c r="I3" s="372" t="s">
        <v>43</v>
      </c>
      <c r="J3" s="372" t="s">
        <v>44</v>
      </c>
      <c r="K3" s="405" t="s">
        <v>48</v>
      </c>
      <c r="L3" s="405" t="s">
        <v>31</v>
      </c>
      <c r="M3" s="424" t="s">
        <v>46</v>
      </c>
      <c r="N3" s="372" t="s">
        <v>1</v>
      </c>
      <c r="O3" s="391" t="s">
        <v>26</v>
      </c>
      <c r="P3" s="372" t="s">
        <v>106</v>
      </c>
      <c r="Q3" s="391" t="s">
        <v>2</v>
      </c>
      <c r="R3" s="424" t="s">
        <v>47</v>
      </c>
      <c r="S3" s="42"/>
      <c r="T3" s="391" t="s">
        <v>27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408"/>
      <c r="J4" s="408"/>
      <c r="K4" s="406"/>
      <c r="L4" s="406"/>
      <c r="M4" s="425"/>
      <c r="N4" s="373"/>
      <c r="O4" s="387"/>
      <c r="P4" s="373"/>
      <c r="Q4" s="387"/>
      <c r="R4" s="425"/>
      <c r="S4" s="42"/>
      <c r="T4" s="387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408"/>
      <c r="J5" s="408"/>
      <c r="K5" s="406"/>
      <c r="L5" s="406"/>
      <c r="M5" s="425"/>
      <c r="N5" s="373"/>
      <c r="O5" s="387"/>
      <c r="P5" s="373"/>
      <c r="Q5" s="387"/>
      <c r="R5" s="425"/>
      <c r="S5" s="42"/>
      <c r="T5" s="387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409"/>
      <c r="J6" s="409"/>
      <c r="K6" s="407"/>
      <c r="L6" s="407"/>
      <c r="M6" s="425"/>
      <c r="N6" s="374"/>
      <c r="O6" s="387"/>
      <c r="P6" s="374"/>
      <c r="Q6" s="387"/>
      <c r="R6" s="425"/>
      <c r="S6" s="41"/>
      <c r="T6" s="387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426"/>
      <c r="S8" s="427"/>
      <c r="T8" s="42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</v>
      </c>
      <c r="F9" s="35"/>
      <c r="G9" s="35"/>
      <c r="H9" s="378" t="s">
        <v>57</v>
      </c>
      <c r="I9" s="376"/>
      <c r="J9" s="377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401" t="s">
        <v>7</v>
      </c>
      <c r="G16" s="402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</v>
      </c>
      <c r="F19" s="35"/>
      <c r="G19" s="35"/>
      <c r="H19" s="378" t="s">
        <v>28</v>
      </c>
      <c r="I19" s="376"/>
      <c r="J19" s="377"/>
      <c r="K19" s="201">
        <f>M9+1</f>
        <v>45754</v>
      </c>
      <c r="L19" s="200" t="s">
        <v>76</v>
      </c>
      <c r="M19" s="202">
        <f>K19+6</f>
        <v>45760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</v>
      </c>
      <c r="F29" s="35"/>
      <c r="G29" s="35"/>
      <c r="H29" s="378" t="s">
        <v>28</v>
      </c>
      <c r="I29" s="376"/>
      <c r="J29" s="377"/>
      <c r="K29" s="201">
        <f>M19+1</f>
        <v>45761</v>
      </c>
      <c r="L29" s="200" t="s">
        <v>76</v>
      </c>
      <c r="M29" s="202">
        <f>K29+6</f>
        <v>45767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4</v>
      </c>
      <c r="F39" s="35"/>
      <c r="G39" s="35"/>
      <c r="H39" s="378" t="s">
        <v>28</v>
      </c>
      <c r="I39" s="376"/>
      <c r="J39" s="377"/>
      <c r="K39" s="201">
        <f>M29+1</f>
        <v>45768</v>
      </c>
      <c r="L39" s="200" t="s">
        <v>76</v>
      </c>
      <c r="M39" s="202">
        <f>K39+6</f>
        <v>45774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</v>
      </c>
      <c r="F49" s="35"/>
      <c r="G49" s="35"/>
      <c r="H49" s="378" t="s">
        <v>28</v>
      </c>
      <c r="I49" s="376"/>
      <c r="J49" s="377"/>
      <c r="K49" s="204">
        <f>Admin!B2</f>
        <v>45753</v>
      </c>
      <c r="L49" s="203" t="s">
        <v>76</v>
      </c>
      <c r="M49" s="205">
        <f>Admin!B26</f>
        <v>45777</v>
      </c>
      <c r="N49" s="20"/>
      <c r="O49" s="388" t="s">
        <v>49</v>
      </c>
      <c r="P49" s="389"/>
      <c r="Q49" s="389"/>
      <c r="R49" s="390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5</v>
      </c>
      <c r="F9" s="35"/>
      <c r="G9" s="35"/>
      <c r="H9" s="378" t="s">
        <v>28</v>
      </c>
      <c r="I9" s="376"/>
      <c r="J9" s="377"/>
      <c r="K9" s="204">
        <f>Apr!M39+1</f>
        <v>45775</v>
      </c>
      <c r="L9" s="203" t="s">
        <v>76</v>
      </c>
      <c r="M9" s="205">
        <f>K9+6</f>
        <v>45781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6</v>
      </c>
      <c r="F19" s="35"/>
      <c r="G19" s="35"/>
      <c r="H19" s="378" t="s">
        <v>28</v>
      </c>
      <c r="I19" s="376"/>
      <c r="J19" s="377"/>
      <c r="K19" s="204">
        <f>M9+1</f>
        <v>45782</v>
      </c>
      <c r="L19" s="203" t="s">
        <v>76</v>
      </c>
      <c r="M19" s="205">
        <f>K19+6</f>
        <v>45788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7</v>
      </c>
      <c r="F29" s="35"/>
      <c r="G29" s="35"/>
      <c r="H29" s="378" t="s">
        <v>28</v>
      </c>
      <c r="I29" s="376"/>
      <c r="J29" s="377"/>
      <c r="K29" s="204">
        <f>M19+1</f>
        <v>45789</v>
      </c>
      <c r="L29" s="203" t="s">
        <v>76</v>
      </c>
      <c r="M29" s="205">
        <f>K29+6</f>
        <v>45795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8</v>
      </c>
      <c r="F39" s="35"/>
      <c r="G39" s="35"/>
      <c r="H39" s="378" t="s">
        <v>28</v>
      </c>
      <c r="I39" s="376"/>
      <c r="J39" s="377"/>
      <c r="K39" s="204">
        <f>M29+1</f>
        <v>45796</v>
      </c>
      <c r="L39" s="203" t="s">
        <v>76</v>
      </c>
      <c r="M39" s="205">
        <f>K39+6</f>
        <v>45802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2</v>
      </c>
      <c r="F49" s="35"/>
      <c r="G49" s="35"/>
      <c r="H49" s="378" t="s">
        <v>28</v>
      </c>
      <c r="I49" s="376"/>
      <c r="J49" s="377"/>
      <c r="K49" s="204">
        <f>Admin!B27</f>
        <v>45778</v>
      </c>
      <c r="L49" s="203" t="s">
        <v>76</v>
      </c>
      <c r="M49" s="205">
        <f>Admin!B57</f>
        <v>45808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1" t="s">
        <v>4</v>
      </c>
      <c r="J1" s="442"/>
      <c r="K1" s="442"/>
      <c r="L1" s="443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9</v>
      </c>
      <c r="F9" s="35"/>
      <c r="G9" s="35"/>
      <c r="H9" s="378" t="s">
        <v>28</v>
      </c>
      <c r="I9" s="376"/>
      <c r="J9" s="377"/>
      <c r="K9" s="204">
        <f>May!M39+1</f>
        <v>45803</v>
      </c>
      <c r="L9" s="203" t="s">
        <v>76</v>
      </c>
      <c r="M9" s="205">
        <f>K9+6</f>
        <v>45809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10</v>
      </c>
      <c r="F19" s="35"/>
      <c r="G19" s="35"/>
      <c r="H19" s="378" t="s">
        <v>28</v>
      </c>
      <c r="I19" s="376"/>
      <c r="J19" s="377"/>
      <c r="K19" s="204">
        <f>M9+1</f>
        <v>45810</v>
      </c>
      <c r="L19" s="203" t="s">
        <v>76</v>
      </c>
      <c r="M19" s="205">
        <f>K19+6</f>
        <v>45816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11</v>
      </c>
      <c r="F29" s="35"/>
      <c r="G29" s="35"/>
      <c r="H29" s="378" t="s">
        <v>28</v>
      </c>
      <c r="I29" s="376"/>
      <c r="J29" s="377"/>
      <c r="K29" s="204">
        <f>M19+1</f>
        <v>45817</v>
      </c>
      <c r="L29" s="203" t="s">
        <v>76</v>
      </c>
      <c r="M29" s="205">
        <f>K29+6</f>
        <v>45823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12</v>
      </c>
      <c r="F39" s="35"/>
      <c r="G39" s="35"/>
      <c r="H39" s="378" t="s">
        <v>28</v>
      </c>
      <c r="I39" s="432"/>
      <c r="J39" s="433"/>
      <c r="K39" s="204">
        <f>M29+1</f>
        <v>45824</v>
      </c>
      <c r="L39" s="203" t="s">
        <v>76</v>
      </c>
      <c r="M39" s="205">
        <f>K39+6</f>
        <v>45830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78" t="s">
        <v>9</v>
      </c>
      <c r="C49" s="432"/>
      <c r="D49" s="433"/>
      <c r="E49" s="156">
        <v>13</v>
      </c>
      <c r="F49" s="35"/>
      <c r="G49" s="35"/>
      <c r="H49" s="378" t="s">
        <v>28</v>
      </c>
      <c r="I49" s="432"/>
      <c r="J49" s="433"/>
      <c r="K49" s="204">
        <f>M39+1</f>
        <v>45831</v>
      </c>
      <c r="L49" s="203" t="s">
        <v>76</v>
      </c>
      <c r="M49" s="205">
        <f>K49+6</f>
        <v>45837</v>
      </c>
      <c r="N49" s="20"/>
      <c r="O49" s="388" t="s">
        <v>63</v>
      </c>
      <c r="P49" s="434"/>
      <c r="Q49" s="434"/>
      <c r="R49" s="435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3</v>
      </c>
      <c r="F59" s="35"/>
      <c r="G59" s="35"/>
      <c r="H59" s="378" t="s">
        <v>28</v>
      </c>
      <c r="I59" s="376"/>
      <c r="J59" s="377"/>
      <c r="K59" s="204">
        <f>Admin!B58</f>
        <v>45809</v>
      </c>
      <c r="L59" s="203" t="s">
        <v>76</v>
      </c>
      <c r="M59" s="205">
        <f>Admin!B87</f>
        <v>45838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  <mergeCell ref="A1:A6"/>
    <mergeCell ref="B3:B6"/>
    <mergeCell ref="C3:C6"/>
    <mergeCell ref="D3:D6"/>
    <mergeCell ref="E3:E6"/>
    <mergeCell ref="B1:F2"/>
    <mergeCell ref="F3:F6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AD1:AG2"/>
    <mergeCell ref="AD3:AD6"/>
    <mergeCell ref="AE3:AE6"/>
    <mergeCell ref="AF3:AF6"/>
    <mergeCell ref="AG3:AG6"/>
    <mergeCell ref="B7:T7"/>
    <mergeCell ref="B8:E8"/>
    <mergeCell ref="O8:Q8"/>
    <mergeCell ref="T3:T6"/>
    <mergeCell ref="V3:V6"/>
    <mergeCell ref="U1:U6"/>
    <mergeCell ref="R8:T8"/>
    <mergeCell ref="X3:X6"/>
    <mergeCell ref="G1:H1"/>
    <mergeCell ref="L3:L6"/>
    <mergeCell ref="M3:M6"/>
    <mergeCell ref="R3:R6"/>
    <mergeCell ref="H3:H6"/>
    <mergeCell ref="R38:T38"/>
    <mergeCell ref="F36:G36"/>
    <mergeCell ref="B37:T37"/>
    <mergeCell ref="B38:E38"/>
    <mergeCell ref="B39:D39"/>
    <mergeCell ref="H39:J39"/>
    <mergeCell ref="O39:R39"/>
    <mergeCell ref="O38:Q38"/>
    <mergeCell ref="F56:G56"/>
    <mergeCell ref="B28:E28"/>
    <mergeCell ref="B29:D29"/>
    <mergeCell ref="H29:J29"/>
    <mergeCell ref="F46:G46"/>
    <mergeCell ref="R48:T48"/>
    <mergeCell ref="B49:D49"/>
    <mergeCell ref="H49:J49"/>
    <mergeCell ref="O49:R49"/>
    <mergeCell ref="B47:T47"/>
    <mergeCell ref="B48:E48"/>
    <mergeCell ref="O48:Q48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14</v>
      </c>
      <c r="F9" s="35"/>
      <c r="G9" s="35"/>
      <c r="H9" s="378" t="s">
        <v>28</v>
      </c>
      <c r="I9" s="432"/>
      <c r="J9" s="433"/>
      <c r="K9" s="204">
        <f>Admin!B91</f>
        <v>45842</v>
      </c>
      <c r="L9" s="203" t="s">
        <v>76</v>
      </c>
      <c r="M9" s="205">
        <f>K9+6</f>
        <v>45848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15</v>
      </c>
      <c r="F19" s="35"/>
      <c r="G19" s="35"/>
      <c r="H19" s="378" t="s">
        <v>28</v>
      </c>
      <c r="I19" s="376"/>
      <c r="J19" s="377"/>
      <c r="K19" s="204">
        <f>M9+1</f>
        <v>45849</v>
      </c>
      <c r="L19" s="203" t="s">
        <v>76</v>
      </c>
      <c r="M19" s="205">
        <f>K19+6</f>
        <v>45855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16</v>
      </c>
      <c r="F29" s="35"/>
      <c r="G29" s="35"/>
      <c r="H29" s="378" t="s">
        <v>28</v>
      </c>
      <c r="I29" s="376"/>
      <c r="J29" s="377"/>
      <c r="K29" s="204">
        <f>M19+1</f>
        <v>45856</v>
      </c>
      <c r="L29" s="203" t="s">
        <v>76</v>
      </c>
      <c r="M29" s="205">
        <f>K29+6</f>
        <v>45862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17</v>
      </c>
      <c r="F39" s="35"/>
      <c r="G39" s="35"/>
      <c r="H39" s="378" t="s">
        <v>28</v>
      </c>
      <c r="I39" s="376"/>
      <c r="J39" s="377"/>
      <c r="K39" s="204">
        <f>M29+1</f>
        <v>45863</v>
      </c>
      <c r="L39" s="203" t="s">
        <v>76</v>
      </c>
      <c r="M39" s="205">
        <f>K39+6</f>
        <v>45869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4</v>
      </c>
      <c r="F49" s="35"/>
      <c r="G49" s="35"/>
      <c r="H49" s="378" t="s">
        <v>28</v>
      </c>
      <c r="I49" s="376"/>
      <c r="J49" s="377"/>
      <c r="K49" s="204">
        <f>Admin!B88</f>
        <v>45839</v>
      </c>
      <c r="L49" s="203" t="s">
        <v>76</v>
      </c>
      <c r="M49" s="205">
        <f>Admin!B118</f>
        <v>45869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9:D9"/>
    <mergeCell ref="H9:J9"/>
    <mergeCell ref="O9:R9"/>
    <mergeCell ref="H19:J19"/>
    <mergeCell ref="O19:R19"/>
    <mergeCell ref="F16:G1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AD1:AG2"/>
    <mergeCell ref="AE3:AE6"/>
    <mergeCell ref="AF3:AF6"/>
    <mergeCell ref="AG3:AG6"/>
    <mergeCell ref="AD3:AD6"/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18</v>
      </c>
      <c r="F9" s="35"/>
      <c r="G9" s="35"/>
      <c r="H9" s="378" t="s">
        <v>28</v>
      </c>
      <c r="I9" s="376"/>
      <c r="J9" s="377"/>
      <c r="K9" s="204">
        <f>Admin!B119</f>
        <v>45870</v>
      </c>
      <c r="L9" s="203" t="s">
        <v>76</v>
      </c>
      <c r="M9" s="205">
        <f>K9+6</f>
        <v>45876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v>0</v>
      </c>
      <c r="L11" s="110">
        <f>IF(T$9="Y",Jul!L41,0)</f>
        <v>0</v>
      </c>
      <c r="M11" s="110" t="str">
        <f>IF(E11=" "," ",IF(T$9="Y",Jul!M41,IF((H11+K11+L11)&gt;0,H11+K11+L11,"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IF(T$9="Y",Jul!H41,0)</f>
        <v>0</v>
      </c>
      <c r="I12" s="92">
        <f>IF(T$9="Y",Jul!I41,0)</f>
        <v>0</v>
      </c>
      <c r="J12" s="92">
        <f>IF(T$9="Y",Jul!J41,0)</f>
        <v>0</v>
      </c>
      <c r="K12" s="92">
        <f>IF(T$9="Y",Jul!K41,I12*J12)</f>
        <v>0</v>
      </c>
      <c r="L12" s="111">
        <f>IF(T$9="Y",Jul!L41,0)</f>
        <v>0</v>
      </c>
      <c r="M12" s="111" t="str">
        <f>IF(E12=" "," ",IF(T$9="Y",Jul!M41,IF((H12+K12+L12)&gt;0,H12+K12+L12,"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IF(T$9="Y",Jul!H41,0)</f>
        <v>0</v>
      </c>
      <c r="I13" s="92">
        <f>IF(T$9="Y",Jul!I41,0)</f>
        <v>0</v>
      </c>
      <c r="J13" s="92">
        <f>IF(T$9="Y",Jul!J41,0)</f>
        <v>0</v>
      </c>
      <c r="K13" s="92">
        <f>IF(T$9="Y",Jul!K41,I13*J13)</f>
        <v>0</v>
      </c>
      <c r="L13" s="111">
        <f>IF(T$9="Y",Jul!L41,0)</f>
        <v>0</v>
      </c>
      <c r="M13" s="111" t="str">
        <f>IF(E13=" "," ",IF(T$9="Y",Jul!M41,IF((H13+K13+L13)&gt;0,H13+K13+L13,"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IF(T$9="Y",Jul!H41,0)</f>
        <v>0</v>
      </c>
      <c r="I14" s="92">
        <f>IF(T$9="Y",Jul!I41,0)</f>
        <v>0</v>
      </c>
      <c r="J14" s="92">
        <f>IF(T$9="Y",Jul!J41,0)</f>
        <v>0</v>
      </c>
      <c r="K14" s="92">
        <f>IF(T$9="Y",Jul!K41,I14*J14)</f>
        <v>0</v>
      </c>
      <c r="L14" s="111">
        <f>IF(T$9="Y",Jul!L41,0)</f>
        <v>0</v>
      </c>
      <c r="M14" s="111" t="str">
        <f>IF(E14=" "," ",IF(T$9="Y",Jul!M41,IF((H14+K14+L14)&gt;0,H14+K14+L14,"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IF(T$9="Y",Jul!H41,0)</f>
        <v>0</v>
      </c>
      <c r="I15" s="245">
        <f>IF(T$9="Y",Jul!I41,0)</f>
        <v>0</v>
      </c>
      <c r="J15" s="245">
        <f>IF(T$9="Y",Jul!J41,0)</f>
        <v>0</v>
      </c>
      <c r="K15" s="245">
        <f>IF(T$9="Y",Jul!K41,I15*J15)</f>
        <v>0</v>
      </c>
      <c r="L15" s="246">
        <f>IF(T$9="Y",Jul!L41,0)</f>
        <v>0</v>
      </c>
      <c r="M15" s="246" t="str">
        <f>IF(E15=" "," ",IF(T$9="Y",Jul!M41,IF((H15+K15+L15)&gt;0,H15+K15+L15,"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19</v>
      </c>
      <c r="F19" s="35"/>
      <c r="G19" s="35"/>
      <c r="H19" s="378" t="s">
        <v>28</v>
      </c>
      <c r="I19" s="376"/>
      <c r="J19" s="377"/>
      <c r="K19" s="204">
        <f>M9+1</f>
        <v>45877</v>
      </c>
      <c r="L19" s="203" t="s">
        <v>76</v>
      </c>
      <c r="M19" s="205">
        <f>K19+6</f>
        <v>45883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20</v>
      </c>
      <c r="F29" s="35"/>
      <c r="G29" s="35"/>
      <c r="H29" s="378" t="s">
        <v>28</v>
      </c>
      <c r="I29" s="376"/>
      <c r="J29" s="377"/>
      <c r="K29" s="204">
        <f>M19+1</f>
        <v>45884</v>
      </c>
      <c r="L29" s="203" t="s">
        <v>76</v>
      </c>
      <c r="M29" s="205">
        <f>K29+6</f>
        <v>45890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21</v>
      </c>
      <c r="F39" s="35"/>
      <c r="G39" s="35"/>
      <c r="H39" s="378" t="s">
        <v>28</v>
      </c>
      <c r="I39" s="432"/>
      <c r="J39" s="433"/>
      <c r="K39" s="204">
        <f>M29+1</f>
        <v>45891</v>
      </c>
      <c r="L39" s="203" t="s">
        <v>76</v>
      </c>
      <c r="M39" s="205">
        <f>K39+6</f>
        <v>45897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5</v>
      </c>
      <c r="F49" s="35"/>
      <c r="G49" s="35"/>
      <c r="H49" s="378" t="s">
        <v>28</v>
      </c>
      <c r="I49" s="376"/>
      <c r="J49" s="377"/>
      <c r="K49" s="204">
        <f>Admin!B119</f>
        <v>45870</v>
      </c>
      <c r="L49" s="203" t="s">
        <v>76</v>
      </c>
      <c r="M49" s="205">
        <f>Admin!B149</f>
        <v>45900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22</v>
      </c>
      <c r="F9" s="35"/>
      <c r="G9" s="35"/>
      <c r="H9" s="378" t="s">
        <v>28</v>
      </c>
      <c r="I9" s="376"/>
      <c r="J9" s="377"/>
      <c r="K9" s="204">
        <f>Aug!M39+1</f>
        <v>45898</v>
      </c>
      <c r="L9" s="203" t="s">
        <v>76</v>
      </c>
      <c r="M9" s="205">
        <f>K9+6</f>
        <v>45904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23</v>
      </c>
      <c r="F19" s="35"/>
      <c r="G19" s="35"/>
      <c r="H19" s="378" t="s">
        <v>28</v>
      </c>
      <c r="I19" s="376"/>
      <c r="J19" s="377"/>
      <c r="K19" s="204">
        <f>M9+1</f>
        <v>45905</v>
      </c>
      <c r="L19" s="203" t="s">
        <v>76</v>
      </c>
      <c r="M19" s="205">
        <f>K19+6</f>
        <v>45911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24</v>
      </c>
      <c r="F29" s="35"/>
      <c r="G29" s="35"/>
      <c r="H29" s="378" t="s">
        <v>28</v>
      </c>
      <c r="I29" s="376"/>
      <c r="J29" s="377"/>
      <c r="K29" s="204">
        <f>M19+1</f>
        <v>45912</v>
      </c>
      <c r="L29" s="203" t="s">
        <v>76</v>
      </c>
      <c r="M29" s="205">
        <f>K29+6</f>
        <v>45918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25</v>
      </c>
      <c r="F39" s="35"/>
      <c r="G39" s="35"/>
      <c r="H39" s="378" t="s">
        <v>28</v>
      </c>
      <c r="I39" s="432"/>
      <c r="J39" s="433"/>
      <c r="K39" s="204">
        <f>M29+1</f>
        <v>45919</v>
      </c>
      <c r="L39" s="203" t="s">
        <v>76</v>
      </c>
      <c r="M39" s="205">
        <f>K39+6</f>
        <v>45925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26</v>
      </c>
      <c r="F49" s="35"/>
      <c r="G49" s="35"/>
      <c r="H49" s="378" t="s">
        <v>28</v>
      </c>
      <c r="I49" s="432"/>
      <c r="J49" s="433"/>
      <c r="K49" s="204">
        <f>Admin!B175</f>
        <v>45926</v>
      </c>
      <c r="L49" s="203" t="s">
        <v>76</v>
      </c>
      <c r="M49" s="205">
        <f>K49+6</f>
        <v>45932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6</v>
      </c>
      <c r="F59" s="35"/>
      <c r="G59" s="35"/>
      <c r="H59" s="378" t="s">
        <v>28</v>
      </c>
      <c r="I59" s="376"/>
      <c r="J59" s="377"/>
      <c r="K59" s="204">
        <f>Admin!B150</f>
        <v>45901</v>
      </c>
      <c r="L59" s="203" t="s">
        <v>76</v>
      </c>
      <c r="M59" s="205">
        <f>Admin!B179</f>
        <v>45930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0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6"/>
      <c r="D8" s="436"/>
      <c r="E8" s="437"/>
      <c r="F8" s="32"/>
      <c r="G8" s="32"/>
      <c r="H8" s="32"/>
      <c r="I8" s="32"/>
      <c r="J8" s="32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432"/>
      <c r="D9" s="433"/>
      <c r="E9" s="156">
        <v>27</v>
      </c>
      <c r="F9" s="35"/>
      <c r="G9" s="35"/>
      <c r="H9" s="378" t="s">
        <v>28</v>
      </c>
      <c r="I9" s="432"/>
      <c r="J9" s="433"/>
      <c r="K9" s="204">
        <f>Admin!B182</f>
        <v>45933</v>
      </c>
      <c r="L9" s="203" t="s">
        <v>76</v>
      </c>
      <c r="M9" s="205">
        <f>Admin!B188</f>
        <v>45939</v>
      </c>
      <c r="N9" s="20"/>
      <c r="O9" s="388" t="s">
        <v>63</v>
      </c>
      <c r="P9" s="434"/>
      <c r="Q9" s="434"/>
      <c r="R9" s="435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438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86"/>
      <c r="H18" s="87"/>
      <c r="I18" s="87"/>
      <c r="J18" s="87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28</v>
      </c>
      <c r="F19" s="35"/>
      <c r="G19" s="35"/>
      <c r="H19" s="378" t="s">
        <v>28</v>
      </c>
      <c r="I19" s="376"/>
      <c r="J19" s="377"/>
      <c r="K19" s="204">
        <f>M9+1</f>
        <v>45940</v>
      </c>
      <c r="L19" s="203" t="s">
        <v>76</v>
      </c>
      <c r="M19" s="205">
        <f>K19+6</f>
        <v>45946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6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29</v>
      </c>
      <c r="F29" s="35"/>
      <c r="G29" s="35"/>
      <c r="H29" s="378" t="s">
        <v>28</v>
      </c>
      <c r="I29" s="376"/>
      <c r="J29" s="377"/>
      <c r="K29" s="204">
        <f>M19+1</f>
        <v>45947</v>
      </c>
      <c r="L29" s="203" t="s">
        <v>76</v>
      </c>
      <c r="M29" s="205">
        <f>K29+6</f>
        <v>45953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76"/>
      <c r="D38" s="376"/>
      <c r="E38" s="377"/>
      <c r="F38" s="32"/>
      <c r="G38" s="32"/>
      <c r="H38" s="43"/>
      <c r="I38" s="43"/>
      <c r="J38" s="43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376"/>
      <c r="D39" s="377"/>
      <c r="E39" s="156">
        <v>30</v>
      </c>
      <c r="F39" s="35"/>
      <c r="G39" s="35"/>
      <c r="H39" s="378" t="s">
        <v>28</v>
      </c>
      <c r="I39" s="376"/>
      <c r="J39" s="377"/>
      <c r="K39" s="204">
        <f>M29+1</f>
        <v>45954</v>
      </c>
      <c r="L39" s="203" t="s">
        <v>76</v>
      </c>
      <c r="M39" s="205">
        <f>K39+6</f>
        <v>45960</v>
      </c>
      <c r="N39" s="20"/>
      <c r="O39" s="388" t="s">
        <v>63</v>
      </c>
      <c r="P39" s="389"/>
      <c r="Q39" s="389"/>
      <c r="R39" s="390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377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7</v>
      </c>
      <c r="F49" s="35"/>
      <c r="G49" s="35"/>
      <c r="H49" s="378" t="s">
        <v>28</v>
      </c>
      <c r="I49" s="376"/>
      <c r="J49" s="377"/>
      <c r="K49" s="204">
        <f>Admin!B180</f>
        <v>45931</v>
      </c>
      <c r="L49" s="203" t="s">
        <v>76</v>
      </c>
      <c r="M49" s="205">
        <f>Admin!B210</f>
        <v>45961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F16:G16"/>
    <mergeCell ref="B7:T7"/>
    <mergeCell ref="B8:E8"/>
    <mergeCell ref="O8:Q8"/>
    <mergeCell ref="R8:T8"/>
    <mergeCell ref="B9:D9"/>
    <mergeCell ref="H9:J9"/>
    <mergeCell ref="O9:R9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31</v>
      </c>
      <c r="F9" s="35"/>
      <c r="G9" s="35"/>
      <c r="H9" s="378" t="s">
        <v>28</v>
      </c>
      <c r="I9" s="376"/>
      <c r="J9" s="377"/>
      <c r="K9" s="204">
        <f>Admin!B210</f>
        <v>45961</v>
      </c>
      <c r="L9" s="203" t="s">
        <v>76</v>
      </c>
      <c r="M9" s="205">
        <f>K9+6</f>
        <v>45967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32</v>
      </c>
      <c r="F19" s="35"/>
      <c r="G19" s="35"/>
      <c r="H19" s="378" t="s">
        <v>28</v>
      </c>
      <c r="I19" s="376"/>
      <c r="J19" s="377"/>
      <c r="K19" s="204">
        <f>M9+1</f>
        <v>45968</v>
      </c>
      <c r="L19" s="203" t="s">
        <v>76</v>
      </c>
      <c r="M19" s="205">
        <f>K19+6</f>
        <v>45974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33</v>
      </c>
      <c r="F29" s="35"/>
      <c r="G29" s="35"/>
      <c r="H29" s="378" t="s">
        <v>28</v>
      </c>
      <c r="I29" s="376"/>
      <c r="J29" s="377"/>
      <c r="K29" s="204">
        <f>M19+1</f>
        <v>45975</v>
      </c>
      <c r="L29" s="203" t="s">
        <v>76</v>
      </c>
      <c r="M29" s="205">
        <f>K29+6</f>
        <v>45981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34</v>
      </c>
      <c r="F39" s="35"/>
      <c r="G39" s="35"/>
      <c r="H39" s="378" t="s">
        <v>28</v>
      </c>
      <c r="I39" s="432"/>
      <c r="J39" s="433"/>
      <c r="K39" s="204">
        <f>M29+1</f>
        <v>45982</v>
      </c>
      <c r="L39" s="203" t="s">
        <v>76</v>
      </c>
      <c r="M39" s="205">
        <f>K39+6</f>
        <v>45988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8</v>
      </c>
      <c r="F49" s="35"/>
      <c r="G49" s="35"/>
      <c r="H49" s="378" t="s">
        <v>28</v>
      </c>
      <c r="I49" s="376"/>
      <c r="J49" s="377"/>
      <c r="K49" s="204">
        <f>Admin!B211</f>
        <v>45962</v>
      </c>
      <c r="L49" s="203" t="s">
        <v>76</v>
      </c>
      <c r="M49" s="205">
        <f>Admin!B240</f>
        <v>45991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SUM(AD70:AG70)+SUM(AE72:AG72)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35</v>
      </c>
      <c r="F9" s="35"/>
      <c r="G9" s="35"/>
      <c r="H9" s="378" t="s">
        <v>28</v>
      </c>
      <c r="I9" s="376"/>
      <c r="J9" s="377"/>
      <c r="K9" s="204">
        <f>Nov!M39+1</f>
        <v>45989</v>
      </c>
      <c r="L9" s="203" t="s">
        <v>76</v>
      </c>
      <c r="M9" s="205">
        <f>K9+6</f>
        <v>45995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36</v>
      </c>
      <c r="F19" s="35"/>
      <c r="G19" s="35"/>
      <c r="H19" s="378" t="s">
        <v>28</v>
      </c>
      <c r="I19" s="376"/>
      <c r="J19" s="377"/>
      <c r="K19" s="204">
        <f>M9+1</f>
        <v>45996</v>
      </c>
      <c r="L19" s="203" t="s">
        <v>76</v>
      </c>
      <c r="M19" s="205">
        <f>K19+6</f>
        <v>46002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37</v>
      </c>
      <c r="F29" s="35"/>
      <c r="G29" s="35"/>
      <c r="H29" s="378" t="s">
        <v>28</v>
      </c>
      <c r="I29" s="376"/>
      <c r="J29" s="377"/>
      <c r="K29" s="204">
        <f>M19+1</f>
        <v>46003</v>
      </c>
      <c r="L29" s="203" t="s">
        <v>76</v>
      </c>
      <c r="M29" s="205">
        <f>K29+6</f>
        <v>46009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38</v>
      </c>
      <c r="F39" s="35"/>
      <c r="G39" s="35"/>
      <c r="H39" s="378" t="s">
        <v>28</v>
      </c>
      <c r="I39" s="432"/>
      <c r="J39" s="433"/>
      <c r="K39" s="204">
        <f>M29+1</f>
        <v>46010</v>
      </c>
      <c r="L39" s="203" t="s">
        <v>76</v>
      </c>
      <c r="M39" s="205">
        <f>K39+6</f>
        <v>46016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39</v>
      </c>
      <c r="F49" s="35"/>
      <c r="G49" s="35"/>
      <c r="H49" s="378" t="s">
        <v>28</v>
      </c>
      <c r="I49" s="432"/>
      <c r="J49" s="433"/>
      <c r="K49" s="204">
        <f>M39+1</f>
        <v>46017</v>
      </c>
      <c r="L49" s="203" t="s">
        <v>76</v>
      </c>
      <c r="M49" s="205">
        <f>K49+6</f>
        <v>46023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76"/>
      <c r="D58" s="376"/>
      <c r="E58" s="377"/>
      <c r="F58" s="32"/>
      <c r="G58" s="32"/>
      <c r="H58" s="43"/>
      <c r="I58" s="43"/>
      <c r="J58" s="43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10</v>
      </c>
      <c r="C59" s="376"/>
      <c r="D59" s="377"/>
      <c r="E59" s="156">
        <v>9</v>
      </c>
      <c r="F59" s="35"/>
      <c r="G59" s="35"/>
      <c r="H59" s="378" t="s">
        <v>28</v>
      </c>
      <c r="I59" s="376"/>
      <c r="J59" s="377"/>
      <c r="K59" s="204">
        <f>Admin!B241</f>
        <v>45992</v>
      </c>
      <c r="L59" s="203" t="s">
        <v>76</v>
      </c>
      <c r="M59" s="205">
        <f>Admin!B271</f>
        <v>46022</v>
      </c>
      <c r="N59" s="20"/>
      <c r="O59" s="388" t="s">
        <v>64</v>
      </c>
      <c r="P59" s="389"/>
      <c r="Q59" s="389"/>
      <c r="R59" s="390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377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358" t="s">
        <v>74</v>
      </c>
      <c r="N69" s="359"/>
      <c r="O69" s="359"/>
      <c r="P69" s="359"/>
      <c r="Q69" s="359"/>
      <c r="R69" s="359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  <mergeCell ref="Y3:Y6"/>
    <mergeCell ref="Z3:Z6"/>
    <mergeCell ref="T3:T6"/>
    <mergeCell ref="L3:L6"/>
    <mergeCell ref="M3:M6"/>
    <mergeCell ref="R3:R6"/>
    <mergeCell ref="W3:W6"/>
    <mergeCell ref="AD1:AG2"/>
    <mergeCell ref="AE3:AE6"/>
    <mergeCell ref="AF3:AF6"/>
    <mergeCell ref="AD3:AD6"/>
    <mergeCell ref="AG3:AG6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F36:G36"/>
    <mergeCell ref="B28:E28"/>
    <mergeCell ref="F16:G16"/>
    <mergeCell ref="B17:T17"/>
    <mergeCell ref="B27:T27"/>
    <mergeCell ref="B18:E18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380" t="s">
        <v>66</v>
      </c>
      <c r="C1" s="381"/>
      <c r="D1" s="381"/>
      <c r="E1" s="381"/>
      <c r="F1" s="382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40</v>
      </c>
      <c r="F9" s="35"/>
      <c r="G9" s="35"/>
      <c r="H9" s="378" t="s">
        <v>28</v>
      </c>
      <c r="I9" s="376"/>
      <c r="J9" s="377"/>
      <c r="K9" s="204">
        <f>Dec!M49+1</f>
        <v>46024</v>
      </c>
      <c r="L9" s="203" t="s">
        <v>76</v>
      </c>
      <c r="M9" s="205">
        <f>K9+6</f>
        <v>46030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41</v>
      </c>
      <c r="F19" s="35"/>
      <c r="G19" s="35"/>
      <c r="H19" s="378" t="s">
        <v>28</v>
      </c>
      <c r="I19" s="376"/>
      <c r="J19" s="377"/>
      <c r="K19" s="204">
        <f>M9+1</f>
        <v>46031</v>
      </c>
      <c r="L19" s="203" t="s">
        <v>76</v>
      </c>
      <c r="M19" s="205">
        <f>K19+6</f>
        <v>46037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42</v>
      </c>
      <c r="F29" s="35"/>
      <c r="G29" s="35"/>
      <c r="H29" s="378" t="s">
        <v>28</v>
      </c>
      <c r="I29" s="376"/>
      <c r="J29" s="377"/>
      <c r="K29" s="204">
        <f>M19+1</f>
        <v>46038</v>
      </c>
      <c r="L29" s="203" t="s">
        <v>76</v>
      </c>
      <c r="M29" s="205">
        <f>K29+6</f>
        <v>46044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43</v>
      </c>
      <c r="F39" s="35"/>
      <c r="G39" s="35"/>
      <c r="H39" s="378" t="s">
        <v>28</v>
      </c>
      <c r="I39" s="432"/>
      <c r="J39" s="433"/>
      <c r="K39" s="204">
        <f>M29+1</f>
        <v>46045</v>
      </c>
      <c r="L39" s="203" t="s">
        <v>76</v>
      </c>
      <c r="M39" s="205">
        <f>K39+6</f>
        <v>46051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10</v>
      </c>
      <c r="F49" s="35"/>
      <c r="G49" s="35"/>
      <c r="H49" s="378" t="s">
        <v>28</v>
      </c>
      <c r="I49" s="376"/>
      <c r="J49" s="377"/>
      <c r="K49" s="204">
        <f>Admin!B272</f>
        <v>46023</v>
      </c>
      <c r="L49" s="203" t="s">
        <v>76</v>
      </c>
      <c r="M49" s="205">
        <f>Admin!B302</f>
        <v>46053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28"/>
      <c r="B1" s="446" t="s">
        <v>66</v>
      </c>
      <c r="C1" s="447"/>
      <c r="D1" s="447"/>
      <c r="E1" s="447"/>
      <c r="F1" s="448"/>
      <c r="G1" s="413">
        <f>SUM(AD60:AG60)+SUM(AE62:AG62)</f>
        <v>0</v>
      </c>
      <c r="H1" s="414"/>
      <c r="I1" s="410" t="s">
        <v>4</v>
      </c>
      <c r="J1" s="411"/>
      <c r="K1" s="411"/>
      <c r="L1" s="412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8"/>
    </row>
    <row r="2" spans="1:34" s="179" customFormat="1" ht="14.25" customHeight="1" thickBot="1" x14ac:dyDescent="0.2">
      <c r="A2" s="428"/>
      <c r="B2" s="449"/>
      <c r="C2" s="450"/>
      <c r="D2" s="450"/>
      <c r="E2" s="450"/>
      <c r="F2" s="451"/>
      <c r="G2" s="413"/>
      <c r="H2" s="414"/>
      <c r="I2" s="418" t="s">
        <v>70</v>
      </c>
      <c r="J2" s="418"/>
      <c r="K2" s="418"/>
      <c r="L2" s="419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8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44</v>
      </c>
      <c r="F9" s="35"/>
      <c r="G9" s="35"/>
      <c r="H9" s="378" t="s">
        <v>28</v>
      </c>
      <c r="I9" s="376"/>
      <c r="J9" s="377"/>
      <c r="K9" s="204">
        <f>Jan!M39+1</f>
        <v>46052</v>
      </c>
      <c r="L9" s="203" t="s">
        <v>76</v>
      </c>
      <c r="M9" s="205">
        <f>K9+6</f>
        <v>46058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45</v>
      </c>
      <c r="F19" s="35"/>
      <c r="G19" s="35"/>
      <c r="H19" s="378" t="s">
        <v>28</v>
      </c>
      <c r="I19" s="376"/>
      <c r="J19" s="377"/>
      <c r="K19" s="204">
        <f>M9+1</f>
        <v>46059</v>
      </c>
      <c r="L19" s="203" t="s">
        <v>76</v>
      </c>
      <c r="M19" s="205">
        <f>K19+6</f>
        <v>46065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46</v>
      </c>
      <c r="F29" s="35"/>
      <c r="G29" s="35"/>
      <c r="H29" s="378" t="s">
        <v>28</v>
      </c>
      <c r="I29" s="376"/>
      <c r="J29" s="377"/>
      <c r="K29" s="204">
        <f>M19+1</f>
        <v>46066</v>
      </c>
      <c r="L29" s="203" t="s">
        <v>76</v>
      </c>
      <c r="M29" s="205">
        <f>K29+6</f>
        <v>46072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47</v>
      </c>
      <c r="F39" s="35"/>
      <c r="G39" s="35"/>
      <c r="H39" s="378" t="s">
        <v>28</v>
      </c>
      <c r="I39" s="432"/>
      <c r="J39" s="433"/>
      <c r="K39" s="204">
        <f>M29+1</f>
        <v>46073</v>
      </c>
      <c r="L39" s="203" t="s">
        <v>76</v>
      </c>
      <c r="M39" s="205">
        <f>K39+6</f>
        <v>46079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76"/>
      <c r="D48" s="376"/>
      <c r="E48" s="377"/>
      <c r="F48" s="32"/>
      <c r="G48" s="32"/>
      <c r="H48" s="43"/>
      <c r="I48" s="43"/>
      <c r="J48" s="43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10</v>
      </c>
      <c r="C49" s="376"/>
      <c r="D49" s="377"/>
      <c r="E49" s="156">
        <v>11</v>
      </c>
      <c r="F49" s="35"/>
      <c r="G49" s="35"/>
      <c r="H49" s="378" t="s">
        <v>28</v>
      </c>
      <c r="I49" s="376"/>
      <c r="J49" s="377"/>
      <c r="K49" s="204">
        <f>Admin!B303</f>
        <v>46054</v>
      </c>
      <c r="L49" s="203" t="s">
        <v>76</v>
      </c>
      <c r="M49" s="205">
        <f>Admin!B330</f>
        <v>46081</v>
      </c>
      <c r="N49" s="20"/>
      <c r="O49" s="388" t="s">
        <v>64</v>
      </c>
      <c r="P49" s="389"/>
      <c r="Q49" s="389"/>
      <c r="R49" s="390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377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358" t="s">
        <v>74</v>
      </c>
      <c r="N59" s="359"/>
      <c r="O59" s="359"/>
      <c r="P59" s="359"/>
      <c r="Q59" s="359"/>
      <c r="R59" s="359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1:A6"/>
    <mergeCell ref="B3:B6"/>
    <mergeCell ref="C3:C6"/>
    <mergeCell ref="D3:D6"/>
    <mergeCell ref="E3:E6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D1:AG2"/>
    <mergeCell ref="AD3:AD6"/>
    <mergeCell ref="AE3:AE6"/>
    <mergeCell ref="AF3:AF6"/>
    <mergeCell ref="AG3:AG6"/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28"/>
      <c r="B1" s="380" t="s">
        <v>66</v>
      </c>
      <c r="C1" s="381"/>
      <c r="D1" s="381"/>
      <c r="E1" s="381"/>
      <c r="F1" s="382"/>
      <c r="G1" s="439">
        <f>SUM(AD80:AG80)+SUM(AE82:AG82)</f>
        <v>0</v>
      </c>
      <c r="H1" s="440"/>
      <c r="I1" s="442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399"/>
      <c r="V1" s="360" t="s">
        <v>25</v>
      </c>
      <c r="W1" s="361"/>
      <c r="X1" s="361"/>
      <c r="Y1" s="361"/>
      <c r="Z1" s="361"/>
      <c r="AA1" s="361"/>
      <c r="AB1" s="361"/>
      <c r="AC1" s="362"/>
      <c r="AD1" s="392" t="s">
        <v>62</v>
      </c>
      <c r="AE1" s="392"/>
      <c r="AF1" s="392"/>
      <c r="AG1" s="392"/>
      <c r="AH1" s="24"/>
    </row>
    <row r="2" spans="1:34" s="4" customFormat="1" ht="15" customHeight="1" thickBot="1" x14ac:dyDescent="0.2">
      <c r="A2" s="428"/>
      <c r="B2" s="383"/>
      <c r="C2" s="384"/>
      <c r="D2" s="384"/>
      <c r="E2" s="384"/>
      <c r="F2" s="385"/>
      <c r="G2" s="413"/>
      <c r="H2" s="414"/>
      <c r="I2" s="418" t="s">
        <v>70</v>
      </c>
      <c r="J2" s="418"/>
      <c r="K2" s="418"/>
      <c r="L2" s="419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399"/>
      <c r="V2" s="363"/>
      <c r="W2" s="364"/>
      <c r="X2" s="364"/>
      <c r="Y2" s="364"/>
      <c r="Z2" s="364"/>
      <c r="AA2" s="364"/>
      <c r="AB2" s="364"/>
      <c r="AC2" s="365"/>
      <c r="AD2" s="364"/>
      <c r="AE2" s="364"/>
      <c r="AF2" s="364"/>
      <c r="AG2" s="364"/>
      <c r="AH2" s="24"/>
    </row>
    <row r="3" spans="1:34" s="7" customFormat="1" ht="15" customHeight="1" thickTop="1" x14ac:dyDescent="0.15">
      <c r="A3" s="404"/>
      <c r="B3" s="415" t="s">
        <v>72</v>
      </c>
      <c r="C3" s="415" t="s">
        <v>45</v>
      </c>
      <c r="D3" s="415" t="s">
        <v>6</v>
      </c>
      <c r="E3" s="420" t="s">
        <v>38</v>
      </c>
      <c r="F3" s="423" t="s">
        <v>0</v>
      </c>
      <c r="G3" s="105" t="s">
        <v>39</v>
      </c>
      <c r="H3" s="372" t="str">
        <f>Apr!H3:H6</f>
        <v>Statutory Pay</v>
      </c>
      <c r="I3" s="372" t="str">
        <f>Apr!I3:I6</f>
        <v>Basic hours</v>
      </c>
      <c r="J3" s="372" t="str">
        <f>Apr!J3:J6</f>
        <v>Hourly rate</v>
      </c>
      <c r="K3" s="372" t="str">
        <f>Apr!K3:K6</f>
        <v>Basic    wages</v>
      </c>
      <c r="L3" s="372" t="str">
        <f>Apr!L3:L6</f>
        <v>Overtime Bonus Gratuities</v>
      </c>
      <c r="M3" s="429" t="str">
        <f>Apr!M3:M6</f>
        <v>GROSS WAGES</v>
      </c>
      <c r="N3" s="372" t="str">
        <f>Apr!N3:N6</f>
        <v>Income Tax</v>
      </c>
      <c r="O3" s="372" t="str">
        <f>Apr!O3:O6</f>
        <v>Employees National Insurance</v>
      </c>
      <c r="P3" s="372" t="str">
        <f>Apr!P3:P6</f>
        <v>Student Loans</v>
      </c>
      <c r="Q3" s="372" t="str">
        <f>Apr!Q3:Q6</f>
        <v>Other Deductions</v>
      </c>
      <c r="R3" s="429" t="str">
        <f>Apr!R3:R6</f>
        <v>NET      PAY</v>
      </c>
      <c r="S3" s="42"/>
      <c r="T3" s="372" t="str">
        <f>Apr!T3:T6</f>
        <v>Employers National Insurance</v>
      </c>
      <c r="U3" s="400"/>
      <c r="V3" s="386" t="s">
        <v>5</v>
      </c>
      <c r="W3" s="386" t="s">
        <v>1</v>
      </c>
      <c r="X3" s="386" t="s">
        <v>26</v>
      </c>
      <c r="Y3" s="396" t="s">
        <v>22</v>
      </c>
      <c r="Z3" s="386" t="s">
        <v>2</v>
      </c>
      <c r="AA3" s="386" t="s">
        <v>3</v>
      </c>
      <c r="AB3" s="42"/>
      <c r="AC3" s="386" t="s">
        <v>27</v>
      </c>
      <c r="AD3" s="393" t="s">
        <v>58</v>
      </c>
      <c r="AE3" s="393" t="s">
        <v>59</v>
      </c>
      <c r="AF3" s="393" t="s">
        <v>60</v>
      </c>
      <c r="AG3" s="393" t="s">
        <v>61</v>
      </c>
      <c r="AH3" s="160"/>
    </row>
    <row r="4" spans="1:34" s="7" customFormat="1" ht="15" customHeight="1" x14ac:dyDescent="0.15">
      <c r="A4" s="404"/>
      <c r="B4" s="416"/>
      <c r="C4" s="416"/>
      <c r="D4" s="416"/>
      <c r="E4" s="421"/>
      <c r="F4" s="387"/>
      <c r="G4" s="106" t="s">
        <v>40</v>
      </c>
      <c r="H4" s="373"/>
      <c r="I4" s="373"/>
      <c r="J4" s="373"/>
      <c r="K4" s="373"/>
      <c r="L4" s="373"/>
      <c r="M4" s="430"/>
      <c r="N4" s="373"/>
      <c r="O4" s="373"/>
      <c r="P4" s="373"/>
      <c r="Q4" s="373"/>
      <c r="R4" s="430"/>
      <c r="S4" s="42"/>
      <c r="T4" s="373"/>
      <c r="U4" s="400"/>
      <c r="V4" s="387"/>
      <c r="W4" s="387"/>
      <c r="X4" s="387"/>
      <c r="Y4" s="397"/>
      <c r="Z4" s="387"/>
      <c r="AA4" s="387"/>
      <c r="AB4" s="42"/>
      <c r="AC4" s="387"/>
      <c r="AD4" s="394"/>
      <c r="AE4" s="394"/>
      <c r="AF4" s="394"/>
      <c r="AG4" s="394"/>
      <c r="AH4" s="160"/>
    </row>
    <row r="5" spans="1:34" s="7" customFormat="1" ht="15" customHeight="1" x14ac:dyDescent="0.15">
      <c r="A5" s="404"/>
      <c r="B5" s="416"/>
      <c r="C5" s="416"/>
      <c r="D5" s="416"/>
      <c r="E5" s="421"/>
      <c r="F5" s="387"/>
      <c r="G5" s="106" t="s">
        <v>41</v>
      </c>
      <c r="H5" s="373"/>
      <c r="I5" s="373"/>
      <c r="J5" s="373"/>
      <c r="K5" s="373"/>
      <c r="L5" s="373"/>
      <c r="M5" s="430"/>
      <c r="N5" s="373"/>
      <c r="O5" s="373"/>
      <c r="P5" s="373"/>
      <c r="Q5" s="373"/>
      <c r="R5" s="430"/>
      <c r="S5" s="42"/>
      <c r="T5" s="373"/>
      <c r="U5" s="400"/>
      <c r="V5" s="387"/>
      <c r="W5" s="387"/>
      <c r="X5" s="387"/>
      <c r="Y5" s="397"/>
      <c r="Z5" s="387"/>
      <c r="AA5" s="387"/>
      <c r="AB5" s="42"/>
      <c r="AC5" s="387"/>
      <c r="AD5" s="394"/>
      <c r="AE5" s="394"/>
      <c r="AF5" s="394"/>
      <c r="AG5" s="394"/>
      <c r="AH5" s="160"/>
    </row>
    <row r="6" spans="1:34" s="8" customFormat="1" ht="15" customHeight="1" x14ac:dyDescent="0.15">
      <c r="A6" s="404"/>
      <c r="B6" s="417"/>
      <c r="C6" s="417"/>
      <c r="D6" s="417"/>
      <c r="E6" s="422"/>
      <c r="F6" s="387"/>
      <c r="G6" s="107" t="s">
        <v>42</v>
      </c>
      <c r="H6" s="374"/>
      <c r="I6" s="374"/>
      <c r="J6" s="374"/>
      <c r="K6" s="374"/>
      <c r="L6" s="374"/>
      <c r="M6" s="431"/>
      <c r="N6" s="374"/>
      <c r="O6" s="374"/>
      <c r="P6" s="374"/>
      <c r="Q6" s="374"/>
      <c r="R6" s="431"/>
      <c r="S6" s="41"/>
      <c r="T6" s="374"/>
      <c r="U6" s="400"/>
      <c r="V6" s="387"/>
      <c r="W6" s="387"/>
      <c r="X6" s="387"/>
      <c r="Y6" s="398"/>
      <c r="Z6" s="387"/>
      <c r="AA6" s="387"/>
      <c r="AB6" s="41"/>
      <c r="AC6" s="387"/>
      <c r="AD6" s="395"/>
      <c r="AE6" s="395"/>
      <c r="AF6" s="395"/>
      <c r="AG6" s="395"/>
      <c r="AH6" s="128"/>
    </row>
    <row r="7" spans="1:34" s="8" customFormat="1" ht="24" customHeight="1" thickBot="1" x14ac:dyDescent="0.2">
      <c r="A7" s="128"/>
      <c r="B7" s="371"/>
      <c r="C7" s="371"/>
      <c r="D7" s="371"/>
      <c r="E7" s="371"/>
      <c r="F7" s="371"/>
      <c r="G7" s="371"/>
      <c r="H7" s="371"/>
      <c r="I7" s="371"/>
      <c r="J7" s="371"/>
      <c r="K7" s="371"/>
      <c r="L7" s="371"/>
      <c r="M7" s="371"/>
      <c r="N7" s="371"/>
      <c r="O7" s="371"/>
      <c r="P7" s="371"/>
      <c r="Q7" s="371"/>
      <c r="R7" s="371"/>
      <c r="S7" s="371"/>
      <c r="T7" s="371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76"/>
      <c r="D8" s="376"/>
      <c r="E8" s="377"/>
      <c r="F8" s="32"/>
      <c r="G8" s="86"/>
      <c r="H8" s="87"/>
      <c r="I8" s="87"/>
      <c r="J8" s="87"/>
      <c r="K8" s="46"/>
      <c r="L8" s="46"/>
      <c r="M8" s="43"/>
      <c r="N8" s="32"/>
      <c r="O8" s="368" t="s">
        <v>28</v>
      </c>
      <c r="P8" s="369"/>
      <c r="Q8" s="370"/>
      <c r="R8" s="366"/>
      <c r="S8" s="367"/>
      <c r="T8" s="367"/>
      <c r="U8" s="33"/>
      <c r="AH8" s="35"/>
    </row>
    <row r="9" spans="1:34" ht="18" customHeight="1" thickTop="1" thickBot="1" x14ac:dyDescent="0.2">
      <c r="A9" s="34"/>
      <c r="B9" s="378" t="s">
        <v>9</v>
      </c>
      <c r="C9" s="376"/>
      <c r="D9" s="377"/>
      <c r="E9" s="156">
        <v>48</v>
      </c>
      <c r="F9" s="35"/>
      <c r="G9" s="35"/>
      <c r="H9" s="378" t="s">
        <v>28</v>
      </c>
      <c r="I9" s="376"/>
      <c r="J9" s="377"/>
      <c r="K9" s="204">
        <f>Feb!M39+1</f>
        <v>46080</v>
      </c>
      <c r="L9" s="203" t="s">
        <v>76</v>
      </c>
      <c r="M9" s="205">
        <f>K9+6</f>
        <v>46086</v>
      </c>
      <c r="N9" s="20"/>
      <c r="O9" s="388" t="s">
        <v>63</v>
      </c>
      <c r="P9" s="389"/>
      <c r="Q9" s="389"/>
      <c r="R9" s="390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9" t="s">
        <v>7</v>
      </c>
      <c r="G16" s="376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1"/>
      <c r="C17" s="371"/>
      <c r="D17" s="371"/>
      <c r="E17" s="371"/>
      <c r="F17" s="371"/>
      <c r="G17" s="371"/>
      <c r="H17" s="371"/>
      <c r="I17" s="371"/>
      <c r="J17" s="371"/>
      <c r="K17" s="371"/>
      <c r="L17" s="371"/>
      <c r="M17" s="371"/>
      <c r="N17" s="371"/>
      <c r="O17" s="371"/>
      <c r="P17" s="371"/>
      <c r="Q17" s="371"/>
      <c r="R17" s="371"/>
      <c r="S17" s="371"/>
      <c r="T17" s="371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76"/>
      <c r="D18" s="376"/>
      <c r="E18" s="377"/>
      <c r="F18" s="32"/>
      <c r="G18" s="32"/>
      <c r="H18" s="43"/>
      <c r="I18" s="43"/>
      <c r="J18" s="43"/>
      <c r="K18" s="46"/>
      <c r="L18" s="46"/>
      <c r="M18" s="43"/>
      <c r="N18" s="32"/>
      <c r="O18" s="368" t="s">
        <v>28</v>
      </c>
      <c r="P18" s="369"/>
      <c r="Q18" s="370"/>
      <c r="R18" s="366"/>
      <c r="S18" s="367"/>
      <c r="T18" s="367"/>
      <c r="U18" s="33"/>
      <c r="AH18" s="35"/>
    </row>
    <row r="19" spans="1:34" ht="18" customHeight="1" thickTop="1" thickBot="1" x14ac:dyDescent="0.2">
      <c r="A19" s="34"/>
      <c r="B19" s="378" t="s">
        <v>9</v>
      </c>
      <c r="C19" s="376"/>
      <c r="D19" s="377"/>
      <c r="E19" s="156">
        <v>49</v>
      </c>
      <c r="F19" s="35"/>
      <c r="G19" s="35"/>
      <c r="H19" s="378" t="s">
        <v>28</v>
      </c>
      <c r="I19" s="376"/>
      <c r="J19" s="377"/>
      <c r="K19" s="204">
        <f>M9+1</f>
        <v>46087</v>
      </c>
      <c r="L19" s="203" t="s">
        <v>76</v>
      </c>
      <c r="M19" s="205">
        <f>K19+6</f>
        <v>46093</v>
      </c>
      <c r="N19" s="20"/>
      <c r="O19" s="388" t="s">
        <v>63</v>
      </c>
      <c r="P19" s="389"/>
      <c r="Q19" s="389"/>
      <c r="R19" s="390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79" t="s">
        <v>7</v>
      </c>
      <c r="G26" s="377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1"/>
      <c r="C27" s="371"/>
      <c r="D27" s="371"/>
      <c r="E27" s="371"/>
      <c r="F27" s="371"/>
      <c r="G27" s="371"/>
      <c r="H27" s="371"/>
      <c r="I27" s="371"/>
      <c r="J27" s="371"/>
      <c r="K27" s="371"/>
      <c r="L27" s="371"/>
      <c r="M27" s="371"/>
      <c r="N27" s="371"/>
      <c r="O27" s="371"/>
      <c r="P27" s="371"/>
      <c r="Q27" s="371"/>
      <c r="R27" s="371"/>
      <c r="S27" s="371"/>
      <c r="T27" s="371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76"/>
      <c r="D28" s="376"/>
      <c r="E28" s="377"/>
      <c r="F28" s="32"/>
      <c r="G28" s="32"/>
      <c r="H28" s="43"/>
      <c r="I28" s="43"/>
      <c r="J28" s="43"/>
      <c r="K28" s="46"/>
      <c r="L28" s="46"/>
      <c r="M28" s="43"/>
      <c r="N28" s="32"/>
      <c r="O28" s="368" t="s">
        <v>28</v>
      </c>
      <c r="P28" s="369"/>
      <c r="Q28" s="370"/>
      <c r="R28" s="366"/>
      <c r="S28" s="367"/>
      <c r="T28" s="367"/>
      <c r="U28" s="33"/>
      <c r="AH28" s="35"/>
    </row>
    <row r="29" spans="1:34" ht="18" customHeight="1" thickTop="1" thickBot="1" x14ac:dyDescent="0.2">
      <c r="A29" s="34"/>
      <c r="B29" s="378" t="s">
        <v>9</v>
      </c>
      <c r="C29" s="376"/>
      <c r="D29" s="377"/>
      <c r="E29" s="156">
        <v>50</v>
      </c>
      <c r="F29" s="35"/>
      <c r="G29" s="35"/>
      <c r="H29" s="378" t="s">
        <v>28</v>
      </c>
      <c r="I29" s="376"/>
      <c r="J29" s="377"/>
      <c r="K29" s="204">
        <f>M19+1</f>
        <v>46094</v>
      </c>
      <c r="L29" s="203" t="s">
        <v>76</v>
      </c>
      <c r="M29" s="205">
        <f>K29+6</f>
        <v>46100</v>
      </c>
      <c r="N29" s="20"/>
      <c r="O29" s="388" t="s">
        <v>63</v>
      </c>
      <c r="P29" s="389"/>
      <c r="Q29" s="389"/>
      <c r="R29" s="390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79" t="s">
        <v>7</v>
      </c>
      <c r="G36" s="377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1"/>
      <c r="C37" s="371"/>
      <c r="D37" s="371"/>
      <c r="E37" s="371"/>
      <c r="F37" s="371"/>
      <c r="G37" s="371"/>
      <c r="H37" s="371"/>
      <c r="I37" s="371"/>
      <c r="J37" s="371"/>
      <c r="K37" s="371"/>
      <c r="L37" s="371"/>
      <c r="M37" s="371"/>
      <c r="N37" s="371"/>
      <c r="O37" s="371"/>
      <c r="P37" s="371"/>
      <c r="Q37" s="371"/>
      <c r="R37" s="371"/>
      <c r="S37" s="371"/>
      <c r="T37" s="371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6"/>
      <c r="D38" s="436"/>
      <c r="E38" s="437"/>
      <c r="F38" s="32"/>
      <c r="G38" s="32"/>
      <c r="H38" s="32"/>
      <c r="I38" s="32"/>
      <c r="J38" s="32"/>
      <c r="K38" s="46"/>
      <c r="L38" s="46"/>
      <c r="M38" s="43"/>
      <c r="N38" s="32"/>
      <c r="O38" s="368" t="s">
        <v>28</v>
      </c>
      <c r="P38" s="369"/>
      <c r="Q38" s="370"/>
      <c r="R38" s="366"/>
      <c r="S38" s="367"/>
      <c r="T38" s="367"/>
      <c r="U38" s="33"/>
      <c r="AH38" s="35"/>
    </row>
    <row r="39" spans="1:34" ht="18" customHeight="1" thickTop="1" thickBot="1" x14ac:dyDescent="0.2">
      <c r="A39" s="34"/>
      <c r="B39" s="378" t="s">
        <v>9</v>
      </c>
      <c r="C39" s="432"/>
      <c r="D39" s="433"/>
      <c r="E39" s="156">
        <v>51</v>
      </c>
      <c r="F39" s="35"/>
      <c r="G39" s="35"/>
      <c r="H39" s="378" t="s">
        <v>28</v>
      </c>
      <c r="I39" s="432"/>
      <c r="J39" s="433"/>
      <c r="K39" s="204">
        <f>M29+1</f>
        <v>46101</v>
      </c>
      <c r="L39" s="203" t="s">
        <v>76</v>
      </c>
      <c r="M39" s="205">
        <f>K39+6</f>
        <v>46107</v>
      </c>
      <c r="N39" s="20"/>
      <c r="O39" s="388" t="s">
        <v>63</v>
      </c>
      <c r="P39" s="434"/>
      <c r="Q39" s="434"/>
      <c r="R39" s="435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79" t="s">
        <v>7</v>
      </c>
      <c r="G46" s="438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1"/>
      <c r="C47" s="371"/>
      <c r="D47" s="371"/>
      <c r="E47" s="371"/>
      <c r="F47" s="371"/>
      <c r="G47" s="371"/>
      <c r="H47" s="371"/>
      <c r="I47" s="371"/>
      <c r="J47" s="371"/>
      <c r="K47" s="371"/>
      <c r="L47" s="371"/>
      <c r="M47" s="371"/>
      <c r="N47" s="371"/>
      <c r="O47" s="371"/>
      <c r="P47" s="371"/>
      <c r="Q47" s="371"/>
      <c r="R47" s="371"/>
      <c r="S47" s="371"/>
      <c r="T47" s="371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6"/>
      <c r="D48" s="436"/>
      <c r="E48" s="437"/>
      <c r="F48" s="32"/>
      <c r="G48" s="32"/>
      <c r="H48" s="32"/>
      <c r="I48" s="32"/>
      <c r="J48" s="32"/>
      <c r="K48" s="46"/>
      <c r="L48" s="46"/>
      <c r="M48" s="43"/>
      <c r="N48" s="32"/>
      <c r="O48" s="368" t="s">
        <v>28</v>
      </c>
      <c r="P48" s="369"/>
      <c r="Q48" s="370"/>
      <c r="R48" s="366"/>
      <c r="S48" s="367"/>
      <c r="T48" s="367"/>
      <c r="U48" s="33"/>
      <c r="AH48" s="35"/>
    </row>
    <row r="49" spans="1:34" ht="18" customHeight="1" thickTop="1" thickBot="1" x14ac:dyDescent="0.2">
      <c r="A49" s="34"/>
      <c r="B49" s="378" t="s">
        <v>9</v>
      </c>
      <c r="C49" s="432"/>
      <c r="D49" s="433"/>
      <c r="E49" s="156">
        <v>52</v>
      </c>
      <c r="F49" s="35"/>
      <c r="G49" s="35"/>
      <c r="H49" s="378" t="s">
        <v>28</v>
      </c>
      <c r="I49" s="432"/>
      <c r="J49" s="433"/>
      <c r="K49" s="204">
        <f>M39+1</f>
        <v>46108</v>
      </c>
      <c r="L49" s="203" t="s">
        <v>76</v>
      </c>
      <c r="M49" s="205">
        <f>K49+6</f>
        <v>46114</v>
      </c>
      <c r="N49" s="20"/>
      <c r="O49" s="388" t="s">
        <v>63</v>
      </c>
      <c r="P49" s="434"/>
      <c r="Q49" s="434"/>
      <c r="R49" s="435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79" t="s">
        <v>7</v>
      </c>
      <c r="G56" s="438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6"/>
      <c r="D58" s="436"/>
      <c r="E58" s="437"/>
      <c r="F58" s="32"/>
      <c r="G58" s="32"/>
      <c r="H58" s="32"/>
      <c r="I58" s="32"/>
      <c r="J58" s="32"/>
      <c r="K58" s="46"/>
      <c r="L58" s="46"/>
      <c r="M58" s="43"/>
      <c r="N58" s="32"/>
      <c r="O58" s="368" t="s">
        <v>28</v>
      </c>
      <c r="P58" s="369"/>
      <c r="Q58" s="370"/>
      <c r="R58" s="366"/>
      <c r="S58" s="367"/>
      <c r="T58" s="367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78" t="s">
        <v>9</v>
      </c>
      <c r="C59" s="432"/>
      <c r="D59" s="433"/>
      <c r="E59" s="156">
        <v>53</v>
      </c>
      <c r="F59" s="35"/>
      <c r="G59" s="35"/>
      <c r="H59" s="378" t="s">
        <v>28</v>
      </c>
      <c r="I59" s="432"/>
      <c r="J59" s="433"/>
      <c r="K59" s="204">
        <f>M49+1</f>
        <v>46115</v>
      </c>
      <c r="L59" s="203" t="s">
        <v>76</v>
      </c>
      <c r="M59" s="205">
        <f>K59+4</f>
        <v>46119</v>
      </c>
      <c r="N59" s="20"/>
      <c r="O59" s="388" t="s">
        <v>63</v>
      </c>
      <c r="P59" s="434"/>
      <c r="Q59" s="434"/>
      <c r="R59" s="435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79" t="s">
        <v>7</v>
      </c>
      <c r="G66" s="438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76"/>
      <c r="D68" s="376"/>
      <c r="E68" s="377"/>
      <c r="F68" s="32"/>
      <c r="G68" s="32"/>
      <c r="H68" s="43"/>
      <c r="I68" s="43"/>
      <c r="J68" s="43"/>
      <c r="K68" s="46"/>
      <c r="L68" s="46"/>
      <c r="M68" s="43"/>
      <c r="N68" s="32"/>
      <c r="O68" s="368" t="s">
        <v>28</v>
      </c>
      <c r="P68" s="369"/>
      <c r="Q68" s="370"/>
      <c r="R68" s="366"/>
      <c r="S68" s="367"/>
      <c r="T68" s="367"/>
      <c r="U68" s="33"/>
      <c r="AH68" s="35"/>
    </row>
    <row r="69" spans="1:34" ht="18" customHeight="1" thickTop="1" thickBot="1" x14ac:dyDescent="0.2">
      <c r="A69" s="34"/>
      <c r="B69" s="378" t="s">
        <v>10</v>
      </c>
      <c r="C69" s="376"/>
      <c r="D69" s="377"/>
      <c r="E69" s="156">
        <v>12</v>
      </c>
      <c r="F69" s="35"/>
      <c r="G69" s="35"/>
      <c r="H69" s="378" t="s">
        <v>28</v>
      </c>
      <c r="I69" s="376"/>
      <c r="J69" s="377"/>
      <c r="K69" s="204">
        <f>Admin!B331</f>
        <v>46082</v>
      </c>
      <c r="L69" s="203" t="s">
        <v>76</v>
      </c>
      <c r="M69" s="205">
        <f>Admin!B361</f>
        <v>46112</v>
      </c>
      <c r="N69" s="20"/>
      <c r="O69" s="388" t="s">
        <v>64</v>
      </c>
      <c r="P69" s="389"/>
      <c r="Q69" s="389"/>
      <c r="R69" s="390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79" t="s">
        <v>7</v>
      </c>
      <c r="G76" s="377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358" t="s">
        <v>74</v>
      </c>
      <c r="N79" s="359"/>
      <c r="O79" s="359"/>
      <c r="P79" s="359"/>
      <c r="Q79" s="359"/>
      <c r="R79" s="359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F56:G56"/>
    <mergeCell ref="B57:T57"/>
    <mergeCell ref="O58:Q58"/>
    <mergeCell ref="R58:T58"/>
    <mergeCell ref="B58:E58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18:Q18"/>
    <mergeCell ref="R18:T18"/>
    <mergeCell ref="Q3:Q6"/>
    <mergeCell ref="O8:Q8"/>
    <mergeCell ref="B9:D9"/>
    <mergeCell ref="M3:M6"/>
    <mergeCell ref="P3:P6"/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88" t="str">
        <f>IF(M3="ERROR","Enter W or M in cell F3"," ")</f>
        <v xml:space="preserve"> </v>
      </c>
      <c r="J3" s="488"/>
      <c r="K3" s="488"/>
      <c r="L3" s="48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88" t="str">
        <f>IF(M3="ERROR","Enter 1 to 53 in cell F4"," ")</f>
        <v xml:space="preserve"> </v>
      </c>
      <c r="J4" s="488"/>
      <c r="K4" s="488"/>
      <c r="L4" s="48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79"/>
      <c r="B6" s="479"/>
      <c r="C6" s="479"/>
      <c r="D6" s="479"/>
      <c r="E6" s="479"/>
      <c r="F6" s="479"/>
      <c r="G6" s="479"/>
      <c r="H6" s="479"/>
      <c r="I6" s="479"/>
      <c r="J6" s="479"/>
      <c r="K6" s="479"/>
      <c r="L6" s="479"/>
      <c r="M6" s="479"/>
      <c r="N6" s="479"/>
    </row>
    <row r="7" spans="1:14" ht="25" customHeight="1" x14ac:dyDescent="0.2">
      <c r="A7" s="256"/>
      <c r="B7" s="456" t="str">
        <f ca="1">IF(M14=" "," ",Employee!$D$5)</f>
        <v xml:space="preserve"> </v>
      </c>
      <c r="C7" s="456"/>
      <c r="D7" s="456"/>
      <c r="E7" s="456"/>
      <c r="F7" s="456"/>
      <c r="G7" s="457" t="str">
        <f ca="1">IF(G14=" "," ",Employee!$D$15)</f>
        <v xml:space="preserve"> </v>
      </c>
      <c r="H7" s="458"/>
      <c r="I7" s="454" t="str">
        <f ca="1">IF(G14=" "," ",Employee!$D$16)</f>
        <v xml:space="preserve"> </v>
      </c>
      <c r="J7" s="455"/>
      <c r="K7" s="455"/>
      <c r="L7" s="480" t="str">
        <f ca="1">INDIRECT(ADDRESS($H$4,2,1,TRUE,$H$3))</f>
        <v>WEEKLY PAYROLL</v>
      </c>
      <c r="M7" s="480"/>
      <c r="N7" s="257"/>
    </row>
    <row r="8" spans="1:14" ht="18" customHeight="1" x14ac:dyDescent="0.15">
      <c r="A8" s="258"/>
      <c r="B8" s="466" t="str">
        <f ca="1">IF(M14=" "," ",Employee!$D$6)</f>
        <v xml:space="preserve"> </v>
      </c>
      <c r="C8" s="466"/>
      <c r="D8" s="478"/>
      <c r="E8" s="464"/>
      <c r="F8" s="465"/>
      <c r="G8" s="259"/>
      <c r="H8" s="260"/>
      <c r="I8" s="261"/>
      <c r="J8" s="261"/>
      <c r="K8" s="261"/>
      <c r="L8" s="261"/>
      <c r="M8" s="261" t="str">
        <f ca="1">INDIRECT(ADDRESS($H$4+2+C10,5,1,TRUE,$H$3))</f>
        <v xml:space="preserve"> </v>
      </c>
      <c r="N8" s="262"/>
    </row>
    <row r="9" spans="1:14" ht="21" customHeight="1" x14ac:dyDescent="0.15">
      <c r="A9" s="258"/>
      <c r="B9" s="466" t="str">
        <f ca="1">IF(M14=" "," ",Employee!$D$7)</f>
        <v xml:space="preserve"> </v>
      </c>
      <c r="C9" s="466"/>
      <c r="D9" s="466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INDIRECT(ADDRESS($H$4+1,13,1,TRUE,$H$3))</f>
        <v>45753</v>
      </c>
      <c r="J9" s="471" t="s">
        <v>6</v>
      </c>
      <c r="K9" s="47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73"/>
      <c r="E10" s="474"/>
      <c r="F10" s="487"/>
      <c r="G10" s="487"/>
      <c r="H10" s="253" t="str">
        <f>"Tax "&amp;IF($F$3="W","Week","Month")</f>
        <v>Tax Week</v>
      </c>
      <c r="I10" s="268">
        <f ca="1">INDIRECT(ADDRESS($H$4+1,5,1,TRUE,$H$3))</f>
        <v>1</v>
      </c>
      <c r="J10" s="467" t="str">
        <f ca="1">IF(M8=" "," ",INDIRECT(ADDRESS($H$4+2+C10,4,1,TRUE,$H$3)))</f>
        <v xml:space="preserve"> </v>
      </c>
      <c r="K10" s="467"/>
      <c r="L10" s="249" t="s">
        <v>123</v>
      </c>
      <c r="M10" s="261" t="str">
        <f ca="1">IF(M8=" "," ",INDIRECT(ADDRESS($H$4+2+C10,3,1,TRUE,$H$3)))</f>
        <v xml:space="preserve"> </v>
      </c>
      <c r="N10" s="262"/>
    </row>
    <row r="11" spans="1:14" ht="6" customHeight="1" x14ac:dyDescent="0.15">
      <c r="A11" s="258"/>
      <c r="B11" s="470"/>
      <c r="C11" s="470"/>
      <c r="D11" s="470"/>
      <c r="E11" s="470"/>
      <c r="F11" s="470"/>
      <c r="G11" s="470"/>
      <c r="H11" s="470"/>
      <c r="I11" s="470"/>
      <c r="J11" s="470"/>
      <c r="K11" s="470"/>
      <c r="L11" s="470"/>
      <c r="M11" s="470"/>
      <c r="N11" s="262"/>
    </row>
    <row r="12" spans="1:14" ht="21" customHeight="1" x14ac:dyDescent="0.15">
      <c r="A12" s="258"/>
      <c r="B12" s="459" t="s">
        <v>122</v>
      </c>
      <c r="C12" s="460"/>
      <c r="D12" s="460"/>
      <c r="E12" s="460"/>
      <c r="F12" s="460"/>
      <c r="G12" s="461" t="s">
        <v>121</v>
      </c>
      <c r="H12" s="469" t="s">
        <v>120</v>
      </c>
      <c r="I12" s="469"/>
      <c r="J12" s="469"/>
      <c r="K12" s="469"/>
      <c r="L12" s="469"/>
      <c r="M12" s="472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62"/>
      <c r="H13" s="251" t="s">
        <v>128</v>
      </c>
      <c r="I13" s="252" t="s">
        <v>112</v>
      </c>
      <c r="J13" s="468" t="s">
        <v>111</v>
      </c>
      <c r="K13" s="468"/>
      <c r="L13" s="248" t="s">
        <v>2</v>
      </c>
      <c r="M13" s="461"/>
      <c r="N13" s="262"/>
    </row>
    <row r="14" spans="1:14" s="277" customFormat="1" ht="21" customHeight="1" x14ac:dyDescent="0.15">
      <c r="A14" s="270"/>
      <c r="B14" s="271" t="str">
        <f ca="1">IF(M8=" "," ",INDIRECT(ADDRESS($H$4+2+C10,8,1,TRUE,$H$3)))</f>
        <v xml:space="preserve"> </v>
      </c>
      <c r="C14" s="271" t="str">
        <f ca="1">IF(M8=" "," ",INDIRECT(ADDRESS($H$4+2+C10,9,1,TRUE,$H$3)))</f>
        <v xml:space="preserve"> </v>
      </c>
      <c r="D14" s="271" t="str">
        <f ca="1">IF(M8=" "," ",INDIRECT(ADDRESS($H$4+2+C10,10,1,TRUE,$H$3)))</f>
        <v xml:space="preserve"> </v>
      </c>
      <c r="E14" s="271" t="str">
        <f ca="1">IF(M8=" "," ",INDIRECT(ADDRESS($H$4+2+C10,11,1,TRUE,$H$3)))</f>
        <v xml:space="preserve"> </v>
      </c>
      <c r="F14" s="272" t="str">
        <f ca="1">IF(M8=" "," ",INDIRECT(ADDRESS($H$4+2+C10,12,1,TRUE,$H$3)))</f>
        <v xml:space="preserve"> </v>
      </c>
      <c r="G14" s="273" t="str">
        <f ca="1">IF(M8=" "," ",INDIRECT(ADDRESS($H$4+2+C10,13,1,TRUE,$H$3)))</f>
        <v xml:space="preserve"> </v>
      </c>
      <c r="H14" s="274" t="str">
        <f ca="1">IF(M8=" "," ",INDIRECT(ADDRESS($H$4+2+C10,14,1,TRUE,$H$3)))</f>
        <v xml:space="preserve"> </v>
      </c>
      <c r="I14" s="271" t="str">
        <f ca="1">IF(M8=" "," ",INDIRECT(ADDRESS($H$4+2+C10,15,1,TRUE,$H$3)))</f>
        <v xml:space="preserve"> </v>
      </c>
      <c r="J14" s="475" t="str">
        <f ca="1">IF(M8=" "," ",INDIRECT(ADDRESS($H$4+2+C10,16,1,TRUE,$H$3)))</f>
        <v xml:space="preserve"> </v>
      </c>
      <c r="K14" s="475"/>
      <c r="L14" s="272" t="str">
        <f ca="1">IF(M8=" "," ",INDIRECT(ADDRESS($H$4+2+C10,17,1,TRUE,$H$3)))</f>
        <v xml:space="preserve"> </v>
      </c>
      <c r="M14" s="275" t="str">
        <f ca="1">IF(M8=" "," ",INDIRECT(ADDRESS($H$4+2+C10,18,1,TRUE,$H$3)))</f>
        <v xml:space="preserve"> </v>
      </c>
      <c r="N14" s="276"/>
    </row>
    <row r="15" spans="1:14" s="279" customFormat="1" ht="21" customHeight="1" x14ac:dyDescent="0.15">
      <c r="A15" s="258"/>
      <c r="B15" s="463" t="s">
        <v>110</v>
      </c>
      <c r="C15" s="463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83" t="s">
        <v>109</v>
      </c>
      <c r="F16" s="484"/>
      <c r="G16" s="271" t="str">
        <f ca="1">IF(M8=" "," ",INDIRECT(ADDRESS($H$4+2+C10,22,1,TRUE,$H$3)))</f>
        <v xml:space="preserve"> </v>
      </c>
      <c r="H16" s="271" t="str">
        <f ca="1">IF(M8=" "," ",INDIRECT(ADDRESS($H$4+2+C10,23,1,TRUE,$H$3)))</f>
        <v xml:space="preserve"> </v>
      </c>
      <c r="I16" s="271" t="str">
        <f ca="1">IF(M8=" "," ",INDIRECT(ADDRESS($H$4+2+C10,24,1,TRUE,$H$3)))</f>
        <v xml:space="preserve"> </v>
      </c>
      <c r="J16" s="475" t="str">
        <f ca="1">IF(M8=" "," ",INDIRECT(ADDRESS($H$4+2+C10,25,1,TRUE,$H$3)))</f>
        <v xml:space="preserve"> </v>
      </c>
      <c r="K16" s="475"/>
      <c r="L16" s="271" t="str">
        <f ca="1">IF(M8=" "," ",INDIRECT(ADDRESS($H$4+2+C10,26,1,TRUE,$H$3)))</f>
        <v xml:space="preserve"> </v>
      </c>
      <c r="M16" s="271" t="str">
        <f ca="1">IF(M8=" "," ",INDIRECT(ADDRESS($H$4+2+C10,27,1,TRUE,$H$3)))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70"/>
      <c r="K17" s="470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76" t="s">
        <v>108</v>
      </c>
      <c r="K18" s="477"/>
      <c r="L18" s="477"/>
      <c r="M18" s="281" t="str">
        <f ca="1">IF(M8=" "," ",INDIRECT(ADDRESS($H$4+1,13,1,TRUE,$H$3)))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79"/>
      <c r="B20" s="479"/>
      <c r="C20" s="479"/>
      <c r="D20" s="479"/>
      <c r="E20" s="479"/>
      <c r="F20" s="479"/>
      <c r="G20" s="479"/>
      <c r="H20" s="479"/>
      <c r="I20" s="479"/>
      <c r="J20" s="479"/>
      <c r="K20" s="479"/>
      <c r="L20" s="479"/>
      <c r="M20" s="479"/>
      <c r="N20" s="479"/>
    </row>
    <row r="21" spans="1:14" ht="25" customHeight="1" x14ac:dyDescent="0.2">
      <c r="A21" s="256"/>
      <c r="B21" s="456" t="str">
        <f ca="1">IF(M28=" "," ",Employee!$D$5)</f>
        <v xml:space="preserve"> </v>
      </c>
      <c r="C21" s="456"/>
      <c r="D21" s="456"/>
      <c r="E21" s="456"/>
      <c r="F21" s="456"/>
      <c r="G21" s="457" t="str">
        <f ca="1">IF(G28=" "," ",Employee!$D$41)</f>
        <v xml:space="preserve"> </v>
      </c>
      <c r="H21" s="458"/>
      <c r="I21" s="454" t="str">
        <f ca="1">IF(G28=" "," ",Employee!$D$42)</f>
        <v xml:space="preserve"> </v>
      </c>
      <c r="J21" s="455"/>
      <c r="K21" s="455"/>
      <c r="L21" s="480" t="s">
        <v>23</v>
      </c>
      <c r="M21" s="480"/>
      <c r="N21" s="257"/>
    </row>
    <row r="22" spans="1:14" ht="18" customHeight="1" x14ac:dyDescent="0.15">
      <c r="A22" s="258"/>
      <c r="B22" s="466" t="str">
        <f ca="1">IF(M28=" "," ",Employee!$D$6)</f>
        <v xml:space="preserve"> </v>
      </c>
      <c r="C22" s="466"/>
      <c r="D22" s="478"/>
      <c r="E22" s="464"/>
      <c r="F22" s="465"/>
      <c r="G22" s="259"/>
      <c r="H22" s="260"/>
      <c r="I22" s="261"/>
      <c r="J22" s="261"/>
      <c r="K22" s="261"/>
      <c r="L22" s="261"/>
      <c r="M22" s="261" t="str">
        <f ca="1">INDIRECT(ADDRESS($H$4+2+C24,5,1,TRUE,$H$3))</f>
        <v xml:space="preserve"> </v>
      </c>
      <c r="N22" s="262"/>
    </row>
    <row r="23" spans="1:14" ht="21" customHeight="1" x14ac:dyDescent="0.15">
      <c r="A23" s="258"/>
      <c r="B23" s="466" t="str">
        <f ca="1">IF(M28=" "," ",Employee!$D$7)</f>
        <v xml:space="preserve"> </v>
      </c>
      <c r="C23" s="466"/>
      <c r="D23" s="466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71" t="s">
        <v>6</v>
      </c>
      <c r="K23" s="47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70"/>
      <c r="G24" s="470"/>
      <c r="H24" s="253" t="s">
        <v>124</v>
      </c>
      <c r="I24" s="268">
        <f ca="1">I10</f>
        <v>1</v>
      </c>
      <c r="J24" s="467" t="str">
        <f ca="1">IF(M22=" "," ",INDIRECT(ADDRESS($H$4+2+C24,4,1,TRUE,$H$3)))</f>
        <v xml:space="preserve"> </v>
      </c>
      <c r="K24" s="467"/>
      <c r="L24" s="249" t="s">
        <v>123</v>
      </c>
      <c r="M24" s="261" t="str">
        <f ca="1">IF(M22=" "," ",INDIRECT(ADDRESS($H$4+2+C24,3,1,TRUE,$H$3)))</f>
        <v xml:space="preserve"> </v>
      </c>
      <c r="N24" s="262"/>
    </row>
    <row r="25" spans="1:14" ht="6" customHeight="1" x14ac:dyDescent="0.15">
      <c r="A25" s="258"/>
      <c r="B25" s="470"/>
      <c r="C25" s="470"/>
      <c r="D25" s="470"/>
      <c r="E25" s="470"/>
      <c r="F25" s="470"/>
      <c r="G25" s="470"/>
      <c r="H25" s="470"/>
      <c r="I25" s="470"/>
      <c r="J25" s="470"/>
      <c r="K25" s="470"/>
      <c r="L25" s="470"/>
      <c r="M25" s="470"/>
      <c r="N25" s="262"/>
    </row>
    <row r="26" spans="1:14" ht="21" customHeight="1" x14ac:dyDescent="0.15">
      <c r="A26" s="258"/>
      <c r="B26" s="459" t="s">
        <v>122</v>
      </c>
      <c r="C26" s="460"/>
      <c r="D26" s="460"/>
      <c r="E26" s="460"/>
      <c r="F26" s="460"/>
      <c r="G26" s="461" t="s">
        <v>121</v>
      </c>
      <c r="H26" s="459" t="s">
        <v>120</v>
      </c>
      <c r="I26" s="469"/>
      <c r="J26" s="469"/>
      <c r="K26" s="469"/>
      <c r="L26" s="469"/>
      <c r="M26" s="481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62"/>
      <c r="H27" s="252" t="s">
        <v>128</v>
      </c>
      <c r="I27" s="252" t="s">
        <v>112</v>
      </c>
      <c r="J27" s="468" t="s">
        <v>111</v>
      </c>
      <c r="K27" s="468"/>
      <c r="L27" s="248" t="s">
        <v>2</v>
      </c>
      <c r="M27" s="482"/>
      <c r="N27" s="262"/>
    </row>
    <row r="28" spans="1:14" s="279" customFormat="1" ht="21" customHeight="1" x14ac:dyDescent="0.15">
      <c r="A28" s="258"/>
      <c r="B28" s="271" t="str">
        <f ca="1">IF(M22=" "," ",INDIRECT(ADDRESS($H$4+2+C24,8,1,TRUE,$H$3)))</f>
        <v xml:space="preserve"> </v>
      </c>
      <c r="C28" s="271" t="str">
        <f ca="1">IF(M22=" "," ",INDIRECT(ADDRESS($H$4+2+C24,9,1,TRUE,$H$3)))</f>
        <v xml:space="preserve"> </v>
      </c>
      <c r="D28" s="271" t="str">
        <f ca="1">IF(M22=" "," ",INDIRECT(ADDRESS($H$4+2+C24,10,1,TRUE,$H$3)))</f>
        <v xml:space="preserve"> </v>
      </c>
      <c r="E28" s="271" t="str">
        <f ca="1">IF(M22=" "," ",INDIRECT(ADDRESS($H$4+2+C24,11,1,TRUE,$H$3)))</f>
        <v xml:space="preserve"> </v>
      </c>
      <c r="F28" s="272" t="str">
        <f ca="1">IF(M22=" "," ",INDIRECT(ADDRESS($H$4+2+C24,12,1,TRUE,$H$3)))</f>
        <v xml:space="preserve"> </v>
      </c>
      <c r="G28" s="273" t="str">
        <f ca="1">IF(M22=" "," ",INDIRECT(ADDRESS($H$4+2+C24,13,1,TRUE,$H$3)))</f>
        <v xml:space="preserve"> </v>
      </c>
      <c r="H28" s="274" t="str">
        <f ca="1">IF(M22=" "," ",INDIRECT(ADDRESS($H$4+2+C24,14,1,TRUE,$H$3)))</f>
        <v xml:space="preserve"> </v>
      </c>
      <c r="I28" s="271" t="str">
        <f ca="1">IF(M22=" "," ",INDIRECT(ADDRESS($H$4+2+C24,15,1,TRUE,$H$3)))</f>
        <v xml:space="preserve"> </v>
      </c>
      <c r="J28" s="475" t="str">
        <f ca="1">IF(M22=" "," ",INDIRECT(ADDRESS($H$4+2+C24,16,1,TRUE,$H$3)))</f>
        <v xml:space="preserve"> </v>
      </c>
      <c r="K28" s="475"/>
      <c r="L28" s="272" t="str">
        <f ca="1">IF(M22=" "," ",INDIRECT(ADDRESS($H$4+2+C24,17,1,TRUE,$H$3)))</f>
        <v xml:space="preserve"> </v>
      </c>
      <c r="M28" s="275" t="str">
        <f ca="1">IF(M22=" "," ",INDIRECT(ADDRESS($H$4+2+C24,18,1,TRUE,$H$3)))</f>
        <v xml:space="preserve"> </v>
      </c>
      <c r="N28" s="262"/>
    </row>
    <row r="29" spans="1:14" s="279" customFormat="1" ht="21" customHeight="1" x14ac:dyDescent="0.15">
      <c r="A29" s="258"/>
      <c r="B29" s="463" t="s">
        <v>110</v>
      </c>
      <c r="C29" s="463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83" t="s">
        <v>109</v>
      </c>
      <c r="F30" s="484"/>
      <c r="G30" s="271" t="str">
        <f ca="1">IF(M22=" "," ",INDIRECT(ADDRESS($H$4+2+C24,22,1,TRUE,$H$3)))</f>
        <v xml:space="preserve"> </v>
      </c>
      <c r="H30" s="271" t="str">
        <f ca="1">IF(M22=" "," ",INDIRECT(ADDRESS($H$4+2+C24,23,1,TRUE,$H$3)))</f>
        <v xml:space="preserve"> </v>
      </c>
      <c r="I30" s="271" t="str">
        <f ca="1">IF(M22=" "," ",INDIRECT(ADDRESS($H$4+2+C24,24,1,TRUE,$H$3)))</f>
        <v xml:space="preserve"> </v>
      </c>
      <c r="J30" s="475" t="str">
        <f ca="1">IF(M22=" "," ",INDIRECT(ADDRESS($H$4+2+C24,25,1,TRUE,$H$3)))</f>
        <v xml:space="preserve"> </v>
      </c>
      <c r="K30" s="475"/>
      <c r="L30" s="271" t="str">
        <f ca="1">IF(M22=" "," ",INDIRECT(ADDRESS($H$4+2+C24,26,1,TRUE,$H$3)))</f>
        <v xml:space="preserve"> </v>
      </c>
      <c r="M30" s="271" t="str">
        <f ca="1">IF(M22=" "," ",INDIRECT(ADDRESS($H$4+2+C24,27,1,TRUE,$H$3)))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70"/>
      <c r="K31" s="470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76" t="s">
        <v>108</v>
      </c>
      <c r="K32" s="477"/>
      <c r="L32" s="477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5"/>
      <c r="B34" s="486"/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</row>
    <row r="35" spans="1:14" ht="21" customHeight="1" x14ac:dyDescent="0.15">
      <c r="A35" s="479"/>
      <c r="B35" s="479"/>
      <c r="C35" s="479"/>
      <c r="D35" s="479"/>
      <c r="E35" s="479"/>
      <c r="F35" s="479"/>
      <c r="G35" s="479"/>
      <c r="H35" s="479"/>
      <c r="I35" s="479"/>
      <c r="J35" s="479"/>
      <c r="K35" s="479"/>
      <c r="L35" s="479"/>
      <c r="M35" s="479"/>
      <c r="N35" s="479"/>
    </row>
    <row r="36" spans="1:14" ht="25" customHeight="1" x14ac:dyDescent="0.2">
      <c r="A36" s="256"/>
      <c r="B36" s="456" t="str">
        <f ca="1">IF(M43=" "," ",Employee!$D$5)</f>
        <v xml:space="preserve"> </v>
      </c>
      <c r="C36" s="456"/>
      <c r="D36" s="456"/>
      <c r="E36" s="456"/>
      <c r="F36" s="456"/>
      <c r="G36" s="457" t="str">
        <f ca="1">IF(G43=" "," ",Employee!$D$67)</f>
        <v xml:space="preserve"> </v>
      </c>
      <c r="H36" s="458"/>
      <c r="I36" s="454" t="str">
        <f ca="1">IF(G43=" "," ",Employee!$D$68)</f>
        <v xml:space="preserve"> </v>
      </c>
      <c r="J36" s="455"/>
      <c r="K36" s="455"/>
      <c r="L36" s="480" t="s">
        <v>23</v>
      </c>
      <c r="M36" s="480"/>
      <c r="N36" s="257"/>
    </row>
    <row r="37" spans="1:14" ht="18" customHeight="1" x14ac:dyDescent="0.15">
      <c r="A37" s="258"/>
      <c r="B37" s="466" t="str">
        <f ca="1">IF(M43=" "," ",Employee!$D$6)</f>
        <v xml:space="preserve"> </v>
      </c>
      <c r="C37" s="466"/>
      <c r="D37" s="478"/>
      <c r="E37" s="464"/>
      <c r="F37" s="465"/>
      <c r="G37" s="259"/>
      <c r="H37" s="260"/>
      <c r="I37" s="261"/>
      <c r="J37" s="261"/>
      <c r="K37" s="261"/>
      <c r="L37" s="261"/>
      <c r="M37" s="261" t="str">
        <f ca="1">INDIRECT(ADDRESS($H$4+2+C39,5,1,TRUE,$H$3))</f>
        <v xml:space="preserve"> </v>
      </c>
      <c r="N37" s="262"/>
    </row>
    <row r="38" spans="1:14" ht="21" customHeight="1" x14ac:dyDescent="0.15">
      <c r="A38" s="258"/>
      <c r="B38" s="466" t="str">
        <f ca="1">IF(M43=" "," ",Employee!$D$7)</f>
        <v xml:space="preserve"> </v>
      </c>
      <c r="C38" s="466"/>
      <c r="D38" s="466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71" t="s">
        <v>6</v>
      </c>
      <c r="K38" s="47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70"/>
      <c r="G39" s="470"/>
      <c r="H39" s="253" t="s">
        <v>124</v>
      </c>
      <c r="I39" s="268">
        <f ca="1">I24</f>
        <v>1</v>
      </c>
      <c r="J39" s="467" t="str">
        <f ca="1">IF(M37=" "," ",INDIRECT(ADDRESS($H$4+2+C39,4,1,TRUE,$H$3)))</f>
        <v xml:space="preserve"> </v>
      </c>
      <c r="K39" s="467"/>
      <c r="L39" s="249" t="s">
        <v>123</v>
      </c>
      <c r="M39" s="261" t="str">
        <f ca="1">IF(M37=" "," ",INDIRECT(ADDRESS($H$4+2+C39,3,1,TRUE,$H$3)))</f>
        <v xml:space="preserve"> </v>
      </c>
      <c r="N39" s="262"/>
    </row>
    <row r="40" spans="1:14" ht="6" customHeight="1" x14ac:dyDescent="0.15">
      <c r="A40" s="258"/>
      <c r="B40" s="470"/>
      <c r="C40" s="470"/>
      <c r="D40" s="470"/>
      <c r="E40" s="470"/>
      <c r="F40" s="470"/>
      <c r="G40" s="470"/>
      <c r="H40" s="470"/>
      <c r="I40" s="470"/>
      <c r="J40" s="470"/>
      <c r="K40" s="470"/>
      <c r="L40" s="470"/>
      <c r="M40" s="470"/>
      <c r="N40" s="262"/>
    </row>
    <row r="41" spans="1:14" ht="21" customHeight="1" x14ac:dyDescent="0.15">
      <c r="A41" s="258"/>
      <c r="B41" s="459" t="s">
        <v>122</v>
      </c>
      <c r="C41" s="460"/>
      <c r="D41" s="460"/>
      <c r="E41" s="460"/>
      <c r="F41" s="460"/>
      <c r="G41" s="461" t="s">
        <v>121</v>
      </c>
      <c r="H41" s="459" t="s">
        <v>120</v>
      </c>
      <c r="I41" s="469"/>
      <c r="J41" s="469"/>
      <c r="K41" s="469"/>
      <c r="L41" s="469"/>
      <c r="M41" s="481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62"/>
      <c r="H42" s="252" t="s">
        <v>128</v>
      </c>
      <c r="I42" s="252" t="s">
        <v>112</v>
      </c>
      <c r="J42" s="468" t="s">
        <v>111</v>
      </c>
      <c r="K42" s="468"/>
      <c r="L42" s="248" t="s">
        <v>2</v>
      </c>
      <c r="M42" s="482"/>
      <c r="N42" s="262"/>
    </row>
    <row r="43" spans="1:14" s="279" customFormat="1" ht="21" customHeight="1" x14ac:dyDescent="0.15">
      <c r="A43" s="258"/>
      <c r="B43" s="271" t="str">
        <f ca="1">IF(M37=" "," ",INDIRECT(ADDRESS($H$4+2+C39,8,1,TRUE,$H$3)))</f>
        <v xml:space="preserve"> </v>
      </c>
      <c r="C43" s="271" t="str">
        <f ca="1">IF(M37=" "," ",INDIRECT(ADDRESS($H$4+2+C39,9,1,TRUE,$H$3)))</f>
        <v xml:space="preserve"> </v>
      </c>
      <c r="D43" s="271" t="str">
        <f ca="1">IF(M37=" "," ",INDIRECT(ADDRESS($H$4+2+C39,10,1,TRUE,$H$3)))</f>
        <v xml:space="preserve"> </v>
      </c>
      <c r="E43" s="271" t="str">
        <f ca="1">IF(M37=" "," ",INDIRECT(ADDRESS($H$4+2+C39,11,1,TRUE,$H$3)))</f>
        <v xml:space="preserve"> </v>
      </c>
      <c r="F43" s="272" t="str">
        <f ca="1">IF(M37=" "," ",INDIRECT(ADDRESS($H$4+2+C39,12,1,TRUE,$H$3)))</f>
        <v xml:space="preserve"> </v>
      </c>
      <c r="G43" s="273" t="str">
        <f ca="1">IF(M37=" "," ",INDIRECT(ADDRESS($H$4+2+C39,13,1,TRUE,$H$3)))</f>
        <v xml:space="preserve"> </v>
      </c>
      <c r="H43" s="274" t="str">
        <f ca="1">IF(M37=" "," ",INDIRECT(ADDRESS($H$4+2+C39,14,1,TRUE,$H$3)))</f>
        <v xml:space="preserve"> </v>
      </c>
      <c r="I43" s="271" t="str">
        <f ca="1">IF(M37=" "," ",INDIRECT(ADDRESS($H$4+2+C39,15,1,TRUE,$H$3)))</f>
        <v xml:space="preserve"> </v>
      </c>
      <c r="J43" s="475" t="str">
        <f ca="1">IF(M37=" "," ",INDIRECT(ADDRESS($H$4+2+C39,16,1,TRUE,$H$3)))</f>
        <v xml:space="preserve"> </v>
      </c>
      <c r="K43" s="475"/>
      <c r="L43" s="272" t="str">
        <f ca="1">IF(M37=" "," ",INDIRECT(ADDRESS($H$4+2+C39,17,1,TRUE,$H$3)))</f>
        <v xml:space="preserve"> </v>
      </c>
      <c r="M43" s="275" t="str">
        <f ca="1">IF(M37=" "," ",INDIRECT(ADDRESS($H$4+2+C39,18,1,TRUE,$H$3)))</f>
        <v xml:space="preserve"> </v>
      </c>
      <c r="N43" s="262"/>
    </row>
    <row r="44" spans="1:14" s="279" customFormat="1" ht="21" customHeight="1" x14ac:dyDescent="0.15">
      <c r="A44" s="258"/>
      <c r="B44" s="463" t="s">
        <v>110</v>
      </c>
      <c r="C44" s="463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83" t="s">
        <v>109</v>
      </c>
      <c r="F45" s="484"/>
      <c r="G45" s="271" t="str">
        <f ca="1">IF(M37=" "," ",INDIRECT(ADDRESS($H$4+2+C39,22,1,TRUE,$H$3)))</f>
        <v xml:space="preserve"> </v>
      </c>
      <c r="H45" s="271" t="str">
        <f ca="1">IF(M37=" "," ",INDIRECT(ADDRESS($H$4+2+C39,23,1,TRUE,$H$3)))</f>
        <v xml:space="preserve"> </v>
      </c>
      <c r="I45" s="271" t="str">
        <f ca="1">IF(M37=" "," ",INDIRECT(ADDRESS($H$4+2+C39,24,1,TRUE,$H$3)))</f>
        <v xml:space="preserve"> </v>
      </c>
      <c r="J45" s="475" t="str">
        <f ca="1">IF(M37=" "," ",INDIRECT(ADDRESS($H$4+2+C39,25,1,TRUE,$H$3)))</f>
        <v xml:space="preserve"> </v>
      </c>
      <c r="K45" s="475"/>
      <c r="L45" s="271" t="str">
        <f ca="1">IF(M37=" "," ",INDIRECT(ADDRESS($H$4+2+C39,26,1,TRUE,$H$3)))</f>
        <v xml:space="preserve"> </v>
      </c>
      <c r="M45" s="271" t="str">
        <f ca="1">IF(M37=" "," ",INDIRECT(ADDRESS($H$4+2+C39,27,1,TRUE,$H$3)))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70"/>
      <c r="K46" s="470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76" t="s">
        <v>108</v>
      </c>
      <c r="K47" s="477"/>
      <c r="L47" s="477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79"/>
      <c r="B49" s="479"/>
      <c r="C49" s="479"/>
      <c r="D49" s="479"/>
      <c r="E49" s="479"/>
      <c r="F49" s="479"/>
      <c r="G49" s="479"/>
      <c r="H49" s="479"/>
      <c r="I49" s="479"/>
      <c r="J49" s="479"/>
      <c r="K49" s="479"/>
      <c r="L49" s="479"/>
      <c r="M49" s="479"/>
      <c r="N49" s="479"/>
    </row>
    <row r="50" spans="1:14" ht="25" customHeight="1" x14ac:dyDescent="0.2">
      <c r="A50" s="256"/>
      <c r="B50" s="456" t="str">
        <f ca="1">IF(M57=" "," ",Employee!$D$5)</f>
        <v xml:space="preserve"> </v>
      </c>
      <c r="C50" s="456"/>
      <c r="D50" s="456"/>
      <c r="E50" s="456"/>
      <c r="F50" s="456"/>
      <c r="G50" s="457" t="str">
        <f ca="1">IF(G57=" "," ",Employee!$D$93)</f>
        <v xml:space="preserve"> </v>
      </c>
      <c r="H50" s="458"/>
      <c r="I50" s="454" t="str">
        <f ca="1">IF(G57=" "," ",Employee!$D$94)</f>
        <v xml:space="preserve"> </v>
      </c>
      <c r="J50" s="455"/>
      <c r="K50" s="455"/>
      <c r="L50" s="480" t="s">
        <v>23</v>
      </c>
      <c r="M50" s="480"/>
      <c r="N50" s="257"/>
    </row>
    <row r="51" spans="1:14" ht="18" customHeight="1" x14ac:dyDescent="0.15">
      <c r="A51" s="258"/>
      <c r="B51" s="466" t="str">
        <f ca="1">IF(M57=" "," ",Employee!$D$6)</f>
        <v xml:space="preserve"> </v>
      </c>
      <c r="C51" s="466"/>
      <c r="D51" s="478"/>
      <c r="E51" s="464"/>
      <c r="F51" s="465"/>
      <c r="G51" s="259"/>
      <c r="H51" s="260"/>
      <c r="I51" s="261"/>
      <c r="J51" s="261"/>
      <c r="K51" s="261"/>
      <c r="L51" s="261"/>
      <c r="M51" s="261" t="str">
        <f ca="1">INDIRECT(ADDRESS($H$4+2+C53,5,1,TRUE,$H$3))</f>
        <v xml:space="preserve"> </v>
      </c>
      <c r="N51" s="262"/>
    </row>
    <row r="52" spans="1:14" ht="21" customHeight="1" x14ac:dyDescent="0.15">
      <c r="A52" s="258"/>
      <c r="B52" s="466" t="str">
        <f ca="1">IF(M57=" "," ",Employee!$D$7)</f>
        <v xml:space="preserve"> </v>
      </c>
      <c r="C52" s="466"/>
      <c r="D52" s="466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71" t="s">
        <v>6</v>
      </c>
      <c r="K52" s="47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70"/>
      <c r="G53" s="470"/>
      <c r="H53" s="253" t="s">
        <v>124</v>
      </c>
      <c r="I53" s="268">
        <f ca="1">I39</f>
        <v>1</v>
      </c>
      <c r="J53" s="467" t="str">
        <f ca="1">IF(M51=" "," ",INDIRECT(ADDRESS($H$4+2+C53,4,1,TRUE,$H$3)))</f>
        <v xml:space="preserve"> </v>
      </c>
      <c r="K53" s="467"/>
      <c r="L53" s="249" t="s">
        <v>123</v>
      </c>
      <c r="M53" s="261" t="str">
        <f ca="1">IF(M51=" "," ",INDIRECT(ADDRESS($H$4+2+C53,3,1,TRUE,$H$3)))</f>
        <v xml:space="preserve"> </v>
      </c>
      <c r="N53" s="262"/>
    </row>
    <row r="54" spans="1:14" ht="6" customHeight="1" x14ac:dyDescent="0.15">
      <c r="A54" s="258"/>
      <c r="B54" s="470"/>
      <c r="C54" s="470"/>
      <c r="D54" s="470"/>
      <c r="E54" s="470"/>
      <c r="F54" s="470"/>
      <c r="G54" s="470"/>
      <c r="H54" s="470"/>
      <c r="I54" s="470"/>
      <c r="J54" s="470"/>
      <c r="K54" s="470"/>
      <c r="L54" s="470"/>
      <c r="M54" s="470"/>
      <c r="N54" s="262"/>
    </row>
    <row r="55" spans="1:14" ht="21" customHeight="1" x14ac:dyDescent="0.15">
      <c r="A55" s="258"/>
      <c r="B55" s="459" t="s">
        <v>122</v>
      </c>
      <c r="C55" s="460"/>
      <c r="D55" s="460"/>
      <c r="E55" s="460"/>
      <c r="F55" s="460"/>
      <c r="G55" s="461" t="s">
        <v>121</v>
      </c>
      <c r="H55" s="459" t="s">
        <v>120</v>
      </c>
      <c r="I55" s="469"/>
      <c r="J55" s="469"/>
      <c r="K55" s="469"/>
      <c r="L55" s="469"/>
      <c r="M55" s="481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62"/>
      <c r="H56" s="252" t="s">
        <v>128</v>
      </c>
      <c r="I56" s="252" t="s">
        <v>112</v>
      </c>
      <c r="J56" s="468" t="s">
        <v>111</v>
      </c>
      <c r="K56" s="468"/>
      <c r="L56" s="248" t="s">
        <v>2</v>
      </c>
      <c r="M56" s="482"/>
      <c r="N56" s="262"/>
    </row>
    <row r="57" spans="1:14" s="279" customFormat="1" ht="21" customHeight="1" x14ac:dyDescent="0.15">
      <c r="A57" s="258"/>
      <c r="B57" s="271" t="str">
        <f ca="1">IF(M51=" "," ",INDIRECT(ADDRESS($H$4+2+C53,8,1,TRUE,$H$3)))</f>
        <v xml:space="preserve"> </v>
      </c>
      <c r="C57" s="271" t="str">
        <f ca="1">IF(M51=" "," ",INDIRECT(ADDRESS($H$4+2+C53,9,1,TRUE,$H$3)))</f>
        <v xml:space="preserve"> </v>
      </c>
      <c r="D57" s="271" t="str">
        <f ca="1">IF(M51=" "," ",INDIRECT(ADDRESS($H$4+2+C53,10,1,TRUE,$H$3)))</f>
        <v xml:space="preserve"> </v>
      </c>
      <c r="E57" s="271" t="str">
        <f ca="1">IF(M51=" "," ",INDIRECT(ADDRESS($H$4+2+C53,11,1,TRUE,$H$3)))</f>
        <v xml:space="preserve"> </v>
      </c>
      <c r="F57" s="272" t="str">
        <f ca="1">IF(M51=" "," ",INDIRECT(ADDRESS($H$4+2+C53,12,1,TRUE,$H$3)))</f>
        <v xml:space="preserve"> </v>
      </c>
      <c r="G57" s="273" t="str">
        <f ca="1">IF(M51=" "," ",INDIRECT(ADDRESS($H$4+2+C53,13,1,TRUE,$H$3)))</f>
        <v xml:space="preserve"> </v>
      </c>
      <c r="H57" s="274" t="str">
        <f ca="1">IF(M51=" "," ",INDIRECT(ADDRESS($H$4+2+C53,14,1,TRUE,$H$3)))</f>
        <v xml:space="preserve"> </v>
      </c>
      <c r="I57" s="271" t="str">
        <f ca="1">IF(M51=" "," ",INDIRECT(ADDRESS($H$4+2+C53,15,1,TRUE,$H$3)))</f>
        <v xml:space="preserve"> </v>
      </c>
      <c r="J57" s="475" t="str">
        <f ca="1">IF(M51=" "," ",INDIRECT(ADDRESS($H$4+2+C53,16,1,TRUE,$H$3)))</f>
        <v xml:space="preserve"> </v>
      </c>
      <c r="K57" s="475"/>
      <c r="L57" s="272" t="str">
        <f ca="1">IF(M51=" "," ",INDIRECT(ADDRESS($H$4+2+C53,17,1,TRUE,$H$3)))</f>
        <v xml:space="preserve"> </v>
      </c>
      <c r="M57" s="275" t="str">
        <f ca="1">IF(M51=" "," ",INDIRECT(ADDRESS($H$4+2+C53,18,1,TRUE,$H$3)))</f>
        <v xml:space="preserve"> </v>
      </c>
      <c r="N57" s="262"/>
    </row>
    <row r="58" spans="1:14" s="279" customFormat="1" ht="21" customHeight="1" x14ac:dyDescent="0.15">
      <c r="A58" s="258"/>
      <c r="B58" s="463" t="s">
        <v>110</v>
      </c>
      <c r="C58" s="463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83" t="s">
        <v>109</v>
      </c>
      <c r="F59" s="484"/>
      <c r="G59" s="271" t="str">
        <f ca="1">IF(M51=" "," ",INDIRECT(ADDRESS($H$4+2+C53,22,1,TRUE,$H$3)))</f>
        <v xml:space="preserve"> </v>
      </c>
      <c r="H59" s="271" t="str">
        <f ca="1">IF(M51=" "," ",INDIRECT(ADDRESS($H$4+2+C53,23,1,TRUE,$H$3)))</f>
        <v xml:space="preserve"> </v>
      </c>
      <c r="I59" s="271" t="str">
        <f ca="1">IF(M51=" "," ",INDIRECT(ADDRESS($H$4+2+C53,24,1,TRUE,$H$3)))</f>
        <v xml:space="preserve"> </v>
      </c>
      <c r="J59" s="475" t="str">
        <f ca="1">IF(M51=" "," ",INDIRECT(ADDRESS($H$4+2+C53,25,1,TRUE,$H$3)))</f>
        <v xml:space="preserve"> </v>
      </c>
      <c r="K59" s="475"/>
      <c r="L59" s="271" t="str">
        <f ca="1">IF(M51=" "," ",INDIRECT(ADDRESS($H$4+2+C53,26,1,TRUE,$H$3)))</f>
        <v xml:space="preserve"> </v>
      </c>
      <c r="M59" s="271" t="str">
        <f ca="1">IF(M51=" "," ",INDIRECT(ADDRESS($H$4+2+C53,27,1,TRUE,$H$3)))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70"/>
      <c r="K60" s="470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76" t="s">
        <v>108</v>
      </c>
      <c r="K61" s="477"/>
      <c r="L61" s="477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5"/>
      <c r="B63" s="486"/>
      <c r="C63" s="486"/>
      <c r="D63" s="486"/>
      <c r="E63" s="486"/>
      <c r="F63" s="486"/>
      <c r="G63" s="486"/>
      <c r="H63" s="486"/>
      <c r="I63" s="486"/>
      <c r="J63" s="486"/>
      <c r="K63" s="486"/>
      <c r="L63" s="486"/>
      <c r="M63" s="486"/>
      <c r="N63" s="486"/>
    </row>
    <row r="64" spans="1:14" ht="21" customHeight="1" x14ac:dyDescent="0.15">
      <c r="A64" s="479"/>
      <c r="B64" s="479"/>
      <c r="C64" s="479"/>
      <c r="D64" s="479"/>
      <c r="E64" s="479"/>
      <c r="F64" s="479"/>
      <c r="G64" s="479"/>
      <c r="H64" s="479"/>
      <c r="I64" s="479"/>
      <c r="J64" s="479"/>
      <c r="K64" s="479"/>
      <c r="L64" s="479"/>
      <c r="M64" s="479"/>
      <c r="N64" s="479"/>
    </row>
    <row r="65" spans="1:14" ht="25" customHeight="1" x14ac:dyDescent="0.2">
      <c r="A65" s="256"/>
      <c r="B65" s="456" t="str">
        <f ca="1">IF(M72=" "," ",Employee!$D$5)</f>
        <v xml:space="preserve"> </v>
      </c>
      <c r="C65" s="456"/>
      <c r="D65" s="456"/>
      <c r="E65" s="456"/>
      <c r="F65" s="456"/>
      <c r="G65" s="457" t="str">
        <f ca="1">IF(G72=" "," ",Employee!$D$119)</f>
        <v xml:space="preserve"> </v>
      </c>
      <c r="H65" s="458"/>
      <c r="I65" s="454" t="str">
        <f ca="1">IF(G72=" "," ",Employee!$D$120)</f>
        <v xml:space="preserve"> </v>
      </c>
      <c r="J65" s="455"/>
      <c r="K65" s="455"/>
      <c r="L65" s="480" t="s">
        <v>23</v>
      </c>
      <c r="M65" s="480"/>
      <c r="N65" s="257"/>
    </row>
    <row r="66" spans="1:14" ht="18" customHeight="1" x14ac:dyDescent="0.15">
      <c r="A66" s="258"/>
      <c r="B66" s="466" t="str">
        <f ca="1">IF(M72=" "," ",Employee!$D$6)</f>
        <v xml:space="preserve"> </v>
      </c>
      <c r="C66" s="466"/>
      <c r="D66" s="478"/>
      <c r="E66" s="464"/>
      <c r="F66" s="465"/>
      <c r="G66" s="259"/>
      <c r="H66" s="260"/>
      <c r="I66" s="261"/>
      <c r="J66" s="261"/>
      <c r="K66" s="261"/>
      <c r="L66" s="261"/>
      <c r="M66" s="261" t="str">
        <f ca="1">INDIRECT(ADDRESS($H$4+2+C68,5,1,TRUE,$H$3))</f>
        <v xml:space="preserve"> </v>
      </c>
      <c r="N66" s="262"/>
    </row>
    <row r="67" spans="1:14" ht="21" customHeight="1" x14ac:dyDescent="0.15">
      <c r="A67" s="258"/>
      <c r="B67" s="466" t="str">
        <f ca="1">IF(M72=" "," ",Employee!$D$7)</f>
        <v xml:space="preserve"> </v>
      </c>
      <c r="C67" s="466"/>
      <c r="D67" s="466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71" t="s">
        <v>6</v>
      </c>
      <c r="K67" s="47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70"/>
      <c r="G68" s="470"/>
      <c r="H68" s="253" t="s">
        <v>124</v>
      </c>
      <c r="I68" s="268">
        <f ca="1">I53</f>
        <v>1</v>
      </c>
      <c r="J68" s="467" t="str">
        <f ca="1">IF(M66=" "," ",INDIRECT(ADDRESS($H$4+2+C68,4,1,TRUE,$H$3)))</f>
        <v xml:space="preserve"> </v>
      </c>
      <c r="K68" s="467"/>
      <c r="L68" s="249" t="s">
        <v>123</v>
      </c>
      <c r="M68" s="261" t="str">
        <f ca="1">IF(M66=" "," ",INDIRECT(ADDRESS($H$4+2+C68,3,1,TRUE,$H$3)))</f>
        <v xml:space="preserve"> </v>
      </c>
      <c r="N68" s="262"/>
    </row>
    <row r="69" spans="1:14" ht="6" customHeight="1" x14ac:dyDescent="0.15">
      <c r="A69" s="258"/>
      <c r="B69" s="470"/>
      <c r="C69" s="470"/>
      <c r="D69" s="470"/>
      <c r="E69" s="470"/>
      <c r="F69" s="470"/>
      <c r="G69" s="470"/>
      <c r="H69" s="470"/>
      <c r="I69" s="470"/>
      <c r="J69" s="470"/>
      <c r="K69" s="470"/>
      <c r="L69" s="470"/>
      <c r="M69" s="470"/>
      <c r="N69" s="262"/>
    </row>
    <row r="70" spans="1:14" ht="21" customHeight="1" x14ac:dyDescent="0.15">
      <c r="A70" s="258"/>
      <c r="B70" s="459" t="s">
        <v>122</v>
      </c>
      <c r="C70" s="460"/>
      <c r="D70" s="460"/>
      <c r="E70" s="460"/>
      <c r="F70" s="460"/>
      <c r="G70" s="461" t="s">
        <v>121</v>
      </c>
      <c r="H70" s="459" t="s">
        <v>120</v>
      </c>
      <c r="I70" s="469"/>
      <c r="J70" s="469"/>
      <c r="K70" s="469"/>
      <c r="L70" s="469"/>
      <c r="M70" s="481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62"/>
      <c r="H71" s="252" t="s">
        <v>113</v>
      </c>
      <c r="I71" s="252" t="s">
        <v>112</v>
      </c>
      <c r="J71" s="468" t="s">
        <v>111</v>
      </c>
      <c r="K71" s="468"/>
      <c r="L71" s="248" t="s">
        <v>2</v>
      </c>
      <c r="M71" s="482"/>
      <c r="N71" s="262"/>
    </row>
    <row r="72" spans="1:14" s="279" customFormat="1" ht="21" customHeight="1" x14ac:dyDescent="0.15">
      <c r="A72" s="258"/>
      <c r="B72" s="271" t="str">
        <f ca="1">IF(M66=" "," ",INDIRECT(ADDRESS($H$4+2+C68,8,1,TRUE,$H$3)))</f>
        <v xml:space="preserve"> </v>
      </c>
      <c r="C72" s="271" t="str">
        <f ca="1">IF(M66=" "," ",INDIRECT(ADDRESS($H$4+2+C68,9,1,TRUE,$H$3)))</f>
        <v xml:space="preserve"> </v>
      </c>
      <c r="D72" s="271" t="str">
        <f ca="1">IF(M66=" "," ",INDIRECT(ADDRESS($H$4+2+C68,10,1,TRUE,$H$3)))</f>
        <v xml:space="preserve"> </v>
      </c>
      <c r="E72" s="271" t="str">
        <f ca="1">IF(M66=" "," ",INDIRECT(ADDRESS($H$4+2+C68,11,1,TRUE,$H$3)))</f>
        <v xml:space="preserve"> </v>
      </c>
      <c r="F72" s="272" t="str">
        <f ca="1">IF(M66=" "," ",INDIRECT(ADDRESS($H$4+2+C68,12,1,TRUE,$H$3)))</f>
        <v xml:space="preserve"> </v>
      </c>
      <c r="G72" s="273" t="str">
        <f ca="1">IF(M66=" "," ",INDIRECT(ADDRESS($H$4+2+C68,13,1,TRUE,$H$3)))</f>
        <v xml:space="preserve"> </v>
      </c>
      <c r="H72" s="274" t="str">
        <f ca="1">IF(M66=" "," ",INDIRECT(ADDRESS($H$4+2+C68,14,1,TRUE,$H$3)))</f>
        <v xml:space="preserve"> </v>
      </c>
      <c r="I72" s="271" t="str">
        <f ca="1">IF(M66=" "," ",INDIRECT(ADDRESS($H$4+2+C68,15,1,TRUE,$H$3)))</f>
        <v xml:space="preserve"> </v>
      </c>
      <c r="J72" s="475" t="str">
        <f ca="1">IF(M66=" "," ",INDIRECT(ADDRESS($H$4+2+C68,16,1,TRUE,$H$3)))</f>
        <v xml:space="preserve"> </v>
      </c>
      <c r="K72" s="475"/>
      <c r="L72" s="272" t="str">
        <f ca="1">IF(M66=" "," ",INDIRECT(ADDRESS($H$4+2+C68,17,1,TRUE,$H$3)))</f>
        <v xml:space="preserve"> </v>
      </c>
      <c r="M72" s="275" t="str">
        <f ca="1">IF(M66=" "," ",INDIRECT(ADDRESS($H$4+2+C68,18,1,TRUE,$H$3)))</f>
        <v xml:space="preserve"> </v>
      </c>
      <c r="N72" s="262"/>
    </row>
    <row r="73" spans="1:14" s="279" customFormat="1" ht="21" customHeight="1" x14ac:dyDescent="0.15">
      <c r="A73" s="258"/>
      <c r="B73" s="463" t="s">
        <v>110</v>
      </c>
      <c r="C73" s="463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83" t="s">
        <v>109</v>
      </c>
      <c r="F74" s="484"/>
      <c r="G74" s="271" t="str">
        <f ca="1">IF(M66=" "," ",INDIRECT(ADDRESS($H$4+2+C68,22,1,TRUE,$H$3)))</f>
        <v xml:space="preserve"> </v>
      </c>
      <c r="H74" s="271" t="str">
        <f ca="1">IF(M66=" "," ",INDIRECT(ADDRESS($H$4+2+C68,23,1,TRUE,$H$3)))</f>
        <v xml:space="preserve"> </v>
      </c>
      <c r="I74" s="271" t="str">
        <f ca="1">IF(M66=" "," ",INDIRECT(ADDRESS($H$4+2+C68,24,1,TRUE,$H$3)))</f>
        <v xml:space="preserve"> </v>
      </c>
      <c r="J74" s="475" t="str">
        <f ca="1">IF(M66=" "," ",INDIRECT(ADDRESS($H$4+2+C68,25,1,TRUE,$H$3)))</f>
        <v xml:space="preserve"> </v>
      </c>
      <c r="K74" s="475"/>
      <c r="L74" s="271" t="str">
        <f ca="1">IF(M66=" "," ",INDIRECT(ADDRESS($H$4+2+C68,26,1,TRUE,$H$3)))</f>
        <v xml:space="preserve"> </v>
      </c>
      <c r="M74" s="271" t="str">
        <f ca="1">IF(M66=" "," ",INDIRECT(ADDRESS($H$4+2+C68,27,1,TRUE,$H$3)))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70"/>
      <c r="K75" s="470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76" t="s">
        <v>108</v>
      </c>
      <c r="K76" s="477"/>
      <c r="L76" s="477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79"/>
      <c r="B78" s="479"/>
      <c r="C78" s="479"/>
      <c r="D78" s="479"/>
      <c r="E78" s="479"/>
      <c r="F78" s="479"/>
      <c r="G78" s="479"/>
      <c r="H78" s="479"/>
      <c r="I78" s="479"/>
      <c r="J78" s="479"/>
      <c r="K78" s="479"/>
      <c r="L78" s="479"/>
      <c r="M78" s="479"/>
      <c r="N78" s="479"/>
    </row>
  </sheetData>
  <mergeCells count="121"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DATE(YEAR(B2)+1,MONTH(B2),DAY(B2))-1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45753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2025-04-03T22:50:03Z</dcterms:modified>
</cp:coreProperties>
</file>