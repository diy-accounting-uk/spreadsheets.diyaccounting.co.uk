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B698134E-8B32-AE44-93FF-96CA521A7C56}" xr6:coauthVersionLast="47" xr6:coauthVersionMax="47" xr10:uidLastSave="{00000000-0000-0000-0000-000000000000}"/>
  <bookViews>
    <workbookView xWindow="0" yWindow="500" windowWidth="27660" windowHeight="17920" tabRatio="909" xr2:uid="{00000000-000D-0000-FFFF-FFFF00000000}"/>
  </bookViews>
  <sheets>
    <sheet name="Employee" sheetId="25" r:id="rId1"/>
    <sheet name="Jul" sheetId="12" r:id="rId2"/>
    <sheet name="Aug" sheetId="11" r:id="rId3"/>
    <sheet name="Sep" sheetId="10" r:id="rId4"/>
    <sheet name="Oct" sheetId="9" r:id="rId5"/>
    <sheet name="Nov" sheetId="8" r:id="rId6"/>
    <sheet name="Dec" sheetId="17" r:id="rId7"/>
    <sheet name="Jan" sheetId="16" r:id="rId8"/>
    <sheet name="Feb" sheetId="15" r:id="rId9"/>
    <sheet name="Mar" sheetId="14" r:id="rId10"/>
    <sheet name="Apr" sheetId="13" r:id="rId11"/>
    <sheet name="May" sheetId="19" r:id="rId12"/>
    <sheet name="Jun" sheetId="18" r:id="rId13"/>
    <sheet name="Payslips" sheetId="40" r:id="rId14"/>
    <sheet name="Payment" sheetId="39" r:id="rId15"/>
    <sheet name="Admin" sheetId="24" r:id="rId16"/>
  </sheets>
  <definedNames>
    <definedName name="_xlnm.Print_Titles" localSheetId="1">Apr!$E:$F,Apr!$1:$6</definedName>
    <definedName name="_xlnm.Print_Titles" localSheetId="5">Aug!$A:$D,Aug!$1:$6</definedName>
    <definedName name="_xlnm.Print_Titles" localSheetId="9">Dec!$A:$D,Dec!$1:$6</definedName>
    <definedName name="_xlnm.Print_Titles" localSheetId="11">Feb!$A:$D,Feb!$1:$6</definedName>
    <definedName name="_xlnm.Print_Titles" localSheetId="10">Jan!$A:$D,Jan!$1:$6</definedName>
    <definedName name="_xlnm.Print_Titles" localSheetId="4">Jul!$A:$D,Jul!$1:$6</definedName>
    <definedName name="_xlnm.Print_Titles" localSheetId="3">Jun!$A:$D,Jun!$1:$6</definedName>
    <definedName name="_xlnm.Print_Titles" localSheetId="12">Mar!$A:$D,Mar!$1:$6</definedName>
    <definedName name="_xlnm.Print_Titles" localSheetId="2">May!$A:$D,May!$1:$6</definedName>
    <definedName name="_xlnm.Print_Titles" localSheetId="8">Nov!$A:$D,Nov!$1:$6</definedName>
    <definedName name="_xlnm.Print_Titles" localSheetId="7">Oct!$A:$D,Oct!$1:$6</definedName>
    <definedName name="_xlnm.Print_Titles" localSheetId="6">Sep!$A:$D,Sep!$1:$6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3" i="24" l="1"/>
  <c r="A4" i="24"/>
  <c r="A5" i="24"/>
  <c r="A6" i="24"/>
  <c r="A7" i="24"/>
  <c r="A8" i="24"/>
  <c r="A9" i="24"/>
  <c r="A10" i="24"/>
  <c r="A11" i="24"/>
  <c r="A12" i="24"/>
  <c r="A13" i="24"/>
  <c r="A14" i="24"/>
  <c r="A15" i="24"/>
  <c r="A16" i="24"/>
  <c r="A17" i="24"/>
  <c r="A18" i="24"/>
  <c r="A19" i="24"/>
  <c r="A20" i="24"/>
  <c r="A21" i="24"/>
  <c r="A22" i="24"/>
  <c r="A23" i="24"/>
  <c r="A24" i="24"/>
  <c r="A25" i="24"/>
  <c r="A26" i="24"/>
  <c r="A27" i="24"/>
  <c r="A28" i="24"/>
  <c r="A29" i="24"/>
  <c r="A30" i="24"/>
  <c r="A31" i="24"/>
  <c r="A32" i="24"/>
  <c r="A33" i="24"/>
  <c r="A34" i="24"/>
  <c r="A35" i="24"/>
  <c r="A36" i="24"/>
  <c r="A37" i="24"/>
  <c r="A38" i="24"/>
  <c r="A39" i="24"/>
  <c r="A40" i="24"/>
  <c r="A41" i="24"/>
  <c r="A42" i="24"/>
  <c r="A43" i="24"/>
  <c r="A44" i="24"/>
  <c r="A45" i="24"/>
  <c r="A46" i="24"/>
  <c r="A47" i="24"/>
  <c r="A48" i="24"/>
  <c r="A49" i="24"/>
  <c r="A50" i="24"/>
  <c r="A51" i="24"/>
  <c r="A52" i="24"/>
  <c r="A53" i="24"/>
  <c r="A54" i="24"/>
  <c r="A55" i="24"/>
  <c r="A56" i="24"/>
  <c r="A57" i="24"/>
  <c r="A58" i="24"/>
  <c r="A59" i="24"/>
  <c r="A60" i="24"/>
  <c r="A61" i="24"/>
  <c r="A62" i="24"/>
  <c r="A63" i="24"/>
  <c r="A64" i="24"/>
  <c r="A65" i="24"/>
  <c r="A66" i="24"/>
  <c r="A67" i="24"/>
  <c r="A68" i="24"/>
  <c r="A69" i="24"/>
  <c r="A70" i="24"/>
  <c r="A71" i="24"/>
  <c r="A72" i="24"/>
  <c r="A73" i="24"/>
  <c r="A74" i="24"/>
  <c r="A75" i="24"/>
  <c r="A76" i="24"/>
  <c r="A77" i="24"/>
  <c r="A78" i="24"/>
  <c r="A79" i="24"/>
  <c r="A80" i="24"/>
  <c r="A81" i="24"/>
  <c r="A82" i="24"/>
  <c r="A83" i="24"/>
  <c r="A84" i="24"/>
  <c r="A85" i="24"/>
  <c r="A86" i="24"/>
  <c r="A87" i="24"/>
  <c r="A88" i="24"/>
  <c r="A89" i="24"/>
  <c r="A90" i="24"/>
  <c r="A91" i="24"/>
  <c r="A92" i="24"/>
  <c r="A93" i="24"/>
  <c r="A94" i="24"/>
  <c r="A95" i="24"/>
  <c r="A96" i="24"/>
  <c r="A97" i="24"/>
  <c r="A98" i="24"/>
  <c r="A99" i="24"/>
  <c r="A100" i="24"/>
  <c r="A101" i="24"/>
  <c r="A102" i="24"/>
  <c r="A103" i="24"/>
  <c r="A104" i="24"/>
  <c r="A105" i="24"/>
  <c r="A106" i="24"/>
  <c r="A107" i="24"/>
  <c r="A108" i="24"/>
  <c r="A109" i="24"/>
  <c r="A110" i="24"/>
  <c r="A111" i="24"/>
  <c r="A112" i="24"/>
  <c r="A113" i="24"/>
  <c r="A114" i="24"/>
  <c r="A115" i="24"/>
  <c r="A116" i="24"/>
  <c r="A117" i="24"/>
  <c r="A118" i="24"/>
  <c r="A119" i="24"/>
  <c r="A120" i="24"/>
  <c r="A121" i="24"/>
  <c r="A122" i="24"/>
  <c r="A123" i="24"/>
  <c r="A124" i="24"/>
  <c r="A125" i="24"/>
  <c r="A126" i="24"/>
  <c r="A127" i="24"/>
  <c r="A128" i="24"/>
  <c r="A129" i="24"/>
  <c r="A130" i="24"/>
  <c r="A131" i="24"/>
  <c r="A132" i="24"/>
  <c r="A133" i="24"/>
  <c r="A134" i="24"/>
  <c r="A135" i="24"/>
  <c r="A136" i="24"/>
  <c r="A137" i="24"/>
  <c r="A138" i="24"/>
  <c r="A139" i="24"/>
  <c r="A140" i="24"/>
  <c r="A141" i="24"/>
  <c r="A142" i="24"/>
  <c r="A143" i="24"/>
  <c r="A144" i="24"/>
  <c r="A145" i="24"/>
  <c r="A146" i="24"/>
  <c r="A147" i="24"/>
  <c r="A148" i="24"/>
  <c r="A149" i="24"/>
  <c r="A150" i="24"/>
  <c r="A151" i="24"/>
  <c r="A152" i="24"/>
  <c r="A153" i="24"/>
  <c r="A154" i="24"/>
  <c r="A155" i="24"/>
  <c r="A156" i="24"/>
  <c r="A157" i="24"/>
  <c r="A158" i="24"/>
  <c r="A159" i="24"/>
  <c r="A160" i="24"/>
  <c r="A161" i="24"/>
  <c r="A162" i="24"/>
  <c r="A163" i="24"/>
  <c r="A164" i="24"/>
  <c r="A165" i="24"/>
  <c r="A166" i="24"/>
  <c r="A167" i="24"/>
  <c r="A168" i="24"/>
  <c r="A169" i="24"/>
  <c r="A170" i="24"/>
  <c r="A171" i="24"/>
  <c r="A172" i="24"/>
  <c r="A173" i="24"/>
  <c r="A174" i="24"/>
  <c r="A175" i="24"/>
  <c r="A176" i="24"/>
  <c r="A177" i="24"/>
  <c r="A178" i="24"/>
  <c r="A179" i="24"/>
  <c r="A180" i="24"/>
  <c r="A181" i="24"/>
  <c r="A182" i="24"/>
  <c r="A183" i="24"/>
  <c r="A184" i="24"/>
  <c r="A185" i="24"/>
  <c r="A186" i="24"/>
  <c r="A187" i="24"/>
  <c r="A188" i="24"/>
  <c r="A189" i="24"/>
  <c r="A190" i="24"/>
  <c r="A191" i="24"/>
  <c r="A192" i="24"/>
  <c r="A193" i="24"/>
  <c r="A194" i="24"/>
  <c r="A195" i="24"/>
  <c r="A196" i="24"/>
  <c r="A197" i="24"/>
  <c r="A198" i="24"/>
  <c r="A199" i="24"/>
  <c r="A200" i="24"/>
  <c r="A201" i="24"/>
  <c r="A202" i="24"/>
  <c r="A203" i="24"/>
  <c r="A204" i="24"/>
  <c r="A205" i="24"/>
  <c r="A206" i="24"/>
  <c r="A207" i="24"/>
  <c r="A208" i="24"/>
  <c r="A209" i="24"/>
  <c r="A210" i="24"/>
  <c r="A211" i="24"/>
  <c r="A212" i="24"/>
  <c r="A213" i="24"/>
  <c r="A214" i="24"/>
  <c r="A215" i="24"/>
  <c r="A216" i="24"/>
  <c r="A217" i="24"/>
  <c r="A218" i="24"/>
  <c r="A219" i="24"/>
  <c r="A220" i="24"/>
  <c r="A221" i="24"/>
  <c r="A222" i="24"/>
  <c r="A223" i="24"/>
  <c r="A224" i="24"/>
  <c r="A225" i="24"/>
  <c r="A226" i="24"/>
  <c r="A227" i="24"/>
  <c r="A228" i="24"/>
  <c r="A229" i="24"/>
  <c r="A230" i="24"/>
  <c r="A231" i="24"/>
  <c r="A232" i="24"/>
  <c r="A233" i="24"/>
  <c r="A234" i="24"/>
  <c r="A235" i="24"/>
  <c r="A236" i="24"/>
  <c r="A237" i="24"/>
  <c r="A238" i="24"/>
  <c r="A239" i="24"/>
  <c r="A240" i="24"/>
  <c r="A241" i="24"/>
  <c r="A242" i="24"/>
  <c r="A243" i="24"/>
  <c r="A244" i="24"/>
  <c r="A245" i="24"/>
  <c r="A246" i="24"/>
  <c r="A247" i="24"/>
  <c r="A248" i="24"/>
  <c r="A249" i="24"/>
  <c r="A250" i="24"/>
  <c r="A251" i="24"/>
  <c r="A252" i="24"/>
  <c r="A253" i="24"/>
  <c r="A254" i="24"/>
  <c r="A255" i="24"/>
  <c r="A256" i="24"/>
  <c r="A257" i="24"/>
  <c r="A258" i="24"/>
  <c r="A259" i="24"/>
  <c r="A260" i="24"/>
  <c r="A261" i="24"/>
  <c r="A262" i="24"/>
  <c r="A263" i="24"/>
  <c r="A264" i="24"/>
  <c r="A265" i="24"/>
  <c r="A266" i="24"/>
  <c r="A267" i="24"/>
  <c r="A268" i="24"/>
  <c r="A269" i="24"/>
  <c r="A270" i="24"/>
  <c r="A271" i="24"/>
  <c r="A272" i="24"/>
  <c r="A273" i="24"/>
  <c r="A274" i="24"/>
  <c r="A275" i="24"/>
  <c r="A276" i="24"/>
  <c r="A277" i="24"/>
  <c r="A278" i="24"/>
  <c r="A279" i="24"/>
  <c r="A280" i="24"/>
  <c r="A281" i="24"/>
  <c r="A282" i="24"/>
  <c r="A283" i="24"/>
  <c r="A284" i="24"/>
  <c r="A285" i="24"/>
  <c r="A286" i="24"/>
  <c r="A287" i="24"/>
  <c r="A288" i="24"/>
  <c r="A289" i="24"/>
  <c r="A290" i="24"/>
  <c r="A291" i="24"/>
  <c r="A292" i="24"/>
  <c r="A293" i="24"/>
  <c r="A294" i="24"/>
  <c r="A295" i="24"/>
  <c r="A296" i="24"/>
  <c r="A297" i="24"/>
  <c r="A298" i="24"/>
  <c r="A299" i="24"/>
  <c r="A300" i="24"/>
  <c r="A301" i="24"/>
  <c r="A302" i="24"/>
  <c r="A303" i="24"/>
  <c r="A304" i="24"/>
  <c r="A305" i="24"/>
  <c r="A306" i="24"/>
  <c r="A307" i="24"/>
  <c r="A308" i="24"/>
  <c r="A309" i="24"/>
  <c r="A310" i="24"/>
  <c r="A311" i="24"/>
  <c r="A312" i="24"/>
  <c r="A313" i="24"/>
  <c r="A314" i="24"/>
  <c r="A315" i="24"/>
  <c r="A316" i="24"/>
  <c r="A317" i="24"/>
  <c r="A318" i="24"/>
  <c r="A319" i="24"/>
  <c r="A320" i="24"/>
  <c r="A321" i="24"/>
  <c r="A322" i="24"/>
  <c r="A323" i="24"/>
  <c r="A324" i="24"/>
  <c r="A325" i="24"/>
  <c r="A326" i="24"/>
  <c r="A327" i="24"/>
  <c r="A328" i="24"/>
  <c r="A329" i="24"/>
  <c r="A330" i="24"/>
  <c r="A331" i="24"/>
  <c r="A332" i="24"/>
  <c r="A333" i="24"/>
  <c r="A334" i="24"/>
  <c r="A335" i="24"/>
  <c r="A336" i="24"/>
  <c r="A337" i="24"/>
  <c r="A338" i="24"/>
  <c r="A339" i="24"/>
  <c r="A340" i="24"/>
  <c r="A341" i="24"/>
  <c r="A342" i="24"/>
  <c r="A343" i="24"/>
  <c r="A344" i="24"/>
  <c r="A345" i="24"/>
  <c r="A346" i="24"/>
  <c r="A347" i="24"/>
  <c r="A348" i="24"/>
  <c r="A349" i="24"/>
  <c r="A350" i="24"/>
  <c r="A351" i="24"/>
  <c r="A352" i="24"/>
  <c r="A353" i="24"/>
  <c r="A354" i="24"/>
  <c r="A355" i="24"/>
  <c r="A356" i="24"/>
  <c r="A357" i="24"/>
  <c r="A358" i="24"/>
  <c r="A359" i="24"/>
  <c r="A360" i="24"/>
  <c r="A361" i="24"/>
  <c r="A362" i="24"/>
  <c r="A363" i="24"/>
  <c r="A364" i="24"/>
  <c r="A365" i="24"/>
  <c r="A366" i="24"/>
  <c r="A367" i="24"/>
  <c r="A368" i="24"/>
  <c r="A369" i="24"/>
  <c r="A370" i="24"/>
  <c r="A371" i="24"/>
  <c r="A372" i="24"/>
  <c r="A373" i="24"/>
  <c r="A374" i="24"/>
  <c r="A375" i="24"/>
  <c r="A376" i="24"/>
  <c r="A377" i="24"/>
  <c r="A378" i="24"/>
  <c r="A379" i="24"/>
  <c r="A380" i="24"/>
  <c r="A381" i="24"/>
  <c r="A2" i="24"/>
  <c r="AC23" i="16" l="1"/>
  <c r="AC24" i="16"/>
  <c r="AC25" i="16"/>
  <c r="AC22" i="16"/>
  <c r="Z23" i="16"/>
  <c r="Z24" i="16"/>
  <c r="Z25" i="16"/>
  <c r="Z22" i="16"/>
  <c r="Z21" i="16"/>
  <c r="Y23" i="16"/>
  <c r="Y24" i="16"/>
  <c r="Y25" i="16"/>
  <c r="Y22" i="16"/>
  <c r="Y21" i="16"/>
  <c r="X23" i="16"/>
  <c r="X24" i="16"/>
  <c r="X25" i="16"/>
  <c r="X22" i="16"/>
  <c r="X21" i="16"/>
  <c r="W25" i="16"/>
  <c r="W24" i="16"/>
  <c r="W23" i="16"/>
  <c r="W22" i="16"/>
  <c r="W21" i="16"/>
  <c r="N1" i="16"/>
  <c r="AC12" i="16"/>
  <c r="AC13" i="16"/>
  <c r="AC14" i="16"/>
  <c r="AC15" i="16"/>
  <c r="Z12" i="16"/>
  <c r="Z13" i="16"/>
  <c r="Z14" i="16"/>
  <c r="Z15" i="16"/>
  <c r="Z11" i="16"/>
  <c r="Y12" i="16"/>
  <c r="Y13" i="16"/>
  <c r="Y14" i="16"/>
  <c r="Y15" i="16"/>
  <c r="Y11" i="16"/>
  <c r="X12" i="16"/>
  <c r="X13" i="16"/>
  <c r="X14" i="16"/>
  <c r="X15" i="16"/>
  <c r="X11" i="16"/>
  <c r="W15" i="16"/>
  <c r="W14" i="16"/>
  <c r="W13" i="16"/>
  <c r="W12" i="16"/>
  <c r="W11" i="16"/>
  <c r="AC12" i="8"/>
  <c r="AC13" i="8"/>
  <c r="AC14" i="8"/>
  <c r="AC15" i="8"/>
  <c r="Z12" i="8"/>
  <c r="Z13" i="8"/>
  <c r="Z14" i="8"/>
  <c r="Z15" i="8"/>
  <c r="Z11" i="8"/>
  <c r="Y12" i="8"/>
  <c r="Y13" i="8"/>
  <c r="Y14" i="8"/>
  <c r="Y15" i="8"/>
  <c r="Y11" i="8"/>
  <c r="X12" i="8"/>
  <c r="X13" i="8"/>
  <c r="X14" i="8"/>
  <c r="X15" i="8"/>
  <c r="X11" i="8"/>
  <c r="W15" i="8"/>
  <c r="W14" i="8"/>
  <c r="W13" i="8"/>
  <c r="W12" i="8"/>
  <c r="W11" i="8"/>
  <c r="AC22" i="9"/>
  <c r="AC23" i="9"/>
  <c r="AC24" i="9"/>
  <c r="AC25" i="9"/>
  <c r="AC21" i="9"/>
  <c r="Z22" i="9"/>
  <c r="Z23" i="9"/>
  <c r="Z24" i="9"/>
  <c r="Z25" i="9"/>
  <c r="Z21" i="9"/>
  <c r="Y22" i="9"/>
  <c r="Y23" i="9"/>
  <c r="Y24" i="9"/>
  <c r="Y25" i="9"/>
  <c r="Y21" i="9"/>
  <c r="X22" i="9"/>
  <c r="X23" i="9"/>
  <c r="X24" i="9"/>
  <c r="X25" i="9"/>
  <c r="X21" i="9"/>
  <c r="W25" i="9"/>
  <c r="W24" i="9"/>
  <c r="W23" i="9"/>
  <c r="W22" i="9"/>
  <c r="W21" i="9"/>
  <c r="AC12" i="9"/>
  <c r="AC13" i="9"/>
  <c r="AC14" i="9"/>
  <c r="AC15" i="9"/>
  <c r="AC11" i="9"/>
  <c r="Z12" i="9"/>
  <c r="Z13" i="9"/>
  <c r="Z14" i="9"/>
  <c r="Z15" i="9"/>
  <c r="Z11" i="9"/>
  <c r="Y12" i="9"/>
  <c r="Y13" i="9"/>
  <c r="Y14" i="9"/>
  <c r="Y15" i="9"/>
  <c r="Y11" i="9"/>
  <c r="X12" i="9"/>
  <c r="X13" i="9"/>
  <c r="X14" i="9"/>
  <c r="X15" i="9"/>
  <c r="X11" i="9"/>
  <c r="W15" i="9"/>
  <c r="W14" i="9"/>
  <c r="W13" i="9"/>
  <c r="W12" i="9"/>
  <c r="W11" i="9"/>
  <c r="T1" i="9"/>
  <c r="Q1" i="9"/>
  <c r="P1" i="9"/>
  <c r="O1" i="9"/>
  <c r="N1" i="9"/>
  <c r="X51" i="10"/>
  <c r="W55" i="10"/>
  <c r="W54" i="10"/>
  <c r="W53" i="10"/>
  <c r="W52" i="10"/>
  <c r="W51" i="10"/>
  <c r="AG55" i="10"/>
  <c r="AF55" i="10"/>
  <c r="AE55" i="10"/>
  <c r="AD55" i="10"/>
  <c r="AC55" i="10"/>
  <c r="Z55" i="10"/>
  <c r="Y55" i="10"/>
  <c r="X55" i="10"/>
  <c r="AG54" i="10"/>
  <c r="AF54" i="10"/>
  <c r="AE54" i="10"/>
  <c r="AD54" i="10"/>
  <c r="AC54" i="10"/>
  <c r="Z54" i="10"/>
  <c r="Y54" i="10"/>
  <c r="X54" i="10"/>
  <c r="AG53" i="10"/>
  <c r="AF53" i="10"/>
  <c r="AE53" i="10"/>
  <c r="AD53" i="10"/>
  <c r="AC53" i="10"/>
  <c r="Z53" i="10"/>
  <c r="Y53" i="10"/>
  <c r="X53" i="10"/>
  <c r="AG52" i="10"/>
  <c r="AF52" i="10"/>
  <c r="AE52" i="10"/>
  <c r="AD52" i="10"/>
  <c r="AC52" i="10"/>
  <c r="Z52" i="10"/>
  <c r="Y52" i="10"/>
  <c r="X52" i="10"/>
  <c r="AG51" i="10"/>
  <c r="AF51" i="10"/>
  <c r="AE51" i="10"/>
  <c r="AD51" i="10"/>
  <c r="AC51" i="10"/>
  <c r="Z51" i="10"/>
  <c r="Y51" i="10"/>
  <c r="T1" i="10"/>
  <c r="Q1" i="10"/>
  <c r="P1" i="10"/>
  <c r="O1" i="10"/>
  <c r="N1" i="10"/>
  <c r="T56" i="10"/>
  <c r="Q56" i="10"/>
  <c r="P56" i="10"/>
  <c r="O56" i="10"/>
  <c r="N56" i="10"/>
  <c r="L55" i="10"/>
  <c r="J55" i="10"/>
  <c r="I55" i="10"/>
  <c r="K55" i="10" s="1"/>
  <c r="H55" i="10"/>
  <c r="L54" i="10"/>
  <c r="J54" i="10"/>
  <c r="I54" i="10"/>
  <c r="K54" i="10" s="1"/>
  <c r="H54" i="10"/>
  <c r="L53" i="10"/>
  <c r="J53" i="10"/>
  <c r="I53" i="10"/>
  <c r="K53" i="10" s="1"/>
  <c r="H53" i="10"/>
  <c r="L52" i="10"/>
  <c r="J52" i="10"/>
  <c r="K52" i="10" s="1"/>
  <c r="I52" i="10"/>
  <c r="H52" i="10"/>
  <c r="L51" i="10"/>
  <c r="J51" i="10"/>
  <c r="I51" i="10"/>
  <c r="K51" i="10" s="1"/>
  <c r="H51" i="10"/>
  <c r="L13" i="15" l="1"/>
  <c r="L14" i="15"/>
  <c r="L15" i="15"/>
  <c r="L12" i="15"/>
  <c r="L11" i="15"/>
  <c r="J13" i="15"/>
  <c r="J14" i="15"/>
  <c r="J15" i="15"/>
  <c r="J12" i="15"/>
  <c r="J11" i="15"/>
  <c r="I13" i="15"/>
  <c r="I14" i="15"/>
  <c r="I15" i="15"/>
  <c r="I12" i="15"/>
  <c r="I11" i="15"/>
  <c r="H13" i="15"/>
  <c r="H14" i="15"/>
  <c r="H15" i="15"/>
  <c r="H12" i="15"/>
  <c r="H11" i="15"/>
  <c r="L23" i="16"/>
  <c r="L24" i="16"/>
  <c r="L25" i="16"/>
  <c r="L22" i="16"/>
  <c r="L21" i="16"/>
  <c r="J23" i="16"/>
  <c r="J24" i="16"/>
  <c r="J25" i="16"/>
  <c r="J22" i="16"/>
  <c r="J21" i="16"/>
  <c r="I23" i="16"/>
  <c r="I24" i="16"/>
  <c r="I25" i="16"/>
  <c r="I22" i="16"/>
  <c r="I21" i="16"/>
  <c r="H23" i="16"/>
  <c r="H24" i="16"/>
  <c r="H25" i="16"/>
  <c r="H22" i="16"/>
  <c r="H21" i="16"/>
  <c r="T1" i="16"/>
  <c r="Q1" i="16"/>
  <c r="P1" i="16"/>
  <c r="O1" i="16"/>
  <c r="L13" i="16"/>
  <c r="L14" i="16"/>
  <c r="L15" i="16"/>
  <c r="L12" i="16"/>
  <c r="L11" i="16"/>
  <c r="J13" i="16"/>
  <c r="J14" i="16"/>
  <c r="J15" i="16"/>
  <c r="J12" i="16"/>
  <c r="J11" i="16"/>
  <c r="I13" i="16"/>
  <c r="I14" i="16"/>
  <c r="I15" i="16"/>
  <c r="I12" i="16"/>
  <c r="I11" i="16"/>
  <c r="H13" i="16"/>
  <c r="H14" i="16"/>
  <c r="H15" i="16"/>
  <c r="H12" i="16"/>
  <c r="H11" i="16"/>
  <c r="L23" i="9"/>
  <c r="L24" i="9"/>
  <c r="L25" i="9"/>
  <c r="L22" i="9"/>
  <c r="L21" i="9"/>
  <c r="J23" i="9"/>
  <c r="J24" i="9"/>
  <c r="J25" i="9"/>
  <c r="J22" i="9"/>
  <c r="J21" i="9"/>
  <c r="I23" i="9"/>
  <c r="I24" i="9"/>
  <c r="K24" i="9" s="1"/>
  <c r="I25" i="9"/>
  <c r="I22" i="9"/>
  <c r="I21" i="9"/>
  <c r="H23" i="9"/>
  <c r="H24" i="9"/>
  <c r="H25" i="9"/>
  <c r="H22" i="9"/>
  <c r="H21" i="9"/>
  <c r="L13" i="9"/>
  <c r="L14" i="9"/>
  <c r="L15" i="9"/>
  <c r="L12" i="9"/>
  <c r="L11" i="9"/>
  <c r="J13" i="9"/>
  <c r="J14" i="9"/>
  <c r="J15" i="9"/>
  <c r="J12" i="9"/>
  <c r="J11" i="9"/>
  <c r="I13" i="9"/>
  <c r="I14" i="9"/>
  <c r="K14" i="9" s="1"/>
  <c r="I15" i="9"/>
  <c r="I12" i="9"/>
  <c r="I11" i="9"/>
  <c r="H15" i="9"/>
  <c r="H14" i="9"/>
  <c r="H13" i="9"/>
  <c r="H12" i="9"/>
  <c r="H11" i="9"/>
  <c r="K15" i="9" l="1"/>
  <c r="K22" i="16"/>
  <c r="K12" i="15"/>
  <c r="K22" i="9"/>
  <c r="K12" i="16"/>
  <c r="K11" i="9"/>
  <c r="K13" i="9"/>
  <c r="K21" i="9"/>
  <c r="K11" i="16"/>
  <c r="K13" i="16"/>
  <c r="K25" i="16"/>
  <c r="K15" i="15"/>
  <c r="K12" i="9"/>
  <c r="K24" i="16"/>
  <c r="K25" i="9"/>
  <c r="K15" i="16"/>
  <c r="K11" i="15"/>
  <c r="K13" i="15"/>
  <c r="K23" i="9"/>
  <c r="K14" i="16"/>
  <c r="K21" i="16"/>
  <c r="K23" i="16"/>
  <c r="K14" i="15"/>
  <c r="H4" i="40"/>
  <c r="T16" i="16" l="1"/>
  <c r="Q16" i="16"/>
  <c r="P16" i="16"/>
  <c r="O16" i="16"/>
  <c r="N16" i="16"/>
  <c r="AG15" i="16"/>
  <c r="AF15" i="16"/>
  <c r="AE15" i="16"/>
  <c r="AD15" i="16"/>
  <c r="AG14" i="16"/>
  <c r="AF14" i="16"/>
  <c r="AE14" i="16"/>
  <c r="AD14" i="16"/>
  <c r="AG13" i="16"/>
  <c r="AF13" i="16"/>
  <c r="AE13" i="16"/>
  <c r="AD13" i="16"/>
  <c r="AG12" i="16"/>
  <c r="AF12" i="16"/>
  <c r="AE12" i="16"/>
  <c r="AD12" i="16"/>
  <c r="AG11" i="16"/>
  <c r="AF11" i="16"/>
  <c r="AE11" i="16"/>
  <c r="AD11" i="16"/>
  <c r="T16" i="9"/>
  <c r="Q16" i="9"/>
  <c r="P16" i="9"/>
  <c r="O16" i="9"/>
  <c r="N16" i="9"/>
  <c r="AG15" i="9"/>
  <c r="AF15" i="9"/>
  <c r="AE15" i="9"/>
  <c r="AD15" i="9"/>
  <c r="AG14" i="9"/>
  <c r="AF14" i="9"/>
  <c r="AE14" i="9"/>
  <c r="AD14" i="9"/>
  <c r="AG13" i="9"/>
  <c r="AF13" i="9"/>
  <c r="AE13" i="9"/>
  <c r="AD13" i="9"/>
  <c r="AG12" i="9"/>
  <c r="AF12" i="9"/>
  <c r="AE12" i="9"/>
  <c r="AD12" i="9"/>
  <c r="AG11" i="9"/>
  <c r="AF11" i="9"/>
  <c r="AE11" i="9"/>
  <c r="AD11" i="9"/>
  <c r="J11" i="8" l="1"/>
  <c r="I11" i="8"/>
  <c r="K49" i="12" l="1"/>
  <c r="M4" i="39" l="1"/>
  <c r="M5" i="39" s="1"/>
  <c r="M6" i="39" s="1"/>
  <c r="M7" i="39" s="1"/>
  <c r="M8" i="39" s="1"/>
  <c r="M9" i="39" s="1"/>
  <c r="M10" i="39" s="1"/>
  <c r="M11" i="39" s="1"/>
  <c r="M12" i="39" s="1"/>
  <c r="M13" i="39" s="1"/>
  <c r="M14" i="39" s="1"/>
  <c r="M15" i="39" s="1"/>
  <c r="T46" i="14" l="1"/>
  <c r="R3" i="18" l="1"/>
  <c r="Q3" i="18"/>
  <c r="P3" i="18"/>
  <c r="O3" i="18"/>
  <c r="N3" i="18"/>
  <c r="M3" i="18"/>
  <c r="L3" i="18"/>
  <c r="K3" i="18"/>
  <c r="J3" i="18"/>
  <c r="I3" i="18"/>
  <c r="H3" i="18"/>
  <c r="R3" i="19"/>
  <c r="Q3" i="19"/>
  <c r="P3" i="19"/>
  <c r="O3" i="19"/>
  <c r="N3" i="19"/>
  <c r="M3" i="19"/>
  <c r="L3" i="19"/>
  <c r="K3" i="19"/>
  <c r="J3" i="19"/>
  <c r="I3" i="19"/>
  <c r="H3" i="19"/>
  <c r="R3" i="13"/>
  <c r="Q3" i="13"/>
  <c r="P3" i="13"/>
  <c r="O3" i="13"/>
  <c r="N3" i="13"/>
  <c r="M3" i="13"/>
  <c r="L3" i="13"/>
  <c r="K3" i="13"/>
  <c r="J3" i="13"/>
  <c r="I3" i="13"/>
  <c r="H3" i="13"/>
  <c r="R3" i="14"/>
  <c r="Q3" i="14"/>
  <c r="P3" i="14"/>
  <c r="O3" i="14"/>
  <c r="N3" i="14"/>
  <c r="M3" i="14"/>
  <c r="L3" i="14"/>
  <c r="K3" i="14"/>
  <c r="J3" i="14"/>
  <c r="I3" i="14"/>
  <c r="H3" i="14"/>
  <c r="R3" i="15"/>
  <c r="Q3" i="15"/>
  <c r="P3" i="15"/>
  <c r="O3" i="15"/>
  <c r="N3" i="15"/>
  <c r="M3" i="15"/>
  <c r="L3" i="15"/>
  <c r="K3" i="15"/>
  <c r="J3" i="15"/>
  <c r="I3" i="15"/>
  <c r="H3" i="15"/>
  <c r="R3" i="16"/>
  <c r="Q3" i="16"/>
  <c r="P3" i="16"/>
  <c r="O3" i="16"/>
  <c r="N3" i="16"/>
  <c r="M3" i="16"/>
  <c r="L3" i="16"/>
  <c r="K3" i="16"/>
  <c r="J3" i="16"/>
  <c r="I3" i="16"/>
  <c r="H3" i="16"/>
  <c r="R3" i="17"/>
  <c r="Q3" i="17"/>
  <c r="P3" i="17"/>
  <c r="O3" i="17"/>
  <c r="N3" i="17"/>
  <c r="M3" i="17"/>
  <c r="L3" i="17"/>
  <c r="K3" i="17"/>
  <c r="J3" i="17"/>
  <c r="I3" i="17"/>
  <c r="H3" i="17"/>
  <c r="R3" i="8"/>
  <c r="Q3" i="8"/>
  <c r="P3" i="8"/>
  <c r="O3" i="8"/>
  <c r="N3" i="8"/>
  <c r="M3" i="8"/>
  <c r="L3" i="8"/>
  <c r="K3" i="8"/>
  <c r="J3" i="8"/>
  <c r="I3" i="8"/>
  <c r="H3" i="8"/>
  <c r="R3" i="9"/>
  <c r="Q3" i="9"/>
  <c r="P3" i="9"/>
  <c r="O3" i="9"/>
  <c r="N3" i="9"/>
  <c r="M3" i="9"/>
  <c r="L3" i="9"/>
  <c r="K3" i="9"/>
  <c r="J3" i="9"/>
  <c r="I3" i="9"/>
  <c r="H3" i="9"/>
  <c r="R3" i="10"/>
  <c r="Q3" i="10"/>
  <c r="P3" i="10"/>
  <c r="O3" i="10"/>
  <c r="N3" i="10"/>
  <c r="M3" i="10"/>
  <c r="L3" i="10"/>
  <c r="K3" i="10"/>
  <c r="J3" i="10"/>
  <c r="I3" i="10"/>
  <c r="H3" i="10"/>
  <c r="T3" i="18"/>
  <c r="T3" i="19"/>
  <c r="T3" i="13"/>
  <c r="T3" i="14"/>
  <c r="T3" i="15"/>
  <c r="T3" i="16"/>
  <c r="T3" i="17"/>
  <c r="T3" i="8"/>
  <c r="T3" i="9"/>
  <c r="T3" i="10"/>
  <c r="T3" i="11" l="1"/>
  <c r="I3" i="11"/>
  <c r="J3" i="11"/>
  <c r="K3" i="11"/>
  <c r="L3" i="11"/>
  <c r="M3" i="11"/>
  <c r="N3" i="11"/>
  <c r="O3" i="11"/>
  <c r="P3" i="11"/>
  <c r="Q3" i="11"/>
  <c r="R3" i="11"/>
  <c r="H3" i="11"/>
  <c r="M9" i="25" l="1"/>
  <c r="H10" i="40" l="1"/>
  <c r="B3" i="24"/>
  <c r="B4" i="24" s="1"/>
  <c r="B5" i="24" s="1"/>
  <c r="B6" i="24" s="1"/>
  <c r="B7" i="24" s="1"/>
  <c r="B8" i="24" s="1"/>
  <c r="C10" i="40"/>
  <c r="C24" i="40"/>
  <c r="C39" i="40"/>
  <c r="C53" i="40"/>
  <c r="C68" i="40"/>
  <c r="B9" i="24" l="1"/>
  <c r="B10" i="24" s="1"/>
  <c r="B11" i="24" s="1"/>
  <c r="B12" i="24" s="1"/>
  <c r="B13" i="24" s="1"/>
  <c r="B14" i="24" s="1"/>
  <c r="B15" i="24" s="1"/>
  <c r="B16" i="24" s="1"/>
  <c r="B17" i="24" s="1"/>
  <c r="B18" i="24" s="1"/>
  <c r="B19" i="24" s="1"/>
  <c r="B20" i="24" s="1"/>
  <c r="B21" i="24" s="1"/>
  <c r="B22" i="24" s="1"/>
  <c r="B23" i="24" s="1"/>
  <c r="B24" i="24" s="1"/>
  <c r="B25" i="24" s="1"/>
  <c r="B26" i="24" s="1"/>
  <c r="M49" i="12" s="1"/>
  <c r="B27" i="24" l="1"/>
  <c r="K49" i="11" s="1"/>
  <c r="J22" i="12"/>
  <c r="I22" i="12"/>
  <c r="B28" i="24" l="1"/>
  <c r="B4" i="39"/>
  <c r="L16" i="39"/>
  <c r="B29" i="24" l="1"/>
  <c r="B30" i="24" s="1"/>
  <c r="B31" i="24" s="1"/>
  <c r="B32" i="24" s="1"/>
  <c r="B33" i="24" s="1"/>
  <c r="B34" i="24" s="1"/>
  <c r="B35" i="24" s="1"/>
  <c r="B36" i="24" s="1"/>
  <c r="B37" i="24" s="1"/>
  <c r="B38" i="24" s="1"/>
  <c r="B39" i="24" s="1"/>
  <c r="B40" i="24" s="1"/>
  <c r="B41" i="24" s="1"/>
  <c r="B42" i="24" s="1"/>
  <c r="B43" i="24" s="1"/>
  <c r="B44" i="24" s="1"/>
  <c r="B45" i="24" s="1"/>
  <c r="B46" i="24" s="1"/>
  <c r="B47" i="24" s="1"/>
  <c r="B48" i="24" s="1"/>
  <c r="B49" i="24" s="1"/>
  <c r="B50" i="24" s="1"/>
  <c r="B51" i="24" s="1"/>
  <c r="B52" i="24" s="1"/>
  <c r="B53" i="24" s="1"/>
  <c r="B54" i="24" s="1"/>
  <c r="B55" i="24" s="1"/>
  <c r="B56" i="24" s="1"/>
  <c r="B57" i="24" s="1"/>
  <c r="B58" i="24" s="1"/>
  <c r="K59" i="10" s="1"/>
  <c r="B5" i="39" l="1"/>
  <c r="M49" i="11"/>
  <c r="C4" i="39"/>
  <c r="B59" i="24"/>
  <c r="H3" i="40"/>
  <c r="M3" i="40" s="1"/>
  <c r="I4" i="40" s="1"/>
  <c r="F50" i="25"/>
  <c r="F52" i="25"/>
  <c r="F24" i="25"/>
  <c r="F26" i="25"/>
  <c r="Q27" i="25"/>
  <c r="S27" i="25" s="1"/>
  <c r="H11" i="18"/>
  <c r="I11" i="18"/>
  <c r="J11" i="18"/>
  <c r="L11" i="18"/>
  <c r="H21" i="18"/>
  <c r="I21" i="18"/>
  <c r="J21" i="18"/>
  <c r="L21" i="18"/>
  <c r="H31" i="18"/>
  <c r="I31" i="18"/>
  <c r="J31" i="18"/>
  <c r="L31" i="18"/>
  <c r="H41" i="18"/>
  <c r="I41" i="18"/>
  <c r="J41" i="18"/>
  <c r="L41" i="18"/>
  <c r="H51" i="18"/>
  <c r="I51" i="18"/>
  <c r="J51" i="18"/>
  <c r="L51" i="18"/>
  <c r="H61" i="18"/>
  <c r="I61" i="18"/>
  <c r="J61" i="18"/>
  <c r="L61" i="18"/>
  <c r="H11" i="19"/>
  <c r="I11" i="19"/>
  <c r="J11" i="19"/>
  <c r="L11" i="19"/>
  <c r="H21" i="19"/>
  <c r="I21" i="19"/>
  <c r="J21" i="19"/>
  <c r="L21" i="19"/>
  <c r="H31" i="19"/>
  <c r="I31" i="19"/>
  <c r="J31" i="19"/>
  <c r="L31" i="19"/>
  <c r="H41" i="19"/>
  <c r="I41" i="19"/>
  <c r="J41" i="19"/>
  <c r="L41" i="19"/>
  <c r="H11" i="13"/>
  <c r="I11" i="13"/>
  <c r="J11" i="13"/>
  <c r="L11" i="13"/>
  <c r="H21" i="13"/>
  <c r="I21" i="13"/>
  <c r="J21" i="13"/>
  <c r="L21" i="13"/>
  <c r="H31" i="13"/>
  <c r="I31" i="13"/>
  <c r="J31" i="13"/>
  <c r="L31" i="13"/>
  <c r="H41" i="13"/>
  <c r="I41" i="13"/>
  <c r="J41" i="13"/>
  <c r="L41" i="13"/>
  <c r="H11" i="14"/>
  <c r="I11" i="14"/>
  <c r="J11" i="14"/>
  <c r="L11" i="14"/>
  <c r="H21" i="14"/>
  <c r="I21" i="14"/>
  <c r="J21" i="14"/>
  <c r="L21" i="14"/>
  <c r="H31" i="14"/>
  <c r="I31" i="14"/>
  <c r="J31" i="14"/>
  <c r="L31" i="14"/>
  <c r="H41" i="14"/>
  <c r="I41" i="14"/>
  <c r="J41" i="14"/>
  <c r="L41" i="14"/>
  <c r="H51" i="14"/>
  <c r="I51" i="14"/>
  <c r="J51" i="14"/>
  <c r="L51" i="14"/>
  <c r="H21" i="15"/>
  <c r="I21" i="15"/>
  <c r="J21" i="15"/>
  <c r="L21" i="15"/>
  <c r="H31" i="15"/>
  <c r="I31" i="15"/>
  <c r="J31" i="15"/>
  <c r="L31" i="15"/>
  <c r="H41" i="15"/>
  <c r="I41" i="15"/>
  <c r="J41" i="15"/>
  <c r="L41" i="15"/>
  <c r="H31" i="16"/>
  <c r="I31" i="16"/>
  <c r="J31" i="16"/>
  <c r="L31" i="16"/>
  <c r="H41" i="16"/>
  <c r="I41" i="16"/>
  <c r="J41" i="16"/>
  <c r="L41" i="16"/>
  <c r="H11" i="17"/>
  <c r="I11" i="17"/>
  <c r="J11" i="17"/>
  <c r="L11" i="17"/>
  <c r="H21" i="17"/>
  <c r="I21" i="17"/>
  <c r="J21" i="17"/>
  <c r="L21" i="17"/>
  <c r="H31" i="17"/>
  <c r="I31" i="17"/>
  <c r="J31" i="17"/>
  <c r="L31" i="17"/>
  <c r="H41" i="17"/>
  <c r="I41" i="17"/>
  <c r="J41" i="17"/>
  <c r="L41" i="17"/>
  <c r="H51" i="17"/>
  <c r="I51" i="17"/>
  <c r="J51" i="17"/>
  <c r="L51" i="17"/>
  <c r="H11" i="8"/>
  <c r="L11" i="8"/>
  <c r="H21" i="8"/>
  <c r="I21" i="8"/>
  <c r="J21" i="8"/>
  <c r="L21" i="8"/>
  <c r="H31" i="8"/>
  <c r="I31" i="8"/>
  <c r="J31" i="8"/>
  <c r="L31" i="8"/>
  <c r="H41" i="8"/>
  <c r="I41" i="8"/>
  <c r="J41" i="8"/>
  <c r="L41" i="8"/>
  <c r="H31" i="9"/>
  <c r="I31" i="9"/>
  <c r="J31" i="9"/>
  <c r="L31" i="9"/>
  <c r="H41" i="9"/>
  <c r="I41" i="9"/>
  <c r="J41" i="9"/>
  <c r="L41" i="9"/>
  <c r="H11" i="10"/>
  <c r="I11" i="10"/>
  <c r="J11" i="10"/>
  <c r="L11" i="10"/>
  <c r="H21" i="10"/>
  <c r="I21" i="10"/>
  <c r="J21" i="10"/>
  <c r="L21" i="10"/>
  <c r="H31" i="10"/>
  <c r="I31" i="10"/>
  <c r="J31" i="10"/>
  <c r="L31" i="10"/>
  <c r="H41" i="10"/>
  <c r="I41" i="10"/>
  <c r="J41" i="10"/>
  <c r="L41" i="10"/>
  <c r="H11" i="11"/>
  <c r="I11" i="11"/>
  <c r="J11" i="11"/>
  <c r="L11" i="11"/>
  <c r="H21" i="11"/>
  <c r="I21" i="11"/>
  <c r="J21" i="11"/>
  <c r="L21" i="11"/>
  <c r="H31" i="11"/>
  <c r="I31" i="11"/>
  <c r="J31" i="11"/>
  <c r="L31" i="11"/>
  <c r="H41" i="11"/>
  <c r="I41" i="11"/>
  <c r="J41" i="11"/>
  <c r="L41" i="11"/>
  <c r="F128" i="25"/>
  <c r="F102" i="25"/>
  <c r="F76" i="25"/>
  <c r="AG11" i="18"/>
  <c r="AG12" i="18"/>
  <c r="AG13" i="18"/>
  <c r="AG14" i="18"/>
  <c r="AG15" i="18"/>
  <c r="AG21" i="18"/>
  <c r="AG22" i="18"/>
  <c r="AG23" i="18"/>
  <c r="AG24" i="18"/>
  <c r="AG25" i="18"/>
  <c r="AG31" i="18"/>
  <c r="AG32" i="18"/>
  <c r="AG33" i="18"/>
  <c r="AG34" i="18"/>
  <c r="AG35" i="18"/>
  <c r="AG41" i="18"/>
  <c r="AG42" i="18"/>
  <c r="AG43" i="18"/>
  <c r="AG44" i="18"/>
  <c r="AG45" i="18"/>
  <c r="AG51" i="18"/>
  <c r="AG52" i="18"/>
  <c r="AG53" i="18"/>
  <c r="AG54" i="18"/>
  <c r="AG55" i="18"/>
  <c r="AG61" i="18"/>
  <c r="AG62" i="18"/>
  <c r="AG63" i="18"/>
  <c r="AG64" i="18"/>
  <c r="AG65" i="18"/>
  <c r="AG71" i="18"/>
  <c r="AG72" i="18"/>
  <c r="AG73" i="18"/>
  <c r="AG74" i="18"/>
  <c r="AG75" i="18"/>
  <c r="AG11" i="19"/>
  <c r="AG12" i="19"/>
  <c r="AG13" i="19"/>
  <c r="AG14" i="19"/>
  <c r="AG15" i="19"/>
  <c r="AG21" i="19"/>
  <c r="AG22" i="19"/>
  <c r="AG23" i="19"/>
  <c r="AG24" i="19"/>
  <c r="AG25" i="19"/>
  <c r="AG31" i="19"/>
  <c r="AG32" i="19"/>
  <c r="AG33" i="19"/>
  <c r="AG34" i="19"/>
  <c r="AG35" i="19"/>
  <c r="AG41" i="19"/>
  <c r="AG42" i="19"/>
  <c r="AG43" i="19"/>
  <c r="AG44" i="19"/>
  <c r="AG45" i="19"/>
  <c r="AG51" i="19"/>
  <c r="AG52" i="19"/>
  <c r="AG53" i="19"/>
  <c r="AG54" i="19"/>
  <c r="AG55" i="19"/>
  <c r="AG11" i="13"/>
  <c r="AG12" i="13"/>
  <c r="AG13" i="13"/>
  <c r="AG14" i="13"/>
  <c r="AG15" i="13"/>
  <c r="AG21" i="13"/>
  <c r="AG22" i="13"/>
  <c r="AG23" i="13"/>
  <c r="AG24" i="13"/>
  <c r="AG25" i="13"/>
  <c r="AG31" i="13"/>
  <c r="AG32" i="13"/>
  <c r="AG33" i="13"/>
  <c r="AG34" i="13"/>
  <c r="AG35" i="13"/>
  <c r="AG41" i="13"/>
  <c r="AG42" i="13"/>
  <c r="AG43" i="13"/>
  <c r="AG44" i="13"/>
  <c r="AG45" i="13"/>
  <c r="AG51" i="13"/>
  <c r="AG52" i="13"/>
  <c r="AG53" i="13"/>
  <c r="AG54" i="13"/>
  <c r="AG55" i="13"/>
  <c r="AG11" i="14"/>
  <c r="AG12" i="14"/>
  <c r="AG13" i="14"/>
  <c r="AG14" i="14"/>
  <c r="AG15" i="14"/>
  <c r="AG21" i="14"/>
  <c r="AG22" i="14"/>
  <c r="AG23" i="14"/>
  <c r="AG24" i="14"/>
  <c r="AG25" i="14"/>
  <c r="AG31" i="14"/>
  <c r="AG32" i="14"/>
  <c r="AG33" i="14"/>
  <c r="AG34" i="14"/>
  <c r="AG35" i="14"/>
  <c r="AG41" i="14"/>
  <c r="AG42" i="14"/>
  <c r="AG43" i="14"/>
  <c r="AG44" i="14"/>
  <c r="AG45" i="14"/>
  <c r="AG51" i="14"/>
  <c r="AG52" i="14"/>
  <c r="AG53" i="14"/>
  <c r="AG54" i="14"/>
  <c r="AG55" i="14"/>
  <c r="AG61" i="14"/>
  <c r="AG62" i="14"/>
  <c r="AG63" i="14"/>
  <c r="AG64" i="14"/>
  <c r="AG65" i="14"/>
  <c r="AG11" i="15"/>
  <c r="AG12" i="15"/>
  <c r="AG13" i="15"/>
  <c r="AG14" i="15"/>
  <c r="AG15" i="15"/>
  <c r="AG21" i="15"/>
  <c r="AG22" i="15"/>
  <c r="AG23" i="15"/>
  <c r="AG24" i="15"/>
  <c r="AG25" i="15"/>
  <c r="AG31" i="15"/>
  <c r="AG32" i="15"/>
  <c r="AG33" i="15"/>
  <c r="AG34" i="15"/>
  <c r="AG35" i="15"/>
  <c r="AG41" i="15"/>
  <c r="AG42" i="15"/>
  <c r="AG43" i="15"/>
  <c r="AG44" i="15"/>
  <c r="AG45" i="15"/>
  <c r="AG51" i="15"/>
  <c r="AG52" i="15"/>
  <c r="AG53" i="15"/>
  <c r="AG54" i="15"/>
  <c r="AG55" i="15"/>
  <c r="AG21" i="16"/>
  <c r="AG22" i="16"/>
  <c r="AG23" i="16"/>
  <c r="AG24" i="16"/>
  <c r="AG25" i="16"/>
  <c r="AG31" i="16"/>
  <c r="AG32" i="16"/>
  <c r="AG33" i="16"/>
  <c r="AG34" i="16"/>
  <c r="AG35" i="16"/>
  <c r="AG41" i="16"/>
  <c r="AG42" i="16"/>
  <c r="AG43" i="16"/>
  <c r="AG44" i="16"/>
  <c r="AG45" i="16"/>
  <c r="AG51" i="16"/>
  <c r="AG52" i="16"/>
  <c r="AG53" i="16"/>
  <c r="AG54" i="16"/>
  <c r="AG55" i="16"/>
  <c r="AG11" i="17"/>
  <c r="AG12" i="17"/>
  <c r="AG13" i="17"/>
  <c r="AG14" i="17"/>
  <c r="AG15" i="17"/>
  <c r="AG21" i="17"/>
  <c r="AG22" i="17"/>
  <c r="AG23" i="17"/>
  <c r="AG24" i="17"/>
  <c r="AG25" i="17"/>
  <c r="AG31" i="17"/>
  <c r="AG32" i="17"/>
  <c r="AG33" i="17"/>
  <c r="AG34" i="17"/>
  <c r="AG35" i="17"/>
  <c r="AG41" i="17"/>
  <c r="AG42" i="17"/>
  <c r="AG43" i="17"/>
  <c r="AG44" i="17"/>
  <c r="AG45" i="17"/>
  <c r="AG51" i="17"/>
  <c r="AG52" i="17"/>
  <c r="AG53" i="17"/>
  <c r="AG54" i="17"/>
  <c r="AG55" i="17"/>
  <c r="AG61" i="17"/>
  <c r="AG62" i="17"/>
  <c r="AG63" i="17"/>
  <c r="AG64" i="17"/>
  <c r="AG65" i="17"/>
  <c r="AG11" i="8"/>
  <c r="AG12" i="8"/>
  <c r="AG13" i="8"/>
  <c r="AG14" i="8"/>
  <c r="AG15" i="8"/>
  <c r="AG21" i="8"/>
  <c r="AG22" i="8"/>
  <c r="AG23" i="8"/>
  <c r="AG24" i="8"/>
  <c r="AG25" i="8"/>
  <c r="AG31" i="8"/>
  <c r="AG32" i="8"/>
  <c r="AG33" i="8"/>
  <c r="AG34" i="8"/>
  <c r="AG35" i="8"/>
  <c r="AG41" i="8"/>
  <c r="AG42" i="8"/>
  <c r="AG43" i="8"/>
  <c r="AG44" i="8"/>
  <c r="AG45" i="8"/>
  <c r="AG51" i="8"/>
  <c r="AG52" i="8"/>
  <c r="AG53" i="8"/>
  <c r="AG54" i="8"/>
  <c r="AG55" i="8"/>
  <c r="AG21" i="9"/>
  <c r="AG22" i="9"/>
  <c r="AG23" i="9"/>
  <c r="AG24" i="9"/>
  <c r="AG25" i="9"/>
  <c r="AG31" i="9"/>
  <c r="AG32" i="9"/>
  <c r="AG33" i="9"/>
  <c r="AG34" i="9"/>
  <c r="AG35" i="9"/>
  <c r="AG41" i="9"/>
  <c r="AG42" i="9"/>
  <c r="AG43" i="9"/>
  <c r="AG44" i="9"/>
  <c r="AG45" i="9"/>
  <c r="AG51" i="9"/>
  <c r="AG52" i="9"/>
  <c r="AG53" i="9"/>
  <c r="AG54" i="9"/>
  <c r="AG55" i="9"/>
  <c r="AG11" i="10"/>
  <c r="AG12" i="10"/>
  <c r="AG13" i="10"/>
  <c r="AG14" i="10"/>
  <c r="AG15" i="10"/>
  <c r="AG21" i="10"/>
  <c r="AG22" i="10"/>
  <c r="AG23" i="10"/>
  <c r="AG24" i="10"/>
  <c r="AG25" i="10"/>
  <c r="AG31" i="10"/>
  <c r="AG32" i="10"/>
  <c r="AG33" i="10"/>
  <c r="AG34" i="10"/>
  <c r="AG35" i="10"/>
  <c r="AG41" i="10"/>
  <c r="AG42" i="10"/>
  <c r="AG43" i="10"/>
  <c r="AG44" i="10"/>
  <c r="AG45" i="10"/>
  <c r="AG61" i="10"/>
  <c r="AG62" i="10"/>
  <c r="AG63" i="10"/>
  <c r="AG64" i="10"/>
  <c r="AG65" i="10"/>
  <c r="AG11" i="11"/>
  <c r="AG12" i="11"/>
  <c r="AG13" i="11"/>
  <c r="AG14" i="11"/>
  <c r="AG15" i="11"/>
  <c r="AG21" i="11"/>
  <c r="AG22" i="11"/>
  <c r="AG23" i="11"/>
  <c r="AG24" i="11"/>
  <c r="AG25" i="11"/>
  <c r="AG31" i="11"/>
  <c r="AG32" i="11"/>
  <c r="AG33" i="11"/>
  <c r="AG34" i="11"/>
  <c r="AG35" i="11"/>
  <c r="AG41" i="11"/>
  <c r="AG42" i="11"/>
  <c r="AG43" i="11"/>
  <c r="AG44" i="11"/>
  <c r="AG45" i="11"/>
  <c r="AG51" i="11"/>
  <c r="AG52" i="11"/>
  <c r="AG53" i="11"/>
  <c r="AG54" i="11"/>
  <c r="AG55" i="11"/>
  <c r="AF11" i="18"/>
  <c r="AF12" i="18"/>
  <c r="AF13" i="18"/>
  <c r="AF14" i="18"/>
  <c r="AF15" i="18"/>
  <c r="AF21" i="18"/>
  <c r="AF22" i="18"/>
  <c r="AF23" i="18"/>
  <c r="AF24" i="18"/>
  <c r="AF25" i="18"/>
  <c r="AF31" i="18"/>
  <c r="AF32" i="18"/>
  <c r="AF33" i="18"/>
  <c r="AF34" i="18"/>
  <c r="AF35" i="18"/>
  <c r="AF41" i="18"/>
  <c r="AF42" i="18"/>
  <c r="AF43" i="18"/>
  <c r="AF44" i="18"/>
  <c r="AF45" i="18"/>
  <c r="AF51" i="18"/>
  <c r="AF52" i="18"/>
  <c r="AF53" i="18"/>
  <c r="AF54" i="18"/>
  <c r="AF55" i="18"/>
  <c r="AF61" i="18"/>
  <c r="AF62" i="18"/>
  <c r="AF63" i="18"/>
  <c r="AF64" i="18"/>
  <c r="AF65" i="18"/>
  <c r="AF71" i="18"/>
  <c r="AF72" i="18"/>
  <c r="AF73" i="18"/>
  <c r="AF74" i="18"/>
  <c r="AF75" i="18"/>
  <c r="AF11" i="19"/>
  <c r="AF12" i="19"/>
  <c r="AF13" i="19"/>
  <c r="AF14" i="19"/>
  <c r="AF15" i="19"/>
  <c r="AF21" i="19"/>
  <c r="AF22" i="19"/>
  <c r="AF23" i="19"/>
  <c r="AF24" i="19"/>
  <c r="AF25" i="19"/>
  <c r="AF31" i="19"/>
  <c r="AF32" i="19"/>
  <c r="AF33" i="19"/>
  <c r="AF34" i="19"/>
  <c r="AF35" i="19"/>
  <c r="AF41" i="19"/>
  <c r="AF42" i="19"/>
  <c r="AF43" i="19"/>
  <c r="AF44" i="19"/>
  <c r="AF45" i="19"/>
  <c r="AF51" i="19"/>
  <c r="AF52" i="19"/>
  <c r="AF53" i="19"/>
  <c r="AF54" i="19"/>
  <c r="AF55" i="19"/>
  <c r="AF11" i="13"/>
  <c r="AF12" i="13"/>
  <c r="AF13" i="13"/>
  <c r="AF14" i="13"/>
  <c r="AF15" i="13"/>
  <c r="AF21" i="13"/>
  <c r="AF22" i="13"/>
  <c r="AF23" i="13"/>
  <c r="AF24" i="13"/>
  <c r="AF25" i="13"/>
  <c r="AF31" i="13"/>
  <c r="AF32" i="13"/>
  <c r="AF33" i="13"/>
  <c r="AF34" i="13"/>
  <c r="AF35" i="13"/>
  <c r="AF41" i="13"/>
  <c r="AF42" i="13"/>
  <c r="AF43" i="13"/>
  <c r="AF44" i="13"/>
  <c r="AF45" i="13"/>
  <c r="AF51" i="13"/>
  <c r="AF52" i="13"/>
  <c r="AF53" i="13"/>
  <c r="AF54" i="13"/>
  <c r="AF55" i="13"/>
  <c r="AF11" i="14"/>
  <c r="AF12" i="14"/>
  <c r="AF13" i="14"/>
  <c r="AF14" i="14"/>
  <c r="AF15" i="14"/>
  <c r="AF21" i="14"/>
  <c r="AF22" i="14"/>
  <c r="AF23" i="14"/>
  <c r="AF24" i="14"/>
  <c r="AF25" i="14"/>
  <c r="AF31" i="14"/>
  <c r="AF32" i="14"/>
  <c r="AF33" i="14"/>
  <c r="AF34" i="14"/>
  <c r="AF35" i="14"/>
  <c r="AF41" i="14"/>
  <c r="AF42" i="14"/>
  <c r="AF43" i="14"/>
  <c r="AF44" i="14"/>
  <c r="AF45" i="14"/>
  <c r="AF51" i="14"/>
  <c r="AF52" i="14"/>
  <c r="AF53" i="14"/>
  <c r="AF54" i="14"/>
  <c r="AF55" i="14"/>
  <c r="AF61" i="14"/>
  <c r="AF62" i="14"/>
  <c r="AF63" i="14"/>
  <c r="AF64" i="14"/>
  <c r="AF65" i="14"/>
  <c r="AF11" i="15"/>
  <c r="AF12" i="15"/>
  <c r="AF13" i="15"/>
  <c r="AF14" i="15"/>
  <c r="AF15" i="15"/>
  <c r="AF21" i="15"/>
  <c r="AF22" i="15"/>
  <c r="AF23" i="15"/>
  <c r="AF24" i="15"/>
  <c r="AF25" i="15"/>
  <c r="AF31" i="15"/>
  <c r="AF32" i="15"/>
  <c r="AF33" i="15"/>
  <c r="AF34" i="15"/>
  <c r="AF35" i="15"/>
  <c r="AF41" i="15"/>
  <c r="AF42" i="15"/>
  <c r="AF43" i="15"/>
  <c r="AF44" i="15"/>
  <c r="AF45" i="15"/>
  <c r="AF51" i="15"/>
  <c r="AF52" i="15"/>
  <c r="AF53" i="15"/>
  <c r="AF54" i="15"/>
  <c r="AF55" i="15"/>
  <c r="AF21" i="16"/>
  <c r="AF22" i="16"/>
  <c r="AF23" i="16"/>
  <c r="AF24" i="16"/>
  <c r="AF25" i="16"/>
  <c r="AF31" i="16"/>
  <c r="AF32" i="16"/>
  <c r="AF33" i="16"/>
  <c r="AF34" i="16"/>
  <c r="AF35" i="16"/>
  <c r="AF41" i="16"/>
  <c r="AF42" i="16"/>
  <c r="AF43" i="16"/>
  <c r="AF44" i="16"/>
  <c r="AF45" i="16"/>
  <c r="AF51" i="16"/>
  <c r="AF52" i="16"/>
  <c r="AF53" i="16"/>
  <c r="AF54" i="16"/>
  <c r="AF55" i="16"/>
  <c r="AF11" i="17"/>
  <c r="AF12" i="17"/>
  <c r="AF13" i="17"/>
  <c r="AF14" i="17"/>
  <c r="AF15" i="17"/>
  <c r="AF21" i="17"/>
  <c r="AF22" i="17"/>
  <c r="AF23" i="17"/>
  <c r="AF24" i="17"/>
  <c r="AF25" i="17"/>
  <c r="AF31" i="17"/>
  <c r="AF32" i="17"/>
  <c r="AF33" i="17"/>
  <c r="AF34" i="17"/>
  <c r="AF35" i="17"/>
  <c r="AF41" i="17"/>
  <c r="AF42" i="17"/>
  <c r="AF43" i="17"/>
  <c r="AF44" i="17"/>
  <c r="AF45" i="17"/>
  <c r="AF51" i="17"/>
  <c r="AF52" i="17"/>
  <c r="AF53" i="17"/>
  <c r="AF54" i="17"/>
  <c r="AF55" i="17"/>
  <c r="AF61" i="17"/>
  <c r="AF62" i="17"/>
  <c r="AF63" i="17"/>
  <c r="AF64" i="17"/>
  <c r="AF65" i="17"/>
  <c r="AF11" i="8"/>
  <c r="AF12" i="8"/>
  <c r="AF13" i="8"/>
  <c r="AF14" i="8"/>
  <c r="AF15" i="8"/>
  <c r="AF21" i="8"/>
  <c r="AF22" i="8"/>
  <c r="AF23" i="8"/>
  <c r="AF24" i="8"/>
  <c r="AF25" i="8"/>
  <c r="AF31" i="8"/>
  <c r="AF32" i="8"/>
  <c r="AF33" i="8"/>
  <c r="AF34" i="8"/>
  <c r="AF35" i="8"/>
  <c r="AF41" i="8"/>
  <c r="AF42" i="8"/>
  <c r="AF43" i="8"/>
  <c r="AF44" i="8"/>
  <c r="AF45" i="8"/>
  <c r="AF51" i="8"/>
  <c r="AF52" i="8"/>
  <c r="AF53" i="8"/>
  <c r="AF54" i="8"/>
  <c r="AF55" i="8"/>
  <c r="AF21" i="9"/>
  <c r="AF22" i="9"/>
  <c r="AF23" i="9"/>
  <c r="AF24" i="9"/>
  <c r="AF25" i="9"/>
  <c r="AF31" i="9"/>
  <c r="AF32" i="9"/>
  <c r="AF33" i="9"/>
  <c r="AF34" i="9"/>
  <c r="AF35" i="9"/>
  <c r="AF41" i="9"/>
  <c r="AF42" i="9"/>
  <c r="AF43" i="9"/>
  <c r="AF44" i="9"/>
  <c r="AF45" i="9"/>
  <c r="AF51" i="9"/>
  <c r="AF52" i="9"/>
  <c r="AF53" i="9"/>
  <c r="AF54" i="9"/>
  <c r="AF55" i="9"/>
  <c r="AF11" i="10"/>
  <c r="AF12" i="10"/>
  <c r="AF13" i="10"/>
  <c r="AF14" i="10"/>
  <c r="AF15" i="10"/>
  <c r="AF21" i="10"/>
  <c r="AF22" i="10"/>
  <c r="AF23" i="10"/>
  <c r="AF24" i="10"/>
  <c r="AF25" i="10"/>
  <c r="AF31" i="10"/>
  <c r="AF32" i="10"/>
  <c r="AF33" i="10"/>
  <c r="AF34" i="10"/>
  <c r="AF35" i="10"/>
  <c r="AF41" i="10"/>
  <c r="AF42" i="10"/>
  <c r="AF43" i="10"/>
  <c r="AF44" i="10"/>
  <c r="AF45" i="10"/>
  <c r="AF61" i="10"/>
  <c r="AF62" i="10"/>
  <c r="AF63" i="10"/>
  <c r="AF64" i="10"/>
  <c r="AF65" i="10"/>
  <c r="AF11" i="11"/>
  <c r="AF12" i="11"/>
  <c r="AF13" i="11"/>
  <c r="AF14" i="11"/>
  <c r="AF15" i="11"/>
  <c r="AF21" i="11"/>
  <c r="AF22" i="11"/>
  <c r="AF23" i="11"/>
  <c r="AF24" i="11"/>
  <c r="AF25" i="11"/>
  <c r="AF31" i="11"/>
  <c r="AF32" i="11"/>
  <c r="AF33" i="11"/>
  <c r="AF34" i="11"/>
  <c r="AF35" i="11"/>
  <c r="AF41" i="11"/>
  <c r="AF42" i="11"/>
  <c r="AF43" i="11"/>
  <c r="AF44" i="11"/>
  <c r="AF45" i="11"/>
  <c r="AF51" i="11"/>
  <c r="AF52" i="11"/>
  <c r="AF53" i="11"/>
  <c r="AF54" i="11"/>
  <c r="AF55" i="11"/>
  <c r="AE11" i="18"/>
  <c r="AE12" i="18"/>
  <c r="AE13" i="18"/>
  <c r="AE14" i="18"/>
  <c r="AE15" i="18"/>
  <c r="AE21" i="18"/>
  <c r="AE22" i="18"/>
  <c r="AE23" i="18"/>
  <c r="AE24" i="18"/>
  <c r="AE25" i="18"/>
  <c r="AE31" i="18"/>
  <c r="AE32" i="18"/>
  <c r="AE33" i="18"/>
  <c r="AE34" i="18"/>
  <c r="AE35" i="18"/>
  <c r="AE41" i="18"/>
  <c r="AE42" i="18"/>
  <c r="AE43" i="18"/>
  <c r="AE44" i="18"/>
  <c r="AE45" i="18"/>
  <c r="AE51" i="18"/>
  <c r="AE52" i="18"/>
  <c r="AE53" i="18"/>
  <c r="AE54" i="18"/>
  <c r="AE55" i="18"/>
  <c r="AE61" i="18"/>
  <c r="AE62" i="18"/>
  <c r="AE63" i="18"/>
  <c r="AE64" i="18"/>
  <c r="AE65" i="18"/>
  <c r="AE71" i="18"/>
  <c r="AE72" i="18"/>
  <c r="AE73" i="18"/>
  <c r="AE74" i="18"/>
  <c r="AE75" i="18"/>
  <c r="AE11" i="19"/>
  <c r="AE12" i="19"/>
  <c r="AE13" i="19"/>
  <c r="AE14" i="19"/>
  <c r="AE15" i="19"/>
  <c r="AE21" i="19"/>
  <c r="AE22" i="19"/>
  <c r="AE23" i="19"/>
  <c r="AE24" i="19"/>
  <c r="AE25" i="19"/>
  <c r="AE31" i="19"/>
  <c r="AE32" i="19"/>
  <c r="AE33" i="19"/>
  <c r="AE34" i="19"/>
  <c r="AE35" i="19"/>
  <c r="AE41" i="19"/>
  <c r="AE42" i="19"/>
  <c r="AE43" i="19"/>
  <c r="AE44" i="19"/>
  <c r="AE45" i="19"/>
  <c r="AE51" i="19"/>
  <c r="AE52" i="19"/>
  <c r="AE53" i="19"/>
  <c r="AE54" i="19"/>
  <c r="AE55" i="19"/>
  <c r="AE11" i="13"/>
  <c r="AE12" i="13"/>
  <c r="AE13" i="13"/>
  <c r="AE14" i="13"/>
  <c r="AE15" i="13"/>
  <c r="AE21" i="13"/>
  <c r="AE22" i="13"/>
  <c r="AE23" i="13"/>
  <c r="AE24" i="13"/>
  <c r="AE25" i="13"/>
  <c r="AE31" i="13"/>
  <c r="AE32" i="13"/>
  <c r="AE33" i="13"/>
  <c r="AE34" i="13"/>
  <c r="AE35" i="13"/>
  <c r="AE41" i="13"/>
  <c r="AE42" i="13"/>
  <c r="AE43" i="13"/>
  <c r="AE44" i="13"/>
  <c r="AE45" i="13"/>
  <c r="AE51" i="13"/>
  <c r="AE52" i="13"/>
  <c r="AE53" i="13"/>
  <c r="AE54" i="13"/>
  <c r="AE55" i="13"/>
  <c r="AE11" i="14"/>
  <c r="AE12" i="14"/>
  <c r="AE13" i="14"/>
  <c r="AE14" i="14"/>
  <c r="AE15" i="14"/>
  <c r="AE21" i="14"/>
  <c r="AE22" i="14"/>
  <c r="AE23" i="14"/>
  <c r="AE24" i="14"/>
  <c r="AE25" i="14"/>
  <c r="AE31" i="14"/>
  <c r="AE32" i="14"/>
  <c r="AE33" i="14"/>
  <c r="AE34" i="14"/>
  <c r="AE35" i="14"/>
  <c r="AE41" i="14"/>
  <c r="AE42" i="14"/>
  <c r="AE43" i="14"/>
  <c r="AE44" i="14"/>
  <c r="AE45" i="14"/>
  <c r="AE51" i="14"/>
  <c r="AE52" i="14"/>
  <c r="AE53" i="14"/>
  <c r="AE54" i="14"/>
  <c r="AE55" i="14"/>
  <c r="AE61" i="14"/>
  <c r="AE62" i="14"/>
  <c r="AE63" i="14"/>
  <c r="AE64" i="14"/>
  <c r="AE65" i="14"/>
  <c r="AE11" i="15"/>
  <c r="AE12" i="15"/>
  <c r="AE13" i="15"/>
  <c r="AE14" i="15"/>
  <c r="AE15" i="15"/>
  <c r="AE21" i="15"/>
  <c r="AE22" i="15"/>
  <c r="AE23" i="15"/>
  <c r="AE24" i="15"/>
  <c r="AE25" i="15"/>
  <c r="AE31" i="15"/>
  <c r="AE32" i="15"/>
  <c r="AE33" i="15"/>
  <c r="AE34" i="15"/>
  <c r="AE35" i="15"/>
  <c r="AE41" i="15"/>
  <c r="AE42" i="15"/>
  <c r="AE43" i="15"/>
  <c r="AE44" i="15"/>
  <c r="AE45" i="15"/>
  <c r="AE51" i="15"/>
  <c r="AE52" i="15"/>
  <c r="AE53" i="15"/>
  <c r="AE54" i="15"/>
  <c r="AE55" i="15"/>
  <c r="AE21" i="16"/>
  <c r="AE22" i="16"/>
  <c r="AE23" i="16"/>
  <c r="AE24" i="16"/>
  <c r="AE25" i="16"/>
  <c r="AE31" i="16"/>
  <c r="AE32" i="16"/>
  <c r="AE33" i="16"/>
  <c r="AE34" i="16"/>
  <c r="AE35" i="16"/>
  <c r="AE41" i="16"/>
  <c r="AE42" i="16"/>
  <c r="AE43" i="16"/>
  <c r="AE44" i="16"/>
  <c r="AE45" i="16"/>
  <c r="AE51" i="16"/>
  <c r="AE52" i="16"/>
  <c r="AE53" i="16"/>
  <c r="AE54" i="16"/>
  <c r="AE55" i="16"/>
  <c r="AE11" i="17"/>
  <c r="AE12" i="17"/>
  <c r="AE13" i="17"/>
  <c r="AE14" i="17"/>
  <c r="AE15" i="17"/>
  <c r="AE21" i="17"/>
  <c r="AE22" i="17"/>
  <c r="AE23" i="17"/>
  <c r="AE24" i="17"/>
  <c r="AE25" i="17"/>
  <c r="AE31" i="17"/>
  <c r="AE32" i="17"/>
  <c r="AE33" i="17"/>
  <c r="AE34" i="17"/>
  <c r="AE35" i="17"/>
  <c r="AE41" i="17"/>
  <c r="AE42" i="17"/>
  <c r="AE43" i="17"/>
  <c r="AE44" i="17"/>
  <c r="AE45" i="17"/>
  <c r="AE51" i="17"/>
  <c r="AE52" i="17"/>
  <c r="AE53" i="17"/>
  <c r="AE54" i="17"/>
  <c r="AE55" i="17"/>
  <c r="AE61" i="17"/>
  <c r="AE62" i="17"/>
  <c r="AE63" i="17"/>
  <c r="AE64" i="17"/>
  <c r="AE65" i="17"/>
  <c r="AE11" i="8"/>
  <c r="AE12" i="8"/>
  <c r="AE13" i="8"/>
  <c r="AE14" i="8"/>
  <c r="AE15" i="8"/>
  <c r="AE21" i="8"/>
  <c r="AE22" i="8"/>
  <c r="AE23" i="8"/>
  <c r="AE24" i="8"/>
  <c r="AE25" i="8"/>
  <c r="AE31" i="8"/>
  <c r="AE32" i="8"/>
  <c r="AE33" i="8"/>
  <c r="AE34" i="8"/>
  <c r="AE35" i="8"/>
  <c r="AE41" i="8"/>
  <c r="AE42" i="8"/>
  <c r="AE43" i="8"/>
  <c r="AE44" i="8"/>
  <c r="AE45" i="8"/>
  <c r="AE51" i="8"/>
  <c r="AE52" i="8"/>
  <c r="AE53" i="8"/>
  <c r="AE54" i="8"/>
  <c r="AE55" i="8"/>
  <c r="AE21" i="9"/>
  <c r="AE22" i="9"/>
  <c r="AE23" i="9"/>
  <c r="AE24" i="9"/>
  <c r="AE25" i="9"/>
  <c r="AE31" i="9"/>
  <c r="AE32" i="9"/>
  <c r="AE33" i="9"/>
  <c r="AE34" i="9"/>
  <c r="AE35" i="9"/>
  <c r="AE41" i="9"/>
  <c r="AE42" i="9"/>
  <c r="AE43" i="9"/>
  <c r="AE44" i="9"/>
  <c r="AE45" i="9"/>
  <c r="AE51" i="9"/>
  <c r="AE52" i="9"/>
  <c r="AE53" i="9"/>
  <c r="AE54" i="9"/>
  <c r="AE55" i="9"/>
  <c r="AE11" i="10"/>
  <c r="AE12" i="10"/>
  <c r="AE13" i="10"/>
  <c r="AE14" i="10"/>
  <c r="AE15" i="10"/>
  <c r="AE21" i="10"/>
  <c r="AE22" i="10"/>
  <c r="AE23" i="10"/>
  <c r="AE24" i="10"/>
  <c r="AE25" i="10"/>
  <c r="AE31" i="10"/>
  <c r="AE32" i="10"/>
  <c r="AE33" i="10"/>
  <c r="AE34" i="10"/>
  <c r="AE35" i="10"/>
  <c r="AE41" i="10"/>
  <c r="AE42" i="10"/>
  <c r="AE43" i="10"/>
  <c r="AE44" i="10"/>
  <c r="AE45" i="10"/>
  <c r="AE61" i="10"/>
  <c r="AE62" i="10"/>
  <c r="AE63" i="10"/>
  <c r="AE64" i="10"/>
  <c r="AE65" i="10"/>
  <c r="AE11" i="11"/>
  <c r="AE12" i="11"/>
  <c r="AE13" i="11"/>
  <c r="AE14" i="11"/>
  <c r="AE15" i="11"/>
  <c r="AE21" i="11"/>
  <c r="AE22" i="11"/>
  <c r="AE23" i="11"/>
  <c r="AE24" i="11"/>
  <c r="AE25" i="11"/>
  <c r="AE31" i="11"/>
  <c r="AE32" i="11"/>
  <c r="AE33" i="11"/>
  <c r="AE34" i="11"/>
  <c r="AE35" i="11"/>
  <c r="AE41" i="11"/>
  <c r="AE42" i="11"/>
  <c r="AE43" i="11"/>
  <c r="AE44" i="11"/>
  <c r="AE45" i="11"/>
  <c r="AE51" i="11"/>
  <c r="AE52" i="11"/>
  <c r="AE53" i="11"/>
  <c r="AE54" i="11"/>
  <c r="AE55" i="11"/>
  <c r="AD11" i="18"/>
  <c r="AD12" i="18"/>
  <c r="AD13" i="18"/>
  <c r="AD14" i="18"/>
  <c r="AD15" i="18"/>
  <c r="AD21" i="18"/>
  <c r="AD22" i="18"/>
  <c r="AD23" i="18"/>
  <c r="AD24" i="18"/>
  <c r="AD25" i="18"/>
  <c r="AD31" i="18"/>
  <c r="AD32" i="18"/>
  <c r="AD33" i="18"/>
  <c r="AD34" i="18"/>
  <c r="AD35" i="18"/>
  <c r="AD41" i="18"/>
  <c r="AD42" i="18"/>
  <c r="AD43" i="18"/>
  <c r="AD44" i="18"/>
  <c r="AD45" i="18"/>
  <c r="AD51" i="18"/>
  <c r="AD52" i="18"/>
  <c r="AD53" i="18"/>
  <c r="AD54" i="18"/>
  <c r="AD55" i="18"/>
  <c r="AD61" i="18"/>
  <c r="AD62" i="18"/>
  <c r="AD63" i="18"/>
  <c r="AD64" i="18"/>
  <c r="AD65" i="18"/>
  <c r="AD71" i="18"/>
  <c r="AD72" i="18"/>
  <c r="AD73" i="18"/>
  <c r="AD74" i="18"/>
  <c r="AD75" i="18"/>
  <c r="AD11" i="19"/>
  <c r="AD12" i="19"/>
  <c r="AD13" i="19"/>
  <c r="AD14" i="19"/>
  <c r="AD15" i="19"/>
  <c r="AD21" i="19"/>
  <c r="AD22" i="19"/>
  <c r="AD23" i="19"/>
  <c r="AD24" i="19"/>
  <c r="AD25" i="19"/>
  <c r="AD31" i="19"/>
  <c r="AD32" i="19"/>
  <c r="AD33" i="19"/>
  <c r="AD34" i="19"/>
  <c r="AD35" i="19"/>
  <c r="AD41" i="19"/>
  <c r="AD42" i="19"/>
  <c r="AD43" i="19"/>
  <c r="AD44" i="19"/>
  <c r="AD45" i="19"/>
  <c r="AD51" i="19"/>
  <c r="AD52" i="19"/>
  <c r="AD53" i="19"/>
  <c r="AD54" i="19"/>
  <c r="AD55" i="19"/>
  <c r="AD11" i="13"/>
  <c r="AD12" i="13"/>
  <c r="AD13" i="13"/>
  <c r="AD14" i="13"/>
  <c r="AD15" i="13"/>
  <c r="AD21" i="13"/>
  <c r="AD22" i="13"/>
  <c r="AD23" i="13"/>
  <c r="AD24" i="13"/>
  <c r="AD25" i="13"/>
  <c r="AD31" i="13"/>
  <c r="AD32" i="13"/>
  <c r="AD33" i="13"/>
  <c r="AD34" i="13"/>
  <c r="AD35" i="13"/>
  <c r="AD41" i="13"/>
  <c r="AD42" i="13"/>
  <c r="AD43" i="13"/>
  <c r="AD44" i="13"/>
  <c r="AD45" i="13"/>
  <c r="AD51" i="13"/>
  <c r="AD52" i="13"/>
  <c r="AD53" i="13"/>
  <c r="AD54" i="13"/>
  <c r="AD55" i="13"/>
  <c r="AD11" i="14"/>
  <c r="AD12" i="14"/>
  <c r="AD13" i="14"/>
  <c r="AD14" i="14"/>
  <c r="AD15" i="14"/>
  <c r="AD21" i="14"/>
  <c r="AD22" i="14"/>
  <c r="AD23" i="14"/>
  <c r="AD24" i="14"/>
  <c r="AD25" i="14"/>
  <c r="AD31" i="14"/>
  <c r="AD32" i="14"/>
  <c r="AD33" i="14"/>
  <c r="AD34" i="14"/>
  <c r="AD35" i="14"/>
  <c r="AD41" i="14"/>
  <c r="AD42" i="14"/>
  <c r="AD43" i="14"/>
  <c r="AD44" i="14"/>
  <c r="AD45" i="14"/>
  <c r="AD51" i="14"/>
  <c r="AD52" i="14"/>
  <c r="AD53" i="14"/>
  <c r="AD54" i="14"/>
  <c r="AD55" i="14"/>
  <c r="AD61" i="14"/>
  <c r="AD62" i="14"/>
  <c r="AD63" i="14"/>
  <c r="AD64" i="14"/>
  <c r="AD65" i="14"/>
  <c r="AD11" i="15"/>
  <c r="AD12" i="15"/>
  <c r="AD13" i="15"/>
  <c r="AD14" i="15"/>
  <c r="AD15" i="15"/>
  <c r="AD21" i="15"/>
  <c r="AD22" i="15"/>
  <c r="AD23" i="15"/>
  <c r="AD24" i="15"/>
  <c r="AD25" i="15"/>
  <c r="AD31" i="15"/>
  <c r="AD32" i="15"/>
  <c r="AD33" i="15"/>
  <c r="AD34" i="15"/>
  <c r="AD35" i="15"/>
  <c r="AD41" i="15"/>
  <c r="AD42" i="15"/>
  <c r="AD43" i="15"/>
  <c r="AD44" i="15"/>
  <c r="AD45" i="15"/>
  <c r="AD51" i="15"/>
  <c r="AD52" i="15"/>
  <c r="AD53" i="15"/>
  <c r="AD54" i="15"/>
  <c r="AD55" i="15"/>
  <c r="AD21" i="16"/>
  <c r="AD22" i="16"/>
  <c r="AD23" i="16"/>
  <c r="AD24" i="16"/>
  <c r="AD25" i="16"/>
  <c r="AD31" i="16"/>
  <c r="AD32" i="16"/>
  <c r="AD33" i="16"/>
  <c r="AD34" i="16"/>
  <c r="AD35" i="16"/>
  <c r="AD41" i="16"/>
  <c r="AD42" i="16"/>
  <c r="AD43" i="16"/>
  <c r="AD44" i="16"/>
  <c r="AD45" i="16"/>
  <c r="AD51" i="16"/>
  <c r="AD52" i="16"/>
  <c r="AD53" i="16"/>
  <c r="AD54" i="16"/>
  <c r="AD55" i="16"/>
  <c r="AD11" i="17"/>
  <c r="AD12" i="17"/>
  <c r="AD13" i="17"/>
  <c r="AD14" i="17"/>
  <c r="AD15" i="17"/>
  <c r="AD21" i="17"/>
  <c r="AD22" i="17"/>
  <c r="AD23" i="17"/>
  <c r="AD24" i="17"/>
  <c r="AD25" i="17"/>
  <c r="AD31" i="17"/>
  <c r="AD32" i="17"/>
  <c r="AD33" i="17"/>
  <c r="AD34" i="17"/>
  <c r="AD35" i="17"/>
  <c r="AD41" i="17"/>
  <c r="AD42" i="17"/>
  <c r="AD43" i="17"/>
  <c r="AD44" i="17"/>
  <c r="AD45" i="17"/>
  <c r="AD51" i="17"/>
  <c r="AD52" i="17"/>
  <c r="AD53" i="17"/>
  <c r="AD54" i="17"/>
  <c r="AD55" i="17"/>
  <c r="AD61" i="17"/>
  <c r="AD62" i="17"/>
  <c r="AD63" i="17"/>
  <c r="AD64" i="17"/>
  <c r="AD65" i="17"/>
  <c r="AD11" i="8"/>
  <c r="AD12" i="8"/>
  <c r="AD13" i="8"/>
  <c r="AD14" i="8"/>
  <c r="AD15" i="8"/>
  <c r="AD21" i="8"/>
  <c r="AD22" i="8"/>
  <c r="AD23" i="8"/>
  <c r="AD24" i="8"/>
  <c r="AD25" i="8"/>
  <c r="AD31" i="8"/>
  <c r="AD32" i="8"/>
  <c r="AD33" i="8"/>
  <c r="AD34" i="8"/>
  <c r="AD35" i="8"/>
  <c r="AD41" i="8"/>
  <c r="AD42" i="8"/>
  <c r="AD43" i="8"/>
  <c r="AD44" i="8"/>
  <c r="AD45" i="8"/>
  <c r="AD51" i="8"/>
  <c r="AD52" i="8"/>
  <c r="AD53" i="8"/>
  <c r="AD54" i="8"/>
  <c r="AD55" i="8"/>
  <c r="AD21" i="9"/>
  <c r="AD22" i="9"/>
  <c r="AD23" i="9"/>
  <c r="AD24" i="9"/>
  <c r="AD25" i="9"/>
  <c r="AD31" i="9"/>
  <c r="AD32" i="9"/>
  <c r="AD33" i="9"/>
  <c r="AD34" i="9"/>
  <c r="AD35" i="9"/>
  <c r="AD41" i="9"/>
  <c r="AD42" i="9"/>
  <c r="AD43" i="9"/>
  <c r="AD44" i="9"/>
  <c r="AD45" i="9"/>
  <c r="AD51" i="9"/>
  <c r="AD52" i="9"/>
  <c r="AD53" i="9"/>
  <c r="AD54" i="9"/>
  <c r="AD55" i="9"/>
  <c r="AD11" i="10"/>
  <c r="AD12" i="10"/>
  <c r="AD13" i="10"/>
  <c r="AD14" i="10"/>
  <c r="AD15" i="10"/>
  <c r="AD21" i="10"/>
  <c r="AD22" i="10"/>
  <c r="AD23" i="10"/>
  <c r="AD24" i="10"/>
  <c r="AD25" i="10"/>
  <c r="AD31" i="10"/>
  <c r="AD32" i="10"/>
  <c r="AD33" i="10"/>
  <c r="AD34" i="10"/>
  <c r="AD35" i="10"/>
  <c r="AD41" i="10"/>
  <c r="AD42" i="10"/>
  <c r="AD43" i="10"/>
  <c r="AD44" i="10"/>
  <c r="AD45" i="10"/>
  <c r="AD61" i="10"/>
  <c r="AD62" i="10"/>
  <c r="AD63" i="10"/>
  <c r="AD64" i="10"/>
  <c r="AD65" i="10"/>
  <c r="AD11" i="11"/>
  <c r="AD12" i="11"/>
  <c r="AD13" i="11"/>
  <c r="AD14" i="11"/>
  <c r="AD15" i="11"/>
  <c r="AD21" i="11"/>
  <c r="AD22" i="11"/>
  <c r="AD23" i="11"/>
  <c r="AD24" i="11"/>
  <c r="AD25" i="11"/>
  <c r="AD31" i="11"/>
  <c r="AD32" i="11"/>
  <c r="AD33" i="11"/>
  <c r="AD34" i="11"/>
  <c r="AD35" i="11"/>
  <c r="AD41" i="11"/>
  <c r="AD42" i="11"/>
  <c r="AD43" i="11"/>
  <c r="AD44" i="11"/>
  <c r="AD45" i="11"/>
  <c r="AD51" i="11"/>
  <c r="AD52" i="11"/>
  <c r="AD53" i="11"/>
  <c r="AD54" i="11"/>
  <c r="AD55" i="11"/>
  <c r="P16" i="11"/>
  <c r="P56" i="11"/>
  <c r="W3" i="25"/>
  <c r="W4" i="25"/>
  <c r="W5" i="25"/>
  <c r="W6" i="25"/>
  <c r="W7" i="25"/>
  <c r="W8" i="25"/>
  <c r="W9" i="25"/>
  <c r="W10" i="25"/>
  <c r="W11" i="25"/>
  <c r="W12" i="25"/>
  <c r="W13" i="25"/>
  <c r="W14" i="25"/>
  <c r="W15" i="25"/>
  <c r="W16" i="25"/>
  <c r="W17" i="25"/>
  <c r="W18" i="25"/>
  <c r="W19" i="25"/>
  <c r="W20" i="25"/>
  <c r="W21" i="25"/>
  <c r="W22" i="25"/>
  <c r="W23" i="25"/>
  <c r="W24" i="25"/>
  <c r="W25" i="25"/>
  <c r="W26" i="25"/>
  <c r="W27" i="25"/>
  <c r="W28" i="25"/>
  <c r="W29" i="25"/>
  <c r="W30" i="25"/>
  <c r="W31" i="25"/>
  <c r="W32" i="25"/>
  <c r="W33" i="25"/>
  <c r="W34" i="25"/>
  <c r="W35" i="25"/>
  <c r="W36" i="25"/>
  <c r="W37" i="25"/>
  <c r="W38" i="25"/>
  <c r="W39" i="25"/>
  <c r="W40" i="25"/>
  <c r="W41" i="25"/>
  <c r="W42" i="25"/>
  <c r="W43" i="25"/>
  <c r="W44" i="25"/>
  <c r="W45" i="25"/>
  <c r="W46" i="25"/>
  <c r="W47" i="25"/>
  <c r="W48" i="25"/>
  <c r="W49" i="25"/>
  <c r="W50" i="25"/>
  <c r="W51" i="25"/>
  <c r="W52" i="25"/>
  <c r="W53" i="25"/>
  <c r="W54" i="25"/>
  <c r="W55" i="25"/>
  <c r="W56" i="25"/>
  <c r="W57" i="25"/>
  <c r="W58" i="25"/>
  <c r="W59" i="25"/>
  <c r="W2" i="25"/>
  <c r="Q29" i="25"/>
  <c r="S29" i="25" s="1"/>
  <c r="Q30" i="25"/>
  <c r="S30" i="25" s="1"/>
  <c r="Q34" i="25"/>
  <c r="X3" i="25"/>
  <c r="X4" i="25" s="1"/>
  <c r="X5" i="25" s="1"/>
  <c r="X6" i="25" s="1"/>
  <c r="X7" i="25" s="1"/>
  <c r="X8" i="25" s="1"/>
  <c r="X9" i="25" s="1"/>
  <c r="X10" i="25" s="1"/>
  <c r="X11" i="25" s="1"/>
  <c r="X12" i="25" s="1"/>
  <c r="X13" i="25" s="1"/>
  <c r="X14" i="25" s="1"/>
  <c r="X15" i="25" s="1"/>
  <c r="X16" i="25" s="1"/>
  <c r="X17" i="25" s="1"/>
  <c r="X18" i="25" s="1"/>
  <c r="X19" i="25" s="1"/>
  <c r="X20" i="25" s="1"/>
  <c r="X21" i="25" s="1"/>
  <c r="X22" i="25" s="1"/>
  <c r="X23" i="25" s="1"/>
  <c r="X24" i="25" s="1"/>
  <c r="X25" i="25" s="1"/>
  <c r="X26" i="25" s="1"/>
  <c r="X27" i="25" s="1"/>
  <c r="X28" i="25" s="1"/>
  <c r="X29" i="25" s="1"/>
  <c r="X30" i="25" s="1"/>
  <c r="X31" i="25" s="1"/>
  <c r="X32" i="25" s="1"/>
  <c r="X33" i="25" s="1"/>
  <c r="X34" i="25" s="1"/>
  <c r="X35" i="25" s="1"/>
  <c r="X36" i="25" s="1"/>
  <c r="X37" i="25" s="1"/>
  <c r="X38" i="25" s="1"/>
  <c r="X39" i="25" s="1"/>
  <c r="X40" i="25" s="1"/>
  <c r="X41" i="25" s="1"/>
  <c r="X42" i="25" s="1"/>
  <c r="X43" i="25" s="1"/>
  <c r="X44" i="25" s="1"/>
  <c r="X45" i="25" s="1"/>
  <c r="X46" i="25" s="1"/>
  <c r="X47" i="25" s="1"/>
  <c r="X48" i="25" s="1"/>
  <c r="X49" i="25" s="1"/>
  <c r="X50" i="25" s="1"/>
  <c r="X51" i="25" s="1"/>
  <c r="X52" i="25" s="1"/>
  <c r="X53" i="25" s="1"/>
  <c r="Q24" i="25"/>
  <c r="S24" i="25" s="1"/>
  <c r="E2" i="24"/>
  <c r="K9" i="12"/>
  <c r="M9" i="12" s="1"/>
  <c r="Q28" i="25"/>
  <c r="S28" i="25" s="1"/>
  <c r="H41" i="12"/>
  <c r="L41" i="12"/>
  <c r="AD11" i="12"/>
  <c r="AD12" i="12"/>
  <c r="AD13" i="12"/>
  <c r="AD14" i="12"/>
  <c r="AD15" i="12"/>
  <c r="AD21" i="12"/>
  <c r="AD22" i="12"/>
  <c r="AD23" i="12"/>
  <c r="AD24" i="12"/>
  <c r="AD25" i="12"/>
  <c r="AD31" i="12"/>
  <c r="AD32" i="12"/>
  <c r="AD33" i="12"/>
  <c r="AD34" i="12"/>
  <c r="AD35" i="12"/>
  <c r="AD41" i="12"/>
  <c r="AD42" i="12"/>
  <c r="AD43" i="12"/>
  <c r="AD44" i="12"/>
  <c r="AD45" i="12"/>
  <c r="AD51" i="12"/>
  <c r="AD52" i="12"/>
  <c r="AD53" i="12"/>
  <c r="AD54" i="12"/>
  <c r="AD55" i="12"/>
  <c r="B24" i="25"/>
  <c r="B102" i="25" s="1"/>
  <c r="F106" i="25"/>
  <c r="F80" i="25"/>
  <c r="F54" i="25"/>
  <c r="F28" i="25"/>
  <c r="F132" i="25"/>
  <c r="S2" i="18"/>
  <c r="S2" i="14"/>
  <c r="S2" i="17"/>
  <c r="S2" i="10"/>
  <c r="S2" i="19"/>
  <c r="Q16" i="19"/>
  <c r="Q26" i="19"/>
  <c r="Q36" i="19"/>
  <c r="Q46" i="19"/>
  <c r="Q56" i="19"/>
  <c r="P16" i="19"/>
  <c r="P26" i="19"/>
  <c r="P36" i="19"/>
  <c r="P46" i="19"/>
  <c r="P56" i="19"/>
  <c r="S2" i="13"/>
  <c r="Q16" i="13"/>
  <c r="Q26" i="13"/>
  <c r="Q36" i="13"/>
  <c r="Q46" i="13"/>
  <c r="Q56" i="13"/>
  <c r="P16" i="13"/>
  <c r="P26" i="13"/>
  <c r="P36" i="13"/>
  <c r="P46" i="13"/>
  <c r="P56" i="13"/>
  <c r="S2" i="15"/>
  <c r="Q16" i="15"/>
  <c r="Q26" i="15"/>
  <c r="Q36" i="15"/>
  <c r="Q46" i="15"/>
  <c r="Q56" i="15"/>
  <c r="P16" i="15"/>
  <c r="P26" i="15"/>
  <c r="P36" i="15"/>
  <c r="P46" i="15"/>
  <c r="P56" i="15"/>
  <c r="S2" i="16"/>
  <c r="Q26" i="16"/>
  <c r="Q36" i="16"/>
  <c r="Q46" i="16"/>
  <c r="Q56" i="16"/>
  <c r="P26" i="16"/>
  <c r="P36" i="16"/>
  <c r="P46" i="16"/>
  <c r="P56" i="16"/>
  <c r="S2" i="8"/>
  <c r="Q16" i="8"/>
  <c r="Q26" i="8"/>
  <c r="Q36" i="8"/>
  <c r="Q46" i="8"/>
  <c r="Q56" i="8"/>
  <c r="P16" i="8"/>
  <c r="P26" i="8"/>
  <c r="P36" i="8"/>
  <c r="P46" i="8"/>
  <c r="P56" i="8"/>
  <c r="S2" i="9"/>
  <c r="Q26" i="9"/>
  <c r="Q36" i="9"/>
  <c r="Q46" i="9"/>
  <c r="Q56" i="9"/>
  <c r="P26" i="9"/>
  <c r="P36" i="9"/>
  <c r="P46" i="9"/>
  <c r="P56" i="9"/>
  <c r="P16" i="10"/>
  <c r="P26" i="10"/>
  <c r="P36" i="10"/>
  <c r="P46" i="10"/>
  <c r="P66" i="10"/>
  <c r="Q16" i="10"/>
  <c r="Q26" i="10"/>
  <c r="Q36" i="10"/>
  <c r="Q46" i="10"/>
  <c r="Q66" i="10"/>
  <c r="S2" i="11"/>
  <c r="Q16" i="11"/>
  <c r="Q26" i="11"/>
  <c r="Q36" i="11"/>
  <c r="Q46" i="11"/>
  <c r="Q56" i="11"/>
  <c r="P26" i="11"/>
  <c r="P36" i="11"/>
  <c r="P46" i="11"/>
  <c r="S2" i="12"/>
  <c r="AG11" i="12"/>
  <c r="AG12" i="12"/>
  <c r="AG13" i="12"/>
  <c r="AG14" i="12"/>
  <c r="AG15" i="12"/>
  <c r="AG21" i="12"/>
  <c r="AG22" i="12"/>
  <c r="AG23" i="12"/>
  <c r="AG24" i="12"/>
  <c r="AG25" i="12"/>
  <c r="AG31" i="12"/>
  <c r="AG32" i="12"/>
  <c r="AG33" i="12"/>
  <c r="AG34" i="12"/>
  <c r="AG35" i="12"/>
  <c r="AG41" i="12"/>
  <c r="AG42" i="12"/>
  <c r="AG43" i="12"/>
  <c r="AG44" i="12"/>
  <c r="AG45" i="12"/>
  <c r="AG51" i="12"/>
  <c r="AG52" i="12"/>
  <c r="AG53" i="12"/>
  <c r="AG54" i="12"/>
  <c r="AG55" i="12"/>
  <c r="AF11" i="12"/>
  <c r="AF12" i="12"/>
  <c r="AF13" i="12"/>
  <c r="AF14" i="12"/>
  <c r="AF15" i="12"/>
  <c r="AF21" i="12"/>
  <c r="AF22" i="12"/>
  <c r="AF23" i="12"/>
  <c r="AF24" i="12"/>
  <c r="AF25" i="12"/>
  <c r="AF31" i="12"/>
  <c r="AF32" i="12"/>
  <c r="AF33" i="12"/>
  <c r="AF34" i="12"/>
  <c r="AF35" i="12"/>
  <c r="AF41" i="12"/>
  <c r="AF42" i="12"/>
  <c r="AF43" i="12"/>
  <c r="AF44" i="12"/>
  <c r="AF45" i="12"/>
  <c r="AF51" i="12"/>
  <c r="AF52" i="12"/>
  <c r="AF53" i="12"/>
  <c r="AF54" i="12"/>
  <c r="AF55" i="12"/>
  <c r="AE11" i="12"/>
  <c r="AE12" i="12"/>
  <c r="AE13" i="12"/>
  <c r="AE14" i="12"/>
  <c r="AE15" i="12"/>
  <c r="AE21" i="12"/>
  <c r="AE22" i="12"/>
  <c r="AE23" i="12"/>
  <c r="AE24" i="12"/>
  <c r="AE25" i="12"/>
  <c r="AE31" i="12"/>
  <c r="AE32" i="12"/>
  <c r="AE33" i="12"/>
  <c r="AE34" i="12"/>
  <c r="AE35" i="12"/>
  <c r="AE41" i="12"/>
  <c r="AE42" i="12"/>
  <c r="AE43" i="12"/>
  <c r="AE44" i="12"/>
  <c r="AE45" i="12"/>
  <c r="AE51" i="12"/>
  <c r="AE52" i="12"/>
  <c r="AE53" i="12"/>
  <c r="AE54" i="12"/>
  <c r="AE55" i="12"/>
  <c r="L15" i="18"/>
  <c r="L14" i="18"/>
  <c r="L13" i="18"/>
  <c r="L12" i="18"/>
  <c r="L14" i="19"/>
  <c r="L13" i="19"/>
  <c r="L12" i="19"/>
  <c r="L15" i="13"/>
  <c r="L14" i="13"/>
  <c r="L13" i="13"/>
  <c r="L12" i="13"/>
  <c r="L15" i="14"/>
  <c r="L14" i="14"/>
  <c r="L13" i="14"/>
  <c r="L12" i="14"/>
  <c r="L15" i="17"/>
  <c r="L14" i="17"/>
  <c r="L13" i="17"/>
  <c r="L12" i="17"/>
  <c r="L15" i="8"/>
  <c r="L14" i="8"/>
  <c r="L13" i="8"/>
  <c r="L12" i="8"/>
  <c r="L15" i="10"/>
  <c r="L14" i="10"/>
  <c r="L13" i="10"/>
  <c r="L12" i="10"/>
  <c r="L15" i="11"/>
  <c r="L14" i="11"/>
  <c r="L13" i="11"/>
  <c r="L12" i="11"/>
  <c r="K11" i="12"/>
  <c r="F130" i="25"/>
  <c r="F104" i="25"/>
  <c r="F78" i="25"/>
  <c r="H65" i="18"/>
  <c r="I65" i="18"/>
  <c r="J65" i="18"/>
  <c r="L65" i="18"/>
  <c r="H64" i="18"/>
  <c r="I64" i="18"/>
  <c r="J64" i="18"/>
  <c r="L64" i="18"/>
  <c r="H63" i="18"/>
  <c r="I63" i="18"/>
  <c r="J63" i="18"/>
  <c r="L63" i="18"/>
  <c r="H62" i="18"/>
  <c r="I62" i="18"/>
  <c r="J62" i="18"/>
  <c r="L62" i="18"/>
  <c r="H15" i="13"/>
  <c r="I15" i="13"/>
  <c r="J15" i="13"/>
  <c r="H14" i="13"/>
  <c r="I14" i="13"/>
  <c r="J14" i="13"/>
  <c r="H13" i="13"/>
  <c r="I13" i="13"/>
  <c r="J13" i="13"/>
  <c r="H12" i="13"/>
  <c r="I12" i="13"/>
  <c r="J12" i="13"/>
  <c r="H15" i="18"/>
  <c r="I15" i="18"/>
  <c r="J15" i="18"/>
  <c r="H14" i="18"/>
  <c r="I14" i="18"/>
  <c r="J14" i="18"/>
  <c r="H13" i="18"/>
  <c r="I13" i="18"/>
  <c r="J13" i="18"/>
  <c r="H12" i="18"/>
  <c r="I12" i="18"/>
  <c r="J12" i="18"/>
  <c r="H15" i="19"/>
  <c r="I15" i="19"/>
  <c r="J15" i="19"/>
  <c r="L15" i="19"/>
  <c r="H14" i="19"/>
  <c r="I14" i="19"/>
  <c r="J14" i="19"/>
  <c r="H13" i="19"/>
  <c r="I13" i="19"/>
  <c r="J13" i="19"/>
  <c r="H12" i="19"/>
  <c r="I12" i="19"/>
  <c r="J12" i="19"/>
  <c r="H15" i="14"/>
  <c r="I15" i="14"/>
  <c r="J15" i="14"/>
  <c r="H14" i="14"/>
  <c r="I14" i="14"/>
  <c r="J14" i="14"/>
  <c r="H13" i="14"/>
  <c r="I13" i="14"/>
  <c r="J13" i="14"/>
  <c r="H12" i="14"/>
  <c r="I12" i="14"/>
  <c r="J12" i="14"/>
  <c r="H15" i="17"/>
  <c r="I15" i="17"/>
  <c r="J15" i="17"/>
  <c r="H14" i="17"/>
  <c r="I14" i="17"/>
  <c r="J14" i="17"/>
  <c r="H13" i="17"/>
  <c r="I13" i="17"/>
  <c r="J13" i="17"/>
  <c r="H12" i="17"/>
  <c r="I12" i="17"/>
  <c r="J12" i="17"/>
  <c r="H15" i="8"/>
  <c r="I15" i="8"/>
  <c r="J15" i="8"/>
  <c r="H14" i="8"/>
  <c r="I14" i="8"/>
  <c r="J14" i="8"/>
  <c r="H13" i="8"/>
  <c r="I13" i="8"/>
  <c r="J13" i="8"/>
  <c r="H12" i="8"/>
  <c r="I12" i="8"/>
  <c r="J12" i="8"/>
  <c r="H15" i="10"/>
  <c r="I15" i="10"/>
  <c r="J15" i="10"/>
  <c r="H14" i="10"/>
  <c r="I14" i="10"/>
  <c r="J14" i="10"/>
  <c r="H13" i="10"/>
  <c r="I13" i="10"/>
  <c r="J13" i="10"/>
  <c r="H12" i="10"/>
  <c r="I12" i="10"/>
  <c r="J12" i="10"/>
  <c r="H15" i="11"/>
  <c r="I15" i="11"/>
  <c r="J15" i="11"/>
  <c r="H14" i="11"/>
  <c r="I14" i="11"/>
  <c r="J14" i="11"/>
  <c r="H13" i="11"/>
  <c r="I13" i="11"/>
  <c r="J13" i="11"/>
  <c r="H12" i="11"/>
  <c r="I12" i="11"/>
  <c r="J12" i="11"/>
  <c r="H55" i="18"/>
  <c r="I55" i="18"/>
  <c r="J55" i="18"/>
  <c r="L55" i="18"/>
  <c r="H54" i="18"/>
  <c r="I54" i="18"/>
  <c r="J54" i="18"/>
  <c r="L54" i="18"/>
  <c r="H53" i="18"/>
  <c r="I53" i="18"/>
  <c r="J53" i="18"/>
  <c r="L53" i="18"/>
  <c r="H52" i="18"/>
  <c r="I52" i="18"/>
  <c r="J52" i="18"/>
  <c r="L52" i="18"/>
  <c r="H55" i="14"/>
  <c r="I55" i="14"/>
  <c r="J55" i="14"/>
  <c r="L55" i="14"/>
  <c r="H54" i="14"/>
  <c r="I54" i="14"/>
  <c r="J54" i="14"/>
  <c r="L54" i="14"/>
  <c r="H53" i="14"/>
  <c r="I53" i="14"/>
  <c r="J53" i="14"/>
  <c r="L53" i="14"/>
  <c r="H52" i="14"/>
  <c r="I52" i="14"/>
  <c r="J52" i="14"/>
  <c r="L52" i="14"/>
  <c r="H55" i="17"/>
  <c r="I55" i="17"/>
  <c r="J55" i="17"/>
  <c r="L55" i="17"/>
  <c r="H54" i="17"/>
  <c r="I54" i="17"/>
  <c r="J54" i="17"/>
  <c r="L54" i="17"/>
  <c r="H53" i="17"/>
  <c r="I53" i="17"/>
  <c r="J53" i="17"/>
  <c r="L53" i="17"/>
  <c r="H52" i="17"/>
  <c r="I52" i="17"/>
  <c r="J52" i="17"/>
  <c r="L52" i="17"/>
  <c r="H45" i="18"/>
  <c r="I45" i="18"/>
  <c r="J45" i="18"/>
  <c r="L45" i="18"/>
  <c r="H44" i="18"/>
  <c r="I44" i="18"/>
  <c r="J44" i="18"/>
  <c r="L44" i="18"/>
  <c r="H43" i="18"/>
  <c r="I43" i="18"/>
  <c r="J43" i="18"/>
  <c r="L43" i="18"/>
  <c r="H42" i="18"/>
  <c r="I42" i="18"/>
  <c r="J42" i="18"/>
  <c r="L42" i="18"/>
  <c r="H45" i="19"/>
  <c r="I45" i="19"/>
  <c r="J45" i="19"/>
  <c r="L45" i="19"/>
  <c r="H44" i="19"/>
  <c r="I44" i="19"/>
  <c r="J44" i="19"/>
  <c r="L44" i="19"/>
  <c r="H43" i="19"/>
  <c r="I43" i="19"/>
  <c r="J43" i="19"/>
  <c r="L43" i="19"/>
  <c r="H42" i="19"/>
  <c r="I42" i="19"/>
  <c r="J42" i="19"/>
  <c r="L42" i="19"/>
  <c r="H45" i="13"/>
  <c r="I45" i="13"/>
  <c r="J45" i="13"/>
  <c r="L45" i="13"/>
  <c r="H44" i="13"/>
  <c r="I44" i="13"/>
  <c r="J44" i="13"/>
  <c r="L44" i="13"/>
  <c r="H43" i="13"/>
  <c r="I43" i="13"/>
  <c r="J43" i="13"/>
  <c r="L43" i="13"/>
  <c r="H42" i="13"/>
  <c r="I42" i="13"/>
  <c r="J42" i="13"/>
  <c r="L42" i="13"/>
  <c r="H45" i="14"/>
  <c r="I45" i="14"/>
  <c r="J45" i="14"/>
  <c r="L45" i="14"/>
  <c r="H44" i="14"/>
  <c r="I44" i="14"/>
  <c r="J44" i="14"/>
  <c r="L44" i="14"/>
  <c r="H43" i="14"/>
  <c r="I43" i="14"/>
  <c r="J43" i="14"/>
  <c r="L43" i="14"/>
  <c r="H42" i="14"/>
  <c r="I42" i="14"/>
  <c r="J42" i="14"/>
  <c r="L42" i="14"/>
  <c r="H45" i="15"/>
  <c r="I45" i="15"/>
  <c r="J45" i="15"/>
  <c r="L45" i="15"/>
  <c r="H44" i="15"/>
  <c r="I44" i="15"/>
  <c r="J44" i="15"/>
  <c r="L44" i="15"/>
  <c r="H43" i="15"/>
  <c r="I43" i="15"/>
  <c r="J43" i="15"/>
  <c r="L43" i="15"/>
  <c r="H42" i="15"/>
  <c r="I42" i="15"/>
  <c r="J42" i="15"/>
  <c r="L42" i="15"/>
  <c r="H45" i="17"/>
  <c r="I45" i="17"/>
  <c r="J45" i="17"/>
  <c r="L45" i="17"/>
  <c r="H44" i="17"/>
  <c r="I44" i="17"/>
  <c r="J44" i="17"/>
  <c r="L44" i="17"/>
  <c r="H43" i="17"/>
  <c r="I43" i="17"/>
  <c r="J43" i="17"/>
  <c r="L43" i="17"/>
  <c r="H42" i="17"/>
  <c r="I42" i="17"/>
  <c r="J42" i="17"/>
  <c r="L42" i="17"/>
  <c r="H45" i="8"/>
  <c r="I45" i="8"/>
  <c r="J45" i="8"/>
  <c r="L45" i="8"/>
  <c r="H44" i="8"/>
  <c r="I44" i="8"/>
  <c r="J44" i="8"/>
  <c r="L44" i="8"/>
  <c r="H43" i="8"/>
  <c r="I43" i="8"/>
  <c r="J43" i="8"/>
  <c r="L43" i="8"/>
  <c r="H42" i="8"/>
  <c r="I42" i="8"/>
  <c r="J42" i="8"/>
  <c r="L42" i="8"/>
  <c r="H45" i="10"/>
  <c r="I45" i="10"/>
  <c r="J45" i="10"/>
  <c r="L45" i="10"/>
  <c r="H44" i="10"/>
  <c r="I44" i="10"/>
  <c r="J44" i="10"/>
  <c r="L44" i="10"/>
  <c r="H43" i="10"/>
  <c r="I43" i="10"/>
  <c r="J43" i="10"/>
  <c r="L43" i="10"/>
  <c r="H42" i="10"/>
  <c r="I42" i="10"/>
  <c r="J42" i="10"/>
  <c r="L42" i="10"/>
  <c r="H45" i="11"/>
  <c r="I45" i="11"/>
  <c r="J45" i="11"/>
  <c r="L45" i="11"/>
  <c r="H44" i="11"/>
  <c r="I44" i="11"/>
  <c r="J44" i="11"/>
  <c r="L44" i="11"/>
  <c r="H43" i="11"/>
  <c r="I43" i="11"/>
  <c r="J43" i="11"/>
  <c r="L43" i="11"/>
  <c r="H42" i="11"/>
  <c r="I42" i="11"/>
  <c r="J42" i="11"/>
  <c r="L42" i="11"/>
  <c r="H35" i="18"/>
  <c r="I35" i="18"/>
  <c r="J35" i="18"/>
  <c r="L35" i="18"/>
  <c r="H34" i="18"/>
  <c r="I34" i="18"/>
  <c r="J34" i="18"/>
  <c r="L34" i="18"/>
  <c r="H33" i="18"/>
  <c r="I33" i="18"/>
  <c r="J33" i="18"/>
  <c r="L33" i="18"/>
  <c r="H32" i="18"/>
  <c r="I32" i="18"/>
  <c r="J32" i="18"/>
  <c r="L32" i="18"/>
  <c r="H35" i="19"/>
  <c r="I35" i="19"/>
  <c r="J35" i="19"/>
  <c r="L35" i="19"/>
  <c r="H34" i="19"/>
  <c r="I34" i="19"/>
  <c r="J34" i="19"/>
  <c r="L34" i="19"/>
  <c r="H33" i="19"/>
  <c r="I33" i="19"/>
  <c r="J33" i="19"/>
  <c r="L33" i="19"/>
  <c r="H32" i="19"/>
  <c r="I32" i="19"/>
  <c r="J32" i="19"/>
  <c r="L32" i="19"/>
  <c r="H35" i="13"/>
  <c r="I35" i="13"/>
  <c r="J35" i="13"/>
  <c r="L35" i="13"/>
  <c r="H34" i="13"/>
  <c r="I34" i="13"/>
  <c r="J34" i="13"/>
  <c r="L34" i="13"/>
  <c r="H33" i="13"/>
  <c r="I33" i="13"/>
  <c r="J33" i="13"/>
  <c r="L33" i="13"/>
  <c r="H32" i="13"/>
  <c r="I32" i="13"/>
  <c r="J32" i="13"/>
  <c r="L32" i="13"/>
  <c r="H35" i="14"/>
  <c r="I35" i="14"/>
  <c r="J35" i="14"/>
  <c r="L35" i="14"/>
  <c r="H34" i="14"/>
  <c r="I34" i="14"/>
  <c r="J34" i="14"/>
  <c r="L34" i="14"/>
  <c r="H33" i="14"/>
  <c r="I33" i="14"/>
  <c r="J33" i="14"/>
  <c r="L33" i="14"/>
  <c r="H32" i="14"/>
  <c r="I32" i="14"/>
  <c r="J32" i="14"/>
  <c r="L32" i="14"/>
  <c r="H35" i="15"/>
  <c r="I35" i="15"/>
  <c r="J35" i="15"/>
  <c r="L35" i="15"/>
  <c r="H34" i="15"/>
  <c r="I34" i="15"/>
  <c r="J34" i="15"/>
  <c r="L34" i="15"/>
  <c r="H33" i="15"/>
  <c r="I33" i="15"/>
  <c r="J33" i="15"/>
  <c r="L33" i="15"/>
  <c r="H32" i="15"/>
  <c r="I32" i="15"/>
  <c r="J32" i="15"/>
  <c r="L32" i="15"/>
  <c r="H45" i="16"/>
  <c r="I45" i="16"/>
  <c r="J45" i="16"/>
  <c r="L45" i="16"/>
  <c r="H44" i="16"/>
  <c r="I44" i="16"/>
  <c r="J44" i="16"/>
  <c r="L44" i="16"/>
  <c r="H43" i="16"/>
  <c r="I43" i="16"/>
  <c r="J43" i="16"/>
  <c r="L43" i="16"/>
  <c r="H42" i="16"/>
  <c r="I42" i="16"/>
  <c r="J42" i="16"/>
  <c r="L42" i="16"/>
  <c r="H35" i="17"/>
  <c r="I35" i="17"/>
  <c r="J35" i="17"/>
  <c r="L35" i="17"/>
  <c r="H34" i="17"/>
  <c r="I34" i="17"/>
  <c r="J34" i="17"/>
  <c r="L34" i="17"/>
  <c r="H33" i="17"/>
  <c r="I33" i="17"/>
  <c r="J33" i="17"/>
  <c r="L33" i="17"/>
  <c r="H32" i="17"/>
  <c r="I32" i="17"/>
  <c r="J32" i="17"/>
  <c r="L32" i="17"/>
  <c r="H35" i="8"/>
  <c r="I35" i="8"/>
  <c r="J35" i="8"/>
  <c r="L35" i="8"/>
  <c r="H34" i="8"/>
  <c r="I34" i="8"/>
  <c r="J34" i="8"/>
  <c r="L34" i="8"/>
  <c r="H33" i="8"/>
  <c r="I33" i="8"/>
  <c r="J33" i="8"/>
  <c r="L33" i="8"/>
  <c r="H32" i="8"/>
  <c r="I32" i="8"/>
  <c r="J32" i="8"/>
  <c r="L32" i="8"/>
  <c r="H45" i="9"/>
  <c r="I45" i="9"/>
  <c r="J45" i="9"/>
  <c r="L45" i="9"/>
  <c r="H44" i="9"/>
  <c r="I44" i="9"/>
  <c r="J44" i="9"/>
  <c r="L44" i="9"/>
  <c r="H43" i="9"/>
  <c r="I43" i="9"/>
  <c r="J43" i="9"/>
  <c r="L43" i="9"/>
  <c r="H42" i="9"/>
  <c r="I42" i="9"/>
  <c r="J42" i="9"/>
  <c r="L42" i="9"/>
  <c r="H35" i="10"/>
  <c r="I35" i="10"/>
  <c r="J35" i="10"/>
  <c r="L35" i="10"/>
  <c r="H34" i="10"/>
  <c r="I34" i="10"/>
  <c r="J34" i="10"/>
  <c r="L34" i="10"/>
  <c r="H33" i="10"/>
  <c r="I33" i="10"/>
  <c r="J33" i="10"/>
  <c r="L33" i="10"/>
  <c r="H32" i="10"/>
  <c r="I32" i="10"/>
  <c r="J32" i="10"/>
  <c r="L32" i="10"/>
  <c r="H35" i="11"/>
  <c r="I35" i="11"/>
  <c r="J35" i="11"/>
  <c r="L35" i="11"/>
  <c r="H34" i="11"/>
  <c r="I34" i="11"/>
  <c r="J34" i="11"/>
  <c r="L34" i="11"/>
  <c r="H33" i="11"/>
  <c r="I33" i="11"/>
  <c r="J33" i="11"/>
  <c r="L33" i="11"/>
  <c r="H32" i="11"/>
  <c r="I32" i="11"/>
  <c r="J32" i="11"/>
  <c r="L32" i="11"/>
  <c r="H25" i="18"/>
  <c r="I25" i="18"/>
  <c r="J25" i="18"/>
  <c r="L25" i="18"/>
  <c r="H24" i="18"/>
  <c r="I24" i="18"/>
  <c r="J24" i="18"/>
  <c r="L24" i="18"/>
  <c r="H23" i="18"/>
  <c r="I23" i="18"/>
  <c r="J23" i="18"/>
  <c r="L23" i="18"/>
  <c r="H22" i="18"/>
  <c r="I22" i="18"/>
  <c r="J22" i="18"/>
  <c r="L22" i="18"/>
  <c r="H25" i="19"/>
  <c r="I25" i="19"/>
  <c r="J25" i="19"/>
  <c r="L25" i="19"/>
  <c r="H24" i="19"/>
  <c r="I24" i="19"/>
  <c r="J24" i="19"/>
  <c r="L24" i="19"/>
  <c r="H23" i="19"/>
  <c r="I23" i="19"/>
  <c r="J23" i="19"/>
  <c r="L23" i="19"/>
  <c r="H22" i="19"/>
  <c r="I22" i="19"/>
  <c r="J22" i="19"/>
  <c r="L22" i="19"/>
  <c r="H25" i="13"/>
  <c r="I25" i="13"/>
  <c r="J25" i="13"/>
  <c r="L25" i="13"/>
  <c r="H24" i="13"/>
  <c r="I24" i="13"/>
  <c r="J24" i="13"/>
  <c r="L24" i="13"/>
  <c r="H23" i="13"/>
  <c r="I23" i="13"/>
  <c r="J23" i="13"/>
  <c r="L23" i="13"/>
  <c r="H22" i="13"/>
  <c r="I22" i="13"/>
  <c r="J22" i="13"/>
  <c r="L22" i="13"/>
  <c r="H25" i="14"/>
  <c r="I25" i="14"/>
  <c r="J25" i="14"/>
  <c r="L25" i="14"/>
  <c r="H24" i="14"/>
  <c r="I24" i="14"/>
  <c r="J24" i="14"/>
  <c r="L24" i="14"/>
  <c r="H23" i="14"/>
  <c r="I23" i="14"/>
  <c r="J23" i="14"/>
  <c r="L23" i="14"/>
  <c r="H22" i="14"/>
  <c r="I22" i="14"/>
  <c r="J22" i="14"/>
  <c r="L22" i="14"/>
  <c r="H25" i="15"/>
  <c r="I25" i="15"/>
  <c r="J25" i="15"/>
  <c r="L25" i="15"/>
  <c r="H24" i="15"/>
  <c r="I24" i="15"/>
  <c r="J24" i="15"/>
  <c r="L24" i="15"/>
  <c r="H23" i="15"/>
  <c r="I23" i="15"/>
  <c r="J23" i="15"/>
  <c r="L23" i="15"/>
  <c r="H22" i="15"/>
  <c r="I22" i="15"/>
  <c r="J22" i="15"/>
  <c r="L22" i="15"/>
  <c r="H35" i="16"/>
  <c r="I35" i="16"/>
  <c r="J35" i="16"/>
  <c r="L35" i="16"/>
  <c r="H34" i="16"/>
  <c r="I34" i="16"/>
  <c r="J34" i="16"/>
  <c r="L34" i="16"/>
  <c r="H33" i="16"/>
  <c r="I33" i="16"/>
  <c r="J33" i="16"/>
  <c r="L33" i="16"/>
  <c r="H32" i="16"/>
  <c r="I32" i="16"/>
  <c r="J32" i="16"/>
  <c r="L32" i="16"/>
  <c r="H25" i="17"/>
  <c r="I25" i="17"/>
  <c r="J25" i="17"/>
  <c r="L25" i="17"/>
  <c r="H24" i="17"/>
  <c r="I24" i="17"/>
  <c r="J24" i="17"/>
  <c r="L24" i="17"/>
  <c r="H23" i="17"/>
  <c r="I23" i="17"/>
  <c r="J23" i="17"/>
  <c r="L23" i="17"/>
  <c r="H22" i="17"/>
  <c r="I22" i="17"/>
  <c r="J22" i="17"/>
  <c r="L22" i="17"/>
  <c r="H25" i="8"/>
  <c r="I25" i="8"/>
  <c r="J25" i="8"/>
  <c r="L25" i="8"/>
  <c r="H24" i="8"/>
  <c r="I24" i="8"/>
  <c r="J24" i="8"/>
  <c r="L24" i="8"/>
  <c r="H23" i="8"/>
  <c r="I23" i="8"/>
  <c r="J23" i="8"/>
  <c r="L23" i="8"/>
  <c r="H22" i="8"/>
  <c r="I22" i="8"/>
  <c r="J22" i="8"/>
  <c r="L22" i="8"/>
  <c r="H35" i="9"/>
  <c r="I35" i="9"/>
  <c r="J35" i="9"/>
  <c r="L35" i="9"/>
  <c r="H34" i="9"/>
  <c r="I34" i="9"/>
  <c r="J34" i="9"/>
  <c r="L34" i="9"/>
  <c r="H33" i="9"/>
  <c r="I33" i="9"/>
  <c r="J33" i="9"/>
  <c r="L33" i="9"/>
  <c r="H32" i="9"/>
  <c r="I32" i="9"/>
  <c r="J32" i="9"/>
  <c r="L32" i="9"/>
  <c r="H25" i="10"/>
  <c r="I25" i="10"/>
  <c r="J25" i="10"/>
  <c r="L25" i="10"/>
  <c r="H24" i="10"/>
  <c r="I24" i="10"/>
  <c r="J24" i="10"/>
  <c r="L24" i="10"/>
  <c r="H23" i="10"/>
  <c r="I23" i="10"/>
  <c r="J23" i="10"/>
  <c r="L23" i="10"/>
  <c r="H22" i="10"/>
  <c r="I22" i="10"/>
  <c r="J22" i="10"/>
  <c r="L22" i="10"/>
  <c r="H25" i="11"/>
  <c r="I25" i="11"/>
  <c r="J25" i="11"/>
  <c r="L25" i="11"/>
  <c r="H24" i="11"/>
  <c r="I24" i="11"/>
  <c r="J24" i="11"/>
  <c r="L24" i="11"/>
  <c r="H23" i="11"/>
  <c r="I23" i="11"/>
  <c r="J23" i="11"/>
  <c r="L23" i="11"/>
  <c r="H22" i="11"/>
  <c r="I22" i="11"/>
  <c r="J22" i="11"/>
  <c r="L22" i="11"/>
  <c r="H45" i="12"/>
  <c r="I45" i="12"/>
  <c r="J45" i="12"/>
  <c r="L45" i="12"/>
  <c r="H44" i="12"/>
  <c r="I44" i="12"/>
  <c r="J44" i="12"/>
  <c r="L44" i="12"/>
  <c r="H43" i="12"/>
  <c r="I43" i="12"/>
  <c r="J43" i="12"/>
  <c r="L43" i="12"/>
  <c r="H42" i="12"/>
  <c r="I42" i="12"/>
  <c r="J42" i="12"/>
  <c r="L42" i="12"/>
  <c r="H35" i="12"/>
  <c r="I35" i="12"/>
  <c r="J35" i="12"/>
  <c r="L35" i="12"/>
  <c r="H34" i="12"/>
  <c r="I34" i="12"/>
  <c r="J34" i="12"/>
  <c r="L34" i="12"/>
  <c r="H33" i="12"/>
  <c r="I33" i="12"/>
  <c r="J33" i="12"/>
  <c r="L33" i="12"/>
  <c r="H32" i="12"/>
  <c r="I32" i="12"/>
  <c r="J32" i="12"/>
  <c r="L32" i="12"/>
  <c r="H31" i="12"/>
  <c r="L31" i="12"/>
  <c r="H25" i="12"/>
  <c r="I25" i="12"/>
  <c r="J25" i="12"/>
  <c r="L25" i="12"/>
  <c r="H24" i="12"/>
  <c r="I24" i="12"/>
  <c r="J24" i="12"/>
  <c r="L24" i="12"/>
  <c r="H23" i="12"/>
  <c r="I23" i="12"/>
  <c r="J23" i="12"/>
  <c r="L23" i="12"/>
  <c r="H22" i="12"/>
  <c r="L22" i="12"/>
  <c r="H21" i="12"/>
  <c r="L21" i="12"/>
  <c r="P16" i="18"/>
  <c r="P26" i="18"/>
  <c r="P36" i="18"/>
  <c r="P46" i="18"/>
  <c r="P56" i="18"/>
  <c r="P66" i="18"/>
  <c r="P76" i="18"/>
  <c r="Q16" i="18"/>
  <c r="Q26" i="18"/>
  <c r="Q36" i="18"/>
  <c r="Q46" i="18"/>
  <c r="Q56" i="18"/>
  <c r="Q66" i="18"/>
  <c r="Q76" i="18"/>
  <c r="Q16" i="14"/>
  <c r="Q26" i="14"/>
  <c r="Q36" i="14"/>
  <c r="Q46" i="14"/>
  <c r="Q56" i="14"/>
  <c r="Q66" i="14"/>
  <c r="P16" i="14"/>
  <c r="P26" i="14"/>
  <c r="P36" i="14"/>
  <c r="P46" i="14"/>
  <c r="P56" i="14"/>
  <c r="P66" i="14"/>
  <c r="Q16" i="17"/>
  <c r="Q26" i="17"/>
  <c r="Q36" i="17"/>
  <c r="Q46" i="17"/>
  <c r="Q56" i="17"/>
  <c r="Q66" i="17"/>
  <c r="P16" i="17"/>
  <c r="P26" i="17"/>
  <c r="P36" i="17"/>
  <c r="P46" i="17"/>
  <c r="P56" i="17"/>
  <c r="P66" i="17"/>
  <c r="P16" i="12"/>
  <c r="P26" i="12"/>
  <c r="P36" i="12"/>
  <c r="P46" i="12"/>
  <c r="P56" i="12"/>
  <c r="Q16" i="12"/>
  <c r="Q26" i="12"/>
  <c r="Q36" i="12"/>
  <c r="Q46" i="12"/>
  <c r="Q56" i="12"/>
  <c r="K12" i="12"/>
  <c r="K13" i="12"/>
  <c r="K14" i="12"/>
  <c r="K15" i="12"/>
  <c r="K51" i="12"/>
  <c r="K52" i="12"/>
  <c r="K53" i="12"/>
  <c r="K54" i="12"/>
  <c r="K55" i="12"/>
  <c r="H71" i="18"/>
  <c r="I71" i="18"/>
  <c r="J71" i="18"/>
  <c r="L71" i="18"/>
  <c r="H72" i="18"/>
  <c r="I72" i="18"/>
  <c r="J72" i="18"/>
  <c r="L72" i="18"/>
  <c r="H73" i="18"/>
  <c r="I73" i="18"/>
  <c r="J73" i="18"/>
  <c r="L73" i="18"/>
  <c r="H74" i="18"/>
  <c r="I74" i="18"/>
  <c r="J74" i="18"/>
  <c r="L74" i="18"/>
  <c r="H75" i="18"/>
  <c r="I75" i="18"/>
  <c r="J75" i="18"/>
  <c r="L75" i="18"/>
  <c r="H51" i="19"/>
  <c r="I51" i="19"/>
  <c r="J51" i="19"/>
  <c r="L51" i="19"/>
  <c r="H52" i="19"/>
  <c r="I52" i="19"/>
  <c r="J52" i="19"/>
  <c r="L52" i="19"/>
  <c r="H53" i="19"/>
  <c r="I53" i="19"/>
  <c r="J53" i="19"/>
  <c r="L53" i="19"/>
  <c r="H54" i="19"/>
  <c r="I54" i="19"/>
  <c r="J54" i="19"/>
  <c r="L54" i="19"/>
  <c r="H55" i="19"/>
  <c r="I55" i="19"/>
  <c r="J55" i="19"/>
  <c r="L55" i="19"/>
  <c r="H51" i="13"/>
  <c r="I51" i="13"/>
  <c r="J51" i="13"/>
  <c r="L51" i="13"/>
  <c r="H52" i="13"/>
  <c r="I52" i="13"/>
  <c r="J52" i="13"/>
  <c r="L52" i="13"/>
  <c r="H53" i="13"/>
  <c r="I53" i="13"/>
  <c r="J53" i="13"/>
  <c r="L53" i="13"/>
  <c r="H54" i="13"/>
  <c r="I54" i="13"/>
  <c r="J54" i="13"/>
  <c r="L54" i="13"/>
  <c r="H55" i="13"/>
  <c r="I55" i="13"/>
  <c r="J55" i="13"/>
  <c r="L55" i="13"/>
  <c r="H61" i="14"/>
  <c r="I61" i="14"/>
  <c r="J61" i="14"/>
  <c r="L61" i="14"/>
  <c r="H62" i="14"/>
  <c r="I62" i="14"/>
  <c r="J62" i="14"/>
  <c r="L62" i="14"/>
  <c r="H63" i="14"/>
  <c r="I63" i="14"/>
  <c r="J63" i="14"/>
  <c r="L63" i="14"/>
  <c r="H64" i="14"/>
  <c r="I64" i="14"/>
  <c r="J64" i="14"/>
  <c r="L64" i="14"/>
  <c r="H65" i="14"/>
  <c r="I65" i="14"/>
  <c r="J65" i="14"/>
  <c r="L65" i="14"/>
  <c r="H51" i="15"/>
  <c r="I51" i="15"/>
  <c r="J51" i="15"/>
  <c r="L51" i="15"/>
  <c r="H52" i="15"/>
  <c r="I52" i="15"/>
  <c r="J52" i="15"/>
  <c r="L52" i="15"/>
  <c r="H53" i="15"/>
  <c r="I53" i="15"/>
  <c r="J53" i="15"/>
  <c r="L53" i="15"/>
  <c r="H54" i="15"/>
  <c r="I54" i="15"/>
  <c r="J54" i="15"/>
  <c r="L54" i="15"/>
  <c r="H55" i="15"/>
  <c r="I55" i="15"/>
  <c r="J55" i="15"/>
  <c r="L55" i="15"/>
  <c r="H51" i="16"/>
  <c r="I51" i="16"/>
  <c r="J51" i="16"/>
  <c r="L51" i="16"/>
  <c r="H52" i="16"/>
  <c r="I52" i="16"/>
  <c r="J52" i="16"/>
  <c r="L52" i="16"/>
  <c r="H53" i="16"/>
  <c r="I53" i="16"/>
  <c r="J53" i="16"/>
  <c r="L53" i="16"/>
  <c r="H54" i="16"/>
  <c r="I54" i="16"/>
  <c r="J54" i="16"/>
  <c r="L54" i="16"/>
  <c r="H55" i="16"/>
  <c r="I55" i="16"/>
  <c r="J55" i="16"/>
  <c r="L55" i="16"/>
  <c r="H61" i="17"/>
  <c r="I61" i="17"/>
  <c r="J61" i="17"/>
  <c r="L61" i="17"/>
  <c r="H62" i="17"/>
  <c r="I62" i="17"/>
  <c r="J62" i="17"/>
  <c r="L62" i="17"/>
  <c r="H63" i="17"/>
  <c r="I63" i="17"/>
  <c r="J63" i="17"/>
  <c r="L63" i="17"/>
  <c r="H64" i="17"/>
  <c r="I64" i="17"/>
  <c r="J64" i="17"/>
  <c r="L64" i="17"/>
  <c r="H65" i="17"/>
  <c r="I65" i="17"/>
  <c r="J65" i="17"/>
  <c r="L65" i="17"/>
  <c r="H51" i="8"/>
  <c r="I51" i="8"/>
  <c r="J51" i="8"/>
  <c r="L51" i="8"/>
  <c r="H52" i="8"/>
  <c r="I52" i="8"/>
  <c r="J52" i="8"/>
  <c r="L52" i="8"/>
  <c r="H53" i="8"/>
  <c r="I53" i="8"/>
  <c r="J53" i="8"/>
  <c r="L53" i="8"/>
  <c r="H54" i="8"/>
  <c r="I54" i="8"/>
  <c r="J54" i="8"/>
  <c r="L54" i="8"/>
  <c r="H55" i="8"/>
  <c r="I55" i="8"/>
  <c r="J55" i="8"/>
  <c r="L55" i="8"/>
  <c r="H51" i="9"/>
  <c r="I51" i="9"/>
  <c r="J51" i="9"/>
  <c r="L51" i="9"/>
  <c r="H52" i="9"/>
  <c r="I52" i="9"/>
  <c r="J52" i="9"/>
  <c r="L52" i="9"/>
  <c r="H53" i="9"/>
  <c r="I53" i="9"/>
  <c r="J53" i="9"/>
  <c r="L53" i="9"/>
  <c r="H54" i="9"/>
  <c r="I54" i="9"/>
  <c r="J54" i="9"/>
  <c r="L54" i="9"/>
  <c r="H55" i="9"/>
  <c r="I55" i="9"/>
  <c r="J55" i="9"/>
  <c r="L55" i="9"/>
  <c r="H61" i="10"/>
  <c r="I61" i="10"/>
  <c r="J61" i="10"/>
  <c r="L61" i="10"/>
  <c r="H62" i="10"/>
  <c r="I62" i="10"/>
  <c r="J62" i="10"/>
  <c r="L62" i="10"/>
  <c r="H63" i="10"/>
  <c r="I63" i="10"/>
  <c r="J63" i="10"/>
  <c r="L63" i="10"/>
  <c r="H64" i="10"/>
  <c r="I64" i="10"/>
  <c r="J64" i="10"/>
  <c r="L64" i="10"/>
  <c r="H65" i="10"/>
  <c r="I65" i="10"/>
  <c r="J65" i="10"/>
  <c r="L65" i="10"/>
  <c r="H51" i="11"/>
  <c r="I51" i="11"/>
  <c r="J51" i="11"/>
  <c r="L51" i="11"/>
  <c r="H52" i="11"/>
  <c r="I52" i="11"/>
  <c r="J52" i="11"/>
  <c r="L52" i="11"/>
  <c r="H53" i="11"/>
  <c r="I53" i="11"/>
  <c r="J53" i="11"/>
  <c r="L53" i="11"/>
  <c r="H54" i="11"/>
  <c r="I54" i="11"/>
  <c r="J54" i="11"/>
  <c r="L54" i="11"/>
  <c r="H55" i="11"/>
  <c r="I55" i="11"/>
  <c r="J55" i="11"/>
  <c r="L55" i="11"/>
  <c r="Z11" i="12"/>
  <c r="Z21" i="12" s="1"/>
  <c r="Z31" i="12" s="1"/>
  <c r="Z41" i="12" s="1"/>
  <c r="Z11" i="11" s="1"/>
  <c r="Z21" i="11" s="1"/>
  <c r="Z31" i="11" s="1"/>
  <c r="Z41" i="11" s="1"/>
  <c r="Z11" i="10" s="1"/>
  <c r="Z21" i="10" s="1"/>
  <c r="Z31" i="10" s="1"/>
  <c r="Z41" i="10" s="1"/>
  <c r="Y11" i="12"/>
  <c r="Y52" i="12"/>
  <c r="Y52" i="11" s="1"/>
  <c r="Y62" i="10" s="1"/>
  <c r="Y52" i="9" s="1"/>
  <c r="Y52" i="8" s="1"/>
  <c r="Y62" i="17" s="1"/>
  <c r="Y52" i="16" s="1"/>
  <c r="Y52" i="15" s="1"/>
  <c r="Y62" i="14" s="1"/>
  <c r="Y52" i="13" s="1"/>
  <c r="Y52" i="19" s="1"/>
  <c r="Y72" i="18" s="1"/>
  <c r="Z52" i="12"/>
  <c r="Z52" i="11" s="1"/>
  <c r="Z62" i="10" s="1"/>
  <c r="Z52" i="9" s="1"/>
  <c r="Z52" i="8" s="1"/>
  <c r="Z62" i="17" s="1"/>
  <c r="Z52" i="16" s="1"/>
  <c r="Z52" i="15" s="1"/>
  <c r="Z62" i="14" s="1"/>
  <c r="Z52" i="13" s="1"/>
  <c r="Z52" i="19" s="1"/>
  <c r="Z72" i="18" s="1"/>
  <c r="Y53" i="12"/>
  <c r="Y53" i="11" s="1"/>
  <c r="Y63" i="10" s="1"/>
  <c r="Y53" i="9" s="1"/>
  <c r="Y53" i="8" s="1"/>
  <c r="Y63" i="17" s="1"/>
  <c r="Y53" i="16" s="1"/>
  <c r="Y53" i="15" s="1"/>
  <c r="Y63" i="14" s="1"/>
  <c r="Y53" i="13" s="1"/>
  <c r="Y53" i="19" s="1"/>
  <c r="Y73" i="18" s="1"/>
  <c r="Z53" i="12"/>
  <c r="Z53" i="11" s="1"/>
  <c r="Z63" i="10" s="1"/>
  <c r="Z53" i="9" s="1"/>
  <c r="Z53" i="8" s="1"/>
  <c r="Z63" i="17" s="1"/>
  <c r="Z53" i="16" s="1"/>
  <c r="Z53" i="15" s="1"/>
  <c r="Z63" i="14" s="1"/>
  <c r="Z53" i="13" s="1"/>
  <c r="Z53" i="19" s="1"/>
  <c r="Z73" i="18" s="1"/>
  <c r="Y54" i="12"/>
  <c r="Y54" i="11" s="1"/>
  <c r="Y64" i="10" s="1"/>
  <c r="Y54" i="9" s="1"/>
  <c r="Y54" i="8" s="1"/>
  <c r="Y64" i="17" s="1"/>
  <c r="Y54" i="16" s="1"/>
  <c r="Y54" i="15" s="1"/>
  <c r="Y64" i="14" s="1"/>
  <c r="Y54" i="13" s="1"/>
  <c r="Y54" i="19" s="1"/>
  <c r="Y74" i="18" s="1"/>
  <c r="Z54" i="12"/>
  <c r="Z54" i="11" s="1"/>
  <c r="Z64" i="10" s="1"/>
  <c r="Z54" i="9" s="1"/>
  <c r="Z54" i="8" s="1"/>
  <c r="Z64" i="17" s="1"/>
  <c r="Z54" i="16" s="1"/>
  <c r="Z54" i="15" s="1"/>
  <c r="Z64" i="14" s="1"/>
  <c r="Z54" i="13" s="1"/>
  <c r="Z54" i="19" s="1"/>
  <c r="Z74" i="18" s="1"/>
  <c r="Y55" i="12"/>
  <c r="Y55" i="11" s="1"/>
  <c r="Y65" i="10" s="1"/>
  <c r="Y55" i="9" s="1"/>
  <c r="Y55" i="8" s="1"/>
  <c r="Y65" i="17" s="1"/>
  <c r="Y55" i="16" s="1"/>
  <c r="Y55" i="15" s="1"/>
  <c r="Y65" i="14" s="1"/>
  <c r="Y55" i="13" s="1"/>
  <c r="Y55" i="19" s="1"/>
  <c r="Y75" i="18" s="1"/>
  <c r="Z55" i="12"/>
  <c r="Z55" i="11" s="1"/>
  <c r="Z65" i="10" s="1"/>
  <c r="Z55" i="9" s="1"/>
  <c r="Z55" i="8" s="1"/>
  <c r="Z65" i="17" s="1"/>
  <c r="Z55" i="16" s="1"/>
  <c r="Z55" i="15" s="1"/>
  <c r="Z65" i="14" s="1"/>
  <c r="Z55" i="13" s="1"/>
  <c r="Z55" i="19" s="1"/>
  <c r="Z75" i="18" s="1"/>
  <c r="Z51" i="12"/>
  <c r="Z51" i="11" s="1"/>
  <c r="Z61" i="10" s="1"/>
  <c r="Z51" i="9" s="1"/>
  <c r="Z51" i="8" s="1"/>
  <c r="Z61" i="17" s="1"/>
  <c r="Z51" i="16" s="1"/>
  <c r="Z51" i="15" s="1"/>
  <c r="Z61" i="14" s="1"/>
  <c r="Z51" i="13" s="1"/>
  <c r="Z51" i="19" s="1"/>
  <c r="Z71" i="18" s="1"/>
  <c r="Y51" i="12"/>
  <c r="Y51" i="11" s="1"/>
  <c r="Y61" i="10" s="1"/>
  <c r="Y51" i="9" s="1"/>
  <c r="Y51" i="8" s="1"/>
  <c r="Y61" i="17" s="1"/>
  <c r="Y51" i="16" s="1"/>
  <c r="Y51" i="15" s="1"/>
  <c r="Y61" i="14" s="1"/>
  <c r="Y51" i="13" s="1"/>
  <c r="Y51" i="19" s="1"/>
  <c r="Y71" i="18" s="1"/>
  <c r="Y12" i="12"/>
  <c r="Y22" i="12" s="1"/>
  <c r="Z12" i="12"/>
  <c r="Z22" i="12" s="1"/>
  <c r="Z32" i="12" s="1"/>
  <c r="Z42" i="12" s="1"/>
  <c r="Z12" i="11" s="1"/>
  <c r="Z22" i="11" s="1"/>
  <c r="Z32" i="11" s="1"/>
  <c r="Z42" i="11" s="1"/>
  <c r="Z12" i="10" s="1"/>
  <c r="Z22" i="10" s="1"/>
  <c r="Z32" i="10" s="1"/>
  <c r="Z42" i="10" s="1"/>
  <c r="Y13" i="12"/>
  <c r="Y23" i="12" s="1"/>
  <c r="Y33" i="12" s="1"/>
  <c r="Y43" i="12" s="1"/>
  <c r="Y13" i="11" s="1"/>
  <c r="Y23" i="11" s="1"/>
  <c r="Y33" i="11" s="1"/>
  <c r="Y43" i="11" s="1"/>
  <c r="Y13" i="10" s="1"/>
  <c r="Y23" i="10" s="1"/>
  <c r="Y33" i="10" s="1"/>
  <c r="Y43" i="10" s="1"/>
  <c r="Z13" i="12"/>
  <c r="Z23" i="12" s="1"/>
  <c r="Z33" i="12" s="1"/>
  <c r="Z43" i="12" s="1"/>
  <c r="Z13" i="11" s="1"/>
  <c r="Z23" i="11" s="1"/>
  <c r="Z33" i="11" s="1"/>
  <c r="Z43" i="11" s="1"/>
  <c r="Z13" i="10" s="1"/>
  <c r="Z23" i="10" s="1"/>
  <c r="Z33" i="10" s="1"/>
  <c r="Z43" i="10" s="1"/>
  <c r="Y14" i="12"/>
  <c r="Y24" i="12" s="1"/>
  <c r="Y34" i="12" s="1"/>
  <c r="Y44" i="12" s="1"/>
  <c r="Y14" i="11" s="1"/>
  <c r="Y24" i="11" s="1"/>
  <c r="Y34" i="11" s="1"/>
  <c r="Y44" i="11" s="1"/>
  <c r="Y14" i="10" s="1"/>
  <c r="Y24" i="10" s="1"/>
  <c r="Y34" i="10" s="1"/>
  <c r="Y44" i="10" s="1"/>
  <c r="Z14" i="12"/>
  <c r="Z24" i="12" s="1"/>
  <c r="Z34" i="12" s="1"/>
  <c r="Z44" i="12" s="1"/>
  <c r="Z14" i="11" s="1"/>
  <c r="Z24" i="11" s="1"/>
  <c r="Z34" i="11" s="1"/>
  <c r="Z44" i="11" s="1"/>
  <c r="Z14" i="10" s="1"/>
  <c r="Z24" i="10" s="1"/>
  <c r="Z34" i="10" s="1"/>
  <c r="Z44" i="10" s="1"/>
  <c r="Y15" i="12"/>
  <c r="Y25" i="12" s="1"/>
  <c r="Y35" i="12" s="1"/>
  <c r="Y45" i="12" s="1"/>
  <c r="Y15" i="11" s="1"/>
  <c r="Y25" i="11" s="1"/>
  <c r="Y35" i="11" s="1"/>
  <c r="Y45" i="11" s="1"/>
  <c r="Y15" i="10" s="1"/>
  <c r="Y25" i="10" s="1"/>
  <c r="Y35" i="10" s="1"/>
  <c r="Y45" i="10" s="1"/>
  <c r="Z15" i="12"/>
  <c r="Z25" i="12" s="1"/>
  <c r="Z35" i="12" s="1"/>
  <c r="Z45" i="12" s="1"/>
  <c r="Z15" i="11" s="1"/>
  <c r="Z25" i="11" s="1"/>
  <c r="Z35" i="11" s="1"/>
  <c r="Z45" i="11" s="1"/>
  <c r="Z15" i="10" s="1"/>
  <c r="Z25" i="10" s="1"/>
  <c r="Z35" i="10" s="1"/>
  <c r="Z45" i="10" s="1"/>
  <c r="I10" i="40"/>
  <c r="I9" i="40"/>
  <c r="L7" i="40"/>
  <c r="E11" i="16" l="1"/>
  <c r="E11" i="9"/>
  <c r="B11" i="9" s="1"/>
  <c r="E51" i="10"/>
  <c r="E13" i="16"/>
  <c r="E13" i="9"/>
  <c r="B13" i="9" s="1"/>
  <c r="E53" i="10"/>
  <c r="E14" i="16"/>
  <c r="E54" i="10"/>
  <c r="E14" i="9"/>
  <c r="B14" i="9" s="1"/>
  <c r="E12" i="16"/>
  <c r="F12" i="16" s="1"/>
  <c r="E52" i="10"/>
  <c r="E12" i="9"/>
  <c r="B12" i="9" s="1"/>
  <c r="E15" i="16"/>
  <c r="B15" i="16" s="1"/>
  <c r="E15" i="9"/>
  <c r="B15" i="9" s="1"/>
  <c r="E55" i="10"/>
  <c r="M12" i="16"/>
  <c r="B11" i="16"/>
  <c r="F11" i="16"/>
  <c r="M11" i="16"/>
  <c r="B60" i="24"/>
  <c r="M14" i="16"/>
  <c r="F14" i="16"/>
  <c r="B14" i="16"/>
  <c r="M13" i="16"/>
  <c r="F13" i="16"/>
  <c r="B13" i="16"/>
  <c r="E43" i="12"/>
  <c r="M43" i="12" s="1"/>
  <c r="Y34" i="9"/>
  <c r="Y44" i="9" s="1"/>
  <c r="Y24" i="8" s="1"/>
  <c r="Y34" i="8" s="1"/>
  <c r="Y44" i="8" s="1"/>
  <c r="Y14" i="17" s="1"/>
  <c r="Y24" i="17" s="1"/>
  <c r="Y34" i="17" s="1"/>
  <c r="Y44" i="17" s="1"/>
  <c r="Y54" i="17" s="1"/>
  <c r="Y34" i="16" s="1"/>
  <c r="Y44" i="16" s="1"/>
  <c r="Z31" i="9"/>
  <c r="Z41" i="9" s="1"/>
  <c r="Z21" i="8" s="1"/>
  <c r="Z31" i="8" s="1"/>
  <c r="Z41" i="8" s="1"/>
  <c r="Z11" i="17" s="1"/>
  <c r="Z21" i="17" s="1"/>
  <c r="Z31" i="17" s="1"/>
  <c r="Z41" i="17" s="1"/>
  <c r="Z51" i="17" s="1"/>
  <c r="Z31" i="16" s="1"/>
  <c r="Z41" i="16" s="1"/>
  <c r="Z35" i="9"/>
  <c r="Z45" i="9" s="1"/>
  <c r="Z25" i="8" s="1"/>
  <c r="Z35" i="8" s="1"/>
  <c r="Z45" i="8" s="1"/>
  <c r="Z15" i="17" s="1"/>
  <c r="Z25" i="17" s="1"/>
  <c r="Z35" i="17" s="1"/>
  <c r="Z45" i="17" s="1"/>
  <c r="Z55" i="17" s="1"/>
  <c r="Z35" i="16" s="1"/>
  <c r="Z45" i="16" s="1"/>
  <c r="Z33" i="9"/>
  <c r="Z43" i="9" s="1"/>
  <c r="Z23" i="8" s="1"/>
  <c r="Z33" i="8" s="1"/>
  <c r="Z43" i="8" s="1"/>
  <c r="Z13" i="17" s="1"/>
  <c r="Z23" i="17" s="1"/>
  <c r="Z33" i="17" s="1"/>
  <c r="Z43" i="17" s="1"/>
  <c r="Z53" i="17" s="1"/>
  <c r="Z33" i="16" s="1"/>
  <c r="Z43" i="16" s="1"/>
  <c r="Y35" i="9"/>
  <c r="Y45" i="9" s="1"/>
  <c r="Y25" i="8" s="1"/>
  <c r="Y35" i="8" s="1"/>
  <c r="Y45" i="8" s="1"/>
  <c r="Y15" i="17" s="1"/>
  <c r="Y25" i="17" s="1"/>
  <c r="Y35" i="17" s="1"/>
  <c r="Y45" i="17" s="1"/>
  <c r="Y55" i="17" s="1"/>
  <c r="Y35" i="16" s="1"/>
  <c r="Y45" i="16" s="1"/>
  <c r="Y33" i="9"/>
  <c r="Y43" i="9" s="1"/>
  <c r="Y23" i="8" s="1"/>
  <c r="Y33" i="8" s="1"/>
  <c r="Y43" i="8" s="1"/>
  <c r="Y13" i="17" s="1"/>
  <c r="Y23" i="17" s="1"/>
  <c r="Y33" i="17" s="1"/>
  <c r="Y43" i="17" s="1"/>
  <c r="Y53" i="17" s="1"/>
  <c r="Y33" i="16" s="1"/>
  <c r="Y43" i="16" s="1"/>
  <c r="Z34" i="9"/>
  <c r="Z44" i="9" s="1"/>
  <c r="Z24" i="8" s="1"/>
  <c r="Z34" i="8" s="1"/>
  <c r="Z44" i="8" s="1"/>
  <c r="Z14" i="17" s="1"/>
  <c r="Z24" i="17" s="1"/>
  <c r="Z34" i="17" s="1"/>
  <c r="Z44" i="17" s="1"/>
  <c r="Z54" i="17" s="1"/>
  <c r="Z34" i="16" s="1"/>
  <c r="Z44" i="16" s="1"/>
  <c r="Z32" i="9"/>
  <c r="Z42" i="9" s="1"/>
  <c r="Z22" i="8" s="1"/>
  <c r="Z32" i="8" s="1"/>
  <c r="Z42" i="8" s="1"/>
  <c r="Z12" i="17" s="1"/>
  <c r="Z22" i="17" s="1"/>
  <c r="Z32" i="17" s="1"/>
  <c r="Z42" i="17" s="1"/>
  <c r="Z52" i="17" s="1"/>
  <c r="Z32" i="16" s="1"/>
  <c r="Z42" i="16" s="1"/>
  <c r="K19" i="12"/>
  <c r="M19" i="12" s="1"/>
  <c r="K29" i="12" s="1"/>
  <c r="M29" i="12" s="1"/>
  <c r="K39" i="12" s="1"/>
  <c r="M39" i="12" s="1"/>
  <c r="K9" i="11" s="1"/>
  <c r="M9" i="11" s="1"/>
  <c r="K19" i="11" s="1"/>
  <c r="M19" i="11" s="1"/>
  <c r="K29" i="11" s="1"/>
  <c r="M29" i="11" s="1"/>
  <c r="K39" i="11" s="1"/>
  <c r="M39" i="11" s="1"/>
  <c r="K9" i="10" s="1"/>
  <c r="M9" i="10" s="1"/>
  <c r="K19" i="10" s="1"/>
  <c r="M19" i="10" s="1"/>
  <c r="K29" i="10" s="1"/>
  <c r="M29" i="10" s="1"/>
  <c r="K39" i="10" s="1"/>
  <c r="M39" i="10" s="1"/>
  <c r="K49" i="10" s="1"/>
  <c r="M49" i="10" s="1"/>
  <c r="K25" i="12"/>
  <c r="I3" i="40"/>
  <c r="K63" i="10"/>
  <c r="K13" i="19"/>
  <c r="K33" i="15"/>
  <c r="K53" i="15"/>
  <c r="K51" i="19"/>
  <c r="K74" i="18"/>
  <c r="K72" i="18"/>
  <c r="P1" i="11"/>
  <c r="H5" i="39" s="1"/>
  <c r="I24" i="40"/>
  <c r="I39" i="40" s="1"/>
  <c r="I53" i="40" s="1"/>
  <c r="I68" i="40" s="1"/>
  <c r="I23" i="40"/>
  <c r="I38" i="40" s="1"/>
  <c r="I52" i="40" s="1"/>
  <c r="I67" i="40" s="1"/>
  <c r="K15" i="19"/>
  <c r="AD58" i="16"/>
  <c r="K23" i="15"/>
  <c r="K43" i="9"/>
  <c r="K45" i="16"/>
  <c r="K61" i="10"/>
  <c r="K54" i="9"/>
  <c r="K64" i="18"/>
  <c r="Q1" i="15"/>
  <c r="K51" i="8"/>
  <c r="K53" i="16"/>
  <c r="K52" i="15"/>
  <c r="K65" i="14"/>
  <c r="K64" i="14"/>
  <c r="K23" i="11"/>
  <c r="K25" i="17"/>
  <c r="K35" i="16"/>
  <c r="K25" i="15"/>
  <c r="K23" i="13"/>
  <c r="K53" i="14"/>
  <c r="K14" i="11"/>
  <c r="K14" i="14"/>
  <c r="K13" i="18"/>
  <c r="K15" i="18"/>
  <c r="K52" i="9"/>
  <c r="K54" i="8"/>
  <c r="K52" i="8"/>
  <c r="K64" i="17"/>
  <c r="K62" i="17"/>
  <c r="K61" i="14"/>
  <c r="K45" i="12"/>
  <c r="K25" i="11"/>
  <c r="K23" i="10"/>
  <c r="K33" i="9"/>
  <c r="K35" i="9"/>
  <c r="K23" i="8"/>
  <c r="K24" i="8"/>
  <c r="K23" i="18"/>
  <c r="K24" i="18"/>
  <c r="K34" i="10"/>
  <c r="K45" i="9"/>
  <c r="K33" i="8"/>
  <c r="K35" i="8"/>
  <c r="K33" i="17"/>
  <c r="K35" i="17"/>
  <c r="K33" i="14"/>
  <c r="K34" i="19"/>
  <c r="K43" i="10"/>
  <c r="K44" i="17"/>
  <c r="K43" i="15"/>
  <c r="K43" i="13"/>
  <c r="K45" i="13"/>
  <c r="K43" i="19"/>
  <c r="K43" i="18"/>
  <c r="K51" i="11"/>
  <c r="K55" i="9"/>
  <c r="K51" i="9"/>
  <c r="K61" i="17"/>
  <c r="K54" i="13"/>
  <c r="K52" i="19"/>
  <c r="K75" i="18"/>
  <c r="K73" i="18"/>
  <c r="K34" i="12"/>
  <c r="K34" i="9"/>
  <c r="K24" i="17"/>
  <c r="K33" i="16"/>
  <c r="K24" i="13"/>
  <c r="K25" i="18"/>
  <c r="K33" i="11"/>
  <c r="K35" i="11"/>
  <c r="K34" i="8"/>
  <c r="K35" i="14"/>
  <c r="K33" i="13"/>
  <c r="K35" i="13"/>
  <c r="K35" i="19"/>
  <c r="K33" i="18"/>
  <c r="K35" i="18"/>
  <c r="K43" i="11"/>
  <c r="K45" i="11"/>
  <c r="K44" i="15"/>
  <c r="K43" i="14"/>
  <c r="K44" i="13"/>
  <c r="K44" i="18"/>
  <c r="K53" i="18"/>
  <c r="K15" i="11"/>
  <c r="K13" i="10"/>
  <c r="K15" i="10"/>
  <c r="K13" i="8"/>
  <c r="K15" i="8"/>
  <c r="K13" i="13"/>
  <c r="K15" i="13"/>
  <c r="P1" i="15"/>
  <c r="H11" i="39" s="1"/>
  <c r="B76" i="25"/>
  <c r="B128" i="25"/>
  <c r="AF58" i="12"/>
  <c r="AF60" i="12" s="1"/>
  <c r="B50" i="25"/>
  <c r="E53" i="14"/>
  <c r="M53" i="14" s="1"/>
  <c r="E33" i="19"/>
  <c r="B33" i="19" s="1"/>
  <c r="E23" i="15"/>
  <c r="E33" i="16"/>
  <c r="M33" i="16" s="1"/>
  <c r="E13" i="10"/>
  <c r="E33" i="18"/>
  <c r="F33" i="18" s="1"/>
  <c r="E13" i="19"/>
  <c r="E23" i="19"/>
  <c r="E33" i="15"/>
  <c r="E33" i="11"/>
  <c r="E43" i="19"/>
  <c r="E53" i="19"/>
  <c r="E53" i="17"/>
  <c r="E13" i="14"/>
  <c r="E33" i="8"/>
  <c r="E13" i="17"/>
  <c r="E23" i="18"/>
  <c r="E23" i="14"/>
  <c r="E33" i="9"/>
  <c r="E55" i="13"/>
  <c r="E45" i="17"/>
  <c r="E55" i="8"/>
  <c r="K42" i="18"/>
  <c r="K22" i="17"/>
  <c r="K22" i="12"/>
  <c r="K42" i="16"/>
  <c r="Y21" i="12"/>
  <c r="Y32" i="12"/>
  <c r="K22" i="18"/>
  <c r="K52" i="17"/>
  <c r="K12" i="11"/>
  <c r="K12" i="8"/>
  <c r="K12" i="19"/>
  <c r="K32" i="12"/>
  <c r="K22" i="10"/>
  <c r="K42" i="8"/>
  <c r="K32" i="8"/>
  <c r="K62" i="18"/>
  <c r="K52" i="18"/>
  <c r="K12" i="17"/>
  <c r="K12" i="14"/>
  <c r="E22" i="15"/>
  <c r="E15" i="15"/>
  <c r="M15" i="15" s="1"/>
  <c r="E45" i="13"/>
  <c r="E35" i="15"/>
  <c r="E55" i="9"/>
  <c r="E55" i="15"/>
  <c r="E25" i="9"/>
  <c r="M25" i="9" s="1"/>
  <c r="E35" i="11"/>
  <c r="E15" i="19"/>
  <c r="E15" i="14"/>
  <c r="E55" i="16"/>
  <c r="E35" i="9"/>
  <c r="E25" i="19"/>
  <c r="E25" i="17"/>
  <c r="E65" i="10"/>
  <c r="E45" i="18"/>
  <c r="E45" i="19"/>
  <c r="E45" i="14"/>
  <c r="E15" i="8"/>
  <c r="E55" i="11"/>
  <c r="E65" i="18"/>
  <c r="E45" i="16"/>
  <c r="E24" i="10"/>
  <c r="E15" i="13"/>
  <c r="E65" i="14"/>
  <c r="E35" i="8"/>
  <c r="E25" i="10"/>
  <c r="E64" i="18"/>
  <c r="E54" i="15"/>
  <c r="E24" i="13"/>
  <c r="E44" i="16"/>
  <c r="E44" i="9"/>
  <c r="E54" i="8"/>
  <c r="E24" i="17"/>
  <c r="E44" i="19"/>
  <c r="E64" i="17"/>
  <c r="E34" i="14"/>
  <c r="E34" i="13"/>
  <c r="E14" i="12"/>
  <c r="E34" i="10"/>
  <c r="E44" i="8"/>
  <c r="E74" i="18"/>
  <c r="E14" i="11"/>
  <c r="E64" i="10"/>
  <c r="E44" i="11"/>
  <c r="E34" i="17"/>
  <c r="E44" i="15"/>
  <c r="E54" i="18"/>
  <c r="E14" i="19"/>
  <c r="E14" i="8"/>
  <c r="E54" i="11"/>
  <c r="E55" i="18"/>
  <c r="E55" i="19"/>
  <c r="E55" i="14"/>
  <c r="E45" i="15"/>
  <c r="E35" i="17"/>
  <c r="E25" i="8"/>
  <c r="E15" i="10"/>
  <c r="E45" i="11"/>
  <c r="E25" i="18"/>
  <c r="E35" i="19"/>
  <c r="E25" i="13"/>
  <c r="E25" i="14"/>
  <c r="E25" i="16"/>
  <c r="M25" i="16" s="1"/>
  <c r="E55" i="17"/>
  <c r="E45" i="9"/>
  <c r="E15" i="11"/>
  <c r="E75" i="18"/>
  <c r="E25" i="15"/>
  <c r="E15" i="17"/>
  <c r="E45" i="8"/>
  <c r="E35" i="10"/>
  <c r="E25" i="11"/>
  <c r="E35" i="18"/>
  <c r="E35" i="13"/>
  <c r="E35" i="14"/>
  <c r="E35" i="16"/>
  <c r="E65" i="17"/>
  <c r="E45" i="10"/>
  <c r="E32" i="8"/>
  <c r="E32" i="18"/>
  <c r="E42" i="19"/>
  <c r="E22" i="14"/>
  <c r="E42" i="15"/>
  <c r="E22" i="17"/>
  <c r="E52" i="8"/>
  <c r="E32" i="10"/>
  <c r="E52" i="11"/>
  <c r="E22" i="12"/>
  <c r="E42" i="18"/>
  <c r="E52" i="19"/>
  <c r="E32" i="14"/>
  <c r="E52" i="15"/>
  <c r="E32" i="17"/>
  <c r="E22" i="9"/>
  <c r="M22" i="9" s="1"/>
  <c r="E42" i="10"/>
  <c r="E32" i="12"/>
  <c r="E12" i="12"/>
  <c r="E72" i="18"/>
  <c r="E32" i="13"/>
  <c r="E62" i="14"/>
  <c r="E42" i="16"/>
  <c r="E12" i="8"/>
  <c r="E12" i="11"/>
  <c r="E62" i="17"/>
  <c r="E12" i="19"/>
  <c r="E42" i="13"/>
  <c r="E12" i="15"/>
  <c r="M12" i="15" s="1"/>
  <c r="E22" i="8"/>
  <c r="E52" i="9"/>
  <c r="E22" i="11"/>
  <c r="E32" i="19"/>
  <c r="E32" i="15"/>
  <c r="E42" i="8"/>
  <c r="E42" i="11"/>
  <c r="E12" i="13"/>
  <c r="E22" i="16"/>
  <c r="M22" i="16" s="1"/>
  <c r="E32" i="9"/>
  <c r="E42" i="12"/>
  <c r="E22" i="13"/>
  <c r="E32" i="16"/>
  <c r="E42" i="9"/>
  <c r="E52" i="12"/>
  <c r="E12" i="18"/>
  <c r="E52" i="13"/>
  <c r="E52" i="16"/>
  <c r="E12" i="10"/>
  <c r="E22" i="18"/>
  <c r="E12" i="14"/>
  <c r="E12" i="17"/>
  <c r="E22" i="10"/>
  <c r="E52" i="18"/>
  <c r="E42" i="14"/>
  <c r="E42" i="17"/>
  <c r="E62" i="18"/>
  <c r="E52" i="14"/>
  <c r="E52" i="17"/>
  <c r="E62" i="10"/>
  <c r="E22" i="19"/>
  <c r="E13" i="18"/>
  <c r="E53" i="12"/>
  <c r="E13" i="11"/>
  <c r="E13" i="8"/>
  <c r="E13" i="15"/>
  <c r="M13" i="15" s="1"/>
  <c r="E43" i="13"/>
  <c r="E13" i="12"/>
  <c r="E43" i="10"/>
  <c r="E23" i="9"/>
  <c r="M23" i="9" s="1"/>
  <c r="E43" i="17"/>
  <c r="E23" i="16"/>
  <c r="M23" i="16" s="1"/>
  <c r="E43" i="14"/>
  <c r="E13" i="13"/>
  <c r="E53" i="11"/>
  <c r="E33" i="10"/>
  <c r="E53" i="8"/>
  <c r="E33" i="17"/>
  <c r="E53" i="15"/>
  <c r="E33" i="14"/>
  <c r="E33" i="12"/>
  <c r="E23" i="11"/>
  <c r="E53" i="9"/>
  <c r="E23" i="8"/>
  <c r="E53" i="16"/>
  <c r="E53" i="13"/>
  <c r="E23" i="13"/>
  <c r="E53" i="18"/>
  <c r="E23" i="12"/>
  <c r="E43" i="11"/>
  <c r="E63" i="10"/>
  <c r="E23" i="10"/>
  <c r="E43" i="9"/>
  <c r="E43" i="8"/>
  <c r="E63" i="17"/>
  <c r="E23" i="17"/>
  <c r="E43" i="16"/>
  <c r="E43" i="15"/>
  <c r="E73" i="18"/>
  <c r="E63" i="14"/>
  <c r="E43" i="18"/>
  <c r="E33" i="13"/>
  <c r="E63" i="18"/>
  <c r="E44" i="10"/>
  <c r="E24" i="9"/>
  <c r="M24" i="9" s="1"/>
  <c r="E44" i="17"/>
  <c r="E24" i="16"/>
  <c r="M24" i="16" s="1"/>
  <c r="E44" i="14"/>
  <c r="E14" i="13"/>
  <c r="E34" i="11"/>
  <c r="E14" i="10"/>
  <c r="E34" i="8"/>
  <c r="E14" i="17"/>
  <c r="E34" i="15"/>
  <c r="E14" i="14"/>
  <c r="E34" i="19"/>
  <c r="E24" i="12"/>
  <c r="E24" i="11"/>
  <c r="E54" i="9"/>
  <c r="E24" i="8"/>
  <c r="E54" i="16"/>
  <c r="E24" i="15"/>
  <c r="E54" i="13"/>
  <c r="E34" i="9"/>
  <c r="E54" i="17"/>
  <c r="E34" i="16"/>
  <c r="E14" i="15"/>
  <c r="M14" i="15" s="1"/>
  <c r="E24" i="18"/>
  <c r="E64" i="14"/>
  <c r="E44" i="13"/>
  <c r="E44" i="18"/>
  <c r="E34" i="12"/>
  <c r="E24" i="14"/>
  <c r="E54" i="19"/>
  <c r="E24" i="19"/>
  <c r="E54" i="14"/>
  <c r="E34" i="18"/>
  <c r="E32" i="11"/>
  <c r="K31" i="8"/>
  <c r="K51" i="14"/>
  <c r="K31" i="14"/>
  <c r="K11" i="10"/>
  <c r="K31" i="19"/>
  <c r="K21" i="10"/>
  <c r="K41" i="13"/>
  <c r="K11" i="11"/>
  <c r="K41" i="11"/>
  <c r="K21" i="11"/>
  <c r="K31" i="10"/>
  <c r="K21" i="19"/>
  <c r="K41" i="18"/>
  <c r="K21" i="8"/>
  <c r="K31" i="17"/>
  <c r="K41" i="16"/>
  <c r="K31" i="15"/>
  <c r="K41" i="14"/>
  <c r="K31" i="12"/>
  <c r="K31" i="11"/>
  <c r="K11" i="18"/>
  <c r="AF65" i="12"/>
  <c r="AF62" i="12"/>
  <c r="AF67" i="12" s="1"/>
  <c r="K55" i="17"/>
  <c r="K35" i="12"/>
  <c r="K43" i="16"/>
  <c r="K53" i="17"/>
  <c r="K33" i="12"/>
  <c r="K32" i="19"/>
  <c r="K42" i="17"/>
  <c r="K55" i="16"/>
  <c r="P1" i="18"/>
  <c r="H15" i="39" s="1"/>
  <c r="K43" i="12"/>
  <c r="K22" i="13"/>
  <c r="K54" i="11"/>
  <c r="K52" i="11"/>
  <c r="K65" i="10"/>
  <c r="K32" i="9"/>
  <c r="K45" i="18"/>
  <c r="AD68" i="17"/>
  <c r="Q1" i="18"/>
  <c r="K25" i="8"/>
  <c r="K32" i="10"/>
  <c r="K42" i="9"/>
  <c r="K62" i="10"/>
  <c r="K63" i="14"/>
  <c r="K35" i="15"/>
  <c r="K55" i="19"/>
  <c r="K53" i="19"/>
  <c r="K23" i="19"/>
  <c r="K25" i="19"/>
  <c r="K23" i="12"/>
  <c r="K22" i="11"/>
  <c r="K24" i="11"/>
  <c r="K23" i="17"/>
  <c r="K22" i="19"/>
  <c r="K32" i="14"/>
  <c r="K34" i="14"/>
  <c r="K43" i="8"/>
  <c r="K54" i="18"/>
  <c r="K13" i="17"/>
  <c r="K63" i="18"/>
  <c r="K55" i="11"/>
  <c r="K55" i="8"/>
  <c r="K53" i="8"/>
  <c r="K51" i="15"/>
  <c r="K25" i="10"/>
  <c r="K22" i="15"/>
  <c r="K32" i="17"/>
  <c r="K42" i="15"/>
  <c r="K42" i="13"/>
  <c r="K42" i="19"/>
  <c r="K55" i="13"/>
  <c r="K53" i="13"/>
  <c r="P1" i="12"/>
  <c r="H4" i="39" s="1"/>
  <c r="Q1" i="14"/>
  <c r="K24" i="15"/>
  <c r="P1" i="8"/>
  <c r="H8" i="39" s="1"/>
  <c r="Q1" i="13"/>
  <c r="AD58" i="12"/>
  <c r="AE58" i="11"/>
  <c r="AE60" i="11" s="1"/>
  <c r="AE62" i="11" s="1"/>
  <c r="K51" i="16"/>
  <c r="K54" i="15"/>
  <c r="K33" i="10"/>
  <c r="K42" i="11"/>
  <c r="K44" i="11"/>
  <c r="K43" i="17"/>
  <c r="K45" i="17"/>
  <c r="K55" i="18"/>
  <c r="AE68" i="10"/>
  <c r="AE70" i="10" s="1"/>
  <c r="AE72" i="10" s="1"/>
  <c r="K53" i="11"/>
  <c r="K54" i="16"/>
  <c r="Q1" i="12"/>
  <c r="K44" i="12"/>
  <c r="K23" i="14"/>
  <c r="K25" i="14"/>
  <c r="K32" i="11"/>
  <c r="K32" i="15"/>
  <c r="K33" i="19"/>
  <c r="K45" i="14"/>
  <c r="K14" i="8"/>
  <c r="K15" i="17"/>
  <c r="K15" i="14"/>
  <c r="AF68" i="14"/>
  <c r="AF70" i="14" s="1"/>
  <c r="AF72" i="14" s="1"/>
  <c r="K35" i="10"/>
  <c r="K44" i="16"/>
  <c r="K32" i="18"/>
  <c r="K45" i="10"/>
  <c r="K55" i="14"/>
  <c r="K13" i="11"/>
  <c r="K14" i="10"/>
  <c r="K14" i="19"/>
  <c r="K12" i="18"/>
  <c r="Q1" i="19"/>
  <c r="AG68" i="14"/>
  <c r="AG70" i="14" s="1"/>
  <c r="AG72" i="14" s="1"/>
  <c r="K45" i="8"/>
  <c r="K42" i="14"/>
  <c r="K45" i="19"/>
  <c r="K54" i="17"/>
  <c r="K12" i="10"/>
  <c r="K14" i="17"/>
  <c r="K21" i="12"/>
  <c r="AD78" i="18"/>
  <c r="AF78" i="18"/>
  <c r="AF80" i="18" s="1"/>
  <c r="AF82" i="18" s="1"/>
  <c r="K31" i="9"/>
  <c r="K31" i="16"/>
  <c r="K21" i="15"/>
  <c r="AD58" i="19"/>
  <c r="K21" i="18"/>
  <c r="E14" i="18"/>
  <c r="E54" i="12"/>
  <c r="K11" i="17"/>
  <c r="E44" i="12"/>
  <c r="K41" i="9"/>
  <c r="K41" i="8"/>
  <c r="K21" i="14"/>
  <c r="K21" i="13"/>
  <c r="K41" i="19"/>
  <c r="K61" i="18"/>
  <c r="K11" i="14"/>
  <c r="K31" i="13"/>
  <c r="K41" i="10"/>
  <c r="K51" i="18"/>
  <c r="K31" i="18"/>
  <c r="AD58" i="9"/>
  <c r="AF68" i="17"/>
  <c r="AF70" i="17" s="1"/>
  <c r="AF72" i="17" s="1"/>
  <c r="K41" i="17"/>
  <c r="E11" i="18"/>
  <c r="E51" i="18"/>
  <c r="E11" i="19"/>
  <c r="E11" i="13"/>
  <c r="E11" i="14"/>
  <c r="E51" i="14"/>
  <c r="E11" i="15"/>
  <c r="M11" i="15" s="1"/>
  <c r="E21" i="16"/>
  <c r="M21" i="16" s="1"/>
  <c r="E11" i="17"/>
  <c r="B11" i="17" s="1"/>
  <c r="E51" i="17"/>
  <c r="E31" i="8"/>
  <c r="E41" i="9"/>
  <c r="E31" i="10"/>
  <c r="E31" i="11"/>
  <c r="E31" i="12"/>
  <c r="E61" i="14"/>
  <c r="E11" i="12"/>
  <c r="E41" i="18"/>
  <c r="E41" i="19"/>
  <c r="E21" i="12"/>
  <c r="E61" i="17"/>
  <c r="E21" i="18"/>
  <c r="E61" i="18"/>
  <c r="E21" i="19"/>
  <c r="E21" i="13"/>
  <c r="E21" i="14"/>
  <c r="E21" i="15"/>
  <c r="E51" i="15"/>
  <c r="E21" i="17"/>
  <c r="E31" i="9"/>
  <c r="E21" i="10"/>
  <c r="E61" i="10"/>
  <c r="E51" i="16"/>
  <c r="E41" i="17"/>
  <c r="E21" i="8"/>
  <c r="E41" i="12"/>
  <c r="E41" i="13"/>
  <c r="E51" i="13"/>
  <c r="E51" i="9"/>
  <c r="E21" i="11"/>
  <c r="E51" i="19"/>
  <c r="E31" i="18"/>
  <c r="E31" i="19"/>
  <c r="E41" i="10"/>
  <c r="E31" i="14"/>
  <c r="E41" i="11"/>
  <c r="E51" i="12"/>
  <c r="E41" i="15"/>
  <c r="E31" i="16"/>
  <c r="E31" i="15"/>
  <c r="E71" i="18"/>
  <c r="E51" i="8"/>
  <c r="E11" i="11"/>
  <c r="E31" i="13"/>
  <c r="E11" i="8"/>
  <c r="M11" i="8" s="1"/>
  <c r="E41" i="8"/>
  <c r="E21" i="9"/>
  <c r="M21" i="9" s="1"/>
  <c r="E51" i="11"/>
  <c r="E41" i="16"/>
  <c r="E31" i="17"/>
  <c r="E11" i="10"/>
  <c r="E41" i="14"/>
  <c r="K45" i="15"/>
  <c r="K14" i="13"/>
  <c r="AG58" i="12"/>
  <c r="AG60" i="12" s="1"/>
  <c r="K25" i="13"/>
  <c r="K42" i="10"/>
  <c r="K52" i="16"/>
  <c r="K55" i="15"/>
  <c r="K52" i="13"/>
  <c r="P1" i="14"/>
  <c r="H12" i="39" s="1"/>
  <c r="K22" i="14"/>
  <c r="K24" i="14"/>
  <c r="K13" i="14"/>
  <c r="K12" i="13"/>
  <c r="K71" i="18"/>
  <c r="K32" i="13"/>
  <c r="K52" i="14"/>
  <c r="P1" i="17"/>
  <c r="H9" i="39" s="1"/>
  <c r="K53" i="9"/>
  <c r="K62" i="14"/>
  <c r="K24" i="12"/>
  <c r="K22" i="8"/>
  <c r="K24" i="19"/>
  <c r="K44" i="9"/>
  <c r="K34" i="15"/>
  <c r="K34" i="18"/>
  <c r="K44" i="8"/>
  <c r="K44" i="14"/>
  <c r="K14" i="18"/>
  <c r="K65" i="18"/>
  <c r="K64" i="10"/>
  <c r="K51" i="13"/>
  <c r="Q1" i="17"/>
  <c r="K24" i="10"/>
  <c r="K34" i="11"/>
  <c r="K34" i="17"/>
  <c r="K34" i="13"/>
  <c r="K44" i="10"/>
  <c r="K44" i="19"/>
  <c r="K54" i="14"/>
  <c r="P1" i="13"/>
  <c r="H13" i="39" s="1"/>
  <c r="K65" i="17"/>
  <c r="K54" i="19"/>
  <c r="K32" i="16"/>
  <c r="H10" i="39"/>
  <c r="K63" i="17"/>
  <c r="K42" i="12"/>
  <c r="K34" i="16"/>
  <c r="AE58" i="12"/>
  <c r="AE60" i="12" s="1"/>
  <c r="H7" i="39"/>
  <c r="Q1" i="11"/>
  <c r="P1" i="19"/>
  <c r="H14" i="39" s="1"/>
  <c r="AG58" i="9"/>
  <c r="AG60" i="9" s="1"/>
  <c r="H6" i="39"/>
  <c r="Q1" i="8"/>
  <c r="K41" i="12"/>
  <c r="AG58" i="8"/>
  <c r="AG60" i="8" s="1"/>
  <c r="AG58" i="16"/>
  <c r="AG60" i="16" s="1"/>
  <c r="AG58" i="19"/>
  <c r="AG60" i="19" s="1"/>
  <c r="AF58" i="16"/>
  <c r="AF60" i="16" s="1"/>
  <c r="AE58" i="9"/>
  <c r="AE60" i="9" s="1"/>
  <c r="AG58" i="13"/>
  <c r="AG60" i="13" s="1"/>
  <c r="E25" i="12"/>
  <c r="E45" i="12"/>
  <c r="E15" i="18"/>
  <c r="E15" i="12"/>
  <c r="E35" i="12"/>
  <c r="E55" i="12"/>
  <c r="AD58" i="8"/>
  <c r="AD58" i="15"/>
  <c r="AD68" i="14"/>
  <c r="AE68" i="14"/>
  <c r="AE70" i="14" s="1"/>
  <c r="AG58" i="11"/>
  <c r="AG60" i="11" s="1"/>
  <c r="AG78" i="18"/>
  <c r="AG80" i="18" s="1"/>
  <c r="AF58" i="8"/>
  <c r="AF60" i="8" s="1"/>
  <c r="AD58" i="13"/>
  <c r="AE58" i="15"/>
  <c r="AE60" i="15" s="1"/>
  <c r="AF58" i="9"/>
  <c r="AF60" i="9" s="1"/>
  <c r="AF58" i="13"/>
  <c r="AF60" i="13" s="1"/>
  <c r="AE58" i="19"/>
  <c r="AE60" i="19" s="1"/>
  <c r="AG58" i="15"/>
  <c r="AG60" i="15" s="1"/>
  <c r="K51" i="17"/>
  <c r="AD68" i="10"/>
  <c r="AE68" i="17"/>
  <c r="AE70" i="17" s="1"/>
  <c r="AE58" i="16"/>
  <c r="AE60" i="16" s="1"/>
  <c r="AF68" i="10"/>
  <c r="AF70" i="10" s="1"/>
  <c r="AF58" i="19"/>
  <c r="AF60" i="19" s="1"/>
  <c r="AE58" i="8"/>
  <c r="AE60" i="8" s="1"/>
  <c r="AE78" i="18"/>
  <c r="AE80" i="18" s="1"/>
  <c r="AF58" i="11"/>
  <c r="AF60" i="11" s="1"/>
  <c r="K11" i="13"/>
  <c r="AD58" i="11"/>
  <c r="AG68" i="10"/>
  <c r="AG70" i="10" s="1"/>
  <c r="K21" i="17"/>
  <c r="AF58" i="15"/>
  <c r="AF60" i="15" s="1"/>
  <c r="AE58" i="13"/>
  <c r="AE60" i="13" s="1"/>
  <c r="AG68" i="17"/>
  <c r="AG70" i="17" s="1"/>
  <c r="K41" i="15"/>
  <c r="K11" i="19"/>
  <c r="M22" i="40"/>
  <c r="M37" i="40"/>
  <c r="M66" i="40"/>
  <c r="M51" i="40"/>
  <c r="M8" i="40"/>
  <c r="M15" i="9" l="1"/>
  <c r="M15" i="16"/>
  <c r="M55" i="10"/>
  <c r="F55" i="10"/>
  <c r="B55" i="10"/>
  <c r="F54" i="10"/>
  <c r="B54" i="10"/>
  <c r="M54" i="10"/>
  <c r="F52" i="10"/>
  <c r="B52" i="10"/>
  <c r="M52" i="10"/>
  <c r="F15" i="16"/>
  <c r="M53" i="10"/>
  <c r="F53" i="10"/>
  <c r="B53" i="10"/>
  <c r="M12" i="9"/>
  <c r="M14" i="9"/>
  <c r="M13" i="9"/>
  <c r="M51" i="10"/>
  <c r="F51" i="10"/>
  <c r="B51" i="10"/>
  <c r="B12" i="16"/>
  <c r="M11" i="9"/>
  <c r="Z13" i="15"/>
  <c r="Z23" i="15" s="1"/>
  <c r="Z33" i="15" s="1"/>
  <c r="Z43" i="15" s="1"/>
  <c r="Z13" i="14" s="1"/>
  <c r="Z23" i="14" s="1"/>
  <c r="Z33" i="14" s="1"/>
  <c r="Z43" i="14" s="1"/>
  <c r="Z53" i="14" s="1"/>
  <c r="Z13" i="13" s="1"/>
  <c r="Z23" i="13" s="1"/>
  <c r="Z33" i="13" s="1"/>
  <c r="Z43" i="13" s="1"/>
  <c r="Z13" i="19" s="1"/>
  <c r="Z23" i="19" s="1"/>
  <c r="Z33" i="19" s="1"/>
  <c r="Z43" i="19" s="1"/>
  <c r="Z13" i="18" s="1"/>
  <c r="Z23" i="18" s="1"/>
  <c r="Z33" i="18" s="1"/>
  <c r="Z43" i="18" s="1"/>
  <c r="Z53" i="18" s="1"/>
  <c r="Z63" i="18" s="1"/>
  <c r="Z14" i="15"/>
  <c r="Z24" i="15" s="1"/>
  <c r="Z34" i="15" s="1"/>
  <c r="Z44" i="15" s="1"/>
  <c r="Z14" i="14" s="1"/>
  <c r="Z24" i="14" s="1"/>
  <c r="Z34" i="14" s="1"/>
  <c r="Z44" i="14" s="1"/>
  <c r="Z54" i="14" s="1"/>
  <c r="Z14" i="13" s="1"/>
  <c r="Z24" i="13" s="1"/>
  <c r="Z34" i="13" s="1"/>
  <c r="Z44" i="13" s="1"/>
  <c r="Z14" i="19" s="1"/>
  <c r="Z24" i="19" s="1"/>
  <c r="Z34" i="19" s="1"/>
  <c r="Z44" i="19" s="1"/>
  <c r="Z14" i="18" s="1"/>
  <c r="Z24" i="18" s="1"/>
  <c r="Z34" i="18" s="1"/>
  <c r="Z44" i="18" s="1"/>
  <c r="Z54" i="18" s="1"/>
  <c r="Z64" i="18" s="1"/>
  <c r="Z15" i="15"/>
  <c r="Z25" i="15" s="1"/>
  <c r="Z35" i="15" s="1"/>
  <c r="Z45" i="15" s="1"/>
  <c r="Z15" i="14" s="1"/>
  <c r="Z25" i="14" s="1"/>
  <c r="Z35" i="14" s="1"/>
  <c r="Z45" i="14" s="1"/>
  <c r="Z55" i="14" s="1"/>
  <c r="Z15" i="13" s="1"/>
  <c r="Z25" i="13" s="1"/>
  <c r="Z35" i="13" s="1"/>
  <c r="Z45" i="13" s="1"/>
  <c r="Z15" i="19" s="1"/>
  <c r="Z25" i="19" s="1"/>
  <c r="Z35" i="19" s="1"/>
  <c r="Z45" i="19" s="1"/>
  <c r="Z15" i="18" s="1"/>
  <c r="Z25" i="18" s="1"/>
  <c r="Z35" i="18" s="1"/>
  <c r="Z45" i="18" s="1"/>
  <c r="Z55" i="18" s="1"/>
  <c r="Z65" i="18" s="1"/>
  <c r="Z12" i="15"/>
  <c r="Z22" i="15" s="1"/>
  <c r="Z32" i="15" s="1"/>
  <c r="Z42" i="15" s="1"/>
  <c r="Z12" i="14" s="1"/>
  <c r="Z22" i="14" s="1"/>
  <c r="Z32" i="14" s="1"/>
  <c r="Z42" i="14" s="1"/>
  <c r="Z52" i="14" s="1"/>
  <c r="Z12" i="13" s="1"/>
  <c r="Z22" i="13" s="1"/>
  <c r="Z32" i="13" s="1"/>
  <c r="Z42" i="13" s="1"/>
  <c r="Z12" i="19" s="1"/>
  <c r="Z22" i="19" s="1"/>
  <c r="Z32" i="19" s="1"/>
  <c r="Z42" i="19" s="1"/>
  <c r="Z12" i="18" s="1"/>
  <c r="Z22" i="18" s="1"/>
  <c r="Z32" i="18" s="1"/>
  <c r="Z42" i="18" s="1"/>
  <c r="Z52" i="18" s="1"/>
  <c r="Z62" i="18" s="1"/>
  <c r="Z21" i="15"/>
  <c r="Z31" i="15" s="1"/>
  <c r="Z41" i="15" s="1"/>
  <c r="Z11" i="14" s="1"/>
  <c r="Z21" i="14" s="1"/>
  <c r="Z31" i="14" s="1"/>
  <c r="Z41" i="14" s="1"/>
  <c r="Z51" i="14" s="1"/>
  <c r="Z11" i="13" s="1"/>
  <c r="Z21" i="13" s="1"/>
  <c r="Z31" i="13" s="1"/>
  <c r="Z41" i="13" s="1"/>
  <c r="Z11" i="19" s="1"/>
  <c r="Z21" i="19" s="1"/>
  <c r="Z31" i="19" s="1"/>
  <c r="Z41" i="19" s="1"/>
  <c r="Z11" i="18" s="1"/>
  <c r="Z21" i="18" s="1"/>
  <c r="Z31" i="18" s="1"/>
  <c r="Z41" i="18" s="1"/>
  <c r="Z51" i="18" s="1"/>
  <c r="Z61" i="18" s="1"/>
  <c r="Z11" i="15"/>
  <c r="Y14" i="15"/>
  <c r="Y24" i="15" s="1"/>
  <c r="Y34" i="15" s="1"/>
  <c r="Y44" i="15" s="1"/>
  <c r="Y14" i="14" s="1"/>
  <c r="Y24" i="14" s="1"/>
  <c r="Y34" i="14" s="1"/>
  <c r="Y44" i="14" s="1"/>
  <c r="Y54" i="14" s="1"/>
  <c r="Y14" i="13" s="1"/>
  <c r="Y24" i="13" s="1"/>
  <c r="Y34" i="13" s="1"/>
  <c r="Y44" i="13" s="1"/>
  <c r="Y14" i="19" s="1"/>
  <c r="Y24" i="19" s="1"/>
  <c r="Y34" i="19" s="1"/>
  <c r="Y44" i="19" s="1"/>
  <c r="Y14" i="18" s="1"/>
  <c r="Y24" i="18" s="1"/>
  <c r="Y34" i="18" s="1"/>
  <c r="Y44" i="18" s="1"/>
  <c r="Y54" i="18" s="1"/>
  <c r="Y64" i="18" s="1"/>
  <c r="Y13" i="15"/>
  <c r="Y23" i="15" s="1"/>
  <c r="Y33" i="15" s="1"/>
  <c r="Y43" i="15" s="1"/>
  <c r="Y13" i="14" s="1"/>
  <c r="Y23" i="14" s="1"/>
  <c r="Y33" i="14" s="1"/>
  <c r="Y43" i="14" s="1"/>
  <c r="Y53" i="14" s="1"/>
  <c r="Y13" i="13" s="1"/>
  <c r="Y23" i="13" s="1"/>
  <c r="Y33" i="13" s="1"/>
  <c r="Y43" i="13" s="1"/>
  <c r="Y13" i="19" s="1"/>
  <c r="Y23" i="19" s="1"/>
  <c r="Y33" i="19" s="1"/>
  <c r="Y43" i="19" s="1"/>
  <c r="Y13" i="18" s="1"/>
  <c r="Y23" i="18" s="1"/>
  <c r="Y33" i="18" s="1"/>
  <c r="Y43" i="18" s="1"/>
  <c r="Y53" i="18" s="1"/>
  <c r="Y63" i="18" s="1"/>
  <c r="Y15" i="15"/>
  <c r="Y25" i="15" s="1"/>
  <c r="Y35" i="15" s="1"/>
  <c r="Y45" i="15" s="1"/>
  <c r="Y15" i="14" s="1"/>
  <c r="Y25" i="14" s="1"/>
  <c r="Y35" i="14" s="1"/>
  <c r="Y45" i="14" s="1"/>
  <c r="Y55" i="14" s="1"/>
  <c r="Y15" i="13" s="1"/>
  <c r="Y25" i="13" s="1"/>
  <c r="Y35" i="13" s="1"/>
  <c r="Y45" i="13" s="1"/>
  <c r="Y15" i="19" s="1"/>
  <c r="Y25" i="19" s="1"/>
  <c r="Y35" i="19" s="1"/>
  <c r="Y45" i="19" s="1"/>
  <c r="Y15" i="18" s="1"/>
  <c r="Y25" i="18" s="1"/>
  <c r="Y35" i="18" s="1"/>
  <c r="Y45" i="18" s="1"/>
  <c r="Y55" i="18" s="1"/>
  <c r="Y65" i="18" s="1"/>
  <c r="M33" i="18"/>
  <c r="R33" i="18" s="1"/>
  <c r="F43" i="12"/>
  <c r="B61" i="24"/>
  <c r="W60" i="25"/>
  <c r="B43" i="12"/>
  <c r="B33" i="18"/>
  <c r="F12" i="9"/>
  <c r="F14" i="9"/>
  <c r="F15" i="9"/>
  <c r="F13" i="9"/>
  <c r="F11" i="9"/>
  <c r="B53" i="14"/>
  <c r="M33" i="19"/>
  <c r="R33" i="19" s="1"/>
  <c r="F53" i="14"/>
  <c r="F33" i="19"/>
  <c r="M9" i="40"/>
  <c r="M38" i="40"/>
  <c r="M23" i="40"/>
  <c r="M52" i="40"/>
  <c r="M67" i="40"/>
  <c r="F33" i="16"/>
  <c r="F64" i="14"/>
  <c r="B34" i="16"/>
  <c r="F14" i="14"/>
  <c r="M44" i="10"/>
  <c r="R44" i="10" s="1"/>
  <c r="M63" i="18"/>
  <c r="B23" i="13"/>
  <c r="F13" i="12"/>
  <c r="F13" i="15"/>
  <c r="M13" i="11"/>
  <c r="F15" i="17"/>
  <c r="F45" i="15"/>
  <c r="B34" i="17"/>
  <c r="B64" i="10"/>
  <c r="R73" i="10" s="1"/>
  <c r="B45" i="16"/>
  <c r="M55" i="11"/>
  <c r="R55" i="11" s="1"/>
  <c r="F35" i="11"/>
  <c r="F45" i="13"/>
  <c r="M45" i="17"/>
  <c r="B43" i="19"/>
  <c r="M13" i="10"/>
  <c r="R13" i="10" s="1"/>
  <c r="M24" i="19"/>
  <c r="M34" i="12"/>
  <c r="R34" i="12" s="1"/>
  <c r="B24" i="8"/>
  <c r="M34" i="15"/>
  <c r="M63" i="14"/>
  <c r="B63" i="10"/>
  <c r="R72" i="10" s="1"/>
  <c r="M53" i="13"/>
  <c r="F35" i="18"/>
  <c r="M55" i="18"/>
  <c r="R55" i="18" s="1"/>
  <c r="M14" i="8"/>
  <c r="F44" i="8"/>
  <c r="B14" i="12"/>
  <c r="F54" i="15"/>
  <c r="F15" i="13"/>
  <c r="F65" i="18"/>
  <c r="B55" i="16"/>
  <c r="N64" i="16" s="1"/>
  <c r="M15" i="19"/>
  <c r="R15" i="19" s="1"/>
  <c r="B23" i="14"/>
  <c r="H16" i="39"/>
  <c r="M52" i="16"/>
  <c r="R52" i="16" s="1"/>
  <c r="F33" i="8"/>
  <c r="M44" i="12"/>
  <c r="F53" i="19"/>
  <c r="F23" i="15"/>
  <c r="B35" i="9"/>
  <c r="M33" i="8"/>
  <c r="B33" i="16"/>
  <c r="F24" i="13"/>
  <c r="B13" i="19"/>
  <c r="B55" i="15"/>
  <c r="Q64" i="15" s="1"/>
  <c r="F13" i="19"/>
  <c r="M55" i="15"/>
  <c r="F23" i="14"/>
  <c r="F55" i="15"/>
  <c r="M25" i="19"/>
  <c r="M23" i="14"/>
  <c r="F25" i="19"/>
  <c r="M13" i="19"/>
  <c r="M53" i="17"/>
  <c r="B23" i="15"/>
  <c r="M33" i="11"/>
  <c r="F13" i="17"/>
  <c r="B53" i="17"/>
  <c r="M23" i="15"/>
  <c r="F33" i="11"/>
  <c r="B33" i="11"/>
  <c r="F24" i="16"/>
  <c r="F23" i="19"/>
  <c r="F53" i="17"/>
  <c r="M13" i="17"/>
  <c r="B33" i="15"/>
  <c r="M35" i="16"/>
  <c r="F33" i="9"/>
  <c r="B15" i="13"/>
  <c r="M33" i="9"/>
  <c r="B13" i="17"/>
  <c r="M23" i="19"/>
  <c r="B24" i="15"/>
  <c r="B23" i="19"/>
  <c r="M55" i="13"/>
  <c r="B15" i="11"/>
  <c r="M44" i="8"/>
  <c r="F55" i="13"/>
  <c r="M33" i="15"/>
  <c r="B33" i="8"/>
  <c r="B55" i="13"/>
  <c r="R64" i="13" s="1"/>
  <c r="M43" i="19"/>
  <c r="B13" i="10"/>
  <c r="F13" i="10"/>
  <c r="F23" i="17"/>
  <c r="M34" i="19"/>
  <c r="F43" i="19"/>
  <c r="F12" i="11"/>
  <c r="F35" i="16"/>
  <c r="F44" i="10"/>
  <c r="M53" i="19"/>
  <c r="F44" i="14"/>
  <c r="M64" i="17"/>
  <c r="M45" i="14"/>
  <c r="F13" i="14"/>
  <c r="B53" i="19"/>
  <c r="T62" i="19" s="1"/>
  <c r="M25" i="18"/>
  <c r="B25" i="18"/>
  <c r="M44" i="14"/>
  <c r="M13" i="14"/>
  <c r="F24" i="19"/>
  <c r="B33" i="9"/>
  <c r="B13" i="14"/>
  <c r="F23" i="18"/>
  <c r="M23" i="18"/>
  <c r="F33" i="15"/>
  <c r="B23" i="18"/>
  <c r="M15" i="17"/>
  <c r="M73" i="18"/>
  <c r="M14" i="11"/>
  <c r="B55" i="18"/>
  <c r="B43" i="15"/>
  <c r="B34" i="14"/>
  <c r="F22" i="15"/>
  <c r="B54" i="16"/>
  <c r="F63" i="16" s="1"/>
  <c r="M35" i="15"/>
  <c r="F14" i="13"/>
  <c r="B53" i="16"/>
  <c r="N62" i="16" s="1"/>
  <c r="F34" i="16"/>
  <c r="B15" i="19"/>
  <c r="M24" i="8"/>
  <c r="B45" i="17"/>
  <c r="F34" i="13"/>
  <c r="B53" i="18"/>
  <c r="B35" i="15"/>
  <c r="F24" i="15"/>
  <c r="F13" i="11"/>
  <c r="M14" i="13"/>
  <c r="F53" i="16"/>
  <c r="M34" i="16"/>
  <c r="F34" i="19"/>
  <c r="B33" i="14"/>
  <c r="F35" i="15"/>
  <c r="B14" i="13"/>
  <c r="B43" i="18"/>
  <c r="M53" i="16"/>
  <c r="F15" i="19"/>
  <c r="B34" i="13"/>
  <c r="M24" i="15"/>
  <c r="F54" i="16"/>
  <c r="F45" i="17"/>
  <c r="F55" i="18"/>
  <c r="B14" i="14"/>
  <c r="B14" i="11"/>
  <c r="F44" i="11"/>
  <c r="F23" i="13"/>
  <c r="B22" i="15"/>
  <c r="B55" i="11"/>
  <c r="N64" i="11" s="1"/>
  <c r="M34" i="18"/>
  <c r="B15" i="8"/>
  <c r="M15" i="8"/>
  <c r="F15" i="8"/>
  <c r="M24" i="14"/>
  <c r="F24" i="9"/>
  <c r="F72" i="18"/>
  <c r="F75" i="18"/>
  <c r="F13" i="18"/>
  <c r="F15" i="10"/>
  <c r="M15" i="10"/>
  <c r="F54" i="8"/>
  <c r="M75" i="18"/>
  <c r="F63" i="18"/>
  <c r="B63" i="18"/>
  <c r="M43" i="18"/>
  <c r="F43" i="18"/>
  <c r="F43" i="15"/>
  <c r="F43" i="11"/>
  <c r="M23" i="13"/>
  <c r="M62" i="10"/>
  <c r="B35" i="16"/>
  <c r="B25" i="19"/>
  <c r="M35" i="9"/>
  <c r="F35" i="9"/>
  <c r="B25" i="9"/>
  <c r="F25" i="9"/>
  <c r="F52" i="8"/>
  <c r="M33" i="13"/>
  <c r="F33" i="13"/>
  <c r="F13" i="13"/>
  <c r="M15" i="13"/>
  <c r="F55" i="9"/>
  <c r="M55" i="9"/>
  <c r="B55" i="9"/>
  <c r="R64" i="9" s="1"/>
  <c r="B55" i="8"/>
  <c r="F55" i="8"/>
  <c r="M55" i="8"/>
  <c r="B44" i="17"/>
  <c r="F55" i="17"/>
  <c r="M55" i="17"/>
  <c r="M52" i="9"/>
  <c r="M35" i="19"/>
  <c r="F35" i="19"/>
  <c r="M35" i="17"/>
  <c r="F35" i="17"/>
  <c r="M25" i="17"/>
  <c r="M43" i="11"/>
  <c r="F54" i="17"/>
  <c r="M54" i="17"/>
  <c r="B34" i="15"/>
  <c r="B33" i="17"/>
  <c r="F33" i="17"/>
  <c r="F43" i="14"/>
  <c r="B13" i="12"/>
  <c r="F55" i="19"/>
  <c r="B44" i="11"/>
  <c r="F14" i="11"/>
  <c r="M34" i="13"/>
  <c r="B44" i="9"/>
  <c r="B54" i="15"/>
  <c r="M63" i="15" s="1"/>
  <c r="M54" i="15"/>
  <c r="B63" i="17"/>
  <c r="T72" i="17" s="1"/>
  <c r="M43" i="13"/>
  <c r="B32" i="8"/>
  <c r="M23" i="12"/>
  <c r="M15" i="11"/>
  <c r="M45" i="19"/>
  <c r="M32" i="10"/>
  <c r="M32" i="15"/>
  <c r="M32" i="11"/>
  <c r="M12" i="14"/>
  <c r="M52" i="18"/>
  <c r="M32" i="14"/>
  <c r="M12" i="8"/>
  <c r="M22" i="14"/>
  <c r="M42" i="10"/>
  <c r="M22" i="15"/>
  <c r="Y42" i="12"/>
  <c r="Y31" i="12"/>
  <c r="M42" i="15"/>
  <c r="M42" i="11"/>
  <c r="M32" i="17"/>
  <c r="B52" i="13"/>
  <c r="P61" i="13" s="1"/>
  <c r="M32" i="8"/>
  <c r="B42" i="16"/>
  <c r="B35" i="8"/>
  <c r="F35" i="8"/>
  <c r="M65" i="18"/>
  <c r="M45" i="13"/>
  <c r="F32" i="8"/>
  <c r="M55" i="16"/>
  <c r="M25" i="15"/>
  <c r="B45" i="14"/>
  <c r="M12" i="11"/>
  <c r="B53" i="9"/>
  <c r="Q62" i="9" s="1"/>
  <c r="B52" i="16"/>
  <c r="N61" i="16" s="1"/>
  <c r="B22" i="14"/>
  <c r="F35" i="13"/>
  <c r="M35" i="13"/>
  <c r="B44" i="15"/>
  <c r="B35" i="18"/>
  <c r="F25" i="15"/>
  <c r="B25" i="8"/>
  <c r="M25" i="8"/>
  <c r="M34" i="17"/>
  <c r="F34" i="10"/>
  <c r="M35" i="18"/>
  <c r="F45" i="14"/>
  <c r="F55" i="16"/>
  <c r="M52" i="11"/>
  <c r="F52" i="11"/>
  <c r="F34" i="17"/>
  <c r="R43" i="12"/>
  <c r="B24" i="19"/>
  <c r="B54" i="17"/>
  <c r="F34" i="15"/>
  <c r="M23" i="10"/>
  <c r="M22" i="11"/>
  <c r="B25" i="15"/>
  <c r="B15" i="15"/>
  <c r="F15" i="15"/>
  <c r="F25" i="8"/>
  <c r="B54" i="13"/>
  <c r="F63" i="13" s="1"/>
  <c r="B45" i="13"/>
  <c r="M35" i="8"/>
  <c r="B23" i="11"/>
  <c r="B23" i="10"/>
  <c r="M72" i="18"/>
  <c r="B72" i="18"/>
  <c r="Q81" i="18" s="1"/>
  <c r="M52" i="8"/>
  <c r="B75" i="18"/>
  <c r="N84" i="18" s="1"/>
  <c r="F45" i="16"/>
  <c r="B25" i="17"/>
  <c r="F54" i="14"/>
  <c r="B24" i="10"/>
  <c r="F73" i="18"/>
  <c r="F23" i="10"/>
  <c r="B52" i="8"/>
  <c r="P61" i="8" s="1"/>
  <c r="F53" i="8"/>
  <c r="B53" i="8"/>
  <c r="M62" i="8" s="1"/>
  <c r="M65" i="10"/>
  <c r="B65" i="14"/>
  <c r="T74" i="14" s="1"/>
  <c r="F54" i="13"/>
  <c r="M45" i="16"/>
  <c r="F65" i="14"/>
  <c r="F35" i="10"/>
  <c r="M54" i="13"/>
  <c r="F25" i="17"/>
  <c r="B24" i="13"/>
  <c r="B73" i="18"/>
  <c r="M82" i="18" s="1"/>
  <c r="B55" i="17"/>
  <c r="F15" i="14"/>
  <c r="M12" i="18"/>
  <c r="M32" i="9"/>
  <c r="F32" i="18"/>
  <c r="B64" i="17"/>
  <c r="O73" i="17" s="1"/>
  <c r="B54" i="14"/>
  <c r="M24" i="13"/>
  <c r="M35" i="11"/>
  <c r="B35" i="11"/>
  <c r="B15" i="14"/>
  <c r="M15" i="14"/>
  <c r="F55" i="11"/>
  <c r="F65" i="17"/>
  <c r="M65" i="14"/>
  <c r="B25" i="10"/>
  <c r="F25" i="10"/>
  <c r="F24" i="10"/>
  <c r="M24" i="10"/>
  <c r="M45" i="18"/>
  <c r="B45" i="18"/>
  <c r="F45" i="18"/>
  <c r="F45" i="19"/>
  <c r="M53" i="12"/>
  <c r="M52" i="14"/>
  <c r="B42" i="17"/>
  <c r="M42" i="17"/>
  <c r="F42" i="17"/>
  <c r="M62" i="14"/>
  <c r="B62" i="14"/>
  <c r="F62" i="14"/>
  <c r="B52" i="11"/>
  <c r="M55" i="14"/>
  <c r="B65" i="17"/>
  <c r="M74" i="17" s="1"/>
  <c r="M65" i="17"/>
  <c r="F25" i="13"/>
  <c r="B25" i="13"/>
  <c r="M25" i="13"/>
  <c r="B55" i="19"/>
  <c r="F64" i="19" s="1"/>
  <c r="F64" i="18"/>
  <c r="F25" i="14"/>
  <c r="B45" i="19"/>
  <c r="M43" i="8"/>
  <c r="M64" i="18"/>
  <c r="M25" i="10"/>
  <c r="B25" i="14"/>
  <c r="B64" i="18"/>
  <c r="B65" i="18"/>
  <c r="F44" i="19"/>
  <c r="M64" i="14"/>
  <c r="F65" i="10"/>
  <c r="B65" i="10"/>
  <c r="P74" i="10" s="1"/>
  <c r="F24" i="17"/>
  <c r="M44" i="19"/>
  <c r="M24" i="17"/>
  <c r="B44" i="19"/>
  <c r="B13" i="18"/>
  <c r="B35" i="17"/>
  <c r="B45" i="10"/>
  <c r="F45" i="10"/>
  <c r="M45" i="10"/>
  <c r="B25" i="16"/>
  <c r="F25" i="16"/>
  <c r="B45" i="15"/>
  <c r="M54" i="11"/>
  <c r="B54" i="11"/>
  <c r="F54" i="11"/>
  <c r="B54" i="18"/>
  <c r="F54" i="18"/>
  <c r="B74" i="18"/>
  <c r="P83" i="18" s="1"/>
  <c r="F74" i="18"/>
  <c r="B54" i="8"/>
  <c r="T63" i="8" s="1"/>
  <c r="M54" i="8"/>
  <c r="M74" i="18"/>
  <c r="M45" i="15"/>
  <c r="M54" i="18"/>
  <c r="M42" i="14"/>
  <c r="B12" i="13"/>
  <c r="F12" i="13"/>
  <c r="B32" i="13"/>
  <c r="M32" i="13"/>
  <c r="F32" i="13"/>
  <c r="B32" i="10"/>
  <c r="F32" i="10"/>
  <c r="F14" i="8"/>
  <c r="B14" i="8"/>
  <c r="F14" i="12"/>
  <c r="M25" i="14"/>
  <c r="F34" i="14"/>
  <c r="F64" i="10"/>
  <c r="F23" i="11"/>
  <c r="B23" i="16"/>
  <c r="F23" i="16"/>
  <c r="M35" i="14"/>
  <c r="F35" i="14"/>
  <c r="M64" i="10"/>
  <c r="B44" i="16"/>
  <c r="M44" i="16"/>
  <c r="M12" i="13"/>
  <c r="B45" i="11"/>
  <c r="M45" i="8"/>
  <c r="F54" i="9"/>
  <c r="F63" i="17"/>
  <c r="F45" i="8"/>
  <c r="M34" i="14"/>
  <c r="B44" i="8"/>
  <c r="F44" i="16"/>
  <c r="F45" i="11"/>
  <c r="F44" i="13"/>
  <c r="M45" i="11"/>
  <c r="B14" i="19"/>
  <c r="M14" i="19"/>
  <c r="B45" i="8"/>
  <c r="F43" i="13"/>
  <c r="F44" i="15"/>
  <c r="B55" i="14"/>
  <c r="F25" i="18"/>
  <c r="M44" i="15"/>
  <c r="M14" i="12"/>
  <c r="B35" i="14"/>
  <c r="F55" i="14"/>
  <c r="M23" i="11"/>
  <c r="F14" i="19"/>
  <c r="M34" i="8"/>
  <c r="M63" i="17"/>
  <c r="B25" i="11"/>
  <c r="M25" i="11"/>
  <c r="F25" i="11"/>
  <c r="M55" i="19"/>
  <c r="B34" i="10"/>
  <c r="M34" i="10"/>
  <c r="B35" i="10"/>
  <c r="M35" i="10"/>
  <c r="B35" i="19"/>
  <c r="M44" i="11"/>
  <c r="M44" i="9"/>
  <c r="F44" i="9"/>
  <c r="B35" i="13"/>
  <c r="B15" i="17"/>
  <c r="F15" i="11"/>
  <c r="B15" i="10"/>
  <c r="F64" i="17"/>
  <c r="B45" i="9"/>
  <c r="F45" i="9"/>
  <c r="M45" i="9"/>
  <c r="B24" i="17"/>
  <c r="F44" i="18"/>
  <c r="M14" i="17"/>
  <c r="F14" i="17"/>
  <c r="M22" i="10"/>
  <c r="B52" i="12"/>
  <c r="F52" i="12"/>
  <c r="F32" i="19"/>
  <c r="B32" i="19"/>
  <c r="F22" i="8"/>
  <c r="B22" i="8"/>
  <c r="B12" i="12"/>
  <c r="B52" i="19"/>
  <c r="F52" i="19"/>
  <c r="M22" i="17"/>
  <c r="F33" i="10"/>
  <c r="M43" i="16"/>
  <c r="B63" i="14"/>
  <c r="O72" i="14" s="1"/>
  <c r="B42" i="19"/>
  <c r="F34" i="9"/>
  <c r="F12" i="12"/>
  <c r="F22" i="17"/>
  <c r="M42" i="12"/>
  <c r="B24" i="14"/>
  <c r="M24" i="11"/>
  <c r="B24" i="11"/>
  <c r="B34" i="8"/>
  <c r="B24" i="9"/>
  <c r="B43" i="14"/>
  <c r="B12" i="17"/>
  <c r="F12" i="17"/>
  <c r="B12" i="10"/>
  <c r="F12" i="10"/>
  <c r="B42" i="9"/>
  <c r="F42" i="9"/>
  <c r="B42" i="18"/>
  <c r="F42" i="18"/>
  <c r="B42" i="15"/>
  <c r="F42" i="15"/>
  <c r="M54" i="14"/>
  <c r="M32" i="18"/>
  <c r="B44" i="18"/>
  <c r="M23" i="17"/>
  <c r="B14" i="15"/>
  <c r="M44" i="13"/>
  <c r="M42" i="18"/>
  <c r="M33" i="17"/>
  <c r="M52" i="19"/>
  <c r="B22" i="17"/>
  <c r="B64" i="14"/>
  <c r="B14" i="10"/>
  <c r="M14" i="10"/>
  <c r="F14" i="10"/>
  <c r="B44" i="10"/>
  <c r="M53" i="8"/>
  <c r="B43" i="13"/>
  <c r="F12" i="14"/>
  <c r="B12" i="14"/>
  <c r="F52" i="16"/>
  <c r="M32" i="16"/>
  <c r="F32" i="16"/>
  <c r="B32" i="16"/>
  <c r="F12" i="15"/>
  <c r="B12" i="15"/>
  <c r="M32" i="12"/>
  <c r="B32" i="12"/>
  <c r="F32" i="12"/>
  <c r="M22" i="12"/>
  <c r="F22" i="12"/>
  <c r="B22" i="12"/>
  <c r="F22" i="14"/>
  <c r="M54" i="19"/>
  <c r="B13" i="13"/>
  <c r="M34" i="9"/>
  <c r="B23" i="8"/>
  <c r="F43" i="8"/>
  <c r="M43" i="17"/>
  <c r="F43" i="17"/>
  <c r="B42" i="13"/>
  <c r="F42" i="13"/>
  <c r="F34" i="18"/>
  <c r="M52" i="12"/>
  <c r="M32" i="19"/>
  <c r="B23" i="9"/>
  <c r="F23" i="9"/>
  <c r="B12" i="19"/>
  <c r="F12" i="19"/>
  <c r="F42" i="16"/>
  <c r="F22" i="9"/>
  <c r="B22" i="9"/>
  <c r="B53" i="15"/>
  <c r="F62" i="15" s="1"/>
  <c r="B43" i="17"/>
  <c r="F24" i="11"/>
  <c r="M44" i="18"/>
  <c r="M53" i="11"/>
  <c r="M53" i="9"/>
  <c r="F14" i="15"/>
  <c r="B53" i="11"/>
  <c r="F34" i="8"/>
  <c r="B32" i="18"/>
  <c r="B12" i="11"/>
  <c r="B34" i="19"/>
  <c r="F23" i="12"/>
  <c r="B23" i="12"/>
  <c r="B43" i="10"/>
  <c r="M43" i="10"/>
  <c r="F43" i="10"/>
  <c r="B13" i="8"/>
  <c r="F13" i="8"/>
  <c r="M13" i="8"/>
  <c r="M22" i="19"/>
  <c r="B22" i="19"/>
  <c r="F22" i="19"/>
  <c r="F52" i="14"/>
  <c r="B52" i="14"/>
  <c r="B22" i="16"/>
  <c r="F22" i="16"/>
  <c r="F42" i="11"/>
  <c r="B42" i="11"/>
  <c r="M62" i="17"/>
  <c r="F62" i="17"/>
  <c r="B62" i="17"/>
  <c r="B32" i="17"/>
  <c r="F32" i="17"/>
  <c r="B34" i="18"/>
  <c r="B33" i="13"/>
  <c r="M13" i="13"/>
  <c r="B13" i="15"/>
  <c r="F53" i="12"/>
  <c r="B53" i="12"/>
  <c r="B62" i="10"/>
  <c r="F62" i="10"/>
  <c r="M22" i="18"/>
  <c r="M22" i="13"/>
  <c r="B22" i="13"/>
  <c r="F22" i="13"/>
  <c r="B12" i="8"/>
  <c r="M42" i="13"/>
  <c r="B42" i="12"/>
  <c r="B24" i="12"/>
  <c r="F24" i="12"/>
  <c r="B43" i="9"/>
  <c r="F43" i="9"/>
  <c r="M43" i="9"/>
  <c r="M52" i="17"/>
  <c r="F52" i="17"/>
  <c r="B52" i="17"/>
  <c r="M42" i="9"/>
  <c r="M12" i="19"/>
  <c r="B34" i="9"/>
  <c r="F23" i="8"/>
  <c r="M42" i="16"/>
  <c r="F22" i="10"/>
  <c r="F54" i="19"/>
  <c r="F53" i="9"/>
  <c r="F42" i="19"/>
  <c r="M42" i="19"/>
  <c r="B43" i="8"/>
  <c r="B23" i="17"/>
  <c r="M12" i="17"/>
  <c r="M24" i="12"/>
  <c r="M43" i="14"/>
  <c r="M12" i="12"/>
  <c r="M54" i="16"/>
  <c r="M14" i="14"/>
  <c r="B44" i="14"/>
  <c r="M63" i="10"/>
  <c r="F63" i="10"/>
  <c r="M53" i="18"/>
  <c r="F53" i="18"/>
  <c r="M33" i="12"/>
  <c r="F33" i="12"/>
  <c r="B33" i="12"/>
  <c r="M62" i="18"/>
  <c r="B62" i="18"/>
  <c r="F62" i="18"/>
  <c r="B42" i="14"/>
  <c r="F42" i="14"/>
  <c r="M42" i="8"/>
  <c r="F42" i="8"/>
  <c r="B42" i="8"/>
  <c r="B22" i="11"/>
  <c r="F22" i="11"/>
  <c r="M52" i="15"/>
  <c r="B52" i="15"/>
  <c r="F52" i="15"/>
  <c r="F24" i="18"/>
  <c r="B54" i="9"/>
  <c r="M44" i="17"/>
  <c r="F53" i="15"/>
  <c r="M53" i="15"/>
  <c r="F44" i="17"/>
  <c r="M22" i="8"/>
  <c r="B43" i="16"/>
  <c r="M54" i="9"/>
  <c r="B34" i="11"/>
  <c r="F34" i="11"/>
  <c r="M34" i="11"/>
  <c r="M33" i="10"/>
  <c r="B33" i="10"/>
  <c r="F52" i="13"/>
  <c r="F42" i="12"/>
  <c r="B42" i="10"/>
  <c r="F42" i="10"/>
  <c r="M23" i="8"/>
  <c r="M52" i="13"/>
  <c r="F12" i="18"/>
  <c r="F32" i="9"/>
  <c r="M13" i="12"/>
  <c r="F53" i="13"/>
  <c r="F24" i="14"/>
  <c r="B22" i="10"/>
  <c r="F53" i="11"/>
  <c r="F43" i="16"/>
  <c r="F63" i="14"/>
  <c r="B54" i="19"/>
  <c r="Q63" i="19" s="1"/>
  <c r="B22" i="18"/>
  <c r="B44" i="13"/>
  <c r="F22" i="18"/>
  <c r="B53" i="13"/>
  <c r="Q62" i="13" s="1"/>
  <c r="M12" i="10"/>
  <c r="B24" i="18"/>
  <c r="M13" i="18"/>
  <c r="B14" i="17"/>
  <c r="M24" i="18"/>
  <c r="B12" i="18"/>
  <c r="F12" i="8"/>
  <c r="B32" i="9"/>
  <c r="F32" i="11"/>
  <c r="B32" i="11"/>
  <c r="B34" i="12"/>
  <c r="F34" i="12"/>
  <c r="F24" i="8"/>
  <c r="B24" i="16"/>
  <c r="M43" i="15"/>
  <c r="B43" i="11"/>
  <c r="M33" i="14"/>
  <c r="F33" i="14"/>
  <c r="B13" i="11"/>
  <c r="F52" i="18"/>
  <c r="B52" i="18"/>
  <c r="B32" i="15"/>
  <c r="F32" i="15"/>
  <c r="B52" i="9"/>
  <c r="F52" i="9"/>
  <c r="F32" i="14"/>
  <c r="B32" i="14"/>
  <c r="F44" i="12"/>
  <c r="B44" i="12"/>
  <c r="M54" i="12"/>
  <c r="B54" i="12"/>
  <c r="F54" i="12"/>
  <c r="B14" i="18"/>
  <c r="F14" i="18"/>
  <c r="M14" i="18"/>
  <c r="AF62" i="8"/>
  <c r="M11" i="14"/>
  <c r="F11" i="14"/>
  <c r="B11" i="14"/>
  <c r="AE72" i="17"/>
  <c r="AF62" i="13"/>
  <c r="M15" i="18"/>
  <c r="B15" i="18"/>
  <c r="F15" i="18"/>
  <c r="AG62" i="16"/>
  <c r="M41" i="14"/>
  <c r="B41" i="14"/>
  <c r="F41" i="14"/>
  <c r="M11" i="10"/>
  <c r="B11" i="10"/>
  <c r="F11" i="10"/>
  <c r="M51" i="11"/>
  <c r="F51" i="11"/>
  <c r="B51" i="11"/>
  <c r="M31" i="13"/>
  <c r="B31" i="13"/>
  <c r="F31" i="13"/>
  <c r="M11" i="11"/>
  <c r="B11" i="11"/>
  <c r="F11" i="11"/>
  <c r="M41" i="11"/>
  <c r="B41" i="11"/>
  <c r="F41" i="11"/>
  <c r="M21" i="11"/>
  <c r="B21" i="11"/>
  <c r="F21" i="11"/>
  <c r="M51" i="16"/>
  <c r="B51" i="16"/>
  <c r="F51" i="16"/>
  <c r="M31" i="9"/>
  <c r="B31" i="9"/>
  <c r="F31" i="9"/>
  <c r="M61" i="18"/>
  <c r="B61" i="18"/>
  <c r="F61" i="18"/>
  <c r="M31" i="12"/>
  <c r="B31" i="12"/>
  <c r="F31" i="12"/>
  <c r="B11" i="15"/>
  <c r="F11" i="15"/>
  <c r="AF62" i="9"/>
  <c r="M45" i="12"/>
  <c r="B45" i="12"/>
  <c r="F45" i="12"/>
  <c r="AG62" i="8"/>
  <c r="AE62" i="12"/>
  <c r="AE65" i="12"/>
  <c r="AE65" i="11" s="1"/>
  <c r="AE75" i="10" s="1"/>
  <c r="AE65" i="9" s="1"/>
  <c r="AE65" i="8" s="1"/>
  <c r="AE75" i="17" s="1"/>
  <c r="AE65" i="16" s="1"/>
  <c r="AE65" i="15" s="1"/>
  <c r="AE75" i="14" s="1"/>
  <c r="AE65" i="13" s="1"/>
  <c r="AE65" i="19" s="1"/>
  <c r="AE85" i="18" s="1"/>
  <c r="R53" i="14"/>
  <c r="M31" i="17"/>
  <c r="B31" i="17"/>
  <c r="F31" i="17"/>
  <c r="B21" i="9"/>
  <c r="F21" i="9"/>
  <c r="M51" i="8"/>
  <c r="B51" i="8"/>
  <c r="F51" i="8"/>
  <c r="M31" i="15"/>
  <c r="B31" i="15"/>
  <c r="F31" i="15"/>
  <c r="M31" i="14"/>
  <c r="B31" i="14"/>
  <c r="F31" i="14"/>
  <c r="M51" i="9"/>
  <c r="F51" i="9"/>
  <c r="B51" i="9"/>
  <c r="M21" i="17"/>
  <c r="B21" i="17"/>
  <c r="F21" i="17"/>
  <c r="M21" i="18"/>
  <c r="B21" i="18"/>
  <c r="F21" i="18"/>
  <c r="M31" i="11"/>
  <c r="B31" i="11"/>
  <c r="F31" i="11"/>
  <c r="M51" i="14"/>
  <c r="F51" i="14"/>
  <c r="B51" i="14"/>
  <c r="AG72" i="17"/>
  <c r="M41" i="15"/>
  <c r="F41" i="15"/>
  <c r="B41" i="15"/>
  <c r="M41" i="9"/>
  <c r="B41" i="9"/>
  <c r="F41" i="9"/>
  <c r="AF62" i="15"/>
  <c r="AG62" i="12"/>
  <c r="AG67" i="12" s="1"/>
  <c r="AG65" i="12"/>
  <c r="AG65" i="11" s="1"/>
  <c r="AG75" i="10" s="1"/>
  <c r="AG65" i="9" s="1"/>
  <c r="AG65" i="8" s="1"/>
  <c r="AG75" i="17" s="1"/>
  <c r="AG65" i="16" s="1"/>
  <c r="AG65" i="15" s="1"/>
  <c r="AG75" i="14" s="1"/>
  <c r="AG65" i="13" s="1"/>
  <c r="AG65" i="19" s="1"/>
  <c r="AG85" i="18" s="1"/>
  <c r="R33" i="16"/>
  <c r="M31" i="19"/>
  <c r="B31" i="19"/>
  <c r="F31" i="19"/>
  <c r="M41" i="13"/>
  <c r="B41" i="13"/>
  <c r="F41" i="13"/>
  <c r="M21" i="15"/>
  <c r="B21" i="15"/>
  <c r="F21" i="15"/>
  <c r="M41" i="19"/>
  <c r="B41" i="19"/>
  <c r="F41" i="19"/>
  <c r="M31" i="8"/>
  <c r="B31" i="8"/>
  <c r="F31" i="8"/>
  <c r="M11" i="19"/>
  <c r="B11" i="19"/>
  <c r="F11" i="19"/>
  <c r="AF62" i="11"/>
  <c r="AF65" i="11"/>
  <c r="AF75" i="10" s="1"/>
  <c r="AF65" i="9" s="1"/>
  <c r="AF65" i="8" s="1"/>
  <c r="AF75" i="17" s="1"/>
  <c r="AF65" i="16" s="1"/>
  <c r="AF65" i="15" s="1"/>
  <c r="AF75" i="14" s="1"/>
  <c r="AF65" i="13" s="1"/>
  <c r="AF65" i="19" s="1"/>
  <c r="AF85" i="18" s="1"/>
  <c r="AF62" i="19"/>
  <c r="AG82" i="18"/>
  <c r="M55" i="12"/>
  <c r="B55" i="12"/>
  <c r="F55" i="12"/>
  <c r="AG62" i="13"/>
  <c r="AE62" i="9"/>
  <c r="AG62" i="9"/>
  <c r="M31" i="18"/>
  <c r="B31" i="18"/>
  <c r="F31" i="18"/>
  <c r="M41" i="12"/>
  <c r="B41" i="12"/>
  <c r="F41" i="12"/>
  <c r="M61" i="10"/>
  <c r="B61" i="10"/>
  <c r="F61" i="10"/>
  <c r="M21" i="14"/>
  <c r="B21" i="14"/>
  <c r="F21" i="14"/>
  <c r="M41" i="18"/>
  <c r="F41" i="18"/>
  <c r="B41" i="18"/>
  <c r="M51" i="17"/>
  <c r="B51" i="17"/>
  <c r="F51" i="17"/>
  <c r="M51" i="18"/>
  <c r="F51" i="18"/>
  <c r="B51" i="18"/>
  <c r="AE62" i="15"/>
  <c r="M25" i="12"/>
  <c r="B25" i="12"/>
  <c r="F25" i="12"/>
  <c r="M41" i="16"/>
  <c r="B41" i="16"/>
  <c r="F41" i="16"/>
  <c r="AG72" i="10"/>
  <c r="M41" i="10"/>
  <c r="B41" i="10"/>
  <c r="F41" i="10"/>
  <c r="M51" i="15"/>
  <c r="B51" i="15"/>
  <c r="F51" i="15"/>
  <c r="M11" i="13"/>
  <c r="B11" i="13"/>
  <c r="F11" i="13"/>
  <c r="AE62" i="13"/>
  <c r="AE82" i="18"/>
  <c r="AF72" i="10"/>
  <c r="AG62" i="15"/>
  <c r="AG62" i="11"/>
  <c r="M35" i="12"/>
  <c r="F35" i="12"/>
  <c r="B35" i="12"/>
  <c r="M41" i="8"/>
  <c r="B41" i="8"/>
  <c r="F41" i="8"/>
  <c r="M21" i="8"/>
  <c r="B21" i="8"/>
  <c r="F21" i="8"/>
  <c r="M21" i="13"/>
  <c r="B21" i="13"/>
  <c r="F21" i="13"/>
  <c r="M11" i="12"/>
  <c r="B11" i="12"/>
  <c r="F11" i="12"/>
  <c r="M11" i="17"/>
  <c r="F11" i="17"/>
  <c r="M11" i="18"/>
  <c r="B11" i="18"/>
  <c r="F11" i="18"/>
  <c r="M71" i="18"/>
  <c r="B71" i="18"/>
  <c r="F71" i="18"/>
  <c r="M31" i="16"/>
  <c r="B31" i="16"/>
  <c r="F31" i="16"/>
  <c r="M61" i="17"/>
  <c r="B61" i="17"/>
  <c r="F61" i="17"/>
  <c r="M31" i="10"/>
  <c r="B31" i="10"/>
  <c r="F31" i="10"/>
  <c r="AF62" i="16"/>
  <c r="M51" i="13"/>
  <c r="B51" i="13"/>
  <c r="F51" i="13"/>
  <c r="M21" i="12"/>
  <c r="B21" i="12"/>
  <c r="F21" i="12"/>
  <c r="AE62" i="8"/>
  <c r="AE62" i="16"/>
  <c r="AE62" i="19"/>
  <c r="AE72" i="14"/>
  <c r="G12" i="39" s="1"/>
  <c r="M15" i="12"/>
  <c r="F15" i="12"/>
  <c r="B15" i="12"/>
  <c r="AG62" i="19"/>
  <c r="F11" i="8"/>
  <c r="B11" i="8"/>
  <c r="M51" i="12"/>
  <c r="B51" i="12"/>
  <c r="F51" i="12"/>
  <c r="M51" i="19"/>
  <c r="F51" i="19"/>
  <c r="B51" i="19"/>
  <c r="M41" i="17"/>
  <c r="B41" i="17"/>
  <c r="F41" i="17"/>
  <c r="M21" i="10"/>
  <c r="F21" i="10"/>
  <c r="B21" i="10"/>
  <c r="M21" i="19"/>
  <c r="B21" i="19"/>
  <c r="F21" i="19"/>
  <c r="M61" i="14"/>
  <c r="F61" i="14"/>
  <c r="B61" i="14"/>
  <c r="F21" i="16"/>
  <c r="B21" i="16"/>
  <c r="I45" i="40"/>
  <c r="M39" i="40"/>
  <c r="L43" i="40"/>
  <c r="J39" i="40"/>
  <c r="J43" i="40"/>
  <c r="H28" i="40"/>
  <c r="M30" i="40"/>
  <c r="J24" i="40"/>
  <c r="G30" i="40"/>
  <c r="J59" i="40"/>
  <c r="G57" i="40"/>
  <c r="I57" i="40"/>
  <c r="M57" i="40"/>
  <c r="M53" i="40"/>
  <c r="B72" i="40"/>
  <c r="J74" i="40"/>
  <c r="I74" i="40"/>
  <c r="H72" i="40"/>
  <c r="H45" i="40"/>
  <c r="E43" i="40"/>
  <c r="J28" i="40"/>
  <c r="B28" i="40"/>
  <c r="I30" i="40"/>
  <c r="H59" i="40"/>
  <c r="M59" i="40"/>
  <c r="M68" i="40"/>
  <c r="J68" i="40"/>
  <c r="C43" i="40"/>
  <c r="G45" i="40"/>
  <c r="L45" i="40"/>
  <c r="J45" i="40"/>
  <c r="I43" i="40"/>
  <c r="M28" i="40"/>
  <c r="D28" i="40"/>
  <c r="J30" i="40"/>
  <c r="L30" i="40"/>
  <c r="I28" i="40"/>
  <c r="B57" i="40"/>
  <c r="J53" i="40"/>
  <c r="D57" i="40"/>
  <c r="H57" i="40"/>
  <c r="L59" i="40"/>
  <c r="M74" i="40"/>
  <c r="L74" i="40"/>
  <c r="L72" i="40"/>
  <c r="C72" i="40"/>
  <c r="H74" i="40"/>
  <c r="G43" i="40"/>
  <c r="M43" i="40"/>
  <c r="L28" i="40"/>
  <c r="C28" i="40"/>
  <c r="I59" i="40"/>
  <c r="L57" i="40"/>
  <c r="G72" i="40"/>
  <c r="I72" i="40"/>
  <c r="F43" i="40"/>
  <c r="B43" i="40"/>
  <c r="M45" i="40"/>
  <c r="D43" i="40"/>
  <c r="H43" i="40"/>
  <c r="G28" i="40"/>
  <c r="F28" i="40"/>
  <c r="H30" i="40"/>
  <c r="E28" i="40"/>
  <c r="M24" i="40"/>
  <c r="C57" i="40"/>
  <c r="E57" i="40"/>
  <c r="F57" i="40"/>
  <c r="J57" i="40"/>
  <c r="M72" i="40"/>
  <c r="D72" i="40"/>
  <c r="E72" i="40"/>
  <c r="G74" i="40"/>
  <c r="J72" i="40"/>
  <c r="G59" i="40"/>
  <c r="F72" i="40"/>
  <c r="D14" i="40"/>
  <c r="H16" i="40"/>
  <c r="M10" i="40"/>
  <c r="G14" i="40"/>
  <c r="B14" i="40"/>
  <c r="I16" i="40"/>
  <c r="M18" i="40"/>
  <c r="H14" i="40"/>
  <c r="F14" i="40"/>
  <c r="J14" i="40"/>
  <c r="C14" i="40"/>
  <c r="J16" i="40"/>
  <c r="E14" i="40"/>
  <c r="L16" i="40"/>
  <c r="I14" i="40"/>
  <c r="L14" i="40"/>
  <c r="J10" i="40"/>
  <c r="R52" i="10" l="1"/>
  <c r="R53" i="10"/>
  <c r="R55" i="10"/>
  <c r="R14" i="8"/>
  <c r="R54" i="10"/>
  <c r="R51" i="10"/>
  <c r="M56" i="10"/>
  <c r="B62" i="24"/>
  <c r="W61" i="25"/>
  <c r="R14" i="16"/>
  <c r="R11" i="9"/>
  <c r="R15" i="9"/>
  <c r="R14" i="9"/>
  <c r="R13" i="16"/>
  <c r="R15" i="16"/>
  <c r="M16" i="9"/>
  <c r="R12" i="9"/>
  <c r="M16" i="16"/>
  <c r="R11" i="16"/>
  <c r="R13" i="9"/>
  <c r="R12" i="16"/>
  <c r="O64" i="16"/>
  <c r="T73" i="10"/>
  <c r="N73" i="10"/>
  <c r="Q73" i="10"/>
  <c r="O73" i="10"/>
  <c r="F73" i="10"/>
  <c r="P73" i="10"/>
  <c r="M73" i="10"/>
  <c r="G8" i="39"/>
  <c r="M32" i="40"/>
  <c r="M47" i="40" s="1"/>
  <c r="M61" i="40" s="1"/>
  <c r="M76" i="40" s="1"/>
  <c r="P64" i="16"/>
  <c r="T72" i="10"/>
  <c r="M72" i="10"/>
  <c r="F72" i="10"/>
  <c r="N72" i="10"/>
  <c r="R13" i="11"/>
  <c r="Q72" i="10"/>
  <c r="O72" i="10"/>
  <c r="P72" i="10"/>
  <c r="R34" i="15"/>
  <c r="R53" i="13"/>
  <c r="R45" i="17"/>
  <c r="G10" i="39"/>
  <c r="G15" i="39"/>
  <c r="R24" i="19"/>
  <c r="G6" i="39"/>
  <c r="R63" i="14"/>
  <c r="T64" i="16"/>
  <c r="F64" i="16"/>
  <c r="M64" i="16"/>
  <c r="Q64" i="16"/>
  <c r="R63" i="18"/>
  <c r="R64" i="16"/>
  <c r="I50" i="40"/>
  <c r="G50" i="40"/>
  <c r="I7" i="40"/>
  <c r="G7" i="40"/>
  <c r="I65" i="40"/>
  <c r="G65" i="40"/>
  <c r="B65" i="40"/>
  <c r="E67" i="40"/>
  <c r="B66" i="40"/>
  <c r="B67" i="40"/>
  <c r="B50" i="40"/>
  <c r="E52" i="40"/>
  <c r="B51" i="40"/>
  <c r="B52" i="40"/>
  <c r="B21" i="40"/>
  <c r="E23" i="40"/>
  <c r="B22" i="40"/>
  <c r="B23" i="40"/>
  <c r="I21" i="40"/>
  <c r="G21" i="40"/>
  <c r="I36" i="40"/>
  <c r="G36" i="40"/>
  <c r="B36" i="40"/>
  <c r="B37" i="40"/>
  <c r="B38" i="40"/>
  <c r="E38" i="40"/>
  <c r="G5" i="39"/>
  <c r="G4" i="39"/>
  <c r="G14" i="39"/>
  <c r="G13" i="39"/>
  <c r="G11" i="39"/>
  <c r="G7" i="39"/>
  <c r="G9" i="39"/>
  <c r="R14" i="12"/>
  <c r="AA14" i="12" s="1"/>
  <c r="R43" i="11"/>
  <c r="R33" i="8"/>
  <c r="R54" i="8"/>
  <c r="R25" i="8"/>
  <c r="R14" i="15"/>
  <c r="R53" i="11"/>
  <c r="R54" i="11"/>
  <c r="R35" i="17"/>
  <c r="R33" i="9"/>
  <c r="R55" i="13"/>
  <c r="R53" i="16"/>
  <c r="R45" i="14"/>
  <c r="R25" i="14"/>
  <c r="R35" i="8"/>
  <c r="R44" i="12"/>
  <c r="R55" i="17"/>
  <c r="M62" i="19"/>
  <c r="N64" i="13"/>
  <c r="R34" i="19"/>
  <c r="M62" i="16"/>
  <c r="O64" i="13"/>
  <c r="R62" i="19"/>
  <c r="R23" i="14"/>
  <c r="R53" i="17"/>
  <c r="R13" i="19"/>
  <c r="N62" i="19"/>
  <c r="P62" i="19"/>
  <c r="R33" i="11"/>
  <c r="R55" i="15"/>
  <c r="M64" i="13"/>
  <c r="R13" i="17"/>
  <c r="Q64" i="13"/>
  <c r="R35" i="16"/>
  <c r="F64" i="15"/>
  <c r="T64" i="15"/>
  <c r="M64" i="15"/>
  <c r="R63" i="16"/>
  <c r="N64" i="15"/>
  <c r="O64" i="15"/>
  <c r="R34" i="17"/>
  <c r="R25" i="19"/>
  <c r="R64" i="15"/>
  <c r="Q63" i="16"/>
  <c r="P64" i="15"/>
  <c r="Q64" i="9"/>
  <c r="R33" i="15"/>
  <c r="R75" i="18"/>
  <c r="R24" i="10"/>
  <c r="R74" i="10"/>
  <c r="M74" i="10"/>
  <c r="R23" i="19"/>
  <c r="M63" i="16"/>
  <c r="R23" i="15"/>
  <c r="R24" i="8"/>
  <c r="N63" i="16"/>
  <c r="N63" i="15"/>
  <c r="R35" i="13"/>
  <c r="R63" i="15"/>
  <c r="R53" i="19"/>
  <c r="R34" i="16"/>
  <c r="R55" i="16"/>
  <c r="Q62" i="19"/>
  <c r="P64" i="13"/>
  <c r="R24" i="15"/>
  <c r="R43" i="18"/>
  <c r="F62" i="19"/>
  <c r="F64" i="13"/>
  <c r="R44" i="8"/>
  <c r="O62" i="19"/>
  <c r="R25" i="15"/>
  <c r="T64" i="13"/>
  <c r="R64" i="17"/>
  <c r="O61" i="13"/>
  <c r="N82" i="18"/>
  <c r="Q72" i="17"/>
  <c r="Q82" i="18"/>
  <c r="F82" i="18"/>
  <c r="R43" i="13"/>
  <c r="P82" i="18"/>
  <c r="N63" i="8"/>
  <c r="R43" i="19"/>
  <c r="R61" i="16"/>
  <c r="M74" i="14"/>
  <c r="P63" i="8"/>
  <c r="R15" i="13"/>
  <c r="R73" i="18"/>
  <c r="F62" i="16"/>
  <c r="R23" i="18"/>
  <c r="R45" i="19"/>
  <c r="R62" i="16"/>
  <c r="T63" i="16"/>
  <c r="R15" i="17"/>
  <c r="O64" i="9"/>
  <c r="T64" i="9"/>
  <c r="T61" i="13"/>
  <c r="R13" i="14"/>
  <c r="P64" i="11"/>
  <c r="O63" i="19"/>
  <c r="M64" i="9"/>
  <c r="R25" i="13"/>
  <c r="R34" i="18"/>
  <c r="P62" i="16"/>
  <c r="O63" i="16"/>
  <c r="R25" i="18"/>
  <c r="R44" i="14"/>
  <c r="R15" i="8"/>
  <c r="F64" i="9"/>
  <c r="R14" i="11"/>
  <c r="F61" i="13"/>
  <c r="Q62" i="16"/>
  <c r="O62" i="16"/>
  <c r="T62" i="16"/>
  <c r="P63" i="16"/>
  <c r="N64" i="9"/>
  <c r="P64" i="9"/>
  <c r="M62" i="9"/>
  <c r="O63" i="15"/>
  <c r="F63" i="19"/>
  <c r="T64" i="11"/>
  <c r="R54" i="17"/>
  <c r="O62" i="15"/>
  <c r="R62" i="9"/>
  <c r="Q63" i="15"/>
  <c r="M63" i="19"/>
  <c r="R34" i="13"/>
  <c r="R15" i="10"/>
  <c r="F62" i="9"/>
  <c r="T63" i="15"/>
  <c r="R62" i="10"/>
  <c r="R14" i="13"/>
  <c r="O72" i="17"/>
  <c r="P63" i="15"/>
  <c r="R33" i="13"/>
  <c r="R25" i="9"/>
  <c r="R84" i="18"/>
  <c r="Q64" i="11"/>
  <c r="P84" i="18"/>
  <c r="Q74" i="10"/>
  <c r="R25" i="17"/>
  <c r="R52" i="18"/>
  <c r="R35" i="19"/>
  <c r="N72" i="17"/>
  <c r="F63" i="15"/>
  <c r="R12" i="14"/>
  <c r="R32" i="10"/>
  <c r="R52" i="11"/>
  <c r="R15" i="11"/>
  <c r="F64" i="11"/>
  <c r="M64" i="11"/>
  <c r="R35" i="15"/>
  <c r="M84" i="18"/>
  <c r="O64" i="11"/>
  <c r="R64" i="11"/>
  <c r="F72" i="17"/>
  <c r="R54" i="13"/>
  <c r="R63" i="19"/>
  <c r="T64" i="8"/>
  <c r="N64" i="8"/>
  <c r="F64" i="8"/>
  <c r="R64" i="8"/>
  <c r="P64" i="8"/>
  <c r="Q64" i="8"/>
  <c r="O64" i="8"/>
  <c r="M64" i="8"/>
  <c r="O62" i="9"/>
  <c r="P72" i="17"/>
  <c r="R22" i="15"/>
  <c r="R45" i="16"/>
  <c r="O84" i="18"/>
  <c r="T61" i="16"/>
  <c r="V52" i="12"/>
  <c r="R43" i="16"/>
  <c r="O61" i="16"/>
  <c r="Q84" i="18"/>
  <c r="R24" i="17"/>
  <c r="V53" i="12"/>
  <c r="V53" i="11" s="1"/>
  <c r="V63" i="10" s="1"/>
  <c r="V53" i="9" s="1"/>
  <c r="V53" i="8" s="1"/>
  <c r="V63" i="17" s="1"/>
  <c r="V53" i="16" s="1"/>
  <c r="V53" i="15" s="1"/>
  <c r="V63" i="14" s="1"/>
  <c r="V53" i="13" s="1"/>
  <c r="V53" i="19" s="1"/>
  <c r="V73" i="18" s="1"/>
  <c r="R65" i="14"/>
  <c r="R54" i="9"/>
  <c r="R42" i="15"/>
  <c r="R53" i="15"/>
  <c r="T62" i="9"/>
  <c r="R23" i="16"/>
  <c r="R25" i="10"/>
  <c r="N62" i="9"/>
  <c r="M72" i="17"/>
  <c r="R52" i="9"/>
  <c r="R72" i="18"/>
  <c r="T84" i="18"/>
  <c r="R52" i="19"/>
  <c r="R55" i="9"/>
  <c r="AC13" i="12"/>
  <c r="O63" i="13"/>
  <c r="R44" i="18"/>
  <c r="N63" i="13"/>
  <c r="R23" i="13"/>
  <c r="P62" i="9"/>
  <c r="R72" i="17"/>
  <c r="W14" i="12"/>
  <c r="R54" i="15"/>
  <c r="R23" i="12"/>
  <c r="R55" i="8"/>
  <c r="F84" i="18"/>
  <c r="R65" i="17"/>
  <c r="M61" i="16"/>
  <c r="O74" i="10"/>
  <c r="R64" i="14"/>
  <c r="M63" i="13"/>
  <c r="R24" i="14"/>
  <c r="R45" i="13"/>
  <c r="F72" i="14"/>
  <c r="R14" i="19"/>
  <c r="R12" i="15"/>
  <c r="R74" i="17"/>
  <c r="R22" i="9"/>
  <c r="R45" i="15"/>
  <c r="R22" i="14"/>
  <c r="R35" i="9"/>
  <c r="R32" i="15"/>
  <c r="R32" i="14"/>
  <c r="R32" i="11"/>
  <c r="R42" i="10"/>
  <c r="R12" i="8"/>
  <c r="Y41" i="12"/>
  <c r="Y12" i="11"/>
  <c r="R42" i="18"/>
  <c r="R12" i="11"/>
  <c r="R42" i="11"/>
  <c r="R22" i="16"/>
  <c r="R32" i="17"/>
  <c r="R32" i="18"/>
  <c r="R32" i="8"/>
  <c r="R12" i="13"/>
  <c r="R22" i="8"/>
  <c r="R61" i="13"/>
  <c r="M61" i="13"/>
  <c r="N61" i="13"/>
  <c r="R12" i="18"/>
  <c r="R42" i="13"/>
  <c r="N61" i="8"/>
  <c r="M61" i="8"/>
  <c r="Q61" i="8"/>
  <c r="F61" i="8"/>
  <c r="T71" i="14"/>
  <c r="P71" i="14"/>
  <c r="R52" i="8"/>
  <c r="Q61" i="13"/>
  <c r="R62" i="14"/>
  <c r="P81" i="18"/>
  <c r="R45" i="18"/>
  <c r="T63" i="13"/>
  <c r="R15" i="15"/>
  <c r="R22" i="11"/>
  <c r="R24" i="13"/>
  <c r="R65" i="18"/>
  <c r="O82" i="18"/>
  <c r="Q74" i="14"/>
  <c r="R12" i="10"/>
  <c r="R45" i="8"/>
  <c r="P74" i="14"/>
  <c r="M83" i="18"/>
  <c r="R35" i="18"/>
  <c r="R63" i="13"/>
  <c r="R44" i="19"/>
  <c r="T82" i="18"/>
  <c r="F74" i="14"/>
  <c r="R23" i="10"/>
  <c r="O83" i="18"/>
  <c r="Q73" i="17"/>
  <c r="Q63" i="13"/>
  <c r="R24" i="16"/>
  <c r="R82" i="18"/>
  <c r="M64" i="19"/>
  <c r="Q83" i="18"/>
  <c r="Q63" i="8"/>
  <c r="M73" i="17"/>
  <c r="R65" i="10"/>
  <c r="Q61" i="16"/>
  <c r="F61" i="16"/>
  <c r="P61" i="16"/>
  <c r="P63" i="13"/>
  <c r="Q64" i="19"/>
  <c r="R34" i="14"/>
  <c r="R83" i="18"/>
  <c r="O63" i="8"/>
  <c r="T62" i="8"/>
  <c r="N62" i="8"/>
  <c r="P73" i="17"/>
  <c r="T73" i="17"/>
  <c r="F73" i="17"/>
  <c r="N73" i="17"/>
  <c r="O74" i="14"/>
  <c r="O64" i="19"/>
  <c r="N83" i="18"/>
  <c r="F63" i="8"/>
  <c r="O74" i="17"/>
  <c r="M81" i="18"/>
  <c r="R74" i="18"/>
  <c r="R73" i="17"/>
  <c r="N74" i="14"/>
  <c r="T83" i="18"/>
  <c r="R63" i="8"/>
  <c r="F62" i="8"/>
  <c r="P74" i="17"/>
  <c r="N81" i="18"/>
  <c r="O62" i="8"/>
  <c r="R62" i="8"/>
  <c r="R35" i="11"/>
  <c r="R32" i="9"/>
  <c r="R15" i="14"/>
  <c r="R23" i="17"/>
  <c r="Q62" i="8"/>
  <c r="R74" i="14"/>
  <c r="F83" i="18"/>
  <c r="R32" i="13"/>
  <c r="M63" i="8"/>
  <c r="T81" i="18"/>
  <c r="P62" i="8"/>
  <c r="R34" i="10"/>
  <c r="O81" i="18"/>
  <c r="R81" i="18"/>
  <c r="F81" i="18"/>
  <c r="O61" i="8"/>
  <c r="R61" i="8"/>
  <c r="T61" i="8"/>
  <c r="M61" i="11"/>
  <c r="T61" i="11"/>
  <c r="O61" i="11"/>
  <c r="P61" i="11"/>
  <c r="N61" i="11"/>
  <c r="R61" i="11"/>
  <c r="Q61" i="11"/>
  <c r="F61" i="11"/>
  <c r="R54" i="18"/>
  <c r="R53" i="12"/>
  <c r="AA53" i="12" s="1"/>
  <c r="P64" i="19"/>
  <c r="R42" i="16"/>
  <c r="R24" i="9"/>
  <c r="R13" i="18"/>
  <c r="R13" i="13"/>
  <c r="F74" i="17"/>
  <c r="Q71" i="14"/>
  <c r="M71" i="14"/>
  <c r="N74" i="10"/>
  <c r="R42" i="17"/>
  <c r="AC53" i="12"/>
  <c r="R64" i="19"/>
  <c r="R23" i="8"/>
  <c r="T74" i="17"/>
  <c r="R12" i="19"/>
  <c r="O71" i="14"/>
  <c r="W53" i="12"/>
  <c r="N64" i="19"/>
  <c r="F71" i="14"/>
  <c r="R64" i="18"/>
  <c r="R34" i="9"/>
  <c r="X53" i="12"/>
  <c r="T64" i="19"/>
  <c r="R42" i="19"/>
  <c r="R43" i="8"/>
  <c r="Q74" i="17"/>
  <c r="F74" i="10"/>
  <c r="R71" i="14"/>
  <c r="R55" i="14"/>
  <c r="N74" i="17"/>
  <c r="N71" i="14"/>
  <c r="R52" i="14"/>
  <c r="T74" i="10"/>
  <c r="R45" i="9"/>
  <c r="R55" i="19"/>
  <c r="M72" i="14"/>
  <c r="P62" i="13"/>
  <c r="R34" i="8"/>
  <c r="R35" i="14"/>
  <c r="O63" i="11"/>
  <c r="N63" i="11"/>
  <c r="P63" i="11"/>
  <c r="F63" i="11"/>
  <c r="Q63" i="11"/>
  <c r="T63" i="11"/>
  <c r="M63" i="11"/>
  <c r="R63" i="11"/>
  <c r="R42" i="9"/>
  <c r="Q72" i="14"/>
  <c r="R22" i="17"/>
  <c r="R44" i="16"/>
  <c r="R32" i="19"/>
  <c r="O62" i="13"/>
  <c r="R44" i="11"/>
  <c r="R25" i="11"/>
  <c r="R23" i="11"/>
  <c r="R45" i="10"/>
  <c r="R72" i="14"/>
  <c r="R45" i="11"/>
  <c r="T72" i="14"/>
  <c r="R44" i="15"/>
  <c r="R44" i="9"/>
  <c r="R54" i="14"/>
  <c r="P72" i="14"/>
  <c r="N72" i="14"/>
  <c r="AC14" i="12"/>
  <c r="R63" i="17"/>
  <c r="R24" i="12"/>
  <c r="R25" i="16"/>
  <c r="V14" i="12"/>
  <c r="V24" i="12" s="1"/>
  <c r="V34" i="12" s="1"/>
  <c r="V44" i="12" s="1"/>
  <c r="V14" i="11" s="1"/>
  <c r="V24" i="11" s="1"/>
  <c r="V34" i="11" s="1"/>
  <c r="V44" i="11" s="1"/>
  <c r="V14" i="10" s="1"/>
  <c r="V24" i="10" s="1"/>
  <c r="V34" i="10" s="1"/>
  <c r="V44" i="10" s="1"/>
  <c r="V54" i="10" s="1"/>
  <c r="V14" i="9" s="1"/>
  <c r="V24" i="9" s="1"/>
  <c r="X14" i="12"/>
  <c r="R44" i="13"/>
  <c r="R42" i="14"/>
  <c r="R64" i="10"/>
  <c r="R35" i="10"/>
  <c r="R12" i="17"/>
  <c r="P62" i="15"/>
  <c r="T61" i="9"/>
  <c r="R61" i="9"/>
  <c r="N61" i="9"/>
  <c r="P61" i="9"/>
  <c r="F61" i="9"/>
  <c r="O61" i="9"/>
  <c r="Q61" i="9"/>
  <c r="M61" i="9"/>
  <c r="O63" i="9"/>
  <c r="F63" i="9"/>
  <c r="T63" i="9"/>
  <c r="Q63" i="9"/>
  <c r="M63" i="9"/>
  <c r="R63" i="9"/>
  <c r="P63" i="9"/>
  <c r="N63" i="9"/>
  <c r="R52" i="15"/>
  <c r="V12" i="12"/>
  <c r="R62" i="17"/>
  <c r="R53" i="8"/>
  <c r="R14" i="17"/>
  <c r="T62" i="15"/>
  <c r="T63" i="19"/>
  <c r="R33" i="14"/>
  <c r="R52" i="13"/>
  <c r="R33" i="12"/>
  <c r="R53" i="18"/>
  <c r="R43" i="14"/>
  <c r="R22" i="18"/>
  <c r="R22" i="10"/>
  <c r="R44" i="17"/>
  <c r="R53" i="9"/>
  <c r="R24" i="11"/>
  <c r="R13" i="15"/>
  <c r="R54" i="16"/>
  <c r="W13" i="12"/>
  <c r="R62" i="15"/>
  <c r="N63" i="19"/>
  <c r="AC52" i="12"/>
  <c r="F62" i="13"/>
  <c r="M62" i="13"/>
  <c r="N62" i="13"/>
  <c r="T62" i="13"/>
  <c r="R62" i="13"/>
  <c r="R34" i="11"/>
  <c r="T61" i="15"/>
  <c r="P61" i="15"/>
  <c r="Q61" i="15"/>
  <c r="N61" i="15"/>
  <c r="M61" i="15"/>
  <c r="R61" i="15"/>
  <c r="F61" i="15"/>
  <c r="O61" i="15"/>
  <c r="R42" i="8"/>
  <c r="O62" i="11"/>
  <c r="N62" i="11"/>
  <c r="P62" i="11"/>
  <c r="T62" i="11"/>
  <c r="M62" i="11"/>
  <c r="F62" i="11"/>
  <c r="Q62" i="11"/>
  <c r="R62" i="11"/>
  <c r="R43" i="17"/>
  <c r="R73" i="14"/>
  <c r="P73" i="14"/>
  <c r="N73" i="14"/>
  <c r="Q73" i="14"/>
  <c r="T73" i="14"/>
  <c r="O73" i="14"/>
  <c r="F73" i="14"/>
  <c r="M73" i="14"/>
  <c r="R42" i="12"/>
  <c r="M61" i="19"/>
  <c r="P61" i="19"/>
  <c r="R61" i="19"/>
  <c r="N61" i="19"/>
  <c r="T61" i="19"/>
  <c r="Q61" i="19"/>
  <c r="F61" i="19"/>
  <c r="O61" i="19"/>
  <c r="R43" i="15"/>
  <c r="N62" i="15"/>
  <c r="R33" i="10"/>
  <c r="M62" i="15"/>
  <c r="R52" i="12"/>
  <c r="R52" i="17"/>
  <c r="R22" i="13"/>
  <c r="R13" i="8"/>
  <c r="X13" i="12"/>
  <c r="Q62" i="15"/>
  <c r="P63" i="19"/>
  <c r="R24" i="18"/>
  <c r="R63" i="10"/>
  <c r="T71" i="10"/>
  <c r="P71" i="10"/>
  <c r="O71" i="10"/>
  <c r="F71" i="10"/>
  <c r="R71" i="10"/>
  <c r="N71" i="10"/>
  <c r="Q71" i="10"/>
  <c r="M71" i="10"/>
  <c r="Q62" i="12"/>
  <c r="M62" i="12"/>
  <c r="N62" i="12"/>
  <c r="T62" i="12"/>
  <c r="O62" i="12"/>
  <c r="P62" i="12"/>
  <c r="F62" i="12"/>
  <c r="R62" i="12"/>
  <c r="R22" i="19"/>
  <c r="R54" i="19"/>
  <c r="R32" i="12"/>
  <c r="R32" i="16"/>
  <c r="R13" i="12"/>
  <c r="AA13" i="12" s="1"/>
  <c r="R14" i="14"/>
  <c r="R43" i="10"/>
  <c r="R14" i="10"/>
  <c r="V13" i="12"/>
  <c r="V23" i="12" s="1"/>
  <c r="V33" i="12" s="1"/>
  <c r="V43" i="12" s="1"/>
  <c r="V13" i="11" s="1"/>
  <c r="V23" i="11" s="1"/>
  <c r="V33" i="11" s="1"/>
  <c r="V43" i="11" s="1"/>
  <c r="V13" i="10" s="1"/>
  <c r="V23" i="10" s="1"/>
  <c r="V33" i="10" s="1"/>
  <c r="V43" i="10" s="1"/>
  <c r="V53" i="10" s="1"/>
  <c r="V13" i="9" s="1"/>
  <c r="V23" i="9" s="1"/>
  <c r="R62" i="18"/>
  <c r="R43" i="9"/>
  <c r="O71" i="17"/>
  <c r="N71" i="17"/>
  <c r="F71" i="17"/>
  <c r="P71" i="17"/>
  <c r="Q71" i="17"/>
  <c r="M71" i="17"/>
  <c r="T71" i="17"/>
  <c r="R71" i="17"/>
  <c r="R23" i="9"/>
  <c r="R33" i="17"/>
  <c r="M61" i="12"/>
  <c r="N61" i="12"/>
  <c r="R61" i="12"/>
  <c r="Q61" i="12"/>
  <c r="P61" i="12"/>
  <c r="T61" i="12"/>
  <c r="O61" i="12"/>
  <c r="F61" i="12"/>
  <c r="R14" i="18"/>
  <c r="V54" i="12"/>
  <c r="V54" i="11" s="1"/>
  <c r="V64" i="10" s="1"/>
  <c r="V54" i="9" s="1"/>
  <c r="V54" i="8" s="1"/>
  <c r="V64" i="17" s="1"/>
  <c r="V54" i="16" s="1"/>
  <c r="V54" i="15" s="1"/>
  <c r="V64" i="14" s="1"/>
  <c r="V54" i="13" s="1"/>
  <c r="V54" i="19" s="1"/>
  <c r="V74" i="18" s="1"/>
  <c r="AC54" i="12"/>
  <c r="R54" i="12"/>
  <c r="AA54" i="12" s="1"/>
  <c r="W54" i="12"/>
  <c r="X54" i="12"/>
  <c r="O63" i="12"/>
  <c r="R63" i="12"/>
  <c r="N63" i="12"/>
  <c r="M63" i="12"/>
  <c r="Q63" i="12"/>
  <c r="P63" i="12"/>
  <c r="F63" i="12"/>
  <c r="T63" i="12"/>
  <c r="R71" i="18"/>
  <c r="M76" i="18"/>
  <c r="R21" i="18"/>
  <c r="M26" i="18"/>
  <c r="R21" i="10"/>
  <c r="M26" i="10"/>
  <c r="R21" i="8"/>
  <c r="M26" i="8"/>
  <c r="R11" i="19"/>
  <c r="M16" i="19"/>
  <c r="R51" i="14"/>
  <c r="M56" i="14"/>
  <c r="R51" i="8"/>
  <c r="M56" i="8"/>
  <c r="R11" i="15"/>
  <c r="M16" i="15"/>
  <c r="R11" i="11"/>
  <c r="M16" i="11"/>
  <c r="R41" i="17"/>
  <c r="M46" i="17"/>
  <c r="R31" i="16"/>
  <c r="M36" i="16"/>
  <c r="R35" i="12"/>
  <c r="R11" i="13"/>
  <c r="M16" i="13"/>
  <c r="R51" i="18"/>
  <c r="M56" i="18"/>
  <c r="R31" i="8"/>
  <c r="M36" i="8"/>
  <c r="R41" i="19"/>
  <c r="M46" i="19"/>
  <c r="R31" i="11"/>
  <c r="M36" i="11"/>
  <c r="P60" i="8"/>
  <c r="T60" i="8"/>
  <c r="F60" i="8"/>
  <c r="N60" i="8"/>
  <c r="M60" i="8"/>
  <c r="O60" i="8"/>
  <c r="Q60" i="8"/>
  <c r="R60" i="8"/>
  <c r="AE67" i="12"/>
  <c r="AE67" i="11" s="1"/>
  <c r="AE77" i="10" s="1"/>
  <c r="AE67" i="9" s="1"/>
  <c r="AE67" i="8" s="1"/>
  <c r="AE77" i="17" s="1"/>
  <c r="AE67" i="16" s="1"/>
  <c r="AE67" i="15" s="1"/>
  <c r="AE77" i="14" s="1"/>
  <c r="AE67" i="13" s="1"/>
  <c r="AE67" i="19" s="1"/>
  <c r="AE87" i="18" s="1"/>
  <c r="R31" i="13"/>
  <c r="M36" i="13"/>
  <c r="R60" i="19"/>
  <c r="N60" i="19"/>
  <c r="P60" i="19"/>
  <c r="Q60" i="19"/>
  <c r="F60" i="19"/>
  <c r="T60" i="19"/>
  <c r="M60" i="19"/>
  <c r="O60" i="19"/>
  <c r="R41" i="18"/>
  <c r="M46" i="18"/>
  <c r="R21" i="15"/>
  <c r="M26" i="15"/>
  <c r="R21" i="17"/>
  <c r="M26" i="17"/>
  <c r="R31" i="9"/>
  <c r="M36" i="9"/>
  <c r="Q60" i="11"/>
  <c r="M60" i="11"/>
  <c r="T60" i="11"/>
  <c r="N60" i="11"/>
  <c r="F60" i="11"/>
  <c r="O60" i="11"/>
  <c r="R60" i="11"/>
  <c r="P60" i="11"/>
  <c r="R15" i="18"/>
  <c r="R51" i="12"/>
  <c r="V51" i="12"/>
  <c r="V51" i="11" s="1"/>
  <c r="V61" i="10" s="1"/>
  <c r="V51" i="9" s="1"/>
  <c r="V51" i="8" s="1"/>
  <c r="V61" i="17" s="1"/>
  <c r="V51" i="16" s="1"/>
  <c r="V51" i="15" s="1"/>
  <c r="V61" i="14" s="1"/>
  <c r="V51" i="13" s="1"/>
  <c r="V51" i="19" s="1"/>
  <c r="V71" i="18" s="1"/>
  <c r="M56" i="12"/>
  <c r="V55" i="12"/>
  <c r="V55" i="11" s="1"/>
  <c r="V65" i="10" s="1"/>
  <c r="V55" i="9" s="1"/>
  <c r="V55" i="8" s="1"/>
  <c r="V65" i="17" s="1"/>
  <c r="V55" i="16" s="1"/>
  <c r="V55" i="15" s="1"/>
  <c r="V65" i="14" s="1"/>
  <c r="V55" i="13" s="1"/>
  <c r="V55" i="19" s="1"/>
  <c r="V75" i="18" s="1"/>
  <c r="X55" i="12"/>
  <c r="X55" i="11" s="1"/>
  <c r="AC55" i="12"/>
  <c r="AC55" i="11" s="1"/>
  <c r="W55" i="12"/>
  <c r="W55" i="11" s="1"/>
  <c r="R55" i="12"/>
  <c r="AA55" i="12" s="1"/>
  <c r="AA55" i="11" s="1"/>
  <c r="R41" i="15"/>
  <c r="M46" i="15"/>
  <c r="R31" i="12"/>
  <c r="M36" i="12"/>
  <c r="R51" i="16"/>
  <c r="M56" i="16"/>
  <c r="R21" i="16"/>
  <c r="M26" i="16"/>
  <c r="Q60" i="12"/>
  <c r="T60" i="12"/>
  <c r="O60" i="12"/>
  <c r="N60" i="12"/>
  <c r="P60" i="12"/>
  <c r="M60" i="12"/>
  <c r="F60" i="12"/>
  <c r="R60" i="12"/>
  <c r="R31" i="10"/>
  <c r="M36" i="10"/>
  <c r="V11" i="12"/>
  <c r="M16" i="12"/>
  <c r="R25" i="12"/>
  <c r="R61" i="10"/>
  <c r="M66" i="10"/>
  <c r="R31" i="18"/>
  <c r="M36" i="18"/>
  <c r="M64" i="12"/>
  <c r="P64" i="12"/>
  <c r="R64" i="12"/>
  <c r="O64" i="12"/>
  <c r="F64" i="12"/>
  <c r="T64" i="12"/>
  <c r="Q64" i="12"/>
  <c r="N64" i="12"/>
  <c r="R31" i="19"/>
  <c r="M36" i="19"/>
  <c r="R31" i="17"/>
  <c r="M36" i="17"/>
  <c r="P60" i="16"/>
  <c r="T60" i="16"/>
  <c r="F60" i="16"/>
  <c r="Q60" i="16"/>
  <c r="O60" i="16"/>
  <c r="M60" i="16"/>
  <c r="R60" i="16"/>
  <c r="N60" i="16"/>
  <c r="R21" i="11"/>
  <c r="M26" i="11"/>
  <c r="R51" i="17"/>
  <c r="M56" i="17"/>
  <c r="R11" i="18"/>
  <c r="M16" i="18"/>
  <c r="T41" i="9"/>
  <c r="R41" i="9"/>
  <c r="M46" i="9"/>
  <c r="R11" i="17"/>
  <c r="M16" i="17"/>
  <c r="R41" i="8"/>
  <c r="M46" i="8"/>
  <c r="AG67" i="11"/>
  <c r="AG77" i="10" s="1"/>
  <c r="AG67" i="9" s="1"/>
  <c r="AG67" i="8" s="1"/>
  <c r="AG77" i="17" s="1"/>
  <c r="AG67" i="16" s="1"/>
  <c r="AG67" i="15" s="1"/>
  <c r="AG77" i="14" s="1"/>
  <c r="AG67" i="13" s="1"/>
  <c r="AG67" i="19" s="1"/>
  <c r="AG87" i="18" s="1"/>
  <c r="R21" i="14"/>
  <c r="M26" i="14"/>
  <c r="R41" i="13"/>
  <c r="M46" i="13"/>
  <c r="R51" i="9"/>
  <c r="M56" i="9"/>
  <c r="T70" i="14"/>
  <c r="O70" i="14"/>
  <c r="Q70" i="14"/>
  <c r="P70" i="14"/>
  <c r="F70" i="14"/>
  <c r="R70" i="14"/>
  <c r="N70" i="14"/>
  <c r="M70" i="14"/>
  <c r="R61" i="14"/>
  <c r="M66" i="14"/>
  <c r="R51" i="13"/>
  <c r="M56" i="13"/>
  <c r="R61" i="17"/>
  <c r="M66" i="17"/>
  <c r="R21" i="13"/>
  <c r="M26" i="13"/>
  <c r="Q70" i="10"/>
  <c r="M70" i="10"/>
  <c r="R70" i="10"/>
  <c r="P70" i="10"/>
  <c r="N70" i="10"/>
  <c r="F70" i="10"/>
  <c r="T70" i="10"/>
  <c r="O70" i="10"/>
  <c r="R41" i="12"/>
  <c r="M46" i="12"/>
  <c r="R31" i="14"/>
  <c r="M36" i="14"/>
  <c r="R45" i="12"/>
  <c r="R41" i="11"/>
  <c r="M46" i="11"/>
  <c r="R41" i="14"/>
  <c r="M46" i="14"/>
  <c r="R51" i="19"/>
  <c r="M56" i="19"/>
  <c r="M26" i="12"/>
  <c r="R51" i="15"/>
  <c r="M56" i="15"/>
  <c r="R41" i="16"/>
  <c r="M46" i="16"/>
  <c r="R61" i="18"/>
  <c r="M66" i="18"/>
  <c r="R80" i="18"/>
  <c r="N80" i="18"/>
  <c r="F80" i="18"/>
  <c r="O80" i="18"/>
  <c r="M80" i="18"/>
  <c r="T80" i="18"/>
  <c r="P80" i="18"/>
  <c r="Q80" i="18"/>
  <c r="T60" i="15"/>
  <c r="F60" i="15"/>
  <c r="O60" i="15"/>
  <c r="N60" i="15"/>
  <c r="R60" i="15"/>
  <c r="M60" i="15"/>
  <c r="P60" i="15"/>
  <c r="Q60" i="15"/>
  <c r="R41" i="10"/>
  <c r="M46" i="10"/>
  <c r="R51" i="11"/>
  <c r="M56" i="11"/>
  <c r="Q60" i="9"/>
  <c r="M60" i="9"/>
  <c r="P60" i="9"/>
  <c r="O60" i="9"/>
  <c r="F60" i="9"/>
  <c r="R60" i="9"/>
  <c r="N60" i="9"/>
  <c r="T60" i="9"/>
  <c r="R21" i="9"/>
  <c r="M26" i="9"/>
  <c r="R11" i="10"/>
  <c r="M16" i="10"/>
  <c r="R21" i="19"/>
  <c r="M26" i="19"/>
  <c r="R11" i="8"/>
  <c r="M16" i="8"/>
  <c r="AC15" i="12"/>
  <c r="X15" i="12"/>
  <c r="W15" i="12"/>
  <c r="V15" i="12"/>
  <c r="V25" i="12" s="1"/>
  <c r="V35" i="12" s="1"/>
  <c r="V45" i="12" s="1"/>
  <c r="V15" i="11" s="1"/>
  <c r="V25" i="11" s="1"/>
  <c r="V35" i="11" s="1"/>
  <c r="V45" i="11" s="1"/>
  <c r="V15" i="10" s="1"/>
  <c r="V25" i="10" s="1"/>
  <c r="V35" i="10" s="1"/>
  <c r="V45" i="10" s="1"/>
  <c r="V55" i="10" s="1"/>
  <c r="V15" i="9" s="1"/>
  <c r="V25" i="9" s="1"/>
  <c r="R15" i="12"/>
  <c r="AA15" i="12" s="1"/>
  <c r="T60" i="13"/>
  <c r="F60" i="13"/>
  <c r="O60" i="13"/>
  <c r="N60" i="13"/>
  <c r="M60" i="13"/>
  <c r="R60" i="13"/>
  <c r="P60" i="13"/>
  <c r="Q60" i="13"/>
  <c r="P70" i="17"/>
  <c r="F70" i="17"/>
  <c r="M70" i="17"/>
  <c r="R70" i="17"/>
  <c r="N70" i="17"/>
  <c r="Q70" i="17"/>
  <c r="O70" i="17"/>
  <c r="T70" i="17"/>
  <c r="AF67" i="11"/>
  <c r="AF77" i="10" s="1"/>
  <c r="AF67" i="9" s="1"/>
  <c r="AF67" i="8" s="1"/>
  <c r="AF77" i="17" s="1"/>
  <c r="AF67" i="16" s="1"/>
  <c r="AF67" i="15" s="1"/>
  <c r="AF77" i="14" s="1"/>
  <c r="AF67" i="13" s="1"/>
  <c r="AF67" i="19" s="1"/>
  <c r="AF87" i="18" s="1"/>
  <c r="R31" i="15"/>
  <c r="M36" i="15"/>
  <c r="R11" i="14"/>
  <c r="M16" i="14"/>
  <c r="R56" i="10" l="1"/>
  <c r="M1" i="10"/>
  <c r="M1" i="9"/>
  <c r="B63" i="24"/>
  <c r="W62" i="25"/>
  <c r="M1" i="16"/>
  <c r="R16" i="16"/>
  <c r="R16" i="9"/>
  <c r="V35" i="9"/>
  <c r="V45" i="9" s="1"/>
  <c r="V33" i="9"/>
  <c r="V43" i="9" s="1"/>
  <c r="V34" i="9"/>
  <c r="V44" i="9" s="1"/>
  <c r="G16" i="39"/>
  <c r="AA53" i="11"/>
  <c r="AA63" i="10" s="1"/>
  <c r="AA53" i="9" s="1"/>
  <c r="AA53" i="8" s="1"/>
  <c r="AA63" i="17" s="1"/>
  <c r="AA53" i="16" s="1"/>
  <c r="AA53" i="15" s="1"/>
  <c r="AA63" i="14" s="1"/>
  <c r="AA53" i="13" s="1"/>
  <c r="AA53" i="19" s="1"/>
  <c r="AA73" i="18" s="1"/>
  <c r="AA54" i="11"/>
  <c r="AA64" i="10" s="1"/>
  <c r="AA54" i="9" s="1"/>
  <c r="AA54" i="8" s="1"/>
  <c r="AA64" i="17" s="1"/>
  <c r="AA54" i="16" s="1"/>
  <c r="AA54" i="15" s="1"/>
  <c r="AA64" i="14" s="1"/>
  <c r="AA54" i="13" s="1"/>
  <c r="AA54" i="19" s="1"/>
  <c r="AA74" i="18" s="1"/>
  <c r="AC23" i="12"/>
  <c r="AC33" i="12" s="1"/>
  <c r="AC43" i="12" s="1"/>
  <c r="AC13" i="11" s="1"/>
  <c r="AC23" i="11" s="1"/>
  <c r="AC33" i="11" s="1"/>
  <c r="AC43" i="11" s="1"/>
  <c r="AC13" i="10" s="1"/>
  <c r="AC23" i="10" s="1"/>
  <c r="AC33" i="10" s="1"/>
  <c r="AC43" i="10" s="1"/>
  <c r="W65" i="10"/>
  <c r="W55" i="9" s="1"/>
  <c r="W55" i="8" s="1"/>
  <c r="W65" i="17" s="1"/>
  <c r="W55" i="16" s="1"/>
  <c r="W55" i="15" s="1"/>
  <c r="W65" i="14" s="1"/>
  <c r="W55" i="13" s="1"/>
  <c r="W55" i="19" s="1"/>
  <c r="W75" i="18" s="1"/>
  <c r="AA24" i="12"/>
  <c r="AA34" i="12" s="1"/>
  <c r="AA44" i="12" s="1"/>
  <c r="AA14" i="11" s="1"/>
  <c r="AA24" i="11" s="1"/>
  <c r="AA34" i="11" s="1"/>
  <c r="AA44" i="11" s="1"/>
  <c r="AA14" i="10" s="1"/>
  <c r="AA24" i="10" s="1"/>
  <c r="AA34" i="10" s="1"/>
  <c r="AA44" i="10" s="1"/>
  <c r="AA54" i="10" s="1"/>
  <c r="AA14" i="9" s="1"/>
  <c r="AA24" i="9" s="1"/>
  <c r="AC52" i="11"/>
  <c r="AC24" i="12"/>
  <c r="AC34" i="12" s="1"/>
  <c r="AC44" i="12" s="1"/>
  <c r="AC14" i="11" s="1"/>
  <c r="AC24" i="11" s="1"/>
  <c r="AC34" i="11" s="1"/>
  <c r="AC44" i="11" s="1"/>
  <c r="AC14" i="10" s="1"/>
  <c r="AC24" i="10" s="1"/>
  <c r="AC34" i="10" s="1"/>
  <c r="AC44" i="10" s="1"/>
  <c r="N65" i="16"/>
  <c r="N2" i="16" s="1"/>
  <c r="R65" i="16"/>
  <c r="R2" i="16" s="1"/>
  <c r="M85" i="18"/>
  <c r="M2" i="18" s="1"/>
  <c r="W23" i="12"/>
  <c r="W33" i="12" s="1"/>
  <c r="W43" i="12" s="1"/>
  <c r="W13" i="11" s="1"/>
  <c r="W23" i="11" s="1"/>
  <c r="W33" i="11" s="1"/>
  <c r="W43" i="11" s="1"/>
  <c r="W13" i="10" s="1"/>
  <c r="W23" i="10" s="1"/>
  <c r="W33" i="10" s="1"/>
  <c r="W43" i="10" s="1"/>
  <c r="T65" i="16"/>
  <c r="T2" i="16" s="1"/>
  <c r="O65" i="16"/>
  <c r="O2" i="16" s="1"/>
  <c r="AC62" i="10"/>
  <c r="AC52" i="9" s="1"/>
  <c r="AC52" i="8" s="1"/>
  <c r="AC62" i="17" s="1"/>
  <c r="AC52" i="16" s="1"/>
  <c r="AC52" i="15" s="1"/>
  <c r="AC62" i="14" s="1"/>
  <c r="AC52" i="13" s="1"/>
  <c r="AC52" i="19" s="1"/>
  <c r="AC72" i="18" s="1"/>
  <c r="X23" i="12"/>
  <c r="X33" i="12" s="1"/>
  <c r="X43" i="12" s="1"/>
  <c r="X13" i="11" s="1"/>
  <c r="X23" i="11" s="1"/>
  <c r="X33" i="11" s="1"/>
  <c r="X43" i="11" s="1"/>
  <c r="X13" i="10" s="1"/>
  <c r="X23" i="10" s="1"/>
  <c r="X33" i="10" s="1"/>
  <c r="X43" i="10" s="1"/>
  <c r="P65" i="8"/>
  <c r="P2" i="8" s="1"/>
  <c r="W53" i="11"/>
  <c r="W63" i="10" s="1"/>
  <c r="W53" i="9" s="1"/>
  <c r="W53" i="8" s="1"/>
  <c r="W63" i="17" s="1"/>
  <c r="W53" i="16" s="1"/>
  <c r="W53" i="15" s="1"/>
  <c r="W63" i="14" s="1"/>
  <c r="W53" i="13" s="1"/>
  <c r="W53" i="19" s="1"/>
  <c r="W73" i="18" s="1"/>
  <c r="AA23" i="12"/>
  <c r="AA33" i="12" s="1"/>
  <c r="AA43" i="12" s="1"/>
  <c r="AA13" i="11" s="1"/>
  <c r="AA23" i="11" s="1"/>
  <c r="AA33" i="11" s="1"/>
  <c r="AA43" i="11" s="1"/>
  <c r="AA13" i="10" s="1"/>
  <c r="AA23" i="10" s="1"/>
  <c r="AA33" i="10" s="1"/>
  <c r="AA43" i="10" s="1"/>
  <c r="AA53" i="10" s="1"/>
  <c r="AA13" i="9" s="1"/>
  <c r="AA23" i="9" s="1"/>
  <c r="V52" i="11"/>
  <c r="Q85" i="18"/>
  <c r="Q2" i="18" s="1"/>
  <c r="M65" i="16"/>
  <c r="M2" i="16" s="1"/>
  <c r="AC54" i="11"/>
  <c r="AC64" i="10" s="1"/>
  <c r="AC54" i="9" s="1"/>
  <c r="AC54" i="8" s="1"/>
  <c r="AC64" i="17" s="1"/>
  <c r="AC54" i="16" s="1"/>
  <c r="AC54" i="15" s="1"/>
  <c r="AC64" i="14" s="1"/>
  <c r="AC54" i="13" s="1"/>
  <c r="AC54" i="19" s="1"/>
  <c r="AC74" i="18" s="1"/>
  <c r="Q65" i="13"/>
  <c r="Q2" i="13" s="1"/>
  <c r="P85" i="18"/>
  <c r="P2" i="18" s="1"/>
  <c r="W24" i="12"/>
  <c r="W34" i="12" s="1"/>
  <c r="W44" i="12" s="1"/>
  <c r="W14" i="11" s="1"/>
  <c r="W24" i="11" s="1"/>
  <c r="W34" i="11" s="1"/>
  <c r="W44" i="11" s="1"/>
  <c r="W14" i="10" s="1"/>
  <c r="W24" i="10" s="1"/>
  <c r="W34" i="10" s="1"/>
  <c r="W44" i="10" s="1"/>
  <c r="AA65" i="10"/>
  <c r="AA55" i="9" s="1"/>
  <c r="AA55" i="8" s="1"/>
  <c r="AA65" i="17" s="1"/>
  <c r="AA55" i="16" s="1"/>
  <c r="AA55" i="15" s="1"/>
  <c r="AA65" i="14" s="1"/>
  <c r="AA55" i="13" s="1"/>
  <c r="AA55" i="19" s="1"/>
  <c r="AA75" i="18" s="1"/>
  <c r="X54" i="11"/>
  <c r="X64" i="10" s="1"/>
  <c r="X54" i="9" s="1"/>
  <c r="X54" i="8" s="1"/>
  <c r="X64" i="17" s="1"/>
  <c r="X54" i="16" s="1"/>
  <c r="X54" i="15" s="1"/>
  <c r="X64" i="14" s="1"/>
  <c r="X54" i="13" s="1"/>
  <c r="X54" i="19" s="1"/>
  <c r="X74" i="18" s="1"/>
  <c r="AC53" i="11"/>
  <c r="AC63" i="10" s="1"/>
  <c r="AC53" i="9" s="1"/>
  <c r="AC53" i="8" s="1"/>
  <c r="AC63" i="17" s="1"/>
  <c r="AC53" i="16" s="1"/>
  <c r="AC53" i="15" s="1"/>
  <c r="AC63" i="14" s="1"/>
  <c r="AC53" i="13" s="1"/>
  <c r="AC53" i="19" s="1"/>
  <c r="AC73" i="18" s="1"/>
  <c r="Y22" i="11"/>
  <c r="Y11" i="11"/>
  <c r="X24" i="12"/>
  <c r="X34" i="12" s="1"/>
  <c r="X44" i="12" s="1"/>
  <c r="X14" i="11" s="1"/>
  <c r="X24" i="11" s="1"/>
  <c r="X34" i="11" s="1"/>
  <c r="X44" i="11" s="1"/>
  <c r="X14" i="10" s="1"/>
  <c r="X24" i="10" s="1"/>
  <c r="X34" i="10" s="1"/>
  <c r="X44" i="10" s="1"/>
  <c r="X52" i="12"/>
  <c r="AA52" i="12"/>
  <c r="M65" i="8"/>
  <c r="M2" i="8" s="1"/>
  <c r="V22" i="12"/>
  <c r="W52" i="12"/>
  <c r="O85" i="18"/>
  <c r="O2" i="18" s="1"/>
  <c r="P65" i="13"/>
  <c r="P2" i="13" s="1"/>
  <c r="Q65" i="16"/>
  <c r="Q2" i="16" s="1"/>
  <c r="AC65" i="10"/>
  <c r="AC55" i="9" s="1"/>
  <c r="AC55" i="8" s="1"/>
  <c r="AC65" i="17" s="1"/>
  <c r="AC55" i="16" s="1"/>
  <c r="AC55" i="15" s="1"/>
  <c r="AC65" i="14" s="1"/>
  <c r="AC55" i="13" s="1"/>
  <c r="AC55" i="19" s="1"/>
  <c r="AC75" i="18" s="1"/>
  <c r="N65" i="8"/>
  <c r="N2" i="8" s="1"/>
  <c r="X65" i="10"/>
  <c r="X55" i="9" s="1"/>
  <c r="X55" i="8" s="1"/>
  <c r="X65" i="17" s="1"/>
  <c r="X55" i="16" s="1"/>
  <c r="X55" i="15" s="1"/>
  <c r="X65" i="14" s="1"/>
  <c r="X55" i="13" s="1"/>
  <c r="X55" i="19" s="1"/>
  <c r="X75" i="18" s="1"/>
  <c r="N85" i="18"/>
  <c r="N2" i="18" s="1"/>
  <c r="P65" i="16"/>
  <c r="P2" i="16" s="1"/>
  <c r="Q65" i="8"/>
  <c r="Q2" i="8" s="1"/>
  <c r="R85" i="18"/>
  <c r="R2" i="18" s="1"/>
  <c r="T65" i="8"/>
  <c r="T2" i="8" s="1"/>
  <c r="R65" i="8"/>
  <c r="R2" i="8" s="1"/>
  <c r="O65" i="8"/>
  <c r="O2" i="8" s="1"/>
  <c r="T85" i="18"/>
  <c r="T2" i="18" s="1"/>
  <c r="M75" i="17"/>
  <c r="M2" i="17" s="1"/>
  <c r="P75" i="10"/>
  <c r="P2" i="10" s="1"/>
  <c r="X53" i="11"/>
  <c r="X63" i="10" s="1"/>
  <c r="X53" i="9" s="1"/>
  <c r="X53" i="8" s="1"/>
  <c r="X63" i="17" s="1"/>
  <c r="X53" i="16" s="1"/>
  <c r="X53" i="15" s="1"/>
  <c r="X63" i="14" s="1"/>
  <c r="X53" i="13" s="1"/>
  <c r="X53" i="19" s="1"/>
  <c r="X73" i="18" s="1"/>
  <c r="O65" i="19"/>
  <c r="O2" i="19" s="1"/>
  <c r="O65" i="13"/>
  <c r="O2" i="13" s="1"/>
  <c r="R75" i="17"/>
  <c r="R2" i="17" s="1"/>
  <c r="M65" i="9"/>
  <c r="M2" i="9" s="1"/>
  <c r="Q65" i="9"/>
  <c r="Q2" i="9" s="1"/>
  <c r="M75" i="14"/>
  <c r="M2" i="14" s="1"/>
  <c r="W54" i="11"/>
  <c r="W64" i="10" s="1"/>
  <c r="W54" i="9" s="1"/>
  <c r="W54" i="8" s="1"/>
  <c r="W64" i="17" s="1"/>
  <c r="W54" i="16" s="1"/>
  <c r="W54" i="15" s="1"/>
  <c r="W64" i="14" s="1"/>
  <c r="W54" i="13" s="1"/>
  <c r="W54" i="19" s="1"/>
  <c r="W74" i="18" s="1"/>
  <c r="N75" i="10"/>
  <c r="N2" i="10" s="1"/>
  <c r="T75" i="17"/>
  <c r="T2" i="17" s="1"/>
  <c r="Q65" i="15"/>
  <c r="Q2" i="15" s="1"/>
  <c r="P75" i="17"/>
  <c r="P2" i="17" s="1"/>
  <c r="O65" i="11"/>
  <c r="O2" i="11" s="1"/>
  <c r="P65" i="11"/>
  <c r="P2" i="11" s="1"/>
  <c r="P65" i="19"/>
  <c r="P2" i="19" s="1"/>
  <c r="R65" i="11"/>
  <c r="R2" i="11" s="1"/>
  <c r="M65" i="15"/>
  <c r="M2" i="15" s="1"/>
  <c r="O75" i="17"/>
  <c r="O2" i="17" s="1"/>
  <c r="R75" i="10"/>
  <c r="R2" i="10" s="1"/>
  <c r="P75" i="14"/>
  <c r="P2" i="14" s="1"/>
  <c r="N65" i="11"/>
  <c r="N2" i="11" s="1"/>
  <c r="M65" i="19"/>
  <c r="M2" i="19" s="1"/>
  <c r="R75" i="14"/>
  <c r="R2" i="14" s="1"/>
  <c r="M75" i="10"/>
  <c r="M2" i="10" s="1"/>
  <c r="Q75" i="10"/>
  <c r="Q2" i="10" s="1"/>
  <c r="R65" i="13"/>
  <c r="R2" i="13" s="1"/>
  <c r="O65" i="9"/>
  <c r="O2" i="9" s="1"/>
  <c r="O75" i="14"/>
  <c r="O2" i="14" s="1"/>
  <c r="M65" i="11"/>
  <c r="T65" i="15"/>
  <c r="T2" i="15" s="1"/>
  <c r="T65" i="9"/>
  <c r="T2" i="9" s="1"/>
  <c r="N65" i="19"/>
  <c r="N2" i="19" s="1"/>
  <c r="Q75" i="17"/>
  <c r="Q2" i="17" s="1"/>
  <c r="R65" i="9"/>
  <c r="R2" i="9" s="1"/>
  <c r="O75" i="10"/>
  <c r="O2" i="10" s="1"/>
  <c r="R65" i="19"/>
  <c r="R2" i="19" s="1"/>
  <c r="Q65" i="11"/>
  <c r="Q2" i="11" s="1"/>
  <c r="N65" i="9"/>
  <c r="N2" i="9" s="1"/>
  <c r="M65" i="13"/>
  <c r="M2" i="13" s="1"/>
  <c r="T75" i="10"/>
  <c r="T2" i="10" s="1"/>
  <c r="T75" i="14"/>
  <c r="T2" i="14" s="1"/>
  <c r="T65" i="13"/>
  <c r="T2" i="13" s="1"/>
  <c r="P65" i="15"/>
  <c r="P2" i="15" s="1"/>
  <c r="N75" i="17"/>
  <c r="N2" i="17" s="1"/>
  <c r="N65" i="15"/>
  <c r="N2" i="15" s="1"/>
  <c r="Q65" i="19"/>
  <c r="Q2" i="19" s="1"/>
  <c r="Q75" i="14"/>
  <c r="Q2" i="14" s="1"/>
  <c r="R65" i="15"/>
  <c r="R2" i="15" s="1"/>
  <c r="N65" i="13"/>
  <c r="N2" i="13" s="1"/>
  <c r="P65" i="9"/>
  <c r="P2" i="9" s="1"/>
  <c r="O65" i="15"/>
  <c r="O2" i="15" s="1"/>
  <c r="N75" i="14"/>
  <c r="N2" i="14" s="1"/>
  <c r="T65" i="11"/>
  <c r="T2" i="11" s="1"/>
  <c r="T65" i="19"/>
  <c r="T2" i="19" s="1"/>
  <c r="V21" i="12"/>
  <c r="Q65" i="12"/>
  <c r="Q2" i="12" s="1"/>
  <c r="T65" i="12"/>
  <c r="T2" i="12" s="1"/>
  <c r="AA25" i="12"/>
  <c r="AA35" i="12" s="1"/>
  <c r="AA45" i="12" s="1"/>
  <c r="AA15" i="11" s="1"/>
  <c r="AA25" i="11" s="1"/>
  <c r="AA35" i="11" s="1"/>
  <c r="AA45" i="11" s="1"/>
  <c r="AA15" i="10" s="1"/>
  <c r="AA25" i="10" s="1"/>
  <c r="AA35" i="10" s="1"/>
  <c r="AA45" i="10" s="1"/>
  <c r="AA55" i="10" s="1"/>
  <c r="AA15" i="9" s="1"/>
  <c r="AA25" i="9" s="1"/>
  <c r="N65" i="12"/>
  <c r="N2" i="12" s="1"/>
  <c r="M1" i="13"/>
  <c r="M1" i="14"/>
  <c r="R36" i="14"/>
  <c r="T56" i="16"/>
  <c r="N46" i="15"/>
  <c r="R36" i="11"/>
  <c r="O46" i="19"/>
  <c r="M1" i="8"/>
  <c r="T26" i="9"/>
  <c r="N66" i="18"/>
  <c r="R46" i="16"/>
  <c r="R36" i="17"/>
  <c r="R56" i="16"/>
  <c r="O36" i="15"/>
  <c r="R26" i="19"/>
  <c r="R56" i="11"/>
  <c r="O56" i="15"/>
  <c r="O56" i="19"/>
  <c r="R46" i="11"/>
  <c r="T46" i="12"/>
  <c r="R26" i="13"/>
  <c r="R56" i="13"/>
  <c r="N66" i="14"/>
  <c r="T56" i="9"/>
  <c r="R46" i="8"/>
  <c r="R16" i="18"/>
  <c r="T26" i="11"/>
  <c r="T36" i="18"/>
  <c r="T66" i="10"/>
  <c r="W25" i="12"/>
  <c r="W35" i="12" s="1"/>
  <c r="W45" i="12" s="1"/>
  <c r="W15" i="11" s="1"/>
  <c r="W25" i="11" s="1"/>
  <c r="W35" i="11" s="1"/>
  <c r="W45" i="11" s="1"/>
  <c r="W15" i="10" s="1"/>
  <c r="W25" i="10" s="1"/>
  <c r="W35" i="10" s="1"/>
  <c r="W45" i="10" s="1"/>
  <c r="T36" i="10"/>
  <c r="N36" i="12"/>
  <c r="T36" i="9"/>
  <c r="O26" i="17"/>
  <c r="R26" i="15"/>
  <c r="T46" i="18"/>
  <c r="T56" i="18"/>
  <c r="N36" i="16"/>
  <c r="O46" i="17"/>
  <c r="T16" i="11"/>
  <c r="O56" i="8"/>
  <c r="N56" i="14"/>
  <c r="R26" i="8"/>
  <c r="T16" i="8"/>
  <c r="N26" i="19"/>
  <c r="R26" i="9"/>
  <c r="R46" i="12"/>
  <c r="O56" i="9"/>
  <c r="M1" i="17"/>
  <c r="N16" i="18"/>
  <c r="O36" i="18"/>
  <c r="R66" i="10"/>
  <c r="N36" i="10"/>
  <c r="O65" i="12"/>
  <c r="O2" i="12" s="1"/>
  <c r="T36" i="12"/>
  <c r="T46" i="15"/>
  <c r="AA51" i="12"/>
  <c r="AA51" i="11" s="1"/>
  <c r="AA61" i="10" s="1"/>
  <c r="AA51" i="9" s="1"/>
  <c r="AA51" i="8" s="1"/>
  <c r="AA61" i="17" s="1"/>
  <c r="AA51" i="16" s="1"/>
  <c r="AA51" i="15" s="1"/>
  <c r="AA61" i="14" s="1"/>
  <c r="AA51" i="13" s="1"/>
  <c r="AA51" i="19" s="1"/>
  <c r="AA71" i="18" s="1"/>
  <c r="R56" i="12"/>
  <c r="N36" i="9"/>
  <c r="N46" i="19"/>
  <c r="N36" i="8"/>
  <c r="O56" i="18"/>
  <c r="T16" i="13"/>
  <c r="R36" i="16"/>
  <c r="N46" i="17"/>
  <c r="O16" i="11"/>
  <c r="R16" i="15"/>
  <c r="O56" i="14"/>
  <c r="N16" i="19"/>
  <c r="N26" i="8"/>
  <c r="N16" i="8"/>
  <c r="T46" i="11"/>
  <c r="N26" i="13"/>
  <c r="AC51" i="12"/>
  <c r="AC51" i="11" s="1"/>
  <c r="AC61" i="10" s="1"/>
  <c r="AC51" i="9" s="1"/>
  <c r="AC51" i="8" s="1"/>
  <c r="AC61" i="17" s="1"/>
  <c r="AC51" i="16" s="1"/>
  <c r="AC51" i="15" s="1"/>
  <c r="AC61" i="14" s="1"/>
  <c r="AC51" i="13" s="1"/>
  <c r="AC51" i="19" s="1"/>
  <c r="AC71" i="18" s="1"/>
  <c r="T56" i="12"/>
  <c r="O36" i="9"/>
  <c r="N26" i="15"/>
  <c r="R36" i="8"/>
  <c r="R16" i="19"/>
  <c r="O26" i="8"/>
  <c r="R16" i="8"/>
  <c r="N16" i="10"/>
  <c r="O46" i="11"/>
  <c r="R46" i="13"/>
  <c r="R16" i="17"/>
  <c r="R46" i="9"/>
  <c r="R46" i="15"/>
  <c r="R36" i="13"/>
  <c r="O36" i="16"/>
  <c r="T46" i="17"/>
  <c r="T26" i="10"/>
  <c r="R26" i="18"/>
  <c r="R16" i="10"/>
  <c r="N46" i="16"/>
  <c r="N56" i="19"/>
  <c r="N36" i="14"/>
  <c r="O16" i="18"/>
  <c r="R56" i="17"/>
  <c r="N36" i="17"/>
  <c r="N36" i="19"/>
  <c r="R26" i="17"/>
  <c r="O26" i="15"/>
  <c r="N36" i="11"/>
  <c r="O16" i="19"/>
  <c r="T16" i="14"/>
  <c r="R36" i="15"/>
  <c r="N56" i="15"/>
  <c r="R66" i="14"/>
  <c r="N26" i="9"/>
  <c r="R46" i="14"/>
  <c r="O46" i="12"/>
  <c r="N56" i="13"/>
  <c r="N46" i="8"/>
  <c r="T36" i="16"/>
  <c r="R26" i="10"/>
  <c r="O66" i="17"/>
  <c r="T16" i="18"/>
  <c r="T26" i="15"/>
  <c r="T36" i="11"/>
  <c r="T36" i="8"/>
  <c r="T16" i="15"/>
  <c r="T36" i="15"/>
  <c r="O26" i="9"/>
  <c r="T66" i="17"/>
  <c r="O66" i="14"/>
  <c r="O46" i="13"/>
  <c r="O16" i="17"/>
  <c r="R26" i="11"/>
  <c r="R65" i="12"/>
  <c r="R2" i="12" s="1"/>
  <c r="R26" i="16"/>
  <c r="R46" i="18"/>
  <c r="M1" i="11"/>
  <c r="R76" i="18"/>
  <c r="R56" i="19"/>
  <c r="N46" i="14"/>
  <c r="T26" i="14"/>
  <c r="O56" i="17"/>
  <c r="O26" i="11"/>
  <c r="O36" i="17"/>
  <c r="O36" i="19"/>
  <c r="N46" i="18"/>
  <c r="R16" i="13"/>
  <c r="T26" i="18"/>
  <c r="N76" i="18"/>
  <c r="O16" i="14"/>
  <c r="T16" i="10"/>
  <c r="N56" i="11"/>
  <c r="O46" i="10"/>
  <c r="O66" i="18"/>
  <c r="T46" i="16"/>
  <c r="T56" i="19"/>
  <c r="O46" i="14"/>
  <c r="T36" i="14"/>
  <c r="N66" i="17"/>
  <c r="O56" i="13"/>
  <c r="T46" i="13"/>
  <c r="O26" i="14"/>
  <c r="N16" i="17"/>
  <c r="O46" i="9"/>
  <c r="M1" i="18"/>
  <c r="N56" i="17"/>
  <c r="T36" i="17"/>
  <c r="T36" i="19"/>
  <c r="O36" i="10"/>
  <c r="M65" i="12"/>
  <c r="M2" i="12" s="1"/>
  <c r="N26" i="16"/>
  <c r="N56" i="16"/>
  <c r="O36" i="12"/>
  <c r="N26" i="17"/>
  <c r="T36" i="13"/>
  <c r="R46" i="19"/>
  <c r="N56" i="18"/>
  <c r="N16" i="13"/>
  <c r="R16" i="11"/>
  <c r="R56" i="8"/>
  <c r="M1" i="19"/>
  <c r="N26" i="18"/>
  <c r="O76" i="18"/>
  <c r="O16" i="10"/>
  <c r="R66" i="18"/>
  <c r="R66" i="17"/>
  <c r="N56" i="9"/>
  <c r="N66" i="10"/>
  <c r="N16" i="15"/>
  <c r="T56" i="14"/>
  <c r="N16" i="14"/>
  <c r="T26" i="19"/>
  <c r="N46" i="10"/>
  <c r="T26" i="13"/>
  <c r="N26" i="14"/>
  <c r="T46" i="8"/>
  <c r="R36" i="19"/>
  <c r="O66" i="10"/>
  <c r="O26" i="16"/>
  <c r="W51" i="12"/>
  <c r="W51" i="11" s="1"/>
  <c r="W61" i="10" s="1"/>
  <c r="W51" i="9" s="1"/>
  <c r="W51" i="8" s="1"/>
  <c r="W61" i="17" s="1"/>
  <c r="W51" i="16" s="1"/>
  <c r="W51" i="15" s="1"/>
  <c r="W61" i="14" s="1"/>
  <c r="W51" i="13" s="1"/>
  <c r="W51" i="19" s="1"/>
  <c r="W71" i="18" s="1"/>
  <c r="N56" i="12"/>
  <c r="T16" i="19"/>
  <c r="T76" i="18"/>
  <c r="O26" i="19"/>
  <c r="R46" i="10"/>
  <c r="R56" i="15"/>
  <c r="O26" i="13"/>
  <c r="R26" i="14"/>
  <c r="O46" i="8"/>
  <c r="O56" i="16"/>
  <c r="O16" i="15"/>
  <c r="T56" i="8"/>
  <c r="T26" i="8"/>
  <c r="N26" i="10"/>
  <c r="T56" i="11"/>
  <c r="T46" i="10"/>
  <c r="T66" i="18"/>
  <c r="O36" i="14"/>
  <c r="N46" i="13"/>
  <c r="N46" i="9"/>
  <c r="R36" i="18"/>
  <c r="AC25" i="12"/>
  <c r="AC35" i="12" s="1"/>
  <c r="AC45" i="12" s="1"/>
  <c r="AC15" i="11" s="1"/>
  <c r="AC25" i="11" s="1"/>
  <c r="AC35" i="11" s="1"/>
  <c r="AC45" i="11" s="1"/>
  <c r="AC15" i="10" s="1"/>
  <c r="AC25" i="10" s="1"/>
  <c r="AC35" i="10" s="1"/>
  <c r="AC45" i="10" s="1"/>
  <c r="T26" i="16"/>
  <c r="R36" i="12"/>
  <c r="O46" i="15"/>
  <c r="T26" i="17"/>
  <c r="N36" i="13"/>
  <c r="O36" i="11"/>
  <c r="M1" i="15"/>
  <c r="O26" i="10"/>
  <c r="R16" i="14"/>
  <c r="N36" i="15"/>
  <c r="O16" i="8"/>
  <c r="O56" i="11"/>
  <c r="O46" i="16"/>
  <c r="T56" i="15"/>
  <c r="N46" i="11"/>
  <c r="N46" i="12"/>
  <c r="T56" i="13"/>
  <c r="T66" i="14"/>
  <c r="R56" i="9"/>
  <c r="T16" i="17"/>
  <c r="T56" i="17"/>
  <c r="N26" i="11"/>
  <c r="N36" i="18"/>
  <c r="X25" i="12"/>
  <c r="X35" i="12" s="1"/>
  <c r="X45" i="12" s="1"/>
  <c r="X15" i="11" s="1"/>
  <c r="X25" i="11" s="1"/>
  <c r="X35" i="11" s="1"/>
  <c r="X45" i="11" s="1"/>
  <c r="X15" i="10" s="1"/>
  <c r="X25" i="10" s="1"/>
  <c r="X35" i="10" s="1"/>
  <c r="X45" i="10" s="1"/>
  <c r="M1" i="12"/>
  <c r="R36" i="10"/>
  <c r="P65" i="12"/>
  <c r="P2" i="12" s="1"/>
  <c r="X51" i="12"/>
  <c r="X51" i="11" s="1"/>
  <c r="X61" i="10" s="1"/>
  <c r="X51" i="9" s="1"/>
  <c r="X51" i="8" s="1"/>
  <c r="X61" i="17" s="1"/>
  <c r="X51" i="16" s="1"/>
  <c r="X51" i="15" s="1"/>
  <c r="X61" i="14" s="1"/>
  <c r="X51" i="13" s="1"/>
  <c r="X51" i="19" s="1"/>
  <c r="X71" i="18" s="1"/>
  <c r="O56" i="12"/>
  <c r="R36" i="9"/>
  <c r="O46" i="18"/>
  <c r="O36" i="13"/>
  <c r="T46" i="19"/>
  <c r="O36" i="8"/>
  <c r="R56" i="18"/>
  <c r="O16" i="13"/>
  <c r="R46" i="17"/>
  <c r="N16" i="11"/>
  <c r="N56" i="8"/>
  <c r="R56" i="14"/>
  <c r="O26" i="18"/>
  <c r="V14" i="8" l="1"/>
  <c r="V24" i="8" s="1"/>
  <c r="V34" i="8" s="1"/>
  <c r="V44" i="8" s="1"/>
  <c r="V14" i="17" s="1"/>
  <c r="V24" i="17" s="1"/>
  <c r="V34" i="17" s="1"/>
  <c r="V44" i="17" s="1"/>
  <c r="V54" i="17" s="1"/>
  <c r="V13" i="8"/>
  <c r="V23" i="8" s="1"/>
  <c r="V33" i="8" s="1"/>
  <c r="V43" i="8" s="1"/>
  <c r="V13" i="17" s="1"/>
  <c r="V23" i="17" s="1"/>
  <c r="V33" i="17" s="1"/>
  <c r="V43" i="17" s="1"/>
  <c r="V53" i="17" s="1"/>
  <c r="V15" i="8"/>
  <c r="V25" i="8" s="1"/>
  <c r="V35" i="8" s="1"/>
  <c r="V45" i="8" s="1"/>
  <c r="V15" i="17" s="1"/>
  <c r="V25" i="17" s="1"/>
  <c r="V35" i="17" s="1"/>
  <c r="V45" i="17" s="1"/>
  <c r="V55" i="17" s="1"/>
  <c r="R1" i="10"/>
  <c r="R1" i="9"/>
  <c r="B64" i="24"/>
  <c r="W63" i="25"/>
  <c r="R1" i="16"/>
  <c r="W35" i="9"/>
  <c r="W45" i="9" s="1"/>
  <c r="W25" i="8" s="1"/>
  <c r="W35" i="8" s="1"/>
  <c r="W45" i="8" s="1"/>
  <c r="W15" i="17" s="1"/>
  <c r="W25" i="17" s="1"/>
  <c r="W35" i="17" s="1"/>
  <c r="W45" i="17" s="1"/>
  <c r="W55" i="17" s="1"/>
  <c r="W35" i="16" s="1"/>
  <c r="W45" i="16" s="1"/>
  <c r="AA35" i="9"/>
  <c r="AA45" i="9" s="1"/>
  <c r="X34" i="9"/>
  <c r="X44" i="9" s="1"/>
  <c r="X24" i="8" s="1"/>
  <c r="X34" i="8" s="1"/>
  <c r="X44" i="8" s="1"/>
  <c r="X14" i="17" s="1"/>
  <c r="X24" i="17" s="1"/>
  <c r="X34" i="17" s="1"/>
  <c r="X44" i="17" s="1"/>
  <c r="X54" i="17" s="1"/>
  <c r="X34" i="16" s="1"/>
  <c r="X44" i="16" s="1"/>
  <c r="X33" i="9"/>
  <c r="X43" i="9" s="1"/>
  <c r="X23" i="8" s="1"/>
  <c r="X33" i="8" s="1"/>
  <c r="X43" i="8" s="1"/>
  <c r="X13" i="17" s="1"/>
  <c r="X23" i="17" s="1"/>
  <c r="X33" i="17" s="1"/>
  <c r="X43" i="17" s="1"/>
  <c r="X53" i="17" s="1"/>
  <c r="X33" i="16" s="1"/>
  <c r="X43" i="16" s="1"/>
  <c r="W33" i="9"/>
  <c r="W43" i="9" s="1"/>
  <c r="W23" i="8" s="1"/>
  <c r="W33" i="8" s="1"/>
  <c r="W43" i="8" s="1"/>
  <c r="W13" i="17" s="1"/>
  <c r="W23" i="17" s="1"/>
  <c r="W33" i="17" s="1"/>
  <c r="W43" i="17" s="1"/>
  <c r="W53" i="17" s="1"/>
  <c r="W33" i="16" s="1"/>
  <c r="W43" i="16" s="1"/>
  <c r="AC34" i="9"/>
  <c r="AC44" i="9" s="1"/>
  <c r="AC24" i="8" s="1"/>
  <c r="AC34" i="8" s="1"/>
  <c r="AC44" i="8" s="1"/>
  <c r="AC14" i="17" s="1"/>
  <c r="AC24" i="17" s="1"/>
  <c r="AC34" i="17" s="1"/>
  <c r="AC44" i="17" s="1"/>
  <c r="AC54" i="17" s="1"/>
  <c r="AC34" i="16" s="1"/>
  <c r="AC44" i="16" s="1"/>
  <c r="AC33" i="9"/>
  <c r="AC43" i="9" s="1"/>
  <c r="AC23" i="8" s="1"/>
  <c r="AC33" i="8" s="1"/>
  <c r="AC43" i="8" s="1"/>
  <c r="AC13" i="17" s="1"/>
  <c r="AC23" i="17" s="1"/>
  <c r="AC33" i="17" s="1"/>
  <c r="AC43" i="17" s="1"/>
  <c r="AC53" i="17" s="1"/>
  <c r="AC33" i="16" s="1"/>
  <c r="AC43" i="16" s="1"/>
  <c r="W34" i="9"/>
  <c r="W44" i="9" s="1"/>
  <c r="W24" i="8" s="1"/>
  <c r="W34" i="8" s="1"/>
  <c r="W44" i="8" s="1"/>
  <c r="W14" i="17" s="1"/>
  <c r="W24" i="17" s="1"/>
  <c r="W34" i="17" s="1"/>
  <c r="W44" i="17" s="1"/>
  <c r="W54" i="17" s="1"/>
  <c r="W34" i="16" s="1"/>
  <c r="W44" i="16" s="1"/>
  <c r="AA34" i="9"/>
  <c r="AA44" i="9" s="1"/>
  <c r="X35" i="9"/>
  <c r="X45" i="9" s="1"/>
  <c r="X25" i="8" s="1"/>
  <c r="X35" i="8" s="1"/>
  <c r="X45" i="8" s="1"/>
  <c r="X15" i="17" s="1"/>
  <c r="X25" i="17" s="1"/>
  <c r="X35" i="17" s="1"/>
  <c r="X45" i="17" s="1"/>
  <c r="X55" i="17" s="1"/>
  <c r="X35" i="16" s="1"/>
  <c r="X45" i="16" s="1"/>
  <c r="AC35" i="9"/>
  <c r="AC45" i="9" s="1"/>
  <c r="AC25" i="8" s="1"/>
  <c r="AC35" i="8" s="1"/>
  <c r="AC45" i="8" s="1"/>
  <c r="AC15" i="17" s="1"/>
  <c r="AC25" i="17" s="1"/>
  <c r="AC35" i="17" s="1"/>
  <c r="AC45" i="17" s="1"/>
  <c r="AC55" i="17" s="1"/>
  <c r="AC35" i="16" s="1"/>
  <c r="AC45" i="16" s="1"/>
  <c r="AA33" i="9"/>
  <c r="AA43" i="9" s="1"/>
  <c r="M2" i="11"/>
  <c r="V62" i="10"/>
  <c r="AC12" i="12"/>
  <c r="Y21" i="11"/>
  <c r="Y32" i="11"/>
  <c r="X52" i="11"/>
  <c r="W52" i="11"/>
  <c r="V32" i="12"/>
  <c r="AA52" i="11"/>
  <c r="V31" i="12"/>
  <c r="N1" i="17"/>
  <c r="E9" i="39" s="1"/>
  <c r="T1" i="15"/>
  <c r="O1" i="15"/>
  <c r="R1" i="11"/>
  <c r="T1" i="17"/>
  <c r="E10" i="39"/>
  <c r="R1" i="13"/>
  <c r="E7" i="39"/>
  <c r="R1" i="17"/>
  <c r="T1" i="19"/>
  <c r="R1" i="19"/>
  <c r="R1" i="18"/>
  <c r="N1" i="19"/>
  <c r="E14" i="39" s="1"/>
  <c r="O1" i="19"/>
  <c r="O1" i="18"/>
  <c r="E6" i="39"/>
  <c r="R1" i="15"/>
  <c r="T1" i="14"/>
  <c r="T1" i="13"/>
  <c r="O1" i="8"/>
  <c r="O1" i="17"/>
  <c r="N1" i="15"/>
  <c r="E11" i="39" s="1"/>
  <c r="N1" i="11"/>
  <c r="E5" i="39" s="1"/>
  <c r="T1" i="18"/>
  <c r="N1" i="18"/>
  <c r="E15" i="39" s="1"/>
  <c r="T1" i="8"/>
  <c r="O1" i="13"/>
  <c r="N1" i="14"/>
  <c r="E12" i="39" s="1"/>
  <c r="O1" i="14"/>
  <c r="R1" i="14"/>
  <c r="N1" i="13"/>
  <c r="E13" i="39" s="1"/>
  <c r="R1" i="8"/>
  <c r="N1" i="8"/>
  <c r="E8" i="39" s="1"/>
  <c r="O1" i="11"/>
  <c r="T1" i="11"/>
  <c r="V15" i="16" l="1"/>
  <c r="V25" i="16" s="1"/>
  <c r="V35" i="16" s="1"/>
  <c r="V45" i="16" s="1"/>
  <c r="V15" i="15" s="1"/>
  <c r="V25" i="15" s="1"/>
  <c r="V35" i="15" s="1"/>
  <c r="V45" i="15" s="1"/>
  <c r="V15" i="14" s="1"/>
  <c r="V25" i="14" s="1"/>
  <c r="V35" i="14" s="1"/>
  <c r="V45" i="14" s="1"/>
  <c r="V55" i="14" s="1"/>
  <c r="V15" i="13" s="1"/>
  <c r="V25" i="13" s="1"/>
  <c r="V35" i="13" s="1"/>
  <c r="V45" i="13" s="1"/>
  <c r="V15" i="19" s="1"/>
  <c r="V25" i="19" s="1"/>
  <c r="V35" i="19" s="1"/>
  <c r="V45" i="19" s="1"/>
  <c r="V15" i="18" s="1"/>
  <c r="V25" i="18" s="1"/>
  <c r="V35" i="18" s="1"/>
  <c r="V45" i="18" s="1"/>
  <c r="V55" i="18" s="1"/>
  <c r="V65" i="18" s="1"/>
  <c r="V13" i="16"/>
  <c r="V23" i="16" s="1"/>
  <c r="V33" i="16" s="1"/>
  <c r="V43" i="16" s="1"/>
  <c r="V13" i="15" s="1"/>
  <c r="V23" i="15" s="1"/>
  <c r="V33" i="15" s="1"/>
  <c r="V43" i="15" s="1"/>
  <c r="V13" i="14" s="1"/>
  <c r="V23" i="14" s="1"/>
  <c r="V33" i="14" s="1"/>
  <c r="V43" i="14" s="1"/>
  <c r="V53" i="14" s="1"/>
  <c r="V13" i="13" s="1"/>
  <c r="V23" i="13" s="1"/>
  <c r="V33" i="13" s="1"/>
  <c r="V43" i="13" s="1"/>
  <c r="V13" i="19" s="1"/>
  <c r="V23" i="19" s="1"/>
  <c r="V33" i="19" s="1"/>
  <c r="V43" i="19" s="1"/>
  <c r="V13" i="18" s="1"/>
  <c r="V23" i="18" s="1"/>
  <c r="V33" i="18" s="1"/>
  <c r="V43" i="18" s="1"/>
  <c r="V53" i="18" s="1"/>
  <c r="V63" i="18" s="1"/>
  <c r="V14" i="16"/>
  <c r="V24" i="16" s="1"/>
  <c r="V34" i="16" s="1"/>
  <c r="V44" i="16" s="1"/>
  <c r="V14" i="15" s="1"/>
  <c r="V24" i="15" s="1"/>
  <c r="V34" i="15" s="1"/>
  <c r="V44" i="15" s="1"/>
  <c r="V14" i="14" s="1"/>
  <c r="V24" i="14" s="1"/>
  <c r="V34" i="14" s="1"/>
  <c r="V44" i="14" s="1"/>
  <c r="V54" i="14" s="1"/>
  <c r="V14" i="13" s="1"/>
  <c r="V24" i="13" s="1"/>
  <c r="V34" i="13" s="1"/>
  <c r="V44" i="13" s="1"/>
  <c r="V14" i="19" s="1"/>
  <c r="V24" i="19" s="1"/>
  <c r="V34" i="19" s="1"/>
  <c r="V44" i="19" s="1"/>
  <c r="V14" i="18" s="1"/>
  <c r="V24" i="18" s="1"/>
  <c r="V34" i="18" s="1"/>
  <c r="V44" i="18" s="1"/>
  <c r="V54" i="18" s="1"/>
  <c r="V64" i="18" s="1"/>
  <c r="AA15" i="8"/>
  <c r="AA25" i="8" s="1"/>
  <c r="AA35" i="8" s="1"/>
  <c r="AA45" i="8" s="1"/>
  <c r="AA15" i="17" s="1"/>
  <c r="AA25" i="17" s="1"/>
  <c r="AA35" i="17" s="1"/>
  <c r="AA45" i="17" s="1"/>
  <c r="AA55" i="17" s="1"/>
  <c r="AA13" i="8"/>
  <c r="AA23" i="8" s="1"/>
  <c r="AA33" i="8" s="1"/>
  <c r="AA43" i="8" s="1"/>
  <c r="AA13" i="17" s="1"/>
  <c r="AA23" i="17" s="1"/>
  <c r="AA33" i="17" s="1"/>
  <c r="AA43" i="17" s="1"/>
  <c r="AA53" i="17" s="1"/>
  <c r="AA14" i="8"/>
  <c r="AA24" i="8" s="1"/>
  <c r="AA34" i="8" s="1"/>
  <c r="AA44" i="8" s="1"/>
  <c r="AA14" i="17" s="1"/>
  <c r="AA24" i="17" s="1"/>
  <c r="AA34" i="17" s="1"/>
  <c r="AA44" i="17" s="1"/>
  <c r="AA54" i="17" s="1"/>
  <c r="AC14" i="15"/>
  <c r="AC24" i="15" s="1"/>
  <c r="AC34" i="15" s="1"/>
  <c r="AC44" i="15" s="1"/>
  <c r="AC14" i="14" s="1"/>
  <c r="AC24" i="14" s="1"/>
  <c r="AC34" i="14" s="1"/>
  <c r="AC44" i="14" s="1"/>
  <c r="AC54" i="14" s="1"/>
  <c r="AC14" i="13" s="1"/>
  <c r="AC24" i="13" s="1"/>
  <c r="AC34" i="13" s="1"/>
  <c r="AC44" i="13" s="1"/>
  <c r="AC14" i="19" s="1"/>
  <c r="AC24" i="19" s="1"/>
  <c r="AC34" i="19" s="1"/>
  <c r="AC44" i="19" s="1"/>
  <c r="AC14" i="18" s="1"/>
  <c r="AC24" i="18" s="1"/>
  <c r="AC34" i="18" s="1"/>
  <c r="AC44" i="18" s="1"/>
  <c r="AC54" i="18" s="1"/>
  <c r="AC64" i="18" s="1"/>
  <c r="AC15" i="15"/>
  <c r="AC25" i="15" s="1"/>
  <c r="AC35" i="15" s="1"/>
  <c r="AC45" i="15" s="1"/>
  <c r="AC15" i="14" s="1"/>
  <c r="AC25" i="14" s="1"/>
  <c r="AC35" i="14" s="1"/>
  <c r="AC45" i="14" s="1"/>
  <c r="AC55" i="14" s="1"/>
  <c r="AC15" i="13" s="1"/>
  <c r="AC25" i="13" s="1"/>
  <c r="AC35" i="13" s="1"/>
  <c r="AC45" i="13" s="1"/>
  <c r="AC15" i="19" s="1"/>
  <c r="AC25" i="19" s="1"/>
  <c r="AC35" i="19" s="1"/>
  <c r="AC45" i="19" s="1"/>
  <c r="AC15" i="18" s="1"/>
  <c r="AC25" i="18" s="1"/>
  <c r="AC35" i="18" s="1"/>
  <c r="AC45" i="18" s="1"/>
  <c r="AC55" i="18" s="1"/>
  <c r="AC65" i="18" s="1"/>
  <c r="AC13" i="15"/>
  <c r="AC23" i="15" s="1"/>
  <c r="AC33" i="15" s="1"/>
  <c r="AC43" i="15" s="1"/>
  <c r="AC13" i="14" s="1"/>
  <c r="AC23" i="14" s="1"/>
  <c r="AC33" i="14" s="1"/>
  <c r="AC43" i="14" s="1"/>
  <c r="AC53" i="14" s="1"/>
  <c r="AC13" i="13" s="1"/>
  <c r="AC23" i="13" s="1"/>
  <c r="AC33" i="13" s="1"/>
  <c r="AC43" i="13" s="1"/>
  <c r="AC13" i="19" s="1"/>
  <c r="AC23" i="19" s="1"/>
  <c r="AC33" i="19" s="1"/>
  <c r="AC43" i="19" s="1"/>
  <c r="AC13" i="18" s="1"/>
  <c r="AC23" i="18" s="1"/>
  <c r="AC33" i="18" s="1"/>
  <c r="AC43" i="18" s="1"/>
  <c r="AC53" i="18" s="1"/>
  <c r="AC63" i="18" s="1"/>
  <c r="X15" i="15"/>
  <c r="X25" i="15" s="1"/>
  <c r="X35" i="15" s="1"/>
  <c r="X45" i="15" s="1"/>
  <c r="X15" i="14" s="1"/>
  <c r="X25" i="14" s="1"/>
  <c r="X35" i="14" s="1"/>
  <c r="X45" i="14" s="1"/>
  <c r="X55" i="14" s="1"/>
  <c r="X15" i="13" s="1"/>
  <c r="X25" i="13" s="1"/>
  <c r="X35" i="13" s="1"/>
  <c r="X45" i="13" s="1"/>
  <c r="X15" i="19" s="1"/>
  <c r="X25" i="19" s="1"/>
  <c r="X35" i="19" s="1"/>
  <c r="X45" i="19" s="1"/>
  <c r="X15" i="18" s="1"/>
  <c r="X25" i="18" s="1"/>
  <c r="X35" i="18" s="1"/>
  <c r="X45" i="18" s="1"/>
  <c r="X55" i="18" s="1"/>
  <c r="X65" i="18" s="1"/>
  <c r="X13" i="15"/>
  <c r="X23" i="15" s="1"/>
  <c r="X33" i="15" s="1"/>
  <c r="X43" i="15" s="1"/>
  <c r="X13" i="14" s="1"/>
  <c r="X23" i="14" s="1"/>
  <c r="X33" i="14" s="1"/>
  <c r="X43" i="14" s="1"/>
  <c r="X53" i="14" s="1"/>
  <c r="X13" i="13" s="1"/>
  <c r="X23" i="13" s="1"/>
  <c r="X33" i="13" s="1"/>
  <c r="X43" i="13" s="1"/>
  <c r="X13" i="19" s="1"/>
  <c r="X23" i="19" s="1"/>
  <c r="X33" i="19" s="1"/>
  <c r="X43" i="19" s="1"/>
  <c r="X13" i="18" s="1"/>
  <c r="X23" i="18" s="1"/>
  <c r="X33" i="18" s="1"/>
  <c r="X43" i="18" s="1"/>
  <c r="X53" i="18" s="1"/>
  <c r="X63" i="18" s="1"/>
  <c r="X14" i="15"/>
  <c r="X24" i="15" s="1"/>
  <c r="X34" i="15" s="1"/>
  <c r="X44" i="15" s="1"/>
  <c r="X14" i="14" s="1"/>
  <c r="X24" i="14" s="1"/>
  <c r="X34" i="14" s="1"/>
  <c r="X44" i="14" s="1"/>
  <c r="X54" i="14" s="1"/>
  <c r="X14" i="13" s="1"/>
  <c r="X24" i="13" s="1"/>
  <c r="X34" i="13" s="1"/>
  <c r="X44" i="13" s="1"/>
  <c r="X14" i="19" s="1"/>
  <c r="X24" i="19" s="1"/>
  <c r="X34" i="19" s="1"/>
  <c r="X44" i="19" s="1"/>
  <c r="X14" i="18" s="1"/>
  <c r="X24" i="18" s="1"/>
  <c r="X34" i="18" s="1"/>
  <c r="X44" i="18" s="1"/>
  <c r="X54" i="18" s="1"/>
  <c r="X64" i="18" s="1"/>
  <c r="W15" i="15"/>
  <c r="W25" i="15" s="1"/>
  <c r="W35" i="15" s="1"/>
  <c r="W45" i="15" s="1"/>
  <c r="W15" i="14" s="1"/>
  <c r="W25" i="14" s="1"/>
  <c r="W35" i="14" s="1"/>
  <c r="W45" i="14" s="1"/>
  <c r="W55" i="14" s="1"/>
  <c r="W15" i="13" s="1"/>
  <c r="W25" i="13" s="1"/>
  <c r="W35" i="13" s="1"/>
  <c r="W45" i="13" s="1"/>
  <c r="W15" i="19" s="1"/>
  <c r="W25" i="19" s="1"/>
  <c r="W35" i="19" s="1"/>
  <c r="W45" i="19" s="1"/>
  <c r="W15" i="18" s="1"/>
  <c r="W25" i="18" s="1"/>
  <c r="W35" i="18" s="1"/>
  <c r="W45" i="18" s="1"/>
  <c r="W55" i="18" s="1"/>
  <c r="W65" i="18" s="1"/>
  <c r="W14" i="15"/>
  <c r="W24" i="15" s="1"/>
  <c r="W34" i="15" s="1"/>
  <c r="W44" i="15" s="1"/>
  <c r="W14" i="14" s="1"/>
  <c r="W24" i="14" s="1"/>
  <c r="W34" i="14" s="1"/>
  <c r="W44" i="14" s="1"/>
  <c r="W54" i="14" s="1"/>
  <c r="W14" i="13" s="1"/>
  <c r="W24" i="13" s="1"/>
  <c r="W34" i="13" s="1"/>
  <c r="W44" i="13" s="1"/>
  <c r="W14" i="19" s="1"/>
  <c r="W24" i="19" s="1"/>
  <c r="W34" i="19" s="1"/>
  <c r="W44" i="19" s="1"/>
  <c r="W14" i="18" s="1"/>
  <c r="W24" i="18" s="1"/>
  <c r="W34" i="18" s="1"/>
  <c r="W44" i="18" s="1"/>
  <c r="W54" i="18" s="1"/>
  <c r="W64" i="18" s="1"/>
  <c r="W13" i="15"/>
  <c r="W23" i="15" s="1"/>
  <c r="W33" i="15" s="1"/>
  <c r="W43" i="15" s="1"/>
  <c r="W13" i="14" s="1"/>
  <c r="W23" i="14" s="1"/>
  <c r="W33" i="14" s="1"/>
  <c r="W43" i="14" s="1"/>
  <c r="W53" i="14" s="1"/>
  <c r="W13" i="13" s="1"/>
  <c r="W23" i="13" s="1"/>
  <c r="W33" i="13" s="1"/>
  <c r="W43" i="13" s="1"/>
  <c r="W13" i="19" s="1"/>
  <c r="W23" i="19" s="1"/>
  <c r="W33" i="19" s="1"/>
  <c r="W43" i="19" s="1"/>
  <c r="W13" i="18" s="1"/>
  <c r="W23" i="18" s="1"/>
  <c r="W33" i="18" s="1"/>
  <c r="W43" i="18" s="1"/>
  <c r="W53" i="18" s="1"/>
  <c r="W63" i="18" s="1"/>
  <c r="B65" i="24"/>
  <c r="W64" i="25"/>
  <c r="D8" i="39"/>
  <c r="D9" i="39"/>
  <c r="D10" i="39"/>
  <c r="AC22" i="12"/>
  <c r="AC32" i="12" s="1"/>
  <c r="AC42" i="12" s="1"/>
  <c r="AC12" i="11" s="1"/>
  <c r="AC22" i="11" s="1"/>
  <c r="AC32" i="11" s="1"/>
  <c r="AC42" i="11" s="1"/>
  <c r="AC12" i="10" s="1"/>
  <c r="AC22" i="10" s="1"/>
  <c r="AC32" i="10" s="1"/>
  <c r="AC42" i="10" s="1"/>
  <c r="D14" i="39"/>
  <c r="D13" i="39"/>
  <c r="D7" i="39"/>
  <c r="D11" i="39"/>
  <c r="D15" i="39"/>
  <c r="D5" i="39"/>
  <c r="D6" i="39"/>
  <c r="D12" i="39"/>
  <c r="T26" i="12"/>
  <c r="V52" i="9"/>
  <c r="Y42" i="11"/>
  <c r="Y31" i="11"/>
  <c r="AC11" i="12"/>
  <c r="AC21" i="12" s="1"/>
  <c r="AC31" i="12" s="1"/>
  <c r="AC41" i="12" s="1"/>
  <c r="AC11" i="11" s="1"/>
  <c r="AC21" i="11" s="1"/>
  <c r="AC31" i="11" s="1"/>
  <c r="AC41" i="11" s="1"/>
  <c r="AC11" i="10" s="1"/>
  <c r="AC21" i="10" s="1"/>
  <c r="AC31" i="10" s="1"/>
  <c r="AC41" i="10" s="1"/>
  <c r="V42" i="12"/>
  <c r="AA62" i="10"/>
  <c r="W62" i="10"/>
  <c r="X62" i="10"/>
  <c r="V41" i="12"/>
  <c r="AD60" i="15"/>
  <c r="F11" i="39" s="1"/>
  <c r="AD70" i="17"/>
  <c r="F9" i="39" s="1"/>
  <c r="AD60" i="13"/>
  <c r="F13" i="39" s="1"/>
  <c r="AD60" i="16"/>
  <c r="F10" i="39" s="1"/>
  <c r="AD80" i="18"/>
  <c r="F15" i="39" s="1"/>
  <c r="AD60" i="9"/>
  <c r="F7" i="39" s="1"/>
  <c r="AD60" i="11"/>
  <c r="F5" i="39" s="1"/>
  <c r="AD70" i="10"/>
  <c r="F6" i="39" s="1"/>
  <c r="AD60" i="19"/>
  <c r="F14" i="39" s="1"/>
  <c r="AD60" i="8"/>
  <c r="F8" i="39" s="1"/>
  <c r="I8" i="39" s="1"/>
  <c r="AD70" i="14"/>
  <c r="F12" i="39" s="1"/>
  <c r="AA14" i="16" l="1"/>
  <c r="AA24" i="16" s="1"/>
  <c r="AA34" i="16" s="1"/>
  <c r="AA44" i="16" s="1"/>
  <c r="AA14" i="15" s="1"/>
  <c r="AA24" i="15" s="1"/>
  <c r="AA34" i="15" s="1"/>
  <c r="AA44" i="15" s="1"/>
  <c r="AA14" i="14" s="1"/>
  <c r="AA24" i="14" s="1"/>
  <c r="AA34" i="14" s="1"/>
  <c r="AA44" i="14" s="1"/>
  <c r="AA54" i="14" s="1"/>
  <c r="AA14" i="13" s="1"/>
  <c r="AA24" i="13" s="1"/>
  <c r="AA34" i="13" s="1"/>
  <c r="AA44" i="13" s="1"/>
  <c r="AA14" i="19" s="1"/>
  <c r="AA24" i="19" s="1"/>
  <c r="AA34" i="19" s="1"/>
  <c r="AA44" i="19" s="1"/>
  <c r="AA14" i="18" s="1"/>
  <c r="AA24" i="18" s="1"/>
  <c r="AA34" i="18" s="1"/>
  <c r="AA44" i="18" s="1"/>
  <c r="AA54" i="18" s="1"/>
  <c r="AA64" i="18" s="1"/>
  <c r="AA13" i="16"/>
  <c r="AA23" i="16" s="1"/>
  <c r="AA33" i="16" s="1"/>
  <c r="AA43" i="16" s="1"/>
  <c r="AA13" i="15" s="1"/>
  <c r="AA23" i="15" s="1"/>
  <c r="AA33" i="15" s="1"/>
  <c r="AA43" i="15" s="1"/>
  <c r="AA13" i="14" s="1"/>
  <c r="AA23" i="14" s="1"/>
  <c r="AA33" i="14" s="1"/>
  <c r="AA43" i="14" s="1"/>
  <c r="AA53" i="14" s="1"/>
  <c r="AA13" i="13" s="1"/>
  <c r="AA23" i="13" s="1"/>
  <c r="AA33" i="13" s="1"/>
  <c r="AA43" i="13" s="1"/>
  <c r="AA13" i="19" s="1"/>
  <c r="AA23" i="19" s="1"/>
  <c r="AA33" i="19" s="1"/>
  <c r="AA43" i="19" s="1"/>
  <c r="AA13" i="18" s="1"/>
  <c r="AA23" i="18" s="1"/>
  <c r="AA33" i="18" s="1"/>
  <c r="AA43" i="18" s="1"/>
  <c r="AA53" i="18" s="1"/>
  <c r="AA63" i="18" s="1"/>
  <c r="AA15" i="16"/>
  <c r="AA25" i="16" s="1"/>
  <c r="AA35" i="16" s="1"/>
  <c r="AA45" i="16" s="1"/>
  <c r="AA15" i="15" s="1"/>
  <c r="AA25" i="15" s="1"/>
  <c r="AA35" i="15" s="1"/>
  <c r="AA45" i="15" s="1"/>
  <c r="AA15" i="14" s="1"/>
  <c r="AA25" i="14" s="1"/>
  <c r="AA35" i="14" s="1"/>
  <c r="AA45" i="14" s="1"/>
  <c r="AA55" i="14" s="1"/>
  <c r="AA15" i="13" s="1"/>
  <c r="AA25" i="13" s="1"/>
  <c r="AA35" i="13" s="1"/>
  <c r="AA45" i="13" s="1"/>
  <c r="AA15" i="19" s="1"/>
  <c r="AA25" i="19" s="1"/>
  <c r="AA35" i="19" s="1"/>
  <c r="AA45" i="19" s="1"/>
  <c r="AA15" i="18" s="1"/>
  <c r="AA25" i="18" s="1"/>
  <c r="AA35" i="18" s="1"/>
  <c r="AA45" i="18" s="1"/>
  <c r="AA55" i="18" s="1"/>
  <c r="AA65" i="18" s="1"/>
  <c r="B66" i="24"/>
  <c r="W65" i="25"/>
  <c r="AC32" i="9"/>
  <c r="AC42" i="9" s="1"/>
  <c r="AC22" i="8" s="1"/>
  <c r="AC32" i="8" s="1"/>
  <c r="AC42" i="8" s="1"/>
  <c r="AC12" i="17" s="1"/>
  <c r="AC22" i="17" s="1"/>
  <c r="AC32" i="17" s="1"/>
  <c r="AC42" i="17" s="1"/>
  <c r="AC52" i="17" s="1"/>
  <c r="AC32" i="16" s="1"/>
  <c r="AC42" i="16" s="1"/>
  <c r="AC31" i="9"/>
  <c r="AC41" i="9" s="1"/>
  <c r="I9" i="39"/>
  <c r="I10" i="39"/>
  <c r="I7" i="39"/>
  <c r="I11" i="39"/>
  <c r="I14" i="39"/>
  <c r="O26" i="12"/>
  <c r="I13" i="39"/>
  <c r="I15" i="39"/>
  <c r="I5" i="39"/>
  <c r="I12" i="39"/>
  <c r="I6" i="39"/>
  <c r="V52" i="8"/>
  <c r="Y41" i="11"/>
  <c r="Y12" i="10"/>
  <c r="X12" i="12"/>
  <c r="T16" i="12"/>
  <c r="T1" i="12" s="1"/>
  <c r="X52" i="9"/>
  <c r="AA52" i="9"/>
  <c r="V12" i="11"/>
  <c r="W52" i="9"/>
  <c r="G1" i="17"/>
  <c r="X11" i="12"/>
  <c r="O16" i="12"/>
  <c r="V11" i="11"/>
  <c r="G1" i="16"/>
  <c r="G1" i="15"/>
  <c r="G1" i="13"/>
  <c r="G1" i="14"/>
  <c r="G1" i="19"/>
  <c r="G1" i="9"/>
  <c r="G1" i="8"/>
  <c r="G1" i="10"/>
  <c r="G1" i="11"/>
  <c r="G1" i="18"/>
  <c r="AC11" i="8" l="1"/>
  <c r="AC21" i="8" s="1"/>
  <c r="AC31" i="8" s="1"/>
  <c r="AC41" i="8" s="1"/>
  <c r="AC11" i="17" s="1"/>
  <c r="AC21" i="17" s="1"/>
  <c r="AC31" i="17" s="1"/>
  <c r="AC41" i="17" s="1"/>
  <c r="AC51" i="17" s="1"/>
  <c r="AC12" i="15"/>
  <c r="AC22" i="15" s="1"/>
  <c r="AC32" i="15" s="1"/>
  <c r="AC42" i="15" s="1"/>
  <c r="AC12" i="14" s="1"/>
  <c r="AC22" i="14" s="1"/>
  <c r="AC32" i="14" s="1"/>
  <c r="AC42" i="14" s="1"/>
  <c r="AC52" i="14" s="1"/>
  <c r="AC12" i="13" s="1"/>
  <c r="AC22" i="13" s="1"/>
  <c r="AC32" i="13" s="1"/>
  <c r="AC42" i="13" s="1"/>
  <c r="AC12" i="19" s="1"/>
  <c r="AC22" i="19" s="1"/>
  <c r="AC32" i="19" s="1"/>
  <c r="AC42" i="19" s="1"/>
  <c r="AC12" i="18" s="1"/>
  <c r="AC22" i="18" s="1"/>
  <c r="AC32" i="18" s="1"/>
  <c r="AC42" i="18" s="1"/>
  <c r="AC52" i="18" s="1"/>
  <c r="AC62" i="18" s="1"/>
  <c r="B67" i="24"/>
  <c r="W66" i="25"/>
  <c r="O1" i="12"/>
  <c r="D4" i="39" s="1"/>
  <c r="V62" i="17"/>
  <c r="Y22" i="10"/>
  <c r="X22" i="12"/>
  <c r="Y11" i="10"/>
  <c r="W52" i="8"/>
  <c r="AA52" i="8"/>
  <c r="V22" i="11"/>
  <c r="X52" i="8"/>
  <c r="X21" i="12"/>
  <c r="V21" i="11"/>
  <c r="AC11" i="16" l="1"/>
  <c r="AC21" i="16" s="1"/>
  <c r="AC31" i="16" s="1"/>
  <c r="AC41" i="16" s="1"/>
  <c r="AC11" i="15" s="1"/>
  <c r="AC21" i="15" s="1"/>
  <c r="AC31" i="15" s="1"/>
  <c r="AC41" i="15" s="1"/>
  <c r="AC11" i="14" s="1"/>
  <c r="AC21" i="14" s="1"/>
  <c r="AC31" i="14" s="1"/>
  <c r="AC41" i="14" s="1"/>
  <c r="AC51" i="14" s="1"/>
  <c r="AC11" i="13" s="1"/>
  <c r="AC21" i="13" s="1"/>
  <c r="AC31" i="13" s="1"/>
  <c r="AC41" i="13" s="1"/>
  <c r="AC11" i="19" s="1"/>
  <c r="AC21" i="19" s="1"/>
  <c r="AC31" i="19" s="1"/>
  <c r="AC41" i="19" s="1"/>
  <c r="AC11" i="18" s="1"/>
  <c r="AC21" i="18" s="1"/>
  <c r="AC31" i="18" s="1"/>
  <c r="AC41" i="18" s="1"/>
  <c r="AC51" i="18" s="1"/>
  <c r="AC61" i="18" s="1"/>
  <c r="B68" i="24"/>
  <c r="W67" i="25"/>
  <c r="AD60" i="12"/>
  <c r="F4" i="39" s="1"/>
  <c r="F16" i="39" s="1"/>
  <c r="D16" i="39"/>
  <c r="V52" i="16"/>
  <c r="X32" i="12"/>
  <c r="Y21" i="10"/>
  <c r="Y32" i="10"/>
  <c r="AA62" i="17"/>
  <c r="X62" i="17"/>
  <c r="V32" i="11"/>
  <c r="W62" i="17"/>
  <c r="X31" i="12"/>
  <c r="V31" i="11"/>
  <c r="B69" i="24" l="1"/>
  <c r="W68" i="25"/>
  <c r="G1" i="12"/>
  <c r="AD65" i="12"/>
  <c r="AD65" i="11" s="1"/>
  <c r="AD75" i="10" s="1"/>
  <c r="AD65" i="9" s="1"/>
  <c r="AD65" i="8" s="1"/>
  <c r="AD75" i="17" s="1"/>
  <c r="AD65" i="16" s="1"/>
  <c r="AD65" i="15" s="1"/>
  <c r="AD75" i="14" s="1"/>
  <c r="AD65" i="13" s="1"/>
  <c r="AD65" i="19" s="1"/>
  <c r="AD85" i="18" s="1"/>
  <c r="X42" i="12"/>
  <c r="V52" i="15"/>
  <c r="Y42" i="10"/>
  <c r="Y31" i="10"/>
  <c r="V42" i="11"/>
  <c r="X52" i="16"/>
  <c r="W52" i="16"/>
  <c r="AA52" i="16"/>
  <c r="X41" i="12"/>
  <c r="V41" i="11"/>
  <c r="B70" i="24" l="1"/>
  <c r="W69" i="25"/>
  <c r="X12" i="11"/>
  <c r="X22" i="11" s="1"/>
  <c r="V62" i="14"/>
  <c r="Y41" i="10"/>
  <c r="W52" i="15"/>
  <c r="X52" i="15"/>
  <c r="V12" i="10"/>
  <c r="AA52" i="15"/>
  <c r="X11" i="11"/>
  <c r="V11" i="10"/>
  <c r="B71" i="24" l="1"/>
  <c r="W70" i="25"/>
  <c r="V52" i="13"/>
  <c r="X32" i="11"/>
  <c r="V22" i="10"/>
  <c r="X62" i="14"/>
  <c r="AA62" i="14"/>
  <c r="W62" i="14"/>
  <c r="X21" i="11"/>
  <c r="V21" i="10"/>
  <c r="B72" i="24" l="1"/>
  <c r="W71" i="25"/>
  <c r="V52" i="19"/>
  <c r="Y32" i="9"/>
  <c r="X42" i="11"/>
  <c r="X52" i="13"/>
  <c r="W52" i="13"/>
  <c r="V32" i="10"/>
  <c r="AA52" i="13"/>
  <c r="X31" i="11"/>
  <c r="V31" i="10"/>
  <c r="B73" i="24" l="1"/>
  <c r="W72" i="25"/>
  <c r="V72" i="18"/>
  <c r="Y42" i="9"/>
  <c r="Y31" i="9"/>
  <c r="X12" i="10"/>
  <c r="V42" i="10"/>
  <c r="V52" i="10" s="1"/>
  <c r="V12" i="9" s="1"/>
  <c r="V22" i="9" s="1"/>
  <c r="W52" i="19"/>
  <c r="AA52" i="19"/>
  <c r="X52" i="19"/>
  <c r="X41" i="11"/>
  <c r="V41" i="10"/>
  <c r="V51" i="10" s="1"/>
  <c r="V11" i="9" s="1"/>
  <c r="V21" i="9" s="1"/>
  <c r="B74" i="24" l="1"/>
  <c r="W73" i="25"/>
  <c r="Y41" i="9"/>
  <c r="X22" i="10"/>
  <c r="AA72" i="18"/>
  <c r="W72" i="18"/>
  <c r="X72" i="18"/>
  <c r="X11" i="10"/>
  <c r="G16" i="40"/>
  <c r="B75" i="24" l="1"/>
  <c r="W74" i="25"/>
  <c r="X32" i="10"/>
  <c r="X21" i="10"/>
  <c r="B76" i="24" l="1"/>
  <c r="W75" i="25"/>
  <c r="Y22" i="8"/>
  <c r="X42" i="10"/>
  <c r="V32" i="9"/>
  <c r="X31" i="10"/>
  <c r="V31" i="9"/>
  <c r="W76" i="25" l="1"/>
  <c r="C5" i="39"/>
  <c r="B77" i="24"/>
  <c r="Y32" i="8"/>
  <c r="Y21" i="8"/>
  <c r="V42" i="9"/>
  <c r="V12" i="8" s="1"/>
  <c r="X41" i="10"/>
  <c r="V41" i="9"/>
  <c r="V11" i="8" s="1"/>
  <c r="W77" i="25" l="1"/>
  <c r="B78" i="24"/>
  <c r="Y31" i="8"/>
  <c r="Y42" i="8"/>
  <c r="B79" i="24" l="1"/>
  <c r="W78" i="25"/>
  <c r="Y12" i="17"/>
  <c r="Y41" i="8"/>
  <c r="X32" i="9"/>
  <c r="B80" i="24" l="1"/>
  <c r="W79" i="25"/>
  <c r="Y11" i="17"/>
  <c r="Y22" i="17"/>
  <c r="X42" i="9"/>
  <c r="V22" i="8"/>
  <c r="X31" i="9"/>
  <c r="V21" i="8"/>
  <c r="B81" i="24" l="1"/>
  <c r="W80" i="25"/>
  <c r="Y32" i="17"/>
  <c r="Y21" i="17"/>
  <c r="V32" i="8"/>
  <c r="X41" i="9"/>
  <c r="V31" i="8"/>
  <c r="W81" i="25" l="1"/>
  <c r="B82" i="24"/>
  <c r="Y31" i="17"/>
  <c r="Y42" i="17"/>
  <c r="V42" i="8"/>
  <c r="V41" i="8"/>
  <c r="W82" i="25" l="1"/>
  <c r="B83" i="24"/>
  <c r="Y52" i="17"/>
  <c r="Y41" i="17"/>
  <c r="X22" i="8"/>
  <c r="V12" i="17"/>
  <c r="V11" i="17"/>
  <c r="W83" i="25" l="1"/>
  <c r="B84" i="24"/>
  <c r="Y51" i="17"/>
  <c r="X32" i="8"/>
  <c r="V22" i="17"/>
  <c r="X21" i="8"/>
  <c r="V21" i="17"/>
  <c r="W84" i="25" l="1"/>
  <c r="B85" i="24"/>
  <c r="Y32" i="16"/>
  <c r="X42" i="8"/>
  <c r="V32" i="17"/>
  <c r="X31" i="8"/>
  <c r="V31" i="17"/>
  <c r="W85" i="25" l="1"/>
  <c r="B86" i="24"/>
  <c r="Y31" i="16"/>
  <c r="Y42" i="16"/>
  <c r="Y12" i="15" s="1"/>
  <c r="X12" i="17"/>
  <c r="V42" i="17"/>
  <c r="X41" i="8"/>
  <c r="V41" i="17"/>
  <c r="W86" i="25" l="1"/>
  <c r="B87" i="24"/>
  <c r="M59" i="10" s="1"/>
  <c r="Y41" i="16"/>
  <c r="Y11" i="15" s="1"/>
  <c r="X22" i="17"/>
  <c r="R12" i="12"/>
  <c r="W12" i="12"/>
  <c r="V52" i="17"/>
  <c r="V12" i="16" s="1"/>
  <c r="V22" i="16" s="1"/>
  <c r="X11" i="17"/>
  <c r="R11" i="12"/>
  <c r="N16" i="12"/>
  <c r="W11" i="12"/>
  <c r="V51" i="17"/>
  <c r="V11" i="16" s="1"/>
  <c r="V21" i="16" s="1"/>
  <c r="M14" i="40"/>
  <c r="W87" i="25" l="1"/>
  <c r="B6" i="39"/>
  <c r="B88" i="24"/>
  <c r="K49" i="9" s="1"/>
  <c r="B7" i="40"/>
  <c r="B8" i="40"/>
  <c r="B9" i="40"/>
  <c r="E9" i="40"/>
  <c r="W21" i="12"/>
  <c r="AA12" i="12"/>
  <c r="X32" i="17"/>
  <c r="X21" i="17"/>
  <c r="AA11" i="12"/>
  <c r="R16" i="12"/>
  <c r="B89" i="24" l="1"/>
  <c r="W88" i="25"/>
  <c r="R22" i="12"/>
  <c r="AA22" i="12" s="1"/>
  <c r="W22" i="12"/>
  <c r="W32" i="12" s="1"/>
  <c r="R21" i="12"/>
  <c r="AA21" i="12" s="1"/>
  <c r="N26" i="12"/>
  <c r="N1" i="12" s="1"/>
  <c r="E4" i="39" s="1"/>
  <c r="E16" i="39" s="1"/>
  <c r="Y22" i="15"/>
  <c r="X42" i="17"/>
  <c r="V32" i="16"/>
  <c r="W31" i="12"/>
  <c r="X31" i="17"/>
  <c r="V31" i="16"/>
  <c r="B90" i="24" l="1"/>
  <c r="W89" i="25"/>
  <c r="I4" i="39"/>
  <c r="N4" i="39" s="1"/>
  <c r="N5" i="39" s="1"/>
  <c r="N6" i="39" s="1"/>
  <c r="N7" i="39" s="1"/>
  <c r="N8" i="39" s="1"/>
  <c r="N9" i="39" s="1"/>
  <c r="N10" i="39" s="1"/>
  <c r="N11" i="39" s="1"/>
  <c r="N12" i="39" s="1"/>
  <c r="N13" i="39" s="1"/>
  <c r="N14" i="39" s="1"/>
  <c r="N15" i="39" s="1"/>
  <c r="R26" i="12"/>
  <c r="R1" i="12" s="1"/>
  <c r="Y21" i="15"/>
  <c r="Y32" i="15"/>
  <c r="AA32" i="12"/>
  <c r="X52" i="17"/>
  <c r="W42" i="12"/>
  <c r="V42" i="16"/>
  <c r="V12" i="15" s="1"/>
  <c r="X41" i="17"/>
  <c r="AA31" i="12"/>
  <c r="W41" i="12"/>
  <c r="V41" i="16"/>
  <c r="V11" i="15" s="1"/>
  <c r="W90" i="25" l="1"/>
  <c r="B91" i="24"/>
  <c r="K9" i="9" s="1"/>
  <c r="M9" i="9" s="1"/>
  <c r="K19" i="9" s="1"/>
  <c r="I16" i="39"/>
  <c r="Y42" i="15"/>
  <c r="Y31" i="15"/>
  <c r="W12" i="11"/>
  <c r="AA42" i="12"/>
  <c r="W11" i="11"/>
  <c r="AA41" i="12"/>
  <c r="X51" i="17"/>
  <c r="B92" i="24" l="1"/>
  <c r="W91" i="25"/>
  <c r="Y41" i="15"/>
  <c r="Y12" i="14"/>
  <c r="AA12" i="11"/>
  <c r="X32" i="16"/>
  <c r="W22" i="11"/>
  <c r="AA11" i="11"/>
  <c r="W21" i="11"/>
  <c r="B93" i="24" l="1"/>
  <c r="W92" i="25"/>
  <c r="Y22" i="14"/>
  <c r="Y11" i="14"/>
  <c r="W32" i="11"/>
  <c r="X42" i="16"/>
  <c r="X12" i="15" s="1"/>
  <c r="AA22" i="11"/>
  <c r="V22" i="15"/>
  <c r="X31" i="16"/>
  <c r="W31" i="11"/>
  <c r="AA21" i="11"/>
  <c r="V21" i="15"/>
  <c r="M19" i="9" l="1"/>
  <c r="K29" i="9" s="1"/>
  <c r="M29" i="9" s="1"/>
  <c r="K39" i="9" s="1"/>
  <c r="M39" i="9" s="1"/>
  <c r="W93" i="25"/>
  <c r="B94" i="24"/>
  <c r="Y21" i="14"/>
  <c r="Y32" i="14"/>
  <c r="AA32" i="11"/>
  <c r="W42" i="11"/>
  <c r="V32" i="15"/>
  <c r="W41" i="11"/>
  <c r="AA31" i="11"/>
  <c r="X41" i="16"/>
  <c r="X11" i="15" s="1"/>
  <c r="V31" i="15"/>
  <c r="B95" i="24" l="1"/>
  <c r="W94" i="25"/>
  <c r="Y42" i="14"/>
  <c r="Y31" i="14"/>
  <c r="W12" i="10"/>
  <c r="AA42" i="11"/>
  <c r="V42" i="15"/>
  <c r="AA41" i="11"/>
  <c r="W11" i="10"/>
  <c r="V41" i="15"/>
  <c r="B96" i="24" l="1"/>
  <c r="W95" i="25"/>
  <c r="Y41" i="14"/>
  <c r="Y52" i="14"/>
  <c r="X22" i="15"/>
  <c r="W22" i="10"/>
  <c r="AA12" i="10"/>
  <c r="V12" i="14"/>
  <c r="W21" i="10"/>
  <c r="AA11" i="10"/>
  <c r="V11" i="14"/>
  <c r="B97" i="24" l="1"/>
  <c r="W96" i="25"/>
  <c r="Y12" i="13"/>
  <c r="Y51" i="14"/>
  <c r="W32" i="10"/>
  <c r="AA22" i="10"/>
  <c r="X32" i="15"/>
  <c r="V22" i="14"/>
  <c r="AA21" i="10"/>
  <c r="X21" i="15"/>
  <c r="W31" i="10"/>
  <c r="V21" i="14"/>
  <c r="B98" i="24" l="1"/>
  <c r="W97" i="25"/>
  <c r="Y11" i="13"/>
  <c r="Y22" i="13"/>
  <c r="X42" i="15"/>
  <c r="AA32" i="10"/>
  <c r="W42" i="10"/>
  <c r="V32" i="14"/>
  <c r="X31" i="15"/>
  <c r="W41" i="10"/>
  <c r="AA31" i="10"/>
  <c r="V31" i="14"/>
  <c r="B99" i="24" l="1"/>
  <c r="W98" i="25"/>
  <c r="Y32" i="13"/>
  <c r="Y21" i="13"/>
  <c r="AA42" i="10"/>
  <c r="AA52" i="10" s="1"/>
  <c r="AA12" i="9" s="1"/>
  <c r="AA22" i="9" s="1"/>
  <c r="X12" i="14"/>
  <c r="V42" i="14"/>
  <c r="AA41" i="10"/>
  <c r="AA51" i="10" s="1"/>
  <c r="AA11" i="9" s="1"/>
  <c r="AA21" i="9" s="1"/>
  <c r="X41" i="15"/>
  <c r="V41" i="14"/>
  <c r="B100" i="24" l="1"/>
  <c r="W99" i="25"/>
  <c r="Y31" i="13"/>
  <c r="Y42" i="13"/>
  <c r="X22" i="14"/>
  <c r="V52" i="14"/>
  <c r="X11" i="14"/>
  <c r="V51" i="14"/>
  <c r="M16" i="40"/>
  <c r="B101" i="24" l="1"/>
  <c r="W100" i="25"/>
  <c r="Y41" i="13"/>
  <c r="Y12" i="19"/>
  <c r="W32" i="9"/>
  <c r="X32" i="14"/>
  <c r="V12" i="13"/>
  <c r="X21" i="14"/>
  <c r="W31" i="9"/>
  <c r="V11" i="13"/>
  <c r="B102" i="24" l="1"/>
  <c r="W101" i="25"/>
  <c r="Y22" i="19"/>
  <c r="Y11" i="19"/>
  <c r="X42" i="14"/>
  <c r="W42" i="9"/>
  <c r="AA32" i="9"/>
  <c r="V22" i="13"/>
  <c r="X31" i="14"/>
  <c r="W41" i="9"/>
  <c r="AA31" i="9"/>
  <c r="V21" i="13"/>
  <c r="B103" i="24" l="1"/>
  <c r="W102" i="25"/>
  <c r="Y21" i="19"/>
  <c r="Y32" i="19"/>
  <c r="AA42" i="9"/>
  <c r="AA12" i="8" s="1"/>
  <c r="X52" i="14"/>
  <c r="V32" i="13"/>
  <c r="AA41" i="9"/>
  <c r="AA11" i="8" s="1"/>
  <c r="X41" i="14"/>
  <c r="V31" i="13"/>
  <c r="W103" i="25" l="1"/>
  <c r="B104" i="24"/>
  <c r="Y42" i="19"/>
  <c r="Y31" i="19"/>
  <c r="X12" i="13"/>
  <c r="V42" i="13"/>
  <c r="X51" i="14"/>
  <c r="V41" i="13"/>
  <c r="W104" i="25" l="1"/>
  <c r="B105" i="24"/>
  <c r="Y41" i="19"/>
  <c r="Y12" i="18"/>
  <c r="W22" i="8"/>
  <c r="X22" i="13"/>
  <c r="V12" i="19"/>
  <c r="X11" i="13"/>
  <c r="W21" i="8"/>
  <c r="V11" i="19"/>
  <c r="W105" i="25" l="1"/>
  <c r="B106" i="24"/>
  <c r="Y22" i="18"/>
  <c r="Y11" i="18"/>
  <c r="X32" i="13"/>
  <c r="AA22" i="8"/>
  <c r="W32" i="8"/>
  <c r="V22" i="19"/>
  <c r="AA21" i="8"/>
  <c r="W31" i="8"/>
  <c r="X21" i="13"/>
  <c r="V21" i="19"/>
  <c r="C6" i="39" l="1"/>
  <c r="W106" i="25"/>
  <c r="B107" i="24"/>
  <c r="Y21" i="18"/>
  <c r="Y32" i="18"/>
  <c r="AA32" i="8"/>
  <c r="W42" i="8"/>
  <c r="X42" i="13"/>
  <c r="V32" i="19"/>
  <c r="X31" i="13"/>
  <c r="W41" i="8"/>
  <c r="AA31" i="8"/>
  <c r="V31" i="19"/>
  <c r="B108" i="24" l="1"/>
  <c r="W107" i="25"/>
  <c r="Y42" i="18"/>
  <c r="Y31" i="18"/>
  <c r="X12" i="19"/>
  <c r="W12" i="17"/>
  <c r="AA42" i="8"/>
  <c r="V42" i="19"/>
  <c r="AA41" i="8"/>
  <c r="W11" i="17"/>
  <c r="X41" i="13"/>
  <c r="V41" i="19"/>
  <c r="B109" i="24" l="1"/>
  <c r="W108" i="25"/>
  <c r="Y41" i="18"/>
  <c r="Y52" i="18"/>
  <c r="AA12" i="17"/>
  <c r="W22" i="17"/>
  <c r="X22" i="19"/>
  <c r="V12" i="18"/>
  <c r="X11" i="19"/>
  <c r="W21" i="17"/>
  <c r="AA11" i="17"/>
  <c r="V11" i="18"/>
  <c r="B110" i="24" l="1"/>
  <c r="W109" i="25"/>
  <c r="Y51" i="18"/>
  <c r="Y62" i="18"/>
  <c r="X32" i="19"/>
  <c r="W32" i="17"/>
  <c r="AA22" i="17"/>
  <c r="V22" i="18"/>
  <c r="W31" i="17"/>
  <c r="AA21" i="17"/>
  <c r="X21" i="19"/>
  <c r="V21" i="18"/>
  <c r="W110" i="25" l="1"/>
  <c r="B111" i="24"/>
  <c r="Y61" i="18"/>
  <c r="AA32" i="17"/>
  <c r="W42" i="17"/>
  <c r="X42" i="19"/>
  <c r="V32" i="18"/>
  <c r="AA31" i="17"/>
  <c r="X31" i="19"/>
  <c r="W41" i="17"/>
  <c r="V31" i="18"/>
  <c r="B112" i="24" l="1"/>
  <c r="W111" i="25"/>
  <c r="X12" i="18"/>
  <c r="W52" i="17"/>
  <c r="AA42" i="17"/>
  <c r="V42" i="18"/>
  <c r="X41" i="19"/>
  <c r="W51" i="17"/>
  <c r="AA41" i="17"/>
  <c r="V41" i="18"/>
  <c r="W112" i="25" l="1"/>
  <c r="B113" i="24"/>
  <c r="AA52" i="17"/>
  <c r="AA12" i="16" s="1"/>
  <c r="AA22" i="16" s="1"/>
  <c r="X22" i="18"/>
  <c r="V52" i="18"/>
  <c r="AA51" i="17"/>
  <c r="AA11" i="16" s="1"/>
  <c r="AA21" i="16" s="1"/>
  <c r="X11" i="18"/>
  <c r="V51" i="18"/>
  <c r="B114" i="24" l="1"/>
  <c r="W113" i="25"/>
  <c r="W32" i="16"/>
  <c r="X32" i="18"/>
  <c r="V62" i="18"/>
  <c r="X21" i="18"/>
  <c r="W31" i="16"/>
  <c r="V61" i="18"/>
  <c r="B115" i="24" l="1"/>
  <c r="W114" i="25"/>
  <c r="X42" i="18"/>
  <c r="AA32" i="16"/>
  <c r="W42" i="16"/>
  <c r="W12" i="15" s="1"/>
  <c r="AA31" i="16"/>
  <c r="W41" i="16"/>
  <c r="W11" i="15" s="1"/>
  <c r="X31" i="18"/>
  <c r="B116" i="24" l="1"/>
  <c r="W115" i="25"/>
  <c r="AA42" i="16"/>
  <c r="AA12" i="15" s="1"/>
  <c r="X52" i="18"/>
  <c r="AA41" i="16"/>
  <c r="AA11" i="15" s="1"/>
  <c r="X41" i="18"/>
  <c r="B117" i="24" l="1"/>
  <c r="W116" i="25"/>
  <c r="X62" i="18"/>
  <c r="X51" i="18"/>
  <c r="W117" i="25" l="1"/>
  <c r="B118" i="24"/>
  <c r="M49" i="9" s="1"/>
  <c r="W22" i="15"/>
  <c r="W21" i="15"/>
  <c r="X61" i="18"/>
  <c r="W118" i="25" l="1"/>
  <c r="B119" i="24"/>
  <c r="B7" i="39"/>
  <c r="AA22" i="15"/>
  <c r="W32" i="15"/>
  <c r="W31" i="15"/>
  <c r="AA21" i="15"/>
  <c r="K49" i="8" l="1"/>
  <c r="K9" i="8"/>
  <c r="M9" i="8" s="1"/>
  <c r="K19" i="8" s="1"/>
  <c r="M19" i="8" s="1"/>
  <c r="K29" i="8" s="1"/>
  <c r="M29" i="8" s="1"/>
  <c r="K39" i="8" s="1"/>
  <c r="M39" i="8" s="1"/>
  <c r="K9" i="17" s="1"/>
  <c r="M9" i="17" s="1"/>
  <c r="K19" i="17" s="1"/>
  <c r="M19" i="17" s="1"/>
  <c r="K29" i="17" s="1"/>
  <c r="M29" i="17" s="1"/>
  <c r="K39" i="17" s="1"/>
  <c r="M39" i="17" s="1"/>
  <c r="B120" i="24"/>
  <c r="W119" i="25"/>
  <c r="W42" i="15"/>
  <c r="AA32" i="15"/>
  <c r="AA31" i="15"/>
  <c r="W41" i="15"/>
  <c r="B121" i="24" l="1"/>
  <c r="W120" i="25"/>
  <c r="AA42" i="15"/>
  <c r="W12" i="14"/>
  <c r="W11" i="14"/>
  <c r="AA41" i="15"/>
  <c r="W121" i="25" l="1"/>
  <c r="B122" i="24"/>
  <c r="W22" i="14"/>
  <c r="AA12" i="14"/>
  <c r="AA11" i="14"/>
  <c r="W21" i="14"/>
  <c r="B123" i="24" l="1"/>
  <c r="W122" i="25"/>
  <c r="AA22" i="14"/>
  <c r="W32" i="14"/>
  <c r="W31" i="14"/>
  <c r="AA21" i="14"/>
  <c r="W123" i="25" l="1"/>
  <c r="B124" i="24"/>
  <c r="W42" i="14"/>
  <c r="AA32" i="14"/>
  <c r="AA31" i="14"/>
  <c r="W41" i="14"/>
  <c r="B125" i="24" l="1"/>
  <c r="W124" i="25"/>
  <c r="AA42" i="14"/>
  <c r="W52" i="14"/>
  <c r="W51" i="14"/>
  <c r="AA41" i="14"/>
  <c r="W125" i="25" l="1"/>
  <c r="B126" i="24"/>
  <c r="W12" i="13"/>
  <c r="AA52" i="14"/>
  <c r="AA51" i="14"/>
  <c r="W11" i="13"/>
  <c r="W126" i="25" l="1"/>
  <c r="B127" i="24"/>
  <c r="AA12" i="13"/>
  <c r="W22" i="13"/>
  <c r="W21" i="13"/>
  <c r="AA11" i="13"/>
  <c r="B128" i="24" l="1"/>
  <c r="W127" i="25"/>
  <c r="W32" i="13"/>
  <c r="AA22" i="13"/>
  <c r="AA21" i="13"/>
  <c r="W31" i="13"/>
  <c r="W128" i="25" l="1"/>
  <c r="B129" i="24"/>
  <c r="AA32" i="13"/>
  <c r="W42" i="13"/>
  <c r="W41" i="13"/>
  <c r="AA31" i="13"/>
  <c r="B130" i="24" l="1"/>
  <c r="W129" i="25"/>
  <c r="W12" i="19"/>
  <c r="AA42" i="13"/>
  <c r="AA41" i="13"/>
  <c r="W11" i="19"/>
  <c r="B131" i="24" l="1"/>
  <c r="W130" i="25"/>
  <c r="AA12" i="19"/>
  <c r="W22" i="19"/>
  <c r="W21" i="19"/>
  <c r="AA11" i="19"/>
  <c r="B132" i="24" l="1"/>
  <c r="W131" i="25"/>
  <c r="W32" i="19"/>
  <c r="AA22" i="19"/>
  <c r="AA21" i="19"/>
  <c r="W31" i="19"/>
  <c r="W132" i="25" l="1"/>
  <c r="B133" i="24"/>
  <c r="AA32" i="19"/>
  <c r="W42" i="19"/>
  <c r="W41" i="19"/>
  <c r="AA31" i="19"/>
  <c r="W133" i="25" l="1"/>
  <c r="B134" i="24"/>
  <c r="W12" i="18"/>
  <c r="AA42" i="19"/>
  <c r="AA41" i="19"/>
  <c r="W11" i="18"/>
  <c r="W134" i="25" l="1"/>
  <c r="B135" i="24"/>
  <c r="AA12" i="18"/>
  <c r="W22" i="18"/>
  <c r="W21" i="18"/>
  <c r="AA11" i="18"/>
  <c r="W135" i="25" l="1"/>
  <c r="B136" i="24"/>
  <c r="W32" i="18"/>
  <c r="AA22" i="18"/>
  <c r="AA21" i="18"/>
  <c r="W31" i="18"/>
  <c r="W136" i="25" l="1"/>
  <c r="B137" i="24"/>
  <c r="W42" i="18"/>
  <c r="AA32" i="18"/>
  <c r="W41" i="18"/>
  <c r="AA31" i="18"/>
  <c r="C7" i="39" l="1"/>
  <c r="B138" i="24"/>
  <c r="W137" i="25"/>
  <c r="AA42" i="18"/>
  <c r="W52" i="18"/>
  <c r="AA41" i="18"/>
  <c r="W51" i="18"/>
  <c r="B139" i="24" l="1"/>
  <c r="W138" i="25"/>
  <c r="W62" i="18"/>
  <c r="AA52" i="18"/>
  <c r="W61" i="18"/>
  <c r="AA51" i="18"/>
  <c r="W139" i="25" l="1"/>
  <c r="B140" i="24"/>
  <c r="AA62" i="18"/>
  <c r="AA61" i="18"/>
  <c r="W140" i="25" l="1"/>
  <c r="B141" i="24"/>
  <c r="B142" i="24" l="1"/>
  <c r="W141" i="25"/>
  <c r="B143" i="24" l="1"/>
  <c r="W142" i="25"/>
  <c r="B144" i="24" l="1"/>
  <c r="W143" i="25"/>
  <c r="B145" i="24" l="1"/>
  <c r="W144" i="25"/>
  <c r="W145" i="25" l="1"/>
  <c r="B146" i="24"/>
  <c r="B147" i="24" l="1"/>
  <c r="W146" i="25"/>
  <c r="W147" i="25" l="1"/>
  <c r="B148" i="24"/>
  <c r="W148" i="25" l="1"/>
  <c r="B149" i="24"/>
  <c r="M49" i="8" s="1"/>
  <c r="W149" i="25" l="1"/>
  <c r="B150" i="24"/>
  <c r="K59" i="17" s="1"/>
  <c r="B8" i="39"/>
  <c r="B151" i="24" l="1"/>
  <c r="W150" i="25"/>
  <c r="W151" i="25" l="1"/>
  <c r="B152" i="24"/>
  <c r="W152" i="25" l="1"/>
  <c r="B153" i="24"/>
  <c r="B154" i="24" l="1"/>
  <c r="W153" i="25"/>
  <c r="W154" i="25" l="1"/>
  <c r="B155" i="24"/>
  <c r="B156" i="24" l="1"/>
  <c r="W155" i="25"/>
  <c r="B157" i="24" l="1"/>
  <c r="W156" i="25"/>
  <c r="B158" i="24" l="1"/>
  <c r="W157" i="25"/>
  <c r="W158" i="25" l="1"/>
  <c r="B159" i="24"/>
  <c r="W159" i="25" l="1"/>
  <c r="B160" i="24"/>
  <c r="W160" i="25" l="1"/>
  <c r="B161" i="24"/>
  <c r="W161" i="25" l="1"/>
  <c r="B162" i="24"/>
  <c r="B163" i="24" l="1"/>
  <c r="W162" i="25"/>
  <c r="B164" i="24" l="1"/>
  <c r="W163" i="25"/>
  <c r="B165" i="24" l="1"/>
  <c r="W164" i="25"/>
  <c r="W165" i="25" l="1"/>
  <c r="B166" i="24"/>
  <c r="W166" i="25" l="1"/>
  <c r="B167" i="24"/>
  <c r="W167" i="25" l="1"/>
  <c r="B168" i="24"/>
  <c r="C8" i="39" l="1"/>
  <c r="W168" i="25"/>
  <c r="B169" i="24"/>
  <c r="B170" i="24" l="1"/>
  <c r="W169" i="25"/>
  <c r="B171" i="24" l="1"/>
  <c r="W170" i="25"/>
  <c r="W171" i="25" l="1"/>
  <c r="B172" i="24"/>
  <c r="B173" i="24" l="1"/>
  <c r="W172" i="25"/>
  <c r="B174" i="24" l="1"/>
  <c r="W173" i="25"/>
  <c r="B175" i="24" l="1"/>
  <c r="K49" i="17" s="1"/>
  <c r="M49" i="17" s="1"/>
  <c r="W174" i="25"/>
  <c r="B176" i="24" l="1"/>
  <c r="W175" i="25"/>
  <c r="B177" i="24" l="1"/>
  <c r="W176" i="25"/>
  <c r="B178" i="24" l="1"/>
  <c r="W177" i="25"/>
  <c r="B179" i="24" l="1"/>
  <c r="M59" i="17" s="1"/>
  <c r="W178" i="25"/>
  <c r="W179" i="25" l="1"/>
  <c r="B9" i="39"/>
  <c r="B180" i="24"/>
  <c r="K49" i="16" s="1"/>
  <c r="B181" i="24" l="1"/>
  <c r="W180" i="25"/>
  <c r="W181" i="25" l="1"/>
  <c r="B182" i="24"/>
  <c r="K9" i="16" s="1"/>
  <c r="B183" i="24" l="1"/>
  <c r="W182" i="25"/>
  <c r="B184" i="24" l="1"/>
  <c r="W183" i="25"/>
  <c r="W184" i="25" l="1"/>
  <c r="B185" i="24"/>
  <c r="W185" i="25" l="1"/>
  <c r="B186" i="24"/>
  <c r="B187" i="24" l="1"/>
  <c r="W186" i="25"/>
  <c r="B188" i="24" l="1"/>
  <c r="M9" i="16" s="1"/>
  <c r="W187" i="25"/>
  <c r="B189" i="24" l="1"/>
  <c r="W188" i="25"/>
  <c r="B190" i="24" l="1"/>
  <c r="W189" i="25"/>
  <c r="K19" i="16" l="1"/>
  <c r="M19" i="16" s="1"/>
  <c r="K29" i="16" s="1"/>
  <c r="M29" i="16" s="1"/>
  <c r="K39" i="16" s="1"/>
  <c r="M39" i="16" s="1"/>
  <c r="B191" i="24"/>
  <c r="W190" i="25"/>
  <c r="B192" i="24" l="1"/>
  <c r="W191" i="25"/>
  <c r="W192" i="25" l="1"/>
  <c r="B193" i="24"/>
  <c r="B194" i="24" l="1"/>
  <c r="W193" i="25"/>
  <c r="W194" i="25" l="1"/>
  <c r="B195" i="24"/>
  <c r="B196" i="24" l="1"/>
  <c r="W195" i="25"/>
  <c r="W196" i="25" l="1"/>
  <c r="B197" i="24"/>
  <c r="W197" i="25" l="1"/>
  <c r="B198" i="24"/>
  <c r="C9" i="39" l="1"/>
  <c r="W198" i="25"/>
  <c r="B199" i="24"/>
  <c r="B200" i="24" l="1"/>
  <c r="W199" i="25"/>
  <c r="W200" i="25" l="1"/>
  <c r="B201" i="24"/>
  <c r="W201" i="25" l="1"/>
  <c r="B202" i="24"/>
  <c r="B203" i="24" l="1"/>
  <c r="W202" i="25"/>
  <c r="B204" i="24" l="1"/>
  <c r="W203" i="25"/>
  <c r="B205" i="24" l="1"/>
  <c r="W204" i="25"/>
  <c r="B206" i="24" l="1"/>
  <c r="W205" i="25"/>
  <c r="B207" i="24" l="1"/>
  <c r="W206" i="25"/>
  <c r="B208" i="24" l="1"/>
  <c r="W207" i="25"/>
  <c r="W208" i="25" l="1"/>
  <c r="B209" i="24"/>
  <c r="B210" i="24" l="1"/>
  <c r="W209" i="25"/>
  <c r="M49" i="16" l="1"/>
  <c r="K9" i="15"/>
  <c r="W210" i="25"/>
  <c r="B211" i="24"/>
  <c r="B10" i="39"/>
  <c r="K49" i="15" l="1"/>
  <c r="W211" i="25"/>
  <c r="B212" i="24"/>
  <c r="M9" i="15" l="1"/>
  <c r="K19" i="15" s="1"/>
  <c r="M19" i="15" s="1"/>
  <c r="K29" i="15" s="1"/>
  <c r="M29" i="15" s="1"/>
  <c r="K39" i="15" s="1"/>
  <c r="M39" i="15" s="1"/>
  <c r="K9" i="14" s="1"/>
  <c r="M9" i="14" s="1"/>
  <c r="K19" i="14" s="1"/>
  <c r="M19" i="14" s="1"/>
  <c r="K29" i="14" s="1"/>
  <c r="M29" i="14" s="1"/>
  <c r="K39" i="14" s="1"/>
  <c r="M39" i="14" s="1"/>
  <c r="K49" i="14" s="1"/>
  <c r="M49" i="14" s="1"/>
  <c r="K9" i="13" s="1"/>
  <c r="M9" i="13" s="1"/>
  <c r="K19" i="13" s="1"/>
  <c r="M19" i="13" s="1"/>
  <c r="K29" i="13" s="1"/>
  <c r="M29" i="13" s="1"/>
  <c r="K39" i="13" s="1"/>
  <c r="M39" i="13" s="1"/>
  <c r="K9" i="19" s="1"/>
  <c r="M9" i="19" s="1"/>
  <c r="K19" i="19" s="1"/>
  <c r="M19" i="19" s="1"/>
  <c r="K29" i="19" s="1"/>
  <c r="M29" i="19" s="1"/>
  <c r="K39" i="19" s="1"/>
  <c r="M39" i="19" s="1"/>
  <c r="K9" i="18" s="1"/>
  <c r="M9" i="18" s="1"/>
  <c r="K19" i="18" s="1"/>
  <c r="M19" i="18" s="1"/>
  <c r="K29" i="18" s="1"/>
  <c r="M29" i="18" s="1"/>
  <c r="K39" i="18" s="1"/>
  <c r="M39" i="18" s="1"/>
  <c r="K49" i="18" s="1"/>
  <c r="M49" i="18" s="1"/>
  <c r="K59" i="18" s="1"/>
  <c r="M59" i="18" s="1"/>
  <c r="B213" i="24"/>
  <c r="W212" i="25"/>
  <c r="B214" i="24" l="1"/>
  <c r="W213" i="25"/>
  <c r="B215" i="24" l="1"/>
  <c r="W214" i="25"/>
  <c r="W215" i="25" l="1"/>
  <c r="B216" i="24"/>
  <c r="B217" i="24" l="1"/>
  <c r="W216" i="25"/>
  <c r="W217" i="25" l="1"/>
  <c r="B218" i="24"/>
  <c r="B219" i="24" l="1"/>
  <c r="W218" i="25"/>
  <c r="W219" i="25" l="1"/>
  <c r="B220" i="24"/>
  <c r="B221" i="24" l="1"/>
  <c r="W220" i="25"/>
  <c r="W221" i="25" l="1"/>
  <c r="B222" i="24"/>
  <c r="B223" i="24" l="1"/>
  <c r="W222" i="25"/>
  <c r="B224" i="24" l="1"/>
  <c r="W223" i="25"/>
  <c r="B225" i="24" l="1"/>
  <c r="W224" i="25"/>
  <c r="W225" i="25" l="1"/>
  <c r="B226" i="24"/>
  <c r="W226" i="25" l="1"/>
  <c r="B227" i="24"/>
  <c r="W227" i="25" l="1"/>
  <c r="B228" i="24"/>
  <c r="W228" i="25" l="1"/>
  <c r="B229" i="24"/>
  <c r="C10" i="39" l="1"/>
  <c r="W229" i="25"/>
  <c r="B230" i="24"/>
  <c r="B231" i="24" l="1"/>
  <c r="W230" i="25"/>
  <c r="B232" i="24" l="1"/>
  <c r="W231" i="25"/>
  <c r="W232" i="25" l="1"/>
  <c r="B233" i="24"/>
  <c r="W233" i="25" l="1"/>
  <c r="B234" i="24"/>
  <c r="B235" i="24" l="1"/>
  <c r="W234" i="25"/>
  <c r="B236" i="24" l="1"/>
  <c r="W235" i="25"/>
  <c r="B237" i="24" l="1"/>
  <c r="W236" i="25"/>
  <c r="W237" i="25" l="1"/>
  <c r="B238" i="24"/>
  <c r="B239" i="24" l="1"/>
  <c r="W238" i="25"/>
  <c r="B240" i="24" l="1"/>
  <c r="M49" i="15" s="1"/>
  <c r="W239" i="25"/>
  <c r="W240" i="25" l="1"/>
  <c r="B241" i="24"/>
  <c r="K59" i="14" s="1"/>
  <c r="B11" i="39"/>
  <c r="B242" i="24" l="1"/>
  <c r="W241" i="25"/>
  <c r="B243" i="24" l="1"/>
  <c r="W242" i="25"/>
  <c r="B244" i="24" l="1"/>
  <c r="W243" i="25"/>
  <c r="B245" i="24" l="1"/>
  <c r="W244" i="25"/>
  <c r="B246" i="24" l="1"/>
  <c r="W245" i="25"/>
  <c r="W246" i="25" l="1"/>
  <c r="B247" i="24"/>
  <c r="B248" i="24" l="1"/>
  <c r="W247" i="25"/>
  <c r="W248" i="25" l="1"/>
  <c r="B249" i="24"/>
  <c r="B250" i="24" l="1"/>
  <c r="W249" i="25"/>
  <c r="B251" i="24" l="1"/>
  <c r="W250" i="25"/>
  <c r="W251" i="25" l="1"/>
  <c r="B252" i="24"/>
  <c r="B253" i="24" l="1"/>
  <c r="W252" i="25"/>
  <c r="B254" i="24" l="1"/>
  <c r="W253" i="25"/>
  <c r="B255" i="24" l="1"/>
  <c r="W254" i="25"/>
  <c r="W255" i="25" l="1"/>
  <c r="B256" i="24"/>
  <c r="B257" i="24" l="1"/>
  <c r="W256" i="25"/>
  <c r="W257" i="25" l="1"/>
  <c r="B258" i="24"/>
  <c r="W258" i="25" l="1"/>
  <c r="B259" i="24"/>
  <c r="C11" i="39" l="1"/>
  <c r="W259" i="25"/>
  <c r="B260" i="24"/>
  <c r="B261" i="24" l="1"/>
  <c r="W260" i="25"/>
  <c r="B262" i="24" l="1"/>
  <c r="W261" i="25"/>
  <c r="B263" i="24" l="1"/>
  <c r="W262" i="25"/>
  <c r="W263" i="25" l="1"/>
  <c r="B264" i="24"/>
  <c r="B265" i="24" l="1"/>
  <c r="W264" i="25"/>
  <c r="B266" i="24" l="1"/>
  <c r="W265" i="25"/>
  <c r="B267" i="24" l="1"/>
  <c r="W266" i="25"/>
  <c r="B268" i="24" l="1"/>
  <c r="W267" i="25"/>
  <c r="B269" i="24" l="1"/>
  <c r="W268" i="25"/>
  <c r="W269" i="25" l="1"/>
  <c r="B270" i="24"/>
  <c r="B271" i="24" l="1"/>
  <c r="M59" i="14" s="1"/>
  <c r="W270" i="25"/>
  <c r="W271" i="25" l="1"/>
  <c r="B12" i="39"/>
  <c r="B272" i="24"/>
  <c r="K49" i="13" s="1"/>
  <c r="B273" i="24" l="1"/>
  <c r="W272" i="25"/>
  <c r="B274" i="24" l="1"/>
  <c r="W273" i="25"/>
  <c r="W274" i="25" l="1"/>
  <c r="B275" i="24"/>
  <c r="B276" i="24" l="1"/>
  <c r="W275" i="25"/>
  <c r="W276" i="25" l="1"/>
  <c r="B277" i="24"/>
  <c r="B278" i="24" l="1"/>
  <c r="W277" i="25"/>
  <c r="B279" i="24" l="1"/>
  <c r="W278" i="25"/>
  <c r="B280" i="24" l="1"/>
  <c r="W279" i="25"/>
  <c r="B281" i="24" l="1"/>
  <c r="W280" i="25"/>
  <c r="B282" i="24" l="1"/>
  <c r="W281" i="25"/>
  <c r="W282" i="25" l="1"/>
  <c r="B283" i="24"/>
  <c r="B284" i="24" l="1"/>
  <c r="W283" i="25"/>
  <c r="W284" i="25" l="1"/>
  <c r="B285" i="24"/>
  <c r="B286" i="24" l="1"/>
  <c r="W285" i="25"/>
  <c r="W286" i="25" l="1"/>
  <c r="B287" i="24"/>
  <c r="B288" i="24" l="1"/>
  <c r="W287" i="25"/>
  <c r="W288" i="25" l="1"/>
  <c r="B289" i="24"/>
  <c r="W289" i="25" l="1"/>
  <c r="B290" i="24"/>
  <c r="C12" i="39" l="1"/>
  <c r="W290" i="25"/>
  <c r="B291" i="24"/>
  <c r="B292" i="24" l="1"/>
  <c r="W291" i="25"/>
  <c r="B293" i="24" l="1"/>
  <c r="W292" i="25"/>
  <c r="W293" i="25" l="1"/>
  <c r="B294" i="24"/>
  <c r="W294" i="25" l="1"/>
  <c r="B295" i="24"/>
  <c r="W295" i="25" l="1"/>
  <c r="B296" i="24"/>
  <c r="B297" i="24" l="1"/>
  <c r="W296" i="25"/>
  <c r="W297" i="25" l="1"/>
  <c r="B298" i="24"/>
  <c r="B299" i="24" l="1"/>
  <c r="W298" i="25"/>
  <c r="B300" i="24" l="1"/>
  <c r="W299" i="25"/>
  <c r="B301" i="24" l="1"/>
  <c r="W300" i="25"/>
  <c r="B302" i="24" l="1"/>
  <c r="M49" i="13" s="1"/>
  <c r="W301" i="25"/>
  <c r="W302" i="25" l="1"/>
  <c r="B303" i="24"/>
  <c r="K49" i="19" s="1"/>
  <c r="B13" i="39"/>
  <c r="B304" i="24" l="1"/>
  <c r="W303" i="25"/>
  <c r="B305" i="24" l="1"/>
  <c r="W304" i="25"/>
  <c r="W305" i="25" l="1"/>
  <c r="B306" i="24"/>
  <c r="W306" i="25" l="1"/>
  <c r="B307" i="24"/>
  <c r="W307" i="25" l="1"/>
  <c r="B308" i="24"/>
  <c r="B309" i="24" l="1"/>
  <c r="W308" i="25"/>
  <c r="B310" i="24" l="1"/>
  <c r="W309" i="25"/>
  <c r="B311" i="24" l="1"/>
  <c r="W310" i="25"/>
  <c r="B312" i="24" l="1"/>
  <c r="W311" i="25"/>
  <c r="B313" i="24" l="1"/>
  <c r="W312" i="25"/>
  <c r="B314" i="24" l="1"/>
  <c r="W313" i="25"/>
  <c r="B315" i="24" l="1"/>
  <c r="W314" i="25"/>
  <c r="B316" i="24" l="1"/>
  <c r="W315" i="25"/>
  <c r="B317" i="24" l="1"/>
  <c r="W316" i="25"/>
  <c r="B318" i="24" l="1"/>
  <c r="W317" i="25"/>
  <c r="B319" i="24" l="1"/>
  <c r="W318" i="25"/>
  <c r="W319" i="25" l="1"/>
  <c r="B320" i="24"/>
  <c r="W320" i="25" l="1"/>
  <c r="B321" i="24"/>
  <c r="C13" i="39" l="1"/>
  <c r="B322" i="24"/>
  <c r="W321" i="25"/>
  <c r="B323" i="24" l="1"/>
  <c r="W322" i="25"/>
  <c r="B324" i="24" l="1"/>
  <c r="W323" i="25"/>
  <c r="B325" i="24" l="1"/>
  <c r="W324" i="25"/>
  <c r="B326" i="24" l="1"/>
  <c r="W325" i="25"/>
  <c r="B327" i="24" l="1"/>
  <c r="W326" i="25"/>
  <c r="B328" i="24" l="1"/>
  <c r="W327" i="25"/>
  <c r="B329" i="24" l="1"/>
  <c r="W328" i="25"/>
  <c r="B330" i="24" l="1"/>
  <c r="M49" i="19" s="1"/>
  <c r="W329" i="25"/>
  <c r="W330" i="25" l="1"/>
  <c r="B331" i="24"/>
  <c r="K69" i="18" s="1"/>
  <c r="B14" i="39"/>
  <c r="B332" i="24" l="1"/>
  <c r="W331" i="25"/>
  <c r="B333" i="24" l="1"/>
  <c r="W332" i="25"/>
  <c r="B334" i="24" l="1"/>
  <c r="W333" i="25"/>
  <c r="B335" i="24" l="1"/>
  <c r="W334" i="25"/>
  <c r="B336" i="24" l="1"/>
  <c r="W335" i="25"/>
  <c r="W336" i="25" l="1"/>
  <c r="B337" i="24"/>
  <c r="B338" i="24" l="1"/>
  <c r="W337" i="25"/>
  <c r="W338" i="25" l="1"/>
  <c r="B339" i="24"/>
  <c r="B340" i="24" l="1"/>
  <c r="W339" i="25"/>
  <c r="B341" i="24" l="1"/>
  <c r="W340" i="25"/>
  <c r="W341" i="25" l="1"/>
  <c r="B342" i="24"/>
  <c r="B343" i="24" l="1"/>
  <c r="W342" i="25"/>
  <c r="B344" i="24" l="1"/>
  <c r="W343" i="25"/>
  <c r="W344" i="25" l="1"/>
  <c r="B345" i="24"/>
  <c r="B346" i="24" l="1"/>
  <c r="W345" i="25"/>
  <c r="B347" i="24" l="1"/>
  <c r="W346" i="25"/>
  <c r="W347" i="25" l="1"/>
  <c r="B348" i="24"/>
  <c r="B349" i="24" l="1"/>
  <c r="W348" i="25"/>
  <c r="W349" i="25" l="1"/>
  <c r="B350" i="24"/>
  <c r="W350" i="25" l="1"/>
  <c r="C14" i="39"/>
  <c r="B351" i="24"/>
  <c r="W351" i="25" l="1"/>
  <c r="B352" i="24"/>
  <c r="B353" i="24" l="1"/>
  <c r="W352" i="25"/>
  <c r="B354" i="24" l="1"/>
  <c r="W353" i="25"/>
  <c r="B355" i="24" l="1"/>
  <c r="W354" i="25"/>
  <c r="B356" i="24" l="1"/>
  <c r="W355" i="25"/>
  <c r="B357" i="24" l="1"/>
  <c r="W356" i="25"/>
  <c r="B358" i="24" l="1"/>
  <c r="W357" i="25"/>
  <c r="W358" i="25" l="1"/>
  <c r="B359" i="24"/>
  <c r="B360" i="24" l="1"/>
  <c r="W359" i="25"/>
  <c r="B361" i="24" l="1"/>
  <c r="M69" i="18" s="1"/>
  <c r="W360" i="25"/>
  <c r="W361" i="25" l="1"/>
  <c r="B362" i="24"/>
  <c r="B15" i="39"/>
  <c r="W362" i="25" l="1"/>
  <c r="B363" i="24"/>
  <c r="W363" i="25" l="1"/>
  <c r="B364" i="24"/>
  <c r="W364" i="25" l="1"/>
  <c r="B365" i="24"/>
  <c r="B366" i="24" l="1"/>
  <c r="W365" i="25"/>
  <c r="E366" i="24" l="1"/>
  <c r="B367" i="24"/>
  <c r="B368" i="24" s="1"/>
  <c r="B369" i="24" s="1"/>
  <c r="B370" i="24" s="1"/>
  <c r="B371" i="24" s="1"/>
  <c r="B372" i="24" s="1"/>
  <c r="B373" i="24" s="1"/>
  <c r="B374" i="24" s="1"/>
  <c r="B375" i="24" s="1"/>
  <c r="B376" i="24" s="1"/>
  <c r="B377" i="24" s="1"/>
  <c r="B378" i="24" s="1"/>
  <c r="B379" i="24" s="1"/>
  <c r="B380" i="24" s="1"/>
  <c r="B381" i="24" s="1"/>
  <c r="C15" i="39" s="1"/>
  <c r="W366" i="25"/>
  <c r="I1" i="24"/>
  <c r="O9" i="25" l="1"/>
  <c r="N1" i="24"/>
</calcChain>
</file>

<file path=xl/sharedStrings.xml><?xml version="1.0" encoding="utf-8"?>
<sst xmlns="http://schemas.openxmlformats.org/spreadsheetml/2006/main" count="1383" uniqueCount="138">
  <si>
    <t>Employee Name</t>
  </si>
  <si>
    <t>Income Tax</t>
  </si>
  <si>
    <t>Other Deductions</t>
  </si>
  <si>
    <t>Net Pay</t>
  </si>
  <si>
    <t>Monthly Totals</t>
  </si>
  <si>
    <t>Gross Wages</t>
  </si>
  <si>
    <t>Tax Code</t>
  </si>
  <si>
    <t>Payroll Total</t>
  </si>
  <si>
    <t>Date</t>
  </si>
  <si>
    <t>Week number</t>
  </si>
  <si>
    <t>Month number</t>
  </si>
  <si>
    <t>Employee surname</t>
  </si>
  <si>
    <t>Employee forename(s)</t>
  </si>
  <si>
    <t>Address line 1</t>
  </si>
  <si>
    <t>City</t>
  </si>
  <si>
    <t>Post code</t>
  </si>
  <si>
    <t>Payroll number</t>
  </si>
  <si>
    <t>National Insurance number</t>
  </si>
  <si>
    <t>BUSINESS DETAILS</t>
  </si>
  <si>
    <t>Business name</t>
  </si>
  <si>
    <t>NATIONAL INSURANCE</t>
  </si>
  <si>
    <t>Paid monthly or weekly?</t>
  </si>
  <si>
    <t>Student Loan deductions</t>
  </si>
  <si>
    <t>WEEKLY PAYROLL</t>
  </si>
  <si>
    <t>MONTHLY PAYROLL</t>
  </si>
  <si>
    <t>YEAR TO DATE</t>
  </si>
  <si>
    <t>Employees National Insurance</t>
  </si>
  <si>
    <t>Employers National Insurance</t>
  </si>
  <si>
    <t>Date Wages paid</t>
  </si>
  <si>
    <t xml:space="preserve">   </t>
  </si>
  <si>
    <t>Wk/Mth no</t>
  </si>
  <si>
    <t>Overtime Bonus Gratuities</t>
  </si>
  <si>
    <t>Month 1</t>
  </si>
  <si>
    <t>EMPLOYEE DETAILS   01</t>
  </si>
  <si>
    <t>EMPLOYEE DETAILS   02</t>
  </si>
  <si>
    <t>EMPLOYEE DETAILS   03</t>
  </si>
  <si>
    <t>EMPLOYEE DETAILS   04</t>
  </si>
  <si>
    <t>EMPLOYEE DETAILS   05</t>
  </si>
  <si>
    <t>Pay No</t>
  </si>
  <si>
    <t>SSP</t>
  </si>
  <si>
    <t>SMP</t>
  </si>
  <si>
    <t>SPP</t>
  </si>
  <si>
    <t>SAP</t>
  </si>
  <si>
    <t>Basic hours</t>
  </si>
  <si>
    <t>Hourly rate</t>
  </si>
  <si>
    <t>NIC Table</t>
  </si>
  <si>
    <t>GROSS WAGES</t>
  </si>
  <si>
    <t>NET      PAY</t>
  </si>
  <si>
    <t>Basic    wages</t>
  </si>
  <si>
    <t>One Click to repeat previous month</t>
  </si>
  <si>
    <t>* Bank details are optional</t>
  </si>
  <si>
    <t>*Account name</t>
  </si>
  <si>
    <t>*Account number</t>
  </si>
  <si>
    <t>*Bank name</t>
  </si>
  <si>
    <t>*Sort code</t>
  </si>
  <si>
    <r>
      <t xml:space="preserve">Employee surname    </t>
    </r>
    <r>
      <rPr>
        <sz val="9"/>
        <color indexed="23"/>
        <rFont val="Times New Roman"/>
        <family val="1"/>
      </rPr>
      <t>use Capitals</t>
    </r>
  </si>
  <si>
    <t>Financial tax year</t>
  </si>
  <si>
    <t>Wages Tax Period</t>
  </si>
  <si>
    <t>Statutory Sick Pay Recovered</t>
  </si>
  <si>
    <t>Statutory Maternity Pay Recovered</t>
  </si>
  <si>
    <t>Statutory Paternity Pay Recovered</t>
  </si>
  <si>
    <t>Statutory Adoption Pay Recovered</t>
  </si>
  <si>
    <t>Statutory Payments &amp; NIC Recovered</t>
  </si>
  <si>
    <r>
      <t>One Click to repeat previous week</t>
    </r>
    <r>
      <rPr>
        <sz val="9"/>
        <rFont val="Times New Roman"/>
        <family val="1"/>
      </rPr>
      <t xml:space="preserve">  Enter Y</t>
    </r>
  </si>
  <si>
    <r>
      <t>One Click to repeat previous month</t>
    </r>
    <r>
      <rPr>
        <sz val="9"/>
        <rFont val="Times New Roman"/>
        <family val="1"/>
      </rPr>
      <t xml:space="preserve">  Enter Y</t>
    </r>
  </si>
  <si>
    <t>All Week I Month I Basis</t>
  </si>
  <si>
    <t>www.diyaccounting.co.uk</t>
  </si>
  <si>
    <t>Limited Companies Only</t>
  </si>
  <si>
    <r>
      <t xml:space="preserve">Leaving date              </t>
    </r>
    <r>
      <rPr>
        <sz val="9"/>
        <color indexed="18"/>
        <rFont val="Times New Roman"/>
        <family val="1"/>
      </rPr>
      <t xml:space="preserve"> </t>
    </r>
    <r>
      <rPr>
        <i/>
        <sz val="8"/>
        <color indexed="18"/>
        <rFont val="Times New Roman"/>
        <family val="1"/>
      </rPr>
      <t>(dd/mm/yyyy)</t>
    </r>
  </si>
  <si>
    <r>
      <t xml:space="preserve">Leaving date               </t>
    </r>
    <r>
      <rPr>
        <i/>
        <sz val="8"/>
        <color indexed="18"/>
        <rFont val="Times New Roman"/>
        <family val="1"/>
      </rPr>
      <t>(dd/mm/yyyy)</t>
    </r>
  </si>
  <si>
    <t>Sub Totals Directors</t>
  </si>
  <si>
    <t>Directors</t>
  </si>
  <si>
    <t>Dir Ref</t>
  </si>
  <si>
    <t>Director Totals</t>
  </si>
  <si>
    <t>Directors Wages Limited Companies Only</t>
  </si>
  <si>
    <t>Enter D  for Director</t>
  </si>
  <si>
    <t>-</t>
  </si>
  <si>
    <t>Year to</t>
  </si>
  <si>
    <t>M</t>
  </si>
  <si>
    <t>F</t>
  </si>
  <si>
    <t>W</t>
  </si>
  <si>
    <t>D</t>
  </si>
  <si>
    <t>W1</t>
  </si>
  <si>
    <t>M1</t>
  </si>
  <si>
    <t>Month Sheet</t>
  </si>
  <si>
    <t>Month</t>
  </si>
  <si>
    <t>Week in Month</t>
  </si>
  <si>
    <t>Date code</t>
  </si>
  <si>
    <t>Product Layout</t>
  </si>
  <si>
    <t>Weeks in month</t>
  </si>
  <si>
    <t>Employees</t>
  </si>
  <si>
    <t>Reduce employers' NIC contributions by 0.5% for employees categorised as mariners</t>
  </si>
  <si>
    <t>Amount Outstanding</t>
  </si>
  <si>
    <t>Amount Paid</t>
  </si>
  <si>
    <t>Payment Method</t>
  </si>
  <si>
    <t>Payment Date</t>
  </si>
  <si>
    <t>Total Amount Payable</t>
  </si>
  <si>
    <t>Student Loan Deductions</t>
  </si>
  <si>
    <t xml:space="preserve">Statutory Pay NIC Compensation </t>
  </si>
  <si>
    <t>Statutory Pay Recovered</t>
  </si>
  <si>
    <t>Amount Due Income Tax</t>
  </si>
  <si>
    <t>Amount Due Nat Insurance</t>
  </si>
  <si>
    <t>Inland Revenue Payment Due</t>
  </si>
  <si>
    <t>PAYE       Month</t>
  </si>
  <si>
    <t>Online filing month code</t>
  </si>
  <si>
    <t>Statutory Pay</t>
  </si>
  <si>
    <t>Student Loans</t>
  </si>
  <si>
    <t xml:space="preserve"> </t>
  </si>
  <si>
    <t>Payment date</t>
  </si>
  <si>
    <t>Total year to date</t>
  </si>
  <si>
    <t>Office Use</t>
  </si>
  <si>
    <t>Student loans</t>
  </si>
  <si>
    <t>National Insurance</t>
  </si>
  <si>
    <t>Income  Tax</t>
  </si>
  <si>
    <t>Incremental Payments</t>
  </si>
  <si>
    <t>BASIC PAY</t>
  </si>
  <si>
    <t>Hourly   Rate</t>
  </si>
  <si>
    <t>Basic   Hours</t>
  </si>
  <si>
    <t>Statutory Allowances</t>
  </si>
  <si>
    <t>NET PAY</t>
  </si>
  <si>
    <t>DEDUCTIONS FROM GROSS PAY</t>
  </si>
  <si>
    <t>GROSS PAY</t>
  </si>
  <si>
    <t>PAYMENTS THIS PERIOD</t>
  </si>
  <si>
    <t>Nat Ins    Table</t>
  </si>
  <si>
    <t>Tax Week</t>
  </si>
  <si>
    <t>Payroll Reference</t>
  </si>
  <si>
    <t>Nat Ins Number</t>
  </si>
  <si>
    <t>Tax Week ended</t>
  </si>
  <si>
    <t>Income   Tax</t>
  </si>
  <si>
    <t>Weekly or Monthly payslips (W or M)</t>
  </si>
  <si>
    <t>Week or Month number (1-12 or 1 to 53)</t>
  </si>
  <si>
    <t>Sheet</t>
  </si>
  <si>
    <t>Start row</t>
  </si>
  <si>
    <t>Weekly</t>
  </si>
  <si>
    <t>Monthly</t>
  </si>
  <si>
    <t>DIY Accounting Payslip Generator</t>
  </si>
  <si>
    <t>w</t>
  </si>
  <si>
    <t>Complete Employee details below and add calculated tax and wages to the monthly sheets (Apr22, May22, etc…), then switch to the Payslips sheet to generate payslips by selecting W or M (weekly/monthly) and the week or month number.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</si>
</sst>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_ ;[Red]\-#,##0.00\ "/>
    <numFmt numFmtId="165" formatCode="00"/>
    <numFmt numFmtId="166" formatCode="dd/mm/yyyy;@"/>
    <numFmt numFmtId="167" formatCode="0.00_ ;[Red]\-0.00\ "/>
    <numFmt numFmtId="168" formatCode="[$-F800]dddd\,\ mmmm\ dd\,\ yyyy"/>
  </numFmts>
  <fonts count="56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  <font>
      <sz val="9"/>
      <name val="Times New Roman"/>
      <family val="1"/>
    </font>
    <font>
      <sz val="8"/>
      <name val="Times New Roman"/>
      <family val="1"/>
    </font>
    <font>
      <b/>
      <sz val="9"/>
      <name val="Times New Roman"/>
      <family val="1"/>
    </font>
    <font>
      <u/>
      <sz val="8"/>
      <color indexed="12"/>
      <name val="Times New Roman"/>
      <family val="1"/>
    </font>
    <font>
      <sz val="8"/>
      <color indexed="23"/>
      <name val="Times New Roman"/>
      <family val="1"/>
    </font>
    <font>
      <sz val="10"/>
      <color indexed="23"/>
      <name val="Arial"/>
      <family val="2"/>
    </font>
    <font>
      <b/>
      <sz val="8"/>
      <color indexed="9"/>
      <name val="Times New Roman"/>
      <family val="1"/>
    </font>
    <font>
      <b/>
      <sz val="8"/>
      <name val="Times New Roman"/>
      <family val="1"/>
    </font>
    <font>
      <i/>
      <sz val="9"/>
      <name val="Times New Roman"/>
      <family val="1"/>
    </font>
    <font>
      <b/>
      <sz val="10"/>
      <name val="Arial"/>
      <family val="2"/>
    </font>
    <font>
      <sz val="9"/>
      <name val="Arial"/>
      <family val="2"/>
    </font>
    <font>
      <sz val="8"/>
      <color indexed="22"/>
      <name val="Times New Roman"/>
      <family val="1"/>
    </font>
    <font>
      <sz val="8"/>
      <color indexed="63"/>
      <name val="Times New Roman"/>
      <family val="1"/>
    </font>
    <font>
      <i/>
      <sz val="8"/>
      <color indexed="23"/>
      <name val="Times New Roman"/>
      <family val="1"/>
    </font>
    <font>
      <i/>
      <sz val="8"/>
      <color indexed="23"/>
      <name val="Arial"/>
      <family val="2"/>
    </font>
    <font>
      <sz val="8"/>
      <color indexed="18"/>
      <name val="Times New Roman"/>
      <family val="1"/>
    </font>
    <font>
      <sz val="10"/>
      <color indexed="10"/>
      <name val="Times New Roman"/>
      <family val="1"/>
    </font>
    <font>
      <b/>
      <sz val="8"/>
      <name val="Arial"/>
      <family val="2"/>
    </font>
    <font>
      <i/>
      <sz val="8"/>
      <name val="Times New Roman"/>
      <family val="1"/>
    </font>
    <font>
      <sz val="9"/>
      <color indexed="23"/>
      <name val="Times New Roman"/>
      <family val="1"/>
    </font>
    <font>
      <sz val="10"/>
      <name val="Arial"/>
      <family val="2"/>
    </font>
    <font>
      <sz val="9"/>
      <name val="Arial"/>
      <family val="2"/>
    </font>
    <font>
      <sz val="10"/>
      <name val="Arial"/>
      <family val="2"/>
    </font>
    <font>
      <sz val="10"/>
      <color indexed="10"/>
      <name val="Arial"/>
      <family val="2"/>
    </font>
    <font>
      <sz val="8"/>
      <color indexed="18"/>
      <name val="Arial"/>
      <family val="2"/>
    </font>
    <font>
      <sz val="10"/>
      <color indexed="58"/>
      <name val="Times New Roman"/>
      <family val="1"/>
    </font>
    <font>
      <i/>
      <sz val="9"/>
      <name val="Arial"/>
      <family val="2"/>
    </font>
    <font>
      <i/>
      <sz val="8"/>
      <color indexed="18"/>
      <name val="Times New Roman"/>
      <family val="1"/>
    </font>
    <font>
      <i/>
      <sz val="9"/>
      <color indexed="18"/>
      <name val="Times New Roman"/>
      <family val="1"/>
    </font>
    <font>
      <sz val="9"/>
      <color indexed="18"/>
      <name val="Times New Roman"/>
      <family val="1"/>
    </font>
    <font>
      <sz val="9"/>
      <color indexed="58"/>
      <name val="Times New Roman"/>
      <family val="1"/>
    </font>
    <font>
      <sz val="8"/>
      <name val="Arial"/>
      <family val="2"/>
    </font>
    <font>
      <b/>
      <sz val="9"/>
      <name val="Arial"/>
      <family val="2"/>
    </font>
    <font>
      <sz val="10"/>
      <name val="Verdana"/>
      <family val="2"/>
    </font>
    <font>
      <sz val="8"/>
      <name val="Verdana"/>
      <family val="2"/>
    </font>
    <font>
      <b/>
      <sz val="8"/>
      <name val="Verdana"/>
      <family val="2"/>
    </font>
    <font>
      <sz val="9"/>
      <name val="Verdana"/>
      <family val="2"/>
    </font>
    <font>
      <sz val="12"/>
      <color indexed="18"/>
      <name val="Verdana"/>
      <family val="2"/>
    </font>
    <font>
      <sz val="8"/>
      <color indexed="18"/>
      <name val="Verdana"/>
      <family val="2"/>
    </font>
    <font>
      <sz val="9"/>
      <color indexed="18"/>
      <name val="Verdana"/>
      <family val="2"/>
    </font>
    <font>
      <sz val="10"/>
      <color indexed="18"/>
      <name val="Verdana"/>
      <family val="2"/>
    </font>
    <font>
      <b/>
      <sz val="9"/>
      <color indexed="18"/>
      <name val="Verdana"/>
      <family val="2"/>
    </font>
    <font>
      <b/>
      <sz val="10"/>
      <color indexed="18"/>
      <name val="Verdana"/>
      <family val="2"/>
    </font>
    <font>
      <u/>
      <sz val="10"/>
      <color indexed="12"/>
      <name val="Verdana"/>
      <family val="2"/>
    </font>
    <font>
      <sz val="8"/>
      <color indexed="23"/>
      <name val="Verdana"/>
      <family val="2"/>
    </font>
    <font>
      <b/>
      <sz val="9"/>
      <name val="Verdana"/>
      <family val="2"/>
    </font>
    <font>
      <b/>
      <sz val="9"/>
      <color rgb="FFFFFFCC"/>
      <name val="Verdana"/>
      <family val="2"/>
    </font>
    <font>
      <b/>
      <sz val="9"/>
      <color theme="0" tint="-0.14999847407452621"/>
      <name val="Verdana"/>
      <family val="2"/>
    </font>
    <font>
      <b/>
      <sz val="12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0"/>
        <bgColor indexed="64"/>
      </patternFill>
    </fill>
    <fill>
      <patternFill patternType="gray0625">
        <bgColor indexed="26"/>
      </patternFill>
    </fill>
  </fills>
  <borders count="5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</borders>
  <cellStyleXfs count="5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  <xf numFmtId="0" fontId="27" fillId="0" borderId="0"/>
    <xf numFmtId="0" fontId="2" fillId="0" borderId="0"/>
    <xf numFmtId="0" fontId="1" fillId="0" borderId="0"/>
  </cellStyleXfs>
  <cellXfs count="497">
    <xf numFmtId="0" fontId="0" fillId="0" borderId="0" xfId="0"/>
    <xf numFmtId="0" fontId="3" fillId="0" borderId="0" xfId="0" applyFont="1"/>
    <xf numFmtId="165" fontId="3" fillId="0" borderId="0" xfId="0" applyNumberFormat="1" applyFont="1" applyAlignment="1">
      <alignment horizontal="center"/>
    </xf>
    <xf numFmtId="0" fontId="7" fillId="0" borderId="0" xfId="0" applyFont="1"/>
    <xf numFmtId="0" fontId="8" fillId="0" borderId="0" xfId="0" applyFont="1" applyAlignment="1">
      <alignment horizontal="center"/>
    </xf>
    <xf numFmtId="0" fontId="7" fillId="2" borderId="0" xfId="0" applyFont="1" applyFill="1"/>
    <xf numFmtId="0" fontId="7" fillId="0" borderId="1" xfId="0" applyFont="1" applyBorder="1"/>
    <xf numFmtId="0" fontId="8" fillId="0" borderId="0" xfId="0" applyFont="1" applyAlignment="1">
      <alignment horizontal="center" vertical="center" wrapText="1"/>
    </xf>
    <xf numFmtId="0" fontId="8" fillId="0" borderId="0" xfId="0" applyFont="1" applyAlignment="1">
      <alignment horizontal="left"/>
    </xf>
    <xf numFmtId="0" fontId="7" fillId="3" borderId="2" xfId="0" applyFont="1" applyFill="1" applyBorder="1"/>
    <xf numFmtId="0" fontId="7" fillId="3" borderId="3" xfId="0" applyFont="1" applyFill="1" applyBorder="1"/>
    <xf numFmtId="0" fontId="7" fillId="3" borderId="4" xfId="0" applyFont="1" applyFill="1" applyBorder="1"/>
    <xf numFmtId="0" fontId="7" fillId="3" borderId="5" xfId="0" applyFont="1" applyFill="1" applyBorder="1"/>
    <xf numFmtId="0" fontId="9" fillId="3" borderId="0" xfId="0" applyFont="1" applyFill="1"/>
    <xf numFmtId="0" fontId="7" fillId="3" borderId="0" xfId="0" applyFont="1" applyFill="1"/>
    <xf numFmtId="0" fontId="7" fillId="3" borderId="6" xfId="0" applyFont="1" applyFill="1" applyBorder="1"/>
    <xf numFmtId="1" fontId="11" fillId="3" borderId="0" xfId="0" applyNumberFormat="1" applyFont="1" applyFill="1" applyAlignment="1">
      <alignment horizontal="center"/>
    </xf>
    <xf numFmtId="166" fontId="7" fillId="3" borderId="0" xfId="0" applyNumberFormat="1" applyFont="1" applyFill="1"/>
    <xf numFmtId="165" fontId="7" fillId="3" borderId="0" xfId="0" applyNumberFormat="1" applyFont="1" applyFill="1"/>
    <xf numFmtId="0" fontId="7" fillId="3" borderId="7" xfId="0" applyFont="1" applyFill="1" applyBorder="1"/>
    <xf numFmtId="0" fontId="7" fillId="3" borderId="0" xfId="0" applyFont="1" applyFill="1" applyAlignment="1">
      <alignment wrapText="1"/>
    </xf>
    <xf numFmtId="0" fontId="11" fillId="3" borderId="0" xfId="0" applyFont="1" applyFill="1"/>
    <xf numFmtId="0" fontId="7" fillId="3" borderId="8" xfId="0" applyFont="1" applyFill="1" applyBorder="1"/>
    <xf numFmtId="0" fontId="7" fillId="3" borderId="9" xfId="0" applyFont="1" applyFill="1" applyBorder="1"/>
    <xf numFmtId="0" fontId="8" fillId="3" borderId="0" xfId="0" applyFont="1" applyFill="1" applyAlignment="1">
      <alignment horizontal="center"/>
    </xf>
    <xf numFmtId="0" fontId="7" fillId="3" borderId="10" xfId="0" applyFont="1" applyFill="1" applyBorder="1"/>
    <xf numFmtId="1" fontId="13" fillId="3" borderId="0" xfId="0" applyNumberFormat="1" applyFont="1" applyFill="1" applyAlignment="1">
      <alignment horizontal="center"/>
    </xf>
    <xf numFmtId="49" fontId="7" fillId="3" borderId="0" xfId="0" applyNumberFormat="1" applyFont="1" applyFill="1" applyAlignment="1">
      <alignment horizontal="center"/>
    </xf>
    <xf numFmtId="0" fontId="7" fillId="3" borderId="0" xfId="0" applyFont="1" applyFill="1" applyAlignment="1">
      <alignment horizontal="center"/>
    </xf>
    <xf numFmtId="0" fontId="11" fillId="3" borderId="0" xfId="0" applyFont="1" applyFill="1" applyAlignment="1">
      <alignment horizontal="center"/>
    </xf>
    <xf numFmtId="0" fontId="7" fillId="3" borderId="0" xfId="0" applyFont="1" applyFill="1" applyAlignment="1">
      <alignment horizontal="left"/>
    </xf>
    <xf numFmtId="0" fontId="3" fillId="3" borderId="2" xfId="0" applyFont="1" applyFill="1" applyBorder="1"/>
    <xf numFmtId="0" fontId="3" fillId="3" borderId="3" xfId="0" applyFont="1" applyFill="1" applyBorder="1"/>
    <xf numFmtId="0" fontId="3" fillId="3" borderId="4" xfId="0" applyFont="1" applyFill="1" applyBorder="1"/>
    <xf numFmtId="0" fontId="3" fillId="3" borderId="5" xfId="0" applyFont="1" applyFill="1" applyBorder="1"/>
    <xf numFmtId="0" fontId="3" fillId="3" borderId="0" xfId="0" applyFont="1" applyFill="1"/>
    <xf numFmtId="165" fontId="3" fillId="3" borderId="0" xfId="0" applyNumberFormat="1" applyFont="1" applyFill="1" applyAlignment="1">
      <alignment horizontal="center"/>
    </xf>
    <xf numFmtId="0" fontId="3" fillId="3" borderId="6" xfId="0" applyFont="1" applyFill="1" applyBorder="1"/>
    <xf numFmtId="0" fontId="3" fillId="3" borderId="11" xfId="0" applyFont="1" applyFill="1" applyBorder="1"/>
    <xf numFmtId="164" fontId="3" fillId="3" borderId="6" xfId="0" applyNumberFormat="1" applyFont="1" applyFill="1" applyBorder="1"/>
    <xf numFmtId="164" fontId="3" fillId="3" borderId="10" xfId="0" applyNumberFormat="1" applyFont="1" applyFill="1" applyBorder="1"/>
    <xf numFmtId="164" fontId="8" fillId="3" borderId="0" xfId="0" applyNumberFormat="1" applyFont="1" applyFill="1" applyAlignment="1">
      <alignment horizontal="center"/>
    </xf>
    <xf numFmtId="164" fontId="8" fillId="3" borderId="0" xfId="0" applyNumberFormat="1" applyFont="1" applyFill="1" applyAlignment="1">
      <alignment horizontal="center" vertical="center" wrapText="1"/>
    </xf>
    <xf numFmtId="0" fontId="3" fillId="3" borderId="3" xfId="0" applyFont="1" applyFill="1" applyBorder="1" applyAlignment="1">
      <alignment horizontal="right" indent="1"/>
    </xf>
    <xf numFmtId="0" fontId="3" fillId="3" borderId="0" xfId="0" applyFont="1" applyFill="1" applyAlignment="1">
      <alignment horizontal="right" indent="1"/>
    </xf>
    <xf numFmtId="0" fontId="3" fillId="0" borderId="0" xfId="0" applyFont="1" applyAlignment="1">
      <alignment horizontal="right" indent="1"/>
    </xf>
    <xf numFmtId="2" fontId="3" fillId="3" borderId="3" xfId="0" applyNumberFormat="1" applyFont="1" applyFill="1" applyBorder="1" applyAlignment="1">
      <alignment horizontal="right" indent="1"/>
    </xf>
    <xf numFmtId="2" fontId="3" fillId="3" borderId="0" xfId="0" applyNumberFormat="1" applyFont="1" applyFill="1" applyAlignment="1">
      <alignment horizontal="right" indent="1"/>
    </xf>
    <xf numFmtId="2" fontId="3" fillId="0" borderId="0" xfId="0" applyNumberFormat="1" applyFont="1" applyAlignment="1">
      <alignment horizontal="right" indent="1"/>
    </xf>
    <xf numFmtId="164" fontId="3" fillId="0" borderId="0" xfId="0" applyNumberFormat="1" applyFont="1" applyAlignment="1">
      <alignment horizontal="right" indent="1"/>
    </xf>
    <xf numFmtId="166" fontId="7" fillId="3" borderId="0" xfId="0" applyNumberFormat="1" applyFont="1" applyFill="1" applyAlignment="1">
      <alignment horizontal="center"/>
    </xf>
    <xf numFmtId="0" fontId="7" fillId="3" borderId="8" xfId="0" applyFont="1" applyFill="1" applyBorder="1" applyAlignment="1">
      <alignment wrapText="1"/>
    </xf>
    <xf numFmtId="0" fontId="9" fillId="3" borderId="0" xfId="0" applyFont="1" applyFill="1" applyAlignment="1">
      <alignment horizontal="left" vertical="center" indent="1"/>
    </xf>
    <xf numFmtId="0" fontId="19" fillId="3" borderId="0" xfId="0" applyFont="1" applyFill="1"/>
    <xf numFmtId="0" fontId="19" fillId="3" borderId="0" xfId="0" applyFont="1" applyFill="1" applyAlignment="1">
      <alignment horizontal="center"/>
    </xf>
    <xf numFmtId="1" fontId="8" fillId="3" borderId="0" xfId="0" applyNumberFormat="1" applyFont="1" applyFill="1"/>
    <xf numFmtId="0" fontId="20" fillId="3" borderId="0" xfId="0" applyFont="1" applyFill="1"/>
    <xf numFmtId="0" fontId="7" fillId="2" borderId="12" xfId="0" applyFont="1" applyFill="1" applyBorder="1"/>
    <xf numFmtId="0" fontId="7" fillId="2" borderId="13" xfId="0" applyFont="1" applyFill="1" applyBorder="1"/>
    <xf numFmtId="0" fontId="7" fillId="2" borderId="8" xfId="0" applyFont="1" applyFill="1" applyBorder="1"/>
    <xf numFmtId="0" fontId="7" fillId="2" borderId="14" xfId="0" applyFont="1" applyFill="1" applyBorder="1"/>
    <xf numFmtId="0" fontId="7" fillId="2" borderId="15" xfId="0" applyFont="1" applyFill="1" applyBorder="1"/>
    <xf numFmtId="0" fontId="22" fillId="2" borderId="0" xfId="0" applyFont="1" applyFill="1" applyAlignment="1">
      <alignment horizontal="right"/>
    </xf>
    <xf numFmtId="0" fontId="7" fillId="3" borderId="16" xfId="0" applyFont="1" applyFill="1" applyBorder="1"/>
    <xf numFmtId="0" fontId="18" fillId="3" borderId="6" xfId="0" applyFont="1" applyFill="1" applyBorder="1"/>
    <xf numFmtId="0" fontId="7" fillId="3" borderId="11" xfId="0" applyFont="1" applyFill="1" applyBorder="1"/>
    <xf numFmtId="0" fontId="6" fillId="0" borderId="0" xfId="0" applyFont="1" applyAlignment="1">
      <alignment horizontal="right" vertical="center" wrapText="1"/>
    </xf>
    <xf numFmtId="164" fontId="8" fillId="0" borderId="0" xfId="0" applyNumberFormat="1" applyFont="1" applyAlignment="1">
      <alignment horizontal="right"/>
    </xf>
    <xf numFmtId="14" fontId="7" fillId="2" borderId="0" xfId="0" applyNumberFormat="1" applyFont="1" applyFill="1"/>
    <xf numFmtId="2" fontId="7" fillId="2" borderId="0" xfId="0" applyNumberFormat="1" applyFont="1" applyFill="1"/>
    <xf numFmtId="0" fontId="9" fillId="3" borderId="0" xfId="0" applyFont="1" applyFill="1" applyAlignment="1">
      <alignment horizontal="center" vertical="center"/>
    </xf>
    <xf numFmtId="0" fontId="7" fillId="0" borderId="17" xfId="0" applyFont="1" applyBorder="1" applyAlignment="1">
      <alignment horizontal="center"/>
    </xf>
    <xf numFmtId="2" fontId="11" fillId="3" borderId="0" xfId="0" applyNumberFormat="1" applyFont="1" applyFill="1"/>
    <xf numFmtId="2" fontId="11" fillId="0" borderId="0" xfId="0" applyNumberFormat="1" applyFont="1"/>
    <xf numFmtId="0" fontId="12" fillId="3" borderId="0" xfId="0" applyFont="1" applyFill="1" applyAlignment="1">
      <alignment wrapText="1"/>
    </xf>
    <xf numFmtId="167" fontId="8" fillId="0" borderId="0" xfId="0" applyNumberFormat="1" applyFont="1" applyAlignment="1">
      <alignment horizontal="left"/>
    </xf>
    <xf numFmtId="167" fontId="3" fillId="0" borderId="0" xfId="0" applyNumberFormat="1" applyFont="1"/>
    <xf numFmtId="0" fontId="0" fillId="2" borderId="13" xfId="0" applyFill="1" applyBorder="1"/>
    <xf numFmtId="0" fontId="0" fillId="2" borderId="18" xfId="0" applyFill="1" applyBorder="1"/>
    <xf numFmtId="0" fontId="0" fillId="2" borderId="0" xfId="0" applyFill="1"/>
    <xf numFmtId="0" fontId="0" fillId="2" borderId="19" xfId="0" applyFill="1" applyBorder="1"/>
    <xf numFmtId="0" fontId="0" fillId="2" borderId="15" xfId="0" applyFill="1" applyBorder="1"/>
    <xf numFmtId="0" fontId="0" fillId="2" borderId="20" xfId="0" applyFill="1" applyBorder="1"/>
    <xf numFmtId="0" fontId="9" fillId="4" borderId="17" xfId="0" applyFont="1" applyFill="1" applyBorder="1" applyAlignment="1">
      <alignment horizontal="left" vertical="center" indent="1"/>
    </xf>
    <xf numFmtId="1" fontId="8" fillId="3" borderId="0" xfId="0" applyNumberFormat="1" applyFont="1" applyFill="1" applyAlignment="1">
      <alignment horizontal="center"/>
    </xf>
    <xf numFmtId="1" fontId="7" fillId="3" borderId="0" xfId="0" applyNumberFormat="1" applyFont="1" applyFill="1" applyAlignment="1">
      <alignment horizontal="center"/>
    </xf>
    <xf numFmtId="0" fontId="23" fillId="3" borderId="3" xfId="0" applyFont="1" applyFill="1" applyBorder="1"/>
    <xf numFmtId="0" fontId="23" fillId="3" borderId="3" xfId="0" applyFont="1" applyFill="1" applyBorder="1" applyAlignment="1">
      <alignment horizontal="right" indent="1"/>
    </xf>
    <xf numFmtId="164" fontId="8" fillId="3" borderId="1" xfId="0" applyNumberFormat="1" applyFont="1" applyFill="1" applyBorder="1"/>
    <xf numFmtId="164" fontId="7" fillId="0" borderId="13" xfId="0" applyNumberFormat="1" applyFont="1" applyBorder="1"/>
    <xf numFmtId="2" fontId="7" fillId="0" borderId="13" xfId="0" applyNumberFormat="1" applyFont="1" applyBorder="1"/>
    <xf numFmtId="2" fontId="7" fillId="3" borderId="21" xfId="0" applyNumberFormat="1" applyFont="1" applyFill="1" applyBorder="1" applyAlignment="1">
      <alignment wrapText="1"/>
    </xf>
    <xf numFmtId="164" fontId="7" fillId="0" borderId="0" xfId="0" applyNumberFormat="1" applyFont="1"/>
    <xf numFmtId="2" fontId="7" fillId="0" borderId="0" xfId="0" applyNumberFormat="1" applyFont="1"/>
    <xf numFmtId="164" fontId="7" fillId="3" borderId="0" xfId="0" applyNumberFormat="1" applyFont="1" applyFill="1"/>
    <xf numFmtId="164" fontId="7" fillId="0" borderId="12" xfId="0" applyNumberFormat="1" applyFont="1" applyBorder="1"/>
    <xf numFmtId="164" fontId="7" fillId="0" borderId="8" xfId="0" applyNumberFormat="1" applyFont="1" applyBorder="1"/>
    <xf numFmtId="0" fontId="3" fillId="2" borderId="17" xfId="0" applyFont="1" applyFill="1" applyBorder="1" applyAlignment="1">
      <alignment horizontal="center" vertical="center"/>
    </xf>
    <xf numFmtId="0" fontId="7" fillId="3" borderId="13" xfId="0" applyFont="1" applyFill="1" applyBorder="1" applyAlignment="1">
      <alignment horizontal="left"/>
    </xf>
    <xf numFmtId="164" fontId="7" fillId="0" borderId="21" xfId="0" applyNumberFormat="1" applyFont="1" applyBorder="1"/>
    <xf numFmtId="164" fontId="7" fillId="0" borderId="22" xfId="0" applyNumberFormat="1" applyFont="1" applyBorder="1"/>
    <xf numFmtId="164" fontId="7" fillId="3" borderId="14" xfId="0" applyNumberFormat="1" applyFont="1" applyFill="1" applyBorder="1"/>
    <xf numFmtId="164" fontId="7" fillId="3" borderId="15" xfId="0" applyNumberFormat="1" applyFont="1" applyFill="1" applyBorder="1"/>
    <xf numFmtId="164" fontId="7" fillId="3" borderId="21" xfId="0" applyNumberFormat="1" applyFont="1" applyFill="1" applyBorder="1"/>
    <xf numFmtId="164" fontId="7" fillId="3" borderId="22" xfId="0" applyNumberFormat="1" applyFont="1" applyFill="1" applyBorder="1"/>
    <xf numFmtId="0" fontId="8" fillId="3" borderId="21" xfId="0" applyFont="1" applyFill="1" applyBorder="1" applyAlignment="1">
      <alignment horizontal="center" vertical="center" wrapText="1"/>
    </xf>
    <xf numFmtId="0" fontId="8" fillId="3" borderId="22" xfId="0" applyFont="1" applyFill="1" applyBorder="1" applyAlignment="1">
      <alignment horizontal="center" vertical="center" wrapText="1"/>
    </xf>
    <xf numFmtId="0" fontId="8" fillId="3" borderId="23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left"/>
    </xf>
    <xf numFmtId="164" fontId="8" fillId="3" borderId="0" xfId="0" applyNumberFormat="1" applyFont="1" applyFill="1"/>
    <xf numFmtId="164" fontId="7" fillId="0" borderId="18" xfId="0" applyNumberFormat="1" applyFont="1" applyBorder="1"/>
    <xf numFmtId="164" fontId="7" fillId="0" borderId="19" xfId="0" applyNumberFormat="1" applyFont="1" applyBorder="1"/>
    <xf numFmtId="165" fontId="7" fillId="3" borderId="0" xfId="0" applyNumberFormat="1" applyFont="1" applyFill="1" applyAlignment="1">
      <alignment horizontal="center"/>
    </xf>
    <xf numFmtId="0" fontId="7" fillId="3" borderId="12" xfId="0" applyFont="1" applyFill="1" applyBorder="1" applyAlignment="1">
      <alignment horizontal="center"/>
    </xf>
    <xf numFmtId="165" fontId="7" fillId="3" borderId="18" xfId="0" applyNumberFormat="1" applyFont="1" applyFill="1" applyBorder="1" applyAlignment="1">
      <alignment horizontal="center"/>
    </xf>
    <xf numFmtId="0" fontId="7" fillId="3" borderId="8" xfId="0" applyFont="1" applyFill="1" applyBorder="1" applyAlignment="1">
      <alignment horizontal="center"/>
    </xf>
    <xf numFmtId="165" fontId="7" fillId="3" borderId="19" xfId="0" applyNumberFormat="1" applyFont="1" applyFill="1" applyBorder="1" applyAlignment="1">
      <alignment horizontal="center"/>
    </xf>
    <xf numFmtId="0" fontId="7" fillId="3" borderId="12" xfId="0" applyFont="1" applyFill="1" applyBorder="1" applyAlignment="1">
      <alignment horizontal="left"/>
    </xf>
    <xf numFmtId="0" fontId="7" fillId="3" borderId="8" xfId="0" applyFont="1" applyFill="1" applyBorder="1" applyAlignment="1">
      <alignment horizontal="left"/>
    </xf>
    <xf numFmtId="0" fontId="3" fillId="3" borderId="0" xfId="0" applyFont="1" applyFill="1" applyAlignment="1">
      <alignment wrapText="1"/>
    </xf>
    <xf numFmtId="165" fontId="7" fillId="3" borderId="13" xfId="0" applyNumberFormat="1" applyFont="1" applyFill="1" applyBorder="1" applyAlignment="1">
      <alignment horizontal="center"/>
    </xf>
    <xf numFmtId="0" fontId="8" fillId="3" borderId="24" xfId="0" applyFont="1" applyFill="1" applyBorder="1" applyAlignment="1">
      <alignment horizontal="center"/>
    </xf>
    <xf numFmtId="0" fontId="7" fillId="3" borderId="24" xfId="0" applyFont="1" applyFill="1" applyBorder="1" applyAlignment="1">
      <alignment horizontal="center" vertical="center" wrapText="1"/>
    </xf>
    <xf numFmtId="2" fontId="11" fillId="3" borderId="24" xfId="0" applyNumberFormat="1" applyFont="1" applyFill="1" applyBorder="1"/>
    <xf numFmtId="164" fontId="7" fillId="3" borderId="25" xfId="0" applyNumberFormat="1" applyFont="1" applyFill="1" applyBorder="1"/>
    <xf numFmtId="164" fontId="7" fillId="3" borderId="24" xfId="0" applyNumberFormat="1" applyFont="1" applyFill="1" applyBorder="1"/>
    <xf numFmtId="2" fontId="7" fillId="3" borderId="24" xfId="0" applyNumberFormat="1" applyFont="1" applyFill="1" applyBorder="1"/>
    <xf numFmtId="164" fontId="7" fillId="2" borderId="17" xfId="0" applyNumberFormat="1" applyFont="1" applyFill="1" applyBorder="1"/>
    <xf numFmtId="0" fontId="8" fillId="3" borderId="0" xfId="0" applyFont="1" applyFill="1" applyAlignment="1">
      <alignment horizontal="left"/>
    </xf>
    <xf numFmtId="0" fontId="7" fillId="0" borderId="1" xfId="0" applyFont="1" applyBorder="1" applyAlignment="1">
      <alignment horizontal="left"/>
    </xf>
    <xf numFmtId="0" fontId="7" fillId="0" borderId="25" xfId="0" applyFont="1" applyBorder="1" applyAlignment="1">
      <alignment horizontal="left"/>
    </xf>
    <xf numFmtId="166" fontId="7" fillId="0" borderId="17" xfId="0" applyNumberFormat="1" applyFont="1" applyBorder="1" applyAlignment="1">
      <alignment horizontal="center"/>
    </xf>
    <xf numFmtId="0" fontId="3" fillId="0" borderId="17" xfId="0" applyFont="1" applyBorder="1" applyAlignment="1">
      <alignment horizontal="center" vertical="center"/>
    </xf>
    <xf numFmtId="164" fontId="7" fillId="2" borderId="26" xfId="0" applyNumberFormat="1" applyFont="1" applyFill="1" applyBorder="1"/>
    <xf numFmtId="2" fontId="7" fillId="3" borderId="15" xfId="0" applyNumberFormat="1" applyFont="1" applyFill="1" applyBorder="1"/>
    <xf numFmtId="164" fontId="6" fillId="0" borderId="0" xfId="0" applyNumberFormat="1" applyFont="1" applyAlignment="1">
      <alignment horizontal="right" vertical="center" wrapText="1"/>
    </xf>
    <xf numFmtId="0" fontId="8" fillId="3" borderId="0" xfId="0" applyFont="1" applyFill="1"/>
    <xf numFmtId="165" fontId="9" fillId="3" borderId="0" xfId="0" applyNumberFormat="1" applyFont="1" applyFill="1" applyAlignment="1">
      <alignment horizontal="center"/>
    </xf>
    <xf numFmtId="14" fontId="8" fillId="3" borderId="0" xfId="0" applyNumberFormat="1" applyFont="1" applyFill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25" fillId="2" borderId="0" xfId="0" applyFont="1" applyFill="1"/>
    <xf numFmtId="0" fontId="6" fillId="2" borderId="0" xfId="0" applyFont="1" applyFill="1"/>
    <xf numFmtId="1" fontId="7" fillId="2" borderId="13" xfId="0" applyNumberFormat="1" applyFont="1" applyFill="1" applyBorder="1"/>
    <xf numFmtId="1" fontId="10" fillId="2" borderId="0" xfId="1" applyNumberFormat="1" applyFont="1" applyFill="1" applyAlignment="1" applyProtection="1"/>
    <xf numFmtId="1" fontId="7" fillId="2" borderId="0" xfId="0" applyNumberFormat="1" applyFont="1" applyFill="1"/>
    <xf numFmtId="1" fontId="15" fillId="2" borderId="0" xfId="0" applyNumberFormat="1" applyFont="1" applyFill="1"/>
    <xf numFmtId="1" fontId="7" fillId="2" borderId="15" xfId="0" applyNumberFormat="1" applyFont="1" applyFill="1" applyBorder="1"/>
    <xf numFmtId="1" fontId="7" fillId="3" borderId="3" xfId="0" applyNumberFormat="1" applyFont="1" applyFill="1" applyBorder="1"/>
    <xf numFmtId="1" fontId="7" fillId="3" borderId="0" xfId="0" applyNumberFormat="1" applyFont="1" applyFill="1"/>
    <xf numFmtId="1" fontId="20" fillId="3" borderId="0" xfId="0" applyNumberFormat="1" applyFont="1" applyFill="1"/>
    <xf numFmtId="1" fontId="7" fillId="3" borderId="7" xfId="0" applyNumberFormat="1" applyFont="1" applyFill="1" applyBorder="1"/>
    <xf numFmtId="1" fontId="7" fillId="0" borderId="0" xfId="0" applyNumberFormat="1" applyFont="1"/>
    <xf numFmtId="0" fontId="8" fillId="0" borderId="0" xfId="0" applyFont="1"/>
    <xf numFmtId="1" fontId="8" fillId="0" borderId="0" xfId="0" applyNumberFormat="1" applyFont="1"/>
    <xf numFmtId="49" fontId="8" fillId="0" borderId="0" xfId="0" applyNumberFormat="1" applyFont="1"/>
    <xf numFmtId="1" fontId="26" fillId="3" borderId="0" xfId="0" applyNumberFormat="1" applyFont="1" applyFill="1"/>
    <xf numFmtId="165" fontId="3" fillId="2" borderId="17" xfId="0" applyNumberFormat="1" applyFont="1" applyFill="1" applyBorder="1" applyAlignment="1">
      <alignment horizontal="center" vertical="center"/>
    </xf>
    <xf numFmtId="167" fontId="3" fillId="3" borderId="1" xfId="0" applyNumberFormat="1" applyFont="1" applyFill="1" applyBorder="1" applyAlignment="1">
      <alignment vertical="center"/>
    </xf>
    <xf numFmtId="167" fontId="3" fillId="2" borderId="1" xfId="0" applyNumberFormat="1" applyFont="1" applyFill="1" applyBorder="1"/>
    <xf numFmtId="167" fontId="3" fillId="3" borderId="1" xfId="0" applyNumberFormat="1" applyFont="1" applyFill="1" applyBorder="1"/>
    <xf numFmtId="0" fontId="8" fillId="3" borderId="0" xfId="0" applyFont="1" applyFill="1" applyAlignment="1">
      <alignment horizontal="center" vertical="center" wrapText="1"/>
    </xf>
    <xf numFmtId="167" fontId="3" fillId="0" borderId="0" xfId="0" applyNumberFormat="1" applyFont="1" applyAlignment="1">
      <alignment vertical="center"/>
    </xf>
    <xf numFmtId="167" fontId="3" fillId="0" borderId="1" xfId="0" applyNumberFormat="1" applyFont="1" applyBorder="1"/>
    <xf numFmtId="166" fontId="7" fillId="0" borderId="1" xfId="0" applyNumberFormat="1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27" fillId="3" borderId="7" xfId="0" applyFont="1" applyFill="1" applyBorder="1"/>
    <xf numFmtId="0" fontId="27" fillId="0" borderId="0" xfId="0" applyFont="1" applyAlignment="1">
      <alignment horizontal="right" vertical="center" wrapText="1"/>
    </xf>
    <xf numFmtId="0" fontId="12" fillId="3" borderId="0" xfId="0" applyFont="1" applyFill="1" applyAlignment="1">
      <alignment horizontal="center"/>
    </xf>
    <xf numFmtId="0" fontId="30" fillId="3" borderId="0" xfId="0" applyFont="1" applyFill="1" applyAlignment="1">
      <alignment horizontal="center"/>
    </xf>
    <xf numFmtId="0" fontId="23" fillId="3" borderId="0" xfId="0" applyFont="1" applyFill="1" applyAlignment="1">
      <alignment horizontal="center"/>
    </xf>
    <xf numFmtId="0" fontId="27" fillId="3" borderId="0" xfId="0" applyFont="1" applyFill="1" applyAlignment="1">
      <alignment wrapText="1"/>
    </xf>
    <xf numFmtId="0" fontId="27" fillId="3" borderId="15" xfId="0" applyFont="1" applyFill="1" applyBorder="1" applyAlignment="1">
      <alignment wrapText="1"/>
    </xf>
    <xf numFmtId="164" fontId="7" fillId="3" borderId="18" xfId="0" applyNumberFormat="1" applyFont="1" applyFill="1" applyBorder="1"/>
    <xf numFmtId="164" fontId="7" fillId="3" borderId="19" xfId="0" applyNumberFormat="1" applyFont="1" applyFill="1" applyBorder="1"/>
    <xf numFmtId="164" fontId="7" fillId="0" borderId="27" xfId="0" applyNumberFormat="1" applyFont="1" applyBorder="1"/>
    <xf numFmtId="0" fontId="34" fillId="3" borderId="0" xfId="0" applyFont="1" applyFill="1"/>
    <xf numFmtId="0" fontId="35" fillId="3" borderId="0" xfId="0" applyFont="1" applyFill="1"/>
    <xf numFmtId="0" fontId="36" fillId="3" borderId="0" xfId="0" applyFont="1" applyFill="1"/>
    <xf numFmtId="164" fontId="7" fillId="3" borderId="1" xfId="0" applyNumberFormat="1" applyFont="1" applyFill="1" applyBorder="1"/>
    <xf numFmtId="0" fontId="7" fillId="0" borderId="0" xfId="0" applyFont="1" applyAlignment="1">
      <alignment horizontal="center"/>
    </xf>
    <xf numFmtId="0" fontId="0" fillId="0" borderId="0" xfId="0" applyAlignment="1">
      <alignment horizontal="left" vertical="center" wrapText="1" indent="1"/>
    </xf>
    <xf numFmtId="0" fontId="3" fillId="4" borderId="1" xfId="0" applyFont="1" applyFill="1" applyBorder="1" applyAlignment="1">
      <alignment horizontal="left" vertical="center" wrapText="1" indent="1"/>
    </xf>
    <xf numFmtId="0" fontId="3" fillId="4" borderId="1" xfId="0" applyFont="1" applyFill="1" applyBorder="1" applyAlignment="1">
      <alignment horizontal="left" vertical="center" indent="1"/>
    </xf>
    <xf numFmtId="0" fontId="3" fillId="4" borderId="21" xfId="0" applyFont="1" applyFill="1" applyBorder="1" applyAlignment="1">
      <alignment horizontal="right" indent="1"/>
    </xf>
    <xf numFmtId="164" fontId="8" fillId="4" borderId="26" xfId="0" applyNumberFormat="1" applyFont="1" applyFill="1" applyBorder="1"/>
    <xf numFmtId="164" fontId="8" fillId="3" borderId="2" xfId="0" applyNumberFormat="1" applyFont="1" applyFill="1" applyBorder="1" applyAlignment="1">
      <alignment horizontal="right" indent="1"/>
    </xf>
    <xf numFmtId="164" fontId="8" fillId="3" borderId="3" xfId="0" applyNumberFormat="1" applyFont="1" applyFill="1" applyBorder="1" applyAlignment="1">
      <alignment horizontal="right" indent="1"/>
    </xf>
    <xf numFmtId="164" fontId="8" fillId="3" borderId="4" xfId="0" applyNumberFormat="1" applyFont="1" applyFill="1" applyBorder="1" applyAlignment="1">
      <alignment horizontal="right" indent="1"/>
    </xf>
    <xf numFmtId="164" fontId="8" fillId="0" borderId="0" xfId="0" applyNumberFormat="1" applyFont="1"/>
    <xf numFmtId="164" fontId="8" fillId="3" borderId="28" xfId="0" applyNumberFormat="1" applyFont="1" applyFill="1" applyBorder="1" applyAlignment="1">
      <alignment horizontal="right" indent="1"/>
    </xf>
    <xf numFmtId="164" fontId="8" fillId="3" borderId="5" xfId="0" applyNumberFormat="1" applyFont="1" applyFill="1" applyBorder="1" applyAlignment="1">
      <alignment horizontal="right" indent="1"/>
    </xf>
    <xf numFmtId="164" fontId="8" fillId="3" borderId="0" xfId="0" applyNumberFormat="1" applyFont="1" applyFill="1" applyAlignment="1">
      <alignment horizontal="right" indent="1"/>
    </xf>
    <xf numFmtId="164" fontId="8" fillId="3" borderId="6" xfId="0" applyNumberFormat="1" applyFont="1" applyFill="1" applyBorder="1" applyAlignment="1">
      <alignment horizontal="right" indent="1"/>
    </xf>
    <xf numFmtId="164" fontId="8" fillId="3" borderId="29" xfId="0" applyNumberFormat="1" applyFont="1" applyFill="1" applyBorder="1" applyAlignment="1">
      <alignment horizontal="right" indent="1"/>
    </xf>
    <xf numFmtId="164" fontId="8" fillId="3" borderId="11" xfId="0" applyNumberFormat="1" applyFont="1" applyFill="1" applyBorder="1" applyAlignment="1">
      <alignment horizontal="right" indent="1"/>
    </xf>
    <xf numFmtId="164" fontId="8" fillId="3" borderId="7" xfId="0" applyNumberFormat="1" applyFont="1" applyFill="1" applyBorder="1" applyAlignment="1">
      <alignment horizontal="right" indent="1"/>
    </xf>
    <xf numFmtId="164" fontId="8" fillId="3" borderId="10" xfId="0" applyNumberFormat="1" applyFont="1" applyFill="1" applyBorder="1" applyAlignment="1">
      <alignment horizontal="right" indent="1"/>
    </xf>
    <xf numFmtId="164" fontId="8" fillId="3" borderId="30" xfId="0" applyNumberFormat="1" applyFont="1" applyFill="1" applyBorder="1" applyAlignment="1">
      <alignment horizontal="right" indent="1"/>
    </xf>
    <xf numFmtId="0" fontId="3" fillId="3" borderId="29" xfId="0" applyFont="1" applyFill="1" applyBorder="1" applyAlignment="1">
      <alignment horizontal="left" vertical="center" indent="1"/>
    </xf>
    <xf numFmtId="0" fontId="7" fillId="0" borderId="1" xfId="0" applyFont="1" applyBorder="1" applyAlignment="1">
      <alignment horizontal="center"/>
    </xf>
    <xf numFmtId="0" fontId="6" fillId="2" borderId="31" xfId="0" applyFont="1" applyFill="1" applyBorder="1" applyAlignment="1">
      <alignment horizontal="center" vertical="center"/>
    </xf>
    <xf numFmtId="15" fontId="8" fillId="2" borderId="32" xfId="0" applyNumberFormat="1" applyFont="1" applyFill="1" applyBorder="1" applyAlignment="1">
      <alignment horizontal="right" vertical="center"/>
    </xf>
    <xf numFmtId="15" fontId="6" fillId="2" borderId="33" xfId="0" applyNumberFormat="1" applyFont="1" applyFill="1" applyBorder="1" applyAlignment="1">
      <alignment horizontal="left" vertical="center"/>
    </xf>
    <xf numFmtId="0" fontId="38" fillId="2" borderId="31" xfId="0" applyFont="1" applyFill="1" applyBorder="1" applyAlignment="1">
      <alignment horizontal="center" vertical="center"/>
    </xf>
    <xf numFmtId="15" fontId="38" fillId="2" borderId="32" xfId="0" applyNumberFormat="1" applyFont="1" applyFill="1" applyBorder="1" applyAlignment="1">
      <alignment horizontal="right" vertical="center"/>
    </xf>
    <xf numFmtId="15" fontId="38" fillId="2" borderId="33" xfId="0" applyNumberFormat="1" applyFont="1" applyFill="1" applyBorder="1" applyAlignment="1">
      <alignment horizontal="left" vertical="center"/>
    </xf>
    <xf numFmtId="14" fontId="7" fillId="0" borderId="0" xfId="0" applyNumberFormat="1" applyFont="1"/>
    <xf numFmtId="0" fontId="20" fillId="3" borderId="0" xfId="0" applyFont="1" applyFill="1" applyAlignment="1">
      <alignment horizontal="left" vertical="center" wrapText="1" indent="1"/>
    </xf>
    <xf numFmtId="0" fontId="12" fillId="3" borderId="0" xfId="0" applyFont="1" applyFill="1" applyAlignment="1">
      <alignment horizontal="left" vertical="center" wrapText="1" indent="1"/>
    </xf>
    <xf numFmtId="0" fontId="3" fillId="3" borderId="31" xfId="0" applyFont="1" applyFill="1" applyBorder="1" applyAlignment="1">
      <alignment horizontal="right" indent="1"/>
    </xf>
    <xf numFmtId="1" fontId="38" fillId="5" borderId="1" xfId="0" applyNumberFormat="1" applyFont="1" applyFill="1" applyBorder="1" applyAlignment="1" applyProtection="1">
      <alignment horizontal="center"/>
      <protection hidden="1"/>
    </xf>
    <xf numFmtId="1" fontId="6" fillId="5" borderId="1" xfId="0" applyNumberFormat="1" applyFont="1" applyFill="1" applyBorder="1" applyAlignment="1" applyProtection="1">
      <alignment horizontal="center"/>
      <protection hidden="1"/>
    </xf>
    <xf numFmtId="0" fontId="7" fillId="0" borderId="0" xfId="2" applyFont="1"/>
    <xf numFmtId="0" fontId="7" fillId="0" borderId="0" xfId="2" applyFont="1" applyAlignment="1">
      <alignment horizontal="center"/>
    </xf>
    <xf numFmtId="0" fontId="11" fillId="0" borderId="0" xfId="2" applyFont="1"/>
    <xf numFmtId="0" fontId="7" fillId="2" borderId="20" xfId="2" applyFont="1" applyFill="1" applyBorder="1"/>
    <xf numFmtId="0" fontId="7" fillId="2" borderId="14" xfId="2" applyFont="1" applyFill="1" applyBorder="1"/>
    <xf numFmtId="0" fontId="7" fillId="2" borderId="19" xfId="2" applyFont="1" applyFill="1" applyBorder="1" applyAlignment="1">
      <alignment horizontal="center"/>
    </xf>
    <xf numFmtId="0" fontId="7" fillId="2" borderId="52" xfId="2" applyFont="1" applyFill="1" applyBorder="1" applyAlignment="1">
      <alignment horizontal="center"/>
    </xf>
    <xf numFmtId="164" fontId="7" fillId="0" borderId="17" xfId="2" applyNumberFormat="1" applyFont="1" applyBorder="1" applyAlignment="1">
      <alignment horizontal="center"/>
    </xf>
    <xf numFmtId="0" fontId="7" fillId="0" borderId="46" xfId="2" applyFont="1" applyBorder="1" applyAlignment="1">
      <alignment horizontal="center"/>
    </xf>
    <xf numFmtId="164" fontId="7" fillId="2" borderId="17" xfId="2" applyNumberFormat="1" applyFont="1" applyFill="1" applyBorder="1" applyAlignment="1">
      <alignment horizontal="center"/>
    </xf>
    <xf numFmtId="0" fontId="7" fillId="2" borderId="46" xfId="2" applyFont="1" applyFill="1" applyBorder="1" applyAlignment="1">
      <alignment horizontal="center"/>
    </xf>
    <xf numFmtId="0" fontId="7" fillId="2" borderId="45" xfId="2" applyFont="1" applyFill="1" applyBorder="1" applyAlignment="1">
      <alignment horizontal="center"/>
    </xf>
    <xf numFmtId="0" fontId="7" fillId="2" borderId="8" xfId="2" applyFont="1" applyFill="1" applyBorder="1" applyAlignment="1">
      <alignment horizontal="center"/>
    </xf>
    <xf numFmtId="0" fontId="7" fillId="2" borderId="19" xfId="2" applyFont="1" applyFill="1" applyBorder="1"/>
    <xf numFmtId="164" fontId="7" fillId="2" borderId="53" xfId="2" applyNumberFormat="1" applyFont="1" applyFill="1" applyBorder="1"/>
    <xf numFmtId="164" fontId="7" fillId="2" borderId="0" xfId="2" applyNumberFormat="1" applyFont="1" applyFill="1" applyAlignment="1">
      <alignment horizontal="center" vertical="center" wrapText="1"/>
    </xf>
    <xf numFmtId="164" fontId="7" fillId="2" borderId="0" xfId="2" applyNumberFormat="1" applyFont="1" applyFill="1" applyAlignment="1">
      <alignment horizontal="center"/>
    </xf>
    <xf numFmtId="15" fontId="7" fillId="2" borderId="0" xfId="2" applyNumberFormat="1" applyFont="1" applyFill="1" applyAlignment="1">
      <alignment horizontal="left" vertical="center" indent="1"/>
    </xf>
    <xf numFmtId="17" fontId="7" fillId="2" borderId="54" xfId="2" applyNumberFormat="1" applyFont="1" applyFill="1" applyBorder="1" applyAlignment="1">
      <alignment horizontal="left" indent="1"/>
    </xf>
    <xf numFmtId="0" fontId="7" fillId="2" borderId="8" xfId="2" applyFont="1" applyFill="1" applyBorder="1"/>
    <xf numFmtId="0" fontId="7" fillId="2" borderId="53" xfId="2" applyFont="1" applyFill="1" applyBorder="1"/>
    <xf numFmtId="0" fontId="7" fillId="2" borderId="0" xfId="2" applyFont="1" applyFill="1"/>
    <xf numFmtId="0" fontId="7" fillId="2" borderId="54" xfId="2" applyFont="1" applyFill="1" applyBorder="1" applyAlignment="1">
      <alignment horizontal="center"/>
    </xf>
    <xf numFmtId="0" fontId="7" fillId="0" borderId="0" xfId="2" applyFont="1" applyAlignment="1">
      <alignment horizontal="center" vertical="center" wrapText="1"/>
    </xf>
    <xf numFmtId="0" fontId="7" fillId="2" borderId="19" xfId="2" applyFont="1" applyFill="1" applyBorder="1" applyAlignment="1">
      <alignment horizontal="center" vertical="center" wrapText="1"/>
    </xf>
    <xf numFmtId="0" fontId="7" fillId="2" borderId="17" xfId="2" applyFont="1" applyFill="1" applyBorder="1" applyAlignment="1">
      <alignment horizontal="center" vertical="center" wrapText="1"/>
    </xf>
    <xf numFmtId="164" fontId="7" fillId="2" borderId="17" xfId="2" applyNumberFormat="1" applyFont="1" applyFill="1" applyBorder="1" applyAlignment="1">
      <alignment horizontal="center" vertical="center" wrapText="1"/>
    </xf>
    <xf numFmtId="0" fontId="7" fillId="2" borderId="8" xfId="2" applyFont="1" applyFill="1" applyBorder="1" applyAlignment="1">
      <alignment horizontal="center" vertical="center" wrapText="1"/>
    </xf>
    <xf numFmtId="0" fontId="7" fillId="2" borderId="18" xfId="2" applyFont="1" applyFill="1" applyBorder="1"/>
    <xf numFmtId="0" fontId="7" fillId="2" borderId="13" xfId="2" applyFont="1" applyFill="1" applyBorder="1"/>
    <xf numFmtId="0" fontId="7" fillId="2" borderId="13" xfId="2" applyFont="1" applyFill="1" applyBorder="1" applyAlignment="1">
      <alignment horizontal="center"/>
    </xf>
    <xf numFmtId="0" fontId="7" fillId="2" borderId="12" xfId="2" applyFont="1" applyFill="1" applyBorder="1"/>
    <xf numFmtId="164" fontId="7" fillId="0" borderId="14" xfId="0" applyNumberFormat="1" applyFont="1" applyBorder="1"/>
    <xf numFmtId="164" fontId="7" fillId="0" borderId="15" xfId="0" applyNumberFormat="1" applyFont="1" applyBorder="1"/>
    <xf numFmtId="164" fontId="7" fillId="0" borderId="20" xfId="0" applyNumberFormat="1" applyFont="1" applyBorder="1"/>
    <xf numFmtId="164" fontId="7" fillId="0" borderId="23" xfId="0" applyNumberFormat="1" applyFont="1" applyBorder="1"/>
    <xf numFmtId="0" fontId="41" fillId="6" borderId="57" xfId="0" applyFont="1" applyFill="1" applyBorder="1" applyAlignment="1" applyProtection="1">
      <alignment horizontal="center" vertical="center" wrapText="1"/>
      <protection hidden="1"/>
    </xf>
    <xf numFmtId="0" fontId="41" fillId="6" borderId="0" xfId="0" applyFont="1" applyFill="1" applyAlignment="1" applyProtection="1">
      <alignment horizontal="center" vertical="center" wrapText="1"/>
      <protection hidden="1"/>
    </xf>
    <xf numFmtId="0" fontId="41" fillId="3" borderId="0" xfId="0" applyFont="1" applyFill="1" applyAlignment="1" applyProtection="1">
      <alignment horizontal="center" vertical="center" wrapText="1"/>
      <protection hidden="1"/>
    </xf>
    <xf numFmtId="0" fontId="41" fillId="6" borderId="56" xfId="0" applyFont="1" applyFill="1" applyBorder="1" applyAlignment="1" applyProtection="1">
      <alignment horizontal="center" vertical="center" wrapText="1"/>
      <protection hidden="1"/>
    </xf>
    <xf numFmtId="0" fontId="41" fillId="6" borderId="55" xfId="0" applyFont="1" applyFill="1" applyBorder="1" applyAlignment="1" applyProtection="1">
      <alignment horizontal="center" vertical="center" wrapText="1"/>
      <protection hidden="1"/>
    </xf>
    <xf numFmtId="0" fontId="41" fillId="6" borderId="0" xfId="0" applyFont="1" applyFill="1" applyAlignment="1" applyProtection="1">
      <alignment horizontal="center" vertical="center"/>
      <protection hidden="1"/>
    </xf>
    <xf numFmtId="0" fontId="41" fillId="0" borderId="0" xfId="0" applyFont="1" applyProtection="1">
      <protection hidden="1"/>
    </xf>
    <xf numFmtId="0" fontId="40" fillId="0" borderId="0" xfId="0" applyFont="1"/>
    <xf numFmtId="0" fontId="41" fillId="3" borderId="12" xfId="0" applyFont="1" applyFill="1" applyBorder="1" applyProtection="1">
      <protection hidden="1"/>
    </xf>
    <xf numFmtId="0" fontId="41" fillId="3" borderId="18" xfId="0" applyFont="1" applyFill="1" applyBorder="1" applyProtection="1">
      <protection hidden="1"/>
    </xf>
    <xf numFmtId="0" fontId="41" fillId="3" borderId="8" xfId="0" applyFont="1" applyFill="1" applyBorder="1" applyProtection="1">
      <protection hidden="1"/>
    </xf>
    <xf numFmtId="0" fontId="47" fillId="3" borderId="0" xfId="0" applyFont="1" applyFill="1" applyAlignment="1" applyProtection="1">
      <alignment horizontal="left" vertical="center" indent="1"/>
      <protection hidden="1"/>
    </xf>
    <xf numFmtId="0" fontId="45" fillId="3" borderId="0" xfId="0" applyFont="1" applyFill="1" applyAlignment="1" applyProtection="1">
      <alignment horizontal="left" vertical="center"/>
      <protection hidden="1"/>
    </xf>
    <xf numFmtId="0" fontId="41" fillId="3" borderId="0" xfId="0" applyFont="1" applyFill="1" applyAlignment="1" applyProtection="1">
      <alignment horizontal="center" vertical="center"/>
      <protection hidden="1"/>
    </xf>
    <xf numFmtId="0" fontId="41" fillId="3" borderId="19" xfId="0" applyFont="1" applyFill="1" applyBorder="1" applyProtection="1">
      <protection hidden="1"/>
    </xf>
    <xf numFmtId="0" fontId="46" fillId="3" borderId="0" xfId="0" applyFont="1" applyFill="1" applyAlignment="1" applyProtection="1">
      <alignment horizontal="left" vertical="center"/>
      <protection hidden="1"/>
    </xf>
    <xf numFmtId="0" fontId="48" fillId="3" borderId="0" xfId="0" applyFont="1" applyFill="1" applyAlignment="1" applyProtection="1">
      <alignment horizontal="center" vertical="center"/>
      <protection hidden="1"/>
    </xf>
    <xf numFmtId="0" fontId="49" fillId="3" borderId="0" xfId="0" applyFont="1" applyFill="1" applyAlignment="1" applyProtection="1">
      <alignment horizontal="center" vertical="center"/>
      <protection hidden="1"/>
    </xf>
    <xf numFmtId="15" fontId="41" fillId="3" borderId="0" xfId="0" applyNumberFormat="1" applyFont="1" applyFill="1" applyAlignment="1" applyProtection="1">
      <alignment horizontal="center" vertical="center" wrapText="1"/>
      <protection hidden="1"/>
    </xf>
    <xf numFmtId="165" fontId="41" fillId="6" borderId="0" xfId="0" applyNumberFormat="1" applyFont="1" applyFill="1" applyAlignment="1" applyProtection="1">
      <alignment horizontal="center" vertical="center"/>
      <protection hidden="1"/>
    </xf>
    <xf numFmtId="1" fontId="41" fillId="3" borderId="0" xfId="0" applyNumberFormat="1" applyFont="1" applyFill="1" applyAlignment="1" applyProtection="1">
      <alignment horizontal="center" vertical="center"/>
      <protection hidden="1"/>
    </xf>
    <xf numFmtId="0" fontId="41" fillId="0" borderId="0" xfId="0" applyFont="1" applyAlignment="1" applyProtection="1">
      <alignment horizontal="center" wrapText="1"/>
      <protection hidden="1"/>
    </xf>
    <xf numFmtId="0" fontId="43" fillId="3" borderId="8" xfId="0" applyFont="1" applyFill="1" applyBorder="1" applyProtection="1">
      <protection hidden="1"/>
    </xf>
    <xf numFmtId="167" fontId="41" fillId="3" borderId="55" xfId="0" applyNumberFormat="1" applyFont="1" applyFill="1" applyBorder="1" applyAlignment="1" applyProtection="1">
      <alignment horizontal="center" vertical="center"/>
      <protection hidden="1"/>
    </xf>
    <xf numFmtId="167" fontId="41" fillId="3" borderId="57" xfId="0" applyNumberFormat="1" applyFont="1" applyFill="1" applyBorder="1" applyAlignment="1" applyProtection="1">
      <alignment horizontal="center" vertical="center"/>
      <protection hidden="1"/>
    </xf>
    <xf numFmtId="167" fontId="41" fillId="3" borderId="1" xfId="0" applyNumberFormat="1" applyFont="1" applyFill="1" applyBorder="1" applyAlignment="1" applyProtection="1">
      <alignment horizontal="center" vertical="center"/>
      <protection hidden="1"/>
    </xf>
    <xf numFmtId="167" fontId="41" fillId="3" borderId="56" xfId="0" applyNumberFormat="1" applyFont="1" applyFill="1" applyBorder="1" applyAlignment="1" applyProtection="1">
      <alignment horizontal="center" vertical="center"/>
      <protection hidden="1"/>
    </xf>
    <xf numFmtId="167" fontId="42" fillId="3" borderId="1" xfId="0" applyNumberFormat="1" applyFont="1" applyFill="1" applyBorder="1" applyAlignment="1" applyProtection="1">
      <alignment horizontal="center" vertical="center"/>
      <protection hidden="1"/>
    </xf>
    <xf numFmtId="0" fontId="43" fillId="3" borderId="19" xfId="0" applyFont="1" applyFill="1" applyBorder="1" applyProtection="1">
      <protection hidden="1"/>
    </xf>
    <xf numFmtId="164" fontId="43" fillId="0" borderId="0" xfId="0" applyNumberFormat="1" applyFont="1" applyProtection="1">
      <protection hidden="1"/>
    </xf>
    <xf numFmtId="164" fontId="41" fillId="3" borderId="0" xfId="0" applyNumberFormat="1" applyFont="1" applyFill="1" applyAlignment="1" applyProtection="1">
      <alignment horizontal="center" vertical="center"/>
      <protection hidden="1"/>
    </xf>
    <xf numFmtId="164" fontId="41" fillId="0" borderId="0" xfId="0" applyNumberFormat="1" applyFont="1" applyProtection="1">
      <protection hidden="1"/>
    </xf>
    <xf numFmtId="164" fontId="41" fillId="3" borderId="55" xfId="0" applyNumberFormat="1" applyFont="1" applyFill="1" applyBorder="1" applyAlignment="1" applyProtection="1">
      <alignment horizontal="center" vertical="center"/>
      <protection hidden="1"/>
    </xf>
    <xf numFmtId="14" fontId="41" fillId="3" borderId="0" xfId="0" applyNumberFormat="1" applyFont="1" applyFill="1" applyAlignment="1" applyProtection="1">
      <alignment horizontal="center" vertical="center"/>
      <protection hidden="1"/>
    </xf>
    <xf numFmtId="0" fontId="41" fillId="3" borderId="14" xfId="0" applyFont="1" applyFill="1" applyBorder="1" applyProtection="1">
      <protection hidden="1"/>
    </xf>
    <xf numFmtId="0" fontId="51" fillId="3" borderId="15" xfId="0" applyFont="1" applyFill="1" applyBorder="1" applyAlignment="1" applyProtection="1">
      <alignment horizontal="center" vertical="center"/>
      <protection hidden="1"/>
    </xf>
    <xf numFmtId="0" fontId="41" fillId="3" borderId="15" xfId="0" applyFont="1" applyFill="1" applyBorder="1" applyAlignment="1" applyProtection="1">
      <alignment horizontal="center" vertical="center"/>
      <protection hidden="1"/>
    </xf>
    <xf numFmtId="0" fontId="41" fillId="3" borderId="20" xfId="0" applyFont="1" applyFill="1" applyBorder="1" applyProtection="1">
      <protection hidden="1"/>
    </xf>
    <xf numFmtId="0" fontId="41" fillId="3" borderId="0" xfId="0" applyFont="1" applyFill="1" applyProtection="1">
      <protection hidden="1"/>
    </xf>
    <xf numFmtId="0" fontId="50" fillId="3" borderId="15" xfId="1" applyFont="1" applyFill="1" applyBorder="1" applyAlignment="1" applyProtection="1">
      <alignment vertical="center"/>
      <protection hidden="1"/>
    </xf>
    <xf numFmtId="0" fontId="48" fillId="3" borderId="13" xfId="0" applyFont="1" applyFill="1" applyBorder="1" applyAlignment="1" applyProtection="1">
      <alignment horizontal="center" vertical="center"/>
      <protection hidden="1"/>
    </xf>
    <xf numFmtId="0" fontId="48" fillId="3" borderId="18" xfId="0" applyFont="1" applyFill="1" applyBorder="1" applyAlignment="1" applyProtection="1">
      <alignment horizontal="center" vertical="center"/>
      <protection hidden="1"/>
    </xf>
    <xf numFmtId="0" fontId="48" fillId="3" borderId="15" xfId="0" applyFont="1" applyFill="1" applyBorder="1" applyAlignment="1" applyProtection="1">
      <alignment horizontal="center" vertical="center"/>
      <protection hidden="1"/>
    </xf>
    <xf numFmtId="0" fontId="48" fillId="3" borderId="20" xfId="0" applyFont="1" applyFill="1" applyBorder="1" applyAlignment="1" applyProtection="1">
      <alignment horizontal="center" vertical="center"/>
      <protection hidden="1"/>
    </xf>
    <xf numFmtId="0" fontId="48" fillId="3" borderId="14" xfId="0" applyFont="1" applyFill="1" applyBorder="1" applyAlignment="1" applyProtection="1">
      <alignment horizontal="center" vertical="center"/>
      <protection hidden="1"/>
    </xf>
    <xf numFmtId="0" fontId="48" fillId="3" borderId="12" xfId="0" applyFont="1" applyFill="1" applyBorder="1" applyAlignment="1" applyProtection="1">
      <alignment horizontal="center" vertical="center"/>
      <protection hidden="1"/>
    </xf>
    <xf numFmtId="0" fontId="48" fillId="3" borderId="8" xfId="0" applyFont="1" applyFill="1" applyBorder="1" applyAlignment="1" applyProtection="1">
      <alignment horizontal="left" vertical="center"/>
      <protection hidden="1"/>
    </xf>
    <xf numFmtId="0" fontId="48" fillId="3" borderId="19" xfId="0" applyFont="1" applyFill="1" applyBorder="1" applyAlignment="1" applyProtection="1">
      <alignment horizontal="center" vertical="center"/>
      <protection hidden="1"/>
    </xf>
    <xf numFmtId="0" fontId="53" fillId="3" borderId="19" xfId="0" applyFont="1" applyFill="1" applyBorder="1" applyAlignment="1" applyProtection="1">
      <alignment horizontal="center" vertical="center"/>
      <protection hidden="1"/>
    </xf>
    <xf numFmtId="0" fontId="54" fillId="3" borderId="0" xfId="0" applyFont="1" applyFill="1" applyAlignment="1" applyProtection="1">
      <alignment horizontal="center" vertical="center"/>
      <protection hidden="1"/>
    </xf>
    <xf numFmtId="0" fontId="7" fillId="3" borderId="19" xfId="0" applyFont="1" applyFill="1" applyBorder="1"/>
    <xf numFmtId="164" fontId="7" fillId="0" borderId="1" xfId="0" applyNumberFormat="1" applyFont="1" applyBorder="1"/>
    <xf numFmtId="1" fontId="38" fillId="3" borderId="0" xfId="0" applyNumberFormat="1" applyFont="1" applyFill="1" applyAlignment="1">
      <alignment horizontal="center" wrapText="1"/>
    </xf>
    <xf numFmtId="15" fontId="38" fillId="3" borderId="0" xfId="0" applyNumberFormat="1" applyFont="1" applyFill="1" applyAlignment="1">
      <alignment horizontal="center"/>
    </xf>
    <xf numFmtId="0" fontId="17" fillId="3" borderId="0" xfId="0" applyFont="1" applyFill="1" applyAlignment="1">
      <alignment horizontal="center" wrapText="1"/>
    </xf>
    <xf numFmtId="0" fontId="28" fillId="3" borderId="0" xfId="0" applyFont="1" applyFill="1"/>
    <xf numFmtId="0" fontId="28" fillId="3" borderId="0" xfId="0" applyFont="1" applyFill="1" applyAlignment="1">
      <alignment horizontal="center"/>
    </xf>
    <xf numFmtId="0" fontId="39" fillId="0" borderId="34" xfId="0" applyFont="1" applyBorder="1" applyAlignment="1">
      <alignment horizontal="center" vertical="center"/>
    </xf>
    <xf numFmtId="0" fontId="38" fillId="0" borderId="0" xfId="0" applyFont="1"/>
    <xf numFmtId="14" fontId="38" fillId="3" borderId="0" xfId="0" applyNumberFormat="1" applyFont="1" applyFill="1"/>
    <xf numFmtId="15" fontId="38" fillId="5" borderId="1" xfId="0" applyNumberFormat="1" applyFont="1" applyFill="1" applyBorder="1" applyAlignment="1">
      <alignment horizontal="center"/>
    </xf>
    <xf numFmtId="1" fontId="38" fillId="5" borderId="1" xfId="0" applyNumberFormat="1" applyFont="1" applyFill="1" applyBorder="1" applyAlignment="1">
      <alignment horizontal="center"/>
    </xf>
    <xf numFmtId="1" fontId="38" fillId="3" borderId="0" xfId="0" applyNumberFormat="1" applyFont="1" applyFill="1" applyAlignment="1">
      <alignment horizontal="center"/>
    </xf>
    <xf numFmtId="0" fontId="38" fillId="3" borderId="0" xfId="0" applyFont="1" applyFill="1" applyAlignment="1">
      <alignment horizontal="center"/>
    </xf>
    <xf numFmtId="0" fontId="28" fillId="5" borderId="1" xfId="0" applyFont="1" applyFill="1" applyBorder="1" applyAlignment="1">
      <alignment horizontal="center"/>
    </xf>
    <xf numFmtId="0" fontId="38" fillId="3" borderId="0" xfId="0" applyFont="1" applyFill="1"/>
    <xf numFmtId="0" fontId="6" fillId="3" borderId="0" xfId="0" applyFont="1" applyFill="1"/>
    <xf numFmtId="0" fontId="24" fillId="3" borderId="0" xfId="0" applyFont="1" applyFill="1" applyAlignment="1">
      <alignment horizontal="center"/>
    </xf>
    <xf numFmtId="1" fontId="6" fillId="5" borderId="1" xfId="0" applyNumberFormat="1" applyFont="1" applyFill="1" applyBorder="1" applyAlignment="1">
      <alignment horizontal="center"/>
    </xf>
    <xf numFmtId="0" fontId="6" fillId="3" borderId="0" xfId="0" applyFont="1" applyFill="1" applyAlignment="1">
      <alignment horizontal="center"/>
    </xf>
    <xf numFmtId="15" fontId="38" fillId="0" borderId="0" xfId="0" applyNumberFormat="1" applyFont="1" applyAlignment="1">
      <alignment horizontal="center"/>
    </xf>
    <xf numFmtId="1" fontId="38" fillId="0" borderId="0" xfId="0" applyNumberFormat="1" applyFont="1" applyAlignment="1">
      <alignment horizontal="center"/>
    </xf>
    <xf numFmtId="0" fontId="38" fillId="0" borderId="0" xfId="0" applyFont="1" applyAlignment="1">
      <alignment horizontal="center"/>
    </xf>
    <xf numFmtId="15" fontId="6" fillId="5" borderId="1" xfId="0" applyNumberFormat="1" applyFont="1" applyFill="1" applyBorder="1" applyAlignment="1">
      <alignment horizontal="center"/>
    </xf>
    <xf numFmtId="167" fontId="27" fillId="0" borderId="0" xfId="0" applyNumberFormat="1" applyFont="1" applyAlignment="1">
      <alignment wrapText="1"/>
    </xf>
    <xf numFmtId="0" fontId="27" fillId="3" borderId="0" xfId="0" applyFont="1" applyFill="1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wrapText="1"/>
    </xf>
    <xf numFmtId="0" fontId="6" fillId="3" borderId="0" xfId="0" applyFont="1" applyFill="1" applyAlignment="1">
      <alignment horizontal="center" vertical="center" wrapText="1"/>
    </xf>
    <xf numFmtId="0" fontId="24" fillId="3" borderId="0" xfId="0" applyFont="1" applyFill="1" applyAlignment="1">
      <alignment horizontal="center" vertical="center" wrapText="1"/>
    </xf>
    <xf numFmtId="0" fontId="27" fillId="3" borderId="0" xfId="0" applyFont="1" applyFill="1" applyAlignment="1">
      <alignment horizontal="center" vertical="center" wrapText="1"/>
    </xf>
    <xf numFmtId="0" fontId="27" fillId="0" borderId="0" xfId="0" applyFont="1"/>
    <xf numFmtId="1" fontId="19" fillId="3" borderId="0" xfId="0" applyNumberFormat="1" applyFont="1" applyFill="1" applyAlignment="1">
      <alignment horizontal="center"/>
    </xf>
    <xf numFmtId="0" fontId="0" fillId="0" borderId="0" xfId="0" applyAlignment="1">
      <alignment horizontal="center"/>
    </xf>
    <xf numFmtId="0" fontId="7" fillId="0" borderId="35" xfId="0" applyFont="1" applyBorder="1"/>
    <xf numFmtId="0" fontId="7" fillId="0" borderId="36" xfId="0" applyFont="1" applyBorder="1"/>
    <xf numFmtId="0" fontId="7" fillId="0" borderId="37" xfId="0" applyFont="1" applyBorder="1"/>
    <xf numFmtId="0" fontId="4" fillId="0" borderId="32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0" fontId="20" fillId="3" borderId="0" xfId="0" applyFont="1" applyFill="1" applyAlignment="1">
      <alignment horizontal="center" wrapText="1"/>
    </xf>
    <xf numFmtId="0" fontId="21" fillId="0" borderId="0" xfId="0" applyFont="1" applyAlignment="1">
      <alignment horizontal="center" wrapText="1"/>
    </xf>
    <xf numFmtId="0" fontId="19" fillId="3" borderId="0" xfId="0" applyFont="1" applyFill="1" applyAlignment="1">
      <alignment horizontal="center"/>
    </xf>
    <xf numFmtId="0" fontId="0" fillId="0" borderId="0" xfId="0"/>
    <xf numFmtId="0" fontId="7" fillId="0" borderId="38" xfId="0" applyFont="1" applyBorder="1"/>
    <xf numFmtId="0" fontId="9" fillId="3" borderId="0" xfId="0" applyFont="1" applyFill="1" applyAlignment="1">
      <alignment horizontal="center" vertical="center"/>
    </xf>
    <xf numFmtId="0" fontId="16" fillId="3" borderId="0" xfId="0" applyFont="1" applyFill="1" applyAlignment="1">
      <alignment horizontal="center" vertical="center"/>
    </xf>
    <xf numFmtId="0" fontId="7" fillId="0" borderId="0" xfId="0" applyFont="1"/>
    <xf numFmtId="0" fontId="15" fillId="0" borderId="39" xfId="0" applyFont="1" applyBorder="1" applyAlignment="1">
      <alignment horizontal="left" vertical="center" indent="3"/>
    </xf>
    <xf numFmtId="0" fontId="33" fillId="0" borderId="39" xfId="0" applyFont="1" applyBorder="1" applyAlignment="1">
      <alignment horizontal="left" vertical="center" indent="3"/>
    </xf>
    <xf numFmtId="0" fontId="7" fillId="0" borderId="15" xfId="0" applyFont="1" applyBorder="1"/>
    <xf numFmtId="0" fontId="0" fillId="0" borderId="15" xfId="0" applyBorder="1"/>
    <xf numFmtId="0" fontId="5" fillId="2" borderId="32" xfId="1" applyFill="1" applyBorder="1" applyAlignment="1" applyProtection="1">
      <alignment horizontal="center" vertical="center" wrapText="1"/>
    </xf>
    <xf numFmtId="0" fontId="32" fillId="0" borderId="31" xfId="0" applyFont="1" applyBorder="1" applyAlignment="1">
      <alignment horizontal="center" vertical="center" wrapText="1"/>
    </xf>
    <xf numFmtId="0" fontId="32" fillId="0" borderId="33" xfId="0" applyFont="1" applyBorder="1" applyAlignment="1">
      <alignment horizontal="center" vertical="center" wrapText="1"/>
    </xf>
    <xf numFmtId="2" fontId="55" fillId="2" borderId="0" xfId="0" applyNumberFormat="1" applyFont="1" applyFill="1" applyAlignment="1">
      <alignment horizontal="center"/>
    </xf>
    <xf numFmtId="0" fontId="7" fillId="0" borderId="25" xfId="0" applyFont="1" applyBorder="1"/>
    <xf numFmtId="0" fontId="0" fillId="0" borderId="24" xfId="0" applyBorder="1"/>
    <xf numFmtId="0" fontId="0" fillId="0" borderId="40" xfId="0" applyBorder="1"/>
    <xf numFmtId="14" fontId="7" fillId="2" borderId="0" xfId="0" applyNumberFormat="1" applyFont="1" applyFill="1" applyAlignment="1">
      <alignment horizontal="left" wrapText="1"/>
    </xf>
    <xf numFmtId="0" fontId="17" fillId="2" borderId="32" xfId="0" applyFont="1" applyFill="1" applyBorder="1" applyAlignment="1">
      <alignment horizontal="center" vertical="center" wrapText="1"/>
    </xf>
    <xf numFmtId="0" fontId="27" fillId="2" borderId="33" xfId="0" applyFont="1" applyFill="1" applyBorder="1" applyAlignment="1">
      <alignment horizontal="center" vertical="center" wrapText="1"/>
    </xf>
    <xf numFmtId="0" fontId="3" fillId="2" borderId="32" xfId="0" applyFont="1" applyFill="1" applyBorder="1" applyAlignment="1">
      <alignment horizontal="center" vertical="center" wrapText="1"/>
    </xf>
    <xf numFmtId="0" fontId="27" fillId="2" borderId="31" xfId="0" applyFont="1" applyFill="1" applyBorder="1" applyAlignment="1">
      <alignment horizontal="center" vertical="center" wrapText="1"/>
    </xf>
    <xf numFmtId="0" fontId="3" fillId="2" borderId="32" xfId="0" applyFont="1" applyFill="1" applyBorder="1" applyAlignment="1">
      <alignment horizontal="left" vertical="center" wrapText="1" indent="1"/>
    </xf>
    <xf numFmtId="0" fontId="3" fillId="2" borderId="31" xfId="0" applyFont="1" applyFill="1" applyBorder="1" applyAlignment="1">
      <alignment horizontal="left" vertical="center" wrapText="1" indent="1"/>
    </xf>
    <xf numFmtId="0" fontId="27" fillId="2" borderId="33" xfId="0" applyFont="1" applyFill="1" applyBorder="1" applyAlignment="1">
      <alignment horizontal="left" vertical="center" wrapText="1" indent="1"/>
    </xf>
    <xf numFmtId="164" fontId="8" fillId="3" borderId="21" xfId="0" applyNumberFormat="1" applyFont="1" applyFill="1" applyBorder="1" applyAlignment="1">
      <alignment horizontal="center" vertical="center" wrapText="1"/>
    </xf>
    <xf numFmtId="0" fontId="27" fillId="0" borderId="22" xfId="0" applyFont="1" applyBorder="1" applyAlignment="1">
      <alignment horizontal="center" vertical="center" wrapText="1"/>
    </xf>
    <xf numFmtId="0" fontId="27" fillId="0" borderId="23" xfId="0" applyFont="1" applyBorder="1" applyAlignment="1">
      <alignment horizontal="center" vertical="center" wrapText="1"/>
    </xf>
    <xf numFmtId="0" fontId="6" fillId="3" borderId="22" xfId="0" applyFont="1" applyFill="1" applyBorder="1" applyAlignment="1">
      <alignment horizontal="center" vertical="center" wrapText="1"/>
    </xf>
    <xf numFmtId="0" fontId="6" fillId="3" borderId="23" xfId="0" applyFont="1" applyFill="1" applyBorder="1" applyAlignment="1">
      <alignment horizontal="center" vertical="center" wrapText="1"/>
    </xf>
    <xf numFmtId="0" fontId="27" fillId="0" borderId="0" xfId="0" applyFont="1"/>
    <xf numFmtId="164" fontId="14" fillId="3" borderId="1" xfId="0" applyNumberFormat="1" applyFont="1" applyFill="1" applyBorder="1" applyAlignment="1">
      <alignment horizontal="center" vertical="center" wrapText="1"/>
    </xf>
    <xf numFmtId="0" fontId="24" fillId="3" borderId="1" xfId="0" applyFont="1" applyFill="1" applyBorder="1" applyAlignment="1">
      <alignment horizontal="center" vertical="center" wrapText="1"/>
    </xf>
    <xf numFmtId="164" fontId="8" fillId="3" borderId="1" xfId="0" applyNumberFormat="1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8" fillId="2" borderId="32" xfId="0" applyFont="1" applyFill="1" applyBorder="1" applyAlignment="1">
      <alignment horizontal="center" vertical="center" wrapText="1"/>
    </xf>
    <xf numFmtId="166" fontId="3" fillId="0" borderId="17" xfId="0" applyNumberFormat="1" applyFont="1" applyBorder="1" applyAlignment="1">
      <alignment horizontal="center" vertical="center" wrapText="1"/>
    </xf>
    <xf numFmtId="166" fontId="27" fillId="0" borderId="17" xfId="0" applyNumberFormat="1" applyFont="1" applyBorder="1" applyAlignment="1">
      <alignment horizontal="center" vertical="center" wrapText="1"/>
    </xf>
    <xf numFmtId="0" fontId="28" fillId="2" borderId="32" xfId="0" applyFont="1" applyFill="1" applyBorder="1" applyAlignment="1">
      <alignment horizontal="center" vertical="center" wrapText="1"/>
    </xf>
    <xf numFmtId="0" fontId="29" fillId="2" borderId="31" xfId="0" applyFont="1" applyFill="1" applyBorder="1" applyAlignment="1">
      <alignment horizontal="center" vertical="center" wrapText="1"/>
    </xf>
    <xf numFmtId="0" fontId="8" fillId="3" borderId="0" xfId="0" applyFont="1" applyFill="1" applyAlignment="1">
      <alignment horizontal="center"/>
    </xf>
    <xf numFmtId="0" fontId="27" fillId="3" borderId="19" xfId="0" applyFont="1" applyFill="1" applyBorder="1"/>
    <xf numFmtId="2" fontId="8" fillId="3" borderId="21" xfId="0" applyNumberFormat="1" applyFont="1" applyFill="1" applyBorder="1" applyAlignment="1">
      <alignment horizontal="center" vertical="center" wrapText="1"/>
    </xf>
    <xf numFmtId="2" fontId="6" fillId="3" borderId="22" xfId="0" applyNumberFormat="1" applyFont="1" applyFill="1" applyBorder="1" applyAlignment="1">
      <alignment horizontal="center" vertical="center" wrapText="1"/>
    </xf>
    <xf numFmtId="2" fontId="6" fillId="3" borderId="23" xfId="0" applyNumberFormat="1" applyFont="1" applyFill="1" applyBorder="1" applyAlignment="1">
      <alignment horizontal="center" vertical="center" wrapText="1"/>
    </xf>
    <xf numFmtId="0" fontId="7" fillId="3" borderId="24" xfId="0" applyFont="1" applyFill="1" applyBorder="1" applyAlignment="1">
      <alignment horizontal="center" wrapText="1"/>
    </xf>
    <xf numFmtId="0" fontId="7" fillId="0" borderId="24" xfId="0" applyFont="1" applyBorder="1" applyAlignment="1">
      <alignment horizontal="center" wrapText="1"/>
    </xf>
    <xf numFmtId="0" fontId="7" fillId="0" borderId="40" xfId="0" applyFont="1" applyBorder="1" applyAlignment="1">
      <alignment horizontal="center" wrapText="1"/>
    </xf>
    <xf numFmtId="2" fontId="7" fillId="3" borderId="25" xfId="0" applyNumberFormat="1" applyFont="1" applyFill="1" applyBorder="1" applyAlignment="1">
      <alignment horizontal="center" wrapText="1"/>
    </xf>
    <xf numFmtId="2" fontId="7" fillId="3" borderId="40" xfId="0" applyNumberFormat="1" applyFont="1" applyFill="1" applyBorder="1" applyAlignment="1">
      <alignment horizontal="center" wrapText="1"/>
    </xf>
    <xf numFmtId="0" fontId="8" fillId="3" borderId="22" xfId="0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7" fillId="4" borderId="24" xfId="0" applyFont="1" applyFill="1" applyBorder="1" applyAlignment="1">
      <alignment horizontal="center" wrapText="1"/>
    </xf>
    <xf numFmtId="0" fontId="7" fillId="4" borderId="40" xfId="0" applyFont="1" applyFill="1" applyBorder="1" applyAlignment="1">
      <alignment horizontal="center" wrapText="1"/>
    </xf>
    <xf numFmtId="165" fontId="8" fillId="3" borderId="22" xfId="0" applyNumberFormat="1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wrapText="1"/>
    </xf>
    <xf numFmtId="0" fontId="0" fillId="0" borderId="23" xfId="0" applyBorder="1" applyAlignment="1">
      <alignment horizontal="center" wrapText="1"/>
    </xf>
    <xf numFmtId="0" fontId="8" fillId="3" borderId="23" xfId="0" applyFont="1" applyFill="1" applyBorder="1" applyAlignment="1">
      <alignment horizontal="center" vertical="center" wrapText="1"/>
    </xf>
    <xf numFmtId="166" fontId="3" fillId="0" borderId="41" xfId="0" applyNumberFormat="1" applyFont="1" applyBorder="1" applyAlignment="1">
      <alignment horizontal="center" vertical="center" wrapText="1"/>
    </xf>
    <xf numFmtId="166" fontId="27" fillId="0" borderId="41" xfId="0" applyNumberFormat="1" applyFont="1" applyBorder="1" applyAlignment="1">
      <alignment horizontal="center" vertical="center" wrapText="1"/>
    </xf>
    <xf numFmtId="0" fontId="15" fillId="2" borderId="32" xfId="0" applyFont="1" applyFill="1" applyBorder="1" applyAlignment="1">
      <alignment vertical="center" wrapText="1"/>
    </xf>
    <xf numFmtId="0" fontId="17" fillId="2" borderId="31" xfId="0" applyFont="1" applyFill="1" applyBorder="1" applyAlignment="1">
      <alignment vertical="center" wrapText="1"/>
    </xf>
    <xf numFmtId="0" fontId="17" fillId="2" borderId="33" xfId="0" applyFont="1" applyFill="1" applyBorder="1" applyAlignment="1">
      <alignment vertical="center" wrapText="1"/>
    </xf>
    <xf numFmtId="167" fontId="7" fillId="3" borderId="13" xfId="0" applyNumberFormat="1" applyFont="1" applyFill="1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167" fontId="8" fillId="0" borderId="0" xfId="0" applyNumberFormat="1" applyFont="1" applyAlignment="1">
      <alignment horizontal="center" vertical="center" wrapText="1"/>
    </xf>
    <xf numFmtId="167" fontId="27" fillId="0" borderId="0" xfId="0" applyNumberFormat="1" applyFont="1" applyAlignment="1">
      <alignment horizontal="center" vertical="center" wrapText="1"/>
    </xf>
    <xf numFmtId="167" fontId="27" fillId="0" borderId="0" xfId="0" applyNumberFormat="1" applyFont="1" applyAlignment="1">
      <alignment wrapText="1"/>
    </xf>
    <xf numFmtId="164" fontId="8" fillId="3" borderId="23" xfId="0" applyNumberFormat="1" applyFont="1" applyFill="1" applyBorder="1" applyAlignment="1">
      <alignment horizontal="center" vertical="center" wrapText="1"/>
    </xf>
    <xf numFmtId="164" fontId="8" fillId="3" borderId="22" xfId="0" applyNumberFormat="1" applyFont="1" applyFill="1" applyBorder="1" applyAlignment="1">
      <alignment horizontal="center" vertical="center" wrapText="1"/>
    </xf>
    <xf numFmtId="0" fontId="27" fillId="3" borderId="22" xfId="0" applyFont="1" applyFill="1" applyBorder="1" applyAlignment="1">
      <alignment horizontal="center" vertical="center" wrapText="1"/>
    </xf>
    <xf numFmtId="0" fontId="27" fillId="3" borderId="23" xfId="0" applyFont="1" applyFill="1" applyBorder="1" applyAlignment="1">
      <alignment horizontal="center" vertical="center" wrapText="1"/>
    </xf>
    <xf numFmtId="164" fontId="8" fillId="3" borderId="0" xfId="0" applyNumberFormat="1" applyFont="1" applyFill="1" applyAlignment="1">
      <alignment horizontal="center"/>
    </xf>
    <xf numFmtId="0" fontId="27" fillId="3" borderId="0" xfId="0" applyFont="1" applyFill="1"/>
    <xf numFmtId="0" fontId="3" fillId="4" borderId="21" xfId="0" applyFont="1" applyFill="1" applyBorder="1" applyAlignment="1">
      <alignment horizontal="center" vertical="center" wrapText="1"/>
    </xf>
    <xf numFmtId="0" fontId="0" fillId="4" borderId="21" xfId="0" applyFill="1" applyBorder="1" applyAlignment="1">
      <alignment horizontal="center" vertical="center" wrapText="1"/>
    </xf>
    <xf numFmtId="164" fontId="7" fillId="3" borderId="12" xfId="0" applyNumberFormat="1" applyFont="1" applyFill="1" applyBorder="1" applyAlignment="1">
      <alignment horizontal="center" vertical="center" wrapText="1"/>
    </xf>
    <xf numFmtId="0" fontId="7" fillId="3" borderId="13" xfId="0" applyFont="1" applyFill="1" applyBorder="1" applyAlignment="1">
      <alignment horizontal="center" vertical="center" wrapText="1"/>
    </xf>
    <xf numFmtId="0" fontId="7" fillId="3" borderId="18" xfId="0" applyFont="1" applyFill="1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37" fillId="2" borderId="42" xfId="1" applyFont="1" applyFill="1" applyBorder="1" applyAlignment="1" applyProtection="1">
      <alignment horizontal="center" vertical="center" wrapText="1"/>
    </xf>
    <xf numFmtId="0" fontId="37" fillId="2" borderId="43" xfId="0" applyFont="1" applyFill="1" applyBorder="1" applyAlignment="1">
      <alignment horizontal="center" vertical="center" wrapText="1"/>
    </xf>
    <xf numFmtId="0" fontId="37" fillId="2" borderId="44" xfId="0" applyFont="1" applyFill="1" applyBorder="1" applyAlignment="1">
      <alignment horizontal="center" vertical="center" wrapText="1"/>
    </xf>
    <xf numFmtId="0" fontId="0" fillId="0" borderId="45" xfId="0" applyBorder="1" applyAlignment="1">
      <alignment horizontal="center" vertical="center" wrapText="1"/>
    </xf>
    <xf numFmtId="0" fontId="0" fillId="0" borderId="46" xfId="0" applyBorder="1" applyAlignment="1">
      <alignment horizontal="center" vertical="center" wrapText="1"/>
    </xf>
    <xf numFmtId="0" fontId="0" fillId="0" borderId="47" xfId="0" applyBorder="1" applyAlignment="1">
      <alignment horizontal="center" vertical="center" wrapText="1"/>
    </xf>
    <xf numFmtId="164" fontId="14" fillId="3" borderId="21" xfId="0" applyNumberFormat="1" applyFont="1" applyFill="1" applyBorder="1" applyAlignment="1">
      <alignment horizontal="center" vertical="center" wrapText="1"/>
    </xf>
    <xf numFmtId="0" fontId="24" fillId="3" borderId="22" xfId="0" applyFont="1" applyFill="1" applyBorder="1" applyAlignment="1">
      <alignment horizontal="center" vertical="center" wrapText="1"/>
    </xf>
    <xf numFmtId="0" fontId="24" fillId="3" borderId="23" xfId="0" applyFont="1" applyFill="1" applyBorder="1" applyAlignment="1">
      <alignment horizontal="center" vertical="center" wrapText="1"/>
    </xf>
    <xf numFmtId="0" fontId="8" fillId="3" borderId="19" xfId="0" applyFont="1" applyFill="1" applyBorder="1" applyAlignment="1">
      <alignment horizontal="center"/>
    </xf>
    <xf numFmtId="0" fontId="8" fillId="3" borderId="25" xfId="0" applyFont="1" applyFill="1" applyBorder="1" applyAlignment="1">
      <alignment horizontal="center" wrapText="1"/>
    </xf>
    <xf numFmtId="0" fontId="8" fillId="3" borderId="24" xfId="0" applyFont="1" applyFill="1" applyBorder="1" applyAlignment="1">
      <alignment horizontal="center" wrapText="1"/>
    </xf>
    <xf numFmtId="0" fontId="8" fillId="3" borderId="40" xfId="0" applyFont="1" applyFill="1" applyBorder="1" applyAlignment="1">
      <alignment horizontal="center" wrapText="1"/>
    </xf>
    <xf numFmtId="2" fontId="8" fillId="3" borderId="25" xfId="0" applyNumberFormat="1" applyFont="1" applyFill="1" applyBorder="1" applyAlignment="1">
      <alignment horizontal="center" wrapText="1"/>
    </xf>
    <xf numFmtId="2" fontId="8" fillId="3" borderId="40" xfId="0" applyNumberFormat="1" applyFont="1" applyFill="1" applyBorder="1" applyAlignment="1">
      <alignment horizontal="center" wrapText="1"/>
    </xf>
    <xf numFmtId="0" fontId="8" fillId="2" borderId="31" xfId="0" applyFont="1" applyFill="1" applyBorder="1" applyAlignment="1">
      <alignment horizontal="center" vertical="center" wrapText="1"/>
    </xf>
    <xf numFmtId="0" fontId="8" fillId="2" borderId="33" xfId="0" applyFont="1" applyFill="1" applyBorder="1" applyAlignment="1">
      <alignment horizontal="center" vertical="center" wrapText="1"/>
    </xf>
    <xf numFmtId="0" fontId="3" fillId="2" borderId="31" xfId="0" applyFont="1" applyFill="1" applyBorder="1" applyAlignment="1">
      <alignment horizontal="center" vertical="center" wrapText="1"/>
    </xf>
    <xf numFmtId="0" fontId="3" fillId="2" borderId="33" xfId="0" applyFont="1" applyFill="1" applyBorder="1" applyAlignment="1">
      <alignment horizontal="center" vertical="center" wrapText="1"/>
    </xf>
    <xf numFmtId="0" fontId="15" fillId="2" borderId="31" xfId="0" applyFont="1" applyFill="1" applyBorder="1" applyAlignment="1">
      <alignment vertical="center" wrapText="1"/>
    </xf>
    <xf numFmtId="0" fontId="15" fillId="2" borderId="33" xfId="0" applyFont="1" applyFill="1" applyBorder="1" applyAlignment="1">
      <alignment vertical="center" wrapText="1"/>
    </xf>
    <xf numFmtId="0" fontId="17" fillId="2" borderId="33" xfId="0" applyFont="1" applyFill="1" applyBorder="1" applyAlignment="1">
      <alignment horizontal="center" vertical="center" wrapText="1"/>
    </xf>
    <xf numFmtId="0" fontId="0" fillId="0" borderId="24" xfId="0" applyBorder="1" applyAlignment="1">
      <alignment horizontal="center" wrapText="1"/>
    </xf>
    <xf numFmtId="0" fontId="0" fillId="0" borderId="40" xfId="0" applyBorder="1" applyAlignment="1">
      <alignment horizontal="center" wrapText="1"/>
    </xf>
    <xf numFmtId="0" fontId="7" fillId="2" borderId="42" xfId="1" applyFont="1" applyFill="1" applyBorder="1" applyAlignment="1" applyProtection="1">
      <alignment horizontal="center" vertical="center" wrapText="1"/>
    </xf>
    <xf numFmtId="0" fontId="7" fillId="2" borderId="43" xfId="0" applyFont="1" applyFill="1" applyBorder="1" applyAlignment="1">
      <alignment horizontal="center" vertical="center" wrapText="1"/>
    </xf>
    <xf numFmtId="0" fontId="7" fillId="2" borderId="44" xfId="0" applyFont="1" applyFill="1" applyBorder="1" applyAlignment="1">
      <alignment horizontal="center" vertical="center" wrapText="1"/>
    </xf>
    <xf numFmtId="0" fontId="7" fillId="0" borderId="45" xfId="0" applyFont="1" applyBorder="1" applyAlignment="1">
      <alignment horizontal="center" vertical="center" wrapText="1"/>
    </xf>
    <xf numFmtId="0" fontId="7" fillId="0" borderId="46" xfId="0" applyFont="1" applyBorder="1" applyAlignment="1">
      <alignment horizontal="center" vertical="center" wrapText="1"/>
    </xf>
    <xf numFmtId="0" fontId="7" fillId="0" borderId="47" xfId="0" applyFont="1" applyBorder="1" applyAlignment="1">
      <alignment horizontal="center" vertical="center" wrapText="1"/>
    </xf>
    <xf numFmtId="0" fontId="22" fillId="3" borderId="48" xfId="0" applyFont="1" applyFill="1" applyBorder="1" applyAlignment="1">
      <alignment horizontal="center" vertical="center"/>
    </xf>
    <xf numFmtId="0" fontId="31" fillId="0" borderId="48" xfId="0" applyFont="1" applyBorder="1" applyAlignment="1">
      <alignment horizontal="center" vertical="center"/>
    </xf>
    <xf numFmtId="0" fontId="41" fillId="0" borderId="0" xfId="0" applyFont="1" applyProtection="1">
      <protection hidden="1"/>
    </xf>
    <xf numFmtId="164" fontId="41" fillId="6" borderId="57" xfId="0" applyNumberFormat="1" applyFont="1" applyFill="1" applyBorder="1" applyAlignment="1" applyProtection="1">
      <alignment horizontal="center" vertical="center"/>
      <protection hidden="1"/>
    </xf>
    <xf numFmtId="164" fontId="41" fillId="6" borderId="56" xfId="0" applyNumberFormat="1" applyFont="1" applyFill="1" applyBorder="1" applyAlignment="1" applyProtection="1">
      <alignment horizontal="center" vertical="center"/>
      <protection hidden="1"/>
    </xf>
    <xf numFmtId="167" fontId="41" fillId="3" borderId="55" xfId="0" applyNumberFormat="1" applyFont="1" applyFill="1" applyBorder="1" applyAlignment="1" applyProtection="1">
      <alignment horizontal="center" vertical="center"/>
      <protection hidden="1"/>
    </xf>
    <xf numFmtId="0" fontId="41" fillId="3" borderId="0" xfId="0" applyFont="1" applyFill="1" applyAlignment="1" applyProtection="1">
      <alignment horizontal="center" vertical="center"/>
      <protection hidden="1"/>
    </xf>
    <xf numFmtId="0" fontId="42" fillId="3" borderId="13" xfId="0" applyFont="1" applyFill="1" applyBorder="1" applyAlignment="1" applyProtection="1">
      <alignment horizontal="right" vertical="center"/>
      <protection hidden="1"/>
    </xf>
    <xf numFmtId="0" fontId="52" fillId="6" borderId="1" xfId="0" applyFont="1" applyFill="1" applyBorder="1" applyAlignment="1" applyProtection="1">
      <alignment horizontal="center" vertical="center" wrapText="1"/>
      <protection hidden="1"/>
    </xf>
    <xf numFmtId="0" fontId="43" fillId="6" borderId="1" xfId="0" applyFont="1" applyFill="1" applyBorder="1" applyAlignment="1" applyProtection="1">
      <alignment horizontal="center" vertical="center" wrapText="1"/>
      <protection hidden="1"/>
    </xf>
    <xf numFmtId="0" fontId="41" fillId="6" borderId="55" xfId="0" applyFont="1" applyFill="1" applyBorder="1" applyAlignment="1" applyProtection="1">
      <alignment horizontal="center" vertical="center" wrapText="1"/>
      <protection hidden="1"/>
    </xf>
    <xf numFmtId="0" fontId="46" fillId="3" borderId="0" xfId="0" applyFont="1" applyFill="1" applyAlignment="1" applyProtection="1">
      <alignment horizontal="left" vertical="center" indent="1"/>
      <protection hidden="1"/>
    </xf>
    <xf numFmtId="0" fontId="43" fillId="0" borderId="0" xfId="0" applyFont="1" applyAlignment="1">
      <alignment horizontal="left" vertical="center" indent="1"/>
    </xf>
    <xf numFmtId="0" fontId="46" fillId="3" borderId="0" xfId="0" applyFont="1" applyFill="1" applyAlignment="1" applyProtection="1">
      <alignment vertical="center"/>
      <protection hidden="1"/>
    </xf>
    <xf numFmtId="0" fontId="43" fillId="0" borderId="0" xfId="0" applyFont="1"/>
    <xf numFmtId="0" fontId="45" fillId="3" borderId="13" xfId="0" applyFont="1" applyFill="1" applyBorder="1" applyAlignment="1" applyProtection="1">
      <alignment horizontal="right"/>
      <protection hidden="1"/>
    </xf>
    <xf numFmtId="0" fontId="41" fillId="0" borderId="13" xfId="0" applyFont="1" applyBorder="1" applyAlignment="1">
      <alignment horizontal="right"/>
    </xf>
    <xf numFmtId="0" fontId="41" fillId="6" borderId="0" xfId="0" applyFont="1" applyFill="1" applyAlignment="1" applyProtection="1">
      <alignment horizontal="center" vertical="center"/>
      <protection hidden="1"/>
    </xf>
    <xf numFmtId="0" fontId="40" fillId="0" borderId="0" xfId="0" applyFont="1" applyAlignment="1" applyProtection="1">
      <alignment horizontal="center" vertical="center"/>
      <protection hidden="1"/>
    </xf>
    <xf numFmtId="164" fontId="41" fillId="3" borderId="58" xfId="0" applyNumberFormat="1" applyFont="1" applyFill="1" applyBorder="1" applyAlignment="1" applyProtection="1">
      <alignment horizontal="center"/>
      <protection hidden="1"/>
    </xf>
    <xf numFmtId="0" fontId="44" fillId="3" borderId="13" xfId="0" applyFont="1" applyFill="1" applyBorder="1" applyAlignment="1" applyProtection="1">
      <alignment horizontal="left" indent="1"/>
      <protection hidden="1"/>
    </xf>
    <xf numFmtId="0" fontId="42" fillId="6" borderId="57" xfId="0" applyFont="1" applyFill="1" applyBorder="1" applyAlignment="1" applyProtection="1">
      <alignment horizontal="center" vertical="center"/>
      <protection hidden="1"/>
    </xf>
    <xf numFmtId="0" fontId="40" fillId="0" borderId="58" xfId="0" applyFont="1" applyBorder="1" applyAlignment="1">
      <alignment horizontal="center" vertical="center"/>
    </xf>
    <xf numFmtId="0" fontId="41" fillId="6" borderId="1" xfId="0" applyFont="1" applyFill="1" applyBorder="1" applyAlignment="1" applyProtection="1">
      <alignment horizontal="center" vertical="center" wrapText="1"/>
      <protection hidden="1"/>
    </xf>
    <xf numFmtId="0" fontId="41" fillId="0" borderId="1" xfId="0" applyFont="1" applyBorder="1" applyAlignment="1">
      <alignment horizontal="center" vertical="center"/>
    </xf>
    <xf numFmtId="1" fontId="41" fillId="3" borderId="0" xfId="0" applyNumberFormat="1" applyFont="1" applyFill="1" applyAlignment="1" applyProtection="1">
      <alignment horizontal="center" vertical="center"/>
      <protection hidden="1"/>
    </xf>
    <xf numFmtId="0" fontId="48" fillId="3" borderId="0" xfId="0" applyFont="1" applyFill="1" applyAlignment="1" applyProtection="1">
      <alignment horizontal="center" vertical="center"/>
      <protection hidden="1"/>
    </xf>
    <xf numFmtId="0" fontId="45" fillId="3" borderId="13" xfId="0" applyFont="1" applyFill="1" applyBorder="1" applyAlignment="1" applyProtection="1">
      <alignment horizontal="left"/>
      <protection hidden="1"/>
    </xf>
    <xf numFmtId="0" fontId="41" fillId="0" borderId="13" xfId="0" applyFont="1" applyBorder="1" applyAlignment="1">
      <alignment horizontal="left"/>
    </xf>
    <xf numFmtId="15" fontId="41" fillId="6" borderId="0" xfId="0" applyNumberFormat="1" applyFont="1" applyFill="1" applyAlignment="1" applyProtection="1">
      <alignment horizontal="center" vertical="center" wrapText="1"/>
      <protection hidden="1"/>
    </xf>
    <xf numFmtId="0" fontId="42" fillId="6" borderId="58" xfId="0" applyFont="1" applyFill="1" applyBorder="1" applyAlignment="1" applyProtection="1">
      <alignment horizontal="center" vertical="center"/>
      <protection hidden="1"/>
    </xf>
    <xf numFmtId="0" fontId="41" fillId="0" borderId="13" xfId="0" applyFont="1" applyBorder="1" applyProtection="1">
      <protection hidden="1"/>
    </xf>
    <xf numFmtId="0" fontId="40" fillId="0" borderId="13" xfId="0" applyFont="1" applyBorder="1" applyProtection="1">
      <protection hidden="1"/>
    </xf>
    <xf numFmtId="0" fontId="45" fillId="3" borderId="0" xfId="0" applyFont="1" applyFill="1" applyAlignment="1" applyProtection="1">
      <alignment horizontal="left" vertical="center"/>
      <protection hidden="1"/>
    </xf>
    <xf numFmtId="0" fontId="42" fillId="6" borderId="1" xfId="0" applyFont="1" applyFill="1" applyBorder="1" applyAlignment="1" applyProtection="1">
      <alignment horizontal="center" vertical="center" wrapText="1"/>
      <protection hidden="1"/>
    </xf>
    <xf numFmtId="0" fontId="45" fillId="3" borderId="0" xfId="0" applyFont="1" applyFill="1" applyAlignment="1" applyProtection="1">
      <alignment horizontal="right" vertical="center" wrapText="1"/>
      <protection hidden="1"/>
    </xf>
    <xf numFmtId="0" fontId="47" fillId="0" borderId="0" xfId="0" applyFont="1" applyAlignment="1">
      <alignment horizontal="right"/>
    </xf>
    <xf numFmtId="0" fontId="17" fillId="2" borderId="15" xfId="2" applyFont="1" applyFill="1" applyBorder="1"/>
    <xf numFmtId="0" fontId="39" fillId="3" borderId="49" xfId="0" applyFont="1" applyFill="1" applyBorder="1" applyAlignment="1">
      <alignment horizontal="right" vertical="center"/>
    </xf>
    <xf numFmtId="0" fontId="39" fillId="3" borderId="50" xfId="0" applyFont="1" applyFill="1" applyBorder="1" applyAlignment="1">
      <alignment horizontal="right" vertical="center"/>
    </xf>
    <xf numFmtId="168" fontId="39" fillId="3" borderId="50" xfId="0" applyNumberFormat="1" applyFont="1" applyFill="1" applyBorder="1" applyAlignment="1">
      <alignment horizontal="left" vertical="center" indent="1"/>
    </xf>
    <xf numFmtId="168" fontId="0" fillId="3" borderId="51" xfId="0" applyNumberFormat="1" applyFill="1" applyBorder="1" applyAlignment="1">
      <alignment horizontal="left" vertical="center" indent="1"/>
    </xf>
    <xf numFmtId="0" fontId="39" fillId="3" borderId="25" xfId="0" applyFont="1" applyFill="1" applyBorder="1" applyAlignment="1">
      <alignment horizontal="center" vertical="center"/>
    </xf>
    <xf numFmtId="0" fontId="39" fillId="3" borderId="24" xfId="0" applyFont="1" applyFill="1" applyBorder="1" applyAlignment="1">
      <alignment horizontal="center" vertical="center"/>
    </xf>
    <xf numFmtId="0" fontId="39" fillId="3" borderId="40" xfId="0" applyFont="1" applyFill="1" applyBorder="1" applyAlignment="1">
      <alignment horizontal="center" vertical="center"/>
    </xf>
  </cellXfs>
  <cellStyles count="5">
    <cellStyle name="Hyperlink" xfId="1" builtinId="8"/>
    <cellStyle name="Normal" xfId="0" builtinId="0"/>
    <cellStyle name="Normal 2" xfId="2" xr:uid="{00000000-0005-0000-0000-000002000000}"/>
    <cellStyle name="Normal 3" xfId="3" xr:uid="{00000000-0005-0000-0000-000003000000}"/>
    <cellStyle name="Normal 3 2" xfId="4" xr:uid="{00000000-0005-0000-0000-000004000000}"/>
  </cellStyles>
  <dxfs count="0"/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diyaccounting.co.uk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diyaccounting.co.uk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diyaccounting.co.uk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diyaccounting.co.uk/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://www.diyaccounting.co.uk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http://www.diyaccounting.co.uk/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://www.diyaccounting.co.uk/" TargetMode="Externa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hyperlink" Target="http://www.diyaccounting.co.uk/" TargetMode="Externa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9.bin"/><Relationship Id="rId1" Type="http://schemas.openxmlformats.org/officeDocument/2006/relationships/hyperlink" Target="http://www.diyaccounting.co.uk/" TargetMode="Externa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0.bin"/><Relationship Id="rId1" Type="http://schemas.openxmlformats.org/officeDocument/2006/relationships/hyperlink" Target="http://www.diyaccounting.co.uk/" TargetMode="Externa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1.bin"/><Relationship Id="rId1" Type="http://schemas.openxmlformats.org/officeDocument/2006/relationships/hyperlink" Target="http://www.diyaccounting.co.uk/" TargetMode="Externa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2.bin"/><Relationship Id="rId1" Type="http://schemas.openxmlformats.org/officeDocument/2006/relationships/hyperlink" Target="http://www.diyaccounting.co.uk/" TargetMode="Externa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3.bin"/><Relationship Id="rId1" Type="http://schemas.openxmlformats.org/officeDocument/2006/relationships/hyperlink" Target="http://www.diyaccounting.co.uk/" TargetMode="Externa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hyperlink" Target="http://www.diyaccounting.co.uk/" TargetMode="External"/><Relationship Id="rId2" Type="http://schemas.openxmlformats.org/officeDocument/2006/relationships/hyperlink" Target="http://www.diyaccounting.co.uk/" TargetMode="External"/><Relationship Id="rId1" Type="http://schemas.openxmlformats.org/officeDocument/2006/relationships/hyperlink" Target="http://www.diyaccounting.co.uk/" TargetMode="External"/><Relationship Id="rId6" Type="http://schemas.openxmlformats.org/officeDocument/2006/relationships/printerSettings" Target="../printerSettings/printerSettings14.bin"/><Relationship Id="rId5" Type="http://schemas.openxmlformats.org/officeDocument/2006/relationships/hyperlink" Target="http://www.diyaccounting.co.uk/" TargetMode="External"/><Relationship Id="rId4" Type="http://schemas.openxmlformats.org/officeDocument/2006/relationships/hyperlink" Target="http://www.diyaccounting.co.uk/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X366"/>
  <sheetViews>
    <sheetView tabSelected="1" zoomScaleNormal="100" workbookViewId="0">
      <selection activeCell="D5" sqref="D5:F5"/>
    </sheetView>
  </sheetViews>
  <sheetFormatPr baseColWidth="10" defaultColWidth="9.1640625" defaultRowHeight="12" x14ac:dyDescent="0.15"/>
  <cols>
    <col min="1" max="1" width="0.83203125" style="3" customWidth="1"/>
    <col min="2" max="2" width="24.6640625" style="3" customWidth="1"/>
    <col min="3" max="3" width="0.83203125" style="3" customWidth="1"/>
    <col min="4" max="4" width="10.6640625" style="3" customWidth="1"/>
    <col min="5" max="5" width="2.83203125" style="3" customWidth="1"/>
    <col min="6" max="6" width="10.6640625" style="3" customWidth="1"/>
    <col min="7" max="7" width="0.83203125" style="3" customWidth="1"/>
    <col min="8" max="8" width="11.6640625" style="3" customWidth="1"/>
    <col min="9" max="10" width="0.83203125" style="3" customWidth="1"/>
    <col min="11" max="11" width="24.6640625" style="3" customWidth="1"/>
    <col min="12" max="12" width="1.33203125" style="3" customWidth="1"/>
    <col min="13" max="13" width="10.6640625" style="3" customWidth="1"/>
    <col min="14" max="14" width="1.33203125" style="3" customWidth="1"/>
    <col min="15" max="15" width="10.6640625" style="3" customWidth="1"/>
    <col min="16" max="16" width="2.6640625" style="151" customWidth="1"/>
    <col min="17" max="17" width="10.6640625" style="3" customWidth="1"/>
    <col min="18" max="18" width="0.83203125" style="3" customWidth="1"/>
    <col min="19" max="19" width="10.6640625" style="3" customWidth="1"/>
    <col min="20" max="20" width="0.83203125" style="3" customWidth="1"/>
    <col min="21" max="21" width="4.33203125" style="3" customWidth="1"/>
    <col min="22" max="24" width="10.5" style="3" hidden="1" customWidth="1"/>
    <col min="25" max="25" width="10.5" style="3" customWidth="1"/>
    <col min="26" max="16384" width="9.1640625" style="3"/>
  </cols>
  <sheetData>
    <row r="1" spans="1:24" ht="6" customHeight="1" x14ac:dyDescent="0.15">
      <c r="A1" s="348"/>
      <c r="B1" s="349"/>
      <c r="C1" s="349"/>
      <c r="D1" s="349"/>
      <c r="E1" s="349"/>
      <c r="F1" s="349"/>
      <c r="G1" s="349"/>
      <c r="H1" s="349"/>
      <c r="I1" s="349"/>
      <c r="J1" s="349"/>
      <c r="K1" s="349"/>
      <c r="L1" s="349"/>
      <c r="M1" s="349"/>
      <c r="N1" s="349"/>
      <c r="O1" s="349"/>
      <c r="P1" s="349"/>
      <c r="Q1" s="349"/>
      <c r="R1" s="349"/>
      <c r="S1" s="349"/>
      <c r="T1" s="349"/>
      <c r="U1" s="345"/>
    </row>
    <row r="2" spans="1:24" ht="6" customHeight="1" thickBot="1" x14ac:dyDescent="0.2">
      <c r="A2" s="57"/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142"/>
      <c r="Q2" s="58"/>
      <c r="R2" s="77"/>
      <c r="S2" s="77"/>
      <c r="T2" s="78"/>
      <c r="U2" s="345"/>
      <c r="W2" s="206">
        <f>Admin!B2</f>
        <v>44657</v>
      </c>
      <c r="X2" s="3">
        <v>1</v>
      </c>
    </row>
    <row r="3" spans="1:24" ht="17.25" customHeight="1" thickTop="1" thickBot="1" x14ac:dyDescent="0.25">
      <c r="A3" s="59"/>
      <c r="B3" s="83" t="s">
        <v>18</v>
      </c>
      <c r="C3" s="5"/>
      <c r="D3" s="5"/>
      <c r="E3" s="5"/>
      <c r="F3" s="5"/>
      <c r="G3" s="5"/>
      <c r="H3" s="353" t="s">
        <v>135</v>
      </c>
      <c r="I3" s="353"/>
      <c r="J3" s="353"/>
      <c r="K3" s="353"/>
      <c r="L3" s="353"/>
      <c r="M3" s="353"/>
      <c r="N3" s="5"/>
      <c r="O3" s="62"/>
      <c r="P3" s="143"/>
      <c r="Q3" s="350" t="s">
        <v>66</v>
      </c>
      <c r="R3" s="351"/>
      <c r="S3" s="352"/>
      <c r="T3" s="80"/>
      <c r="U3" s="345"/>
      <c r="W3" s="206">
        <f>Admin!B3</f>
        <v>44658</v>
      </c>
      <c r="X3" s="3">
        <f>X2+1</f>
        <v>2</v>
      </c>
    </row>
    <row r="4" spans="1:24" ht="3.75" customHeight="1" thickTop="1" x14ac:dyDescent="0.15">
      <c r="A4" s="59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144"/>
      <c r="Q4" s="5"/>
      <c r="R4" s="79"/>
      <c r="S4" s="79"/>
      <c r="T4" s="80"/>
      <c r="U4" s="345"/>
      <c r="W4" s="206">
        <f>Admin!B4</f>
        <v>44659</v>
      </c>
      <c r="X4" s="3">
        <f t="shared" ref="X4:X53" si="0">X3+1</f>
        <v>3</v>
      </c>
    </row>
    <row r="5" spans="1:24" ht="12" customHeight="1" x14ac:dyDescent="0.15">
      <c r="A5" s="59"/>
      <c r="B5" s="5" t="s">
        <v>19</v>
      </c>
      <c r="C5" s="5"/>
      <c r="D5" s="354"/>
      <c r="E5" s="355"/>
      <c r="F5" s="356"/>
      <c r="G5" s="5"/>
      <c r="H5" s="357" t="s">
        <v>137</v>
      </c>
      <c r="I5" s="357"/>
      <c r="J5" s="357"/>
      <c r="K5" s="357"/>
      <c r="L5" s="357"/>
      <c r="M5" s="357"/>
      <c r="N5" s="357"/>
      <c r="O5" s="357"/>
      <c r="P5" s="68"/>
      <c r="Q5" s="5"/>
      <c r="R5" s="79"/>
      <c r="S5" s="79"/>
      <c r="T5" s="80"/>
      <c r="U5" s="345"/>
      <c r="V5" s="3" t="s">
        <v>78</v>
      </c>
      <c r="W5" s="206">
        <f>Admin!B5</f>
        <v>44660</v>
      </c>
      <c r="X5" s="3">
        <f t="shared" si="0"/>
        <v>4</v>
      </c>
    </row>
    <row r="6" spans="1:24" ht="12" customHeight="1" x14ac:dyDescent="0.15">
      <c r="A6" s="59"/>
      <c r="B6" s="5" t="s">
        <v>13</v>
      </c>
      <c r="C6" s="5"/>
      <c r="D6" s="354"/>
      <c r="E6" s="355"/>
      <c r="F6" s="356"/>
      <c r="G6" s="5"/>
      <c r="H6" s="357"/>
      <c r="I6" s="357"/>
      <c r="J6" s="357"/>
      <c r="K6" s="357"/>
      <c r="L6" s="357"/>
      <c r="M6" s="357"/>
      <c r="N6" s="357"/>
      <c r="O6" s="357"/>
      <c r="P6" s="68"/>
      <c r="Q6" s="5"/>
      <c r="R6" s="79"/>
      <c r="S6" s="79"/>
      <c r="T6" s="80"/>
      <c r="U6" s="345"/>
      <c r="V6" s="3" t="s">
        <v>79</v>
      </c>
      <c r="W6" s="206">
        <f>Admin!B6</f>
        <v>44661</v>
      </c>
      <c r="X6" s="3">
        <f t="shared" si="0"/>
        <v>5</v>
      </c>
    </row>
    <row r="7" spans="1:24" ht="12" customHeight="1" x14ac:dyDescent="0.15">
      <c r="A7" s="59"/>
      <c r="B7" s="5" t="s">
        <v>14</v>
      </c>
      <c r="C7" s="5"/>
      <c r="D7" s="354"/>
      <c r="E7" s="355"/>
      <c r="F7" s="356"/>
      <c r="G7" s="5"/>
      <c r="H7" s="357"/>
      <c r="I7" s="357"/>
      <c r="J7" s="357"/>
      <c r="K7" s="357"/>
      <c r="L7" s="357"/>
      <c r="M7" s="357"/>
      <c r="N7" s="357"/>
      <c r="O7" s="357"/>
      <c r="P7" s="68"/>
      <c r="Q7" s="5"/>
      <c r="R7" s="79"/>
      <c r="S7" s="79"/>
      <c r="T7" s="80"/>
      <c r="U7" s="345"/>
      <c r="V7" s="3" t="s">
        <v>80</v>
      </c>
      <c r="W7" s="206">
        <f>Admin!B7</f>
        <v>44662</v>
      </c>
      <c r="X7" s="3">
        <f t="shared" si="0"/>
        <v>6</v>
      </c>
    </row>
    <row r="8" spans="1:24" ht="12" customHeight="1" x14ac:dyDescent="0.15">
      <c r="A8" s="59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144"/>
      <c r="Q8" s="5"/>
      <c r="R8" s="79"/>
      <c r="S8" s="79"/>
      <c r="T8" s="80"/>
      <c r="U8" s="345"/>
      <c r="V8" s="3" t="s">
        <v>78</v>
      </c>
      <c r="W8" s="206">
        <f>Admin!B8</f>
        <v>44663</v>
      </c>
      <c r="X8" s="3">
        <f t="shared" si="0"/>
        <v>7</v>
      </c>
    </row>
    <row r="9" spans="1:24" ht="12" customHeight="1" x14ac:dyDescent="0.15">
      <c r="A9" s="59"/>
      <c r="B9" s="5" t="s">
        <v>15</v>
      </c>
      <c r="C9" s="5"/>
      <c r="D9" s="6"/>
      <c r="E9" s="5"/>
      <c r="F9" s="5"/>
      <c r="G9" s="5"/>
      <c r="H9" s="68"/>
      <c r="I9" s="5"/>
      <c r="J9" s="5"/>
      <c r="K9" s="69" t="s">
        <v>56</v>
      </c>
      <c r="L9" s="69"/>
      <c r="M9" s="163">
        <f>Admin!B2</f>
        <v>44657</v>
      </c>
      <c r="N9" s="5"/>
      <c r="O9" s="163">
        <f>Admin!I1</f>
        <v>45021</v>
      </c>
      <c r="P9" s="145"/>
      <c r="Q9" s="140"/>
      <c r="R9" s="141"/>
      <c r="S9" s="141"/>
      <c r="T9" s="80"/>
      <c r="U9" s="345"/>
      <c r="W9" s="206">
        <f>Admin!B9</f>
        <v>44664</v>
      </c>
      <c r="X9" s="3">
        <f t="shared" si="0"/>
        <v>8</v>
      </c>
    </row>
    <row r="10" spans="1:24" ht="6" customHeight="1" x14ac:dyDescent="0.15">
      <c r="A10" s="60"/>
      <c r="B10" s="61"/>
      <c r="C10" s="61"/>
      <c r="D10" s="61"/>
      <c r="E10" s="61"/>
      <c r="F10" s="61"/>
      <c r="G10" s="61"/>
      <c r="H10" s="61"/>
      <c r="I10" s="61"/>
      <c r="J10" s="61"/>
      <c r="K10" s="61"/>
      <c r="L10" s="61"/>
      <c r="M10" s="61"/>
      <c r="N10" s="61"/>
      <c r="O10" s="61"/>
      <c r="P10" s="146"/>
      <c r="Q10" s="61"/>
      <c r="R10" s="81"/>
      <c r="S10" s="81"/>
      <c r="T10" s="82"/>
      <c r="U10" s="345"/>
      <c r="V10" s="3" t="s">
        <v>81</v>
      </c>
      <c r="W10" s="206">
        <f>Admin!B10</f>
        <v>44665</v>
      </c>
      <c r="X10" s="3">
        <f t="shared" si="0"/>
        <v>9</v>
      </c>
    </row>
    <row r="11" spans="1:24" ht="15" customHeight="1" thickBot="1" x14ac:dyDescent="0.2">
      <c r="A11" s="346"/>
      <c r="B11" s="346"/>
      <c r="C11" s="346"/>
      <c r="D11" s="346"/>
      <c r="E11" s="346"/>
      <c r="F11" s="346"/>
      <c r="G11" s="346"/>
      <c r="H11" s="346"/>
      <c r="I11" s="346"/>
      <c r="J11" s="346"/>
      <c r="K11" s="346"/>
      <c r="L11" s="346"/>
      <c r="M11" s="346"/>
      <c r="N11" s="346"/>
      <c r="O11" s="346"/>
      <c r="P11" s="346"/>
      <c r="Q11" s="346"/>
      <c r="R11" s="347"/>
      <c r="S11" s="347"/>
      <c r="T11" s="347"/>
      <c r="U11" s="345"/>
      <c r="W11" s="206">
        <f>Admin!B11</f>
        <v>44666</v>
      </c>
      <c r="X11" s="3">
        <f t="shared" si="0"/>
        <v>10</v>
      </c>
    </row>
    <row r="12" spans="1:24" ht="9" customHeight="1" thickBot="1" x14ac:dyDescent="0.2">
      <c r="A12" s="9"/>
      <c r="B12" s="10"/>
      <c r="C12" s="10"/>
      <c r="D12" s="10"/>
      <c r="E12" s="10"/>
      <c r="F12" s="10"/>
      <c r="G12" s="10"/>
      <c r="H12" s="10"/>
      <c r="I12" s="10"/>
      <c r="J12" s="63"/>
      <c r="K12" s="10"/>
      <c r="L12" s="10"/>
      <c r="M12" s="10"/>
      <c r="N12" s="10"/>
      <c r="O12" s="10"/>
      <c r="P12" s="147"/>
      <c r="Q12" s="10"/>
      <c r="R12" s="10"/>
      <c r="S12" s="10"/>
      <c r="T12" s="11"/>
      <c r="U12" s="345"/>
      <c r="V12" s="3" t="s">
        <v>82</v>
      </c>
      <c r="W12" s="206">
        <f>Admin!B12</f>
        <v>44667</v>
      </c>
      <c r="X12" s="3">
        <f t="shared" si="0"/>
        <v>11</v>
      </c>
    </row>
    <row r="13" spans="1:24" ht="15" customHeight="1" thickTop="1" thickBot="1" x14ac:dyDescent="0.2">
      <c r="A13" s="12"/>
      <c r="B13" s="83" t="s">
        <v>33</v>
      </c>
      <c r="C13" s="52"/>
      <c r="D13" s="14"/>
      <c r="E13" s="14"/>
      <c r="F13" s="14"/>
      <c r="G13" s="14"/>
      <c r="H13" s="338" t="s">
        <v>50</v>
      </c>
      <c r="I13" s="14"/>
      <c r="J13" s="22"/>
      <c r="K13" s="83" t="s">
        <v>20</v>
      </c>
      <c r="L13" s="52"/>
      <c r="M13" s="70"/>
      <c r="N13" s="13"/>
      <c r="O13" s="343"/>
      <c r="P13" s="344"/>
      <c r="Q13" s="340"/>
      <c r="R13" s="53"/>
      <c r="S13" s="330"/>
      <c r="T13" s="15"/>
      <c r="U13" s="345"/>
      <c r="V13" s="3" t="s">
        <v>83</v>
      </c>
      <c r="W13" s="206">
        <f>Admin!B13</f>
        <v>44668</v>
      </c>
      <c r="X13" s="3">
        <f t="shared" si="0"/>
        <v>12</v>
      </c>
    </row>
    <row r="14" spans="1:24" ht="6" customHeight="1" thickTop="1" thickBot="1" x14ac:dyDescent="0.2">
      <c r="A14" s="12"/>
      <c r="B14" s="52"/>
      <c r="C14" s="52"/>
      <c r="D14" s="14"/>
      <c r="E14" s="14"/>
      <c r="F14" s="14"/>
      <c r="G14" s="14"/>
      <c r="H14" s="338"/>
      <c r="I14" s="14"/>
      <c r="J14" s="22"/>
      <c r="K14" s="52"/>
      <c r="L14" s="52"/>
      <c r="M14" s="70"/>
      <c r="N14" s="13"/>
      <c r="O14" s="14"/>
      <c r="P14" s="148"/>
      <c r="Q14" s="341"/>
      <c r="R14" s="14"/>
      <c r="S14" s="331"/>
      <c r="T14" s="15"/>
      <c r="U14" s="345"/>
      <c r="W14" s="206">
        <f>Admin!B14</f>
        <v>44669</v>
      </c>
      <c r="X14" s="3">
        <f t="shared" si="0"/>
        <v>13</v>
      </c>
    </row>
    <row r="15" spans="1:24" ht="15" thickTop="1" thickBot="1" x14ac:dyDescent="0.2">
      <c r="A15" s="12"/>
      <c r="B15" s="14" t="s">
        <v>55</v>
      </c>
      <c r="C15" s="14"/>
      <c r="D15" s="332"/>
      <c r="E15" s="333"/>
      <c r="F15" s="334"/>
      <c r="G15" s="14"/>
      <c r="H15" s="21" t="s">
        <v>51</v>
      </c>
      <c r="I15" s="14"/>
      <c r="J15" s="51"/>
      <c r="K15" s="14" t="s">
        <v>17</v>
      </c>
      <c r="L15" s="14"/>
      <c r="M15" s="335"/>
      <c r="N15" s="336"/>
      <c r="O15" s="337"/>
      <c r="P15" s="148"/>
      <c r="Q15" s="138"/>
      <c r="R15" s="136"/>
      <c r="S15" s="139"/>
      <c r="T15" s="15"/>
      <c r="U15" s="345"/>
      <c r="W15" s="206">
        <f>Admin!B15</f>
        <v>44670</v>
      </c>
      <c r="X15" s="3">
        <f t="shared" si="0"/>
        <v>14</v>
      </c>
    </row>
    <row r="16" spans="1:24" ht="14" thickTop="1" thickBot="1" x14ac:dyDescent="0.2">
      <c r="A16" s="12"/>
      <c r="B16" s="14" t="s">
        <v>12</v>
      </c>
      <c r="C16" s="14"/>
      <c r="D16" s="332"/>
      <c r="E16" s="333"/>
      <c r="F16" s="334"/>
      <c r="G16" s="14"/>
      <c r="H16" s="152"/>
      <c r="I16" s="14"/>
      <c r="J16" s="22"/>
      <c r="K16" s="14"/>
      <c r="L16" s="14"/>
      <c r="M16" s="14"/>
      <c r="N16" s="14"/>
      <c r="O16" s="29"/>
      <c r="P16" s="148"/>
      <c r="Q16" s="29"/>
      <c r="R16" s="53"/>
      <c r="S16" s="29"/>
      <c r="T16" s="15"/>
      <c r="U16" s="345"/>
      <c r="W16" s="206">
        <f>Admin!B16</f>
        <v>44671</v>
      </c>
      <c r="X16" s="3">
        <f t="shared" si="0"/>
        <v>15</v>
      </c>
    </row>
    <row r="17" spans="1:24" ht="13.5" customHeight="1" thickTop="1" x14ac:dyDescent="0.15">
      <c r="A17" s="12"/>
      <c r="B17" s="14"/>
      <c r="C17" s="14"/>
      <c r="D17" s="14"/>
      <c r="E17" s="14"/>
      <c r="F17" s="14"/>
      <c r="G17" s="14"/>
      <c r="H17" s="21" t="s">
        <v>52</v>
      </c>
      <c r="I17" s="14"/>
      <c r="J17" s="22"/>
      <c r="K17" s="14"/>
      <c r="L17" s="14"/>
      <c r="M17" s="14"/>
      <c r="N17" s="14"/>
      <c r="O17" s="14"/>
      <c r="P17" s="14"/>
      <c r="Q17" s="14"/>
      <c r="R17" s="14"/>
      <c r="S17" s="85"/>
      <c r="T17" s="15"/>
      <c r="U17" s="345"/>
      <c r="W17" s="206">
        <f>Admin!B17</f>
        <v>44672</v>
      </c>
      <c r="X17" s="3">
        <f t="shared" si="0"/>
        <v>16</v>
      </c>
    </row>
    <row r="18" spans="1:24" x14ac:dyDescent="0.15">
      <c r="A18" s="12"/>
      <c r="B18" s="14"/>
      <c r="C18" s="14"/>
      <c r="D18" s="14"/>
      <c r="E18" s="14"/>
      <c r="F18" s="14"/>
      <c r="G18" s="14"/>
      <c r="H18" s="153"/>
      <c r="I18" s="14"/>
      <c r="J18" s="22"/>
      <c r="K18" s="14"/>
      <c r="L18" s="14"/>
      <c r="M18" s="14"/>
      <c r="N18" s="14"/>
      <c r="O18" s="14"/>
      <c r="P18" s="14"/>
      <c r="Q18" s="14"/>
      <c r="R18" s="27"/>
      <c r="S18" s="85"/>
      <c r="T18" s="15"/>
      <c r="U18" s="345"/>
      <c r="W18" s="206">
        <f>Admin!B18</f>
        <v>44673</v>
      </c>
      <c r="X18" s="3">
        <f t="shared" si="0"/>
        <v>17</v>
      </c>
    </row>
    <row r="19" spans="1:24" x14ac:dyDescent="0.15">
      <c r="A19" s="12"/>
      <c r="B19" s="14"/>
      <c r="C19" s="14"/>
      <c r="D19" s="14"/>
      <c r="E19" s="14"/>
      <c r="F19" s="14"/>
      <c r="G19" s="14"/>
      <c r="H19" s="21" t="s">
        <v>53</v>
      </c>
      <c r="I19" s="14"/>
      <c r="J19" s="22"/>
      <c r="K19" s="14"/>
      <c r="L19" s="14"/>
      <c r="M19" s="14"/>
      <c r="N19" s="14"/>
      <c r="O19" s="14"/>
      <c r="P19" s="14"/>
      <c r="Q19" s="14"/>
      <c r="R19" s="28"/>
      <c r="S19" s="85"/>
      <c r="T19" s="15"/>
      <c r="U19" s="345"/>
      <c r="W19" s="206">
        <f>Admin!B19</f>
        <v>44674</v>
      </c>
      <c r="X19" s="3">
        <f t="shared" si="0"/>
        <v>18</v>
      </c>
    </row>
    <row r="20" spans="1:24" x14ac:dyDescent="0.15">
      <c r="A20" s="12"/>
      <c r="B20" s="14"/>
      <c r="C20" s="14"/>
      <c r="D20" s="14"/>
      <c r="E20" s="14"/>
      <c r="F20" s="14"/>
      <c r="G20" s="14"/>
      <c r="H20" s="152"/>
      <c r="I20" s="14"/>
      <c r="J20" s="22"/>
      <c r="K20" s="56"/>
      <c r="L20" s="56"/>
      <c r="M20" s="14"/>
      <c r="N20" s="14"/>
      <c r="O20" s="14"/>
      <c r="P20" s="148"/>
      <c r="Q20" s="14"/>
      <c r="R20" s="14"/>
      <c r="S20" s="14"/>
      <c r="T20" s="15"/>
      <c r="U20" s="345"/>
      <c r="W20" s="206">
        <f>Admin!B20</f>
        <v>44675</v>
      </c>
      <c r="X20" s="3">
        <f t="shared" si="0"/>
        <v>19</v>
      </c>
    </row>
    <row r="21" spans="1:24" ht="12" customHeight="1" x14ac:dyDescent="0.15">
      <c r="A21" s="12"/>
      <c r="B21" s="14"/>
      <c r="C21" s="14"/>
      <c r="D21" s="14"/>
      <c r="E21" s="14"/>
      <c r="F21" s="14"/>
      <c r="G21" s="14"/>
      <c r="H21" s="21" t="s">
        <v>54</v>
      </c>
      <c r="I21" s="14"/>
      <c r="J21" s="22"/>
      <c r="K21" s="14"/>
      <c r="L21" s="14"/>
      <c r="M21" s="14"/>
      <c r="N21" s="14"/>
      <c r="O21" s="14"/>
      <c r="P21" s="148"/>
      <c r="Q21" s="14"/>
      <c r="R21" s="14"/>
      <c r="S21" s="14"/>
      <c r="T21" s="64"/>
      <c r="U21" s="345"/>
      <c r="W21" s="206">
        <f>Admin!B21</f>
        <v>44676</v>
      </c>
      <c r="X21" s="3">
        <f t="shared" si="0"/>
        <v>20</v>
      </c>
    </row>
    <row r="22" spans="1:24" ht="15" customHeight="1" x14ac:dyDescent="0.15">
      <c r="A22" s="12"/>
      <c r="B22" s="14"/>
      <c r="C22" s="14"/>
      <c r="D22" s="14"/>
      <c r="E22" s="14"/>
      <c r="F22" s="14"/>
      <c r="G22" s="14"/>
      <c r="H22" s="154"/>
      <c r="I22" s="14"/>
      <c r="J22" s="22"/>
      <c r="K22" s="85"/>
      <c r="L22" s="85"/>
      <c r="M22" s="85"/>
      <c r="N22" s="85"/>
      <c r="O22" s="85"/>
      <c r="P22" s="85"/>
      <c r="Q22" s="85"/>
      <c r="R22" s="53"/>
      <c r="S22" s="54"/>
      <c r="T22" s="15"/>
      <c r="U22" s="345"/>
      <c r="W22" s="206">
        <f>Admin!B22</f>
        <v>44677</v>
      </c>
      <c r="X22" s="3">
        <f t="shared" si="0"/>
        <v>21</v>
      </c>
    </row>
    <row r="23" spans="1:24" ht="13" thickBot="1" x14ac:dyDescent="0.2">
      <c r="A23" s="12"/>
      <c r="B23" s="14"/>
      <c r="C23" s="14"/>
      <c r="D23" s="50"/>
      <c r="E23" s="14"/>
      <c r="F23" s="29" t="s">
        <v>30</v>
      </c>
      <c r="G23" s="53"/>
      <c r="H23" s="14"/>
      <c r="I23" s="14"/>
      <c r="J23" s="22"/>
      <c r="K23" s="85"/>
      <c r="L23" s="85"/>
      <c r="M23" s="85"/>
      <c r="N23" s="85"/>
      <c r="O23" s="85"/>
      <c r="P23" s="85"/>
      <c r="Q23" s="85"/>
      <c r="R23" s="14"/>
      <c r="S23" s="85"/>
      <c r="T23" s="15"/>
      <c r="U23" s="345"/>
      <c r="W23" s="206">
        <f>Admin!B23</f>
        <v>44678</v>
      </c>
      <c r="X23" s="3">
        <f t="shared" si="0"/>
        <v>22</v>
      </c>
    </row>
    <row r="24" spans="1:24" ht="14" thickTop="1" thickBot="1" x14ac:dyDescent="0.2">
      <c r="A24" s="12"/>
      <c r="B24" s="14" t="str">
        <f>"Starting date (existing = " &amp; TEXT(M9,"dd/mm/yy") &amp; ")"</f>
        <v>Starting date (existing = 06/04/25)</v>
      </c>
      <c r="C24" s="14"/>
      <c r="D24" s="131"/>
      <c r="E24" s="14"/>
      <c r="F24" s="84" t="str">
        <f>IF(D24=0," ",IF(D28="W",LOOKUP(D24,Admin!B:B,Admin!C:C),IF(D28="M",LOOKUP(D24,Admin!B:B,Admin!D:D),LOOKUP(D24,Admin!B:B,Admin!C:C))))</f>
        <v xml:space="preserve"> </v>
      </c>
      <c r="G24" s="55"/>
      <c r="H24" s="14"/>
      <c r="I24" s="14"/>
      <c r="J24" s="22"/>
      <c r="K24" s="85"/>
      <c r="L24" s="85"/>
      <c r="M24" s="85"/>
      <c r="N24" s="85"/>
      <c r="O24" s="85"/>
      <c r="P24" s="85"/>
      <c r="Q24" s="85" t="str">
        <f>IF(O24&gt;0,"Enter Date"," ")</f>
        <v xml:space="preserve"> </v>
      </c>
      <c r="R24" s="17"/>
      <c r="S24" s="85" t="str">
        <f>IF(Q24=" "," ",IF(D28="W",LOOKUP(Q24,Admin!B:B,Admin!C:C),IF(D28="m",LOOKUP(Q24,Admin!B:B,Admin!D:D),"Check D28")))</f>
        <v xml:space="preserve"> </v>
      </c>
      <c r="T24" s="15"/>
      <c r="U24" s="345"/>
      <c r="W24" s="206">
        <f>Admin!B24</f>
        <v>44679</v>
      </c>
      <c r="X24" s="3">
        <f t="shared" si="0"/>
        <v>23</v>
      </c>
    </row>
    <row r="25" spans="1:24" ht="6" customHeight="1" thickTop="1" thickBot="1" x14ac:dyDescent="0.2">
      <c r="A25" s="12"/>
      <c r="B25" s="14"/>
      <c r="C25" s="14"/>
      <c r="D25" s="50"/>
      <c r="E25" s="14"/>
      <c r="F25" s="84"/>
      <c r="G25" s="55"/>
      <c r="H25" s="14"/>
      <c r="I25" s="298"/>
      <c r="J25" s="14"/>
      <c r="K25" s="85"/>
      <c r="L25" s="85"/>
      <c r="M25" s="85"/>
      <c r="N25" s="85"/>
      <c r="O25" s="85"/>
      <c r="P25" s="85"/>
      <c r="Q25" s="85"/>
      <c r="R25" s="17"/>
      <c r="S25" s="85"/>
      <c r="T25" s="15"/>
      <c r="U25" s="345"/>
      <c r="W25" s="206">
        <f>Admin!B25</f>
        <v>44680</v>
      </c>
      <c r="X25" s="3">
        <f t="shared" si="0"/>
        <v>24</v>
      </c>
    </row>
    <row r="26" spans="1:24" ht="14" thickTop="1" thickBot="1" x14ac:dyDescent="0.2">
      <c r="A26" s="12"/>
      <c r="B26" s="14" t="s">
        <v>68</v>
      </c>
      <c r="C26" s="14"/>
      <c r="D26" s="131"/>
      <c r="E26" s="14"/>
      <c r="F26" s="84" t="str">
        <f>IF(D24=0," ",IF(D26=0," ",IF(D28="W",LOOKUP(D26,Admin!B:B,Admin!C:C),IF(D28="M",LOOKUP(D26,Admin!B:B,Admin!D:D),LOOKUP(D26,Admin!B:B,Admin!C:C)))))</f>
        <v xml:space="preserve"> </v>
      </c>
      <c r="G26" s="55"/>
      <c r="H26" s="14"/>
      <c r="I26" s="14"/>
      <c r="J26" s="22"/>
      <c r="K26" s="85"/>
      <c r="L26" s="85"/>
      <c r="M26" s="85"/>
      <c r="N26" s="85"/>
      <c r="O26" s="85"/>
      <c r="P26" s="85"/>
      <c r="Q26" s="85"/>
      <c r="R26" s="53"/>
      <c r="S26" s="54"/>
      <c r="T26" s="15"/>
      <c r="U26" s="345"/>
      <c r="W26" s="206">
        <f>Admin!B26</f>
        <v>44681</v>
      </c>
      <c r="X26" s="3">
        <f t="shared" si="0"/>
        <v>25</v>
      </c>
    </row>
    <row r="27" spans="1:24" ht="14" thickTop="1" thickBot="1" x14ac:dyDescent="0.2">
      <c r="A27" s="12"/>
      <c r="B27" s="14"/>
      <c r="C27" s="14"/>
      <c r="D27" s="50"/>
      <c r="E27" s="14"/>
      <c r="F27" s="26"/>
      <c r="G27" s="26"/>
      <c r="H27" s="14"/>
      <c r="I27" s="14"/>
      <c r="J27" s="22"/>
      <c r="K27" s="85"/>
      <c r="L27" s="85"/>
      <c r="M27" s="85"/>
      <c r="N27" s="85"/>
      <c r="O27" s="85"/>
      <c r="P27" s="85"/>
      <c r="Q27" s="85" t="str">
        <f>IF(M27&gt;0,D24," ")</f>
        <v xml:space="preserve"> </v>
      </c>
      <c r="R27" s="17"/>
      <c r="S27" s="85" t="str">
        <f>IF(Q27=" "," ",IF(D28="W",LOOKUP(Q27,Admin!B:B,Admin!C:C),IF(D28="m",LOOKUP(Q27,Admin!B:B,Admin!D:D),"Check D28")))</f>
        <v xml:space="preserve"> </v>
      </c>
      <c r="T27" s="15"/>
      <c r="U27" s="345"/>
      <c r="W27" s="206">
        <f>Admin!B27</f>
        <v>44682</v>
      </c>
      <c r="X27" s="3">
        <f t="shared" si="0"/>
        <v>26</v>
      </c>
    </row>
    <row r="28" spans="1:24" ht="14" thickTop="1" thickBot="1" x14ac:dyDescent="0.2">
      <c r="A28" s="12"/>
      <c r="B28" s="14" t="s">
        <v>21</v>
      </c>
      <c r="C28" s="14"/>
      <c r="D28" s="71"/>
      <c r="E28" s="21" t="s">
        <v>29</v>
      </c>
      <c r="F28" s="176" t="str">
        <f>IF(D30="D","Enter M for Director","Enter M or W for Employee")</f>
        <v>Enter M or W for Employee</v>
      </c>
      <c r="G28" s="14"/>
      <c r="H28" s="16"/>
      <c r="I28" s="16"/>
      <c r="J28" s="22"/>
      <c r="K28" s="85"/>
      <c r="L28" s="85"/>
      <c r="M28" s="85"/>
      <c r="N28" s="85"/>
      <c r="O28" s="85"/>
      <c r="P28" s="85"/>
      <c r="Q28" s="85" t="str">
        <f>IF(M28&gt;0,"Enter Date"," ")</f>
        <v xml:space="preserve"> </v>
      </c>
      <c r="R28" s="17"/>
      <c r="S28" s="85" t="str">
        <f>IF(Q28=" "," ",IF(D28="W",LOOKUP(Q28,Admin!B:B,Admin!C:C),IF(D28="m",LOOKUP(Q28,Admin!B:B,Admin!D:D),"Check D28")))</f>
        <v xml:space="preserve"> </v>
      </c>
      <c r="T28" s="15"/>
      <c r="U28" s="345"/>
      <c r="W28" s="206">
        <f>Admin!B28</f>
        <v>44683</v>
      </c>
      <c r="X28" s="3">
        <f t="shared" si="0"/>
        <v>27</v>
      </c>
    </row>
    <row r="29" spans="1:24" ht="13" thickTop="1" x14ac:dyDescent="0.15">
      <c r="A29" s="12"/>
      <c r="B29" s="14" t="s">
        <v>16</v>
      </c>
      <c r="C29" s="14"/>
      <c r="D29" s="137">
        <v>1</v>
      </c>
      <c r="E29" s="18"/>
      <c r="F29" s="56"/>
      <c r="G29" s="21"/>
      <c r="H29" s="14"/>
      <c r="I29" s="14"/>
      <c r="J29" s="22"/>
      <c r="K29" s="85"/>
      <c r="L29" s="85"/>
      <c r="M29" s="85"/>
      <c r="N29" s="85"/>
      <c r="O29" s="85"/>
      <c r="P29" s="85"/>
      <c r="Q29" s="85" t="str">
        <f>IF(M29&gt;0,"Enter Date"," ")</f>
        <v xml:space="preserve"> </v>
      </c>
      <c r="R29" s="17"/>
      <c r="S29" s="85" t="str">
        <f>IF(Q29=" "," ",IF(D28="W",LOOKUP(Q29,Admin!B:B,Admin!C:C),IF(D28="m",LOOKUP(Q29,Admin!B:B,Admin!D:D),"Check D28")))</f>
        <v xml:space="preserve"> </v>
      </c>
      <c r="T29" s="15"/>
      <c r="U29" s="345"/>
      <c r="W29" s="206">
        <f>Admin!B29</f>
        <v>44684</v>
      </c>
      <c r="X29" s="3">
        <f t="shared" si="0"/>
        <v>28</v>
      </c>
    </row>
    <row r="30" spans="1:24" ht="13.5" customHeight="1" x14ac:dyDescent="0.15">
      <c r="A30" s="12"/>
      <c r="B30" s="14" t="s">
        <v>67</v>
      </c>
      <c r="C30" s="14"/>
      <c r="D30" s="199"/>
      <c r="E30" s="14"/>
      <c r="F30" s="175" t="s">
        <v>75</v>
      </c>
      <c r="G30" s="21"/>
      <c r="H30" s="14"/>
      <c r="I30" s="14"/>
      <c r="J30" s="22"/>
      <c r="K30" s="85"/>
      <c r="L30" s="85"/>
      <c r="M30" s="85"/>
      <c r="N30" s="85"/>
      <c r="O30" s="85"/>
      <c r="P30" s="85"/>
      <c r="Q30" s="85" t="str">
        <f>IF(M30&gt;0,"Enter Date"," ")</f>
        <v xml:space="preserve"> </v>
      </c>
      <c r="R30" s="17"/>
      <c r="S30" s="85" t="str">
        <f>IF(Q30=" "," ",IF(D28="W",LOOKUP(Q30,Admin!B:B,Admin!C:C),IF(D28="m",LOOKUP(Q30,Admin!B:B,Admin!D:D),"Check D28")))</f>
        <v xml:space="preserve"> </v>
      </c>
      <c r="T30" s="15"/>
      <c r="U30" s="345"/>
      <c r="W30" s="206">
        <f>Admin!B30</f>
        <v>44685</v>
      </c>
      <c r="X30" s="3">
        <f t="shared" si="0"/>
        <v>29</v>
      </c>
    </row>
    <row r="31" spans="1:24" ht="12" customHeight="1" x14ac:dyDescent="0.15">
      <c r="A31" s="12"/>
      <c r="B31" s="14"/>
      <c r="C31" s="14"/>
      <c r="D31" s="14"/>
      <c r="E31" s="14"/>
      <c r="F31" s="207"/>
      <c r="G31" s="207"/>
      <c r="H31" s="207"/>
      <c r="I31" s="14"/>
      <c r="J31" s="22"/>
      <c r="K31" s="85"/>
      <c r="L31" s="85"/>
      <c r="M31" s="85"/>
      <c r="N31" s="85"/>
      <c r="O31" s="85"/>
      <c r="P31" s="85"/>
      <c r="Q31" s="85"/>
      <c r="R31" s="14"/>
      <c r="S31" s="29"/>
      <c r="T31" s="15"/>
      <c r="U31" s="345"/>
      <c r="W31" s="206">
        <f>Admin!B31</f>
        <v>44686</v>
      </c>
      <c r="X31" s="3">
        <f t="shared" si="0"/>
        <v>30</v>
      </c>
    </row>
    <row r="32" spans="1:24" ht="6" customHeight="1" x14ac:dyDescent="0.15">
      <c r="A32" s="12"/>
      <c r="B32" s="14"/>
      <c r="C32" s="14"/>
      <c r="D32" s="14"/>
      <c r="E32" s="14"/>
      <c r="F32" s="208"/>
      <c r="G32" s="208"/>
      <c r="H32" s="208"/>
      <c r="I32" s="14"/>
      <c r="J32" s="22"/>
      <c r="K32" s="56"/>
      <c r="L32" s="56"/>
      <c r="M32" s="56"/>
      <c r="N32" s="56"/>
      <c r="O32" s="56"/>
      <c r="P32" s="149"/>
      <c r="Q32" s="56"/>
      <c r="R32" s="14"/>
      <c r="S32" s="29"/>
      <c r="T32" s="15"/>
      <c r="U32" s="345"/>
      <c r="W32" s="206">
        <f>Admin!B32</f>
        <v>44687</v>
      </c>
      <c r="X32" s="3">
        <f t="shared" si="0"/>
        <v>31</v>
      </c>
    </row>
    <row r="33" spans="1:24" ht="12" customHeight="1" x14ac:dyDescent="0.15">
      <c r="A33" s="12"/>
      <c r="B33" s="85"/>
      <c r="C33" s="85"/>
      <c r="D33" s="85"/>
      <c r="E33" s="85"/>
      <c r="F33" s="85"/>
      <c r="G33" s="85"/>
      <c r="H33" s="85"/>
      <c r="I33" s="14"/>
      <c r="J33" s="22"/>
      <c r="K33" s="85"/>
      <c r="L33" s="85"/>
      <c r="M33" s="85"/>
      <c r="N33" s="85"/>
      <c r="O33" s="85"/>
      <c r="P33" s="85"/>
      <c r="Q33" s="85"/>
      <c r="R33" s="85"/>
      <c r="S33" s="85"/>
      <c r="T33" s="15"/>
      <c r="U33" s="345"/>
      <c r="W33" s="206">
        <f>Admin!B33</f>
        <v>44688</v>
      </c>
      <c r="X33" s="3">
        <f t="shared" si="0"/>
        <v>32</v>
      </c>
    </row>
    <row r="34" spans="1:24" x14ac:dyDescent="0.15">
      <c r="A34" s="12"/>
      <c r="B34" s="85"/>
      <c r="C34" s="85"/>
      <c r="D34" s="85"/>
      <c r="E34" s="85"/>
      <c r="F34" s="85"/>
      <c r="G34" s="85"/>
      <c r="H34" s="85"/>
      <c r="I34" s="14"/>
      <c r="J34" s="22"/>
      <c r="K34" s="85"/>
      <c r="L34" s="85"/>
      <c r="M34" s="85"/>
      <c r="N34" s="85"/>
      <c r="O34" s="85"/>
      <c r="P34" s="85"/>
      <c r="Q34" s="85" t="str">
        <f>IF(O34="Y","Enter Date"," ")</f>
        <v xml:space="preserve"> </v>
      </c>
      <c r="R34" s="85"/>
      <c r="S34" s="85"/>
      <c r="T34" s="15"/>
      <c r="U34" s="345"/>
      <c r="W34" s="206">
        <f>Admin!B34</f>
        <v>44689</v>
      </c>
      <c r="X34" s="3">
        <f t="shared" si="0"/>
        <v>33</v>
      </c>
    </row>
    <row r="35" spans="1:24" ht="13.5" customHeight="1" x14ac:dyDescent="0.15">
      <c r="A35" s="12"/>
      <c r="B35" s="85"/>
      <c r="C35" s="85"/>
      <c r="D35" s="85"/>
      <c r="E35" s="85"/>
      <c r="F35" s="85"/>
      <c r="G35" s="85"/>
      <c r="H35" s="85"/>
      <c r="I35" s="14"/>
      <c r="J35" s="22"/>
      <c r="K35" s="85"/>
      <c r="L35" s="85"/>
      <c r="M35" s="85"/>
      <c r="N35" s="85"/>
      <c r="O35" s="85"/>
      <c r="P35" s="85"/>
      <c r="Q35" s="85"/>
      <c r="R35" s="85"/>
      <c r="S35" s="85"/>
      <c r="T35" s="15"/>
      <c r="U35" s="345"/>
      <c r="W35" s="206">
        <f>Admin!B35</f>
        <v>44690</v>
      </c>
      <c r="X35" s="3">
        <f t="shared" si="0"/>
        <v>34</v>
      </c>
    </row>
    <row r="36" spans="1:24" ht="9" customHeight="1" thickBot="1" x14ac:dyDescent="0.2">
      <c r="A36" s="65"/>
      <c r="B36" s="19"/>
      <c r="C36" s="19"/>
      <c r="D36" s="19"/>
      <c r="E36" s="19"/>
      <c r="F36" s="19"/>
      <c r="G36" s="19"/>
      <c r="H36" s="19"/>
      <c r="I36" s="19"/>
      <c r="J36" s="23"/>
      <c r="K36" s="19"/>
      <c r="L36" s="19"/>
      <c r="M36" s="19"/>
      <c r="N36" s="19"/>
      <c r="O36" s="19"/>
      <c r="P36" s="150"/>
      <c r="Q36" s="19"/>
      <c r="R36" s="19"/>
      <c r="S36" s="19"/>
      <c r="T36" s="25"/>
      <c r="U36" s="345"/>
      <c r="W36" s="206">
        <f>Admin!B36</f>
        <v>44691</v>
      </c>
      <c r="X36" s="3">
        <f t="shared" si="0"/>
        <v>35</v>
      </c>
    </row>
    <row r="37" spans="1:24" ht="22.5" customHeight="1" thickBot="1" x14ac:dyDescent="0.2">
      <c r="A37" s="342"/>
      <c r="B37" s="342"/>
      <c r="C37" s="342"/>
      <c r="D37" s="342"/>
      <c r="E37" s="342"/>
      <c r="F37" s="342"/>
      <c r="G37" s="342"/>
      <c r="H37" s="342"/>
      <c r="I37" s="342"/>
      <c r="J37" s="342"/>
      <c r="K37" s="342"/>
      <c r="L37" s="342"/>
      <c r="M37" s="342"/>
      <c r="N37" s="342"/>
      <c r="O37" s="342"/>
      <c r="P37" s="342"/>
      <c r="Q37" s="342"/>
      <c r="R37" s="342"/>
      <c r="S37" s="342"/>
      <c r="T37" s="342"/>
      <c r="U37" s="341"/>
      <c r="W37" s="206">
        <f>Admin!B37</f>
        <v>44692</v>
      </c>
      <c r="X37" s="3">
        <f t="shared" si="0"/>
        <v>36</v>
      </c>
    </row>
    <row r="38" spans="1:24" ht="9" customHeight="1" thickBot="1" x14ac:dyDescent="0.2">
      <c r="A38" s="9"/>
      <c r="B38" s="10"/>
      <c r="C38" s="10"/>
      <c r="D38" s="10"/>
      <c r="E38" s="10"/>
      <c r="F38" s="10"/>
      <c r="G38" s="10"/>
      <c r="H38" s="10"/>
      <c r="I38" s="10"/>
      <c r="J38" s="63"/>
      <c r="K38" s="10"/>
      <c r="L38" s="10"/>
      <c r="M38" s="10"/>
      <c r="N38" s="10"/>
      <c r="O38" s="10"/>
      <c r="P38" s="147"/>
      <c r="Q38" s="10"/>
      <c r="R38" s="10"/>
      <c r="S38" s="10"/>
      <c r="T38" s="11"/>
      <c r="U38" s="341"/>
      <c r="W38" s="206">
        <f>Admin!B38</f>
        <v>44693</v>
      </c>
      <c r="X38" s="3">
        <f t="shared" si="0"/>
        <v>37</v>
      </c>
    </row>
    <row r="39" spans="1:24" ht="15" customHeight="1" thickTop="1" thickBot="1" x14ac:dyDescent="0.2">
      <c r="A39" s="12"/>
      <c r="B39" s="83" t="s">
        <v>34</v>
      </c>
      <c r="C39" s="52"/>
      <c r="D39" s="14"/>
      <c r="E39" s="14"/>
      <c r="F39" s="14"/>
      <c r="G39" s="14"/>
      <c r="H39" s="338" t="s">
        <v>50</v>
      </c>
      <c r="I39" s="14"/>
      <c r="J39" s="22"/>
      <c r="K39" s="83" t="s">
        <v>20</v>
      </c>
      <c r="L39" s="52"/>
      <c r="M39" s="70"/>
      <c r="N39" s="13"/>
      <c r="O39" s="343"/>
      <c r="P39" s="344"/>
      <c r="Q39" s="340"/>
      <c r="R39" s="53"/>
      <c r="S39" s="330"/>
      <c r="T39" s="15"/>
      <c r="U39" s="341"/>
      <c r="W39" s="206">
        <f>Admin!B39</f>
        <v>44694</v>
      </c>
      <c r="X39" s="3">
        <f t="shared" si="0"/>
        <v>38</v>
      </c>
    </row>
    <row r="40" spans="1:24" ht="6" customHeight="1" thickTop="1" thickBot="1" x14ac:dyDescent="0.2">
      <c r="A40" s="12"/>
      <c r="B40" s="52"/>
      <c r="C40" s="52"/>
      <c r="D40" s="14"/>
      <c r="E40" s="14"/>
      <c r="F40" s="14"/>
      <c r="G40" s="14"/>
      <c r="H40" s="338"/>
      <c r="I40" s="14"/>
      <c r="J40" s="22"/>
      <c r="K40" s="52"/>
      <c r="L40" s="52"/>
      <c r="M40" s="70"/>
      <c r="N40" s="13"/>
      <c r="O40" s="14"/>
      <c r="P40" s="148"/>
      <c r="Q40" s="341"/>
      <c r="R40" s="14"/>
      <c r="S40" s="331"/>
      <c r="T40" s="15"/>
      <c r="U40" s="341"/>
      <c r="W40" s="206">
        <f>Admin!B40</f>
        <v>44695</v>
      </c>
      <c r="X40" s="3">
        <f t="shared" si="0"/>
        <v>39</v>
      </c>
    </row>
    <row r="41" spans="1:24" ht="15" thickTop="1" thickBot="1" x14ac:dyDescent="0.2">
      <c r="A41" s="12"/>
      <c r="B41" s="14" t="s">
        <v>11</v>
      </c>
      <c r="C41" s="14"/>
      <c r="D41" s="332"/>
      <c r="E41" s="333"/>
      <c r="F41" s="334"/>
      <c r="G41" s="14"/>
      <c r="H41" s="21" t="s">
        <v>51</v>
      </c>
      <c r="I41" s="14"/>
      <c r="J41" s="51"/>
      <c r="K41" s="14" t="s">
        <v>17</v>
      </c>
      <c r="L41" s="14"/>
      <c r="M41" s="335"/>
      <c r="N41" s="336"/>
      <c r="O41" s="337"/>
      <c r="P41" s="148"/>
      <c r="Q41" s="138"/>
      <c r="R41" s="136"/>
      <c r="S41" s="139"/>
      <c r="T41" s="15"/>
      <c r="U41" s="341"/>
      <c r="W41" s="206">
        <f>Admin!B41</f>
        <v>44696</v>
      </c>
      <c r="X41" s="3">
        <f t="shared" si="0"/>
        <v>40</v>
      </c>
    </row>
    <row r="42" spans="1:24" ht="14" thickTop="1" thickBot="1" x14ac:dyDescent="0.2">
      <c r="A42" s="12"/>
      <c r="B42" s="14" t="s">
        <v>12</v>
      </c>
      <c r="C42" s="14"/>
      <c r="D42" s="332"/>
      <c r="E42" s="333"/>
      <c r="F42" s="334"/>
      <c r="G42" s="14"/>
      <c r="H42" s="152"/>
      <c r="I42" s="14"/>
      <c r="J42" s="22"/>
      <c r="K42" s="14"/>
      <c r="L42" s="14"/>
      <c r="M42" s="14"/>
      <c r="N42" s="14"/>
      <c r="O42" s="29"/>
      <c r="P42" s="155"/>
      <c r="Q42" s="29"/>
      <c r="R42" s="21"/>
      <c r="S42" s="29"/>
      <c r="T42" s="15"/>
      <c r="U42" s="341"/>
      <c r="W42" s="206">
        <f>Admin!B42</f>
        <v>44697</v>
      </c>
      <c r="X42" s="3">
        <f t="shared" si="0"/>
        <v>41</v>
      </c>
    </row>
    <row r="43" spans="1:24" ht="13" thickTop="1" x14ac:dyDescent="0.15">
      <c r="A43" s="12"/>
      <c r="B43" s="14"/>
      <c r="C43" s="14"/>
      <c r="D43" s="85"/>
      <c r="E43" s="85"/>
      <c r="F43" s="85"/>
      <c r="G43" s="14"/>
      <c r="H43" s="21" t="s">
        <v>52</v>
      </c>
      <c r="I43" s="14"/>
      <c r="J43" s="22"/>
      <c r="K43" s="85"/>
      <c r="L43" s="85"/>
      <c r="M43" s="85"/>
      <c r="N43" s="85"/>
      <c r="O43" s="85"/>
      <c r="P43" s="85"/>
      <c r="Q43" s="85"/>
      <c r="R43" s="85"/>
      <c r="S43" s="85"/>
      <c r="T43" s="15"/>
      <c r="U43" s="341"/>
      <c r="W43" s="206">
        <f>Admin!B43</f>
        <v>44698</v>
      </c>
      <c r="X43" s="3">
        <f t="shared" si="0"/>
        <v>42</v>
      </c>
    </row>
    <row r="44" spans="1:24" x14ac:dyDescent="0.15">
      <c r="A44" s="12"/>
      <c r="B44" s="14"/>
      <c r="C44" s="14"/>
      <c r="D44" s="85"/>
      <c r="E44" s="85"/>
      <c r="F44" s="85"/>
      <c r="G44" s="14"/>
      <c r="H44" s="153"/>
      <c r="I44" s="14"/>
      <c r="J44" s="22"/>
      <c r="K44" s="85"/>
      <c r="L44" s="85"/>
      <c r="M44" s="85"/>
      <c r="N44" s="85"/>
      <c r="O44" s="85"/>
      <c r="P44" s="85"/>
      <c r="Q44" s="85"/>
      <c r="R44" s="85"/>
      <c r="S44" s="85"/>
      <c r="T44" s="15"/>
      <c r="U44" s="341"/>
      <c r="W44" s="206">
        <f>Admin!B44</f>
        <v>44699</v>
      </c>
      <c r="X44" s="3">
        <f t="shared" si="0"/>
        <v>43</v>
      </c>
    </row>
    <row r="45" spans="1:24" x14ac:dyDescent="0.15">
      <c r="A45" s="12"/>
      <c r="B45" s="14"/>
      <c r="C45" s="14"/>
      <c r="D45" s="85"/>
      <c r="E45" s="85"/>
      <c r="F45" s="85"/>
      <c r="G45" s="14"/>
      <c r="H45" s="21" t="s">
        <v>53</v>
      </c>
      <c r="I45" s="14"/>
      <c r="J45" s="22"/>
      <c r="K45" s="85"/>
      <c r="L45" s="85"/>
      <c r="M45" s="85"/>
      <c r="N45" s="85"/>
      <c r="O45" s="85"/>
      <c r="P45" s="85"/>
      <c r="Q45" s="85"/>
      <c r="R45" s="85"/>
      <c r="S45" s="85"/>
      <c r="T45" s="15"/>
      <c r="U45" s="341"/>
      <c r="W45" s="206">
        <f>Admin!B45</f>
        <v>44700</v>
      </c>
      <c r="X45" s="3">
        <f t="shared" si="0"/>
        <v>44</v>
      </c>
    </row>
    <row r="46" spans="1:24" x14ac:dyDescent="0.15">
      <c r="A46" s="12"/>
      <c r="B46" s="14"/>
      <c r="C46" s="14"/>
      <c r="D46" s="85"/>
      <c r="E46" s="85"/>
      <c r="F46" s="85"/>
      <c r="G46" s="14"/>
      <c r="H46" s="152"/>
      <c r="I46" s="14"/>
      <c r="J46" s="22"/>
      <c r="K46" s="85"/>
      <c r="L46" s="85"/>
      <c r="M46" s="85"/>
      <c r="N46" s="85"/>
      <c r="O46" s="85"/>
      <c r="P46" s="85"/>
      <c r="Q46" s="85"/>
      <c r="R46" s="85"/>
      <c r="S46" s="85"/>
      <c r="T46" s="15"/>
      <c r="U46" s="341"/>
      <c r="W46" s="206">
        <f>Admin!B46</f>
        <v>44701</v>
      </c>
      <c r="X46" s="3">
        <f t="shared" si="0"/>
        <v>45</v>
      </c>
    </row>
    <row r="47" spans="1:24" ht="12" customHeight="1" x14ac:dyDescent="0.15">
      <c r="A47" s="12"/>
      <c r="B47" s="14"/>
      <c r="C47" s="14"/>
      <c r="D47" s="85"/>
      <c r="E47" s="85"/>
      <c r="F47" s="85"/>
      <c r="G47" s="14"/>
      <c r="H47" s="21" t="s">
        <v>54</v>
      </c>
      <c r="I47" s="14"/>
      <c r="J47" s="22"/>
      <c r="K47" s="85"/>
      <c r="L47" s="85"/>
      <c r="M47" s="85"/>
      <c r="N47" s="85"/>
      <c r="O47" s="85"/>
      <c r="P47" s="85"/>
      <c r="Q47" s="85"/>
      <c r="R47" s="85"/>
      <c r="S47" s="85"/>
      <c r="T47" s="64"/>
      <c r="U47" s="341"/>
      <c r="W47" s="206">
        <f>Admin!B47</f>
        <v>44702</v>
      </c>
      <c r="X47" s="3">
        <f t="shared" si="0"/>
        <v>46</v>
      </c>
    </row>
    <row r="48" spans="1:24" ht="15" customHeight="1" x14ac:dyDescent="0.15">
      <c r="A48" s="12"/>
      <c r="B48" s="14"/>
      <c r="C48" s="14"/>
      <c r="D48" s="14"/>
      <c r="E48" s="85"/>
      <c r="F48" s="85"/>
      <c r="G48" s="14"/>
      <c r="H48" s="154"/>
      <c r="I48" s="14"/>
      <c r="J48" s="22"/>
      <c r="K48" s="85"/>
      <c r="L48" s="85"/>
      <c r="M48" s="85"/>
      <c r="N48" s="85"/>
      <c r="O48" s="85"/>
      <c r="P48" s="85"/>
      <c r="Q48" s="85"/>
      <c r="R48" s="85"/>
      <c r="S48" s="85"/>
      <c r="T48" s="15"/>
      <c r="U48" s="341"/>
      <c r="W48" s="206">
        <f>Admin!B48</f>
        <v>44703</v>
      </c>
      <c r="X48" s="3">
        <f t="shared" si="0"/>
        <v>47</v>
      </c>
    </row>
    <row r="49" spans="1:24" ht="13" thickBot="1" x14ac:dyDescent="0.2">
      <c r="A49" s="12"/>
      <c r="B49" s="14"/>
      <c r="C49" s="14"/>
      <c r="D49" s="50"/>
      <c r="E49" s="14"/>
      <c r="F49" s="29" t="s">
        <v>30</v>
      </c>
      <c r="G49" s="53"/>
      <c r="H49" s="14"/>
      <c r="I49" s="14"/>
      <c r="J49" s="22"/>
      <c r="K49" s="85"/>
      <c r="L49" s="85"/>
      <c r="M49" s="85"/>
      <c r="N49" s="85"/>
      <c r="O49" s="85"/>
      <c r="P49" s="85"/>
      <c r="Q49" s="85"/>
      <c r="R49" s="85"/>
      <c r="S49" s="85"/>
      <c r="T49" s="15"/>
      <c r="U49" s="341"/>
      <c r="W49" s="206">
        <f>Admin!B49</f>
        <v>44704</v>
      </c>
      <c r="X49" s="3">
        <f t="shared" si="0"/>
        <v>48</v>
      </c>
    </row>
    <row r="50" spans="1:24" ht="14" thickTop="1" thickBot="1" x14ac:dyDescent="0.2">
      <c r="A50" s="12"/>
      <c r="B50" s="14" t="str">
        <f>B24</f>
        <v>Starting date (existing = 06/04/25)</v>
      </c>
      <c r="C50" s="14"/>
      <c r="D50" s="131"/>
      <c r="E50" s="14"/>
      <c r="F50" s="84" t="str">
        <f>IF(D50=0," ",IF(D54="W",LOOKUP(D50,Admin!B:B,Admin!C:C),IF(D54="M",LOOKUP(D50,Admin!B:B,Admin!D:D),LOOKUP(D50,Admin!B:B,Admin!C:C))))</f>
        <v xml:space="preserve"> </v>
      </c>
      <c r="G50" s="55"/>
      <c r="H50" s="14"/>
      <c r="I50" s="14"/>
      <c r="J50" s="22"/>
      <c r="K50" s="85"/>
      <c r="L50" s="85"/>
      <c r="M50" s="85"/>
      <c r="N50" s="85"/>
      <c r="O50" s="85"/>
      <c r="P50" s="85"/>
      <c r="Q50" s="85"/>
      <c r="R50" s="85"/>
      <c r="S50" s="85"/>
      <c r="T50" s="15"/>
      <c r="U50" s="341"/>
      <c r="W50" s="206">
        <f>Admin!B50</f>
        <v>44705</v>
      </c>
      <c r="X50" s="3">
        <f t="shared" si="0"/>
        <v>49</v>
      </c>
    </row>
    <row r="51" spans="1:24" ht="6" customHeight="1" thickTop="1" thickBot="1" x14ac:dyDescent="0.2">
      <c r="A51" s="12"/>
      <c r="B51" s="14"/>
      <c r="C51" s="14"/>
      <c r="D51" s="50"/>
      <c r="E51" s="14"/>
      <c r="F51" s="84"/>
      <c r="G51" s="55"/>
      <c r="H51" s="14"/>
      <c r="I51" s="298"/>
      <c r="J51" s="14"/>
      <c r="K51" s="85"/>
      <c r="L51" s="85"/>
      <c r="M51" s="85"/>
      <c r="N51" s="85"/>
      <c r="O51" s="85"/>
      <c r="P51" s="85"/>
      <c r="Q51" s="85"/>
      <c r="R51" s="85"/>
      <c r="S51" s="85"/>
      <c r="T51" s="15"/>
      <c r="U51" s="341"/>
      <c r="W51" s="206">
        <f>Admin!B51</f>
        <v>44706</v>
      </c>
      <c r="X51" s="3">
        <f t="shared" si="0"/>
        <v>50</v>
      </c>
    </row>
    <row r="52" spans="1:24" ht="14.25" customHeight="1" thickTop="1" thickBot="1" x14ac:dyDescent="0.2">
      <c r="A52" s="12"/>
      <c r="B52" s="14" t="s">
        <v>68</v>
      </c>
      <c r="C52" s="14"/>
      <c r="D52" s="131"/>
      <c r="E52" s="14"/>
      <c r="F52" s="84" t="str">
        <f>IF(D50=0," ",IF(D52=0," ",IF(D54="W",LOOKUP(D52,Admin!B:B,Admin!C:C),IF(D54="M",LOOKUP(D52,Admin!B:B,Admin!D:D),LOOKUP(D52,Admin!B:B,Admin!C:C)))))</f>
        <v xml:space="preserve"> </v>
      </c>
      <c r="G52" s="55"/>
      <c r="H52" s="14"/>
      <c r="I52" s="14"/>
      <c r="J52" s="22"/>
      <c r="K52" s="85"/>
      <c r="L52" s="85"/>
      <c r="M52" s="85"/>
      <c r="N52" s="85"/>
      <c r="O52" s="85"/>
      <c r="P52" s="85"/>
      <c r="Q52" s="85"/>
      <c r="R52" s="85"/>
      <c r="S52" s="85"/>
      <c r="T52" s="15"/>
      <c r="U52" s="341"/>
      <c r="W52" s="206">
        <f>Admin!B52</f>
        <v>44707</v>
      </c>
      <c r="X52" s="3">
        <f t="shared" si="0"/>
        <v>51</v>
      </c>
    </row>
    <row r="53" spans="1:24" ht="14" thickTop="1" thickBot="1" x14ac:dyDescent="0.2">
      <c r="A53" s="12"/>
      <c r="B53" s="14"/>
      <c r="C53" s="14"/>
      <c r="D53" s="50"/>
      <c r="E53" s="14"/>
      <c r="F53" s="26"/>
      <c r="G53" s="26"/>
      <c r="H53" s="14"/>
      <c r="I53" s="14"/>
      <c r="J53" s="22"/>
      <c r="K53" s="85"/>
      <c r="L53" s="85"/>
      <c r="M53" s="85"/>
      <c r="N53" s="85"/>
      <c r="O53" s="85"/>
      <c r="P53" s="85"/>
      <c r="Q53" s="85"/>
      <c r="R53" s="85"/>
      <c r="S53" s="85"/>
      <c r="T53" s="15"/>
      <c r="U53" s="341"/>
      <c r="W53" s="206">
        <f>Admin!B53</f>
        <v>44708</v>
      </c>
      <c r="X53" s="3">
        <f t="shared" si="0"/>
        <v>52</v>
      </c>
    </row>
    <row r="54" spans="1:24" ht="14" thickTop="1" thickBot="1" x14ac:dyDescent="0.2">
      <c r="A54" s="12"/>
      <c r="B54" s="14" t="s">
        <v>21</v>
      </c>
      <c r="C54" s="14"/>
      <c r="D54" s="71"/>
      <c r="E54" s="21" t="s">
        <v>29</v>
      </c>
      <c r="F54" s="176" t="str">
        <f>IF(D56="D","Enter M for Director","Enter M or W for Employee")</f>
        <v>Enter M or W for Employee</v>
      </c>
      <c r="G54" s="14"/>
      <c r="H54" s="16"/>
      <c r="I54" s="16"/>
      <c r="J54" s="22"/>
      <c r="K54" s="85"/>
      <c r="L54" s="85"/>
      <c r="M54" s="85"/>
      <c r="N54" s="85"/>
      <c r="O54" s="85"/>
      <c r="P54" s="85"/>
      <c r="Q54" s="85"/>
      <c r="R54" s="85"/>
      <c r="S54" s="85"/>
      <c r="T54" s="15"/>
      <c r="U54" s="341"/>
      <c r="W54" s="206">
        <f>Admin!B54</f>
        <v>44709</v>
      </c>
      <c r="X54" s="3">
        <v>53</v>
      </c>
    </row>
    <row r="55" spans="1:24" ht="13" thickTop="1" x14ac:dyDescent="0.15">
      <c r="A55" s="12"/>
      <c r="B55" s="14" t="s">
        <v>16</v>
      </c>
      <c r="C55" s="14"/>
      <c r="D55" s="137">
        <v>2</v>
      </c>
      <c r="E55" s="18"/>
      <c r="F55" s="56"/>
      <c r="G55" s="21"/>
      <c r="H55" s="14"/>
      <c r="I55" s="14"/>
      <c r="J55" s="22"/>
      <c r="K55" s="85"/>
      <c r="L55" s="85"/>
      <c r="M55" s="85"/>
      <c r="N55" s="85"/>
      <c r="O55" s="85"/>
      <c r="P55" s="85"/>
      <c r="Q55" s="85"/>
      <c r="R55" s="85"/>
      <c r="S55" s="85"/>
      <c r="T55" s="15"/>
      <c r="U55" s="341"/>
      <c r="W55" s="206">
        <f>Admin!B55</f>
        <v>44710</v>
      </c>
    </row>
    <row r="56" spans="1:24" x14ac:dyDescent="0.15">
      <c r="A56" s="12"/>
      <c r="B56" s="14" t="s">
        <v>67</v>
      </c>
      <c r="C56" s="14"/>
      <c r="D56" s="199"/>
      <c r="E56" s="14"/>
      <c r="F56" s="175" t="s">
        <v>75</v>
      </c>
      <c r="G56" s="21"/>
      <c r="H56" s="14"/>
      <c r="I56" s="14"/>
      <c r="J56" s="22"/>
      <c r="K56" s="85"/>
      <c r="L56" s="85"/>
      <c r="M56" s="85"/>
      <c r="N56" s="85"/>
      <c r="O56" s="85"/>
      <c r="P56" s="85"/>
      <c r="Q56" s="85"/>
      <c r="R56" s="85"/>
      <c r="S56" s="85"/>
      <c r="T56" s="15"/>
      <c r="U56" s="341"/>
      <c r="W56" s="206">
        <f>Admin!B56</f>
        <v>44711</v>
      </c>
    </row>
    <row r="57" spans="1:24" ht="12" customHeight="1" x14ac:dyDescent="0.15">
      <c r="A57" s="12"/>
      <c r="B57" s="14"/>
      <c r="C57" s="14"/>
      <c r="D57" s="14"/>
      <c r="E57" s="14"/>
      <c r="F57" s="207"/>
      <c r="G57" s="207"/>
      <c r="H57" s="207"/>
      <c r="I57" s="14"/>
      <c r="J57" s="22"/>
      <c r="K57" s="85"/>
      <c r="L57" s="85"/>
      <c r="M57" s="85"/>
      <c r="N57" s="85"/>
      <c r="O57" s="85"/>
      <c r="P57" s="85"/>
      <c r="Q57" s="85"/>
      <c r="R57" s="85"/>
      <c r="S57" s="85"/>
      <c r="T57" s="15"/>
      <c r="U57" s="341"/>
      <c r="W57" s="206">
        <f>Admin!B57</f>
        <v>44712</v>
      </c>
    </row>
    <row r="58" spans="1:24" ht="6" customHeight="1" x14ac:dyDescent="0.15">
      <c r="A58" s="12"/>
      <c r="B58" s="14"/>
      <c r="C58" s="14"/>
      <c r="D58" s="14"/>
      <c r="E58" s="14"/>
      <c r="F58" s="208"/>
      <c r="G58" s="208"/>
      <c r="H58" s="208"/>
      <c r="I58" s="14"/>
      <c r="J58" s="22"/>
      <c r="K58" s="85"/>
      <c r="L58" s="85"/>
      <c r="M58" s="85"/>
      <c r="N58" s="85"/>
      <c r="O58" s="85"/>
      <c r="P58" s="85"/>
      <c r="Q58" s="85"/>
      <c r="R58" s="85"/>
      <c r="S58" s="85"/>
      <c r="T58" s="15"/>
      <c r="U58" s="341"/>
      <c r="W58" s="206">
        <f>Admin!B58</f>
        <v>44713</v>
      </c>
    </row>
    <row r="59" spans="1:24" ht="12" customHeight="1" x14ac:dyDescent="0.15">
      <c r="A59" s="12"/>
      <c r="B59" s="85"/>
      <c r="C59" s="85"/>
      <c r="D59" s="85"/>
      <c r="E59" s="85"/>
      <c r="F59" s="85"/>
      <c r="G59" s="85"/>
      <c r="H59" s="85"/>
      <c r="I59" s="14"/>
      <c r="J59" s="22"/>
      <c r="K59" s="85"/>
      <c r="L59" s="85"/>
      <c r="M59" s="85"/>
      <c r="N59" s="85"/>
      <c r="O59" s="85"/>
      <c r="P59" s="85"/>
      <c r="Q59" s="85"/>
      <c r="R59" s="85"/>
      <c r="S59" s="85"/>
      <c r="T59" s="15"/>
      <c r="U59" s="341"/>
      <c r="W59" s="206">
        <f>Admin!B59</f>
        <v>44714</v>
      </c>
    </row>
    <row r="60" spans="1:24" x14ac:dyDescent="0.15">
      <c r="A60" s="12"/>
      <c r="B60" s="85"/>
      <c r="C60" s="85"/>
      <c r="D60" s="85"/>
      <c r="E60" s="85"/>
      <c r="F60" s="85"/>
      <c r="G60" s="85"/>
      <c r="H60" s="85"/>
      <c r="I60" s="14"/>
      <c r="J60" s="22"/>
      <c r="K60" s="85"/>
      <c r="L60" s="85"/>
      <c r="M60" s="85"/>
      <c r="N60" s="85"/>
      <c r="O60" s="85"/>
      <c r="P60" s="85"/>
      <c r="Q60" s="85"/>
      <c r="R60" s="85"/>
      <c r="S60" s="85"/>
      <c r="T60" s="15"/>
      <c r="U60" s="341"/>
      <c r="W60" s="206">
        <f>Admin!B60</f>
        <v>44715</v>
      </c>
    </row>
    <row r="61" spans="1:24" ht="13.5" customHeight="1" x14ac:dyDescent="0.15">
      <c r="A61" s="12"/>
      <c r="B61" s="85"/>
      <c r="C61" s="85"/>
      <c r="D61" s="85"/>
      <c r="E61" s="85"/>
      <c r="F61" s="85"/>
      <c r="G61" s="85"/>
      <c r="H61" s="85"/>
      <c r="I61" s="14"/>
      <c r="J61" s="22"/>
      <c r="K61" s="338"/>
      <c r="L61" s="338"/>
      <c r="M61" s="339"/>
      <c r="N61" s="339"/>
      <c r="O61" s="339"/>
      <c r="P61" s="339"/>
      <c r="Q61" s="339"/>
      <c r="R61" s="339"/>
      <c r="S61" s="339"/>
      <c r="T61" s="15"/>
      <c r="U61" s="341"/>
      <c r="W61" s="206">
        <f>Admin!B61</f>
        <v>44716</v>
      </c>
    </row>
    <row r="62" spans="1:24" ht="9" customHeight="1" thickBot="1" x14ac:dyDescent="0.2">
      <c r="A62" s="65"/>
      <c r="B62" s="19"/>
      <c r="C62" s="19"/>
      <c r="D62" s="19"/>
      <c r="E62" s="19"/>
      <c r="F62" s="19"/>
      <c r="G62" s="19"/>
      <c r="H62" s="19"/>
      <c r="I62" s="19"/>
      <c r="J62" s="23"/>
      <c r="K62" s="19"/>
      <c r="L62" s="19"/>
      <c r="M62" s="19"/>
      <c r="N62" s="19"/>
      <c r="O62" s="19"/>
      <c r="P62" s="150"/>
      <c r="Q62" s="19"/>
      <c r="R62" s="19"/>
      <c r="S62" s="19"/>
      <c r="T62" s="25"/>
      <c r="U62" s="341"/>
      <c r="W62" s="206">
        <f>Admin!B62</f>
        <v>44717</v>
      </c>
    </row>
    <row r="63" spans="1:24" ht="22.5" customHeight="1" thickBot="1" x14ac:dyDescent="0.2">
      <c r="A63" s="342"/>
      <c r="B63" s="342"/>
      <c r="C63" s="342"/>
      <c r="D63" s="342"/>
      <c r="E63" s="342"/>
      <c r="F63" s="342"/>
      <c r="G63" s="342"/>
      <c r="H63" s="342"/>
      <c r="I63" s="342"/>
      <c r="J63" s="342"/>
      <c r="K63" s="342"/>
      <c r="L63" s="342"/>
      <c r="M63" s="342"/>
      <c r="N63" s="342"/>
      <c r="O63" s="342"/>
      <c r="P63" s="342"/>
      <c r="Q63" s="342"/>
      <c r="R63" s="342"/>
      <c r="S63" s="342"/>
      <c r="T63" s="342"/>
      <c r="U63" s="341"/>
      <c r="W63" s="206">
        <f>Admin!B63</f>
        <v>44718</v>
      </c>
    </row>
    <row r="64" spans="1:24" ht="9" customHeight="1" thickBot="1" x14ac:dyDescent="0.2">
      <c r="A64" s="9"/>
      <c r="B64" s="10"/>
      <c r="C64" s="10"/>
      <c r="D64" s="10"/>
      <c r="E64" s="10"/>
      <c r="F64" s="10"/>
      <c r="G64" s="10"/>
      <c r="H64" s="10"/>
      <c r="I64" s="10"/>
      <c r="J64" s="63"/>
      <c r="K64" s="10"/>
      <c r="L64" s="10"/>
      <c r="M64" s="10"/>
      <c r="N64" s="10"/>
      <c r="O64" s="10"/>
      <c r="P64" s="147"/>
      <c r="Q64" s="10"/>
      <c r="R64" s="10"/>
      <c r="S64" s="10"/>
      <c r="T64" s="11"/>
      <c r="U64" s="341"/>
      <c r="W64" s="206">
        <f>Admin!B64</f>
        <v>44719</v>
      </c>
    </row>
    <row r="65" spans="1:23" ht="15" customHeight="1" thickTop="1" thickBot="1" x14ac:dyDescent="0.2">
      <c r="A65" s="12"/>
      <c r="B65" s="83" t="s">
        <v>35</v>
      </c>
      <c r="C65" s="52"/>
      <c r="D65" s="14"/>
      <c r="E65" s="14"/>
      <c r="F65" s="14"/>
      <c r="G65" s="14"/>
      <c r="H65" s="338" t="s">
        <v>50</v>
      </c>
      <c r="I65" s="14"/>
      <c r="J65" s="22"/>
      <c r="K65" s="83" t="s">
        <v>20</v>
      </c>
      <c r="L65" s="52"/>
      <c r="M65" s="70"/>
      <c r="N65" s="13"/>
      <c r="O65" s="343"/>
      <c r="P65" s="344"/>
      <c r="Q65" s="340"/>
      <c r="R65" s="53"/>
      <c r="S65" s="330"/>
      <c r="T65" s="15"/>
      <c r="U65" s="341"/>
      <c r="W65" s="206">
        <f>Admin!B65</f>
        <v>44720</v>
      </c>
    </row>
    <row r="66" spans="1:23" ht="6" customHeight="1" thickTop="1" thickBot="1" x14ac:dyDescent="0.2">
      <c r="A66" s="12"/>
      <c r="B66" s="52"/>
      <c r="C66" s="52"/>
      <c r="D66" s="14"/>
      <c r="E66" s="14"/>
      <c r="F66" s="14"/>
      <c r="G66" s="14"/>
      <c r="H66" s="338"/>
      <c r="I66" s="14"/>
      <c r="J66" s="22"/>
      <c r="K66" s="52"/>
      <c r="L66" s="52"/>
      <c r="M66" s="70"/>
      <c r="N66" s="13"/>
      <c r="O66" s="14"/>
      <c r="P66" s="148"/>
      <c r="Q66" s="341"/>
      <c r="R66" s="14"/>
      <c r="S66" s="331"/>
      <c r="T66" s="15"/>
      <c r="U66" s="341"/>
      <c r="W66" s="206">
        <f>Admin!B66</f>
        <v>44721</v>
      </c>
    </row>
    <row r="67" spans="1:23" ht="15" thickTop="1" thickBot="1" x14ac:dyDescent="0.2">
      <c r="A67" s="12"/>
      <c r="B67" s="14" t="s">
        <v>11</v>
      </c>
      <c r="C67" s="14"/>
      <c r="D67" s="332"/>
      <c r="E67" s="333"/>
      <c r="F67" s="334"/>
      <c r="G67" s="14"/>
      <c r="H67" s="21" t="s">
        <v>51</v>
      </c>
      <c r="I67" s="14"/>
      <c r="J67" s="51"/>
      <c r="K67" s="14" t="s">
        <v>17</v>
      </c>
      <c r="L67" s="14"/>
      <c r="M67" s="335"/>
      <c r="N67" s="336"/>
      <c r="O67" s="337"/>
      <c r="P67" s="148"/>
      <c r="Q67" s="138"/>
      <c r="R67" s="136"/>
      <c r="S67" s="139"/>
      <c r="T67" s="15"/>
      <c r="U67" s="341"/>
      <c r="W67" s="206">
        <f>Admin!B67</f>
        <v>44722</v>
      </c>
    </row>
    <row r="68" spans="1:23" ht="14" thickTop="1" thickBot="1" x14ac:dyDescent="0.2">
      <c r="A68" s="12"/>
      <c r="B68" s="14" t="s">
        <v>12</v>
      </c>
      <c r="C68" s="14"/>
      <c r="D68" s="332"/>
      <c r="E68" s="333"/>
      <c r="F68" s="334"/>
      <c r="G68" s="14"/>
      <c r="H68" s="152"/>
      <c r="I68" s="14"/>
      <c r="J68" s="22"/>
      <c r="K68" s="14"/>
      <c r="L68" s="14"/>
      <c r="M68" s="14"/>
      <c r="N68" s="14"/>
      <c r="O68" s="29"/>
      <c r="P68" s="155"/>
      <c r="Q68" s="29"/>
      <c r="R68" s="21"/>
      <c r="S68" s="29"/>
      <c r="T68" s="15"/>
      <c r="U68" s="341"/>
      <c r="W68" s="206">
        <f>Admin!B68</f>
        <v>44723</v>
      </c>
    </row>
    <row r="69" spans="1:23" ht="13" thickTop="1" x14ac:dyDescent="0.15">
      <c r="A69" s="12"/>
      <c r="B69" s="14"/>
      <c r="C69" s="14"/>
      <c r="D69" s="85"/>
      <c r="E69" s="85"/>
      <c r="F69" s="85"/>
      <c r="G69" s="14"/>
      <c r="H69" s="21" t="s">
        <v>52</v>
      </c>
      <c r="I69" s="14"/>
      <c r="J69" s="22"/>
      <c r="K69" s="85"/>
      <c r="L69" s="85"/>
      <c r="M69" s="85"/>
      <c r="N69" s="85"/>
      <c r="O69" s="85"/>
      <c r="P69" s="85"/>
      <c r="Q69" s="85"/>
      <c r="R69" s="85"/>
      <c r="S69" s="85"/>
      <c r="T69" s="15"/>
      <c r="U69" s="341"/>
      <c r="W69" s="206">
        <f>Admin!B69</f>
        <v>44724</v>
      </c>
    </row>
    <row r="70" spans="1:23" x14ac:dyDescent="0.15">
      <c r="A70" s="12"/>
      <c r="B70" s="14"/>
      <c r="C70" s="14"/>
      <c r="D70" s="85"/>
      <c r="E70" s="85"/>
      <c r="F70" s="85"/>
      <c r="G70" s="14"/>
      <c r="H70" s="153"/>
      <c r="I70" s="14"/>
      <c r="J70" s="22"/>
      <c r="K70" s="85"/>
      <c r="L70" s="85"/>
      <c r="M70" s="85"/>
      <c r="N70" s="85"/>
      <c r="O70" s="85"/>
      <c r="P70" s="85"/>
      <c r="Q70" s="85"/>
      <c r="R70" s="85"/>
      <c r="S70" s="85"/>
      <c r="T70" s="15"/>
      <c r="U70" s="341"/>
      <c r="W70" s="206">
        <f>Admin!B70</f>
        <v>44725</v>
      </c>
    </row>
    <row r="71" spans="1:23" x14ac:dyDescent="0.15">
      <c r="A71" s="12"/>
      <c r="B71" s="14"/>
      <c r="C71" s="14"/>
      <c r="D71" s="85"/>
      <c r="E71" s="85"/>
      <c r="F71" s="85"/>
      <c r="G71" s="14"/>
      <c r="H71" s="21" t="s">
        <v>53</v>
      </c>
      <c r="I71" s="14"/>
      <c r="J71" s="22"/>
      <c r="K71" s="85"/>
      <c r="L71" s="85"/>
      <c r="M71" s="85"/>
      <c r="N71" s="85"/>
      <c r="O71" s="85"/>
      <c r="P71" s="85"/>
      <c r="Q71" s="85"/>
      <c r="R71" s="85"/>
      <c r="S71" s="85"/>
      <c r="T71" s="15"/>
      <c r="U71" s="341"/>
      <c r="W71" s="206">
        <f>Admin!B71</f>
        <v>44726</v>
      </c>
    </row>
    <row r="72" spans="1:23" x14ac:dyDescent="0.15">
      <c r="A72" s="12"/>
      <c r="B72" s="14"/>
      <c r="C72" s="14"/>
      <c r="D72" s="85"/>
      <c r="E72" s="85"/>
      <c r="F72" s="85"/>
      <c r="G72" s="14"/>
      <c r="H72" s="152"/>
      <c r="I72" s="14"/>
      <c r="J72" s="22"/>
      <c r="K72" s="85"/>
      <c r="L72" s="85"/>
      <c r="M72" s="85"/>
      <c r="N72" s="85"/>
      <c r="O72" s="85"/>
      <c r="P72" s="85"/>
      <c r="Q72" s="85"/>
      <c r="R72" s="85"/>
      <c r="S72" s="85"/>
      <c r="T72" s="15"/>
      <c r="U72" s="341"/>
      <c r="W72" s="206">
        <f>Admin!B72</f>
        <v>44727</v>
      </c>
    </row>
    <row r="73" spans="1:23" ht="12" customHeight="1" x14ac:dyDescent="0.15">
      <c r="A73" s="12"/>
      <c r="B73" s="14"/>
      <c r="C73" s="14"/>
      <c r="D73" s="85"/>
      <c r="E73" s="85"/>
      <c r="F73" s="85"/>
      <c r="G73" s="14"/>
      <c r="H73" s="21" t="s">
        <v>54</v>
      </c>
      <c r="I73" s="14"/>
      <c r="J73" s="22"/>
      <c r="K73" s="85"/>
      <c r="L73" s="85"/>
      <c r="M73" s="85"/>
      <c r="N73" s="85"/>
      <c r="O73" s="85"/>
      <c r="P73" s="85"/>
      <c r="Q73" s="85"/>
      <c r="R73" s="85"/>
      <c r="S73" s="85"/>
      <c r="T73" s="64"/>
      <c r="U73" s="341"/>
      <c r="W73" s="206">
        <f>Admin!B73</f>
        <v>44728</v>
      </c>
    </row>
    <row r="74" spans="1:23" ht="15" customHeight="1" x14ac:dyDescent="0.15">
      <c r="A74" s="12"/>
      <c r="B74" s="177"/>
      <c r="C74" s="14"/>
      <c r="D74" s="14"/>
      <c r="E74" s="85"/>
      <c r="F74" s="85"/>
      <c r="G74" s="14"/>
      <c r="H74" s="154"/>
      <c r="I74" s="14"/>
      <c r="J74" s="22"/>
      <c r="K74" s="85"/>
      <c r="L74" s="85"/>
      <c r="M74" s="85"/>
      <c r="N74" s="85"/>
      <c r="O74" s="85"/>
      <c r="P74" s="85"/>
      <c r="Q74" s="85"/>
      <c r="R74" s="85"/>
      <c r="S74" s="85"/>
      <c r="T74" s="15"/>
      <c r="U74" s="341"/>
      <c r="W74" s="206">
        <f>Admin!B74</f>
        <v>44729</v>
      </c>
    </row>
    <row r="75" spans="1:23" ht="13" thickBot="1" x14ac:dyDescent="0.2">
      <c r="A75" s="12"/>
      <c r="B75" s="14"/>
      <c r="C75" s="14"/>
      <c r="D75" s="50"/>
      <c r="E75" s="14"/>
      <c r="F75" s="29" t="s">
        <v>30</v>
      </c>
      <c r="G75" s="53"/>
      <c r="H75" s="14"/>
      <c r="I75" s="14"/>
      <c r="J75" s="22"/>
      <c r="K75" s="85"/>
      <c r="L75" s="85"/>
      <c r="M75" s="85"/>
      <c r="N75" s="85"/>
      <c r="O75" s="85"/>
      <c r="P75" s="85"/>
      <c r="Q75" s="85"/>
      <c r="R75" s="85"/>
      <c r="S75" s="85"/>
      <c r="T75" s="15"/>
      <c r="U75" s="341"/>
      <c r="W75" s="206">
        <f>Admin!B75</f>
        <v>44730</v>
      </c>
    </row>
    <row r="76" spans="1:23" ht="14" thickTop="1" thickBot="1" x14ac:dyDescent="0.2">
      <c r="A76" s="12"/>
      <c r="B76" s="14" t="str">
        <f>B24</f>
        <v>Starting date (existing = 06/04/25)</v>
      </c>
      <c r="C76" s="14"/>
      <c r="D76" s="131"/>
      <c r="E76" s="14"/>
      <c r="F76" s="84" t="str">
        <f>IF(D76=0," ",IF(D80="W",LOOKUP(D76,Admin!B:B,Admin!C:C),IF(D80="M",LOOKUP(D76,Admin!B:B,Admin!D:D),LOOKUP(D76,Admin!B:B,Admin!C:C))))</f>
        <v xml:space="preserve"> </v>
      </c>
      <c r="G76" s="55"/>
      <c r="H76" s="14"/>
      <c r="I76" s="14"/>
      <c r="J76" s="22"/>
      <c r="K76" s="85"/>
      <c r="L76" s="85"/>
      <c r="M76" s="85"/>
      <c r="N76" s="85"/>
      <c r="O76" s="85"/>
      <c r="P76" s="85"/>
      <c r="Q76" s="85"/>
      <c r="R76" s="85"/>
      <c r="S76" s="85"/>
      <c r="T76" s="15"/>
      <c r="U76" s="341"/>
      <c r="W76" s="206">
        <f>Admin!B76</f>
        <v>44731</v>
      </c>
    </row>
    <row r="77" spans="1:23" ht="6" customHeight="1" thickTop="1" thickBot="1" x14ac:dyDescent="0.2">
      <c r="A77" s="12"/>
      <c r="B77" s="14"/>
      <c r="C77" s="14"/>
      <c r="D77" s="50"/>
      <c r="E77" s="14"/>
      <c r="F77" s="84"/>
      <c r="G77" s="55"/>
      <c r="H77" s="14"/>
      <c r="I77" s="298"/>
      <c r="J77" s="14"/>
      <c r="K77" s="85"/>
      <c r="L77" s="85"/>
      <c r="M77" s="85"/>
      <c r="N77" s="85"/>
      <c r="O77" s="85"/>
      <c r="P77" s="85"/>
      <c r="Q77" s="85"/>
      <c r="R77" s="85"/>
      <c r="S77" s="85"/>
      <c r="T77" s="15"/>
      <c r="U77" s="341"/>
      <c r="W77" s="206">
        <f>Admin!B77</f>
        <v>44732</v>
      </c>
    </row>
    <row r="78" spans="1:23" ht="13.5" customHeight="1" thickTop="1" thickBot="1" x14ac:dyDescent="0.2">
      <c r="A78" s="12"/>
      <c r="B78" s="14" t="s">
        <v>69</v>
      </c>
      <c r="C78" s="14"/>
      <c r="D78" s="131"/>
      <c r="E78" s="14"/>
      <c r="F78" s="84" t="str">
        <f>IF(D76=0," ",IF(D78=0," ",IF(D80="W",LOOKUP(D78,Admin!B:B,Admin!C:C),IF(D80="M",LOOKUP(D78,Admin!B:B,Admin!D:D),LOOKUP(D78,Admin!B:B,Admin!C:C)))))</f>
        <v xml:space="preserve"> </v>
      </c>
      <c r="G78" s="55"/>
      <c r="H78" s="14"/>
      <c r="I78" s="14"/>
      <c r="J78" s="22"/>
      <c r="K78" s="85"/>
      <c r="L78" s="85"/>
      <c r="M78" s="85"/>
      <c r="N78" s="85"/>
      <c r="O78" s="85"/>
      <c r="P78" s="85"/>
      <c r="Q78" s="85"/>
      <c r="R78" s="85"/>
      <c r="S78" s="85"/>
      <c r="T78" s="15"/>
      <c r="U78" s="341"/>
      <c r="W78" s="206">
        <f>Admin!B78</f>
        <v>44733</v>
      </c>
    </row>
    <row r="79" spans="1:23" ht="14" thickTop="1" thickBot="1" x14ac:dyDescent="0.2">
      <c r="A79" s="12"/>
      <c r="B79" s="14"/>
      <c r="C79" s="14"/>
      <c r="D79" s="50"/>
      <c r="E79" s="14"/>
      <c r="F79" s="26"/>
      <c r="G79" s="26"/>
      <c r="H79" s="14"/>
      <c r="I79" s="14"/>
      <c r="J79" s="22"/>
      <c r="K79" s="85"/>
      <c r="L79" s="85"/>
      <c r="M79" s="85"/>
      <c r="N79" s="85"/>
      <c r="O79" s="85"/>
      <c r="P79" s="85"/>
      <c r="Q79" s="85"/>
      <c r="R79" s="85"/>
      <c r="S79" s="85"/>
      <c r="T79" s="15"/>
      <c r="U79" s="341"/>
      <c r="W79" s="206">
        <f>Admin!B79</f>
        <v>44734</v>
      </c>
    </row>
    <row r="80" spans="1:23" ht="14" thickTop="1" thickBot="1" x14ac:dyDescent="0.2">
      <c r="A80" s="12"/>
      <c r="B80" s="14" t="s">
        <v>21</v>
      </c>
      <c r="C80" s="14"/>
      <c r="D80" s="71"/>
      <c r="E80" s="21" t="s">
        <v>29</v>
      </c>
      <c r="F80" s="176" t="str">
        <f>IF(D82="D","Enter M for Director","Enter M or W for Employee")</f>
        <v>Enter M or W for Employee</v>
      </c>
      <c r="G80" s="14"/>
      <c r="H80" s="16"/>
      <c r="I80" s="16"/>
      <c r="J80" s="22"/>
      <c r="K80" s="85"/>
      <c r="L80" s="85"/>
      <c r="M80" s="85"/>
      <c r="N80" s="85"/>
      <c r="O80" s="85"/>
      <c r="P80" s="85"/>
      <c r="Q80" s="85"/>
      <c r="R80" s="85"/>
      <c r="S80" s="85"/>
      <c r="T80" s="15"/>
      <c r="U80" s="341"/>
      <c r="W80" s="206">
        <f>Admin!B80</f>
        <v>44735</v>
      </c>
    </row>
    <row r="81" spans="1:23" ht="13" thickTop="1" x14ac:dyDescent="0.15">
      <c r="A81" s="12"/>
      <c r="B81" s="14" t="s">
        <v>16</v>
      </c>
      <c r="C81" s="14"/>
      <c r="D81" s="137">
        <v>3</v>
      </c>
      <c r="E81" s="18"/>
      <c r="F81" s="56"/>
      <c r="G81" s="21"/>
      <c r="H81" s="14"/>
      <c r="I81" s="14"/>
      <c r="J81" s="22"/>
      <c r="K81" s="85"/>
      <c r="L81" s="85"/>
      <c r="M81" s="85"/>
      <c r="N81" s="85"/>
      <c r="O81" s="85"/>
      <c r="P81" s="85"/>
      <c r="Q81" s="85"/>
      <c r="R81" s="85"/>
      <c r="S81" s="85"/>
      <c r="T81" s="15"/>
      <c r="U81" s="341"/>
      <c r="W81" s="206">
        <f>Admin!B81</f>
        <v>44736</v>
      </c>
    </row>
    <row r="82" spans="1:23" x14ac:dyDescent="0.15">
      <c r="A82" s="12"/>
      <c r="B82" s="14" t="s">
        <v>67</v>
      </c>
      <c r="C82" s="14"/>
      <c r="D82" s="199"/>
      <c r="E82" s="14"/>
      <c r="F82" s="175" t="s">
        <v>75</v>
      </c>
      <c r="G82" s="21"/>
      <c r="H82" s="14"/>
      <c r="I82" s="14"/>
      <c r="J82" s="22"/>
      <c r="K82" s="85"/>
      <c r="L82" s="85"/>
      <c r="M82" s="85"/>
      <c r="N82" s="85"/>
      <c r="O82" s="85"/>
      <c r="P82" s="85"/>
      <c r="Q82" s="85"/>
      <c r="R82" s="85"/>
      <c r="S82" s="85"/>
      <c r="T82" s="15"/>
      <c r="U82" s="341"/>
      <c r="W82" s="206">
        <f>Admin!B82</f>
        <v>44737</v>
      </c>
    </row>
    <row r="83" spans="1:23" ht="12" customHeight="1" x14ac:dyDescent="0.15">
      <c r="A83" s="12"/>
      <c r="B83" s="14"/>
      <c r="C83" s="14"/>
      <c r="D83" s="14"/>
      <c r="E83" s="14"/>
      <c r="F83" s="207"/>
      <c r="G83" s="207"/>
      <c r="H83" s="207"/>
      <c r="I83" s="14"/>
      <c r="J83" s="22"/>
      <c r="K83" s="85"/>
      <c r="L83" s="85"/>
      <c r="M83" s="85"/>
      <c r="N83" s="85"/>
      <c r="O83" s="85"/>
      <c r="P83" s="85"/>
      <c r="Q83" s="85"/>
      <c r="R83" s="85"/>
      <c r="S83" s="85"/>
      <c r="T83" s="15"/>
      <c r="U83" s="341"/>
      <c r="W83" s="206">
        <f>Admin!B83</f>
        <v>44738</v>
      </c>
    </row>
    <row r="84" spans="1:23" ht="6" customHeight="1" x14ac:dyDescent="0.15">
      <c r="A84" s="12"/>
      <c r="B84" s="14"/>
      <c r="C84" s="14"/>
      <c r="D84" s="14"/>
      <c r="E84" s="14"/>
      <c r="F84" s="208"/>
      <c r="G84" s="208"/>
      <c r="H84" s="208"/>
      <c r="I84" s="14"/>
      <c r="J84" s="22"/>
      <c r="K84" s="85"/>
      <c r="L84" s="85"/>
      <c r="M84" s="85"/>
      <c r="N84" s="85"/>
      <c r="O84" s="85"/>
      <c r="P84" s="85"/>
      <c r="Q84" s="85"/>
      <c r="R84" s="85"/>
      <c r="S84" s="85"/>
      <c r="T84" s="15"/>
      <c r="U84" s="341"/>
      <c r="W84" s="206">
        <f>Admin!B84</f>
        <v>44739</v>
      </c>
    </row>
    <row r="85" spans="1:23" ht="12" customHeight="1" x14ac:dyDescent="0.15">
      <c r="A85" s="12"/>
      <c r="B85" s="85"/>
      <c r="C85" s="85"/>
      <c r="D85" s="85"/>
      <c r="E85" s="85"/>
      <c r="F85" s="85"/>
      <c r="G85" s="85"/>
      <c r="H85" s="85"/>
      <c r="I85" s="14"/>
      <c r="J85" s="22"/>
      <c r="K85" s="85"/>
      <c r="L85" s="85"/>
      <c r="M85" s="85"/>
      <c r="N85" s="85"/>
      <c r="O85" s="85"/>
      <c r="P85" s="85"/>
      <c r="Q85" s="85"/>
      <c r="R85" s="85"/>
      <c r="S85" s="85"/>
      <c r="T85" s="15"/>
      <c r="U85" s="341"/>
      <c r="W85" s="206">
        <f>Admin!B85</f>
        <v>44740</v>
      </c>
    </row>
    <row r="86" spans="1:23" x14ac:dyDescent="0.15">
      <c r="A86" s="12"/>
      <c r="B86" s="85"/>
      <c r="C86" s="85"/>
      <c r="D86" s="85"/>
      <c r="E86" s="85"/>
      <c r="F86" s="85"/>
      <c r="G86" s="85"/>
      <c r="H86" s="85"/>
      <c r="I86" s="14"/>
      <c r="J86" s="22"/>
      <c r="K86" s="85"/>
      <c r="L86" s="85"/>
      <c r="M86" s="85"/>
      <c r="N86" s="85"/>
      <c r="O86" s="85"/>
      <c r="P86" s="85"/>
      <c r="Q86" s="85"/>
      <c r="R86" s="85"/>
      <c r="S86" s="85"/>
      <c r="T86" s="15"/>
      <c r="U86" s="341"/>
      <c r="W86" s="206">
        <f>Admin!B86</f>
        <v>44741</v>
      </c>
    </row>
    <row r="87" spans="1:23" ht="13.5" customHeight="1" x14ac:dyDescent="0.15">
      <c r="A87" s="12"/>
      <c r="B87" s="85"/>
      <c r="C87" s="85"/>
      <c r="D87" s="85"/>
      <c r="E87" s="85"/>
      <c r="F87" s="85"/>
      <c r="G87" s="85"/>
      <c r="H87" s="85"/>
      <c r="I87" s="14"/>
      <c r="J87" s="22"/>
      <c r="K87" s="85"/>
      <c r="L87" s="85"/>
      <c r="M87" s="85"/>
      <c r="N87" s="85"/>
      <c r="O87" s="85"/>
      <c r="P87" s="85"/>
      <c r="Q87" s="85"/>
      <c r="R87" s="85"/>
      <c r="S87" s="85"/>
      <c r="T87" s="15"/>
      <c r="U87" s="341"/>
      <c r="W87" s="206">
        <f>Admin!B87</f>
        <v>44742</v>
      </c>
    </row>
    <row r="88" spans="1:23" ht="9" customHeight="1" thickBot="1" x14ac:dyDescent="0.2">
      <c r="A88" s="65"/>
      <c r="B88" s="19"/>
      <c r="C88" s="19"/>
      <c r="D88" s="19"/>
      <c r="E88" s="19"/>
      <c r="F88" s="19"/>
      <c r="G88" s="19"/>
      <c r="H88" s="19"/>
      <c r="I88" s="19"/>
      <c r="J88" s="23"/>
      <c r="K88" s="19"/>
      <c r="L88" s="19"/>
      <c r="M88" s="19"/>
      <c r="N88" s="19"/>
      <c r="O88" s="19"/>
      <c r="P88" s="150"/>
      <c r="Q88" s="19"/>
      <c r="R88" s="19"/>
      <c r="S88" s="19"/>
      <c r="T88" s="25"/>
      <c r="U88" s="341"/>
      <c r="W88" s="206">
        <f>Admin!B88</f>
        <v>44743</v>
      </c>
    </row>
    <row r="89" spans="1:23" ht="22.5" customHeight="1" thickBot="1" x14ac:dyDescent="0.2">
      <c r="A89" s="342"/>
      <c r="B89" s="342"/>
      <c r="C89" s="342"/>
      <c r="D89" s="342"/>
      <c r="E89" s="342"/>
      <c r="F89" s="342"/>
      <c r="G89" s="342"/>
      <c r="H89" s="342"/>
      <c r="I89" s="342"/>
      <c r="J89" s="342"/>
      <c r="K89" s="342"/>
      <c r="L89" s="342"/>
      <c r="M89" s="342"/>
      <c r="N89" s="342"/>
      <c r="O89" s="342"/>
      <c r="P89" s="342"/>
      <c r="Q89" s="342"/>
      <c r="R89" s="342"/>
      <c r="S89" s="342"/>
      <c r="T89" s="342"/>
      <c r="U89" s="341"/>
      <c r="W89" s="206">
        <f>Admin!B89</f>
        <v>44744</v>
      </c>
    </row>
    <row r="90" spans="1:23" ht="9" customHeight="1" thickBot="1" x14ac:dyDescent="0.2">
      <c r="A90" s="9"/>
      <c r="B90" s="10"/>
      <c r="C90" s="10"/>
      <c r="D90" s="10"/>
      <c r="E90" s="10"/>
      <c r="F90" s="10"/>
      <c r="G90" s="10"/>
      <c r="H90" s="10"/>
      <c r="I90" s="10"/>
      <c r="J90" s="63"/>
      <c r="K90" s="10"/>
      <c r="L90" s="10"/>
      <c r="M90" s="10"/>
      <c r="N90" s="10"/>
      <c r="O90" s="10"/>
      <c r="P90" s="147"/>
      <c r="Q90" s="10"/>
      <c r="R90" s="10"/>
      <c r="S90" s="10"/>
      <c r="T90" s="11"/>
      <c r="U90" s="341"/>
      <c r="W90" s="206">
        <f>Admin!B90</f>
        <v>44745</v>
      </c>
    </row>
    <row r="91" spans="1:23" ht="15" customHeight="1" thickTop="1" thickBot="1" x14ac:dyDescent="0.2">
      <c r="A91" s="12"/>
      <c r="B91" s="83" t="s">
        <v>36</v>
      </c>
      <c r="C91" s="52"/>
      <c r="D91" s="14"/>
      <c r="E91" s="14"/>
      <c r="F91" s="14"/>
      <c r="G91" s="14"/>
      <c r="H91" s="338" t="s">
        <v>50</v>
      </c>
      <c r="I91" s="14"/>
      <c r="J91" s="22"/>
      <c r="K91" s="83" t="s">
        <v>20</v>
      </c>
      <c r="L91" s="52"/>
      <c r="M91" s="70"/>
      <c r="N91" s="13"/>
      <c r="O91" s="343"/>
      <c r="P91" s="344"/>
      <c r="Q91" s="340"/>
      <c r="R91" s="53"/>
      <c r="S91" s="330"/>
      <c r="T91" s="15"/>
      <c r="U91" s="341"/>
      <c r="W91" s="206">
        <f>Admin!B91</f>
        <v>44746</v>
      </c>
    </row>
    <row r="92" spans="1:23" ht="6" customHeight="1" thickTop="1" thickBot="1" x14ac:dyDescent="0.2">
      <c r="A92" s="12"/>
      <c r="B92" s="52"/>
      <c r="C92" s="52"/>
      <c r="D92" s="14"/>
      <c r="E92" s="14"/>
      <c r="F92" s="14"/>
      <c r="G92" s="14"/>
      <c r="H92" s="338"/>
      <c r="I92" s="14"/>
      <c r="J92" s="22"/>
      <c r="K92" s="52"/>
      <c r="L92" s="52"/>
      <c r="M92" s="70"/>
      <c r="N92" s="13"/>
      <c r="O92" s="14"/>
      <c r="P92" s="148"/>
      <c r="Q92" s="341"/>
      <c r="R92" s="14"/>
      <c r="S92" s="331"/>
      <c r="T92" s="15"/>
      <c r="U92" s="341"/>
      <c r="W92" s="206">
        <f>Admin!B92</f>
        <v>44747</v>
      </c>
    </row>
    <row r="93" spans="1:23" ht="15" thickTop="1" thickBot="1" x14ac:dyDescent="0.2">
      <c r="A93" s="12"/>
      <c r="B93" s="14" t="s">
        <v>11</v>
      </c>
      <c r="C93" s="14"/>
      <c r="D93" s="332"/>
      <c r="E93" s="333"/>
      <c r="F93" s="334"/>
      <c r="G93" s="14"/>
      <c r="H93" s="21" t="s">
        <v>51</v>
      </c>
      <c r="I93" s="14"/>
      <c r="J93" s="51"/>
      <c r="K93" s="14" t="s">
        <v>17</v>
      </c>
      <c r="L93" s="14"/>
      <c r="M93" s="335"/>
      <c r="N93" s="336"/>
      <c r="O93" s="337"/>
      <c r="P93" s="148"/>
      <c r="Q93" s="138"/>
      <c r="R93" s="136"/>
      <c r="S93" s="139"/>
      <c r="T93" s="15"/>
      <c r="U93" s="341"/>
      <c r="W93" s="206">
        <f>Admin!B93</f>
        <v>44748</v>
      </c>
    </row>
    <row r="94" spans="1:23" ht="14" thickTop="1" thickBot="1" x14ac:dyDescent="0.2">
      <c r="A94" s="12"/>
      <c r="B94" s="14" t="s">
        <v>12</v>
      </c>
      <c r="C94" s="14"/>
      <c r="D94" s="332"/>
      <c r="E94" s="333"/>
      <c r="F94" s="334"/>
      <c r="G94" s="14"/>
      <c r="H94" s="152"/>
      <c r="I94" s="14"/>
      <c r="J94" s="22"/>
      <c r="K94" s="14"/>
      <c r="L94" s="14"/>
      <c r="M94" s="14"/>
      <c r="N94" s="14"/>
      <c r="O94" s="29"/>
      <c r="P94" s="155"/>
      <c r="Q94" s="29"/>
      <c r="R94" s="21"/>
      <c r="S94" s="29"/>
      <c r="T94" s="15"/>
      <c r="U94" s="341"/>
      <c r="W94" s="206">
        <f>Admin!B94</f>
        <v>44749</v>
      </c>
    </row>
    <row r="95" spans="1:23" ht="14" thickTop="1" thickBot="1" x14ac:dyDescent="0.2">
      <c r="A95" s="12"/>
      <c r="B95" s="14" t="s">
        <v>13</v>
      </c>
      <c r="C95" s="14"/>
      <c r="D95" s="332"/>
      <c r="E95" s="333"/>
      <c r="F95" s="334"/>
      <c r="G95" s="14"/>
      <c r="H95" s="21" t="s">
        <v>52</v>
      </c>
      <c r="I95" s="14"/>
      <c r="J95" s="22"/>
      <c r="K95" s="14"/>
      <c r="L95" s="14"/>
      <c r="M95" s="14"/>
      <c r="N95" s="14"/>
      <c r="O95" s="14"/>
      <c r="P95" s="14"/>
      <c r="Q95" s="14"/>
      <c r="R95" s="14"/>
      <c r="S95" s="14"/>
      <c r="T95" s="15"/>
      <c r="U95" s="341"/>
      <c r="W95" s="206">
        <f>Admin!B95</f>
        <v>44750</v>
      </c>
    </row>
    <row r="96" spans="1:23" ht="13" thickTop="1" x14ac:dyDescent="0.15">
      <c r="A96" s="12"/>
      <c r="B96" s="14"/>
      <c r="C96" s="14"/>
      <c r="D96" s="85"/>
      <c r="E96" s="85"/>
      <c r="F96" s="85"/>
      <c r="G96" s="14"/>
      <c r="H96" s="153"/>
      <c r="I96" s="14"/>
      <c r="J96" s="22"/>
      <c r="K96" s="14"/>
      <c r="L96" s="14"/>
      <c r="M96" s="14"/>
      <c r="N96" s="14"/>
      <c r="O96" s="14"/>
      <c r="P96" s="14"/>
      <c r="Q96" s="14"/>
      <c r="R96" s="14"/>
      <c r="S96" s="14"/>
      <c r="T96" s="15"/>
      <c r="U96" s="341"/>
      <c r="W96" s="206">
        <f>Admin!B96</f>
        <v>44751</v>
      </c>
    </row>
    <row r="97" spans="1:23" x14ac:dyDescent="0.15">
      <c r="A97" s="12"/>
      <c r="B97" s="14"/>
      <c r="C97" s="14"/>
      <c r="D97" s="85"/>
      <c r="E97" s="85"/>
      <c r="F97" s="85"/>
      <c r="G97" s="14"/>
      <c r="H97" s="21" t="s">
        <v>53</v>
      </c>
      <c r="I97" s="14"/>
      <c r="J97" s="22"/>
      <c r="K97" s="14"/>
      <c r="L97" s="14"/>
      <c r="M97" s="14"/>
      <c r="N97" s="14"/>
      <c r="O97" s="14"/>
      <c r="P97" s="14"/>
      <c r="Q97" s="14"/>
      <c r="R97" s="14"/>
      <c r="S97" s="14"/>
      <c r="T97" s="15"/>
      <c r="U97" s="341"/>
      <c r="W97" s="206">
        <f>Admin!B97</f>
        <v>44752</v>
      </c>
    </row>
    <row r="98" spans="1:23" x14ac:dyDescent="0.15">
      <c r="A98" s="12"/>
      <c r="B98" s="14"/>
      <c r="C98" s="14"/>
      <c r="D98" s="85"/>
      <c r="E98" s="85"/>
      <c r="F98" s="85"/>
      <c r="G98" s="14"/>
      <c r="H98" s="152"/>
      <c r="I98" s="14"/>
      <c r="J98" s="22"/>
      <c r="K98" s="14"/>
      <c r="L98" s="14"/>
      <c r="M98" s="14"/>
      <c r="N98" s="14"/>
      <c r="O98" s="14"/>
      <c r="P98" s="14"/>
      <c r="Q98" s="14"/>
      <c r="R98" s="14"/>
      <c r="S98" s="14"/>
      <c r="T98" s="15"/>
      <c r="U98" s="341"/>
      <c r="W98" s="206">
        <f>Admin!B98</f>
        <v>44753</v>
      </c>
    </row>
    <row r="99" spans="1:23" ht="12" customHeight="1" x14ac:dyDescent="0.15">
      <c r="A99" s="12"/>
      <c r="B99" s="14"/>
      <c r="C99" s="14"/>
      <c r="D99" s="85"/>
      <c r="E99" s="85"/>
      <c r="F99" s="85"/>
      <c r="G99" s="14"/>
      <c r="H99" s="21" t="s">
        <v>54</v>
      </c>
      <c r="I99" s="14"/>
      <c r="J99" s="22"/>
      <c r="K99" s="14"/>
      <c r="L99" s="14"/>
      <c r="M99" s="14"/>
      <c r="N99" s="14"/>
      <c r="O99" s="14"/>
      <c r="P99" s="14"/>
      <c r="Q99" s="14"/>
      <c r="R99" s="14"/>
      <c r="S99" s="14"/>
      <c r="T99" s="64"/>
      <c r="U99" s="341"/>
      <c r="W99" s="206">
        <f>Admin!B99</f>
        <v>44754</v>
      </c>
    </row>
    <row r="100" spans="1:23" ht="15" customHeight="1" x14ac:dyDescent="0.15">
      <c r="A100" s="12"/>
      <c r="B100" s="14"/>
      <c r="C100" s="14"/>
      <c r="D100" s="14"/>
      <c r="E100" s="85"/>
      <c r="F100" s="85"/>
      <c r="G100" s="14"/>
      <c r="H100" s="154"/>
      <c r="I100" s="14"/>
      <c r="J100" s="22"/>
      <c r="K100" s="14"/>
      <c r="L100" s="14"/>
      <c r="M100" s="14"/>
      <c r="N100" s="14"/>
      <c r="O100" s="14"/>
      <c r="P100" s="14"/>
      <c r="Q100" s="14"/>
      <c r="R100" s="14"/>
      <c r="S100" s="14"/>
      <c r="T100" s="15"/>
      <c r="U100" s="341"/>
      <c r="W100" s="206">
        <f>Admin!B100</f>
        <v>44755</v>
      </c>
    </row>
    <row r="101" spans="1:23" ht="13" thickBot="1" x14ac:dyDescent="0.2">
      <c r="A101" s="12"/>
      <c r="B101" s="14"/>
      <c r="C101" s="14"/>
      <c r="D101" s="50"/>
      <c r="E101" s="14"/>
      <c r="F101" s="29" t="s">
        <v>30</v>
      </c>
      <c r="G101" s="53"/>
      <c r="H101" s="14"/>
      <c r="I101" s="14"/>
      <c r="J101" s="22"/>
      <c r="K101" s="14"/>
      <c r="L101" s="14"/>
      <c r="M101" s="14"/>
      <c r="N101" s="14"/>
      <c r="O101" s="14"/>
      <c r="P101" s="14"/>
      <c r="Q101" s="14"/>
      <c r="R101" s="14"/>
      <c r="S101" s="14"/>
      <c r="T101" s="15"/>
      <c r="U101" s="341"/>
      <c r="W101" s="206">
        <f>Admin!B101</f>
        <v>44756</v>
      </c>
    </row>
    <row r="102" spans="1:23" ht="14" thickTop="1" thickBot="1" x14ac:dyDescent="0.2">
      <c r="A102" s="12"/>
      <c r="B102" s="14" t="str">
        <f>B24</f>
        <v>Starting date (existing = 06/04/25)</v>
      </c>
      <c r="C102" s="14"/>
      <c r="D102" s="131"/>
      <c r="E102" s="14"/>
      <c r="F102" s="84" t="str">
        <f>IF(D102=0," ",IF(D106="W",LOOKUP(D102,Admin!B:B,Admin!C:C),IF(D106="M",LOOKUP(D102,Admin!B:B,Admin!D:D),LOOKUP(D102,Admin!B:B,Admin!C:C))))</f>
        <v xml:space="preserve"> </v>
      </c>
      <c r="G102" s="55"/>
      <c r="H102" s="14"/>
      <c r="I102" s="14"/>
      <c r="J102" s="22"/>
      <c r="K102" s="14"/>
      <c r="L102" s="14"/>
      <c r="M102" s="14"/>
      <c r="N102" s="14"/>
      <c r="O102" s="14"/>
      <c r="P102" s="14"/>
      <c r="Q102" s="14"/>
      <c r="R102" s="14"/>
      <c r="S102" s="14"/>
      <c r="T102" s="15"/>
      <c r="U102" s="341"/>
      <c r="W102" s="206">
        <f>Admin!B102</f>
        <v>44757</v>
      </c>
    </row>
    <row r="103" spans="1:23" ht="6" customHeight="1" thickTop="1" thickBot="1" x14ac:dyDescent="0.2">
      <c r="A103" s="12"/>
      <c r="B103" s="14"/>
      <c r="C103" s="14"/>
      <c r="D103" s="50"/>
      <c r="E103" s="14"/>
      <c r="F103" s="84"/>
      <c r="G103" s="55"/>
      <c r="H103" s="14"/>
      <c r="I103" s="298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5"/>
      <c r="U103" s="341"/>
      <c r="W103" s="206">
        <f>Admin!B103</f>
        <v>44758</v>
      </c>
    </row>
    <row r="104" spans="1:23" ht="13.5" customHeight="1" thickTop="1" thickBot="1" x14ac:dyDescent="0.2">
      <c r="A104" s="12"/>
      <c r="B104" s="14" t="s">
        <v>69</v>
      </c>
      <c r="C104" s="14"/>
      <c r="D104" s="131"/>
      <c r="E104" s="14"/>
      <c r="F104" s="84" t="str">
        <f>IF(D102=0," ",IF(D104=0," ",IF(D106="W",LOOKUP(D104,Admin!B:B,Admin!C:C),IF(D106="M",LOOKUP(D104,Admin!B:B,Admin!D:D),LOOKUP(D104,Admin!B:B,Admin!C:C)))))</f>
        <v xml:space="preserve"> </v>
      </c>
      <c r="G104" s="55"/>
      <c r="H104" s="14"/>
      <c r="I104" s="14"/>
      <c r="J104" s="22"/>
      <c r="K104" s="14"/>
      <c r="L104" s="14"/>
      <c r="M104" s="14"/>
      <c r="N104" s="14"/>
      <c r="O104" s="14"/>
      <c r="P104" s="14"/>
      <c r="Q104" s="14"/>
      <c r="R104" s="14"/>
      <c r="S104" s="14"/>
      <c r="T104" s="15"/>
      <c r="U104" s="341"/>
      <c r="W104" s="206">
        <f>Admin!B104</f>
        <v>44759</v>
      </c>
    </row>
    <row r="105" spans="1:23" ht="14" thickTop="1" thickBot="1" x14ac:dyDescent="0.2">
      <c r="A105" s="12"/>
      <c r="B105" s="14"/>
      <c r="C105" s="14"/>
      <c r="D105" s="50"/>
      <c r="E105" s="14"/>
      <c r="F105" s="26"/>
      <c r="G105" s="26"/>
      <c r="H105" s="14"/>
      <c r="I105" s="14"/>
      <c r="J105" s="22"/>
      <c r="K105" s="14"/>
      <c r="L105" s="14"/>
      <c r="M105" s="14"/>
      <c r="N105" s="14"/>
      <c r="O105" s="14"/>
      <c r="P105" s="14"/>
      <c r="Q105" s="14"/>
      <c r="R105" s="14"/>
      <c r="S105" s="14"/>
      <c r="T105" s="15"/>
      <c r="U105" s="341"/>
      <c r="W105" s="206">
        <f>Admin!B105</f>
        <v>44760</v>
      </c>
    </row>
    <row r="106" spans="1:23" ht="14" thickTop="1" thickBot="1" x14ac:dyDescent="0.2">
      <c r="A106" s="12"/>
      <c r="B106" s="14" t="s">
        <v>21</v>
      </c>
      <c r="C106" s="14"/>
      <c r="D106" s="71"/>
      <c r="E106" s="21" t="s">
        <v>29</v>
      </c>
      <c r="F106" s="176" t="str">
        <f>IF(D108="D","Enter M for Director","Enter M or W for Employee")</f>
        <v>Enter M or W for Employee</v>
      </c>
      <c r="G106" s="14"/>
      <c r="H106" s="16"/>
      <c r="I106" s="16"/>
      <c r="J106" s="22"/>
      <c r="K106" s="14"/>
      <c r="L106" s="14"/>
      <c r="M106" s="14"/>
      <c r="N106" s="14"/>
      <c r="O106" s="14"/>
      <c r="P106" s="14"/>
      <c r="Q106" s="14"/>
      <c r="R106" s="14"/>
      <c r="S106" s="14"/>
      <c r="T106" s="15"/>
      <c r="U106" s="341"/>
      <c r="W106" s="206">
        <f>Admin!B106</f>
        <v>44761</v>
      </c>
    </row>
    <row r="107" spans="1:23" ht="13" thickTop="1" x14ac:dyDescent="0.15">
      <c r="A107" s="12"/>
      <c r="B107" s="14" t="s">
        <v>16</v>
      </c>
      <c r="C107" s="14"/>
      <c r="D107" s="137">
        <v>4</v>
      </c>
      <c r="E107" s="18"/>
      <c r="F107" s="56"/>
      <c r="G107" s="21"/>
      <c r="H107" s="14"/>
      <c r="I107" s="14"/>
      <c r="J107" s="22"/>
      <c r="K107" s="14"/>
      <c r="L107" s="14"/>
      <c r="M107" s="14"/>
      <c r="N107" s="14"/>
      <c r="O107" s="14"/>
      <c r="P107" s="14"/>
      <c r="Q107" s="14"/>
      <c r="R107" s="14"/>
      <c r="S107" s="14"/>
      <c r="T107" s="15"/>
      <c r="U107" s="341"/>
      <c r="W107" s="206">
        <f>Admin!B107</f>
        <v>44762</v>
      </c>
    </row>
    <row r="108" spans="1:23" x14ac:dyDescent="0.15">
      <c r="A108" s="12"/>
      <c r="B108" s="14" t="s">
        <v>67</v>
      </c>
      <c r="C108" s="14"/>
      <c r="D108" s="199"/>
      <c r="E108" s="14"/>
      <c r="F108" s="175" t="s">
        <v>75</v>
      </c>
      <c r="G108" s="21"/>
      <c r="H108" s="14"/>
      <c r="I108" s="14"/>
      <c r="J108" s="22"/>
      <c r="K108" s="14"/>
      <c r="L108" s="14"/>
      <c r="M108" s="14"/>
      <c r="N108" s="14"/>
      <c r="O108" s="14"/>
      <c r="P108" s="14"/>
      <c r="Q108" s="14"/>
      <c r="R108" s="14"/>
      <c r="S108" s="14"/>
      <c r="T108" s="15"/>
      <c r="U108" s="341"/>
      <c r="W108" s="206">
        <f>Admin!B108</f>
        <v>44763</v>
      </c>
    </row>
    <row r="109" spans="1:23" ht="12" customHeight="1" x14ac:dyDescent="0.15">
      <c r="A109" s="12"/>
      <c r="B109" s="14"/>
      <c r="C109" s="14"/>
      <c r="D109" s="14"/>
      <c r="E109" s="14"/>
      <c r="F109" s="207"/>
      <c r="G109" s="207"/>
      <c r="H109" s="207"/>
      <c r="I109" s="14"/>
      <c r="J109" s="22"/>
      <c r="K109" s="14"/>
      <c r="L109" s="14"/>
      <c r="M109" s="14"/>
      <c r="N109" s="14"/>
      <c r="O109" s="14"/>
      <c r="P109" s="14"/>
      <c r="Q109" s="14"/>
      <c r="R109" s="14"/>
      <c r="S109" s="14"/>
      <c r="T109" s="15"/>
      <c r="U109" s="341"/>
      <c r="W109" s="206">
        <f>Admin!B109</f>
        <v>44764</v>
      </c>
    </row>
    <row r="110" spans="1:23" ht="6" customHeight="1" x14ac:dyDescent="0.15">
      <c r="A110" s="12"/>
      <c r="B110" s="14"/>
      <c r="C110" s="14"/>
      <c r="D110" s="14"/>
      <c r="E110" s="14"/>
      <c r="F110" s="208"/>
      <c r="G110" s="208"/>
      <c r="H110" s="208"/>
      <c r="I110" s="14"/>
      <c r="J110" s="22"/>
      <c r="K110" s="14"/>
      <c r="L110" s="14"/>
      <c r="M110" s="14"/>
      <c r="N110" s="14"/>
      <c r="O110" s="14"/>
      <c r="P110" s="14"/>
      <c r="Q110" s="14"/>
      <c r="R110" s="14"/>
      <c r="S110" s="14"/>
      <c r="T110" s="15"/>
      <c r="U110" s="341"/>
      <c r="W110" s="206">
        <f>Admin!B110</f>
        <v>44765</v>
      </c>
    </row>
    <row r="111" spans="1:23" ht="12" customHeight="1" x14ac:dyDescent="0.15">
      <c r="A111" s="12"/>
      <c r="B111" s="14"/>
      <c r="C111" s="14"/>
      <c r="D111" s="14"/>
      <c r="E111" s="14"/>
      <c r="F111" s="14"/>
      <c r="G111" s="14"/>
      <c r="H111" s="14"/>
      <c r="I111" s="14"/>
      <c r="J111" s="22"/>
      <c r="K111" s="14"/>
      <c r="L111" s="14"/>
      <c r="M111" s="14"/>
      <c r="N111" s="14"/>
      <c r="O111" s="14"/>
      <c r="P111" s="14"/>
      <c r="Q111" s="14"/>
      <c r="R111" s="14"/>
      <c r="S111" s="14"/>
      <c r="T111" s="15"/>
      <c r="U111" s="341"/>
      <c r="W111" s="206">
        <f>Admin!B111</f>
        <v>44766</v>
      </c>
    </row>
    <row r="112" spans="1:23" x14ac:dyDescent="0.15">
      <c r="A112" s="12"/>
      <c r="B112" s="14"/>
      <c r="C112" s="14"/>
      <c r="D112" s="14"/>
      <c r="E112" s="14"/>
      <c r="F112" s="14"/>
      <c r="G112" s="14"/>
      <c r="H112" s="14"/>
      <c r="I112" s="14"/>
      <c r="J112" s="22"/>
      <c r="K112" s="14"/>
      <c r="L112" s="14"/>
      <c r="M112" s="14"/>
      <c r="N112" s="14"/>
      <c r="O112" s="14"/>
      <c r="P112" s="14"/>
      <c r="Q112" s="14"/>
      <c r="R112" s="14"/>
      <c r="S112" s="14"/>
      <c r="T112" s="15"/>
      <c r="U112" s="341"/>
      <c r="W112" s="206">
        <f>Admin!B112</f>
        <v>44767</v>
      </c>
    </row>
    <row r="113" spans="1:23" ht="13.5" customHeight="1" x14ac:dyDescent="0.15">
      <c r="A113" s="12"/>
      <c r="B113" s="14"/>
      <c r="C113" s="14"/>
      <c r="D113" s="14"/>
      <c r="E113" s="14"/>
      <c r="F113" s="14"/>
      <c r="G113" s="14"/>
      <c r="H113" s="14"/>
      <c r="I113" s="14"/>
      <c r="J113" s="22"/>
      <c r="K113" s="14"/>
      <c r="L113" s="14"/>
      <c r="M113" s="14"/>
      <c r="N113" s="14"/>
      <c r="O113" s="14"/>
      <c r="P113" s="14"/>
      <c r="Q113" s="14"/>
      <c r="R113" s="14"/>
      <c r="S113" s="14"/>
      <c r="T113" s="15"/>
      <c r="U113" s="341"/>
      <c r="W113" s="206">
        <f>Admin!B113</f>
        <v>44768</v>
      </c>
    </row>
    <row r="114" spans="1:23" ht="9" customHeight="1" thickBot="1" x14ac:dyDescent="0.2">
      <c r="A114" s="65"/>
      <c r="B114" s="19"/>
      <c r="C114" s="19"/>
      <c r="D114" s="19"/>
      <c r="E114" s="19"/>
      <c r="F114" s="19"/>
      <c r="G114" s="19"/>
      <c r="H114" s="19"/>
      <c r="I114" s="19"/>
      <c r="J114" s="23"/>
      <c r="K114" s="19"/>
      <c r="L114" s="19"/>
      <c r="M114" s="19"/>
      <c r="N114" s="19"/>
      <c r="O114" s="19"/>
      <c r="P114" s="150"/>
      <c r="Q114" s="19"/>
      <c r="R114" s="19"/>
      <c r="S114" s="19"/>
      <c r="T114" s="25"/>
      <c r="U114" s="341"/>
      <c r="W114" s="206">
        <f>Admin!B114</f>
        <v>44769</v>
      </c>
    </row>
    <row r="115" spans="1:23" ht="22.5" customHeight="1" thickBot="1" x14ac:dyDescent="0.2">
      <c r="A115" s="342"/>
      <c r="B115" s="342"/>
      <c r="C115" s="342"/>
      <c r="D115" s="342"/>
      <c r="E115" s="342"/>
      <c r="F115" s="342"/>
      <c r="G115" s="342"/>
      <c r="H115" s="342"/>
      <c r="I115" s="342"/>
      <c r="J115" s="342"/>
      <c r="K115" s="342"/>
      <c r="L115" s="342"/>
      <c r="M115" s="342"/>
      <c r="N115" s="342"/>
      <c r="O115" s="342"/>
      <c r="P115" s="342"/>
      <c r="Q115" s="342"/>
      <c r="R115" s="342"/>
      <c r="S115" s="342"/>
      <c r="T115" s="342"/>
      <c r="U115" s="341"/>
      <c r="W115" s="206">
        <f>Admin!B115</f>
        <v>44770</v>
      </c>
    </row>
    <row r="116" spans="1:23" ht="9" customHeight="1" thickBot="1" x14ac:dyDescent="0.2">
      <c r="A116" s="9"/>
      <c r="B116" s="10"/>
      <c r="C116" s="10"/>
      <c r="D116" s="10"/>
      <c r="E116" s="10"/>
      <c r="F116" s="10"/>
      <c r="G116" s="10"/>
      <c r="H116" s="10"/>
      <c r="I116" s="10"/>
      <c r="J116" s="63"/>
      <c r="K116" s="10"/>
      <c r="L116" s="10"/>
      <c r="M116" s="10"/>
      <c r="N116" s="10"/>
      <c r="O116" s="10"/>
      <c r="P116" s="147"/>
      <c r="Q116" s="10"/>
      <c r="R116" s="10"/>
      <c r="S116" s="10"/>
      <c r="T116" s="11"/>
      <c r="U116" s="341"/>
      <c r="W116" s="206">
        <f>Admin!B116</f>
        <v>44771</v>
      </c>
    </row>
    <row r="117" spans="1:23" ht="15" customHeight="1" thickTop="1" thickBot="1" x14ac:dyDescent="0.2">
      <c r="A117" s="12"/>
      <c r="B117" s="83" t="s">
        <v>37</v>
      </c>
      <c r="C117" s="52"/>
      <c r="D117" s="14"/>
      <c r="E117" s="14"/>
      <c r="F117" s="14"/>
      <c r="G117" s="14"/>
      <c r="H117" s="338" t="s">
        <v>50</v>
      </c>
      <c r="I117" s="14"/>
      <c r="J117" s="22"/>
      <c r="K117" s="83" t="s">
        <v>20</v>
      </c>
      <c r="L117" s="52"/>
      <c r="M117" s="70"/>
      <c r="N117" s="13"/>
      <c r="O117" s="343"/>
      <c r="P117" s="344"/>
      <c r="Q117" s="340"/>
      <c r="R117" s="53"/>
      <c r="S117" s="330"/>
      <c r="T117" s="15"/>
      <c r="U117" s="341"/>
      <c r="W117" s="206">
        <f>Admin!B117</f>
        <v>44772</v>
      </c>
    </row>
    <row r="118" spans="1:23" ht="6" customHeight="1" thickTop="1" thickBot="1" x14ac:dyDescent="0.2">
      <c r="A118" s="12"/>
      <c r="B118" s="52"/>
      <c r="C118" s="52"/>
      <c r="D118" s="14"/>
      <c r="E118" s="14"/>
      <c r="F118" s="14"/>
      <c r="G118" s="14"/>
      <c r="H118" s="338"/>
      <c r="I118" s="14"/>
      <c r="J118" s="22"/>
      <c r="K118" s="52"/>
      <c r="L118" s="52"/>
      <c r="M118" s="70"/>
      <c r="N118" s="13"/>
      <c r="O118" s="14"/>
      <c r="P118" s="148"/>
      <c r="Q118" s="341"/>
      <c r="R118" s="14"/>
      <c r="S118" s="331"/>
      <c r="T118" s="15"/>
      <c r="U118" s="341"/>
      <c r="W118" s="206">
        <f>Admin!B118</f>
        <v>44773</v>
      </c>
    </row>
    <row r="119" spans="1:23" ht="15" thickTop="1" thickBot="1" x14ac:dyDescent="0.2">
      <c r="A119" s="12"/>
      <c r="B119" s="14" t="s">
        <v>11</v>
      </c>
      <c r="C119" s="14"/>
      <c r="D119" s="332"/>
      <c r="E119" s="333"/>
      <c r="F119" s="334"/>
      <c r="G119" s="14"/>
      <c r="H119" s="21" t="s">
        <v>51</v>
      </c>
      <c r="I119" s="14"/>
      <c r="J119" s="51"/>
      <c r="K119" s="14" t="s">
        <v>17</v>
      </c>
      <c r="L119" s="14"/>
      <c r="M119" s="335"/>
      <c r="N119" s="336"/>
      <c r="O119" s="337"/>
      <c r="P119" s="148"/>
      <c r="Q119" s="29"/>
      <c r="R119" s="136"/>
      <c r="S119" s="139"/>
      <c r="T119" s="15"/>
      <c r="U119" s="341"/>
      <c r="W119" s="206">
        <f>Admin!B119</f>
        <v>44774</v>
      </c>
    </row>
    <row r="120" spans="1:23" ht="14" thickTop="1" thickBot="1" x14ac:dyDescent="0.2">
      <c r="A120" s="12"/>
      <c r="B120" s="14" t="s">
        <v>12</v>
      </c>
      <c r="C120" s="14"/>
      <c r="D120" s="332"/>
      <c r="E120" s="333"/>
      <c r="F120" s="334"/>
      <c r="G120" s="14"/>
      <c r="H120" s="152"/>
      <c r="I120" s="14"/>
      <c r="J120" s="22"/>
      <c r="K120" s="14"/>
      <c r="L120" s="14"/>
      <c r="M120" s="14"/>
      <c r="N120" s="14"/>
      <c r="O120" s="29"/>
      <c r="P120" s="155"/>
      <c r="Q120" s="29"/>
      <c r="R120" s="21"/>
      <c r="S120" s="29"/>
      <c r="T120" s="15"/>
      <c r="U120" s="341"/>
      <c r="W120" s="206">
        <f>Admin!B120</f>
        <v>44775</v>
      </c>
    </row>
    <row r="121" spans="1:23" ht="13" thickTop="1" x14ac:dyDescent="0.15">
      <c r="A121" s="12"/>
      <c r="B121" s="14"/>
      <c r="C121" s="14"/>
      <c r="D121" s="14"/>
      <c r="E121" s="14"/>
      <c r="F121" s="14"/>
      <c r="G121" s="14"/>
      <c r="H121" s="21" t="s">
        <v>52</v>
      </c>
      <c r="I121" s="14"/>
      <c r="J121" s="22"/>
      <c r="K121" s="14"/>
      <c r="L121" s="14"/>
      <c r="M121" s="14"/>
      <c r="N121" s="14"/>
      <c r="O121" s="14"/>
      <c r="P121" s="14"/>
      <c r="Q121" s="14"/>
      <c r="R121" s="14"/>
      <c r="S121" s="14"/>
      <c r="T121" s="15"/>
      <c r="U121" s="341"/>
      <c r="W121" s="206">
        <f>Admin!B121</f>
        <v>44776</v>
      </c>
    </row>
    <row r="122" spans="1:23" x14ac:dyDescent="0.15">
      <c r="A122" s="12"/>
      <c r="B122" s="14"/>
      <c r="C122" s="14"/>
      <c r="D122" s="14"/>
      <c r="E122" s="14"/>
      <c r="F122" s="14"/>
      <c r="G122" s="14"/>
      <c r="H122" s="153"/>
      <c r="I122" s="14"/>
      <c r="J122" s="22"/>
      <c r="K122" s="14"/>
      <c r="L122" s="14"/>
      <c r="M122" s="14"/>
      <c r="N122" s="14"/>
      <c r="O122" s="14"/>
      <c r="P122" s="14"/>
      <c r="Q122" s="14"/>
      <c r="R122" s="14"/>
      <c r="S122" s="14"/>
      <c r="T122" s="15"/>
      <c r="U122" s="341"/>
      <c r="W122" s="206">
        <f>Admin!B122</f>
        <v>44777</v>
      </c>
    </row>
    <row r="123" spans="1:23" x14ac:dyDescent="0.15">
      <c r="A123" s="12"/>
      <c r="B123" s="14"/>
      <c r="C123" s="14"/>
      <c r="D123" s="14"/>
      <c r="E123" s="14"/>
      <c r="F123" s="14"/>
      <c r="G123" s="14"/>
      <c r="H123" s="21" t="s">
        <v>53</v>
      </c>
      <c r="I123" s="14"/>
      <c r="J123" s="22"/>
      <c r="K123" s="14"/>
      <c r="L123" s="14"/>
      <c r="M123" s="14"/>
      <c r="N123" s="14"/>
      <c r="O123" s="14"/>
      <c r="P123" s="14"/>
      <c r="Q123" s="14"/>
      <c r="R123" s="14"/>
      <c r="S123" s="14"/>
      <c r="T123" s="15"/>
      <c r="U123" s="341"/>
      <c r="W123" s="206">
        <f>Admin!B123</f>
        <v>44778</v>
      </c>
    </row>
    <row r="124" spans="1:23" x14ac:dyDescent="0.15">
      <c r="A124" s="12"/>
      <c r="B124" s="14"/>
      <c r="C124" s="14"/>
      <c r="D124" s="14"/>
      <c r="E124" s="14"/>
      <c r="F124" s="14"/>
      <c r="G124" s="14"/>
      <c r="H124" s="152"/>
      <c r="I124" s="14"/>
      <c r="J124" s="22"/>
      <c r="K124" s="14"/>
      <c r="L124" s="14"/>
      <c r="M124" s="14"/>
      <c r="N124" s="14"/>
      <c r="O124" s="14"/>
      <c r="P124" s="14"/>
      <c r="Q124" s="14"/>
      <c r="R124" s="14"/>
      <c r="S124" s="14"/>
      <c r="T124" s="15"/>
      <c r="U124" s="341"/>
      <c r="W124" s="206">
        <f>Admin!B124</f>
        <v>44779</v>
      </c>
    </row>
    <row r="125" spans="1:23" ht="12" customHeight="1" x14ac:dyDescent="0.15">
      <c r="A125" s="12"/>
      <c r="B125" s="14"/>
      <c r="C125" s="14"/>
      <c r="D125" s="14"/>
      <c r="E125" s="14"/>
      <c r="F125" s="14"/>
      <c r="G125" s="14"/>
      <c r="H125" s="21" t="s">
        <v>54</v>
      </c>
      <c r="I125" s="14"/>
      <c r="J125" s="22"/>
      <c r="K125" s="14"/>
      <c r="L125" s="14"/>
      <c r="M125" s="14"/>
      <c r="N125" s="14"/>
      <c r="O125" s="14"/>
      <c r="P125" s="14"/>
      <c r="Q125" s="14"/>
      <c r="R125" s="14"/>
      <c r="S125" s="14"/>
      <c r="T125" s="64"/>
      <c r="U125" s="341"/>
      <c r="W125" s="206">
        <f>Admin!B125</f>
        <v>44780</v>
      </c>
    </row>
    <row r="126" spans="1:23" ht="14.25" customHeight="1" x14ac:dyDescent="0.15">
      <c r="A126" s="12"/>
      <c r="B126" s="14"/>
      <c r="C126" s="14"/>
      <c r="D126" s="14"/>
      <c r="E126" s="14"/>
      <c r="F126" s="14"/>
      <c r="G126" s="14"/>
      <c r="H126" s="154"/>
      <c r="I126" s="14"/>
      <c r="J126" s="22"/>
      <c r="K126" s="14"/>
      <c r="L126" s="14"/>
      <c r="M126" s="14"/>
      <c r="N126" s="14"/>
      <c r="O126" s="14"/>
      <c r="P126" s="14"/>
      <c r="Q126" s="14"/>
      <c r="R126" s="14"/>
      <c r="S126" s="14"/>
      <c r="T126" s="15"/>
      <c r="U126" s="341"/>
      <c r="W126" s="206">
        <f>Admin!B126</f>
        <v>44781</v>
      </c>
    </row>
    <row r="127" spans="1:23" ht="13" thickBot="1" x14ac:dyDescent="0.2">
      <c r="A127" s="12"/>
      <c r="B127" s="14"/>
      <c r="C127" s="14"/>
      <c r="D127" s="50"/>
      <c r="E127" s="14"/>
      <c r="F127" s="29" t="s">
        <v>30</v>
      </c>
      <c r="G127" s="53"/>
      <c r="H127" s="14"/>
      <c r="I127" s="14"/>
      <c r="J127" s="22"/>
      <c r="K127" s="14"/>
      <c r="L127" s="14"/>
      <c r="M127" s="14"/>
      <c r="N127" s="14"/>
      <c r="O127" s="14"/>
      <c r="P127" s="14"/>
      <c r="Q127" s="14"/>
      <c r="R127" s="14"/>
      <c r="S127" s="14"/>
      <c r="T127" s="15"/>
      <c r="U127" s="341"/>
      <c r="W127" s="206">
        <f>Admin!B127</f>
        <v>44782</v>
      </c>
    </row>
    <row r="128" spans="1:23" ht="14" thickTop="1" thickBot="1" x14ac:dyDescent="0.2">
      <c r="A128" s="12"/>
      <c r="B128" s="14" t="str">
        <f>B24</f>
        <v>Starting date (existing = 06/04/25)</v>
      </c>
      <c r="C128" s="14"/>
      <c r="D128" s="131"/>
      <c r="E128" s="14"/>
      <c r="F128" s="84" t="str">
        <f>IF(D128=0," ",IF(D132="W",LOOKUP(D128,Admin!B:B,Admin!C:C),IF(D132="M",LOOKUP(D128,Admin!B:B,Admin!D:D),LOOKUP(D128,Admin!B:B,Admin!C:C))))</f>
        <v xml:space="preserve"> </v>
      </c>
      <c r="G128" s="55"/>
      <c r="H128" s="14"/>
      <c r="I128" s="14"/>
      <c r="J128" s="22"/>
      <c r="K128" s="14"/>
      <c r="L128" s="14"/>
      <c r="M128" s="14"/>
      <c r="N128" s="14"/>
      <c r="O128" s="14"/>
      <c r="P128" s="14"/>
      <c r="Q128" s="14"/>
      <c r="R128" s="14"/>
      <c r="S128" s="14"/>
      <c r="T128" s="15"/>
      <c r="U128" s="341"/>
      <c r="W128" s="206">
        <f>Admin!B128</f>
        <v>44783</v>
      </c>
    </row>
    <row r="129" spans="1:23" ht="6" customHeight="1" thickTop="1" thickBot="1" x14ac:dyDescent="0.2">
      <c r="A129" s="12"/>
      <c r="B129" s="14"/>
      <c r="C129" s="14"/>
      <c r="D129" s="50"/>
      <c r="E129" s="14"/>
      <c r="F129" s="84"/>
      <c r="G129" s="55"/>
      <c r="H129" s="14"/>
      <c r="I129" s="298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5"/>
      <c r="U129" s="341"/>
      <c r="W129" s="206">
        <f>Admin!B129</f>
        <v>44784</v>
      </c>
    </row>
    <row r="130" spans="1:23" ht="13.5" customHeight="1" thickTop="1" thickBot="1" x14ac:dyDescent="0.2">
      <c r="A130" s="12"/>
      <c r="B130" s="14" t="s">
        <v>69</v>
      </c>
      <c r="C130" s="14"/>
      <c r="D130" s="131"/>
      <c r="E130" s="14"/>
      <c r="F130" s="84" t="str">
        <f>IF(D128=0," ",IF(D130=0," ",IF(D132="W",LOOKUP(D130,Admin!B:B,Admin!C:C),IF(D132="M",LOOKUP(D130,Admin!B:B,Admin!D:D),LOOKUP(D130,Admin!B:B,Admin!C:C)))))</f>
        <v xml:space="preserve"> </v>
      </c>
      <c r="G130" s="55"/>
      <c r="H130" s="14"/>
      <c r="I130" s="14"/>
      <c r="J130" s="22"/>
      <c r="K130" s="14"/>
      <c r="L130" s="14"/>
      <c r="M130" s="14"/>
      <c r="N130" s="14"/>
      <c r="O130" s="14"/>
      <c r="P130" s="14"/>
      <c r="Q130" s="14"/>
      <c r="R130" s="14"/>
      <c r="S130" s="14"/>
      <c r="T130" s="15"/>
      <c r="U130" s="341"/>
      <c r="W130" s="206">
        <f>Admin!B130</f>
        <v>44785</v>
      </c>
    </row>
    <row r="131" spans="1:23" ht="14" thickTop="1" thickBot="1" x14ac:dyDescent="0.2">
      <c r="A131" s="12"/>
      <c r="B131" s="14"/>
      <c r="C131" s="14"/>
      <c r="D131" s="50"/>
      <c r="E131" s="14"/>
      <c r="F131" s="26"/>
      <c r="G131" s="26"/>
      <c r="H131" s="14"/>
      <c r="I131" s="14"/>
      <c r="J131" s="22"/>
      <c r="K131" s="14"/>
      <c r="L131" s="14"/>
      <c r="M131" s="14"/>
      <c r="N131" s="14"/>
      <c r="O131" s="14"/>
      <c r="P131" s="14"/>
      <c r="Q131" s="14"/>
      <c r="R131" s="14"/>
      <c r="S131" s="14"/>
      <c r="T131" s="15"/>
      <c r="U131" s="341"/>
      <c r="W131" s="206">
        <f>Admin!B131</f>
        <v>44786</v>
      </c>
    </row>
    <row r="132" spans="1:23" ht="14" thickTop="1" thickBot="1" x14ac:dyDescent="0.2">
      <c r="A132" s="12"/>
      <c r="B132" s="14" t="s">
        <v>21</v>
      </c>
      <c r="C132" s="14"/>
      <c r="D132" s="71"/>
      <c r="E132" s="21" t="s">
        <v>29</v>
      </c>
      <c r="F132" s="176" t="str">
        <f>IF(D134="D","Enter M for Director","Enter M or W for Employee")</f>
        <v>Enter M or W for Employee</v>
      </c>
      <c r="G132" s="14"/>
      <c r="H132" s="16"/>
      <c r="I132" s="16"/>
      <c r="J132" s="22"/>
      <c r="K132" s="14"/>
      <c r="L132" s="14"/>
      <c r="M132" s="14"/>
      <c r="N132" s="14"/>
      <c r="O132" s="14"/>
      <c r="P132" s="14"/>
      <c r="Q132" s="14"/>
      <c r="R132" s="14"/>
      <c r="S132" s="14"/>
      <c r="T132" s="15"/>
      <c r="U132" s="341"/>
      <c r="W132" s="206">
        <f>Admin!B132</f>
        <v>44787</v>
      </c>
    </row>
    <row r="133" spans="1:23" ht="13" thickTop="1" x14ac:dyDescent="0.15">
      <c r="A133" s="12"/>
      <c r="B133" s="14" t="s">
        <v>16</v>
      </c>
      <c r="C133" s="14"/>
      <c r="D133" s="137">
        <v>5</v>
      </c>
      <c r="E133" s="18"/>
      <c r="F133" s="56"/>
      <c r="G133" s="21"/>
      <c r="H133" s="14"/>
      <c r="I133" s="14"/>
      <c r="J133" s="22"/>
      <c r="K133" s="14"/>
      <c r="L133" s="14"/>
      <c r="M133" s="14"/>
      <c r="N133" s="14"/>
      <c r="O133" s="14"/>
      <c r="P133" s="14"/>
      <c r="Q133" s="14"/>
      <c r="R133" s="14"/>
      <c r="S133" s="14"/>
      <c r="T133" s="15"/>
      <c r="U133" s="341"/>
      <c r="W133" s="206">
        <f>Admin!B133</f>
        <v>44788</v>
      </c>
    </row>
    <row r="134" spans="1:23" x14ac:dyDescent="0.15">
      <c r="A134" s="12"/>
      <c r="B134" s="14" t="s">
        <v>67</v>
      </c>
      <c r="C134" s="14"/>
      <c r="D134" s="199"/>
      <c r="E134" s="14"/>
      <c r="F134" s="175" t="s">
        <v>75</v>
      </c>
      <c r="G134" s="21"/>
      <c r="H134" s="14"/>
      <c r="I134" s="14"/>
      <c r="J134" s="22"/>
      <c r="K134" s="14"/>
      <c r="L134" s="14"/>
      <c r="M134" s="14"/>
      <c r="N134" s="14"/>
      <c r="O134" s="14"/>
      <c r="P134" s="14"/>
      <c r="Q134" s="14"/>
      <c r="R134" s="14"/>
      <c r="S134" s="14"/>
      <c r="T134" s="15"/>
      <c r="U134" s="341"/>
      <c r="W134" s="206">
        <f>Admin!B134</f>
        <v>44789</v>
      </c>
    </row>
    <row r="135" spans="1:23" ht="12" customHeight="1" x14ac:dyDescent="0.15">
      <c r="A135" s="12"/>
      <c r="B135" s="14"/>
      <c r="C135" s="14"/>
      <c r="D135" s="14"/>
      <c r="E135" s="14"/>
      <c r="F135" s="207"/>
      <c r="G135" s="207"/>
      <c r="H135" s="207"/>
      <c r="I135" s="14"/>
      <c r="J135" s="22"/>
      <c r="K135" s="14"/>
      <c r="L135" s="14"/>
      <c r="M135" s="14"/>
      <c r="N135" s="14"/>
      <c r="O135" s="14"/>
      <c r="P135" s="14"/>
      <c r="Q135" s="14"/>
      <c r="R135" s="14"/>
      <c r="S135" s="14"/>
      <c r="T135" s="15"/>
      <c r="U135" s="341"/>
      <c r="W135" s="206">
        <f>Admin!B135</f>
        <v>44790</v>
      </c>
    </row>
    <row r="136" spans="1:23" ht="6" customHeight="1" x14ac:dyDescent="0.15">
      <c r="A136" s="12"/>
      <c r="B136" s="14"/>
      <c r="C136" s="14"/>
      <c r="D136" s="14"/>
      <c r="E136" s="14"/>
      <c r="F136" s="208"/>
      <c r="G136" s="208"/>
      <c r="H136" s="208"/>
      <c r="I136" s="14"/>
      <c r="J136" s="22"/>
      <c r="K136" s="14"/>
      <c r="L136" s="14"/>
      <c r="M136" s="14"/>
      <c r="N136" s="14"/>
      <c r="O136" s="14"/>
      <c r="P136" s="14"/>
      <c r="Q136" s="14"/>
      <c r="R136" s="14"/>
      <c r="S136" s="14"/>
      <c r="T136" s="15"/>
      <c r="U136" s="341"/>
      <c r="W136" s="206">
        <f>Admin!B136</f>
        <v>44791</v>
      </c>
    </row>
    <row r="137" spans="1:23" ht="12" customHeight="1" x14ac:dyDescent="0.15">
      <c r="A137" s="12"/>
      <c r="B137" s="14"/>
      <c r="C137" s="14"/>
      <c r="D137" s="14"/>
      <c r="E137" s="14"/>
      <c r="F137" s="14"/>
      <c r="G137" s="14"/>
      <c r="H137" s="14"/>
      <c r="I137" s="14"/>
      <c r="J137" s="22"/>
      <c r="K137" s="14"/>
      <c r="L137" s="14"/>
      <c r="M137" s="14"/>
      <c r="N137" s="14"/>
      <c r="O137" s="14"/>
      <c r="P137" s="14"/>
      <c r="Q137" s="14"/>
      <c r="R137" s="14"/>
      <c r="S137" s="14"/>
      <c r="T137" s="15"/>
      <c r="U137" s="341"/>
      <c r="W137" s="206">
        <f>Admin!B137</f>
        <v>44792</v>
      </c>
    </row>
    <row r="138" spans="1:23" x14ac:dyDescent="0.15">
      <c r="A138" s="12"/>
      <c r="B138" s="14"/>
      <c r="C138" s="14"/>
      <c r="D138" s="14"/>
      <c r="E138" s="14"/>
      <c r="F138" s="14"/>
      <c r="G138" s="14"/>
      <c r="H138" s="14"/>
      <c r="I138" s="14"/>
      <c r="J138" s="22"/>
      <c r="K138" s="14"/>
      <c r="L138" s="14"/>
      <c r="M138" s="14"/>
      <c r="N138" s="14"/>
      <c r="O138" s="14"/>
      <c r="P138" s="14"/>
      <c r="Q138" s="14"/>
      <c r="R138" s="14"/>
      <c r="S138" s="14"/>
      <c r="T138" s="15"/>
      <c r="U138" s="341"/>
      <c r="W138" s="206">
        <f>Admin!B138</f>
        <v>44793</v>
      </c>
    </row>
    <row r="139" spans="1:23" ht="13.5" customHeight="1" x14ac:dyDescent="0.15">
      <c r="A139" s="12"/>
      <c r="B139" s="14"/>
      <c r="C139" s="14"/>
      <c r="D139" s="14"/>
      <c r="E139" s="14"/>
      <c r="F139" s="14"/>
      <c r="G139" s="14"/>
      <c r="H139" s="14"/>
      <c r="I139" s="14"/>
      <c r="J139" s="22"/>
      <c r="K139" s="14"/>
      <c r="L139" s="14"/>
      <c r="M139" s="14"/>
      <c r="N139" s="14"/>
      <c r="O139" s="14"/>
      <c r="P139" s="14"/>
      <c r="Q139" s="14"/>
      <c r="R139" s="14"/>
      <c r="S139" s="14"/>
      <c r="T139" s="15"/>
      <c r="U139" s="341"/>
      <c r="W139" s="206">
        <f>Admin!B139</f>
        <v>44794</v>
      </c>
    </row>
    <row r="140" spans="1:23" ht="9" customHeight="1" thickBot="1" x14ac:dyDescent="0.2">
      <c r="A140" s="65"/>
      <c r="B140" s="19"/>
      <c r="C140" s="19"/>
      <c r="D140" s="19"/>
      <c r="E140" s="19"/>
      <c r="F140" s="19"/>
      <c r="G140" s="19"/>
      <c r="H140" s="19"/>
      <c r="I140" s="19"/>
      <c r="J140" s="23"/>
      <c r="K140" s="14"/>
      <c r="L140" s="14"/>
      <c r="M140" s="14"/>
      <c r="N140" s="14"/>
      <c r="O140" s="14"/>
      <c r="P140" s="14"/>
      <c r="Q140" s="14"/>
      <c r="R140" s="14"/>
      <c r="S140" s="14"/>
      <c r="T140" s="25"/>
      <c r="U140" s="341"/>
      <c r="W140" s="206">
        <f>Admin!B140</f>
        <v>44795</v>
      </c>
    </row>
    <row r="141" spans="1:23" ht="22.5" customHeight="1" thickBot="1" x14ac:dyDescent="0.2">
      <c r="A141" s="342"/>
      <c r="B141" s="342"/>
      <c r="C141" s="342"/>
      <c r="D141" s="342"/>
      <c r="E141" s="342"/>
      <c r="F141" s="342"/>
      <c r="G141" s="342"/>
      <c r="H141" s="342"/>
      <c r="I141" s="342"/>
      <c r="J141" s="342"/>
      <c r="K141" s="342"/>
      <c r="L141" s="342"/>
      <c r="M141" s="342"/>
      <c r="N141" s="342"/>
      <c r="O141" s="342"/>
      <c r="P141" s="342"/>
      <c r="Q141" s="342"/>
      <c r="R141" s="342"/>
      <c r="S141" s="342"/>
      <c r="T141" s="342"/>
      <c r="U141" s="341"/>
      <c r="W141" s="206">
        <f>Admin!B141</f>
        <v>44796</v>
      </c>
    </row>
    <row r="142" spans="1:23" x14ac:dyDescent="0.15">
      <c r="W142" s="206">
        <f>Admin!B142</f>
        <v>44797</v>
      </c>
    </row>
    <row r="143" spans="1:23" x14ac:dyDescent="0.15">
      <c r="W143" s="206">
        <f>Admin!B143</f>
        <v>44798</v>
      </c>
    </row>
    <row r="144" spans="1:23" x14ac:dyDescent="0.15">
      <c r="W144" s="206">
        <f>Admin!B144</f>
        <v>44799</v>
      </c>
    </row>
    <row r="145" spans="23:23" x14ac:dyDescent="0.15">
      <c r="W145" s="206">
        <f>Admin!B145</f>
        <v>44800</v>
      </c>
    </row>
    <row r="146" spans="23:23" x14ac:dyDescent="0.15">
      <c r="W146" s="206">
        <f>Admin!B146</f>
        <v>44801</v>
      </c>
    </row>
    <row r="147" spans="23:23" x14ac:dyDescent="0.15">
      <c r="W147" s="206">
        <f>Admin!B147</f>
        <v>44802</v>
      </c>
    </row>
    <row r="148" spans="23:23" x14ac:dyDescent="0.15">
      <c r="W148" s="206">
        <f>Admin!B148</f>
        <v>44803</v>
      </c>
    </row>
    <row r="149" spans="23:23" x14ac:dyDescent="0.15">
      <c r="W149" s="206">
        <f>Admin!B149</f>
        <v>44804</v>
      </c>
    </row>
    <row r="150" spans="23:23" x14ac:dyDescent="0.15">
      <c r="W150" s="206">
        <f>Admin!B150</f>
        <v>44805</v>
      </c>
    </row>
    <row r="151" spans="23:23" x14ac:dyDescent="0.15">
      <c r="W151" s="206">
        <f>Admin!B151</f>
        <v>44806</v>
      </c>
    </row>
    <row r="152" spans="23:23" x14ac:dyDescent="0.15">
      <c r="W152" s="206">
        <f>Admin!B152</f>
        <v>44807</v>
      </c>
    </row>
    <row r="153" spans="23:23" x14ac:dyDescent="0.15">
      <c r="W153" s="206">
        <f>Admin!B153</f>
        <v>44808</v>
      </c>
    </row>
    <row r="154" spans="23:23" x14ac:dyDescent="0.15">
      <c r="W154" s="206">
        <f>Admin!B154</f>
        <v>44809</v>
      </c>
    </row>
    <row r="155" spans="23:23" x14ac:dyDescent="0.15">
      <c r="W155" s="206">
        <f>Admin!B155</f>
        <v>44810</v>
      </c>
    </row>
    <row r="156" spans="23:23" x14ac:dyDescent="0.15">
      <c r="W156" s="206">
        <f>Admin!B156</f>
        <v>44811</v>
      </c>
    </row>
    <row r="157" spans="23:23" x14ac:dyDescent="0.15">
      <c r="W157" s="206">
        <f>Admin!B157</f>
        <v>44812</v>
      </c>
    </row>
    <row r="158" spans="23:23" x14ac:dyDescent="0.15">
      <c r="W158" s="206">
        <f>Admin!B158</f>
        <v>44813</v>
      </c>
    </row>
    <row r="159" spans="23:23" x14ac:dyDescent="0.15">
      <c r="W159" s="206">
        <f>Admin!B159</f>
        <v>44814</v>
      </c>
    </row>
    <row r="160" spans="23:23" x14ac:dyDescent="0.15">
      <c r="W160" s="206">
        <f>Admin!B160</f>
        <v>44815</v>
      </c>
    </row>
    <row r="161" spans="23:23" x14ac:dyDescent="0.15">
      <c r="W161" s="206">
        <f>Admin!B161</f>
        <v>44816</v>
      </c>
    </row>
    <row r="162" spans="23:23" x14ac:dyDescent="0.15">
      <c r="W162" s="206">
        <f>Admin!B162</f>
        <v>44817</v>
      </c>
    </row>
    <row r="163" spans="23:23" x14ac:dyDescent="0.15">
      <c r="W163" s="206">
        <f>Admin!B163</f>
        <v>44818</v>
      </c>
    </row>
    <row r="164" spans="23:23" x14ac:dyDescent="0.15">
      <c r="W164" s="206">
        <f>Admin!B164</f>
        <v>44819</v>
      </c>
    </row>
    <row r="165" spans="23:23" x14ac:dyDescent="0.15">
      <c r="W165" s="206">
        <f>Admin!B165</f>
        <v>44820</v>
      </c>
    </row>
    <row r="166" spans="23:23" x14ac:dyDescent="0.15">
      <c r="W166" s="206">
        <f>Admin!B166</f>
        <v>44821</v>
      </c>
    </row>
    <row r="167" spans="23:23" x14ac:dyDescent="0.15">
      <c r="W167" s="206">
        <f>Admin!B167</f>
        <v>44822</v>
      </c>
    </row>
    <row r="168" spans="23:23" x14ac:dyDescent="0.15">
      <c r="W168" s="206">
        <f>Admin!B168</f>
        <v>44823</v>
      </c>
    </row>
    <row r="169" spans="23:23" x14ac:dyDescent="0.15">
      <c r="W169" s="206">
        <f>Admin!B169</f>
        <v>44824</v>
      </c>
    </row>
    <row r="170" spans="23:23" x14ac:dyDescent="0.15">
      <c r="W170" s="206">
        <f>Admin!B170</f>
        <v>44825</v>
      </c>
    </row>
    <row r="171" spans="23:23" x14ac:dyDescent="0.15">
      <c r="W171" s="206">
        <f>Admin!B171</f>
        <v>44826</v>
      </c>
    </row>
    <row r="172" spans="23:23" x14ac:dyDescent="0.15">
      <c r="W172" s="206">
        <f>Admin!B172</f>
        <v>44827</v>
      </c>
    </row>
    <row r="173" spans="23:23" x14ac:dyDescent="0.15">
      <c r="W173" s="206">
        <f>Admin!B173</f>
        <v>44828</v>
      </c>
    </row>
    <row r="174" spans="23:23" x14ac:dyDescent="0.15">
      <c r="W174" s="206">
        <f>Admin!B174</f>
        <v>44829</v>
      </c>
    </row>
    <row r="175" spans="23:23" x14ac:dyDescent="0.15">
      <c r="W175" s="206">
        <f>Admin!B175</f>
        <v>44830</v>
      </c>
    </row>
    <row r="176" spans="23:23" x14ac:dyDescent="0.15">
      <c r="W176" s="206">
        <f>Admin!B176</f>
        <v>44831</v>
      </c>
    </row>
    <row r="177" spans="23:23" x14ac:dyDescent="0.15">
      <c r="W177" s="206">
        <f>Admin!B177</f>
        <v>44832</v>
      </c>
    </row>
    <row r="178" spans="23:23" x14ac:dyDescent="0.15">
      <c r="W178" s="206">
        <f>Admin!B178</f>
        <v>44833</v>
      </c>
    </row>
    <row r="179" spans="23:23" x14ac:dyDescent="0.15">
      <c r="W179" s="206">
        <f>Admin!B179</f>
        <v>44834</v>
      </c>
    </row>
    <row r="180" spans="23:23" x14ac:dyDescent="0.15">
      <c r="W180" s="206">
        <f>Admin!B180</f>
        <v>44835</v>
      </c>
    </row>
    <row r="181" spans="23:23" x14ac:dyDescent="0.15">
      <c r="W181" s="206">
        <f>Admin!B181</f>
        <v>44836</v>
      </c>
    </row>
    <row r="182" spans="23:23" x14ac:dyDescent="0.15">
      <c r="W182" s="206">
        <f>Admin!B182</f>
        <v>44837</v>
      </c>
    </row>
    <row r="183" spans="23:23" x14ac:dyDescent="0.15">
      <c r="W183" s="206">
        <f>Admin!B183</f>
        <v>44838</v>
      </c>
    </row>
    <row r="184" spans="23:23" x14ac:dyDescent="0.15">
      <c r="W184" s="206">
        <f>Admin!B184</f>
        <v>44839</v>
      </c>
    </row>
    <row r="185" spans="23:23" x14ac:dyDescent="0.15">
      <c r="W185" s="206">
        <f>Admin!B185</f>
        <v>44840</v>
      </c>
    </row>
    <row r="186" spans="23:23" x14ac:dyDescent="0.15">
      <c r="W186" s="206">
        <f>Admin!B186</f>
        <v>44841</v>
      </c>
    </row>
    <row r="187" spans="23:23" x14ac:dyDescent="0.15">
      <c r="W187" s="206">
        <f>Admin!B187</f>
        <v>44842</v>
      </c>
    </row>
    <row r="188" spans="23:23" x14ac:dyDescent="0.15">
      <c r="W188" s="206">
        <f>Admin!B188</f>
        <v>44843</v>
      </c>
    </row>
    <row r="189" spans="23:23" x14ac:dyDescent="0.15">
      <c r="W189" s="206">
        <f>Admin!B189</f>
        <v>44844</v>
      </c>
    </row>
    <row r="190" spans="23:23" x14ac:dyDescent="0.15">
      <c r="W190" s="206">
        <f>Admin!B190</f>
        <v>44845</v>
      </c>
    </row>
    <row r="191" spans="23:23" x14ac:dyDescent="0.15">
      <c r="W191" s="206">
        <f>Admin!B191</f>
        <v>44846</v>
      </c>
    </row>
    <row r="192" spans="23:23" x14ac:dyDescent="0.15">
      <c r="W192" s="206">
        <f>Admin!B192</f>
        <v>44847</v>
      </c>
    </row>
    <row r="193" spans="23:23" x14ac:dyDescent="0.15">
      <c r="W193" s="206">
        <f>Admin!B193</f>
        <v>44848</v>
      </c>
    </row>
    <row r="194" spans="23:23" x14ac:dyDescent="0.15">
      <c r="W194" s="206">
        <f>Admin!B194</f>
        <v>44849</v>
      </c>
    </row>
    <row r="195" spans="23:23" x14ac:dyDescent="0.15">
      <c r="W195" s="206">
        <f>Admin!B195</f>
        <v>44850</v>
      </c>
    </row>
    <row r="196" spans="23:23" x14ac:dyDescent="0.15">
      <c r="W196" s="206">
        <f>Admin!B196</f>
        <v>44851</v>
      </c>
    </row>
    <row r="197" spans="23:23" x14ac:dyDescent="0.15">
      <c r="W197" s="206">
        <f>Admin!B197</f>
        <v>44852</v>
      </c>
    </row>
    <row r="198" spans="23:23" x14ac:dyDescent="0.15">
      <c r="W198" s="206">
        <f>Admin!B198</f>
        <v>44853</v>
      </c>
    </row>
    <row r="199" spans="23:23" x14ac:dyDescent="0.15">
      <c r="W199" s="206">
        <f>Admin!B199</f>
        <v>44854</v>
      </c>
    </row>
    <row r="200" spans="23:23" x14ac:dyDescent="0.15">
      <c r="W200" s="206">
        <f>Admin!B200</f>
        <v>44855</v>
      </c>
    </row>
    <row r="201" spans="23:23" x14ac:dyDescent="0.15">
      <c r="W201" s="206">
        <f>Admin!B201</f>
        <v>44856</v>
      </c>
    </row>
    <row r="202" spans="23:23" x14ac:dyDescent="0.15">
      <c r="W202" s="206">
        <f>Admin!B202</f>
        <v>44857</v>
      </c>
    </row>
    <row r="203" spans="23:23" x14ac:dyDescent="0.15">
      <c r="W203" s="206">
        <f>Admin!B203</f>
        <v>44858</v>
      </c>
    </row>
    <row r="204" spans="23:23" x14ac:dyDescent="0.15">
      <c r="W204" s="206">
        <f>Admin!B204</f>
        <v>44859</v>
      </c>
    </row>
    <row r="205" spans="23:23" x14ac:dyDescent="0.15">
      <c r="W205" s="206">
        <f>Admin!B205</f>
        <v>44860</v>
      </c>
    </row>
    <row r="206" spans="23:23" x14ac:dyDescent="0.15">
      <c r="W206" s="206">
        <f>Admin!B206</f>
        <v>44861</v>
      </c>
    </row>
    <row r="207" spans="23:23" x14ac:dyDescent="0.15">
      <c r="W207" s="206">
        <f>Admin!B207</f>
        <v>44862</v>
      </c>
    </row>
    <row r="208" spans="23:23" x14ac:dyDescent="0.15">
      <c r="W208" s="206">
        <f>Admin!B208</f>
        <v>44863</v>
      </c>
    </row>
    <row r="209" spans="23:23" x14ac:dyDescent="0.15">
      <c r="W209" s="206">
        <f>Admin!B209</f>
        <v>44864</v>
      </c>
    </row>
    <row r="210" spans="23:23" x14ac:dyDescent="0.15">
      <c r="W210" s="206">
        <f>Admin!B210</f>
        <v>44865</v>
      </c>
    </row>
    <row r="211" spans="23:23" x14ac:dyDescent="0.15">
      <c r="W211" s="206">
        <f>Admin!B211</f>
        <v>44866</v>
      </c>
    </row>
    <row r="212" spans="23:23" x14ac:dyDescent="0.15">
      <c r="W212" s="206">
        <f>Admin!B212</f>
        <v>44867</v>
      </c>
    </row>
    <row r="213" spans="23:23" x14ac:dyDescent="0.15">
      <c r="W213" s="206">
        <f>Admin!B213</f>
        <v>44868</v>
      </c>
    </row>
    <row r="214" spans="23:23" x14ac:dyDescent="0.15">
      <c r="W214" s="206">
        <f>Admin!B214</f>
        <v>44869</v>
      </c>
    </row>
    <row r="215" spans="23:23" x14ac:dyDescent="0.15">
      <c r="W215" s="206">
        <f>Admin!B215</f>
        <v>44870</v>
      </c>
    </row>
    <row r="216" spans="23:23" x14ac:dyDescent="0.15">
      <c r="W216" s="206">
        <f>Admin!B216</f>
        <v>44871</v>
      </c>
    </row>
    <row r="217" spans="23:23" x14ac:dyDescent="0.15">
      <c r="W217" s="206">
        <f>Admin!B217</f>
        <v>44872</v>
      </c>
    </row>
    <row r="218" spans="23:23" x14ac:dyDescent="0.15">
      <c r="W218" s="206">
        <f>Admin!B218</f>
        <v>44873</v>
      </c>
    </row>
    <row r="219" spans="23:23" x14ac:dyDescent="0.15">
      <c r="W219" s="206">
        <f>Admin!B219</f>
        <v>44874</v>
      </c>
    </row>
    <row r="220" spans="23:23" x14ac:dyDescent="0.15">
      <c r="W220" s="206">
        <f>Admin!B220</f>
        <v>44875</v>
      </c>
    </row>
    <row r="221" spans="23:23" x14ac:dyDescent="0.15">
      <c r="W221" s="206">
        <f>Admin!B221</f>
        <v>44876</v>
      </c>
    </row>
    <row r="222" spans="23:23" x14ac:dyDescent="0.15">
      <c r="W222" s="206">
        <f>Admin!B222</f>
        <v>44877</v>
      </c>
    </row>
    <row r="223" spans="23:23" x14ac:dyDescent="0.15">
      <c r="W223" s="206">
        <f>Admin!B223</f>
        <v>44878</v>
      </c>
    </row>
    <row r="224" spans="23:23" x14ac:dyDescent="0.15">
      <c r="W224" s="206">
        <f>Admin!B224</f>
        <v>44879</v>
      </c>
    </row>
    <row r="225" spans="23:23" x14ac:dyDescent="0.15">
      <c r="W225" s="206">
        <f>Admin!B225</f>
        <v>44880</v>
      </c>
    </row>
    <row r="226" spans="23:23" x14ac:dyDescent="0.15">
      <c r="W226" s="206">
        <f>Admin!B226</f>
        <v>44881</v>
      </c>
    </row>
    <row r="227" spans="23:23" x14ac:dyDescent="0.15">
      <c r="W227" s="206">
        <f>Admin!B227</f>
        <v>44882</v>
      </c>
    </row>
    <row r="228" spans="23:23" x14ac:dyDescent="0.15">
      <c r="W228" s="206">
        <f>Admin!B228</f>
        <v>44883</v>
      </c>
    </row>
    <row r="229" spans="23:23" x14ac:dyDescent="0.15">
      <c r="W229" s="206">
        <f>Admin!B229</f>
        <v>44884</v>
      </c>
    </row>
    <row r="230" spans="23:23" x14ac:dyDescent="0.15">
      <c r="W230" s="206">
        <f>Admin!B230</f>
        <v>44885</v>
      </c>
    </row>
    <row r="231" spans="23:23" x14ac:dyDescent="0.15">
      <c r="W231" s="206">
        <f>Admin!B231</f>
        <v>44886</v>
      </c>
    </row>
    <row r="232" spans="23:23" x14ac:dyDescent="0.15">
      <c r="W232" s="206">
        <f>Admin!B232</f>
        <v>44887</v>
      </c>
    </row>
    <row r="233" spans="23:23" x14ac:dyDescent="0.15">
      <c r="W233" s="206">
        <f>Admin!B233</f>
        <v>44888</v>
      </c>
    </row>
    <row r="234" spans="23:23" x14ac:dyDescent="0.15">
      <c r="W234" s="206">
        <f>Admin!B234</f>
        <v>44889</v>
      </c>
    </row>
    <row r="235" spans="23:23" x14ac:dyDescent="0.15">
      <c r="W235" s="206">
        <f>Admin!B235</f>
        <v>44890</v>
      </c>
    </row>
    <row r="236" spans="23:23" x14ac:dyDescent="0.15">
      <c r="W236" s="206">
        <f>Admin!B236</f>
        <v>44891</v>
      </c>
    </row>
    <row r="237" spans="23:23" x14ac:dyDescent="0.15">
      <c r="W237" s="206">
        <f>Admin!B237</f>
        <v>44892</v>
      </c>
    </row>
    <row r="238" spans="23:23" x14ac:dyDescent="0.15">
      <c r="W238" s="206">
        <f>Admin!B238</f>
        <v>44893</v>
      </c>
    </row>
    <row r="239" spans="23:23" x14ac:dyDescent="0.15">
      <c r="W239" s="206">
        <f>Admin!B239</f>
        <v>44894</v>
      </c>
    </row>
    <row r="240" spans="23:23" x14ac:dyDescent="0.15">
      <c r="W240" s="206">
        <f>Admin!B240</f>
        <v>44895</v>
      </c>
    </row>
    <row r="241" spans="23:23" x14ac:dyDescent="0.15">
      <c r="W241" s="206">
        <f>Admin!B241</f>
        <v>44896</v>
      </c>
    </row>
    <row r="242" spans="23:23" x14ac:dyDescent="0.15">
      <c r="W242" s="206">
        <f>Admin!B242</f>
        <v>44897</v>
      </c>
    </row>
    <row r="243" spans="23:23" x14ac:dyDescent="0.15">
      <c r="W243" s="206">
        <f>Admin!B243</f>
        <v>44898</v>
      </c>
    </row>
    <row r="244" spans="23:23" x14ac:dyDescent="0.15">
      <c r="W244" s="206">
        <f>Admin!B244</f>
        <v>44899</v>
      </c>
    </row>
    <row r="245" spans="23:23" x14ac:dyDescent="0.15">
      <c r="W245" s="206">
        <f>Admin!B245</f>
        <v>44900</v>
      </c>
    </row>
    <row r="246" spans="23:23" x14ac:dyDescent="0.15">
      <c r="W246" s="206">
        <f>Admin!B246</f>
        <v>44901</v>
      </c>
    </row>
    <row r="247" spans="23:23" x14ac:dyDescent="0.15">
      <c r="W247" s="206">
        <f>Admin!B247</f>
        <v>44902</v>
      </c>
    </row>
    <row r="248" spans="23:23" x14ac:dyDescent="0.15">
      <c r="W248" s="206">
        <f>Admin!B248</f>
        <v>44903</v>
      </c>
    </row>
    <row r="249" spans="23:23" x14ac:dyDescent="0.15">
      <c r="W249" s="206">
        <f>Admin!B249</f>
        <v>44904</v>
      </c>
    </row>
    <row r="250" spans="23:23" x14ac:dyDescent="0.15">
      <c r="W250" s="206">
        <f>Admin!B250</f>
        <v>44905</v>
      </c>
    </row>
    <row r="251" spans="23:23" x14ac:dyDescent="0.15">
      <c r="W251" s="206">
        <f>Admin!B251</f>
        <v>44906</v>
      </c>
    </row>
    <row r="252" spans="23:23" x14ac:dyDescent="0.15">
      <c r="W252" s="206">
        <f>Admin!B252</f>
        <v>44907</v>
      </c>
    </row>
    <row r="253" spans="23:23" x14ac:dyDescent="0.15">
      <c r="W253" s="206">
        <f>Admin!B253</f>
        <v>44908</v>
      </c>
    </row>
    <row r="254" spans="23:23" x14ac:dyDescent="0.15">
      <c r="W254" s="206">
        <f>Admin!B254</f>
        <v>44909</v>
      </c>
    </row>
    <row r="255" spans="23:23" x14ac:dyDescent="0.15">
      <c r="W255" s="206">
        <f>Admin!B255</f>
        <v>44910</v>
      </c>
    </row>
    <row r="256" spans="23:23" x14ac:dyDescent="0.15">
      <c r="W256" s="206">
        <f>Admin!B256</f>
        <v>44911</v>
      </c>
    </row>
    <row r="257" spans="23:23" x14ac:dyDescent="0.15">
      <c r="W257" s="206">
        <f>Admin!B257</f>
        <v>44912</v>
      </c>
    </row>
    <row r="258" spans="23:23" x14ac:dyDescent="0.15">
      <c r="W258" s="206">
        <f>Admin!B258</f>
        <v>44913</v>
      </c>
    </row>
    <row r="259" spans="23:23" x14ac:dyDescent="0.15">
      <c r="W259" s="206">
        <f>Admin!B259</f>
        <v>44914</v>
      </c>
    </row>
    <row r="260" spans="23:23" x14ac:dyDescent="0.15">
      <c r="W260" s="206">
        <f>Admin!B260</f>
        <v>44915</v>
      </c>
    </row>
    <row r="261" spans="23:23" x14ac:dyDescent="0.15">
      <c r="W261" s="206">
        <f>Admin!B261</f>
        <v>44916</v>
      </c>
    </row>
    <row r="262" spans="23:23" x14ac:dyDescent="0.15">
      <c r="W262" s="206">
        <f>Admin!B262</f>
        <v>44917</v>
      </c>
    </row>
    <row r="263" spans="23:23" x14ac:dyDescent="0.15">
      <c r="W263" s="206">
        <f>Admin!B263</f>
        <v>44918</v>
      </c>
    </row>
    <row r="264" spans="23:23" x14ac:dyDescent="0.15">
      <c r="W264" s="206">
        <f>Admin!B264</f>
        <v>44919</v>
      </c>
    </row>
    <row r="265" spans="23:23" x14ac:dyDescent="0.15">
      <c r="W265" s="206">
        <f>Admin!B265</f>
        <v>44920</v>
      </c>
    </row>
    <row r="266" spans="23:23" x14ac:dyDescent="0.15">
      <c r="W266" s="206">
        <f>Admin!B266</f>
        <v>44921</v>
      </c>
    </row>
    <row r="267" spans="23:23" x14ac:dyDescent="0.15">
      <c r="W267" s="206">
        <f>Admin!B267</f>
        <v>44922</v>
      </c>
    </row>
    <row r="268" spans="23:23" x14ac:dyDescent="0.15">
      <c r="W268" s="206">
        <f>Admin!B268</f>
        <v>44923</v>
      </c>
    </row>
    <row r="269" spans="23:23" x14ac:dyDescent="0.15">
      <c r="W269" s="206">
        <f>Admin!B269</f>
        <v>44924</v>
      </c>
    </row>
    <row r="270" spans="23:23" x14ac:dyDescent="0.15">
      <c r="W270" s="206">
        <f>Admin!B270</f>
        <v>44925</v>
      </c>
    </row>
    <row r="271" spans="23:23" x14ac:dyDescent="0.15">
      <c r="W271" s="206">
        <f>Admin!B271</f>
        <v>44926</v>
      </c>
    </row>
    <row r="272" spans="23:23" x14ac:dyDescent="0.15">
      <c r="W272" s="206">
        <f>Admin!B272</f>
        <v>44927</v>
      </c>
    </row>
    <row r="273" spans="23:23" x14ac:dyDescent="0.15">
      <c r="W273" s="206">
        <f>Admin!B273</f>
        <v>44928</v>
      </c>
    </row>
    <row r="274" spans="23:23" x14ac:dyDescent="0.15">
      <c r="W274" s="206">
        <f>Admin!B274</f>
        <v>44929</v>
      </c>
    </row>
    <row r="275" spans="23:23" x14ac:dyDescent="0.15">
      <c r="W275" s="206">
        <f>Admin!B275</f>
        <v>44930</v>
      </c>
    </row>
    <row r="276" spans="23:23" x14ac:dyDescent="0.15">
      <c r="W276" s="206">
        <f>Admin!B276</f>
        <v>44931</v>
      </c>
    </row>
    <row r="277" spans="23:23" x14ac:dyDescent="0.15">
      <c r="W277" s="206">
        <f>Admin!B277</f>
        <v>44932</v>
      </c>
    </row>
    <row r="278" spans="23:23" x14ac:dyDescent="0.15">
      <c r="W278" s="206">
        <f>Admin!B278</f>
        <v>44933</v>
      </c>
    </row>
    <row r="279" spans="23:23" x14ac:dyDescent="0.15">
      <c r="W279" s="206">
        <f>Admin!B279</f>
        <v>44934</v>
      </c>
    </row>
    <row r="280" spans="23:23" x14ac:dyDescent="0.15">
      <c r="W280" s="206">
        <f>Admin!B280</f>
        <v>44935</v>
      </c>
    </row>
    <row r="281" spans="23:23" x14ac:dyDescent="0.15">
      <c r="W281" s="206">
        <f>Admin!B281</f>
        <v>44936</v>
      </c>
    </row>
    <row r="282" spans="23:23" x14ac:dyDescent="0.15">
      <c r="W282" s="206">
        <f>Admin!B282</f>
        <v>44937</v>
      </c>
    </row>
    <row r="283" spans="23:23" x14ac:dyDescent="0.15">
      <c r="W283" s="206">
        <f>Admin!B283</f>
        <v>44938</v>
      </c>
    </row>
    <row r="284" spans="23:23" x14ac:dyDescent="0.15">
      <c r="W284" s="206">
        <f>Admin!B284</f>
        <v>44939</v>
      </c>
    </row>
    <row r="285" spans="23:23" x14ac:dyDescent="0.15">
      <c r="W285" s="206">
        <f>Admin!B285</f>
        <v>44940</v>
      </c>
    </row>
    <row r="286" spans="23:23" x14ac:dyDescent="0.15">
      <c r="W286" s="206">
        <f>Admin!B286</f>
        <v>44941</v>
      </c>
    </row>
    <row r="287" spans="23:23" x14ac:dyDescent="0.15">
      <c r="W287" s="206">
        <f>Admin!B287</f>
        <v>44942</v>
      </c>
    </row>
    <row r="288" spans="23:23" x14ac:dyDescent="0.15">
      <c r="W288" s="206">
        <f>Admin!B288</f>
        <v>44943</v>
      </c>
    </row>
    <row r="289" spans="23:23" x14ac:dyDescent="0.15">
      <c r="W289" s="206">
        <f>Admin!B289</f>
        <v>44944</v>
      </c>
    </row>
    <row r="290" spans="23:23" x14ac:dyDescent="0.15">
      <c r="W290" s="206">
        <f>Admin!B290</f>
        <v>44945</v>
      </c>
    </row>
    <row r="291" spans="23:23" x14ac:dyDescent="0.15">
      <c r="W291" s="206">
        <f>Admin!B291</f>
        <v>44946</v>
      </c>
    </row>
    <row r="292" spans="23:23" x14ac:dyDescent="0.15">
      <c r="W292" s="206">
        <f>Admin!B292</f>
        <v>44947</v>
      </c>
    </row>
    <row r="293" spans="23:23" x14ac:dyDescent="0.15">
      <c r="W293" s="206">
        <f>Admin!B293</f>
        <v>44948</v>
      </c>
    </row>
    <row r="294" spans="23:23" x14ac:dyDescent="0.15">
      <c r="W294" s="206">
        <f>Admin!B294</f>
        <v>44949</v>
      </c>
    </row>
    <row r="295" spans="23:23" x14ac:dyDescent="0.15">
      <c r="W295" s="206">
        <f>Admin!B295</f>
        <v>44950</v>
      </c>
    </row>
    <row r="296" spans="23:23" x14ac:dyDescent="0.15">
      <c r="W296" s="206">
        <f>Admin!B296</f>
        <v>44951</v>
      </c>
    </row>
    <row r="297" spans="23:23" x14ac:dyDescent="0.15">
      <c r="W297" s="206">
        <f>Admin!B297</f>
        <v>44952</v>
      </c>
    </row>
    <row r="298" spans="23:23" x14ac:dyDescent="0.15">
      <c r="W298" s="206">
        <f>Admin!B298</f>
        <v>44953</v>
      </c>
    </row>
    <row r="299" spans="23:23" x14ac:dyDescent="0.15">
      <c r="W299" s="206">
        <f>Admin!B299</f>
        <v>44954</v>
      </c>
    </row>
    <row r="300" spans="23:23" x14ac:dyDescent="0.15">
      <c r="W300" s="206">
        <f>Admin!B300</f>
        <v>44955</v>
      </c>
    </row>
    <row r="301" spans="23:23" x14ac:dyDescent="0.15">
      <c r="W301" s="206">
        <f>Admin!B301</f>
        <v>44956</v>
      </c>
    </row>
    <row r="302" spans="23:23" x14ac:dyDescent="0.15">
      <c r="W302" s="206">
        <f>Admin!B302</f>
        <v>44957</v>
      </c>
    </row>
    <row r="303" spans="23:23" x14ac:dyDescent="0.15">
      <c r="W303" s="206">
        <f>Admin!B303</f>
        <v>44958</v>
      </c>
    </row>
    <row r="304" spans="23:23" x14ac:dyDescent="0.15">
      <c r="W304" s="206">
        <f>Admin!B304</f>
        <v>44959</v>
      </c>
    </row>
    <row r="305" spans="23:23" x14ac:dyDescent="0.15">
      <c r="W305" s="206">
        <f>Admin!B305</f>
        <v>44960</v>
      </c>
    </row>
    <row r="306" spans="23:23" x14ac:dyDescent="0.15">
      <c r="W306" s="206">
        <f>Admin!B306</f>
        <v>44961</v>
      </c>
    </row>
    <row r="307" spans="23:23" x14ac:dyDescent="0.15">
      <c r="W307" s="206">
        <f>Admin!B307</f>
        <v>44962</v>
      </c>
    </row>
    <row r="308" spans="23:23" x14ac:dyDescent="0.15">
      <c r="W308" s="206">
        <f>Admin!B308</f>
        <v>44963</v>
      </c>
    </row>
    <row r="309" spans="23:23" x14ac:dyDescent="0.15">
      <c r="W309" s="206">
        <f>Admin!B309</f>
        <v>44964</v>
      </c>
    </row>
    <row r="310" spans="23:23" x14ac:dyDescent="0.15">
      <c r="W310" s="206">
        <f>Admin!B310</f>
        <v>44965</v>
      </c>
    </row>
    <row r="311" spans="23:23" x14ac:dyDescent="0.15">
      <c r="W311" s="206">
        <f>Admin!B311</f>
        <v>44966</v>
      </c>
    </row>
    <row r="312" spans="23:23" x14ac:dyDescent="0.15">
      <c r="W312" s="206">
        <f>Admin!B312</f>
        <v>44967</v>
      </c>
    </row>
    <row r="313" spans="23:23" x14ac:dyDescent="0.15">
      <c r="W313" s="206">
        <f>Admin!B313</f>
        <v>44968</v>
      </c>
    </row>
    <row r="314" spans="23:23" x14ac:dyDescent="0.15">
      <c r="W314" s="206">
        <f>Admin!B314</f>
        <v>44969</v>
      </c>
    </row>
    <row r="315" spans="23:23" x14ac:dyDescent="0.15">
      <c r="W315" s="206">
        <f>Admin!B315</f>
        <v>44970</v>
      </c>
    </row>
    <row r="316" spans="23:23" x14ac:dyDescent="0.15">
      <c r="W316" s="206">
        <f>Admin!B316</f>
        <v>44971</v>
      </c>
    </row>
    <row r="317" spans="23:23" x14ac:dyDescent="0.15">
      <c r="W317" s="206">
        <f>Admin!B317</f>
        <v>44972</v>
      </c>
    </row>
    <row r="318" spans="23:23" x14ac:dyDescent="0.15">
      <c r="W318" s="206">
        <f>Admin!B318</f>
        <v>44973</v>
      </c>
    </row>
    <row r="319" spans="23:23" x14ac:dyDescent="0.15">
      <c r="W319" s="206">
        <f>Admin!B319</f>
        <v>44974</v>
      </c>
    </row>
    <row r="320" spans="23:23" x14ac:dyDescent="0.15">
      <c r="W320" s="206">
        <f>Admin!B320</f>
        <v>44975</v>
      </c>
    </row>
    <row r="321" spans="23:23" x14ac:dyDescent="0.15">
      <c r="W321" s="206">
        <f>Admin!B321</f>
        <v>44976</v>
      </c>
    </row>
    <row r="322" spans="23:23" x14ac:dyDescent="0.15">
      <c r="W322" s="206">
        <f>Admin!B322</f>
        <v>44977</v>
      </c>
    </row>
    <row r="323" spans="23:23" x14ac:dyDescent="0.15">
      <c r="W323" s="206">
        <f>Admin!B323</f>
        <v>44978</v>
      </c>
    </row>
    <row r="324" spans="23:23" x14ac:dyDescent="0.15">
      <c r="W324" s="206">
        <f>Admin!B324</f>
        <v>44979</v>
      </c>
    </row>
    <row r="325" spans="23:23" x14ac:dyDescent="0.15">
      <c r="W325" s="206">
        <f>Admin!B325</f>
        <v>44980</v>
      </c>
    </row>
    <row r="326" spans="23:23" x14ac:dyDescent="0.15">
      <c r="W326" s="206">
        <f>Admin!B326</f>
        <v>44981</v>
      </c>
    </row>
    <row r="327" spans="23:23" x14ac:dyDescent="0.15">
      <c r="W327" s="206">
        <f>Admin!B327</f>
        <v>44982</v>
      </c>
    </row>
    <row r="328" spans="23:23" x14ac:dyDescent="0.15">
      <c r="W328" s="206">
        <f>Admin!B328</f>
        <v>44983</v>
      </c>
    </row>
    <row r="329" spans="23:23" x14ac:dyDescent="0.15">
      <c r="W329" s="206">
        <f>Admin!B329</f>
        <v>44984</v>
      </c>
    </row>
    <row r="330" spans="23:23" x14ac:dyDescent="0.15">
      <c r="W330" s="206">
        <f>Admin!B330</f>
        <v>44985</v>
      </c>
    </row>
    <row r="331" spans="23:23" x14ac:dyDescent="0.15">
      <c r="W331" s="206">
        <f>Admin!B331</f>
        <v>44986</v>
      </c>
    </row>
    <row r="332" spans="23:23" x14ac:dyDescent="0.15">
      <c r="W332" s="206">
        <f>Admin!B332</f>
        <v>44987</v>
      </c>
    </row>
    <row r="333" spans="23:23" x14ac:dyDescent="0.15">
      <c r="W333" s="206">
        <f>Admin!B333</f>
        <v>44988</v>
      </c>
    </row>
    <row r="334" spans="23:23" x14ac:dyDescent="0.15">
      <c r="W334" s="206">
        <f>Admin!B334</f>
        <v>44989</v>
      </c>
    </row>
    <row r="335" spans="23:23" x14ac:dyDescent="0.15">
      <c r="W335" s="206">
        <f>Admin!B335</f>
        <v>44990</v>
      </c>
    </row>
    <row r="336" spans="23:23" x14ac:dyDescent="0.15">
      <c r="W336" s="206">
        <f>Admin!B336</f>
        <v>44991</v>
      </c>
    </row>
    <row r="337" spans="23:23" x14ac:dyDescent="0.15">
      <c r="W337" s="206">
        <f>Admin!B337</f>
        <v>44992</v>
      </c>
    </row>
    <row r="338" spans="23:23" x14ac:dyDescent="0.15">
      <c r="W338" s="206">
        <f>Admin!B338</f>
        <v>44993</v>
      </c>
    </row>
    <row r="339" spans="23:23" x14ac:dyDescent="0.15">
      <c r="W339" s="206">
        <f>Admin!B339</f>
        <v>44994</v>
      </c>
    </row>
    <row r="340" spans="23:23" x14ac:dyDescent="0.15">
      <c r="W340" s="206">
        <f>Admin!B340</f>
        <v>44995</v>
      </c>
    </row>
    <row r="341" spans="23:23" x14ac:dyDescent="0.15">
      <c r="W341" s="206">
        <f>Admin!B341</f>
        <v>44996</v>
      </c>
    </row>
    <row r="342" spans="23:23" x14ac:dyDescent="0.15">
      <c r="W342" s="206">
        <f>Admin!B342</f>
        <v>44997</v>
      </c>
    </row>
    <row r="343" spans="23:23" x14ac:dyDescent="0.15">
      <c r="W343" s="206">
        <f>Admin!B343</f>
        <v>44998</v>
      </c>
    </row>
    <row r="344" spans="23:23" x14ac:dyDescent="0.15">
      <c r="W344" s="206">
        <f>Admin!B344</f>
        <v>44999</v>
      </c>
    </row>
    <row r="345" spans="23:23" x14ac:dyDescent="0.15">
      <c r="W345" s="206">
        <f>Admin!B345</f>
        <v>45000</v>
      </c>
    </row>
    <row r="346" spans="23:23" x14ac:dyDescent="0.15">
      <c r="W346" s="206">
        <f>Admin!B346</f>
        <v>45001</v>
      </c>
    </row>
    <row r="347" spans="23:23" x14ac:dyDescent="0.15">
      <c r="W347" s="206">
        <f>Admin!B347</f>
        <v>45002</v>
      </c>
    </row>
    <row r="348" spans="23:23" x14ac:dyDescent="0.15">
      <c r="W348" s="206">
        <f>Admin!B348</f>
        <v>45003</v>
      </c>
    </row>
    <row r="349" spans="23:23" x14ac:dyDescent="0.15">
      <c r="W349" s="206">
        <f>Admin!B349</f>
        <v>45004</v>
      </c>
    </row>
    <row r="350" spans="23:23" x14ac:dyDescent="0.15">
      <c r="W350" s="206">
        <f>Admin!B350</f>
        <v>45005</v>
      </c>
    </row>
    <row r="351" spans="23:23" x14ac:dyDescent="0.15">
      <c r="W351" s="206">
        <f>Admin!B351</f>
        <v>45006</v>
      </c>
    </row>
    <row r="352" spans="23:23" x14ac:dyDescent="0.15">
      <c r="W352" s="206">
        <f>Admin!B352</f>
        <v>45007</v>
      </c>
    </row>
    <row r="353" spans="23:23" x14ac:dyDescent="0.15">
      <c r="W353" s="206">
        <f>Admin!B353</f>
        <v>45008</v>
      </c>
    </row>
    <row r="354" spans="23:23" x14ac:dyDescent="0.15">
      <c r="W354" s="206">
        <f>Admin!B354</f>
        <v>45009</v>
      </c>
    </row>
    <row r="355" spans="23:23" x14ac:dyDescent="0.15">
      <c r="W355" s="206">
        <f>Admin!B355</f>
        <v>45010</v>
      </c>
    </row>
    <row r="356" spans="23:23" x14ac:dyDescent="0.15">
      <c r="W356" s="206">
        <f>Admin!B356</f>
        <v>45011</v>
      </c>
    </row>
    <row r="357" spans="23:23" x14ac:dyDescent="0.15">
      <c r="W357" s="206">
        <f>Admin!B357</f>
        <v>45012</v>
      </c>
    </row>
    <row r="358" spans="23:23" x14ac:dyDescent="0.15">
      <c r="W358" s="206">
        <f>Admin!B358</f>
        <v>45013</v>
      </c>
    </row>
    <row r="359" spans="23:23" x14ac:dyDescent="0.15">
      <c r="W359" s="206">
        <f>Admin!B359</f>
        <v>45014</v>
      </c>
    </row>
    <row r="360" spans="23:23" x14ac:dyDescent="0.15">
      <c r="W360" s="206">
        <f>Admin!B360</f>
        <v>45015</v>
      </c>
    </row>
    <row r="361" spans="23:23" x14ac:dyDescent="0.15">
      <c r="W361" s="206">
        <f>Admin!B361</f>
        <v>45016</v>
      </c>
    </row>
    <row r="362" spans="23:23" x14ac:dyDescent="0.15">
      <c r="W362" s="206">
        <f>Admin!B362</f>
        <v>45017</v>
      </c>
    </row>
    <row r="363" spans="23:23" x14ac:dyDescent="0.15">
      <c r="W363" s="206">
        <f>Admin!B363</f>
        <v>45018</v>
      </c>
    </row>
    <row r="364" spans="23:23" x14ac:dyDescent="0.15">
      <c r="W364" s="206">
        <f>Admin!B364</f>
        <v>45019</v>
      </c>
    </row>
    <row r="365" spans="23:23" x14ac:dyDescent="0.15">
      <c r="W365" s="206">
        <f>Admin!B365</f>
        <v>45020</v>
      </c>
    </row>
    <row r="366" spans="23:23" x14ac:dyDescent="0.15">
      <c r="W366" s="206">
        <f>Admin!B366</f>
        <v>45021</v>
      </c>
    </row>
  </sheetData>
  <mergeCells count="51">
    <mergeCell ref="D15:F15"/>
    <mergeCell ref="D16:F16"/>
    <mergeCell ref="M15:O15"/>
    <mergeCell ref="D5:F5"/>
    <mergeCell ref="D6:F6"/>
    <mergeCell ref="O13:P13"/>
    <mergeCell ref="D7:F7"/>
    <mergeCell ref="H13:H14"/>
    <mergeCell ref="H5:O7"/>
    <mergeCell ref="S39:S40"/>
    <mergeCell ref="H39:H40"/>
    <mergeCell ref="S13:S14"/>
    <mergeCell ref="Q3:S3"/>
    <mergeCell ref="H3:M3"/>
    <mergeCell ref="U1:U141"/>
    <mergeCell ref="A11:T11"/>
    <mergeCell ref="A1:T1"/>
    <mergeCell ref="D41:F41"/>
    <mergeCell ref="D42:F42"/>
    <mergeCell ref="M41:O41"/>
    <mergeCell ref="A63:T63"/>
    <mergeCell ref="Q13:Q14"/>
    <mergeCell ref="O39:P39"/>
    <mergeCell ref="A37:T37"/>
    <mergeCell ref="Q39:Q40"/>
    <mergeCell ref="A141:T141"/>
    <mergeCell ref="D95:F95"/>
    <mergeCell ref="M119:O119"/>
    <mergeCell ref="O117:P117"/>
    <mergeCell ref="D120:F120"/>
    <mergeCell ref="K61:S61"/>
    <mergeCell ref="Q65:Q66"/>
    <mergeCell ref="A115:T115"/>
    <mergeCell ref="D119:F119"/>
    <mergeCell ref="H91:H92"/>
    <mergeCell ref="H117:H118"/>
    <mergeCell ref="Q117:Q118"/>
    <mergeCell ref="S117:S118"/>
    <mergeCell ref="M93:O93"/>
    <mergeCell ref="Q91:Q92"/>
    <mergeCell ref="S65:S66"/>
    <mergeCell ref="D94:F94"/>
    <mergeCell ref="A89:T89"/>
    <mergeCell ref="O91:P91"/>
    <mergeCell ref="H65:H66"/>
    <mergeCell ref="O65:P65"/>
    <mergeCell ref="S91:S92"/>
    <mergeCell ref="D93:F93"/>
    <mergeCell ref="D67:F67"/>
    <mergeCell ref="D68:F68"/>
    <mergeCell ref="M67:O67"/>
  </mergeCells>
  <phoneticPr fontId="6" type="noConversion"/>
  <dataValidations xWindow="488" yWindow="316" count="12">
    <dataValidation type="whole" errorStyle="warning" allowBlank="1" showInputMessage="1" showErrorMessage="1" errorTitle="TAX CODE" error="The tax code number only should be entered in this box._x000a_Example tax code 647L_x000a_Enter just the number 603_x000a__x000a_The formulae uses this number in the tax calculation and does not recognise alpha characters such as the SUFFIX Letter L" sqref="M53:M56 M105:M108 M131:M134 M79:M82 M27:M30" xr:uid="{00000000-0002-0000-0000-000000000000}">
      <formula1>1</formula1>
      <formula2>2002</formula2>
    </dataValidation>
    <dataValidation type="list" allowBlank="1" showInputMessage="1" showErrorMessage="1" sqref="D126" xr:uid="{00000000-0002-0000-0000-000001000000}">
      <formula1>$V$5:$V$6</formula1>
    </dataValidation>
    <dataValidation type="list" allowBlank="1" showInputMessage="1" showErrorMessage="1" sqref="D54 D106 D132 D80 D28" xr:uid="{00000000-0002-0000-0000-000002000000}">
      <formula1>$V$7:$V$8</formula1>
    </dataValidation>
    <dataValidation type="list" allowBlank="1" showInputMessage="1" showErrorMessage="1" sqref="D30 D108 D56 D82 D134" xr:uid="{00000000-0002-0000-0000-000003000000}">
      <formula1>$V$9:$V$10</formula1>
    </dataValidation>
    <dataValidation type="list" allowBlank="1" showInputMessage="1" showErrorMessage="1" sqref="O24 O50 O76 O102 O128" xr:uid="{00000000-0002-0000-0000-000004000000}">
      <formula1>$V$11:$V$13</formula1>
    </dataValidation>
    <dataValidation type="whole" allowBlank="1" showInputMessage="1" showErrorMessage="1" errorTitle="WEEK OR MONTH NUMBER" error="This is the week or month number the tax code is applied and has to be between 1 and 53_x000a__x000a_If N/A has appeared check date applied is correct and W or M entered for weekjly or monthly paid." sqref="S27" xr:uid="{00000000-0002-0000-0000-000005000000}">
      <formula1>1</formula1>
      <formula2>53</formula2>
    </dataValidation>
    <dataValidation type="date" allowBlank="1" showInputMessage="1" showErrorMessage="1" errorTitle="DATE OF BIRTH ERROR" error="Correct format is DD/MM/YYYY" sqref="M43 M121 M69 M95 M17" xr:uid="{00000000-0002-0000-0000-000006000000}">
      <formula1>1</formula1>
      <formula2>40273</formula2>
    </dataValidation>
    <dataValidation type="list" errorStyle="warning" allowBlank="1" showInputMessage="1" showErrorMessage="1" errorTitle="LEAVING DATE ERROR" error="VALID DATES ARE_x000a_06/04/09 TO 05/04/10_x000a_Dates before or after the financial year not recognised_x000a__x000a_DATE FORMAT IS   DD/MM/YYYY_x000a_Dates entered dd.mm.yyyy = error" sqref="D26 D104 D52 D78 D130" xr:uid="{00000000-0002-0000-0000-000007000000}">
      <formula1>$W$2:$W$366</formula1>
    </dataValidation>
    <dataValidation type="list" errorStyle="warning" allowBlank="1" showInputMessage="1" showErrorMessage="1" errorTitle="START DATE ERROR" error="VALID DATES ARE_x000a_06/04/09 TO 05/04/10_x000a_Dates before or after the financial year not recognised_x000a_For existing employees at start of financial year enter 06/04/09_x000a__x000a_DATE FORMAT IS   DD/MM/YYYY_x000a_Dates entered dd.mm.yyyy = error" sqref="D50 D102 D128 D76 D24" xr:uid="{00000000-0002-0000-0000-000008000000}">
      <formula1>$W$2:$W$366</formula1>
    </dataValidation>
    <dataValidation type="list" allowBlank="1" showInputMessage="1" showErrorMessage="1" promptTitle="ENTER BOTH WEEK AND MONTH NUMBER" prompt="Use drop down menu to complete both boxes_x000a_Week No and Month No_x000a__x000a_Both BOXES are required in case the employee has changed from for example weekly piad on P45 to monthly paid or vica versa" sqref="H34 H60 H86 H112 H138" xr:uid="{00000000-0002-0000-0000-000009000000}">
      <formula1>$X$1:$X$53</formula1>
    </dataValidation>
    <dataValidation type="list" allowBlank="1" showInputMessage="1" showErrorMessage="1" promptTitle="ENTER BOTH WEEK AND MONTH NUMBER" prompt="Use drop down menu to complete both boxes_x000a_Week No and Month No_x000a__x000a_Both BOXES are required in case the employee has changed from for example weekly piad on P45 to monthly paid or vica versa" sqref="H35 H61 H87 H113 H139" xr:uid="{00000000-0002-0000-0000-00000A000000}">
      <formula1>$X$1:$X$13</formula1>
    </dataValidation>
    <dataValidation type="list" allowBlank="1" showInputMessage="1" showErrorMessage="1" errorTitle="DATE APPLIED ERROR" error="VALID DATES ARE_x000a_06/04/09 TO 05/04/10_x000a_Dates before or after the financial year not recognised_x000a__x000a_DATE FORMAT IS   DD/MM/YYYY_x000a_Dates entered dd.mm.yyyy = error" sqref="Q18:Q19 Q34 Q27:Q30 Q24 Q44:Q45 Q70:Q71 Q96:Q97 Q122:Q123 Q50 Q76 Q102 Q128 Q53:Q56 Q79:Q82 Q105:Q108 Q131:Q134 Q60 Q86 Q112 Q138" xr:uid="{00000000-0002-0000-0000-00000B000000}">
      <formula1>$W$2:$W$366</formula1>
    </dataValidation>
  </dataValidations>
  <hyperlinks>
    <hyperlink ref="Q3" r:id="rId1" xr:uid="{00000000-0004-0000-0000-000000000000}"/>
  </hyperlinks>
  <printOptions horizontalCentered="1" verticalCentered="1"/>
  <pageMargins left="0.11811023622047245" right="7.874015748031496E-2" top="0.55118110236220474" bottom="0.51181102362204722" header="0.23622047244094491" footer="0.19685039370078741"/>
  <pageSetup paperSize="9" orientation="landscape" r:id="rId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H67"/>
  <sheetViews>
    <sheetView zoomScaleNormal="100" workbookViewId="0">
      <selection activeCell="R8" sqref="R8:T8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hidden="1" customWidth="1"/>
    <col min="22" max="22" width="10.6640625" style="45" hidden="1" customWidth="1"/>
    <col min="23" max="27" width="9.6640625" style="45" hidden="1" customWidth="1"/>
    <col min="28" max="28" width="1.1640625" style="45" hidden="1" customWidth="1"/>
    <col min="29" max="29" width="9.6640625" style="45" hidden="1" customWidth="1"/>
    <col min="30" max="33" width="10.5" style="76" hidden="1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380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380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">
        <v>105</v>
      </c>
      <c r="I3" s="365" t="s">
        <v>43</v>
      </c>
      <c r="J3" s="365" t="s">
        <v>44</v>
      </c>
      <c r="K3" s="382" t="s">
        <v>48</v>
      </c>
      <c r="L3" s="382" t="s">
        <v>31</v>
      </c>
      <c r="M3" s="371" t="s">
        <v>46</v>
      </c>
      <c r="N3" s="365" t="s">
        <v>1</v>
      </c>
      <c r="O3" s="373" t="s">
        <v>26</v>
      </c>
      <c r="P3" s="365" t="s">
        <v>106</v>
      </c>
      <c r="Q3" s="373" t="s">
        <v>2</v>
      </c>
      <c r="R3" s="371" t="s">
        <v>47</v>
      </c>
      <c r="S3" s="42"/>
      <c r="T3" s="373" t="s">
        <v>27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6"/>
      <c r="J4" s="366"/>
      <c r="K4" s="383"/>
      <c r="L4" s="383"/>
      <c r="M4" s="372"/>
      <c r="N4" s="368"/>
      <c r="O4" s="374"/>
      <c r="P4" s="368"/>
      <c r="Q4" s="374"/>
      <c r="R4" s="372"/>
      <c r="S4" s="42"/>
      <c r="T4" s="374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6"/>
      <c r="J5" s="366"/>
      <c r="K5" s="383"/>
      <c r="L5" s="383"/>
      <c r="M5" s="372"/>
      <c r="N5" s="368"/>
      <c r="O5" s="374"/>
      <c r="P5" s="368"/>
      <c r="Q5" s="374"/>
      <c r="R5" s="372"/>
      <c r="S5" s="42"/>
      <c r="T5" s="374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7"/>
      <c r="J6" s="367"/>
      <c r="K6" s="384"/>
      <c r="L6" s="384"/>
      <c r="M6" s="372"/>
      <c r="N6" s="369"/>
      <c r="O6" s="374"/>
      <c r="P6" s="369"/>
      <c r="Q6" s="374"/>
      <c r="R6" s="372"/>
      <c r="S6" s="41"/>
      <c r="T6" s="374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76"/>
      <c r="S8" s="377"/>
      <c r="T8" s="377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1</v>
      </c>
      <c r="F9" s="35"/>
      <c r="G9" s="35"/>
      <c r="H9" s="360" t="s">
        <v>57</v>
      </c>
      <c r="I9" s="361"/>
      <c r="J9" s="359"/>
      <c r="K9" s="201">
        <f>Admin!B2</f>
        <v>44657</v>
      </c>
      <c r="L9" s="200" t="s">
        <v>76</v>
      </c>
      <c r="M9" s="202">
        <f>K9+(7-WEEKDAY(K9, 2))</f>
        <v>44661</v>
      </c>
      <c r="N9" s="20"/>
      <c r="O9" s="44"/>
      <c r="P9" s="44"/>
      <c r="Q9" s="44"/>
      <c r="R9" s="44"/>
      <c r="S9" s="44"/>
      <c r="T9" s="44"/>
      <c r="U9" s="37"/>
      <c r="AH9" s="35"/>
    </row>
    <row r="10" spans="1:34" ht="18" customHeight="1" thickTop="1" thickBot="1" x14ac:dyDescent="0.2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209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thickTop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29"/>
      <c r="H11" s="95">
        <v>0</v>
      </c>
      <c r="I11" s="90">
        <v>0</v>
      </c>
      <c r="J11" s="90">
        <v>0</v>
      </c>
      <c r="K11" s="90">
        <f>I11*J11</f>
        <v>0</v>
      </c>
      <c r="L11" s="110">
        <v>0</v>
      </c>
      <c r="M11" s="104" t="str">
        <f>IF(E11=" "," ",IF((H11+K11+L11)&gt;0,H11+K11+L11," "))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IF(Employee!H$34=E$9,Employee!D$34+SUM(M11)+0,SUM(M11)+0)</f>
        <v>0</v>
      </c>
      <c r="W11" s="49">
        <f>IF(Employee!H$34=E$9,Employee!D$35+SUM(N11)+0,SUM(N11)+0)</f>
        <v>0</v>
      </c>
      <c r="X11" s="49">
        <f t="shared" ref="X11:Y13" si="2">IF(O11=" ",0,O11)</f>
        <v>0</v>
      </c>
      <c r="Y11" s="49">
        <f t="shared" si="2"/>
        <v>0</v>
      </c>
      <c r="Z11" s="49">
        <f>IF(Q11=" ",0,Q11)</f>
        <v>0</v>
      </c>
      <c r="AA11" s="49">
        <f t="shared" ref="AA11:AC15" si="3">IF(R11=" ",0,R11)</f>
        <v>0</v>
      </c>
      <c r="AC11" s="49">
        <f t="shared" si="3"/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29"/>
      <c r="H12" s="96">
        <v>0</v>
      </c>
      <c r="I12" s="92">
        <v>0</v>
      </c>
      <c r="J12" s="92">
        <v>0</v>
      </c>
      <c r="K12" s="93">
        <f>I12*J12</f>
        <v>0</v>
      </c>
      <c r="L12" s="111">
        <v>0</v>
      </c>
      <c r="M12" s="104" t="str">
        <f>IF(E12=" "," ",IF((H12+K12+L12)&gt;0,H12+K12+L12," "))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IF(Employee!H$60=E$9,Employee!D$60+SUM(M12)+0,SUM(M12)+0)</f>
        <v>0</v>
      </c>
      <c r="W12" s="49">
        <f>IF(Employee!H$60=E$9,Employee!D$61+SUM(N12)+0,SUM(N12)+0)</f>
        <v>0</v>
      </c>
      <c r="X12" s="49">
        <f t="shared" si="2"/>
        <v>0</v>
      </c>
      <c r="Y12" s="49">
        <f t="shared" si="2"/>
        <v>0</v>
      </c>
      <c r="Z12" s="49">
        <f>IF(Q12=" ",0,Q12)</f>
        <v>0</v>
      </c>
      <c r="AA12" s="49">
        <f t="shared" si="3"/>
        <v>0</v>
      </c>
      <c r="AC12" s="49">
        <f t="shared" si="3"/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29"/>
      <c r="H13" s="96">
        <v>0</v>
      </c>
      <c r="I13" s="92">
        <v>0</v>
      </c>
      <c r="J13" s="92">
        <v>0</v>
      </c>
      <c r="K13" s="93">
        <f>I13*J13</f>
        <v>0</v>
      </c>
      <c r="L13" s="111">
        <v>0</v>
      </c>
      <c r="M13" s="104" t="str">
        <f>IF(E13=" "," ",IF((H13+K13+L13)&gt;0,H13+K13+L13," "))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IF(Employee!H$86=E$9,Employee!D$86+SUM(M13)+0,SUM(M13)+0)</f>
        <v>0</v>
      </c>
      <c r="W13" s="49">
        <f>IF(Employee!H$86=E$9,Employee!D$87+SUM(N13)+0,SUM(N13)+0)</f>
        <v>0</v>
      </c>
      <c r="X13" s="49">
        <f t="shared" si="2"/>
        <v>0</v>
      </c>
      <c r="Y13" s="49">
        <f t="shared" si="2"/>
        <v>0</v>
      </c>
      <c r="Z13" s="49">
        <f>IF(Q13=" ",0,Q13)</f>
        <v>0</v>
      </c>
      <c r="AA13" s="49">
        <f t="shared" si="3"/>
        <v>0</v>
      </c>
      <c r="AC13" s="49">
        <f t="shared" si="3"/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29"/>
      <c r="H14" s="96">
        <v>0</v>
      </c>
      <c r="I14" s="92">
        <v>0</v>
      </c>
      <c r="J14" s="92">
        <v>0</v>
      </c>
      <c r="K14" s="93">
        <f>I14*J14</f>
        <v>0</v>
      </c>
      <c r="L14" s="111">
        <v>0</v>
      </c>
      <c r="M14" s="104" t="str">
        <f>IF(E14=" "," ",IF((H14+K14+L14)&gt;0,H14+K14+L14," "))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IF(Employee!H$112=E$9,Employee!D$112+SUM(M14)+0,SUM(M14)+0)</f>
        <v>0</v>
      </c>
      <c r="W14" s="49">
        <f>IF(Employee!H$112=E$9,Employee!D$113+SUM(N14)+0,SUM(N14)+0)</f>
        <v>0</v>
      </c>
      <c r="X14" s="49">
        <f>IF(O14=" ",0,O14)</f>
        <v>0</v>
      </c>
      <c r="Y14" s="49">
        <f>IF(P14=" ",0,P14)</f>
        <v>0</v>
      </c>
      <c r="Z14" s="49">
        <f>IF(Q14=" ",0,Q14)</f>
        <v>0</v>
      </c>
      <c r="AA14" s="49">
        <f t="shared" si="3"/>
        <v>0</v>
      </c>
      <c r="AC14" s="49">
        <f t="shared" si="3"/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29"/>
      <c r="H15" s="96">
        <v>0</v>
      </c>
      <c r="I15" s="92">
        <v>0</v>
      </c>
      <c r="J15" s="92">
        <v>0</v>
      </c>
      <c r="K15" s="93">
        <f>I15*J15</f>
        <v>0</v>
      </c>
      <c r="L15" s="111">
        <v>0</v>
      </c>
      <c r="M15" s="104" t="str">
        <f>IF(E15=" "," ",IF((H15+K15+L15)&gt;0,H15+K15+L15," "))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IF(Employee!H$138=E$9,Employee!D$138+SUM(M15)+0,SUM(M15)+0)</f>
        <v>0</v>
      </c>
      <c r="W15" s="49">
        <f>IF(Employee!H$138=E$9,Employee!D$139+SUM(N15)+0,SUM(N15)+0)</f>
        <v>0</v>
      </c>
      <c r="X15" s="49">
        <f>IF(O15=" ",0,O15)</f>
        <v>0</v>
      </c>
      <c r="Y15" s="49">
        <f>IF(P15=" ",0,P15)</f>
        <v>0</v>
      </c>
      <c r="Z15" s="49">
        <f>IF(Q15=" ",0,Q15)</f>
        <v>0</v>
      </c>
      <c r="AA15" s="49">
        <f t="shared" si="3"/>
        <v>0</v>
      </c>
      <c r="AC15" s="49">
        <f t="shared" si="3"/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78" t="s">
        <v>7</v>
      </c>
      <c r="G16" s="379"/>
      <c r="H16" s="124"/>
      <c r="I16" s="125"/>
      <c r="J16" s="125"/>
      <c r="K16" s="126"/>
      <c r="L16" s="126"/>
      <c r="M16" s="127">
        <f t="shared" ref="M16:R16" si="4">SUM(M11:M15)</f>
        <v>0</v>
      </c>
      <c r="N16" s="133">
        <f t="shared" si="4"/>
        <v>0</v>
      </c>
      <c r="O16" s="133">
        <f t="shared" si="4"/>
        <v>0</v>
      </c>
      <c r="P16" s="133">
        <f t="shared" si="4"/>
        <v>0</v>
      </c>
      <c r="Q16" s="133">
        <f t="shared" si="4"/>
        <v>0</v>
      </c>
      <c r="R16" s="127">
        <f t="shared" si="4"/>
        <v>0</v>
      </c>
      <c r="S16" s="94"/>
      <c r="T16" s="133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</v>
      </c>
      <c r="F19" s="35"/>
      <c r="G19" s="35"/>
      <c r="H19" s="360" t="s">
        <v>28</v>
      </c>
      <c r="I19" s="361"/>
      <c r="J19" s="359"/>
      <c r="K19" s="201">
        <f>M9+1</f>
        <v>44662</v>
      </c>
      <c r="L19" s="200" t="s">
        <v>76</v>
      </c>
      <c r="M19" s="202">
        <f>K19+6</f>
        <v>44668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thickBot="1" x14ac:dyDescent="0.2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209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thickTop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v>0</v>
      </c>
      <c r="J21" s="89">
        <v>0</v>
      </c>
      <c r="K21" s="89">
        <f>IF(T$19="Y",K11,I21*J21)</f>
        <v>0</v>
      </c>
      <c r="L21" s="110">
        <f>IF(T$19="Y",L11,0)</f>
        <v>0</v>
      </c>
      <c r="M21" s="100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5">IF(P21=0,Y11,P21+Y11)</f>
        <v>0</v>
      </c>
      <c r="Z21" s="49">
        <f t="shared" si="5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 t="shared" ref="I22" si="6">IF(T$19="Y",I12,0)</f>
        <v>0</v>
      </c>
      <c r="J22" s="92">
        <f t="shared" ref="J22" si="7">IF(T$19="Y",J12,0)</f>
        <v>0</v>
      </c>
      <c r="K22" s="92">
        <f>IF(T$19="Y",K12,I22*J22)</f>
        <v>0</v>
      </c>
      <c r="L22" s="111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5"/>
        <v>0</v>
      </c>
      <c r="Z22" s="49">
        <f t="shared" si="5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111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5"/>
        <v>0</v>
      </c>
      <c r="Z23" s="49">
        <f t="shared" si="5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111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5"/>
        <v>0</v>
      </c>
      <c r="Z24" s="49">
        <f t="shared" si="5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111">
        <f>IF(T$19="Y",L15,0)</f>
        <v>0</v>
      </c>
      <c r="M25" s="174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5"/>
        <v>0</v>
      </c>
      <c r="Z25" s="49">
        <f t="shared" si="5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8">SUM(M21:M25)</f>
        <v>0</v>
      </c>
      <c r="N26" s="127">
        <f t="shared" si="8"/>
        <v>0</v>
      </c>
      <c r="O26" s="127">
        <f t="shared" si="8"/>
        <v>0</v>
      </c>
      <c r="P26" s="127">
        <f t="shared" si="8"/>
        <v>0</v>
      </c>
      <c r="Q26" s="127">
        <f t="shared" si="8"/>
        <v>0</v>
      </c>
      <c r="R26" s="127">
        <f t="shared" si="8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135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</v>
      </c>
      <c r="F29" s="35"/>
      <c r="G29" s="35"/>
      <c r="H29" s="360" t="s">
        <v>28</v>
      </c>
      <c r="I29" s="361"/>
      <c r="J29" s="359"/>
      <c r="K29" s="201">
        <f>M19+1</f>
        <v>44669</v>
      </c>
      <c r="L29" s="200" t="s">
        <v>76</v>
      </c>
      <c r="M29" s="202">
        <f>K29+6</f>
        <v>44675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v>0</v>
      </c>
      <c r="J31" s="89"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9">IF(P31=0,Y21,P31+Y21)</f>
        <v>0</v>
      </c>
      <c r="Z31" s="49">
        <f t="shared" si="9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9"/>
        <v>0</v>
      </c>
      <c r="Z32" s="49">
        <f t="shared" si="9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9"/>
        <v>0</v>
      </c>
      <c r="Z33" s="49">
        <f t="shared" si="9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9"/>
        <v>0</v>
      </c>
      <c r="Z34" s="49">
        <f t="shared" si="9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74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9"/>
        <v>0</v>
      </c>
      <c r="Z35" s="49">
        <f t="shared" si="9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0">SUM(M31:M35)</f>
        <v>0</v>
      </c>
      <c r="N36" s="127">
        <f t="shared" si="10"/>
        <v>0</v>
      </c>
      <c r="O36" s="127">
        <f t="shared" si="10"/>
        <v>0</v>
      </c>
      <c r="P36" s="127">
        <f t="shared" si="10"/>
        <v>0</v>
      </c>
      <c r="Q36" s="127">
        <f t="shared" si="10"/>
        <v>0</v>
      </c>
      <c r="R36" s="127">
        <f t="shared" si="10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4</v>
      </c>
      <c r="F39" s="35"/>
      <c r="G39" s="35"/>
      <c r="H39" s="360" t="s">
        <v>28</v>
      </c>
      <c r="I39" s="361"/>
      <c r="J39" s="359"/>
      <c r="K39" s="201">
        <f>M29+1</f>
        <v>44676</v>
      </c>
      <c r="L39" s="200" t="s">
        <v>76</v>
      </c>
      <c r="M39" s="202">
        <f>K39+6</f>
        <v>44682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v>0</v>
      </c>
      <c r="J41" s="89">
        <v>0</v>
      </c>
      <c r="K41" s="89">
        <f>IF(T$39="Y",K31,I41*J41)</f>
        <v>0</v>
      </c>
      <c r="L41" s="110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1">IF(P41=0,Y31,P41+Y31)</f>
        <v>0</v>
      </c>
      <c r="Z41" s="49">
        <f t="shared" si="11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1"/>
        <v>0</v>
      </c>
      <c r="Z42" s="49">
        <f t="shared" si="11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1"/>
        <v>0</v>
      </c>
      <c r="Z43" s="49">
        <f t="shared" si="11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1"/>
        <v>0</v>
      </c>
      <c r="Z44" s="49">
        <f t="shared" si="11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1"/>
        <v>0</v>
      </c>
      <c r="Z45" s="49">
        <f t="shared" si="11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2">SUM(M41:M45)</f>
        <v>0</v>
      </c>
      <c r="N46" s="127">
        <f t="shared" si="12"/>
        <v>0</v>
      </c>
      <c r="O46" s="127">
        <f t="shared" si="12"/>
        <v>0</v>
      </c>
      <c r="P46" s="127">
        <f t="shared" si="12"/>
        <v>0</v>
      </c>
      <c r="Q46" s="127">
        <f t="shared" si="12"/>
        <v>0</v>
      </c>
      <c r="R46" s="127">
        <f t="shared" si="12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</v>
      </c>
      <c r="F49" s="35"/>
      <c r="G49" s="35"/>
      <c r="H49" s="360" t="s">
        <v>28</v>
      </c>
      <c r="I49" s="361"/>
      <c r="J49" s="359"/>
      <c r="K49" s="204">
        <f>DATE(2021,7,1)</f>
        <v>44378</v>
      </c>
      <c r="L49" s="203" t="s">
        <v>76</v>
      </c>
      <c r="M49" s="205">
        <f>DATE(2021,7,31)</f>
        <v>44408</v>
      </c>
      <c r="N49" s="20"/>
      <c r="O49" s="401" t="s">
        <v>49</v>
      </c>
      <c r="P49" s="402"/>
      <c r="Q49" s="402"/>
      <c r="R49" s="403"/>
      <c r="S49" s="35"/>
      <c r="T49" s="97" t="s">
        <v>32</v>
      </c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29"/>
      <c r="H51" s="95">
        <v>0</v>
      </c>
      <c r="I51" s="89">
        <v>0</v>
      </c>
      <c r="J51" s="89">
        <v>0</v>
      </c>
      <c r="K51" s="90">
        <f>I51*J51</f>
        <v>0</v>
      </c>
      <c r="L51" s="110">
        <v>0</v>
      </c>
      <c r="M51" s="95" t="str">
        <f>IF(E51=" "," ",IF((H51+K51+L51)&gt;0,H51+K51+L51," "))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IF(Employee!H$35=E$49,Employee!D$34+SUM(M51)+0,SUM(M51)+0)</f>
        <v>0</v>
      </c>
      <c r="W51" s="49">
        <f>IF(Employee!H$35=E$49,Employee!D$35+SUM(N51)+0,SUM(N51)+0)</f>
        <v>0</v>
      </c>
      <c r="X51" s="49">
        <f t="shared" ref="X51:AA55" si="13">IF(O51=" ",0,O51)</f>
        <v>0</v>
      </c>
      <c r="Y51" s="49">
        <f t="shared" si="13"/>
        <v>0</v>
      </c>
      <c r="Z51" s="49">
        <f t="shared" si="13"/>
        <v>0</v>
      </c>
      <c r="AA51" s="49">
        <f t="shared" si="13"/>
        <v>0</v>
      </c>
      <c r="AC51" s="49">
        <f>IF(T51=" ",0,T51)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29"/>
      <c r="H52" s="96">
        <v>0</v>
      </c>
      <c r="I52" s="92">
        <v>0</v>
      </c>
      <c r="J52" s="92">
        <v>0</v>
      </c>
      <c r="K52" s="93">
        <f>I52*J52</f>
        <v>0</v>
      </c>
      <c r="L52" s="111">
        <v>0</v>
      </c>
      <c r="M52" s="96" t="str">
        <f>IF(E52=" "," ",IF((H52+K52+L52)&gt;0,H52+K52+L52," "))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IF(Employee!H$61=E$49,Employee!D$60+SUM(M52)+0,SUM(M52)+0)</f>
        <v>0</v>
      </c>
      <c r="W52" s="49">
        <f>IF(Employee!H$61=E$49,Employee!D$61+SUM(N52)+0,SUM(N52)+0)</f>
        <v>0</v>
      </c>
      <c r="X52" s="49">
        <f t="shared" si="13"/>
        <v>0</v>
      </c>
      <c r="Y52" s="49">
        <f t="shared" si="13"/>
        <v>0</v>
      </c>
      <c r="Z52" s="49">
        <f t="shared" si="13"/>
        <v>0</v>
      </c>
      <c r="AA52" s="49">
        <f t="shared" si="13"/>
        <v>0</v>
      </c>
      <c r="AC52" s="49">
        <f>IF(T52=" ",0,T52)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29"/>
      <c r="H53" s="96">
        <v>0</v>
      </c>
      <c r="I53" s="92">
        <v>0</v>
      </c>
      <c r="J53" s="92">
        <v>0</v>
      </c>
      <c r="K53" s="93">
        <f>I53*J53</f>
        <v>0</v>
      </c>
      <c r="L53" s="111">
        <v>0</v>
      </c>
      <c r="M53" s="96" t="str">
        <f>IF(E53=" "," ",IF((H53+K53+L53)&gt;0,H53+K53+L53," "))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IF(Employee!H$87=E$49,Employee!D$86+SUM(M53)+0,SUM(M53)+0)</f>
        <v>0</v>
      </c>
      <c r="W53" s="49">
        <f>IF(Employee!H$87=E$49,Employee!D$87+SUM(N53)+0,SUM(N53)+0)</f>
        <v>0</v>
      </c>
      <c r="X53" s="49">
        <f t="shared" si="13"/>
        <v>0</v>
      </c>
      <c r="Y53" s="49">
        <f t="shared" si="13"/>
        <v>0</v>
      </c>
      <c r="Z53" s="49">
        <f t="shared" si="13"/>
        <v>0</v>
      </c>
      <c r="AA53" s="49">
        <f t="shared" si="13"/>
        <v>0</v>
      </c>
      <c r="AC53" s="49">
        <f>IF(T53=" ",0,T53)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29"/>
      <c r="H54" s="96">
        <v>0</v>
      </c>
      <c r="I54" s="92">
        <v>0</v>
      </c>
      <c r="J54" s="92">
        <v>0</v>
      </c>
      <c r="K54" s="93">
        <f>I54*J54</f>
        <v>0</v>
      </c>
      <c r="L54" s="111">
        <v>0</v>
      </c>
      <c r="M54" s="96" t="str">
        <f>IF(E54=" "," ",IF((H54+K54+L54)&gt;0,H54+K54+L54," "))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IF(Employee!H$113=E$49,Employee!D$112+SUM(M54)+0,SUM(M54)+0)</f>
        <v>0</v>
      </c>
      <c r="W54" s="49">
        <f>IF(Employee!H$113=E$49,Employee!D$113+SUM(N54)+0,SUM(N54)+0)</f>
        <v>0</v>
      </c>
      <c r="X54" s="49">
        <f t="shared" si="13"/>
        <v>0</v>
      </c>
      <c r="Y54" s="49">
        <f t="shared" si="13"/>
        <v>0</v>
      </c>
      <c r="Z54" s="49">
        <f t="shared" si="13"/>
        <v>0</v>
      </c>
      <c r="AA54" s="49">
        <f t="shared" si="13"/>
        <v>0</v>
      </c>
      <c r="AC54" s="49">
        <f>IF(T54=" ",0,T54)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29"/>
      <c r="H55" s="96">
        <v>0</v>
      </c>
      <c r="I55" s="92">
        <v>0</v>
      </c>
      <c r="J55" s="92">
        <v>0</v>
      </c>
      <c r="K55" s="93">
        <f>I55*J55</f>
        <v>0</v>
      </c>
      <c r="L55" s="111">
        <v>0</v>
      </c>
      <c r="M55" s="96" t="str">
        <f>IF(E55=" "," ",IF((H55+K55+L55)&gt;0,H55+K55+L55," "))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IF(Employee!H$139=E$49,Employee!D$138+SUM(M55)+0,SUM(M55)+0)</f>
        <v>0</v>
      </c>
      <c r="W55" s="49">
        <f>IF(Employee!H$139=E$49,Employee!D$139+SUM(N55)+0,SUM(N55)+0)</f>
        <v>0</v>
      </c>
      <c r="X55" s="49">
        <f t="shared" si="13"/>
        <v>0</v>
      </c>
      <c r="Y55" s="49">
        <f t="shared" si="13"/>
        <v>0</v>
      </c>
      <c r="Z55" s="49">
        <f t="shared" si="13"/>
        <v>0</v>
      </c>
      <c r="AA55" s="49">
        <f t="shared" si="13"/>
        <v>0</v>
      </c>
      <c r="AC55" s="49">
        <f>IF(T55=" ",0,T55)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24"/>
      <c r="I56" s="125"/>
      <c r="J56" s="125"/>
      <c r="K56" s="126"/>
      <c r="L56" s="126"/>
      <c r="M56" s="127">
        <f t="shared" ref="M56:R56" si="14">SUM(M51:M55)</f>
        <v>0</v>
      </c>
      <c r="N56" s="127">
        <f t="shared" si="14"/>
        <v>0</v>
      </c>
      <c r="O56" s="127">
        <f t="shared" si="14"/>
        <v>0</v>
      </c>
      <c r="P56" s="127">
        <f t="shared" si="14"/>
        <v>0</v>
      </c>
      <c r="Q56" s="127">
        <f t="shared" si="14"/>
        <v>0</v>
      </c>
      <c r="R56" s="127">
        <f t="shared" si="14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5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5">SUM(M60:M64)</f>
        <v>0</v>
      </c>
      <c r="N65" s="184">
        <f t="shared" si="15"/>
        <v>0</v>
      </c>
      <c r="O65" s="184">
        <f t="shared" si="15"/>
        <v>0</v>
      </c>
      <c r="P65" s="184">
        <f t="shared" si="15"/>
        <v>0</v>
      </c>
      <c r="Q65" s="184">
        <f t="shared" si="15"/>
        <v>0</v>
      </c>
      <c r="R65" s="184">
        <f t="shared" si="15"/>
        <v>0</v>
      </c>
      <c r="S65" s="188"/>
      <c r="T65" s="184">
        <f>SUM(T60:T64)</f>
        <v>0</v>
      </c>
      <c r="AD65" s="158">
        <f>AD60</f>
        <v>0</v>
      </c>
      <c r="AE65" s="158">
        <f>AE60</f>
        <v>0</v>
      </c>
      <c r="AF65" s="158">
        <f>AF60</f>
        <v>0</v>
      </c>
      <c r="AG65" s="158">
        <f>AG60</f>
        <v>0</v>
      </c>
    </row>
    <row r="66" spans="6:33" ht="14" thickTop="1" x14ac:dyDescent="0.15"/>
    <row r="67" spans="6:33" x14ac:dyDescent="0.15">
      <c r="AD67" s="162"/>
      <c r="AE67" s="158">
        <f>AE62</f>
        <v>0</v>
      </c>
      <c r="AF67" s="158">
        <f>AF62</f>
        <v>0</v>
      </c>
      <c r="AG67" s="158">
        <f>AG62</f>
        <v>0</v>
      </c>
    </row>
  </sheetData>
  <mergeCells count="78">
    <mergeCell ref="M59:R59"/>
    <mergeCell ref="V1:AC2"/>
    <mergeCell ref="R18:T18"/>
    <mergeCell ref="O28:Q28"/>
    <mergeCell ref="R28:T28"/>
    <mergeCell ref="B27:T27"/>
    <mergeCell ref="H3:H6"/>
    <mergeCell ref="B57:T57"/>
    <mergeCell ref="B28:E28"/>
    <mergeCell ref="B19:D19"/>
    <mergeCell ref="B18:E18"/>
    <mergeCell ref="F26:G26"/>
    <mergeCell ref="B1:F2"/>
    <mergeCell ref="V3:V6"/>
    <mergeCell ref="O29:R29"/>
    <mergeCell ref="O39:R39"/>
    <mergeCell ref="O38:Q38"/>
    <mergeCell ref="O19:R19"/>
    <mergeCell ref="O3:O6"/>
    <mergeCell ref="Q3:Q6"/>
    <mergeCell ref="AD1:AG2"/>
    <mergeCell ref="AD3:AD6"/>
    <mergeCell ref="AE3:AE6"/>
    <mergeCell ref="AF3:AF6"/>
    <mergeCell ref="AG3:AG6"/>
    <mergeCell ref="AC3:AC6"/>
    <mergeCell ref="W3:W6"/>
    <mergeCell ref="AA3:AA6"/>
    <mergeCell ref="Y3:Y6"/>
    <mergeCell ref="Z3:Z6"/>
    <mergeCell ref="X3:X6"/>
    <mergeCell ref="U1:U6"/>
    <mergeCell ref="F56:G56"/>
    <mergeCell ref="H29:J29"/>
    <mergeCell ref="H49:J49"/>
    <mergeCell ref="B37:T37"/>
    <mergeCell ref="B47:T47"/>
    <mergeCell ref="B29:D29"/>
    <mergeCell ref="B39:D39"/>
    <mergeCell ref="H39:J39"/>
    <mergeCell ref="R38:T38"/>
    <mergeCell ref="O48:Q48"/>
    <mergeCell ref="R48:T48"/>
    <mergeCell ref="O49:R49"/>
    <mergeCell ref="B49:D49"/>
    <mergeCell ref="B38:E38"/>
    <mergeCell ref="B48:E48"/>
    <mergeCell ref="F46:G46"/>
    <mergeCell ref="F16:G16"/>
    <mergeCell ref="A1:A6"/>
    <mergeCell ref="L3:L6"/>
    <mergeCell ref="I3:I6"/>
    <mergeCell ref="I1:L1"/>
    <mergeCell ref="G1:H1"/>
    <mergeCell ref="B3:B6"/>
    <mergeCell ref="C3:C6"/>
    <mergeCell ref="D3:D6"/>
    <mergeCell ref="G2:H2"/>
    <mergeCell ref="I2:L2"/>
    <mergeCell ref="E3:E6"/>
    <mergeCell ref="K3:K6"/>
    <mergeCell ref="F3:F6"/>
    <mergeCell ref="F36:G36"/>
    <mergeCell ref="H9:J9"/>
    <mergeCell ref="H19:J19"/>
    <mergeCell ref="O18:Q18"/>
    <mergeCell ref="J3:J6"/>
    <mergeCell ref="P3:P6"/>
    <mergeCell ref="B7:T7"/>
    <mergeCell ref="M3:M6"/>
    <mergeCell ref="N3:N6"/>
    <mergeCell ref="R3:R6"/>
    <mergeCell ref="T3:T6"/>
    <mergeCell ref="B8:E8"/>
    <mergeCell ref="B9:D9"/>
    <mergeCell ref="B17:T17"/>
    <mergeCell ref="O8:Q8"/>
    <mergeCell ref="R8:T8"/>
  </mergeCells>
  <phoneticPr fontId="6" type="noConversion"/>
  <dataValidations count="1">
    <dataValidation type="list" allowBlank="1" showInputMessage="1" showErrorMessage="1" sqref="G51:G55 G31:G35 G11:G15 G21:G25 G41:G45" xr:uid="{00000000-0002-0000-0100-000000000000}">
      <formula1>$G$3:$G$6</formula1>
    </dataValidation>
  </dataValidations>
  <hyperlinks>
    <hyperlink ref="B1" r:id="rId1" xr:uid="{00000000-0004-0000-0100-000000000000}"/>
  </hyperlinks>
  <printOptions horizontalCentered="1" verticalCentered="1" gridLines="1"/>
  <pageMargins left="0.19685039370078741" right="0.19685039370078741" top="0.78740157480314965" bottom="0.78740157480314965" header="0.51181102362204722" footer="0.51181102362204722"/>
  <pageSetup paperSize="9" orientation="landscape" r:id="rId2"/>
  <headerFooter alignWithMargins="0">
    <oddHeader>&amp;C&amp;"Arial,Bold"&amp;11Payroll</oddHeader>
    <oddFooter>&amp;L&amp;D  &amp;T&amp;C&amp;P  of  &amp;N&amp;R&amp;F  &amp;A</oddFooter>
  </headerFooter>
  <rowBreaks count="5" manualBreakCount="5">
    <brk id="16" max="16383" man="1"/>
    <brk id="26" max="16383" man="1"/>
    <brk id="36" max="16383" man="1"/>
    <brk id="46" max="16383" man="1"/>
    <brk id="56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hidden="1" customWidth="1"/>
    <col min="22" max="22" width="10.6640625" style="45" hidden="1" customWidth="1"/>
    <col min="23" max="27" width="9.6640625" style="45" hidden="1" customWidth="1"/>
    <col min="28" max="28" width="1.1640625" style="45" hidden="1" customWidth="1"/>
    <col min="29" max="29" width="9.6640625" style="45" hidden="1" customWidth="1"/>
    <col min="30" max="33" width="10.5" style="76" hidden="1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Jul!H3:H6</f>
        <v>Statutory Pay</v>
      </c>
      <c r="I3" s="365" t="str">
        <f>Jul!I3:I6</f>
        <v>Basic hours</v>
      </c>
      <c r="J3" s="365" t="str">
        <f>Jul!J3:J6</f>
        <v>Hourly rate</v>
      </c>
      <c r="K3" s="365" t="str">
        <f>Jul!K3:K6</f>
        <v>Basic    wages</v>
      </c>
      <c r="L3" s="365" t="str">
        <f>Jul!L3:L6</f>
        <v>Overtime Bonus Gratuities</v>
      </c>
      <c r="M3" s="428" t="str">
        <f>Jul!M3:M6</f>
        <v>GROSS WAGES</v>
      </c>
      <c r="N3" s="365" t="str">
        <f>Jul!N3:N6</f>
        <v>Income Tax</v>
      </c>
      <c r="O3" s="365" t="str">
        <f>Jul!O3:O6</f>
        <v>Employees National Insurance</v>
      </c>
      <c r="P3" s="365" t="str">
        <f>Jul!P3:P6</f>
        <v>Student Loans</v>
      </c>
      <c r="Q3" s="365" t="str">
        <f>Jul!Q3:Q6</f>
        <v>Other Deductions</v>
      </c>
      <c r="R3" s="428" t="str">
        <f>Jul!R3:R6</f>
        <v>NET      PAY</v>
      </c>
      <c r="S3" s="42"/>
      <c r="T3" s="365" t="str">
        <f>Jul!T3:T6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5</v>
      </c>
      <c r="F9" s="35"/>
      <c r="G9" s="35"/>
      <c r="H9" s="360" t="s">
        <v>28</v>
      </c>
      <c r="I9" s="361"/>
      <c r="J9" s="359"/>
      <c r="K9" s="204">
        <f>Jul!M39+1</f>
        <v>44683</v>
      </c>
      <c r="L9" s="203" t="s">
        <v>76</v>
      </c>
      <c r="M9" s="205">
        <f>K9+6</f>
        <v>44689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IF(T$9="Y",Jul!H41,0)</f>
        <v>0</v>
      </c>
      <c r="I11" s="89">
        <f>IF(T$9="Y",Jul!I41,0)</f>
        <v>0</v>
      </c>
      <c r="J11" s="89">
        <f>IF(T$9="Y",Jul!J41,0)</f>
        <v>0</v>
      </c>
      <c r="K11" s="89">
        <f>IF(T$9="Y",Jul!K41,I11*J11)</f>
        <v>0</v>
      </c>
      <c r="L11" s="110">
        <f>IF(T$9="Y",Jul!L41,0)</f>
        <v>0</v>
      </c>
      <c r="M11" s="110" t="str">
        <f>IF(E11=" "," ",IF(T$9="Y",Jul!M41,IF((H11+K11+L11)&gt;0,H11+K11+L11,"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IF(Employee!H$34=E$9,Employee!D$34+SUM(M11)+Jul!V41,SUM(M11)+Jul!V41)</f>
        <v>0</v>
      </c>
      <c r="W11" s="49">
        <f>IF(Employee!H$34=E$9,Employee!D$35+SUM(N11)+Jul!W41,SUM(N11)+Jul!W41)</f>
        <v>0</v>
      </c>
      <c r="X11" s="49">
        <f>IF(O11=" ",Jul!X41,O11+Jul!X41)</f>
        <v>0</v>
      </c>
      <c r="Y11" s="49">
        <f>IF(P11=" ",Jul!Y41,P11+Jul!Y41)</f>
        <v>0</v>
      </c>
      <c r="Z11" s="49">
        <f>IF(Q11=" ",Jul!Z41,Q11+Jul!Z41)</f>
        <v>0</v>
      </c>
      <c r="AA11" s="49">
        <f>IF(R11=" ",Jul!AA41,R11+Jul!AA41)</f>
        <v>0</v>
      </c>
      <c r="AC11" s="49">
        <f>IF(T11=" ",Jul!AC41,T11+Jul!AC41)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IF(T$9="Y",Jul!H42,0)</f>
        <v>0</v>
      </c>
      <c r="I12" s="92">
        <f>IF(T$9="Y",Jul!I42,0)</f>
        <v>0</v>
      </c>
      <c r="J12" s="92">
        <f>IF(T$9="Y",Jul!J42,0)</f>
        <v>0</v>
      </c>
      <c r="K12" s="92">
        <f>IF(T$9="Y",Jul!K42,I12*J12)</f>
        <v>0</v>
      </c>
      <c r="L12" s="111">
        <f>IF(T$9="Y",Jul!L42,0)</f>
        <v>0</v>
      </c>
      <c r="M12" s="111" t="str">
        <f>IF(E12=" "," ",IF(T$9="Y",Jul!M42,IF((H12+K12+L12)&gt;0,H12+K12+L12,"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IF(Employee!H$60=E$9,Employee!D$60+SUM(M12)+Jul!V42,SUM(M12)+Jul!V42)</f>
        <v>0</v>
      </c>
      <c r="W12" s="49">
        <f>IF(Employee!H$60=E$9,Employee!D$61+SUM(N12)+Jul!W42,SUM(N12)+Jul!W42)</f>
        <v>0</v>
      </c>
      <c r="X12" s="49">
        <f>IF(O12=" ",Jul!X42,O12+Jul!X42)</f>
        <v>0</v>
      </c>
      <c r="Y12" s="49">
        <f>IF(P12=" ",Jul!Y42,P12+Jul!Y42)</f>
        <v>0</v>
      </c>
      <c r="Z12" s="49">
        <f>IF(Q12=" ",Jul!Z42,Q12+Jul!Z42)</f>
        <v>0</v>
      </c>
      <c r="AA12" s="49">
        <f>IF(R12=" ",Jul!AA42,R12+Jul!AA42)</f>
        <v>0</v>
      </c>
      <c r="AC12" s="49">
        <f>IF(T12=" ",Jul!AC42,T12+Jul!AC42)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IF(T$9="Y",Jul!H43,0)</f>
        <v>0</v>
      </c>
      <c r="I13" s="92">
        <f>IF(T$9="Y",Jul!I43,0)</f>
        <v>0</v>
      </c>
      <c r="J13" s="92">
        <f>IF(T$9="Y",Jul!J43,0)</f>
        <v>0</v>
      </c>
      <c r="K13" s="92">
        <f>IF(T$9="Y",Jul!K43,I13*J13)</f>
        <v>0</v>
      </c>
      <c r="L13" s="111">
        <f>IF(T$9="Y",Jul!L43,0)</f>
        <v>0</v>
      </c>
      <c r="M13" s="111" t="str">
        <f>IF(E13=" "," ",IF(T$9="Y",Jul!M43,IF((H13+K13+L13)&gt;0,H13+K13+L13,"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IF(Employee!H$86=E$9,Employee!D$86+SUM(M13)+Jul!V43,SUM(M13)+Jul!V43)</f>
        <v>0</v>
      </c>
      <c r="W13" s="49">
        <f>IF(Employee!H$86=E$9,Employee!D$87+SUM(N13)+Jul!W43,SUM(N13)+Jul!W43)</f>
        <v>0</v>
      </c>
      <c r="X13" s="49">
        <f>IF(O13=" ",Jul!X43,O13+Jul!X43)</f>
        <v>0</v>
      </c>
      <c r="Y13" s="49">
        <f>IF(P13=" ",Jul!Y43,P13+Jul!Y43)</f>
        <v>0</v>
      </c>
      <c r="Z13" s="49">
        <f>IF(Q13=" ",Jul!Z43,Q13+Jul!Z43)</f>
        <v>0</v>
      </c>
      <c r="AA13" s="49">
        <f>IF(R13=" ",Jul!AA43,R13+Jul!AA43)</f>
        <v>0</v>
      </c>
      <c r="AC13" s="49">
        <f>IF(T13=" ",Jul!AC43,T13+Jul!AC43)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IF(T$9="Y",Jul!H44,0)</f>
        <v>0</v>
      </c>
      <c r="I14" s="92">
        <f>IF(T$9="Y",Jul!I44,0)</f>
        <v>0</v>
      </c>
      <c r="J14" s="92">
        <f>IF(T$9="Y",Jul!J44,0)</f>
        <v>0</v>
      </c>
      <c r="K14" s="92">
        <f>IF(T$9="Y",Jul!K44,I14*J14)</f>
        <v>0</v>
      </c>
      <c r="L14" s="111">
        <f>IF(T$9="Y",Jul!L44,0)</f>
        <v>0</v>
      </c>
      <c r="M14" s="111" t="str">
        <f>IF(E14=" "," ",IF(T$9="Y",Jul!M44,IF((H14+K14+L14)&gt;0,H14+K14+L14,"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IF(Employee!H$112=E$9,Employee!D$112+SUM(M14)+Jul!V44,SUM(M14)+Jul!V44)</f>
        <v>0</v>
      </c>
      <c r="W14" s="49">
        <f>IF(Employee!H$112=E$9,Employee!D$113+SUM(N14)+Jul!W44,SUM(N14)+Jul!W44)</f>
        <v>0</v>
      </c>
      <c r="X14" s="49">
        <f>IF(O14=" ",Jul!X44,O14+Jul!X44)</f>
        <v>0</v>
      </c>
      <c r="Y14" s="49">
        <f>IF(P14=" ",Jul!Y44,P14+Jul!Y44)</f>
        <v>0</v>
      </c>
      <c r="Z14" s="49">
        <f>IF(Q14=" ",Jul!Z44,Q14+Jul!Z44)</f>
        <v>0</v>
      </c>
      <c r="AA14" s="49">
        <f>IF(R14=" ",Jul!AA44,R14+Jul!AA44)</f>
        <v>0</v>
      </c>
      <c r="AC14" s="49">
        <f>IF(T14=" ",Jul!AC44,T14+Jul!AC44)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IF(T$9="Y",Jul!H45,0)</f>
        <v>0</v>
      </c>
      <c r="I15" s="245">
        <f>IF(T$9="Y",Jul!I45,0)</f>
        <v>0</v>
      </c>
      <c r="J15" s="245">
        <f>IF(T$9="Y",Jul!J45,0)</f>
        <v>0</v>
      </c>
      <c r="K15" s="245">
        <f>IF(T$9="Y",Jul!K45,I15*J15)</f>
        <v>0</v>
      </c>
      <c r="L15" s="246">
        <f>IF(T$9="Y",Jul!L45,0)</f>
        <v>0</v>
      </c>
      <c r="M15" s="111" t="str">
        <f>IF(E15=" "," ",IF(T$9="Y",Jul!M45,IF((H15+K15+L15)&gt;0,H15+K15+L15,"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IF(Employee!H$138=E$9,Employee!D$138+SUM(M15)+Jul!V45,SUM(M15)+Jul!V45)</f>
        <v>0</v>
      </c>
      <c r="W15" s="49">
        <f>IF(Employee!H$138=E$9,Employee!D$139+SUM(N15)+Jul!W45,SUM(N15)+Jul!W45)</f>
        <v>0</v>
      </c>
      <c r="X15" s="49">
        <f>IF(O15=" ",Jul!X45,O15+Jul!X45)</f>
        <v>0</v>
      </c>
      <c r="Y15" s="49">
        <f>IF(P15=" ",Jul!Y45,P15+Jul!Y45)</f>
        <v>0</v>
      </c>
      <c r="Z15" s="49">
        <f>IF(Q15=" ",Jul!Z45,Q15+Jul!Z45)</f>
        <v>0</v>
      </c>
      <c r="AA15" s="49">
        <f>IF(R15=" ",Jul!AA45,R15+Jul!AA45)</f>
        <v>0</v>
      </c>
      <c r="AC15" s="49">
        <f>IF(T15=" ",Jul!AC45,T15+Jul!AC45)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6</v>
      </c>
      <c r="F19" s="35"/>
      <c r="G19" s="35"/>
      <c r="H19" s="360" t="s">
        <v>28</v>
      </c>
      <c r="I19" s="361"/>
      <c r="J19" s="359"/>
      <c r="K19" s="204">
        <f>M9+1</f>
        <v>44690</v>
      </c>
      <c r="L19" s="203" t="s">
        <v>76</v>
      </c>
      <c r="M19" s="205">
        <f>K19+6</f>
        <v>44696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7</v>
      </c>
      <c r="F29" s="35"/>
      <c r="G29" s="35"/>
      <c r="H29" s="360" t="s">
        <v>28</v>
      </c>
      <c r="I29" s="361"/>
      <c r="J29" s="359"/>
      <c r="K29" s="204">
        <f>M19+1</f>
        <v>44697</v>
      </c>
      <c r="L29" s="203" t="s">
        <v>76</v>
      </c>
      <c r="M29" s="205">
        <f>K29+6</f>
        <v>44703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8</v>
      </c>
      <c r="F39" s="35"/>
      <c r="G39" s="35"/>
      <c r="H39" s="360" t="s">
        <v>28</v>
      </c>
      <c r="I39" s="361"/>
      <c r="J39" s="359"/>
      <c r="K39" s="204">
        <f>M29+1</f>
        <v>44704</v>
      </c>
      <c r="L39" s="203" t="s">
        <v>76</v>
      </c>
      <c r="M39" s="205">
        <f>K39+6</f>
        <v>44710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2</v>
      </c>
      <c r="F49" s="35"/>
      <c r="G49" s="35"/>
      <c r="H49" s="360" t="s">
        <v>28</v>
      </c>
      <c r="I49" s="361"/>
      <c r="J49" s="359"/>
      <c r="K49" s="204">
        <f>DATE(2021,8,1)</f>
        <v>44409</v>
      </c>
      <c r="L49" s="203" t="s">
        <v>76</v>
      </c>
      <c r="M49" s="205">
        <f>DATE(2021,8,31)</f>
        <v>44439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IF(T$49="Y",Jul!H51,0)</f>
        <v>0</v>
      </c>
      <c r="I51" s="89">
        <f>IF(T$49="Y",Jul!I51,0)</f>
        <v>0</v>
      </c>
      <c r="J51" s="89">
        <f>IF(T$49="Y",Jul!J51,0)</f>
        <v>0</v>
      </c>
      <c r="K51" s="89">
        <f>IF(T$49="Y",Jul!K51,I51*J51)</f>
        <v>0</v>
      </c>
      <c r="L51" s="110">
        <f>IF(T$49="Y",Jul!L51,0)</f>
        <v>0</v>
      </c>
      <c r="M51" s="99" t="str">
        <f>IF(E51=" "," ",IF(T$49="Y",Jul!M51,IF((H51+K51+L51)&gt;0,H51+K51+L51,"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IF(Employee!H$35=E$49,Employee!D$34+SUM(M51)+Jul!V51,SUM(M51)+Jul!V51)</f>
        <v>0</v>
      </c>
      <c r="W51" s="49">
        <f>IF(Employee!H$35=E$49,Employee!D$35+SUM(N51)+Jul!W51,SUM(N51)+Jul!W51)</f>
        <v>0</v>
      </c>
      <c r="X51" s="49">
        <f>IF(O51=" ",Jul!X51,O51+Jul!X51)</f>
        <v>0</v>
      </c>
      <c r="Y51" s="49">
        <f>IF(P51=" ",Jul!Y51,P51+Jul!Y51)</f>
        <v>0</v>
      </c>
      <c r="Z51" s="49">
        <f>IF(Q51=" ",Jul!Z51,Q51+Jul!Z51)</f>
        <v>0</v>
      </c>
      <c r="AA51" s="49">
        <f>IF(R51=" ",Jul!AA51,R51+Jul!AA51)</f>
        <v>0</v>
      </c>
      <c r="AC51" s="49">
        <f>IF(T51=" ",Jul!AC51,T51+Jul!AC51)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IF(T$49="Y",Jul!H52,0)</f>
        <v>0</v>
      </c>
      <c r="I52" s="92">
        <f>IF(T$49="Y",Jul!I52,0)</f>
        <v>0</v>
      </c>
      <c r="J52" s="92">
        <f>IF(T$49="Y",Jul!J52,0)</f>
        <v>0</v>
      </c>
      <c r="K52" s="92">
        <f>IF(T$49="Y",Jul!K52,I52*J52)</f>
        <v>0</v>
      </c>
      <c r="L52" s="111">
        <f>IF(T$49="Y",Jul!L52,0)</f>
        <v>0</v>
      </c>
      <c r="M52" s="100" t="str">
        <f>IF(E52=" "," ",IF(T$49="Y",Jul!M52,IF((H52+K52+L52)&gt;0,H52+K52+L52,"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IF(Employee!H$61=E$49,Employee!D$60+SUM(M52)+Jul!V52,SUM(M52)+Jul!V52)</f>
        <v>0</v>
      </c>
      <c r="W52" s="49">
        <f>IF(Employee!H$61=E$49,Employee!D$61+SUM(N52)+Jul!W52,SUM(N52)+Jul!W52)</f>
        <v>0</v>
      </c>
      <c r="X52" s="49">
        <f>IF(O52=" ",Jul!X52,O52+Jul!X52)</f>
        <v>0</v>
      </c>
      <c r="Y52" s="49">
        <f>IF(P52=" ",Jul!Y52,P52+Jul!Y52)</f>
        <v>0</v>
      </c>
      <c r="Z52" s="49">
        <f>IF(Q52=" ",Jul!Z52,Q52+Jul!Z52)</f>
        <v>0</v>
      </c>
      <c r="AA52" s="49">
        <f>IF(R52=" ",Jul!AA52,R52+Jul!AA52)</f>
        <v>0</v>
      </c>
      <c r="AC52" s="49">
        <f>IF(T52=" ",Jul!AC52,T52+Jul!AC52)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IF(T$49="Y",Jul!H53,0)</f>
        <v>0</v>
      </c>
      <c r="I53" s="92">
        <f>IF(T$49="Y",Jul!I53,0)</f>
        <v>0</v>
      </c>
      <c r="J53" s="92">
        <f>IF(T$49="Y",Jul!J53,0)</f>
        <v>0</v>
      </c>
      <c r="K53" s="92">
        <f>IF(T$49="Y",Jul!K53,I53*J53)</f>
        <v>0</v>
      </c>
      <c r="L53" s="111">
        <f>IF(T$49="Y",Jul!L53,0)</f>
        <v>0</v>
      </c>
      <c r="M53" s="100" t="str">
        <f>IF(E53=" "," ",IF(T$49="Y",Jul!M53,IF((H53+K53+L53)&gt;0,H53+K53+L53,"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IF(Employee!H$87=E$49,Employee!D$86+SUM(M53)+Jul!V53,SUM(M53)+Jul!V53)</f>
        <v>0</v>
      </c>
      <c r="W53" s="49">
        <f>IF(Employee!H$87=E$49,Employee!D$7+SUM(N53)+Jul!W53,SUM(N53)+Jul!W53)</f>
        <v>0</v>
      </c>
      <c r="X53" s="49">
        <f>IF(O53=" ",Jul!X53,O53+Jul!X53)</f>
        <v>0</v>
      </c>
      <c r="Y53" s="49">
        <f>IF(P53=" ",Jul!Y53,P53+Jul!Y53)</f>
        <v>0</v>
      </c>
      <c r="Z53" s="49">
        <f>IF(Q53=" ",Jul!Z53,Q53+Jul!Z53)</f>
        <v>0</v>
      </c>
      <c r="AA53" s="49">
        <f>IF(R53=" ",Jul!AA53,R53+Jul!AA53)</f>
        <v>0</v>
      </c>
      <c r="AC53" s="49">
        <f>IF(T53=" ",Jul!AC53,T53+Jul!AC53)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IF(T$49="Y",Jul!H54,0)</f>
        <v>0</v>
      </c>
      <c r="I54" s="92">
        <f>IF(T$49="Y",Jul!I54,0)</f>
        <v>0</v>
      </c>
      <c r="J54" s="92">
        <f>IF(T$49="Y",Jul!J54,0)</f>
        <v>0</v>
      </c>
      <c r="K54" s="92">
        <f>IF(T$49="Y",Jul!K54,I54*J54)</f>
        <v>0</v>
      </c>
      <c r="L54" s="111">
        <f>IF(T$49="Y",Jul!L54,0)</f>
        <v>0</v>
      </c>
      <c r="M54" s="100" t="str">
        <f>IF(E54=" "," ",IF(T$49="Y",Jul!M54,IF((H54+K54+L54)&gt;0,H54+K54+L54,"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IF(Employee!H$113=E$49,Employee!D$112+SUM(M54)+Jul!V54,SUM(M54)+Jul!V54)</f>
        <v>0</v>
      </c>
      <c r="W54" s="49">
        <f>IF(Employee!H$113=E$49,Employee!D$113+SUM(N54)+Jul!W54,SUM(N54)+Jul!W54)</f>
        <v>0</v>
      </c>
      <c r="X54" s="49">
        <f>IF(O54=" ",Jul!X54,O54+Jul!X54)</f>
        <v>0</v>
      </c>
      <c r="Y54" s="49">
        <f>IF(P54=" ",Jul!Y54,P54+Jul!Y54)</f>
        <v>0</v>
      </c>
      <c r="Z54" s="49">
        <f>IF(Q54=" ",Jul!Z54,Q54+Jul!Z54)</f>
        <v>0</v>
      </c>
      <c r="AA54" s="49">
        <f>IF(R54=" ",Jul!AA54,R54+Jul!AA54)</f>
        <v>0</v>
      </c>
      <c r="AC54" s="49">
        <f>IF(T54=" ",Jul!AC54,T54+Jul!AC54)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IF(T$49="Y",Jul!H55,0)</f>
        <v>0</v>
      </c>
      <c r="I55" s="245">
        <f>IF(T$49="Y",Jul!I55,0)</f>
        <v>0</v>
      </c>
      <c r="J55" s="245">
        <f>IF(T$49="Y",Jul!J55,0)</f>
        <v>0</v>
      </c>
      <c r="K55" s="245">
        <f>IF(T$49="Y",Jul!K55,I55*J55)</f>
        <v>0</v>
      </c>
      <c r="L55" s="246">
        <f>IF(T$49="Y",Jul!L55,0)</f>
        <v>0</v>
      </c>
      <c r="M55" s="100" t="str">
        <f>IF(E55=" "," ",IF(T$49="Y",Jul!M55,IF((H55+K55+L55)&gt;0,H55+K55+L55,"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IF(Employee!H$139=E$49,Employee!D$138+SUM(M55)+Jul!V55,SUM(M55)+Jul!V55)</f>
        <v>0</v>
      </c>
      <c r="W55" s="49">
        <f>IF(Employee!H$139=E$49,Employee!D$139+SUM(N55)+Jul!W55,SUM(N55)+Jul!W55)</f>
        <v>0</v>
      </c>
      <c r="X55" s="49">
        <f>IF(O55=" ",Jul!X55,O55+Jul!X55)</f>
        <v>0</v>
      </c>
      <c r="Y55" s="49">
        <f>IF(P55=" ",Jul!Y55,P55+Jul!Y55)</f>
        <v>0</v>
      </c>
      <c r="Z55" s="49">
        <f>IF(Q55=" ",Jul!Z55,Q55+Jul!Z55)</f>
        <v>0</v>
      </c>
      <c r="AA55" s="49">
        <f>IF(R55=" ",Jul!AA55,R55+Jul!AA55)</f>
        <v>0</v>
      </c>
      <c r="AC55" s="49">
        <f>IF(T55=" ",Jul!AC55,T55+Jul!AC55)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AD60+Jul!AD65</f>
        <v>0</v>
      </c>
      <c r="AE65" s="158">
        <f>AE60+Jul!AE65</f>
        <v>0</v>
      </c>
      <c r="AF65" s="158">
        <f>AF60+Jul!AF65</f>
        <v>0</v>
      </c>
      <c r="AG65" s="158">
        <f>AG60+Jul!AG65</f>
        <v>0</v>
      </c>
    </row>
    <row r="66" spans="6:33" ht="14" thickTop="1" x14ac:dyDescent="0.15"/>
    <row r="67" spans="6:33" x14ac:dyDescent="0.15">
      <c r="AD67" s="162"/>
      <c r="AE67" s="158">
        <f>AE62+Jul!AE67</f>
        <v>0</v>
      </c>
      <c r="AF67" s="158">
        <f>AF62+Jul!AF67</f>
        <v>0</v>
      </c>
      <c r="AG67" s="158">
        <f>AG62+Jul!AG67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41:G45 G21:G25 G11:G15 G31:G35" xr:uid="{00000000-0002-0000-0200-000000000000}">
      <formula1>$G$3:$G$6</formula1>
    </dataValidation>
  </dataValidations>
  <hyperlinks>
    <hyperlink ref="B1" r:id="rId1" xr:uid="{00000000-0004-0000-02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H7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2" t="s">
        <v>4</v>
      </c>
      <c r="J1" s="433"/>
      <c r="K1" s="433"/>
      <c r="L1" s="434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Jul!H3:H6</f>
        <v>Statutory Pay</v>
      </c>
      <c r="I3" s="365" t="str">
        <f>Jul!I3:I6</f>
        <v>Basic hours</v>
      </c>
      <c r="J3" s="365" t="str">
        <f>Jul!J3:J6</f>
        <v>Hourly rate</v>
      </c>
      <c r="K3" s="365" t="str">
        <f>Jul!K3:K6</f>
        <v>Basic    wages</v>
      </c>
      <c r="L3" s="365" t="str">
        <f>Jul!L3:L6</f>
        <v>Overtime Bonus Gratuities</v>
      </c>
      <c r="M3" s="428" t="str">
        <f>Jul!M3:M6</f>
        <v>GROSS WAGES</v>
      </c>
      <c r="N3" s="365" t="str">
        <f>Jul!N3:N6</f>
        <v>Income Tax</v>
      </c>
      <c r="O3" s="365" t="str">
        <f>Jul!O3:O6</f>
        <v>Employees National Insurance</v>
      </c>
      <c r="P3" s="365" t="str">
        <f>Jul!P3:P6</f>
        <v>Student Loans</v>
      </c>
      <c r="Q3" s="365" t="str">
        <f>Jul!Q3:Q6</f>
        <v>Other Deductions</v>
      </c>
      <c r="R3" s="428" t="str">
        <f>Jul!R3:R6</f>
        <v>NET      PAY</v>
      </c>
      <c r="S3" s="42"/>
      <c r="T3" s="365" t="str">
        <f>Jul!T3:T6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9</v>
      </c>
      <c r="F9" s="35"/>
      <c r="G9" s="35"/>
      <c r="H9" s="360" t="s">
        <v>28</v>
      </c>
      <c r="I9" s="361"/>
      <c r="J9" s="359"/>
      <c r="K9" s="204">
        <f>Aug!M39+1</f>
        <v>44711</v>
      </c>
      <c r="L9" s="203" t="s">
        <v>76</v>
      </c>
      <c r="M9" s="205">
        <f>K9+6</f>
        <v>44717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IF(T$9="Y",Aug!H41,0)</f>
        <v>0</v>
      </c>
      <c r="I11" s="89">
        <f>IF(T$9="Y",Aug!I41,0)</f>
        <v>0</v>
      </c>
      <c r="J11" s="89">
        <f>IF(T$9="Y",Aug!J41,0)</f>
        <v>0</v>
      </c>
      <c r="K11" s="89">
        <f>IF(T$9="Y",Aug!K41,I11*J11)</f>
        <v>0</v>
      </c>
      <c r="L11" s="110">
        <f>IF(T$9="Y",Aug!L41,0)</f>
        <v>0</v>
      </c>
      <c r="M11" s="110" t="str">
        <f>IF(E11=" "," ",IF(T$9="Y",Aug!M41,IF((H11+K11+L11)&gt;0,H11+K11+L11,"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IF(Employee!H$34=E$9,Employee!D$34+SUM(M11)+Aug!V41,SUM(M11)+Aug!V41)</f>
        <v>0</v>
      </c>
      <c r="W11" s="49">
        <f>IF(Employee!H$34=E$9,Employee!D$35+SUM(N11)+Aug!W41,SUM(N11)+Aug!W41)</f>
        <v>0</v>
      </c>
      <c r="X11" s="49">
        <f>IF(O11=" ",Aug!X41,O11+Aug!X41)</f>
        <v>0</v>
      </c>
      <c r="Y11" s="49">
        <f>IF(P11=" ",Aug!Y41,P11+Aug!Y41)</f>
        <v>0</v>
      </c>
      <c r="Z11" s="49">
        <f>IF(Q11=" ",Aug!Z41,Q11+Aug!Z41)</f>
        <v>0</v>
      </c>
      <c r="AA11" s="49">
        <f>IF(R11=" ",Aug!AA41,R11+Aug!AA41)</f>
        <v>0</v>
      </c>
      <c r="AC11" s="49">
        <f>IF(T11=" ",Aug!AC41,T11+Aug!AC41)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IF(T$9="Y",Aug!H42,0)</f>
        <v>0</v>
      </c>
      <c r="I12" s="92">
        <f>IF(T$9="Y",Aug!I42,0)</f>
        <v>0</v>
      </c>
      <c r="J12" s="92">
        <f>IF(T$9="Y",Aug!J42,0)</f>
        <v>0</v>
      </c>
      <c r="K12" s="92">
        <f>IF(T$9="Y",Aug!K42,I12*J12)</f>
        <v>0</v>
      </c>
      <c r="L12" s="111">
        <f>IF(T$9="Y",Aug!L42,0)</f>
        <v>0</v>
      </c>
      <c r="M12" s="111" t="str">
        <f>IF(E12=" "," ",IF(T$9="Y",Aug!M42,IF((H12+K12+L12)&gt;0,H12+K12+L12,"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IF(Employee!H$60=E$9,Employee!D$60+SUM(M12)+Aug!V42,SUM(M12)+Aug!V42)</f>
        <v>0</v>
      </c>
      <c r="W12" s="49">
        <f>IF(Employee!H$60=E$9,Employee!D$61+SUM(N12)+Aug!W42,SUM(N12)+Aug!W42)</f>
        <v>0</v>
      </c>
      <c r="X12" s="49">
        <f>IF(O12=" ",Aug!X42,O12+Aug!X42)</f>
        <v>0</v>
      </c>
      <c r="Y12" s="49">
        <f>IF(P12=" ",Aug!Y42,P12+Aug!Y42)</f>
        <v>0</v>
      </c>
      <c r="Z12" s="49">
        <f>IF(Q12=" ",Aug!Z42,Q12+Aug!Z42)</f>
        <v>0</v>
      </c>
      <c r="AA12" s="49">
        <f>IF(R12=" ",Aug!AA42,R12+Aug!AA42)</f>
        <v>0</v>
      </c>
      <c r="AC12" s="49">
        <f>IF(T12=" ",Aug!AC42,T12+Aug!AC42)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IF(T$9="Y",Aug!H43,0)</f>
        <v>0</v>
      </c>
      <c r="I13" s="92">
        <f>IF(T$9="Y",Aug!I43,0)</f>
        <v>0</v>
      </c>
      <c r="J13" s="92">
        <f>IF(T$9="Y",Aug!J43,0)</f>
        <v>0</v>
      </c>
      <c r="K13" s="92">
        <f>IF(T$9="Y",Aug!K43,I13*J13)</f>
        <v>0</v>
      </c>
      <c r="L13" s="111">
        <f>IF(T$9="Y",Aug!L43,0)</f>
        <v>0</v>
      </c>
      <c r="M13" s="111" t="str">
        <f>IF(E13=" "," ",IF(T$9="Y",Aug!M43,IF((H13+K13+L13)&gt;0,H13+K13+L13,"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IF(Employee!H$86=E$9,Employee!D$86+SUM(M13)+Aug!V43,SUM(M13)+Aug!V43)</f>
        <v>0</v>
      </c>
      <c r="W13" s="49">
        <f>IF(Employee!H$86=E$9,Employee!D$87+SUM(N13)+Aug!W43,SUM(N13)+Aug!W43)</f>
        <v>0</v>
      </c>
      <c r="X13" s="49">
        <f>IF(O13=" ",Aug!X43,O13+Aug!X43)</f>
        <v>0</v>
      </c>
      <c r="Y13" s="49">
        <f>IF(P13=" ",Aug!Y43,P13+Aug!Y43)</f>
        <v>0</v>
      </c>
      <c r="Z13" s="49">
        <f>IF(Q13=" ",Aug!Z43,Q13+Aug!Z43)</f>
        <v>0</v>
      </c>
      <c r="AA13" s="49">
        <f>IF(R13=" ",Aug!AA43,R13+Aug!AA43)</f>
        <v>0</v>
      </c>
      <c r="AC13" s="49">
        <f>IF(T13=" ",Aug!AC43,T13+Aug!AC43)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IF(T$9="Y",Aug!H44,0)</f>
        <v>0</v>
      </c>
      <c r="I14" s="92">
        <f>IF(T$9="Y",Aug!I44,0)</f>
        <v>0</v>
      </c>
      <c r="J14" s="92">
        <f>IF(T$9="Y",Aug!J44,0)</f>
        <v>0</v>
      </c>
      <c r="K14" s="92">
        <f>IF(T$9="Y",Aug!K44,I14*J14)</f>
        <v>0</v>
      </c>
      <c r="L14" s="111">
        <f>IF(T$9="Y",Aug!L44,0)</f>
        <v>0</v>
      </c>
      <c r="M14" s="111" t="str">
        <f>IF(E14=" "," ",IF(T$9="Y",Aug!M44,IF((H14+K14+L14)&gt;0,H14+K14+L14,"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IF(Employee!H$112=E$9,Employee!D$112+SUM(M14)+Aug!V44,SUM(M14)+Aug!V44)</f>
        <v>0</v>
      </c>
      <c r="W14" s="49">
        <f>IF(Employee!H$112=E$9,Employee!D$113+SUM(N14)+Aug!W44,SUM(N14)+Aug!W44)</f>
        <v>0</v>
      </c>
      <c r="X14" s="49">
        <f>IF(O14=" ",Aug!X44,O14+Aug!X44)</f>
        <v>0</v>
      </c>
      <c r="Y14" s="49">
        <f>IF(P14=" ",Aug!Y44,P14+Aug!Y44)</f>
        <v>0</v>
      </c>
      <c r="Z14" s="49">
        <f>IF(Q14=" ",Aug!Z44,Q14+Aug!Z44)</f>
        <v>0</v>
      </c>
      <c r="AA14" s="49">
        <f>IF(R14=" ",Aug!AA44,R14+Aug!AA44)</f>
        <v>0</v>
      </c>
      <c r="AC14" s="49">
        <f>IF(T14=" ",Aug!AC44,T14+Aug!AC44)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IF(T$9="Y",Aug!H45,0)</f>
        <v>0</v>
      </c>
      <c r="I15" s="245">
        <f>IF(T$9="Y",Aug!I45,0)</f>
        <v>0</v>
      </c>
      <c r="J15" s="245">
        <f>IF(T$9="Y",Aug!J45,0)</f>
        <v>0</v>
      </c>
      <c r="K15" s="245">
        <f>IF(T$9="Y",Aug!K45,I15*J15)</f>
        <v>0</v>
      </c>
      <c r="L15" s="246">
        <f>IF(T$9="Y",Aug!L45,0)</f>
        <v>0</v>
      </c>
      <c r="M15" s="111" t="str">
        <f>IF(E15=" "," ",IF(T$9="Y",Aug!M45,IF((H15+K15+L15)&gt;0,H15+K15+L15,"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IF(Employee!H$138=E$9,Employee!D$138+SUM(M15)+Aug!V45,SUM(M15)+Aug!V45)</f>
        <v>0</v>
      </c>
      <c r="W15" s="49">
        <f>IF(Employee!H$138=E$9,Employee!D$139+SUM(N15)+Aug!W45,SUM(N15)+Aug!W45)</f>
        <v>0</v>
      </c>
      <c r="X15" s="49">
        <f>IF(O15=" ",Aug!X45,O15+Aug!X45)</f>
        <v>0</v>
      </c>
      <c r="Y15" s="49">
        <f>IF(P15=" ",Aug!Y45,P15+Aug!Y45)</f>
        <v>0</v>
      </c>
      <c r="Z15" s="49">
        <f>IF(Q15=" ",Aug!Z45,Q15+Aug!Z45)</f>
        <v>0</v>
      </c>
      <c r="AA15" s="49">
        <f>IF(R15=" ",Aug!AA45,R15+Aug!AA45)</f>
        <v>0</v>
      </c>
      <c r="AC15" s="49">
        <f>IF(T15=" ",Aug!AC45,T15+Aug!AC45)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10</v>
      </c>
      <c r="F19" s="35"/>
      <c r="G19" s="35"/>
      <c r="H19" s="360" t="s">
        <v>28</v>
      </c>
      <c r="I19" s="361"/>
      <c r="J19" s="359"/>
      <c r="K19" s="204">
        <f>M9+1</f>
        <v>44718</v>
      </c>
      <c r="L19" s="203" t="s">
        <v>76</v>
      </c>
      <c r="M19" s="205">
        <f>K19+6</f>
        <v>44724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11</v>
      </c>
      <c r="F29" s="35"/>
      <c r="G29" s="35"/>
      <c r="H29" s="360" t="s">
        <v>28</v>
      </c>
      <c r="I29" s="361"/>
      <c r="J29" s="359"/>
      <c r="K29" s="204">
        <f>M19+1</f>
        <v>44725</v>
      </c>
      <c r="L29" s="203" t="s">
        <v>76</v>
      </c>
      <c r="M29" s="205">
        <f>K29+6</f>
        <v>44731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12</v>
      </c>
      <c r="F39" s="35"/>
      <c r="G39" s="35"/>
      <c r="H39" s="360" t="s">
        <v>28</v>
      </c>
      <c r="I39" s="439"/>
      <c r="J39" s="440"/>
      <c r="K39" s="204">
        <f>M29+1</f>
        <v>44732</v>
      </c>
      <c r="L39" s="203" t="s">
        <v>76</v>
      </c>
      <c r="M39" s="205">
        <f>K39+6</f>
        <v>44738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.75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6"/>
      <c r="AE47" s="76"/>
      <c r="AF47" s="76"/>
      <c r="AG47" s="76"/>
      <c r="AH47" s="35"/>
    </row>
    <row r="48" spans="1:34" s="8" customFormat="1" ht="18.75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23"/>
      <c r="V48" s="66"/>
      <c r="W48" s="66"/>
      <c r="X48" s="66"/>
      <c r="Y48" s="166"/>
      <c r="Z48" s="66"/>
      <c r="AA48" s="66"/>
      <c r="AB48" s="67"/>
      <c r="AC48" s="66"/>
      <c r="AD48" s="76"/>
      <c r="AE48" s="76"/>
      <c r="AF48" s="76"/>
      <c r="AG48" s="76"/>
      <c r="AH48" s="35"/>
    </row>
    <row r="49" spans="1:34" s="8" customFormat="1" ht="18.75" customHeight="1" thickTop="1" thickBot="1" x14ac:dyDescent="0.2">
      <c r="A49" s="34"/>
      <c r="B49" s="360" t="s">
        <v>9</v>
      </c>
      <c r="C49" s="439"/>
      <c r="D49" s="440"/>
      <c r="E49" s="156">
        <v>13</v>
      </c>
      <c r="F49" s="35"/>
      <c r="G49" s="35"/>
      <c r="H49" s="360" t="s">
        <v>28</v>
      </c>
      <c r="I49" s="439"/>
      <c r="J49" s="440"/>
      <c r="K49" s="204">
        <f>M39+1</f>
        <v>44739</v>
      </c>
      <c r="L49" s="203" t="s">
        <v>76</v>
      </c>
      <c r="M49" s="205">
        <f>K49+6</f>
        <v>44745</v>
      </c>
      <c r="N49" s="20"/>
      <c r="O49" s="401" t="s">
        <v>63</v>
      </c>
      <c r="P49" s="441"/>
      <c r="Q49" s="441"/>
      <c r="R49" s="442"/>
      <c r="S49" s="35"/>
      <c r="T49" s="164"/>
      <c r="U49" s="323"/>
      <c r="V49" s="66"/>
      <c r="W49" s="66"/>
      <c r="X49" s="66"/>
      <c r="Y49" s="166"/>
      <c r="Z49" s="66"/>
      <c r="AA49" s="66"/>
      <c r="AB49" s="67"/>
      <c r="AC49" s="66"/>
      <c r="AD49" s="76"/>
      <c r="AE49" s="76"/>
      <c r="AF49" s="76"/>
      <c r="AG49" s="76"/>
      <c r="AH49" s="35"/>
    </row>
    <row r="50" spans="1:34" s="8" customFormat="1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23"/>
      <c r="V50" s="66"/>
      <c r="W50" s="66"/>
      <c r="X50" s="66"/>
      <c r="Y50" s="166"/>
      <c r="Z50" s="66"/>
      <c r="AA50" s="66"/>
      <c r="AB50" s="67"/>
      <c r="AC50" s="66"/>
      <c r="AD50" s="76"/>
      <c r="AE50" s="76"/>
      <c r="AF50" s="76"/>
      <c r="AG50" s="76"/>
      <c r="AH50" s="35"/>
    </row>
    <row r="51" spans="1:34" s="8" customFormat="1" ht="18.75" customHeight="1" x14ac:dyDescent="0.15">
      <c r="A51" s="34"/>
      <c r="B51" s="113" t="str">
        <f>IF(E51=" "," ",IF(Employee!F$24&gt;E$39," ",IF(Employee!F$26&lt;E$39," ",Employee!D$30)))</f>
        <v xml:space="preserve"> </v>
      </c>
      <c r="C51" s="299"/>
      <c r="D51" s="299" t="s">
        <v>107</v>
      </c>
      <c r="E51" s="120" t="str">
        <f>IF(Employee!D$28="m"," ",IF(Employee!F$24&gt;E$39," ",IF(Employee!F$26&lt;E$39," ",Employee!D$29)))</f>
        <v xml:space="preserve"> </v>
      </c>
      <c r="F51" s="117" t="str">
        <f>IF(E51=" "," ",IF(Employee!F$24&gt;E$39," ",IF(Employee!F$26&lt;E$39," ",Employee!D$15)))</f>
        <v xml:space="preserve"> </v>
      </c>
      <c r="G51" s="130"/>
      <c r="H51" s="95">
        <f>IF(T$39="Y",H41,0)</f>
        <v>0</v>
      </c>
      <c r="I51" s="89">
        <f>IF(T$39="Y",I41,0)</f>
        <v>0</v>
      </c>
      <c r="J51" s="89">
        <f>IF(T$39="Y",J41,0)</f>
        <v>0</v>
      </c>
      <c r="K51" s="89">
        <f>IF(T$39="Y",K41,I51*J51)</f>
        <v>0</v>
      </c>
      <c r="L51" s="89">
        <f>IF(T$39="Y",L41,0)</f>
        <v>0</v>
      </c>
      <c r="M51" s="99" t="str">
        <f>IF(E51=" "," ",IF(T$39="Y",M41,IF((H51+K51+L51)&gt;0,H51+K51+L51,"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23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Y55" si="9">IF(P51=0,Y41,P51+Y41)</f>
        <v>0</v>
      </c>
      <c r="Z51" s="49">
        <f t="shared" ref="Z51:Z55" si="10">IF(Q51=0,Z41,Q51+Z41)</f>
        <v>0</v>
      </c>
      <c r="AA51" s="49">
        <f>IF(R51=" ",AA41,AA41+R51)</f>
        <v>0</v>
      </c>
      <c r="AB51" s="45"/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s="8" customFormat="1" ht="18.75" customHeight="1" x14ac:dyDescent="0.15">
      <c r="A52" s="34"/>
      <c r="B52" s="115" t="str">
        <f>IF(E52=" "," ",IF(Employee!F$50&gt;E$39," ",IF(Employee!F$52&lt;E$39," ",Employee!D$56)))</f>
        <v xml:space="preserve"> </v>
      </c>
      <c r="C52" s="299"/>
      <c r="D52" s="299" t="s">
        <v>107</v>
      </c>
      <c r="E52" s="112" t="str">
        <f>IF(Employee!D$54="m"," ",IF(Employee!F$50&gt;E$39," ",IF(Employee!F$52&lt;E$39," ",Employee!D$55)))</f>
        <v xml:space="preserve"> </v>
      </c>
      <c r="F52" s="118" t="str">
        <f>IF(E52=" "," ",IF(Employee!F$50&gt;E$39," ",IF(Employee!F$52&lt;E$39," ",Employee!D$41)))</f>
        <v xml:space="preserve"> </v>
      </c>
      <c r="G52" s="130"/>
      <c r="H52" s="96">
        <f>IF(T$39="Y",H42,0)</f>
        <v>0</v>
      </c>
      <c r="I52" s="92">
        <f>IF(T$39="Y",I42,0)</f>
        <v>0</v>
      </c>
      <c r="J52" s="92">
        <f>IF(T$39="Y",J42,0)</f>
        <v>0</v>
      </c>
      <c r="K52" s="92">
        <f>IF(T$39="Y",K42,I52*J52)</f>
        <v>0</v>
      </c>
      <c r="L52" s="92">
        <f>IF(T$39="Y",L42,0)</f>
        <v>0</v>
      </c>
      <c r="M52" s="100" t="str">
        <f>IF(E52=" "," ",IF(T$39="Y",M42,IF((H52+K52+L52)&gt;0,H52+K52+L52,"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23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10"/>
        <v>0</v>
      </c>
      <c r="AA52" s="49">
        <f>IF(R52=" ",AA42,AA42+R52)</f>
        <v>0</v>
      </c>
      <c r="AB52" s="45"/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s="8" customFormat="1" ht="18.75" customHeight="1" x14ac:dyDescent="0.15">
      <c r="A53" s="34"/>
      <c r="B53" s="115" t="str">
        <f>IF(E53=" "," ",IF(Employee!F$76&gt;E$39," ",IF(Employee!F$78&lt;E$39," ",Employee!D$82)))</f>
        <v xml:space="preserve"> </v>
      </c>
      <c r="C53" s="299"/>
      <c r="D53" s="299" t="s">
        <v>107</v>
      </c>
      <c r="E53" s="112" t="str">
        <f>IF(Employee!D$80="m"," ",IF(Employee!F$76&gt;E$39," ",IF(Employee!F$78&lt;E$39," ",Employee!D$81)))</f>
        <v xml:space="preserve"> </v>
      </c>
      <c r="F53" s="118" t="str">
        <f>IF(E53=" "," ",IF(Employee!F$76&gt;E$39," ",IF(Employee!F$78&lt;E$39," ",Employee!D$67)))</f>
        <v xml:space="preserve"> </v>
      </c>
      <c r="G53" s="130"/>
      <c r="H53" s="96">
        <f>IF(T$39="Y",H43,0)</f>
        <v>0</v>
      </c>
      <c r="I53" s="92">
        <f>IF(T$39="Y",I43,0)</f>
        <v>0</v>
      </c>
      <c r="J53" s="92">
        <f>IF(T$39="Y",J43,0)</f>
        <v>0</v>
      </c>
      <c r="K53" s="92">
        <f>IF(T$39="Y",K43,I53*J53)</f>
        <v>0</v>
      </c>
      <c r="L53" s="92">
        <f>IF(T$39="Y",L43,0)</f>
        <v>0</v>
      </c>
      <c r="M53" s="100" t="str">
        <f>IF(E53=" "," ",IF(T$39="Y",M43,IF((H53+K53+L53)&gt;0,H53+K53+L53,"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23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10"/>
        <v>0</v>
      </c>
      <c r="AA53" s="49">
        <f>IF(R53=" ",AA43,AA43+R53)</f>
        <v>0</v>
      </c>
      <c r="AB53" s="45"/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s="8" customFormat="1" ht="18.75" customHeight="1" x14ac:dyDescent="0.15">
      <c r="A54" s="34"/>
      <c r="B54" s="115" t="str">
        <f>IF(E54=" "," ",IF(Employee!F$102&gt;E$39," ",IF(Employee!F$104&lt;E$39," ",Employee!D$108)))</f>
        <v xml:space="preserve"> </v>
      </c>
      <c r="C54" s="299"/>
      <c r="D54" s="299" t="s">
        <v>107</v>
      </c>
      <c r="E54" s="112" t="str">
        <f>IF(Employee!D$106="m"," ",IF(Employee!F$102&gt;E$39," ",IF(Employee!F$104&lt;E$39," ",Employee!D$107)))</f>
        <v xml:space="preserve"> </v>
      </c>
      <c r="F54" s="118" t="str">
        <f>IF(E54=" "," ",IF(Employee!F$102&gt;E$39," ",IF(Employee!F$104&lt;E$39," ",Employee!D$93)))</f>
        <v xml:space="preserve"> </v>
      </c>
      <c r="G54" s="130"/>
      <c r="H54" s="96">
        <f>IF(T$39="Y",H44,0)</f>
        <v>0</v>
      </c>
      <c r="I54" s="92">
        <f>IF(T$39="Y",I44,0)</f>
        <v>0</v>
      </c>
      <c r="J54" s="92">
        <f>IF(T$39="Y",J44,0)</f>
        <v>0</v>
      </c>
      <c r="K54" s="92">
        <f>IF(T$39="Y",K44,I54*J54)</f>
        <v>0</v>
      </c>
      <c r="L54" s="92">
        <f>IF(T$39="Y",L44,0)</f>
        <v>0</v>
      </c>
      <c r="M54" s="100" t="str">
        <f>IF(E54=" "," ",IF(T$39="Y",M44,IF((H54+K54+L54)&gt;0,H54+K54+L54,"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23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10"/>
        <v>0</v>
      </c>
      <c r="AA54" s="49">
        <f>IF(R54=" ",AA44,AA44+R54)</f>
        <v>0</v>
      </c>
      <c r="AB54" s="45"/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s="8" customFormat="1" ht="18.75" customHeight="1" thickBot="1" x14ac:dyDescent="0.2">
      <c r="A55" s="34"/>
      <c r="B55" s="115" t="str">
        <f>IF(E55=" "," ",IF(Employee!F$128&gt;E$39," ",IF(Employee!F$130&lt;E$39," ",Employee!D$134)))</f>
        <v xml:space="preserve"> </v>
      </c>
      <c r="C55" s="299"/>
      <c r="D55" s="299" t="s">
        <v>107</v>
      </c>
      <c r="E55" s="112" t="str">
        <f>IF(Employee!D$132="m"," ",IF(Employee!F$128&gt;E$39," ",IF(Employee!F$130&lt;E$39," ",Employee!D$133)))</f>
        <v xml:space="preserve"> </v>
      </c>
      <c r="F55" s="118" t="str">
        <f>IF(E55=" "," ",IF(Employee!F$128&gt;E$39," ",IF(Employee!F$130&lt;E$39," ",Employee!D$119)))</f>
        <v xml:space="preserve"> </v>
      </c>
      <c r="G55" s="130"/>
      <c r="H55" s="96">
        <f>IF(T$39="Y",H45,0)</f>
        <v>0</v>
      </c>
      <c r="I55" s="92">
        <f>IF(T$39="Y",I45,0)</f>
        <v>0</v>
      </c>
      <c r="J55" s="92">
        <f>IF(T$39="Y",J45,0)</f>
        <v>0</v>
      </c>
      <c r="K55" s="92">
        <f>IF(T$39="Y",K45,I55*J55)</f>
        <v>0</v>
      </c>
      <c r="L55" s="92">
        <f>IF(T$39="Y",L45,0)</f>
        <v>0</v>
      </c>
      <c r="M55" s="100" t="str">
        <f>IF(E55=" "," ",IF(T$39="Y",M45,IF((H55+K55+L55)&gt;0,H55+K55+L55,"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23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10"/>
        <v>0</v>
      </c>
      <c r="AA55" s="49">
        <f>IF(R55=" ",AA45,AA45+R55)</f>
        <v>0</v>
      </c>
      <c r="AB55" s="45"/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s="8" customFormat="1" ht="18.75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24"/>
      <c r="I56" s="125"/>
      <c r="J56" s="125"/>
      <c r="K56" s="126"/>
      <c r="L56" s="126"/>
      <c r="M56" s="127">
        <f t="shared" ref="M56:R56" si="11">SUM(M51:M55)</f>
        <v>0</v>
      </c>
      <c r="N56" s="127">
        <f t="shared" si="11"/>
        <v>0</v>
      </c>
      <c r="O56" s="127">
        <f t="shared" si="11"/>
        <v>0</v>
      </c>
      <c r="P56" s="127">
        <f t="shared" si="11"/>
        <v>0</v>
      </c>
      <c r="Q56" s="127">
        <f t="shared" si="11"/>
        <v>0</v>
      </c>
      <c r="R56" s="127">
        <f t="shared" si="11"/>
        <v>0</v>
      </c>
      <c r="S56" s="94"/>
      <c r="T56" s="127">
        <f>SUM(T51:T55)</f>
        <v>0</v>
      </c>
      <c r="U56" s="323"/>
      <c r="V56" s="66"/>
      <c r="W56" s="66"/>
      <c r="X56" s="66"/>
      <c r="Y56" s="166"/>
      <c r="Z56" s="66"/>
      <c r="AA56" s="66"/>
      <c r="AB56" s="67"/>
      <c r="AC56" s="66"/>
      <c r="AD56" s="76"/>
      <c r="AE56" s="76"/>
      <c r="AF56" s="76"/>
      <c r="AG56" s="76"/>
      <c r="AH56" s="35"/>
    </row>
    <row r="57" spans="1:34" s="8" customFormat="1" ht="24" customHeight="1" thickBot="1" x14ac:dyDescent="0.2">
      <c r="A57" s="128"/>
      <c r="B57" s="329"/>
      <c r="C57" s="329"/>
      <c r="D57" s="329"/>
      <c r="E57" s="329"/>
      <c r="F57" s="329"/>
      <c r="G57" s="329"/>
      <c r="H57" s="329"/>
      <c r="I57" s="329"/>
      <c r="J57" s="329"/>
      <c r="K57" s="329"/>
      <c r="L57" s="329"/>
      <c r="M57" s="329"/>
      <c r="N57" s="329"/>
      <c r="O57" s="329"/>
      <c r="P57" s="329"/>
      <c r="Q57" s="329"/>
      <c r="R57" s="329"/>
      <c r="S57" s="329"/>
      <c r="T57" s="329"/>
      <c r="U57" s="323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3</v>
      </c>
      <c r="F59" s="35"/>
      <c r="G59" s="35"/>
      <c r="H59" s="360" t="s">
        <v>28</v>
      </c>
      <c r="I59" s="361"/>
      <c r="J59" s="359"/>
      <c r="K59" s="204">
        <f>DATE(2021,9,1)</f>
        <v>44440</v>
      </c>
      <c r="L59" s="203" t="s">
        <v>76</v>
      </c>
      <c r="M59" s="205">
        <f>DATE(2021,9,30)</f>
        <v>44469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IF(T$59="Y",Aug!H51,0)</f>
        <v>0</v>
      </c>
      <c r="I61" s="89">
        <f>IF(T$59="Y",Aug!I51,0)</f>
        <v>0</v>
      </c>
      <c r="J61" s="89">
        <f>IF(T$59="Y",Aug!J51,0)</f>
        <v>0</v>
      </c>
      <c r="K61" s="89">
        <f>IF(T$59="Y",Aug!K51,I61*J61)</f>
        <v>0</v>
      </c>
      <c r="L61" s="110">
        <f>IF(T$59="Y",Aug!L51,0)</f>
        <v>0</v>
      </c>
      <c r="M61" s="99" t="str">
        <f>IF(E61=" "," ",IF(T$59="Y",Aug!M51,IF((H61+K61+L61)&gt;0,H61+K61+L61,"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IF(Employee!H$35=E$59,Employee!D$34+SUM(M61)+Aug!V51,SUM(M61)+Aug!V51)</f>
        <v>0</v>
      </c>
      <c r="W61" s="49">
        <f>IF(Employee!H$35=E$59,Employee!D$35+SUM(N61)+Aug!W51,SUM(N61)+Aug!W51)</f>
        <v>0</v>
      </c>
      <c r="X61" s="49">
        <f>IF(O61=" ",Aug!X51,O61+Aug!X51)</f>
        <v>0</v>
      </c>
      <c r="Y61" s="49">
        <f>IF(P61=" ",Aug!Y51,P61+Aug!Y51)</f>
        <v>0</v>
      </c>
      <c r="Z61" s="49">
        <f>IF(Q61=" ",Aug!Z51,Q61+Aug!Z51)</f>
        <v>0</v>
      </c>
      <c r="AA61" s="49">
        <f>IF(R61=" ",Aug!AA51,R61+Aug!AA51)</f>
        <v>0</v>
      </c>
      <c r="AC61" s="49">
        <f>IF(T61=" ",Aug!AC51,T61+Aug!AC51)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IF(T$59="Y",Aug!H52,0)</f>
        <v>0</v>
      </c>
      <c r="I62" s="92">
        <f>IF(T$59="Y",Aug!I52,0)</f>
        <v>0</v>
      </c>
      <c r="J62" s="92">
        <f>IF(T$59="Y",Aug!J52,0)</f>
        <v>0</v>
      </c>
      <c r="K62" s="92">
        <f>IF(T$59="Y",Aug!K52,I62*J62)</f>
        <v>0</v>
      </c>
      <c r="L62" s="111">
        <f>IF(T$59="Y",Aug!L52,0)</f>
        <v>0</v>
      </c>
      <c r="M62" s="100" t="str">
        <f>IF(E62=" "," ",IF(T$59="Y",Aug!M52,IF((H62+K62+L62)&gt;0,H62+K62+L62,"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IF(Employee!H$61=E$59,Employee!D$60+SUM(M62)+Aug!V52,SUM(M62)+Aug!V52)</f>
        <v>0</v>
      </c>
      <c r="W62" s="49">
        <f>IF(Employee!H$61=E$59,Employee!D$61+SUM(N62)+Aug!W52,SUM(N62)+Aug!W52)</f>
        <v>0</v>
      </c>
      <c r="X62" s="49">
        <f>IF(O62=" ",Aug!X52,O62+Aug!X52)</f>
        <v>0</v>
      </c>
      <c r="Y62" s="49">
        <f>IF(P62=" ",Aug!Y52,P62+Aug!Y52)</f>
        <v>0</v>
      </c>
      <c r="Z62" s="49">
        <f>IF(Q62=" ",Aug!Z52,Q62+Aug!Z52)</f>
        <v>0</v>
      </c>
      <c r="AA62" s="49">
        <f>IF(R62=" ",Aug!AA52,R62+Aug!AA52)</f>
        <v>0</v>
      </c>
      <c r="AC62" s="49">
        <f>IF(T62=" ",Aug!AC52,T62+Aug!AC52)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IF(T$59="Y",Aug!H53,0)</f>
        <v>0</v>
      </c>
      <c r="I63" s="92">
        <f>IF(T$59="Y",Aug!I53,0)</f>
        <v>0</v>
      </c>
      <c r="J63" s="92">
        <f>IF(T$59="Y",Aug!J53,0)</f>
        <v>0</v>
      </c>
      <c r="K63" s="92">
        <f>IF(T$59="Y",Aug!K53,I63*J63)</f>
        <v>0</v>
      </c>
      <c r="L63" s="111">
        <f>IF(T$59="Y",Aug!L53,0)</f>
        <v>0</v>
      </c>
      <c r="M63" s="100" t="str">
        <f>IF(E63=" "," ",IF(T$59="Y",Aug!M53,IF((H63+K63+L63)&gt;0,H63+K63+L63,"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IF(Employee!H$87=E$59,Employee!D$86+SUM(M63)+Aug!V53,SUM(M63)+Aug!V53)</f>
        <v>0</v>
      </c>
      <c r="W63" s="49">
        <f>IF(Employee!H$87=E$59,Employee!D$87+SUM(N63)+Aug!W53,SUM(N63)+Aug!W53)</f>
        <v>0</v>
      </c>
      <c r="X63" s="49">
        <f>IF(O63=" ",Aug!X53,O63+Aug!X53)</f>
        <v>0</v>
      </c>
      <c r="Y63" s="49">
        <f>IF(P63=" ",Aug!Y53,P63+Aug!Y53)</f>
        <v>0</v>
      </c>
      <c r="Z63" s="49">
        <f>IF(Q63=" ",Aug!Z53,Q63+Aug!Z53)</f>
        <v>0</v>
      </c>
      <c r="AA63" s="49">
        <f>IF(R63=" ",Aug!AA53,R63+Aug!AA53)</f>
        <v>0</v>
      </c>
      <c r="AC63" s="49">
        <f>IF(T63=" ",Aug!AC53,T63+Aug!AC53)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IF(T$59="Y",Aug!H54,0)</f>
        <v>0</v>
      </c>
      <c r="I64" s="92">
        <f>IF(T$59="Y",Aug!I54,0)</f>
        <v>0</v>
      </c>
      <c r="J64" s="92">
        <f>IF(T$59="Y",Aug!J54,0)</f>
        <v>0</v>
      </c>
      <c r="K64" s="92">
        <f>IF(T$59="Y",Aug!K54,I64*J64)</f>
        <v>0</v>
      </c>
      <c r="L64" s="111">
        <f>IF(T$59="Y",Aug!L54,0)</f>
        <v>0</v>
      </c>
      <c r="M64" s="100" t="str">
        <f>IF(E64=" "," ",IF(T$59="Y",Aug!M54,IF((H64+K64+L64)&gt;0,H64+K64+L64,"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IF(Employee!H$113=E$59,Employee!D$112+SUM(M64)+Aug!V54,SUM(M64)+Aug!V54)</f>
        <v>0</v>
      </c>
      <c r="W64" s="49">
        <f>IF(Employee!H$113=E$59,Employee!D$113+SUM(N64)+Aug!W54,SUM(N64)+Aug!W54)</f>
        <v>0</v>
      </c>
      <c r="X64" s="49">
        <f>IF(O64=" ",Aug!X54,O64+Aug!X54)</f>
        <v>0</v>
      </c>
      <c r="Y64" s="49">
        <f>IF(P64=" ",Aug!Y54,P64+Aug!Y54)</f>
        <v>0</v>
      </c>
      <c r="Z64" s="49">
        <f>IF(Q64=" ",Aug!Z54,Q64+Aug!Z54)</f>
        <v>0</v>
      </c>
      <c r="AA64" s="49">
        <f>IF(R64=" ",Aug!AA54,R64+Aug!AA54)</f>
        <v>0</v>
      </c>
      <c r="AC64" s="49">
        <f>IF(T64=" ",Aug!AC54,T64+Aug!AC54)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IF(T$59="Y",Aug!H55,0)</f>
        <v>0</v>
      </c>
      <c r="I65" s="245">
        <f>IF(T$59="Y",Aug!I55,0)</f>
        <v>0</v>
      </c>
      <c r="J65" s="245">
        <f>IF(T$59="Y",Aug!J55,0)</f>
        <v>0</v>
      </c>
      <c r="K65" s="245">
        <f>IF(T$59="Y",Aug!K55,I65*J65)</f>
        <v>0</v>
      </c>
      <c r="L65" s="246">
        <f>IF(T$59="Y",Aug!L55,0)</f>
        <v>0</v>
      </c>
      <c r="M65" s="100" t="str">
        <f>IF(E65=" "," ",IF(T$59="Y",Aug!M55,IF((H65+K65+L65)&gt;0,H65+K65+L65,"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IF(Employee!H$139=E$59,Employee!D$138+SUM(M65)+Aug!V55,SUM(M65)+Aug!V55)</f>
        <v>0</v>
      </c>
      <c r="W65" s="49">
        <f>IF(Employee!H$139=E$59,Employee!D$139+SUM(N65)+Aug!W55,SUM(N65)+Aug!W55)</f>
        <v>0</v>
      </c>
      <c r="X65" s="49">
        <f>IF(O65=" ",Aug!X55,O65+Aug!X55)</f>
        <v>0</v>
      </c>
      <c r="Y65" s="49">
        <f>IF(P65=" ",Aug!Y55,P65+Aug!Y55)</f>
        <v>0</v>
      </c>
      <c r="Z65" s="49">
        <f>IF(Q65=" ",Aug!Z55,Q65+Aug!Z55)</f>
        <v>0</v>
      </c>
      <c r="AA65" s="49">
        <f>IF(R65=" ",Aug!AA55,R65+Aug!AA55)</f>
        <v>0</v>
      </c>
      <c r="AC65" s="49">
        <f>IF(T65=" ",Aug!AC55,T65+Aug!AC55)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2">SUM(M61:M65)</f>
        <v>0</v>
      </c>
      <c r="N66" s="127">
        <f t="shared" si="12"/>
        <v>0</v>
      </c>
      <c r="O66" s="127">
        <f t="shared" si="12"/>
        <v>0</v>
      </c>
      <c r="P66" s="127">
        <f t="shared" si="12"/>
        <v>0</v>
      </c>
      <c r="Q66" s="127">
        <f t="shared" si="12"/>
        <v>0</v>
      </c>
      <c r="R66" s="127">
        <f t="shared" si="12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3">SUM(M70:M74)</f>
        <v>0</v>
      </c>
      <c r="N75" s="184">
        <f t="shared" si="13"/>
        <v>0</v>
      </c>
      <c r="O75" s="184">
        <f t="shared" si="13"/>
        <v>0</v>
      </c>
      <c r="P75" s="184">
        <f t="shared" si="13"/>
        <v>0</v>
      </c>
      <c r="Q75" s="184">
        <f t="shared" si="13"/>
        <v>0</v>
      </c>
      <c r="R75" s="184">
        <f t="shared" si="13"/>
        <v>0</v>
      </c>
      <c r="S75" s="188"/>
      <c r="T75" s="184">
        <f>SUM(T70:T74)</f>
        <v>0</v>
      </c>
      <c r="AD75" s="158">
        <f>AD70+Aug!AD65</f>
        <v>0</v>
      </c>
      <c r="AE75" s="158">
        <f>AE70+Aug!AE65</f>
        <v>0</v>
      </c>
      <c r="AF75" s="158">
        <f>AF70+Aug!AF65</f>
        <v>0</v>
      </c>
      <c r="AG75" s="158">
        <f>AG70+Aug!AG65</f>
        <v>0</v>
      </c>
    </row>
    <row r="76" spans="1:34" ht="14" thickTop="1" x14ac:dyDescent="0.15"/>
    <row r="77" spans="1:34" x14ac:dyDescent="0.15">
      <c r="AD77" s="162"/>
      <c r="AE77" s="158">
        <f>AE72+Aug!AE67</f>
        <v>0</v>
      </c>
      <c r="AF77" s="158">
        <f>AF72+Aug!AF67</f>
        <v>0</v>
      </c>
      <c r="AG77" s="158">
        <f>AG72+Aug!AG67</f>
        <v>0</v>
      </c>
    </row>
  </sheetData>
  <mergeCells count="86">
    <mergeCell ref="R48:T48"/>
    <mergeCell ref="B49:D49"/>
    <mergeCell ref="H49:J49"/>
    <mergeCell ref="O49:R49"/>
    <mergeCell ref="B47:T47"/>
    <mergeCell ref="B48:E48"/>
    <mergeCell ref="O48:Q48"/>
    <mergeCell ref="F56:G56"/>
    <mergeCell ref="B28:E28"/>
    <mergeCell ref="B29:D29"/>
    <mergeCell ref="H29:J29"/>
    <mergeCell ref="F46:G46"/>
    <mergeCell ref="R38:T38"/>
    <mergeCell ref="F36:G36"/>
    <mergeCell ref="B37:T37"/>
    <mergeCell ref="B38:E38"/>
    <mergeCell ref="B39:D39"/>
    <mergeCell ref="H39:J39"/>
    <mergeCell ref="O39:R39"/>
    <mergeCell ref="O38:Q38"/>
    <mergeCell ref="X3:X6"/>
    <mergeCell ref="G1:H1"/>
    <mergeCell ref="L3:L6"/>
    <mergeCell ref="M3:M6"/>
    <mergeCell ref="R3:R6"/>
    <mergeCell ref="H3:H6"/>
    <mergeCell ref="B7:T7"/>
    <mergeCell ref="B8:E8"/>
    <mergeCell ref="O8:Q8"/>
    <mergeCell ref="T3:T6"/>
    <mergeCell ref="V3:V6"/>
    <mergeCell ref="U1:U6"/>
    <mergeCell ref="R8:T8"/>
    <mergeCell ref="AD1:AG2"/>
    <mergeCell ref="AD3:AD6"/>
    <mergeCell ref="AE3:AE6"/>
    <mergeCell ref="AF3:AF6"/>
    <mergeCell ref="AG3:AG6"/>
    <mergeCell ref="M69:R69"/>
    <mergeCell ref="O58:Q58"/>
    <mergeCell ref="R58:T58"/>
    <mergeCell ref="B67:T67"/>
    <mergeCell ref="F66:G66"/>
    <mergeCell ref="B59:D59"/>
    <mergeCell ref="H59:J59"/>
    <mergeCell ref="O59:R59"/>
    <mergeCell ref="B58:E58"/>
    <mergeCell ref="O29:R29"/>
    <mergeCell ref="O28:Q28"/>
    <mergeCell ref="B9:D9"/>
    <mergeCell ref="H9:J9"/>
    <mergeCell ref="O9:R9"/>
    <mergeCell ref="F16:G16"/>
    <mergeCell ref="B18:E18"/>
    <mergeCell ref="B19:D19"/>
    <mergeCell ref="H19:J19"/>
    <mergeCell ref="O19:R19"/>
    <mergeCell ref="B17:T17"/>
    <mergeCell ref="O18:Q18"/>
    <mergeCell ref="R18:T18"/>
    <mergeCell ref="F26:G26"/>
    <mergeCell ref="R28:T28"/>
    <mergeCell ref="B27:T27"/>
    <mergeCell ref="A1:A6"/>
    <mergeCell ref="B3:B6"/>
    <mergeCell ref="C3:C6"/>
    <mergeCell ref="D3:D6"/>
    <mergeCell ref="E3:E6"/>
    <mergeCell ref="B1:F2"/>
    <mergeCell ref="F3:F6"/>
    <mergeCell ref="AC3:AC6"/>
    <mergeCell ref="I1:L1"/>
    <mergeCell ref="G2:H2"/>
    <mergeCell ref="I2:L2"/>
    <mergeCell ref="Q3:Q6"/>
    <mergeCell ref="P3:P6"/>
    <mergeCell ref="I3:I6"/>
    <mergeCell ref="J3:J6"/>
    <mergeCell ref="Z3:Z6"/>
    <mergeCell ref="AA3:AA6"/>
    <mergeCell ref="N3:N6"/>
    <mergeCell ref="O3:O6"/>
    <mergeCell ref="K3:K6"/>
    <mergeCell ref="Y3:Y6"/>
    <mergeCell ref="V1:AC2"/>
    <mergeCell ref="W3:W6"/>
  </mergeCells>
  <phoneticPr fontId="6" type="noConversion"/>
  <dataValidations count="1">
    <dataValidation type="list" allowBlank="1" showInputMessage="1" showErrorMessage="1" sqref="G61:G65 G41:G45 G21:G25 G11:G15 G31:G35 G51:G55" xr:uid="{00000000-0002-0000-0300-000000000000}">
      <formula1>$G$3:$G$6</formula1>
    </dataValidation>
  </dataValidations>
  <hyperlinks>
    <hyperlink ref="B1" r:id="rId1" xr:uid="{00000000-0004-0000-03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4" manualBreakCount="4">
    <brk id="23" max="16383" man="1"/>
    <brk id="35" max="16383" man="1"/>
    <brk id="62" max="16383" man="1"/>
    <brk id="79" max="16383" man="1"/>
  </rowBreaks>
  <colBreaks count="1" manualBreakCount="1">
    <brk id="11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Jul!H3:H6</f>
        <v>Statutory Pay</v>
      </c>
      <c r="I3" s="365" t="str">
        <f>Jul!I3:I6</f>
        <v>Basic hours</v>
      </c>
      <c r="J3" s="365" t="str">
        <f>Jul!J3:J6</f>
        <v>Hourly rate</v>
      </c>
      <c r="K3" s="365" t="str">
        <f>Jul!K3:K6</f>
        <v>Basic    wages</v>
      </c>
      <c r="L3" s="365" t="str">
        <f>Jul!L3:L6</f>
        <v>Overtime Bonus Gratuities</v>
      </c>
      <c r="M3" s="428" t="str">
        <f>Jul!M3:M6</f>
        <v>GROSS WAGES</v>
      </c>
      <c r="N3" s="365" t="str">
        <f>Jul!N3:N6</f>
        <v>Income Tax</v>
      </c>
      <c r="O3" s="365" t="str">
        <f>Jul!O3:O6</f>
        <v>Employees National Insurance</v>
      </c>
      <c r="P3" s="365" t="str">
        <f>Jul!P3:P6</f>
        <v>Student Loans</v>
      </c>
      <c r="Q3" s="365" t="str">
        <f>Jul!Q3:Q6</f>
        <v>Other Deductions</v>
      </c>
      <c r="R3" s="428" t="str">
        <f>Jul!R3:R6</f>
        <v>NET      PAY</v>
      </c>
      <c r="S3" s="42"/>
      <c r="T3" s="365" t="str">
        <f>Jul!T3:T6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15" customHeight="1" thickBot="1" x14ac:dyDescent="0.2">
      <c r="A7" s="323"/>
      <c r="B7" s="324"/>
      <c r="C7" s="324"/>
      <c r="D7" s="324"/>
      <c r="E7" s="325"/>
      <c r="F7" s="326"/>
      <c r="G7" s="160"/>
      <c r="H7" s="326"/>
      <c r="I7" s="326"/>
      <c r="J7" s="326"/>
      <c r="K7" s="326"/>
      <c r="L7" s="326"/>
      <c r="M7" s="327"/>
      <c r="N7" s="326"/>
      <c r="O7" s="326"/>
      <c r="P7" s="326"/>
      <c r="Q7" s="326"/>
      <c r="R7" s="327"/>
      <c r="S7" s="41"/>
      <c r="T7" s="326"/>
      <c r="U7" s="323"/>
      <c r="V7" s="326"/>
      <c r="W7" s="326"/>
      <c r="X7" s="326"/>
      <c r="Y7" s="328"/>
      <c r="Z7" s="326"/>
      <c r="AA7" s="326"/>
      <c r="AB7" s="41"/>
      <c r="AC7" s="326"/>
      <c r="AD7" s="322"/>
      <c r="AE7" s="322"/>
      <c r="AF7" s="322"/>
      <c r="AG7" s="322"/>
      <c r="AH7" s="128"/>
    </row>
    <row r="8" spans="1:34" ht="18" customHeight="1" thickTop="1" thickBot="1" x14ac:dyDescent="0.2">
      <c r="A8" s="31"/>
      <c r="B8" s="375" t="s">
        <v>23</v>
      </c>
      <c r="C8" s="437"/>
      <c r="D8" s="437"/>
      <c r="E8" s="438"/>
      <c r="F8" s="32"/>
      <c r="G8" s="32"/>
      <c r="H8" s="32"/>
      <c r="I8" s="32"/>
      <c r="J8" s="32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439"/>
      <c r="D9" s="440"/>
      <c r="E9" s="156">
        <v>14</v>
      </c>
      <c r="F9" s="35"/>
      <c r="G9" s="35"/>
      <c r="H9" s="360" t="s">
        <v>28</v>
      </c>
      <c r="I9" s="439"/>
      <c r="J9" s="440"/>
      <c r="K9" s="204">
        <f>Admin!B91</f>
        <v>44746</v>
      </c>
      <c r="L9" s="203" t="s">
        <v>76</v>
      </c>
      <c r="M9" s="205">
        <f>K9+6</f>
        <v>44752</v>
      </c>
      <c r="N9" s="20"/>
      <c r="O9" s="401" t="s">
        <v>63</v>
      </c>
      <c r="P9" s="441"/>
      <c r="Q9" s="441"/>
      <c r="R9" s="442"/>
      <c r="S9" s="35"/>
      <c r="T9" s="164"/>
      <c r="U9" s="37"/>
      <c r="AH9" s="35"/>
    </row>
    <row r="10" spans="1:34" ht="18" customHeight="1" thickTop="1" x14ac:dyDescent="0.15">
      <c r="A10" s="34"/>
      <c r="B10" s="72"/>
      <c r="C10" s="24"/>
      <c r="D10" s="24"/>
      <c r="E10" s="36"/>
      <c r="F10" s="35"/>
      <c r="G10" s="35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20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IF(T$9="Y",Sep!H41,0)</f>
        <v>0</v>
      </c>
      <c r="I11" s="89">
        <f>IF(T$9="Y",Sep!I41,0)</f>
        <v>0</v>
      </c>
      <c r="J11" s="89">
        <f>IF(T$9="Y",Sep!J41,0)</f>
        <v>0</v>
      </c>
      <c r="K11" s="89">
        <f>IF(T$9="Y",Sep!K41,I11*J11)</f>
        <v>0</v>
      </c>
      <c r="L11" s="89">
        <f>IF(T$9="Y",Sep!L41,0)</f>
        <v>0</v>
      </c>
      <c r="M11" s="99" t="str">
        <f>IF(E11=" "," ",IF(T$9="Y",Sep!M41,IF((H11+K11+L11)&gt;0,H11+K11+L11,"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IF(Employee!H$34=E$9,Employee!D$34+SUM(M11)+Sep!V51,SUM(M11)+Sep!V51)</f>
        <v>0</v>
      </c>
      <c r="W11" s="49">
        <f>IF(Employee!H$34=E$9,Employee!D$35+SUM(N11)+Sep!W51,SUM(N11)+Sep!W51)</f>
        <v>0</v>
      </c>
      <c r="X11" s="49">
        <f>IF(O11=" ",Sep!X51,O11+Sep!X51)</f>
        <v>0</v>
      </c>
      <c r="Y11" s="49">
        <f>IF(P11=" ",Sep!Y51,P11+Sep!Y51)</f>
        <v>0</v>
      </c>
      <c r="Z11" s="49">
        <f>IF(Q11=" ",Sep!Z51,Q11+Sep!Z51)</f>
        <v>0</v>
      </c>
      <c r="AA11" s="49">
        <f>IF(R11=" ",Sep!AA51,R11+Sep!AA51)</f>
        <v>0</v>
      </c>
      <c r="AC11" s="49">
        <f>IF(T11=" ",Sep!AC51,T11+Sep!AC51)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2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IF(T$9="Y",Sep!H42,0)</f>
        <v>0</v>
      </c>
      <c r="I12" s="92">
        <f>IF(T$9="Y",Sep!I42,0)</f>
        <v>0</v>
      </c>
      <c r="J12" s="92">
        <f>IF(T$9="Y",Sep!J42,0)</f>
        <v>0</v>
      </c>
      <c r="K12" s="92">
        <f>IF(T$9="Y",Sep!K42,I12*J12)</f>
        <v>0</v>
      </c>
      <c r="L12" s="92">
        <f>IF(T$9="Y",Sep!L42,0)</f>
        <v>0</v>
      </c>
      <c r="M12" s="100" t="str">
        <f>IF(E12=" "," ",IF(T$9="Y",Sep!M42,IF((H12+K12+L12)&gt;0,H12+K12+L12,"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IF(Employee!H$60=E$9,Employee!D$60+SUM(M12)+Sep!V52,SUM(M12)+Sep!V52)</f>
        <v>0</v>
      </c>
      <c r="W12" s="49">
        <f>IF(Employee!H$60=E$9,Employee!D$61+SUM(N12)+Sep!W52,SUM(N12)+Sep!W52)</f>
        <v>0</v>
      </c>
      <c r="X12" s="49">
        <f>IF(O12=" ",Sep!X52,O12+Sep!X52)</f>
        <v>0</v>
      </c>
      <c r="Y12" s="49">
        <f>IF(P12=" ",Sep!Y52,P12+Sep!Y52)</f>
        <v>0</v>
      </c>
      <c r="Z12" s="49">
        <f>IF(Q12=" ",Sep!Z52,Q12+Sep!Z52)</f>
        <v>0</v>
      </c>
      <c r="AA12" s="49">
        <f>IF(R12=" ",Sep!AA52,R12+Sep!AA52)</f>
        <v>0</v>
      </c>
      <c r="AC12" s="49">
        <f>IF(T12=" ",Sep!AC52,T12+Sep!AC52)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2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IF(T$9="Y",Sep!H43,0)</f>
        <v>0</v>
      </c>
      <c r="I13" s="92">
        <f>IF(T$9="Y",Sep!I43,0)</f>
        <v>0</v>
      </c>
      <c r="J13" s="92">
        <f>IF(T$9="Y",Sep!J43,0)</f>
        <v>0</v>
      </c>
      <c r="K13" s="92">
        <f>IF(T$9="Y",Sep!K43,I13*J13)</f>
        <v>0</v>
      </c>
      <c r="L13" s="92">
        <f>IF(T$9="Y",Sep!L43,0)</f>
        <v>0</v>
      </c>
      <c r="M13" s="100" t="str">
        <f>IF(E13=" "," ",IF(T$9="Y",Sep!M43,IF((H13+K13+L13)&gt;0,H13+K13+L13,"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IF(Employee!H$86=E$9,Employee!D$86+SUM(M13)+Sep!V53,SUM(M13)+Sep!V53)</f>
        <v>0</v>
      </c>
      <c r="W13" s="49">
        <f>IF(Employee!H$86=E$9,Employee!D$87+SUM(N13)+Sep!W53,SUM(N13)+Sep!W53)</f>
        <v>0</v>
      </c>
      <c r="X13" s="49">
        <f>IF(O13=" ",Sep!X53,O13+Sep!X53)</f>
        <v>0</v>
      </c>
      <c r="Y13" s="49">
        <f>IF(P13=" ",Sep!Y53,P13+Sep!Y53)</f>
        <v>0</v>
      </c>
      <c r="Z13" s="49">
        <f>IF(Q13=" ",Sep!Z53,Q13+Sep!Z53)</f>
        <v>0</v>
      </c>
      <c r="AA13" s="49">
        <f>IF(R13=" ",Sep!AA53,R13+Sep!AA53)</f>
        <v>0</v>
      </c>
      <c r="AC13" s="49">
        <f>IF(T13=" ",Sep!AC53,T13+Sep!AC53)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2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IF(T$9="Y",Sep!H44,0)</f>
        <v>0</v>
      </c>
      <c r="I14" s="92">
        <f>IF(T$9="Y",Sep!I44,0)</f>
        <v>0</v>
      </c>
      <c r="J14" s="92">
        <f>IF(T$9="Y",Sep!J44,0)</f>
        <v>0</v>
      </c>
      <c r="K14" s="92">
        <f>IF(T$9="Y",Sep!K44,I14*J14)</f>
        <v>0</v>
      </c>
      <c r="L14" s="92">
        <f>IF(T$9="Y",Sep!L44,0)</f>
        <v>0</v>
      </c>
      <c r="M14" s="100" t="str">
        <f>IF(E14=" "," ",IF(T$9="Y",Sep!M44,IF((H14+K14+L14)&gt;0,H14+K14+L14,"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IF(Employee!H$112=E$9,Employee!D$112+SUM(M14)+Sep!V54,SUM(M14)+Sep!V54)</f>
        <v>0</v>
      </c>
      <c r="W14" s="49">
        <f>IF(Employee!H$112=E$9,Employee!D$113+SUM(N14)+Sep!W54,SUM(N14)+Sep!W54)</f>
        <v>0</v>
      </c>
      <c r="X14" s="49">
        <f>IF(O14=" ",Sep!X54,O14+Sep!X54)</f>
        <v>0</v>
      </c>
      <c r="Y14" s="49">
        <f>IF(P14=" ",Sep!Y54,P14+Sep!Y54)</f>
        <v>0</v>
      </c>
      <c r="Z14" s="49">
        <f>IF(Q14=" ",Sep!Z54,Q14+Sep!Z54)</f>
        <v>0</v>
      </c>
      <c r="AA14" s="49">
        <f>IF(R14=" ",Sep!AA54,R14+Sep!AA54)</f>
        <v>0</v>
      </c>
      <c r="AC14" s="49">
        <f>IF(T14=" ",Sep!AC54,T14+Sep!AC54)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2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IF(T$9="Y",Sep!H45,0)</f>
        <v>0</v>
      </c>
      <c r="I15" s="245">
        <f>IF(T$9="Y",Sep!I45,0)</f>
        <v>0</v>
      </c>
      <c r="J15" s="245">
        <f>IF(T$9="Y",Sep!J45,0)</f>
        <v>0</v>
      </c>
      <c r="K15" s="245">
        <f>IF(T$9="Y",Sep!K45,I15*J15)</f>
        <v>0</v>
      </c>
      <c r="L15" s="245">
        <f>IF(T$9="Y",Sep!L45,0)</f>
        <v>0</v>
      </c>
      <c r="M15" s="247" t="str">
        <f>IF(E15=" "," ",IF(T$9="Y",Sep!M45,IF((H15+K15+L15)&gt;0,H15+K15+L15,"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IF(Employee!H$138=E$9,Employee!D$138+SUM(M15)+Sep!V55,SUM(M15)+Sep!V55)</f>
        <v>0</v>
      </c>
      <c r="W15" s="49">
        <f>IF(Employee!H$138=E$9,Employee!D$139+SUM(N15)+Sep!W55,SUM(N15)+Sep!W55)</f>
        <v>0</v>
      </c>
      <c r="X15" s="49">
        <f>IF(O15=" ",Sep!X55,O15+Sep!X55)</f>
        <v>0</v>
      </c>
      <c r="Y15" s="49">
        <f>IF(P15=" ",Sep!Y55,P15+Sep!Y55)</f>
        <v>0</v>
      </c>
      <c r="Z15" s="49">
        <f>IF(Q15=" ",Sep!Z55,Q15+Sep!Z55)</f>
        <v>0</v>
      </c>
      <c r="AA15" s="49">
        <f>IF(R15=" ",Sep!AA55,R15+Sep!AA55)</f>
        <v>0</v>
      </c>
      <c r="AC15" s="49">
        <f>IF(T15=" ",Sep!AC55,T15+Sep!AC55)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443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2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86"/>
      <c r="H18" s="87"/>
      <c r="I18" s="87"/>
      <c r="J18" s="87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15</v>
      </c>
      <c r="F19" s="35"/>
      <c r="G19" s="35"/>
      <c r="H19" s="360" t="s">
        <v>28</v>
      </c>
      <c r="I19" s="361"/>
      <c r="J19" s="359"/>
      <c r="K19" s="204">
        <f>M9+1</f>
        <v>44753</v>
      </c>
      <c r="L19" s="203" t="s">
        <v>76</v>
      </c>
      <c r="M19" s="205">
        <f>K19+6</f>
        <v>44759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167"/>
      <c r="C20" s="168"/>
      <c r="D20" s="169"/>
      <c r="E20" s="168"/>
      <c r="F20" s="168"/>
      <c r="G20" s="168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117" t="str">
        <f>IF(E21=" "," ",IF(Employee!F$24&gt;E$19," ",IF(Employee!F$26&lt;E$19," ",Employee!D$15)))</f>
        <v xml:space="preserve"> </v>
      </c>
      <c r="G21" s="130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89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>IF(P21=0,Y11,P21+Y11)</f>
        <v>0</v>
      </c>
      <c r="Z21" s="49">
        <f>IF(Q21=0,Z11,Q21+Z11)</f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118" t="str">
        <f>IF(E22=" "," ",IF(Employee!F$50&gt;E$19," ",IF(Employee!F$52&lt;E$19," ",Employee!D$41)))</f>
        <v xml:space="preserve"> </v>
      </c>
      <c r="G22" s="130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2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 t="shared" ref="X22:X25" si="3">IF(O22=" ",X12,O22+X12)</f>
        <v>0</v>
      </c>
      <c r="Y22" s="49">
        <f t="shared" ref="Y22:Y25" si="4">IF(P22=0,Y12,P22+Y12)</f>
        <v>0</v>
      </c>
      <c r="Z22" s="49">
        <f t="shared" ref="Z22:Z25" si="5">IF(Q22=0,Z12,Q22+Z12)</f>
        <v>0</v>
      </c>
      <c r="AA22" s="49">
        <f t="shared" ref="AA22:AA25" si="6">IF(R22=" ",AA12,AA12+R22)</f>
        <v>0</v>
      </c>
      <c r="AC22" s="49">
        <f t="shared" ref="AC22:AC25" si="7"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118" t="str">
        <f>IF(E23=" "," ",IF(Employee!F$76&gt;E$19," ",IF(Employee!F$78&lt;E$19," ",Employee!D$67)))</f>
        <v xml:space="preserve"> </v>
      </c>
      <c r="G23" s="130"/>
      <c r="H23" s="96">
        <f t="shared" ref="H23:H25" si="8">IF(T$19="Y",H13,0)</f>
        <v>0</v>
      </c>
      <c r="I23" s="92">
        <f t="shared" ref="I23:I25" si="9">IF(T$19="Y",I13,0)</f>
        <v>0</v>
      </c>
      <c r="J23" s="92">
        <f t="shared" ref="J23:J25" si="10">IF(T$19="Y",J13,0)</f>
        <v>0</v>
      </c>
      <c r="K23" s="92">
        <f t="shared" ref="K23:K25" si="11">IF(T$19="Y",K13,I23*J23)</f>
        <v>0</v>
      </c>
      <c r="L23" s="92">
        <f t="shared" ref="L23:L25" si="12">IF(T$19="Y",L13,0)</f>
        <v>0</v>
      </c>
      <c r="M23" s="100" t="str">
        <f t="shared" ref="M23:M25" si="13">IF(E23=" "," ",IF(T$19="Y",M13,IF((H23+K23+L23)&gt;0,H23+K23+L23," ")))</f>
        <v xml:space="preserve"> </v>
      </c>
      <c r="N23" s="92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 t="shared" si="3"/>
        <v>0</v>
      </c>
      <c r="Y23" s="49">
        <f t="shared" si="4"/>
        <v>0</v>
      </c>
      <c r="Z23" s="49">
        <f t="shared" si="5"/>
        <v>0</v>
      </c>
      <c r="AA23" s="49">
        <f t="shared" si="6"/>
        <v>0</v>
      </c>
      <c r="AC23" s="49">
        <f t="shared" si="7"/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118" t="str">
        <f>IF(E24=" "," ",IF(Employee!F$102&gt;E$19," ",IF(Employee!F$104&lt;E$19," ",Employee!D$93)))</f>
        <v xml:space="preserve"> </v>
      </c>
      <c r="G24" s="130"/>
      <c r="H24" s="96">
        <f t="shared" si="8"/>
        <v>0</v>
      </c>
      <c r="I24" s="92">
        <f t="shared" si="9"/>
        <v>0</v>
      </c>
      <c r="J24" s="92">
        <f t="shared" si="10"/>
        <v>0</v>
      </c>
      <c r="K24" s="92">
        <f t="shared" si="11"/>
        <v>0</v>
      </c>
      <c r="L24" s="92">
        <f t="shared" si="12"/>
        <v>0</v>
      </c>
      <c r="M24" s="100" t="str">
        <f t="shared" si="13"/>
        <v xml:space="preserve"> </v>
      </c>
      <c r="N24" s="92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 t="shared" si="3"/>
        <v>0</v>
      </c>
      <c r="Y24" s="49">
        <f t="shared" si="4"/>
        <v>0</v>
      </c>
      <c r="Z24" s="49">
        <f t="shared" si="5"/>
        <v>0</v>
      </c>
      <c r="AA24" s="49">
        <f t="shared" si="6"/>
        <v>0</v>
      </c>
      <c r="AC24" s="49">
        <f t="shared" si="7"/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118" t="str">
        <f>IF(E25=" "," ",IF(Employee!F$128&gt;E$19," ",IF(Employee!F$130&lt;E$19," ",Employee!D$119)))</f>
        <v xml:space="preserve"> </v>
      </c>
      <c r="G25" s="130"/>
      <c r="H25" s="244">
        <f t="shared" si="8"/>
        <v>0</v>
      </c>
      <c r="I25" s="245">
        <f t="shared" si="9"/>
        <v>0</v>
      </c>
      <c r="J25" s="245">
        <f t="shared" si="10"/>
        <v>0</v>
      </c>
      <c r="K25" s="245">
        <f t="shared" si="11"/>
        <v>0</v>
      </c>
      <c r="L25" s="245">
        <f t="shared" si="12"/>
        <v>0</v>
      </c>
      <c r="M25" s="247" t="str">
        <f t="shared" si="13"/>
        <v xml:space="preserve"> </v>
      </c>
      <c r="N25" s="245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 t="shared" si="3"/>
        <v>0</v>
      </c>
      <c r="Y25" s="49">
        <f t="shared" si="4"/>
        <v>0</v>
      </c>
      <c r="Z25" s="49">
        <f t="shared" si="5"/>
        <v>0</v>
      </c>
      <c r="AA25" s="49">
        <f t="shared" si="6"/>
        <v>0</v>
      </c>
      <c r="AC25" s="49">
        <f t="shared" si="7"/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61"/>
      <c r="H26" s="101"/>
      <c r="I26" s="102"/>
      <c r="J26" s="102"/>
      <c r="K26" s="134"/>
      <c r="L26" s="134"/>
      <c r="M26" s="133">
        <f t="shared" ref="M26:R26" si="14">SUM(M21:M25)</f>
        <v>0</v>
      </c>
      <c r="N26" s="127">
        <f t="shared" si="14"/>
        <v>0</v>
      </c>
      <c r="O26" s="127">
        <f t="shared" si="14"/>
        <v>0</v>
      </c>
      <c r="P26" s="127">
        <f t="shared" si="14"/>
        <v>0</v>
      </c>
      <c r="Q26" s="127">
        <f t="shared" si="14"/>
        <v>0</v>
      </c>
      <c r="R26" s="127">
        <f t="shared" si="1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16</v>
      </c>
      <c r="F29" s="35"/>
      <c r="G29" s="35"/>
      <c r="H29" s="360" t="s">
        <v>28</v>
      </c>
      <c r="I29" s="361"/>
      <c r="J29" s="359"/>
      <c r="K29" s="204">
        <f>M19+1</f>
        <v>44760</v>
      </c>
      <c r="L29" s="203" t="s">
        <v>76</v>
      </c>
      <c r="M29" s="205">
        <f>K29+6</f>
        <v>44766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4"/>
      <c r="C30" s="170"/>
      <c r="D30" s="119"/>
      <c r="E30" s="170"/>
      <c r="F30" s="171"/>
      <c r="G30" s="170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29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89">
        <f>IF(T$29="Y",L21,0)</f>
        <v>0</v>
      </c>
      <c r="M31" s="99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15">IF(P31=0,Y21,P31+Y21)</f>
        <v>0</v>
      </c>
      <c r="Z31" s="49">
        <f t="shared" si="1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29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92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15"/>
        <v>0</v>
      </c>
      <c r="Z32" s="49">
        <f t="shared" si="1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29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92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15"/>
        <v>0</v>
      </c>
      <c r="Z33" s="49">
        <f t="shared" si="1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29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92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15"/>
        <v>0</v>
      </c>
      <c r="Z34" s="49">
        <f t="shared" si="1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29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92">
        <f>IF(T$29="Y",L25,0)</f>
        <v>0</v>
      </c>
      <c r="M35" s="100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15"/>
        <v>0</v>
      </c>
      <c r="Z35" s="49">
        <f t="shared" si="1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6">SUM(M31:M35)</f>
        <v>0</v>
      </c>
      <c r="N36" s="127">
        <f t="shared" si="16"/>
        <v>0</v>
      </c>
      <c r="O36" s="127">
        <f t="shared" si="16"/>
        <v>0</v>
      </c>
      <c r="P36" s="127">
        <f t="shared" si="16"/>
        <v>0</v>
      </c>
      <c r="Q36" s="127">
        <f t="shared" si="16"/>
        <v>0</v>
      </c>
      <c r="R36" s="127">
        <f t="shared" si="1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43"/>
      <c r="I38" s="43"/>
      <c r="J38" s="43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17</v>
      </c>
      <c r="F39" s="35"/>
      <c r="G39" s="35"/>
      <c r="H39" s="360" t="s">
        <v>28</v>
      </c>
      <c r="I39" s="361"/>
      <c r="J39" s="359"/>
      <c r="K39" s="204">
        <f>M29+1</f>
        <v>44767</v>
      </c>
      <c r="L39" s="203" t="s">
        <v>76</v>
      </c>
      <c r="M39" s="205">
        <f>K39+6</f>
        <v>44773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14" t="str">
        <f>IF(Employee!D$28="m"," ",IF(Employee!F$24&gt;E$39," ",IF(Employee!F$26&lt;E$39," ",Employee!D$29)))</f>
        <v xml:space="preserve"> </v>
      </c>
      <c r="F41" s="98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110">
        <f>IF(T$39="Y",L31,0)</f>
        <v>0</v>
      </c>
      <c r="M41" s="110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7">IF(P41=0,Y31,P41+Y31)</f>
        <v>0</v>
      </c>
      <c r="Z41" s="49">
        <f t="shared" si="1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6" t="str">
        <f>IF(Employee!D$54="m"," ",IF(Employee!F$50&gt;E$39," ",IF(Employee!F$52&lt;E$39," ",Employee!D$55)))</f>
        <v xml:space="preserve"> </v>
      </c>
      <c r="F42" s="30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11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99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7"/>
        <v>0</v>
      </c>
      <c r="Z42" s="49">
        <f t="shared" si="1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6" t="str">
        <f>IF(Employee!D$80="m"," ",IF(Employee!F$76&gt;E$39," ",IF(Employee!F$78&lt;E$39," ",Employee!D$81)))</f>
        <v xml:space="preserve"> </v>
      </c>
      <c r="F43" s="30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11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7"/>
        <v>0</v>
      </c>
      <c r="Z43" s="49">
        <f t="shared" si="1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6" t="str">
        <f>IF(Employee!D$106="m"," ",IF(Employee!F$102&gt;E$39," ",IF(Employee!F$104&lt;E$39," ",Employee!D$107)))</f>
        <v xml:space="preserve"> </v>
      </c>
      <c r="F44" s="30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11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7"/>
        <v>0</v>
      </c>
      <c r="Z44" s="49">
        <f t="shared" si="1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6" t="str">
        <f>IF(Employee!D$132="m"," ",IF(Employee!F$128&gt;E$39," ",IF(Employee!F$130&lt;E$39," ",Employee!D$133)))</f>
        <v xml:space="preserve"> </v>
      </c>
      <c r="F45" s="30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11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100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7"/>
        <v>0</v>
      </c>
      <c r="Z45" s="49">
        <f t="shared" si="1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8">SUM(M41:M45)</f>
        <v>0</v>
      </c>
      <c r="N46" s="127">
        <f t="shared" si="18"/>
        <v>0</v>
      </c>
      <c r="O46" s="127">
        <f t="shared" si="18"/>
        <v>0</v>
      </c>
      <c r="P46" s="127">
        <f t="shared" si="18"/>
        <v>0</v>
      </c>
      <c r="Q46" s="127">
        <f t="shared" si="18"/>
        <v>0</v>
      </c>
      <c r="R46" s="127">
        <f t="shared" si="18"/>
        <v>0</v>
      </c>
      <c r="S46" s="94"/>
      <c r="T46" s="247"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4</v>
      </c>
      <c r="F49" s="35"/>
      <c r="G49" s="35"/>
      <c r="H49" s="360" t="s">
        <v>28</v>
      </c>
      <c r="I49" s="361"/>
      <c r="J49" s="359"/>
      <c r="K49" s="204">
        <f>DATE(2021,10,1)</f>
        <v>44470</v>
      </c>
      <c r="L49" s="203" t="s">
        <v>76</v>
      </c>
      <c r="M49" s="205">
        <f>DATE(2021,10,31)</f>
        <v>44500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IF(T$49="Y",Sep!H61,0)</f>
        <v>0</v>
      </c>
      <c r="I51" s="89">
        <f>IF(T$49="Y",Sep!I61,0)</f>
        <v>0</v>
      </c>
      <c r="J51" s="89">
        <f>IF(T$49="Y",Sep!J61,0)</f>
        <v>0</v>
      </c>
      <c r="K51" s="89">
        <f>IF(T$49="Y",Sep!K61,I51*J51)</f>
        <v>0</v>
      </c>
      <c r="L51" s="110">
        <f>IF(T$49="Y",Sep!L61,0)</f>
        <v>0</v>
      </c>
      <c r="M51" s="99" t="str">
        <f>IF(E51=" "," ",IF(T$49="Y",Sep!M61,IF((H51+K51+L51)&gt;0,H51+K51+L51,"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IF(Employee!H$35=E$49,Employee!D$34+SUM(M51)+Sep!V61,SUM(M51)+Sep!V61)</f>
        <v>0</v>
      </c>
      <c r="W51" s="49">
        <f>IF(Employee!H$35=E$49,Employee!D$35+SUM(N51)+Sep!W61,SUM(N51)+Sep!W61)</f>
        <v>0</v>
      </c>
      <c r="X51" s="49">
        <f>IF(O51=" ",Sep!X61,O51+Sep!X61)</f>
        <v>0</v>
      </c>
      <c r="Y51" s="49">
        <f>IF(P51=" ",Sep!Y61,P51+Sep!Y61)</f>
        <v>0</v>
      </c>
      <c r="Z51" s="49">
        <f>IF(Q51=" ",Sep!Z61,Q51+Sep!Z61)</f>
        <v>0</v>
      </c>
      <c r="AA51" s="49">
        <f>IF(R51=" ",Sep!AA61,R51+Sep!AA61)</f>
        <v>0</v>
      </c>
      <c r="AC51" s="49">
        <f>IF(T51=" ",Sep!AC61,T51+Sep!AC61)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IF(T$49="Y",Sep!H62,0)</f>
        <v>0</v>
      </c>
      <c r="I52" s="92">
        <f>IF(T$49="Y",Sep!I62,0)</f>
        <v>0</v>
      </c>
      <c r="J52" s="92">
        <f>IF(T$49="Y",Sep!J62,0)</f>
        <v>0</v>
      </c>
      <c r="K52" s="92">
        <f>IF(T$49="Y",Sep!K62,I52*J52)</f>
        <v>0</v>
      </c>
      <c r="L52" s="111">
        <f>IF(T$49="Y",Sep!L62,0)</f>
        <v>0</v>
      </c>
      <c r="M52" s="100" t="str">
        <f>IF(E52=" "," ",IF(T$49="Y",Sep!M62,IF((H52+K52+L52)&gt;0,H52+K52+L52,"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IF(Employee!H$61=E$49,Employee!D$60+SUM(M52)+Sep!V62,SUM(M52)+Sep!V62)</f>
        <v>0</v>
      </c>
      <c r="W52" s="49">
        <f>IF(Employee!H$61=E$49,Employee!D$61+SUM(N52)+Sep!W62,SUM(N52)+Sep!W62)</f>
        <v>0</v>
      </c>
      <c r="X52" s="49">
        <f>IF(O52=" ",Sep!X62,O52+Sep!X62)</f>
        <v>0</v>
      </c>
      <c r="Y52" s="49">
        <f>IF(P52=" ",Sep!Y62,P52+Sep!Y62)</f>
        <v>0</v>
      </c>
      <c r="Z52" s="49">
        <f>IF(Q52=" ",Sep!Z62,Q52+Sep!Z62)</f>
        <v>0</v>
      </c>
      <c r="AA52" s="49">
        <f>IF(R52=" ",Sep!AA62,R52+Sep!AA62)</f>
        <v>0</v>
      </c>
      <c r="AC52" s="49">
        <f>IF(T52=" ",Sep!AC62,T52+Sep!AC62)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IF(T$49="Y",Sep!H63,0)</f>
        <v>0</v>
      </c>
      <c r="I53" s="92">
        <f>IF(T$49="Y",Sep!I63,0)</f>
        <v>0</v>
      </c>
      <c r="J53" s="92">
        <f>IF(T$49="Y",Sep!J63,0)</f>
        <v>0</v>
      </c>
      <c r="K53" s="92">
        <f>IF(T$49="Y",Sep!K63,I53*J53)</f>
        <v>0</v>
      </c>
      <c r="L53" s="111">
        <f>IF(T$49="Y",Sep!L63,0)</f>
        <v>0</v>
      </c>
      <c r="M53" s="100" t="str">
        <f>IF(E53=" "," ",IF(T$49="Y",Sep!M63,IF((H53+K53+L53)&gt;0,H53+K53+L53,"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IF(Employee!H$87=E$49,Employee!D$86+SUM(M53)+Sep!V63,SUM(M53)+Sep!V63)</f>
        <v>0</v>
      </c>
      <c r="W53" s="49">
        <f>IF(Employee!H$87=E$49,Employee!D$87+SUM(N53)+Sep!W63,SUM(N53)+Sep!W63)</f>
        <v>0</v>
      </c>
      <c r="X53" s="49">
        <f>IF(O53=" ",Sep!X63,O53+Sep!X63)</f>
        <v>0</v>
      </c>
      <c r="Y53" s="49">
        <f>IF(P53=" ",Sep!Y63,P53+Sep!Y63)</f>
        <v>0</v>
      </c>
      <c r="Z53" s="49">
        <f>IF(Q53=" ",Sep!Z63,Q53+Sep!Z63)</f>
        <v>0</v>
      </c>
      <c r="AA53" s="49">
        <f>IF(R53=" ",Sep!AA63,R53+Sep!AA63)</f>
        <v>0</v>
      </c>
      <c r="AC53" s="49">
        <f>IF(T53=" ",Sep!AC63,T53+Sep!AC63)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IF(T$49="Y",Sep!H64,0)</f>
        <v>0</v>
      </c>
      <c r="I54" s="92">
        <f>IF(T$49="Y",Sep!I64,0)</f>
        <v>0</v>
      </c>
      <c r="J54" s="92">
        <f>IF(T$49="Y",Sep!J64,0)</f>
        <v>0</v>
      </c>
      <c r="K54" s="92">
        <f>IF(T$49="Y",Sep!K64,I54*J54)</f>
        <v>0</v>
      </c>
      <c r="L54" s="111">
        <f>IF(T$49="Y",Sep!L64,0)</f>
        <v>0</v>
      </c>
      <c r="M54" s="100" t="str">
        <f>IF(E54=" "," ",IF(T$49="Y",Sep!M64,IF((H54+K54+L54)&gt;0,H54+K54+L54,"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IF(Employee!H$113=E$49,Employee!D$112+SUM(M54)+Sep!V64,SUM(M54)+Sep!V64)</f>
        <v>0</v>
      </c>
      <c r="W54" s="49">
        <f>IF(Employee!H$113=E$49,Employee!D$113+SUM(N54)+Sep!W64,SUM(N54)+Sep!W64)</f>
        <v>0</v>
      </c>
      <c r="X54" s="49">
        <f>IF(O54=" ",Sep!X64,O54+Sep!X64)</f>
        <v>0</v>
      </c>
      <c r="Y54" s="49">
        <f>IF(P54=" ",Sep!Y64,P54+Sep!Y64)</f>
        <v>0</v>
      </c>
      <c r="Z54" s="49">
        <f>IF(Q54=" ",Sep!Z64,Q54+Sep!Z64)</f>
        <v>0</v>
      </c>
      <c r="AA54" s="49">
        <f>IF(R54=" ",Sep!AA64,R54+Sep!AA64)</f>
        <v>0</v>
      </c>
      <c r="AC54" s="49">
        <f>IF(T54=" ",Sep!AC64,T54+Sep!AC64)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IF(T$49="Y",Sep!H65,0)</f>
        <v>0</v>
      </c>
      <c r="I55" s="245">
        <f>IF(T$49="Y",Sep!I65,0)</f>
        <v>0</v>
      </c>
      <c r="J55" s="245">
        <f>IF(T$49="Y",Sep!J65,0)</f>
        <v>0</v>
      </c>
      <c r="K55" s="245">
        <f>IF(T$49="Y",Sep!K65,I55*J55)</f>
        <v>0</v>
      </c>
      <c r="L55" s="246">
        <f>IF(T$49="Y",Sep!L65,0)</f>
        <v>0</v>
      </c>
      <c r="M55" s="100" t="str">
        <f>IF(E55=" "," ",IF(T$49="Y",Sep!M65,IF((H55+K55+L55)&gt;0,H55+K55+L55,"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IF(Employee!H$139=E$49,Employee!D$138+SUM(M55)+Sep!V65,SUM(M55)+Sep!V65)</f>
        <v>0</v>
      </c>
      <c r="W55" s="49">
        <f>IF(Employee!H$139=E$49,Employee!D$139+SUM(N55)+Sep!W65,SUM(N55)+Sep!W65)</f>
        <v>0</v>
      </c>
      <c r="X55" s="49">
        <f>IF(O55=" ",Sep!X65,O55+Sep!X65)</f>
        <v>0</v>
      </c>
      <c r="Y55" s="49">
        <f>IF(P55=" ",Sep!Y65,P55+Sep!Y65)</f>
        <v>0</v>
      </c>
      <c r="Z55" s="49">
        <f>IF(Q55=" ",Sep!Z65,Q55+Sep!Z65)</f>
        <v>0</v>
      </c>
      <c r="AA55" s="49">
        <f>IF(R55=" ",Sep!AA65,R55+Sep!AA65)</f>
        <v>0</v>
      </c>
      <c r="AC55" s="49">
        <f>IF(T55=" ",Sep!AC65,T55+Sep!AC65)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19">SUM(M51:M55)</f>
        <v>0</v>
      </c>
      <c r="N56" s="127">
        <f t="shared" si="19"/>
        <v>0</v>
      </c>
      <c r="O56" s="127">
        <f t="shared" si="19"/>
        <v>0</v>
      </c>
      <c r="P56" s="127">
        <f t="shared" si="19"/>
        <v>0</v>
      </c>
      <c r="Q56" s="127">
        <f t="shared" si="19"/>
        <v>0</v>
      </c>
      <c r="R56" s="127">
        <f t="shared" si="1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SUM(AD21:AD56)</f>
        <v>0</v>
      </c>
      <c r="AE58" s="157">
        <f>SUM(AE21:AE56)</f>
        <v>0</v>
      </c>
      <c r="AF58" s="157">
        <f>SUM(AF21:AF56)</f>
        <v>0</v>
      </c>
      <c r="AG58" s="157">
        <f>SUM(AG21:AG56)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20">SUM(M60:M64)</f>
        <v>0</v>
      </c>
      <c r="N65" s="184">
        <f t="shared" si="20"/>
        <v>0</v>
      </c>
      <c r="O65" s="184">
        <f t="shared" si="20"/>
        <v>0</v>
      </c>
      <c r="P65" s="184">
        <f t="shared" si="20"/>
        <v>0</v>
      </c>
      <c r="Q65" s="184">
        <f t="shared" si="20"/>
        <v>0</v>
      </c>
      <c r="R65" s="184">
        <f t="shared" si="20"/>
        <v>0</v>
      </c>
      <c r="S65" s="188"/>
      <c r="T65" s="184">
        <f>SUM(T60:T64)</f>
        <v>0</v>
      </c>
      <c r="AD65" s="158">
        <f>AD60+Sep!AD75</f>
        <v>0</v>
      </c>
      <c r="AE65" s="158">
        <f>AE60+Sep!AE75</f>
        <v>0</v>
      </c>
      <c r="AF65" s="158">
        <f>AF60+Sep!AF75</f>
        <v>0</v>
      </c>
      <c r="AG65" s="158">
        <f>AG60+Sep!AG75</f>
        <v>0</v>
      </c>
    </row>
    <row r="66" spans="6:33" ht="14" thickTop="1" x14ac:dyDescent="0.15"/>
    <row r="67" spans="6:33" x14ac:dyDescent="0.15">
      <c r="AD67" s="162"/>
      <c r="AE67" s="158">
        <f>AE62+Sep!AE77</f>
        <v>0</v>
      </c>
      <c r="AF67" s="158">
        <f>AF62+Sep!AF77</f>
        <v>0</v>
      </c>
      <c r="AG67" s="158">
        <f>AG62+Sep!AG77</f>
        <v>0</v>
      </c>
    </row>
  </sheetData>
  <mergeCells count="78">
    <mergeCell ref="M59:R59"/>
    <mergeCell ref="V1:AC2"/>
    <mergeCell ref="O48:Q48"/>
    <mergeCell ref="R48:T48"/>
    <mergeCell ref="B47:T47"/>
    <mergeCell ref="B49:D49"/>
    <mergeCell ref="H49:J49"/>
    <mergeCell ref="O49:R49"/>
    <mergeCell ref="V3:V6"/>
    <mergeCell ref="O18:Q18"/>
    <mergeCell ref="R18:T18"/>
    <mergeCell ref="AC3:AC6"/>
    <mergeCell ref="B17:T17"/>
    <mergeCell ref="B18:E18"/>
    <mergeCell ref="W3:W6"/>
    <mergeCell ref="X3:X6"/>
    <mergeCell ref="AD1:AG2"/>
    <mergeCell ref="AE3:AE6"/>
    <mergeCell ref="AF3:AF6"/>
    <mergeCell ref="AG3:AG6"/>
    <mergeCell ref="AD3:AD6"/>
    <mergeCell ref="Y3:Y6"/>
    <mergeCell ref="Z3:Z6"/>
    <mergeCell ref="AA3:AA6"/>
    <mergeCell ref="U1:U6"/>
    <mergeCell ref="B8:E8"/>
    <mergeCell ref="O8:Q8"/>
    <mergeCell ref="R8:T8"/>
    <mergeCell ref="F3:F6"/>
    <mergeCell ref="H3:H6"/>
    <mergeCell ref="L3:L6"/>
    <mergeCell ref="M3:M6"/>
    <mergeCell ref="R3:R6"/>
    <mergeCell ref="B9:D9"/>
    <mergeCell ref="H9:J9"/>
    <mergeCell ref="O9:R9"/>
    <mergeCell ref="H19:J19"/>
    <mergeCell ref="O19:R19"/>
    <mergeCell ref="F16:G16"/>
    <mergeCell ref="A1:A6"/>
    <mergeCell ref="I3:I6"/>
    <mergeCell ref="J3:J6"/>
    <mergeCell ref="K3:K6"/>
    <mergeCell ref="G2:H2"/>
    <mergeCell ref="B3:B6"/>
    <mergeCell ref="C3:C6"/>
    <mergeCell ref="G1:H1"/>
    <mergeCell ref="I1:L1"/>
    <mergeCell ref="I2:L2"/>
    <mergeCell ref="B1:F2"/>
    <mergeCell ref="D3:D6"/>
    <mergeCell ref="E3:E6"/>
    <mergeCell ref="B57:T57"/>
    <mergeCell ref="N3:N6"/>
    <mergeCell ref="O3:O6"/>
    <mergeCell ref="P3:P6"/>
    <mergeCell ref="Q3:Q6"/>
    <mergeCell ref="F26:G26"/>
    <mergeCell ref="B27:T27"/>
    <mergeCell ref="T3:T6"/>
    <mergeCell ref="B28:E28"/>
    <mergeCell ref="B29:D29"/>
    <mergeCell ref="O28:Q28"/>
    <mergeCell ref="R28:T28"/>
    <mergeCell ref="O29:R29"/>
    <mergeCell ref="F46:G46"/>
    <mergeCell ref="B48:E48"/>
    <mergeCell ref="B19:D19"/>
    <mergeCell ref="F56:G56"/>
    <mergeCell ref="H29:J29"/>
    <mergeCell ref="B39:D39"/>
    <mergeCell ref="H39:J39"/>
    <mergeCell ref="O39:R39"/>
    <mergeCell ref="F36:G36"/>
    <mergeCell ref="B37:T37"/>
    <mergeCell ref="B38:E38"/>
    <mergeCell ref="O38:Q38"/>
    <mergeCell ref="R38:T38"/>
  </mergeCells>
  <phoneticPr fontId="6" type="noConversion"/>
  <dataValidations count="1">
    <dataValidation type="list" allowBlank="1" showInputMessage="1" showErrorMessage="1" sqref="G51:G55 G41:G45 G21:G25 G31:G35 G11:G15" xr:uid="{00000000-0002-0000-0400-000000000000}">
      <formula1>$G$3:$G$6</formula1>
    </dataValidation>
  </dataValidations>
  <hyperlinks>
    <hyperlink ref="B1" r:id="rId1" xr:uid="{00000000-0004-0000-04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2" manualBreakCount="2">
    <brk id="33" max="16383" man="1"/>
    <brk id="45" max="16383" man="1"/>
  </rowBreaks>
  <colBreaks count="1" manualBreakCount="1">
    <brk id="11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Jul!H3:H6</f>
        <v>Statutory Pay</v>
      </c>
      <c r="I3" s="365" t="str">
        <f>Jul!I3:I6</f>
        <v>Basic hours</v>
      </c>
      <c r="J3" s="365" t="str">
        <f>Jul!J3:J6</f>
        <v>Hourly rate</v>
      </c>
      <c r="K3" s="365" t="str">
        <f>Jul!K3:K6</f>
        <v>Basic    wages</v>
      </c>
      <c r="L3" s="365" t="str">
        <f>Jul!L3:L6</f>
        <v>Overtime Bonus Gratuities</v>
      </c>
      <c r="M3" s="428" t="str">
        <f>Jul!M3:M6</f>
        <v>GROSS WAGES</v>
      </c>
      <c r="N3" s="365" t="str">
        <f>Jul!N3:N6</f>
        <v>Income Tax</v>
      </c>
      <c r="O3" s="365" t="str">
        <f>Jul!O3:O6</f>
        <v>Employees National Insurance</v>
      </c>
      <c r="P3" s="365" t="str">
        <f>Jul!P3:P6</f>
        <v>Student Loans</v>
      </c>
      <c r="Q3" s="365" t="str">
        <f>Jul!Q3:Q6</f>
        <v>Other Deductions</v>
      </c>
      <c r="R3" s="428" t="str">
        <f>Jul!R3:R6</f>
        <v>NET      PAY</v>
      </c>
      <c r="S3" s="42"/>
      <c r="T3" s="365" t="str">
        <f>Jul!T3:T6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18</v>
      </c>
      <c r="F9" s="35"/>
      <c r="G9" s="35"/>
      <c r="H9" s="360" t="s">
        <v>28</v>
      </c>
      <c r="I9" s="361"/>
      <c r="J9" s="359"/>
      <c r="K9" s="204">
        <f>Admin!B119</f>
        <v>44774</v>
      </c>
      <c r="L9" s="203" t="s">
        <v>76</v>
      </c>
      <c r="M9" s="205">
        <f>K9+6</f>
        <v>44780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IF(T$9="Y",Oct!H41,0)</f>
        <v>0</v>
      </c>
      <c r="I11" s="89">
        <f>IF(T$9="Y",Oct!I41,0)</f>
        <v>0</v>
      </c>
      <c r="J11" s="89">
        <f>IF(T$9="Y",Oct!J41,0)</f>
        <v>0</v>
      </c>
      <c r="K11" s="89">
        <v>0</v>
      </c>
      <c r="L11" s="110">
        <f>IF(T$9="Y",Oct!L41,0)</f>
        <v>0</v>
      </c>
      <c r="M11" s="110" t="str">
        <f>IF(E11=" "," ",IF(T$9="Y",Oct!M41,IF((H11+K11+L11)&gt;0,H11+K11+L11,"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IF(Employee!H$34=E$9,Employee!D$34+SUM(M11)+Oct!V41,SUM(M11)+Oct!V41)</f>
        <v>0</v>
      </c>
      <c r="W11" s="49">
        <f>IF(Employee!H$34=E$9,Employee!D$35+SUM(N11)+Oct!W41,SUM(N11)+Oct!W41)</f>
        <v>0</v>
      </c>
      <c r="X11" s="49">
        <f>IF(O11=" ",Oct!X41,O11+Oct!X41)</f>
        <v>0</v>
      </c>
      <c r="Y11" s="49">
        <f>IF(P11=" ",Oct!Y41,P11+Oct!Y41)</f>
        <v>0</v>
      </c>
      <c r="Z11" s="49">
        <f>IF(Q11=" ",Oct!Z41,Q11+Oct!Z41)</f>
        <v>0</v>
      </c>
      <c r="AA11" s="49">
        <f>IF(R11=" ",Oct!AA41,R11+Oct!AA41)</f>
        <v>0</v>
      </c>
      <c r="AC11" s="49">
        <f>IF(T11=" ",Oct!AC41,T11+Oct!AC41)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IF(T$9="Y",Oct!H41,0)</f>
        <v>0</v>
      </c>
      <c r="I12" s="92">
        <f>IF(T$9="Y",Oct!I41,0)</f>
        <v>0</v>
      </c>
      <c r="J12" s="92">
        <f>IF(T$9="Y",Oct!J41,0)</f>
        <v>0</v>
      </c>
      <c r="K12" s="92">
        <f>IF(T$9="Y",Oct!K41,I12*J12)</f>
        <v>0</v>
      </c>
      <c r="L12" s="111">
        <f>IF(T$9="Y",Oct!L41,0)</f>
        <v>0</v>
      </c>
      <c r="M12" s="111" t="str">
        <f>IF(E12=" "," ",IF(T$9="Y",Oct!M41,IF((H12+K12+L12)&gt;0,H12+K12+L12,"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IF(Employee!H$60=E$9,Employee!D$60+SUM(M12)+Oct!V42,SUM(M12)+Oct!V42)</f>
        <v>0</v>
      </c>
      <c r="W12" s="49">
        <f>IF(Employee!H$60=E$9,Employee!D$61+SUM(N12)+Oct!W42,SUM(N12)+Oct!W42)</f>
        <v>0</v>
      </c>
      <c r="X12" s="49">
        <f>IF(O12=" ",Oct!X42,O12+Oct!X42)</f>
        <v>0</v>
      </c>
      <c r="Y12" s="49">
        <f>IF(P12=" ",Oct!Y42,P12+Oct!Y42)</f>
        <v>0</v>
      </c>
      <c r="Z12" s="49">
        <f>IF(Q12=" ",Oct!Z42,Q12+Oct!Z42)</f>
        <v>0</v>
      </c>
      <c r="AA12" s="49">
        <f>IF(R12=" ",Oct!AA42,R12+Oct!AA42)</f>
        <v>0</v>
      </c>
      <c r="AC12" s="49">
        <f>IF(T12=" ",Oct!AC42,T12+Oct!AC42)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IF(T$9="Y",Oct!H41,0)</f>
        <v>0</v>
      </c>
      <c r="I13" s="92">
        <f>IF(T$9="Y",Oct!I41,0)</f>
        <v>0</v>
      </c>
      <c r="J13" s="92">
        <f>IF(T$9="Y",Oct!J41,0)</f>
        <v>0</v>
      </c>
      <c r="K13" s="92">
        <f>IF(T$9="Y",Oct!K41,I13*J13)</f>
        <v>0</v>
      </c>
      <c r="L13" s="111">
        <f>IF(T$9="Y",Oct!L41,0)</f>
        <v>0</v>
      </c>
      <c r="M13" s="111" t="str">
        <f>IF(E13=" "," ",IF(T$9="Y",Oct!M41,IF((H13+K13+L13)&gt;0,H13+K13+L13,"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IF(Employee!H$86=E$9,Employee!D$86+SUM(M13)+Oct!V43,SUM(M13)+Oct!V43)</f>
        <v>0</v>
      </c>
      <c r="W13" s="49">
        <f>IF(Employee!H$86=E$9,Employee!D$87+SUM(N13)+Oct!W43,SUM(N13)+Oct!W43)</f>
        <v>0</v>
      </c>
      <c r="X13" s="49">
        <f>IF(O13=" ",Oct!X43,O13+Oct!X43)</f>
        <v>0</v>
      </c>
      <c r="Y13" s="49">
        <f>IF(P13=" ",Oct!Y43,P13+Oct!Y43)</f>
        <v>0</v>
      </c>
      <c r="Z13" s="49">
        <f>IF(Q13=" ",Oct!Z43,Q13+Oct!Z43)</f>
        <v>0</v>
      </c>
      <c r="AA13" s="49">
        <f>IF(R13=" ",Oct!AA43,R13+Oct!AA43)</f>
        <v>0</v>
      </c>
      <c r="AC13" s="49">
        <f>IF(T13=" ",Oct!AC43,T13+Oct!AC43)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IF(T$9="Y",Oct!H41,0)</f>
        <v>0</v>
      </c>
      <c r="I14" s="92">
        <f>IF(T$9="Y",Oct!I41,0)</f>
        <v>0</v>
      </c>
      <c r="J14" s="92">
        <f>IF(T$9="Y",Oct!J41,0)</f>
        <v>0</v>
      </c>
      <c r="K14" s="92">
        <f>IF(T$9="Y",Oct!K41,I14*J14)</f>
        <v>0</v>
      </c>
      <c r="L14" s="111">
        <f>IF(T$9="Y",Oct!L41,0)</f>
        <v>0</v>
      </c>
      <c r="M14" s="111" t="str">
        <f>IF(E14=" "," ",IF(T$9="Y",Oct!M41,IF((H14+K14+L14)&gt;0,H14+K14+L14,"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IF(Employee!H$112=E$9,Employee!D$112+SUM(M14)+Oct!V44,SUM(M14)+Oct!V44)</f>
        <v>0</v>
      </c>
      <c r="W14" s="49">
        <f>IF(Employee!H$112=E$9,Employee!D$113+SUM(N14)+Oct!W44,SUM(N14)+Oct!W44)</f>
        <v>0</v>
      </c>
      <c r="X14" s="49">
        <f>IF(O14=" ",Oct!X44,O14+Oct!X44)</f>
        <v>0</v>
      </c>
      <c r="Y14" s="49">
        <f>IF(P14=" ",Oct!Y44,P14+Oct!Y44)</f>
        <v>0</v>
      </c>
      <c r="Z14" s="49">
        <f>IF(Q14=" ",Oct!Z44,Q14+Oct!Z44)</f>
        <v>0</v>
      </c>
      <c r="AA14" s="49">
        <f>IF(R14=" ",Oct!AA44,R14+Oct!AA44)</f>
        <v>0</v>
      </c>
      <c r="AC14" s="49">
        <f>IF(T14=" ",Oct!AC44,T14+Oct!AC44)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IF(T$9="Y",Oct!H41,0)</f>
        <v>0</v>
      </c>
      <c r="I15" s="245">
        <f>IF(T$9="Y",Oct!I41,0)</f>
        <v>0</v>
      </c>
      <c r="J15" s="245">
        <f>IF(T$9="Y",Oct!J41,0)</f>
        <v>0</v>
      </c>
      <c r="K15" s="245">
        <f>IF(T$9="Y",Oct!K41,I15*J15)</f>
        <v>0</v>
      </c>
      <c r="L15" s="246">
        <f>IF(T$9="Y",Oct!L41,0)</f>
        <v>0</v>
      </c>
      <c r="M15" s="246" t="str">
        <f>IF(E15=" "," ",IF(T$9="Y",Oct!M41,IF((H15+K15+L15)&gt;0,H15+K15+L15,"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IF(Employee!H$138=E$9,Employee!D$138+SUM(M15)+Oct!V45,SUM(M15)+Oct!V45)</f>
        <v>0</v>
      </c>
      <c r="W15" s="49">
        <f>IF(Employee!H$138=E$9,Employee!D$139+SUM(N15)+Oct!W45,SUM(N15)+Oct!W45)</f>
        <v>0</v>
      </c>
      <c r="X15" s="49">
        <f>IF(O15=" ",Oct!X45,O15+Oct!X45)</f>
        <v>0</v>
      </c>
      <c r="Y15" s="49">
        <f>IF(P15=" ",Oct!Y45,P15+Oct!Y45)</f>
        <v>0</v>
      </c>
      <c r="Z15" s="49">
        <f>IF(Q15=" ",Oct!Z45,Q15+Oct!Z45)</f>
        <v>0</v>
      </c>
      <c r="AA15" s="49">
        <f>IF(R15=" ",Oct!AA45,R15+Oct!AA45)</f>
        <v>0</v>
      </c>
      <c r="AC15" s="49">
        <f>IF(T15=" ",Oct!AC45,T15+Oct!AC45)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19</v>
      </c>
      <c r="F19" s="35"/>
      <c r="G19" s="35"/>
      <c r="H19" s="360" t="s">
        <v>28</v>
      </c>
      <c r="I19" s="361"/>
      <c r="J19" s="359"/>
      <c r="K19" s="204">
        <f>M9+1</f>
        <v>44781</v>
      </c>
      <c r="L19" s="203" t="s">
        <v>76</v>
      </c>
      <c r="M19" s="205">
        <f>K19+6</f>
        <v>44787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20</v>
      </c>
      <c r="F29" s="35"/>
      <c r="G29" s="35"/>
      <c r="H29" s="360" t="s">
        <v>28</v>
      </c>
      <c r="I29" s="361"/>
      <c r="J29" s="359"/>
      <c r="K29" s="204">
        <f>M19+1</f>
        <v>44788</v>
      </c>
      <c r="L29" s="203" t="s">
        <v>76</v>
      </c>
      <c r="M29" s="205">
        <f>K29+6</f>
        <v>44794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21</v>
      </c>
      <c r="F39" s="35"/>
      <c r="G39" s="35"/>
      <c r="H39" s="360" t="s">
        <v>28</v>
      </c>
      <c r="I39" s="439"/>
      <c r="J39" s="440"/>
      <c r="K39" s="204">
        <f>M29+1</f>
        <v>44795</v>
      </c>
      <c r="L39" s="203" t="s">
        <v>76</v>
      </c>
      <c r="M39" s="205">
        <f>K39+6</f>
        <v>44801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5</v>
      </c>
      <c r="F49" s="35"/>
      <c r="G49" s="35"/>
      <c r="H49" s="360" t="s">
        <v>28</v>
      </c>
      <c r="I49" s="361"/>
      <c r="J49" s="359"/>
      <c r="K49" s="204">
        <f>DATE(2021,11,1)</f>
        <v>44501</v>
      </c>
      <c r="L49" s="203" t="s">
        <v>76</v>
      </c>
      <c r="M49" s="205">
        <f>DATE(2021,11,30)</f>
        <v>44530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IF(T$49="Y",Oct!H51,0)</f>
        <v>0</v>
      </c>
      <c r="I51" s="89">
        <f>IF(T$49="Y",Oct!I51,0)</f>
        <v>0</v>
      </c>
      <c r="J51" s="89">
        <f>IF(T$49="Y",Oct!J51,0)</f>
        <v>0</v>
      </c>
      <c r="K51" s="89">
        <f>IF(T$49="Y",Oct!K51,I51*J51)</f>
        <v>0</v>
      </c>
      <c r="L51" s="89">
        <f>IF(T$49="Y",Oct!L51,0)</f>
        <v>0</v>
      </c>
      <c r="M51" s="99" t="str">
        <f>IF(E51=" "," ",IF(T$49="Y",Oct!M51,IF((H51+K51+L51)&gt;0,H51+K51+L51,"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IF(Employee!H$35=E$49,Employee!D$34+SUM(M51)+Oct!V51,SUM(M51)+Oct!V51)</f>
        <v>0</v>
      </c>
      <c r="W51" s="49">
        <f>IF(Employee!H$35=E$49,Employee!D$35+SUM(N51)+Oct!W51,SUM(N51)+Oct!W51)</f>
        <v>0</v>
      </c>
      <c r="X51" s="49">
        <f>IF(O51=" ",Oct!X51,O51+Oct!X51)</f>
        <v>0</v>
      </c>
      <c r="Y51" s="49">
        <f>IF(P51=" ",Oct!Y51,P51+Oct!Y51)</f>
        <v>0</v>
      </c>
      <c r="Z51" s="49">
        <f>IF(Q51=" ",Oct!Z51,Q51+Oct!Z51)</f>
        <v>0</v>
      </c>
      <c r="AA51" s="49">
        <f>IF(R51=" ",Oct!AA51,R51+Oct!AA51)</f>
        <v>0</v>
      </c>
      <c r="AC51" s="49">
        <f>IF(T51=" ",Oct!AC51,T51+Oct!AC51)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IF(T$49="Y",Oct!H52,0)</f>
        <v>0</v>
      </c>
      <c r="I52" s="92">
        <f>IF(T$49="Y",Oct!I52,0)</f>
        <v>0</v>
      </c>
      <c r="J52" s="92">
        <f>IF(T$49="Y",Oct!J52,0)</f>
        <v>0</v>
      </c>
      <c r="K52" s="92">
        <f>IF(T$49="Y",Oct!K52,I52*J52)</f>
        <v>0</v>
      </c>
      <c r="L52" s="92">
        <f>IF(T$49="Y",Oct!L52,0)</f>
        <v>0</v>
      </c>
      <c r="M52" s="100" t="str">
        <f>IF(E52=" "," ",IF(T$49="Y",Oct!M52,IF((H52+K52+L52)&gt;0,H52+K52+L52,"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IF(Employee!H$61=E$49,Employee!D$60+SUM(M52)+Oct!V52,SUM(M52)+Oct!V52)</f>
        <v>0</v>
      </c>
      <c r="W52" s="49">
        <f>IF(Employee!H$61=E$49,Employee!D$61+SUM(N52)+Oct!W52,SUM(N52)+Oct!W52)</f>
        <v>0</v>
      </c>
      <c r="X52" s="49">
        <f>IF(O52=" ",Oct!X52,O52+Oct!X52)</f>
        <v>0</v>
      </c>
      <c r="Y52" s="49">
        <f>IF(P52=" ",Oct!Y52,P52+Oct!Y52)</f>
        <v>0</v>
      </c>
      <c r="Z52" s="49">
        <f>IF(Q52=" ",Oct!Z52,Q52+Oct!Z52)</f>
        <v>0</v>
      </c>
      <c r="AA52" s="49">
        <f>IF(R52=" ",Oct!AA52,R52+Oct!AA52)</f>
        <v>0</v>
      </c>
      <c r="AC52" s="49">
        <f>IF(T52=" ",Oct!AC52,T52+Oct!AC52)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IF(T$49="Y",Oct!H53,0)</f>
        <v>0</v>
      </c>
      <c r="I53" s="92">
        <f>IF(T$49="Y",Oct!I53,0)</f>
        <v>0</v>
      </c>
      <c r="J53" s="92">
        <f>IF(T$49="Y",Oct!J53,0)</f>
        <v>0</v>
      </c>
      <c r="K53" s="92">
        <f>IF(T$49="Y",Oct!K53,I53*J53)</f>
        <v>0</v>
      </c>
      <c r="L53" s="92">
        <f>IF(T$49="Y",Oct!L53,0)</f>
        <v>0</v>
      </c>
      <c r="M53" s="100" t="str">
        <f>IF(E53=" "," ",IF(T$49="Y",Oct!M53,IF((H53+K53+L53)&gt;0,H53+K53+L53,"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IF(Employee!H$87=E$49,Employee!D$86+SUM(M53)+Oct!V53,SUM(M53)+Oct!V53)</f>
        <v>0</v>
      </c>
      <c r="W53" s="49">
        <f>IF(Employee!H$87=E$49,Employee!D$87+SUM(N53)+Oct!W53,SUM(N53)+Oct!W53)</f>
        <v>0</v>
      </c>
      <c r="X53" s="49">
        <f>IF(O53=" ",Oct!X53,O53+Oct!X53)</f>
        <v>0</v>
      </c>
      <c r="Y53" s="49">
        <f>IF(P53=" ",Oct!Y53,P53+Oct!Y53)</f>
        <v>0</v>
      </c>
      <c r="Z53" s="49">
        <f>IF(Q53=" ",Oct!Z53,Q53+Oct!Z53)</f>
        <v>0</v>
      </c>
      <c r="AA53" s="49">
        <f>IF(R53=" ",Oct!AA53,R53+Oct!AA53)</f>
        <v>0</v>
      </c>
      <c r="AC53" s="49">
        <f>IF(T53=" ",Oct!AC53,T53+Oct!AC53)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IF(T$49="Y",Oct!H54,0)</f>
        <v>0</v>
      </c>
      <c r="I54" s="92">
        <f>IF(T$49="Y",Oct!I54,0)</f>
        <v>0</v>
      </c>
      <c r="J54" s="92">
        <f>IF(T$49="Y",Oct!J54,0)</f>
        <v>0</v>
      </c>
      <c r="K54" s="92">
        <f>IF(T$49="Y",Oct!K54,I54*J54)</f>
        <v>0</v>
      </c>
      <c r="L54" s="92">
        <f>IF(T$49="Y",Oct!L54,0)</f>
        <v>0</v>
      </c>
      <c r="M54" s="100" t="str">
        <f>IF(E54=" "," ",IF(T$49="Y",Oct!M54,IF((H54+K54+L54)&gt;0,H54+K54+L54,"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IF(Employee!H$113=E$49,Employee!D$112+SUM(M54)+Oct!V54,SUM(M54)+Oct!V54)</f>
        <v>0</v>
      </c>
      <c r="W54" s="49">
        <f>IF(Employee!H$113=E$49,Employee!D$113+SUM(N54)+Oct!W54,SUM(N54)+Oct!W54)</f>
        <v>0</v>
      </c>
      <c r="X54" s="49">
        <f>IF(O54=" ",Oct!X54,O54+Oct!X54)</f>
        <v>0</v>
      </c>
      <c r="Y54" s="49">
        <f>IF(P54=" ",Oct!Y54,P54+Oct!Y54)</f>
        <v>0</v>
      </c>
      <c r="Z54" s="49">
        <f>IF(Q54=" ",Oct!Z54,Q54+Oct!Z54)</f>
        <v>0</v>
      </c>
      <c r="AA54" s="49">
        <f>IF(R54=" ",Oct!AA54,R54+Oct!AA54)</f>
        <v>0</v>
      </c>
      <c r="AC54" s="49">
        <f>IF(T54=" ",Oct!AC54,T54+Oct!AC54)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96">
        <f>IF(T$49="Y",Oct!H55,0)</f>
        <v>0</v>
      </c>
      <c r="I55" s="92">
        <f>IF(T$49="Y",Oct!I55,0)</f>
        <v>0</v>
      </c>
      <c r="J55" s="92">
        <f>IF(T$49="Y",Oct!J55,0)</f>
        <v>0</v>
      </c>
      <c r="K55" s="92">
        <f>IF(T$49="Y",Oct!K55,I55*J55)</f>
        <v>0</v>
      </c>
      <c r="L55" s="92">
        <f>IF(T$49="Y",Oct!L55,0)</f>
        <v>0</v>
      </c>
      <c r="M55" s="100" t="str">
        <f>IF(E55=" "," ",IF(T$49="Y",Oct!M55,IF((H55+K55+L55)&gt;0,H55+K55+L55,"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IF(Employee!H$139=E$49,Employee!D$138+SUM(M55)+Oct!V55,SUM(M55)+Oct!V55)</f>
        <v>0</v>
      </c>
      <c r="W55" s="49">
        <f>IF(Employee!H$139=E$49,Employee!D$139+SUM(N55)+Oct!W55,SUM(N55)+Oct!W55)</f>
        <v>0</v>
      </c>
      <c r="X55" s="49">
        <f>IF(O55=" ",Oct!X55,O55+Oct!X55)</f>
        <v>0</v>
      </c>
      <c r="Y55" s="49">
        <f>IF(P55=" ",Oct!Y55,P55+Oct!Y55)</f>
        <v>0</v>
      </c>
      <c r="Z55" s="49">
        <f>IF(Q55=" ",Oct!Z55,Q55+Oct!Z55)</f>
        <v>0</v>
      </c>
      <c r="AA55" s="49">
        <f>IF(R55=" ",Oct!AA55,R55+Oct!AA55)</f>
        <v>0</v>
      </c>
      <c r="AC55" s="49">
        <f>IF(T55=" ",Oct!AC55,T55+Oct!AC55)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AD60+Oct!AD65</f>
        <v>0</v>
      </c>
      <c r="AE65" s="158">
        <f>AE60+Oct!AE65</f>
        <v>0</v>
      </c>
      <c r="AF65" s="158">
        <f>AF60+Oct!AF65</f>
        <v>0</v>
      </c>
      <c r="AG65" s="158">
        <f>AG60+Oct!AG65</f>
        <v>0</v>
      </c>
    </row>
    <row r="66" spans="6:33" ht="14" thickTop="1" x14ac:dyDescent="0.15"/>
    <row r="67" spans="6:33" x14ac:dyDescent="0.15">
      <c r="AD67" s="162"/>
      <c r="AE67" s="158">
        <f>AE62+Oct!AE67</f>
        <v>0</v>
      </c>
      <c r="AF67" s="158">
        <f>AF62+Oct!AF67</f>
        <v>0</v>
      </c>
      <c r="AG67" s="158">
        <f>AG62+Oct!AG67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500-000000000000}">
      <formula1>$G$3:$G$6</formula1>
    </dataValidation>
  </dataValidations>
  <hyperlinks>
    <hyperlink ref="B1" r:id="rId1" xr:uid="{00000000-0004-0000-05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H7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Jul!H3:H6</f>
        <v>Statutory Pay</v>
      </c>
      <c r="I3" s="365" t="str">
        <f>Jul!I3:I6</f>
        <v>Basic hours</v>
      </c>
      <c r="J3" s="365" t="str">
        <f>Jul!J3:J6</f>
        <v>Hourly rate</v>
      </c>
      <c r="K3" s="365" t="str">
        <f>Jul!K3:K6</f>
        <v>Basic    wages</v>
      </c>
      <c r="L3" s="365" t="str">
        <f>Jul!L3:L6</f>
        <v>Overtime Bonus Gratuities</v>
      </c>
      <c r="M3" s="428" t="str">
        <f>Jul!M3:M6</f>
        <v>GROSS WAGES</v>
      </c>
      <c r="N3" s="365" t="str">
        <f>Jul!N3:N6</f>
        <v>Income Tax</v>
      </c>
      <c r="O3" s="365" t="str">
        <f>Jul!O3:O6</f>
        <v>Employees National Insurance</v>
      </c>
      <c r="P3" s="365" t="str">
        <f>Jul!P3:P6</f>
        <v>Student Loans</v>
      </c>
      <c r="Q3" s="365" t="str">
        <f>Jul!Q3:Q6</f>
        <v>Other Deductions</v>
      </c>
      <c r="R3" s="428" t="str">
        <f>Jul!R3:R6</f>
        <v>NET      PAY</v>
      </c>
      <c r="S3" s="42"/>
      <c r="T3" s="365" t="str">
        <f>Jul!T3:T6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22</v>
      </c>
      <c r="F9" s="35"/>
      <c r="G9" s="35"/>
      <c r="H9" s="360" t="s">
        <v>28</v>
      </c>
      <c r="I9" s="361"/>
      <c r="J9" s="359"/>
      <c r="K9" s="204">
        <f>Nov!M39+1</f>
        <v>44802</v>
      </c>
      <c r="L9" s="203" t="s">
        <v>76</v>
      </c>
      <c r="M9" s="205">
        <f>K9+6</f>
        <v>44808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IF(T$9="Y",Nov!H41,0)</f>
        <v>0</v>
      </c>
      <c r="I11" s="89">
        <f>IF(T$9="Y",Nov!I41,0)</f>
        <v>0</v>
      </c>
      <c r="J11" s="89">
        <f>IF(T$9="Y",Nov!J41,0)</f>
        <v>0</v>
      </c>
      <c r="K11" s="89">
        <f>IF(T$9="Y",Nov!K41,I11*J11)</f>
        <v>0</v>
      </c>
      <c r="L11" s="110">
        <f>IF(T$9="Y",Nov!L41,0)</f>
        <v>0</v>
      </c>
      <c r="M11" s="110" t="str">
        <f>IF(E11=" "," ",IF(T$9="Y",Nov!M41,IF((H11+K11+L11)&gt;0,H11+K11+L11,"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IF(Employee!H$34=E$9,Employee!D$34+SUM(M11)+Nov!V41,SUM(M11)+Nov!V41)</f>
        <v>0</v>
      </c>
      <c r="W11" s="49">
        <f>IF(Employee!H$34=E$9,Employee!D$35+SUM(N11)+Nov!W41,SUM(N11)+Nov!W41)</f>
        <v>0</v>
      </c>
      <c r="X11" s="49">
        <f>IF(O11=" ",Nov!X41,O11+Nov!X41)</f>
        <v>0</v>
      </c>
      <c r="Y11" s="49">
        <f>IF(P11=" ",Nov!Y41,P11+Nov!Y41)</f>
        <v>0</v>
      </c>
      <c r="Z11" s="49">
        <f>IF(Q11=" ",Nov!Z41,Q11+Nov!Z41)</f>
        <v>0</v>
      </c>
      <c r="AA11" s="49">
        <f>IF(R11=" ",Nov!AA41,R11+Nov!AA41)</f>
        <v>0</v>
      </c>
      <c r="AC11" s="49">
        <f>IF(T11=" ",Nov!AC41,T11+Nov!AC41)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IF(T$9="Y",Nov!H42,0)</f>
        <v>0</v>
      </c>
      <c r="I12" s="92">
        <f>IF(T$9="Y",Nov!I42,0)</f>
        <v>0</v>
      </c>
      <c r="J12" s="92">
        <f>IF(T$9="Y",Nov!J42,0)</f>
        <v>0</v>
      </c>
      <c r="K12" s="92">
        <f>IF(T$9="Y",Nov!K42,I12*J12)</f>
        <v>0</v>
      </c>
      <c r="L12" s="111">
        <f>IF(T$9="Y",Nov!L42,0)</f>
        <v>0</v>
      </c>
      <c r="M12" s="111" t="str">
        <f>IF(E12=" "," ",IF(T$9="Y",Nov!M42,IF((H12+K12+L12)&gt;0,H12+K12+L12,"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IF(Employee!H$60=E$9,Employee!D$60+SUM(M12)+Nov!V42,SUM(M12)+Nov!V42)</f>
        <v>0</v>
      </c>
      <c r="W12" s="49">
        <f>IF(Employee!H$60=E$9,Employee!D$61+SUM(N12)+Nov!W42,SUM(N12)+Nov!W42)</f>
        <v>0</v>
      </c>
      <c r="X12" s="49">
        <f>IF(O12=" ",Nov!X42,O12+Nov!X42)</f>
        <v>0</v>
      </c>
      <c r="Y12" s="49">
        <f>IF(P12=" ",Nov!Y42,P12+Nov!Y42)</f>
        <v>0</v>
      </c>
      <c r="Z12" s="49">
        <f>IF(Q12=" ",Nov!Z42,Q12+Nov!Z42)</f>
        <v>0</v>
      </c>
      <c r="AA12" s="49">
        <f>IF(R12=" ",Nov!AA42,R12+Nov!AA42)</f>
        <v>0</v>
      </c>
      <c r="AC12" s="49">
        <f>IF(T12=" ",Nov!AC42,T12+Nov!AC42)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IF(T$9="Y",Nov!H43,0)</f>
        <v>0</v>
      </c>
      <c r="I13" s="92">
        <f>IF(T$9="Y",Nov!I43,0)</f>
        <v>0</v>
      </c>
      <c r="J13" s="92">
        <f>IF(T$9="Y",Nov!J43,0)</f>
        <v>0</v>
      </c>
      <c r="K13" s="92">
        <f>IF(T$9="Y",Nov!K43,I13*J13)</f>
        <v>0</v>
      </c>
      <c r="L13" s="111">
        <f>IF(T$9="Y",Nov!L43,0)</f>
        <v>0</v>
      </c>
      <c r="M13" s="111" t="str">
        <f>IF(E13=" "," ",IF(T$9="Y",Nov!M43,IF((H13+K13+L13)&gt;0,H13+K13+L13,"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IF(Employee!H$86=E$9,Employee!D$86+SUM(M13)+Nov!V43,SUM(M13)+Nov!V43)</f>
        <v>0</v>
      </c>
      <c r="W13" s="49">
        <f>IF(Employee!H$86=E$9,Employee!D$87+SUM(N13)+Nov!W43,SUM(N13)+Nov!W43)</f>
        <v>0</v>
      </c>
      <c r="X13" s="49">
        <f>IF(O13=" ",Nov!X43,O13+Nov!X43)</f>
        <v>0</v>
      </c>
      <c r="Y13" s="49">
        <f>IF(P13=" ",Nov!Y43,P13+Nov!Y43)</f>
        <v>0</v>
      </c>
      <c r="Z13" s="49">
        <f>IF(Q13=" ",Nov!Z43,Q13+Nov!Z43)</f>
        <v>0</v>
      </c>
      <c r="AA13" s="49">
        <f>IF(R13=" ",Nov!AA43,R13+Nov!AA43)</f>
        <v>0</v>
      </c>
      <c r="AC13" s="49">
        <f>IF(T13=" ",Nov!AC43,T13+Nov!AC43)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IF(T$9="Y",Nov!H44,0)</f>
        <v>0</v>
      </c>
      <c r="I14" s="92">
        <f>IF(T$9="Y",Nov!I44,0)</f>
        <v>0</v>
      </c>
      <c r="J14" s="92">
        <f>IF(T$9="Y",Nov!J44,0)</f>
        <v>0</v>
      </c>
      <c r="K14" s="92">
        <f>IF(T$9="Y",Nov!K44,I14*J14)</f>
        <v>0</v>
      </c>
      <c r="L14" s="111">
        <f>IF(T$9="Y",Nov!L44,0)</f>
        <v>0</v>
      </c>
      <c r="M14" s="111" t="str">
        <f>IF(E14=" "," ",IF(T$9="Y",Nov!M44,IF((H14+K14+L14)&gt;0,H14+K14+L14,"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IF(Employee!H$112=E$9,Employee!D$112+SUM(M14)+Nov!V44,SUM(M14)+Nov!V44)</f>
        <v>0</v>
      </c>
      <c r="W14" s="49">
        <f>IF(Employee!H$112=E$9,Employee!D$113+SUM(N14)+Nov!W44,SUM(N14)+Nov!W44)</f>
        <v>0</v>
      </c>
      <c r="X14" s="49">
        <f>IF(O14=" ",Nov!X44,O14+Nov!X44)</f>
        <v>0</v>
      </c>
      <c r="Y14" s="49">
        <f>IF(P14=" ",Nov!Y44,P14+Nov!Y44)</f>
        <v>0</v>
      </c>
      <c r="Z14" s="49">
        <f>IF(Q14=" ",Nov!Z44,Q14+Nov!Z44)</f>
        <v>0</v>
      </c>
      <c r="AA14" s="49">
        <f>IF(R14=" ",Nov!AA44,R14+Nov!AA44)</f>
        <v>0</v>
      </c>
      <c r="AC14" s="49">
        <f>IF(T14=" ",Nov!AC44,T14+Nov!AC44)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IF(T$9="Y",Nov!H45,0)</f>
        <v>0</v>
      </c>
      <c r="I15" s="245">
        <f>IF(T$9="Y",Nov!I45,0)</f>
        <v>0</v>
      </c>
      <c r="J15" s="245">
        <f>IF(T$9="Y",Nov!J45,0)</f>
        <v>0</v>
      </c>
      <c r="K15" s="245">
        <f>IF(T$9="Y",Nov!K45,I15*J15)</f>
        <v>0</v>
      </c>
      <c r="L15" s="246">
        <f>IF(T$9="Y",Nov!L45,0)</f>
        <v>0</v>
      </c>
      <c r="M15" s="111" t="str">
        <f>IF(E15=" "," ",IF(T$9="Y",Nov!M45,IF((H15+K15+L15)&gt;0,H15+K15+L15,"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IF(Employee!H$138=E$9,Employee!D$138+SUM(M15)+Nov!V45,SUM(M15)+Nov!V45)</f>
        <v>0</v>
      </c>
      <c r="W15" s="49">
        <f>IF(Employee!H$138=E$9,Employee!D$139+SUM(N15)+Nov!W45,SUM(N15)+Nov!W45)</f>
        <v>0</v>
      </c>
      <c r="X15" s="49">
        <f>IF(O15=" ",Nov!X45,O15+Nov!X45)</f>
        <v>0</v>
      </c>
      <c r="Y15" s="49">
        <f>IF(P15=" ",Nov!Y45,P15+Nov!Y45)</f>
        <v>0</v>
      </c>
      <c r="Z15" s="49">
        <f>IF(Q15=" ",Nov!Z45,Q15+Nov!Z45)</f>
        <v>0</v>
      </c>
      <c r="AA15" s="49">
        <f>IF(R15=" ",Nov!AA45,R15+Nov!AA45)</f>
        <v>0</v>
      </c>
      <c r="AC15" s="49">
        <f>IF(T15=" ",Nov!AC45,T15+Nov!AC45)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23</v>
      </c>
      <c r="F19" s="35"/>
      <c r="G19" s="35"/>
      <c r="H19" s="360" t="s">
        <v>28</v>
      </c>
      <c r="I19" s="361"/>
      <c r="J19" s="359"/>
      <c r="K19" s="204">
        <f>M9+1</f>
        <v>44809</v>
      </c>
      <c r="L19" s="203" t="s">
        <v>76</v>
      </c>
      <c r="M19" s="205">
        <f>K19+6</f>
        <v>44815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24</v>
      </c>
      <c r="F29" s="35"/>
      <c r="G29" s="35"/>
      <c r="H29" s="360" t="s">
        <v>28</v>
      </c>
      <c r="I29" s="361"/>
      <c r="J29" s="359"/>
      <c r="K29" s="204">
        <f>M19+1</f>
        <v>44816</v>
      </c>
      <c r="L29" s="203" t="s">
        <v>76</v>
      </c>
      <c r="M29" s="205">
        <f>K29+6</f>
        <v>44822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25</v>
      </c>
      <c r="F39" s="35"/>
      <c r="G39" s="35"/>
      <c r="H39" s="360" t="s">
        <v>28</v>
      </c>
      <c r="I39" s="439"/>
      <c r="J39" s="440"/>
      <c r="K39" s="204">
        <f>M29+1</f>
        <v>44823</v>
      </c>
      <c r="L39" s="203" t="s">
        <v>76</v>
      </c>
      <c r="M39" s="205">
        <f>K39+6</f>
        <v>44829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26</v>
      </c>
      <c r="F49" s="35"/>
      <c r="G49" s="35"/>
      <c r="H49" s="360" t="s">
        <v>28</v>
      </c>
      <c r="I49" s="439"/>
      <c r="J49" s="440"/>
      <c r="K49" s="204">
        <f>Admin!B175</f>
        <v>44830</v>
      </c>
      <c r="L49" s="203" t="s">
        <v>76</v>
      </c>
      <c r="M49" s="205">
        <f>K49+6</f>
        <v>44836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96">
        <f>IF(T$49="Y",H45,0)</f>
        <v>0</v>
      </c>
      <c r="I55" s="92">
        <f>IF(T$49="Y",I45,0)</f>
        <v>0</v>
      </c>
      <c r="J55" s="92">
        <f>IF(T$49="Y",J45,0)</f>
        <v>0</v>
      </c>
      <c r="K55" s="92">
        <f>IF(T$49="Y",K45,I55*J55)</f>
        <v>0</v>
      </c>
      <c r="L55" s="111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6</v>
      </c>
      <c r="F59" s="35"/>
      <c r="G59" s="35"/>
      <c r="H59" s="360" t="s">
        <v>28</v>
      </c>
      <c r="I59" s="361"/>
      <c r="J59" s="359"/>
      <c r="K59" s="204">
        <f>DATE(2021,12,1)</f>
        <v>44531</v>
      </c>
      <c r="L59" s="203" t="s">
        <v>76</v>
      </c>
      <c r="M59" s="205">
        <f>DATE(2021,12,31)</f>
        <v>44561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IF(T$59="Y",Nov!H51,0)</f>
        <v>0</v>
      </c>
      <c r="I61" s="89">
        <f>IF(T$59="Y",Nov!I51,0)</f>
        <v>0</v>
      </c>
      <c r="J61" s="89">
        <f>IF(T$59="Y",Nov!J51,0)</f>
        <v>0</v>
      </c>
      <c r="K61" s="89">
        <f>IF(T$59="Y",Nov!K51,I61*J61)</f>
        <v>0</v>
      </c>
      <c r="L61" s="110">
        <f>IF(T$59="Y",Nov!L51,0)</f>
        <v>0</v>
      </c>
      <c r="M61" s="99" t="str">
        <f>IF(E61=" "," ",IF(T$59="Y",Nov!M51,IF((H61+K61+L61)&gt;0,H61+K61+L61,"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IF(Employee!H$35=E$59,Employee!D$34+SUM(M61)+Nov!V51,SUM(M61)+Nov!V51)</f>
        <v>0</v>
      </c>
      <c r="W61" s="49">
        <f>IF(Employee!H$35=E$59,Employee!D$35+SUM(N61)+Nov!W51,SUM(N61)+Nov!W51)</f>
        <v>0</v>
      </c>
      <c r="X61" s="49">
        <f>IF(O61=" ",Nov!X51,O61+Nov!X51)</f>
        <v>0</v>
      </c>
      <c r="Y61" s="49">
        <f>IF(P61=" ",Nov!Y51,P61+Nov!Y51)</f>
        <v>0</v>
      </c>
      <c r="Z61" s="49">
        <f>IF(Q61=" ",Nov!Z51,Q61+Nov!Z51)</f>
        <v>0</v>
      </c>
      <c r="AA61" s="49">
        <f>IF(R61=" ",Nov!AA51,R61+Nov!AA51)</f>
        <v>0</v>
      </c>
      <c r="AC61" s="49">
        <f>IF(T61=" ",Nov!AC51,T61+Nov!AC51)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IF(T$59="Y",Nov!H52,0)</f>
        <v>0</v>
      </c>
      <c r="I62" s="92">
        <f>IF(T$59="Y",Nov!I52,0)</f>
        <v>0</v>
      </c>
      <c r="J62" s="92">
        <f>IF(T$59="Y",Nov!J52,0)</f>
        <v>0</v>
      </c>
      <c r="K62" s="92">
        <f>IF(T$59="Y",Nov!K52,I62*J62)</f>
        <v>0</v>
      </c>
      <c r="L62" s="111">
        <f>IF(T$59="Y",Nov!L52,0)</f>
        <v>0</v>
      </c>
      <c r="M62" s="100" t="str">
        <f>IF(E62=" "," ",IF(T$59="Y",Nov!M52,IF((H62+K62+L62)&gt;0,H62+K62+L62,"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IF(Employee!H$61=E$59,Employee!D$60+SUM(M62)+Nov!V52,SUM(M62)+Nov!V52)</f>
        <v>0</v>
      </c>
      <c r="W62" s="49">
        <f>IF(Employee!H$61=E$59,Employee!D$61+SUM(N62)+Nov!W52,SUM(N62)+Nov!W52)</f>
        <v>0</v>
      </c>
      <c r="X62" s="49">
        <f>IF(O62=" ",Nov!X52,O62+Nov!X52)</f>
        <v>0</v>
      </c>
      <c r="Y62" s="49">
        <f>IF(P62=" ",Nov!Y52,P62+Nov!Y52)</f>
        <v>0</v>
      </c>
      <c r="Z62" s="49">
        <f>IF(Q62=" ",Nov!Z52,Q62+Nov!Z52)</f>
        <v>0</v>
      </c>
      <c r="AA62" s="49">
        <f>IF(R62=" ",Nov!AA52,R62+Nov!AA52)</f>
        <v>0</v>
      </c>
      <c r="AC62" s="49">
        <f>IF(T62=" ",Nov!AC52,T62+Nov!AC52)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IF(T$59="Y",Nov!H53,0)</f>
        <v>0</v>
      </c>
      <c r="I63" s="92">
        <f>IF(T$59="Y",Nov!I53,0)</f>
        <v>0</v>
      </c>
      <c r="J63" s="92">
        <f>IF(T$59="Y",Nov!J53,0)</f>
        <v>0</v>
      </c>
      <c r="K63" s="92">
        <f>IF(T$59="Y",Nov!K53,I63*J63)</f>
        <v>0</v>
      </c>
      <c r="L63" s="111">
        <f>IF(T$59="Y",Nov!L53,0)</f>
        <v>0</v>
      </c>
      <c r="M63" s="100" t="str">
        <f>IF(E63=" "," ",IF(T$59="Y",Nov!M53,IF((H63+K63+L63)&gt;0,H63+K63+L63,"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IF(Employee!H$87=E$59,Employee!D$86+SUM(M63)+Nov!V53,SUM(M63)+Nov!V53)</f>
        <v>0</v>
      </c>
      <c r="W63" s="49">
        <f>IF(Employee!H$87=E$59,Employee!D$87+SUM(N63)+Nov!W53,SUM(N63)+Nov!W53)</f>
        <v>0</v>
      </c>
      <c r="X63" s="49">
        <f>IF(O63=" ",Nov!X53,O63+Nov!X53)</f>
        <v>0</v>
      </c>
      <c r="Y63" s="49">
        <f>IF(P63=" ",Nov!Y53,P63+Nov!Y53)</f>
        <v>0</v>
      </c>
      <c r="Z63" s="49">
        <f>IF(Q63=" ",Nov!Z53,Q63+Nov!Z53)</f>
        <v>0</v>
      </c>
      <c r="AA63" s="49">
        <f>IF(R63=" ",Nov!AA53,R63+Nov!AA53)</f>
        <v>0</v>
      </c>
      <c r="AC63" s="49">
        <f>IF(T63=" ",Nov!AC53,T63+Nov!AC53)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IF(T$59="Y",Nov!H54,0)</f>
        <v>0</v>
      </c>
      <c r="I64" s="92">
        <f>IF(T$59="Y",Nov!I54,0)</f>
        <v>0</v>
      </c>
      <c r="J64" s="92">
        <f>IF(T$59="Y",Nov!J54,0)</f>
        <v>0</v>
      </c>
      <c r="K64" s="92">
        <f>IF(T$59="Y",Nov!K54,I64*J64)</f>
        <v>0</v>
      </c>
      <c r="L64" s="111">
        <f>IF(T$59="Y",Nov!L54,0)</f>
        <v>0</v>
      </c>
      <c r="M64" s="100" t="str">
        <f>IF(E64=" "," ",IF(T$59="Y",Nov!M54,IF((H64+K64+L64)&gt;0,H64+K64+L64,"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IF(Employee!H$113=E$59,Employee!D$112+SUM(M64)+Nov!V54,SUM(M64)+Nov!V54)</f>
        <v>0</v>
      </c>
      <c r="W64" s="49">
        <f>IF(Employee!H$113=E$59,Employee!D$113+SUM(N64)+Nov!W54,SUM(N64)+Nov!W54)</f>
        <v>0</v>
      </c>
      <c r="X64" s="49">
        <f>IF(O64=" ",Nov!X54,O64+Nov!X54)</f>
        <v>0</v>
      </c>
      <c r="Y64" s="49">
        <f>IF(P64=" ",Nov!Y54,P64+Nov!Y54)</f>
        <v>0</v>
      </c>
      <c r="Z64" s="49">
        <f>IF(Q64=" ",Nov!Z54,Q64+Nov!Z54)</f>
        <v>0</v>
      </c>
      <c r="AA64" s="49">
        <f>IF(R64=" ",Nov!AA54,R64+Nov!AA54)</f>
        <v>0</v>
      </c>
      <c r="AC64" s="49">
        <f>IF(T64=" ",Nov!AC54,T64+Nov!AC54)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IF(T$59="Y",Nov!H55,0)</f>
        <v>0</v>
      </c>
      <c r="I65" s="245">
        <f>IF(T$59="Y",Nov!I55,0)</f>
        <v>0</v>
      </c>
      <c r="J65" s="245">
        <f>IF(T$59="Y",Nov!J55,0)</f>
        <v>0</v>
      </c>
      <c r="K65" s="245">
        <f>IF(T$59="Y",Nov!K55,I65*J65)</f>
        <v>0</v>
      </c>
      <c r="L65" s="246">
        <f>IF(T$59="Y",Nov!L55,0)</f>
        <v>0</v>
      </c>
      <c r="M65" s="100" t="str">
        <f>IF(E65=" "," ",IF(T$59="Y",Nov!M55,IF((H65+K65+L65)&gt;0,H65+K65+L65,"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IF(Employee!H$139=E$59,Employee!D$138+SUM(M65)+Nov!V55,SUM(M65)+Nov!V55)</f>
        <v>0</v>
      </c>
      <c r="W65" s="49">
        <f>IF(Employee!H$139=E$59,Employee!D$139+SUM(N65)+Nov!W55,SUM(N65)+Nov!W55)</f>
        <v>0</v>
      </c>
      <c r="X65" s="49">
        <f>IF(O65=" ",Nov!X55,O65+Nov!X55)</f>
        <v>0</v>
      </c>
      <c r="Y65" s="49">
        <f>IF(P65=" ",Nov!Y55,P65+Nov!Y55)</f>
        <v>0</v>
      </c>
      <c r="Z65" s="49">
        <f>IF(Q65=" ",Nov!Z55,Q65+Nov!Z55)</f>
        <v>0</v>
      </c>
      <c r="AA65" s="49">
        <f>IF(R65=" ",Nov!AA55,R65+Nov!AA55)</f>
        <v>0</v>
      </c>
      <c r="AC65" s="49">
        <f>IF(T65=" ",Nov!AC55,T65+Nov!AC55)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1">SUM(M61:M65)</f>
        <v>0</v>
      </c>
      <c r="N66" s="127">
        <f t="shared" si="11"/>
        <v>0</v>
      </c>
      <c r="O66" s="127">
        <f t="shared" si="11"/>
        <v>0</v>
      </c>
      <c r="P66" s="127">
        <f t="shared" si="11"/>
        <v>0</v>
      </c>
      <c r="Q66" s="127">
        <f t="shared" si="11"/>
        <v>0</v>
      </c>
      <c r="R66" s="127">
        <f t="shared" si="11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2">SUM(M70:M74)</f>
        <v>0</v>
      </c>
      <c r="N75" s="184">
        <f t="shared" si="12"/>
        <v>0</v>
      </c>
      <c r="O75" s="184">
        <f t="shared" si="12"/>
        <v>0</v>
      </c>
      <c r="P75" s="184">
        <f t="shared" si="12"/>
        <v>0</v>
      </c>
      <c r="Q75" s="184">
        <f t="shared" si="12"/>
        <v>0</v>
      </c>
      <c r="R75" s="184">
        <f t="shared" si="12"/>
        <v>0</v>
      </c>
      <c r="S75" s="188"/>
      <c r="T75" s="184">
        <f>SUM(T70:T74)</f>
        <v>0</v>
      </c>
      <c r="AD75" s="158">
        <f>AD70+Nov!AD65</f>
        <v>0</v>
      </c>
      <c r="AE75" s="158">
        <f>AE70+Nov!AE65</f>
        <v>0</v>
      </c>
      <c r="AF75" s="158">
        <f>AF70+Nov!AF65</f>
        <v>0</v>
      </c>
      <c r="AG75" s="158">
        <f>AG70+Nov!AG65</f>
        <v>0</v>
      </c>
    </row>
    <row r="76" spans="1:34" ht="14" thickTop="1" x14ac:dyDescent="0.15"/>
    <row r="77" spans="1:34" x14ac:dyDescent="0.15">
      <c r="AD77" s="162"/>
      <c r="AE77" s="158">
        <f>AE72+Nov!AE67</f>
        <v>0</v>
      </c>
      <c r="AF77" s="158">
        <f>AF72+Nov!AF67</f>
        <v>0</v>
      </c>
      <c r="AG77" s="158">
        <f>AG72+Nov!AG67</f>
        <v>0</v>
      </c>
    </row>
  </sheetData>
  <mergeCells count="87">
    <mergeCell ref="F36:G36"/>
    <mergeCell ref="B28:E28"/>
    <mergeCell ref="F16:G16"/>
    <mergeCell ref="B17:T17"/>
    <mergeCell ref="B27:T27"/>
    <mergeCell ref="B18:E18"/>
    <mergeCell ref="B9:D9"/>
    <mergeCell ref="H9:J9"/>
    <mergeCell ref="H29:J29"/>
    <mergeCell ref="O29:R29"/>
    <mergeCell ref="R28:T28"/>
    <mergeCell ref="O9:R9"/>
    <mergeCell ref="B19:D19"/>
    <mergeCell ref="H19:J19"/>
    <mergeCell ref="O19:R19"/>
    <mergeCell ref="F26:G26"/>
    <mergeCell ref="B29:D29"/>
    <mergeCell ref="O28:Q28"/>
    <mergeCell ref="O18:Q18"/>
    <mergeCell ref="R18:T18"/>
    <mergeCell ref="B3:B6"/>
    <mergeCell ref="C3:C6"/>
    <mergeCell ref="D3:D6"/>
    <mergeCell ref="K3:K6"/>
    <mergeCell ref="O8:Q8"/>
    <mergeCell ref="E3:E6"/>
    <mergeCell ref="N3:N6"/>
    <mergeCell ref="O3:O6"/>
    <mergeCell ref="P3:P6"/>
    <mergeCell ref="Q3:Q6"/>
    <mergeCell ref="R8:T8"/>
    <mergeCell ref="B7:T7"/>
    <mergeCell ref="B8:E8"/>
    <mergeCell ref="M69:R69"/>
    <mergeCell ref="F56:G56"/>
    <mergeCell ref="B57:T57"/>
    <mergeCell ref="H59:J59"/>
    <mergeCell ref="O59:R59"/>
    <mergeCell ref="O58:Q58"/>
    <mergeCell ref="F66:G66"/>
    <mergeCell ref="B58:E58"/>
    <mergeCell ref="B59:D59"/>
    <mergeCell ref="R58:T58"/>
    <mergeCell ref="B67:T67"/>
    <mergeCell ref="H49:J49"/>
    <mergeCell ref="O49:R49"/>
    <mergeCell ref="O48:Q48"/>
    <mergeCell ref="R48:T48"/>
    <mergeCell ref="B49:D49"/>
    <mergeCell ref="B37:T37"/>
    <mergeCell ref="B38:E38"/>
    <mergeCell ref="F46:G46"/>
    <mergeCell ref="B47:T47"/>
    <mergeCell ref="B48:E48"/>
    <mergeCell ref="O38:Q38"/>
    <mergeCell ref="R38:T38"/>
    <mergeCell ref="B39:D39"/>
    <mergeCell ref="H39:J39"/>
    <mergeCell ref="O39:R39"/>
    <mergeCell ref="AD1:AG2"/>
    <mergeCell ref="AE3:AE6"/>
    <mergeCell ref="AF3:AF6"/>
    <mergeCell ref="AD3:AD6"/>
    <mergeCell ref="AG3:AG6"/>
    <mergeCell ref="Y3:Y6"/>
    <mergeCell ref="Z3:Z6"/>
    <mergeCell ref="T3:T6"/>
    <mergeCell ref="L3:L6"/>
    <mergeCell ref="M3:M6"/>
    <mergeCell ref="R3:R6"/>
    <mergeCell ref="W3:W6"/>
    <mergeCell ref="A1:A6"/>
    <mergeCell ref="AA3:AA6"/>
    <mergeCell ref="AC3:AC6"/>
    <mergeCell ref="F3:F6"/>
    <mergeCell ref="H3:H6"/>
    <mergeCell ref="I3:I6"/>
    <mergeCell ref="J3:J6"/>
    <mergeCell ref="B1:F2"/>
    <mergeCell ref="V1:AC2"/>
    <mergeCell ref="V3:V6"/>
    <mergeCell ref="U1:U6"/>
    <mergeCell ref="G1:H1"/>
    <mergeCell ref="I1:L1"/>
    <mergeCell ref="G2:H2"/>
    <mergeCell ref="I2:L2"/>
    <mergeCell ref="X3:X6"/>
  </mergeCells>
  <phoneticPr fontId="6" type="noConversion"/>
  <dataValidations count="1">
    <dataValidation type="list" allowBlank="1" showInputMessage="1" showErrorMessage="1" sqref="G61:G65 G41:G45 G21:G25 G11:G15 G31:G35 G51:G55" xr:uid="{00000000-0002-0000-0600-000000000000}">
      <formula1>$G$3:$G$6</formula1>
    </dataValidation>
  </dataValidations>
  <hyperlinks>
    <hyperlink ref="B1" r:id="rId1" xr:uid="{00000000-0004-0000-06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Jul!H3:H6</f>
        <v>Statutory Pay</v>
      </c>
      <c r="I3" s="365" t="str">
        <f>Jul!I3:I6</f>
        <v>Basic hours</v>
      </c>
      <c r="J3" s="365" t="str">
        <f>Jul!J3:J6</f>
        <v>Hourly rate</v>
      </c>
      <c r="K3" s="365" t="str">
        <f>Jul!K3:K6</f>
        <v>Basic    wages</v>
      </c>
      <c r="L3" s="365" t="str">
        <f>Jul!L3:L6</f>
        <v>Overtime Bonus Gratuities</v>
      </c>
      <c r="M3" s="428" t="str">
        <f>Jul!M3:M6</f>
        <v>GROSS WAGES</v>
      </c>
      <c r="N3" s="365" t="str">
        <f>Jul!N3:N6</f>
        <v>Income Tax</v>
      </c>
      <c r="O3" s="365" t="str">
        <f>Jul!O3:O6</f>
        <v>Employees National Insurance</v>
      </c>
      <c r="P3" s="365" t="str">
        <f>Jul!P3:P6</f>
        <v>Student Loans</v>
      </c>
      <c r="Q3" s="365" t="str">
        <f>Jul!Q3:Q6</f>
        <v>Other Deductions</v>
      </c>
      <c r="R3" s="428" t="str">
        <f>Jul!R3:R6</f>
        <v>NET      PAY</v>
      </c>
      <c r="S3" s="42"/>
      <c r="T3" s="365" t="str">
        <f>Jul!T3:T6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0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437"/>
      <c r="D8" s="437"/>
      <c r="E8" s="438"/>
      <c r="F8" s="32"/>
      <c r="G8" s="32"/>
      <c r="H8" s="32"/>
      <c r="I8" s="32"/>
      <c r="J8" s="32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439"/>
      <c r="D9" s="440"/>
      <c r="E9" s="156">
        <v>27</v>
      </c>
      <c r="F9" s="35"/>
      <c r="G9" s="35"/>
      <c r="H9" s="360" t="s">
        <v>28</v>
      </c>
      <c r="I9" s="439"/>
      <c r="J9" s="440"/>
      <c r="K9" s="204">
        <f>Admin!B182</f>
        <v>44837</v>
      </c>
      <c r="L9" s="203" t="s">
        <v>76</v>
      </c>
      <c r="M9" s="205">
        <f>Admin!B188</f>
        <v>44843</v>
      </c>
      <c r="N9" s="20"/>
      <c r="O9" s="401" t="s">
        <v>63</v>
      </c>
      <c r="P9" s="441"/>
      <c r="Q9" s="441"/>
      <c r="R9" s="442"/>
      <c r="S9" s="35"/>
      <c r="T9" s="164"/>
      <c r="U9" s="37"/>
      <c r="AH9" s="35"/>
    </row>
    <row r="10" spans="1:34" ht="18" customHeight="1" thickTop="1" x14ac:dyDescent="0.15">
      <c r="A10" s="34"/>
      <c r="B10" s="72"/>
      <c r="C10" s="24"/>
      <c r="D10" s="24"/>
      <c r="E10" s="36"/>
      <c r="F10" s="35"/>
      <c r="G10" s="35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20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IF(T$9="Y",Dec!H51,0)</f>
        <v>0</v>
      </c>
      <c r="I11" s="89">
        <f>IF(T$9="Y",Dec!I51,0)</f>
        <v>0</v>
      </c>
      <c r="J11" s="89">
        <f>IF(T$9="Y",Dec!J51,0)</f>
        <v>0</v>
      </c>
      <c r="K11" s="89">
        <f>IF(T$9="Y",Dec!K51,I11*J11)</f>
        <v>0</v>
      </c>
      <c r="L11" s="110">
        <f>IF(T$9="Y",Dec!L51,0)</f>
        <v>0</v>
      </c>
      <c r="M11" s="99" t="str">
        <f>IF(E11=" "," ",IF(T$9="Y",Dec!M51,IF((H11+K11+L11)&gt;0,H11+K11+L11,"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IF(Employee!H$34=E$9,Employee!D$34+SUM(M11)+Dec!V51,SUM(M11)+Dec!V51)</f>
        <v>0</v>
      </c>
      <c r="W11" s="49">
        <f>IF(Employee!H$34=E$9,Employee!D$35+SUM(N11)+Dec!W51,SUM(N11)+Dec!W51)</f>
        <v>0</v>
      </c>
      <c r="X11" s="49">
        <f>IF(O11=" ",Dec!X51,O11+Dec!X51)</f>
        <v>0</v>
      </c>
      <c r="Y11" s="49">
        <f>IF(P11=" ",Dec!Y51,P11+Dec!Y51)</f>
        <v>0</v>
      </c>
      <c r="Z11" s="49">
        <f>IF(Q11=" ",Dec!Z51,Q11+Dec!Z51)</f>
        <v>0</v>
      </c>
      <c r="AA11" s="49">
        <f>IF(R11=" ",Dec!AA51,R11+Dec!AA51)</f>
        <v>0</v>
      </c>
      <c r="AC11" s="49">
        <f>IF(T11=" ",Dec!AC51,T11+Dec!AC51)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2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IF(T$9="Y",Dec!H52,0)</f>
        <v>0</v>
      </c>
      <c r="I12" s="92">
        <f>IF(T$9="Y",Dec!I52,0)</f>
        <v>0</v>
      </c>
      <c r="J12" s="92">
        <f>IF(T$9="Y",Dec!J52,0)</f>
        <v>0</v>
      </c>
      <c r="K12" s="92">
        <f>IF(T$9="Y",Dec!K52,I12*J12)</f>
        <v>0</v>
      </c>
      <c r="L12" s="111">
        <f>IF(T$9="Y",Dec!L52,0)</f>
        <v>0</v>
      </c>
      <c r="M12" s="100" t="str">
        <f>IF(E12=" "," ",IF(T$9="Y",Dec!M52,IF((H12+K12+L12)&gt;0,H12+K12+L12,"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IF(Employee!H$60=E$9,Employee!D$60+SUM(M12)+Dec!V52,SUM(M12)+Dec!V52)</f>
        <v>0</v>
      </c>
      <c r="W12" s="49">
        <f>IF(Employee!H$60=E$9,Employee!D$61+SUM(N12)+Dec!W52,SUM(N12)+Dec!W52)</f>
        <v>0</v>
      </c>
      <c r="X12" s="49">
        <f>IF(O12=" ",Dec!X52,O12+Dec!X52)</f>
        <v>0</v>
      </c>
      <c r="Y12" s="49">
        <f>IF(P12=" ",Dec!Y52,P12+Dec!Y52)</f>
        <v>0</v>
      </c>
      <c r="Z12" s="49">
        <f>IF(Q12=" ",Dec!Z52,Q12+Dec!Z52)</f>
        <v>0</v>
      </c>
      <c r="AA12" s="49">
        <f>IF(R12=" ",Dec!AA52,R12+Dec!AA52)</f>
        <v>0</v>
      </c>
      <c r="AC12" s="49">
        <f>IF(T12=" ",Dec!AC52,T12+Dec!AC52)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2" t="str">
        <f>IF(Employee!D$80="m"," ",IF(Employee!F$76&gt;E$9," ",IF(Employee!F$78&gt;E$9,"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IF(T$9="Y",Dec!H53,0)</f>
        <v>0</v>
      </c>
      <c r="I13" s="92">
        <f>IF(T$9="Y",Dec!I53,0)</f>
        <v>0</v>
      </c>
      <c r="J13" s="92">
        <f>IF(T$9="Y",Dec!J53,0)</f>
        <v>0</v>
      </c>
      <c r="K13" s="92">
        <f>IF(T$9="Y",Dec!K53,I13*J13)</f>
        <v>0</v>
      </c>
      <c r="L13" s="111">
        <f>IF(T$9="Y",Dec!L53,0)</f>
        <v>0</v>
      </c>
      <c r="M13" s="100" t="str">
        <f>IF(E13=" "," ",IF(T$9="Y",Dec!M53,IF((H13+K13+L13)&gt;0,H13+K13+L13,"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IF(Employee!H$86=E$9,Employee!D$86+SUM(M13)+Dec!V53,SUM(M13)+Dec!V53)</f>
        <v>0</v>
      </c>
      <c r="W13" s="49">
        <f>IF(Employee!H$86=E$9,Employee!D$87+SUM(N13)+Dec!W53,SUM(N13)+Dec!W53)</f>
        <v>0</v>
      </c>
      <c r="X13" s="49">
        <f>IF(O13=" ",Dec!X53,O13+Dec!X53)</f>
        <v>0</v>
      </c>
      <c r="Y13" s="49">
        <f>IF(P13=" ",Dec!Y53,P13+Dec!Y53)</f>
        <v>0</v>
      </c>
      <c r="Z13" s="49">
        <f>IF(Q13=" ",Dec!Z53,Q13+Dec!Z53)</f>
        <v>0</v>
      </c>
      <c r="AA13" s="49">
        <f>IF(R13=" ",Dec!AA53,R13+Dec!AA53)</f>
        <v>0</v>
      </c>
      <c r="AC13" s="49">
        <f>IF(T13=" ",Dec!AC53,T13+Dec!AC53)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2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IF(T$9="Y",Dec!H54,0)</f>
        <v>0</v>
      </c>
      <c r="I14" s="92">
        <f>IF(T$9="Y",Dec!I54,0)</f>
        <v>0</v>
      </c>
      <c r="J14" s="92">
        <f>IF(T$9="Y",Dec!J54,0)</f>
        <v>0</v>
      </c>
      <c r="K14" s="92">
        <f>IF(T$9="Y",Dec!K54,I14*J14)</f>
        <v>0</v>
      </c>
      <c r="L14" s="111">
        <f>IF(T$9="Y",Dec!L54,0)</f>
        <v>0</v>
      </c>
      <c r="M14" s="100" t="str">
        <f>IF(E14=" "," ",IF(T$9="Y",Dec!M54,IF((H14+K14+L14)&gt;0,H14+K14+L14,"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IF(Employee!H$112=E$9,Employee!D$112+SUM(M14)+Dec!V54,SUM(M14)+Dec!V54)</f>
        <v>0</v>
      </c>
      <c r="W14" s="49">
        <f>IF(Employee!H$112=E$9,Employee!D$113+SUM(N14)+Dec!W54,SUM(N14)+Dec!W54)</f>
        <v>0</v>
      </c>
      <c r="X14" s="49">
        <f>IF(O14=" ",Dec!X54,O14+Dec!X54)</f>
        <v>0</v>
      </c>
      <c r="Y14" s="49">
        <f>IF(P14=" ",Dec!Y54,P14+Dec!Y54)</f>
        <v>0</v>
      </c>
      <c r="Z14" s="49">
        <f>IF(Q14=" ",Dec!Z54,Q14+Dec!Z54)</f>
        <v>0</v>
      </c>
      <c r="AA14" s="49">
        <f>IF(R14=" ",Dec!AA54,R14+Dec!AA54)</f>
        <v>0</v>
      </c>
      <c r="AC14" s="49">
        <f>IF(T14=" ",Dec!AC54,T14+Dec!AC54)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2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IF(T$9="Y",Dec!H55,0)</f>
        <v>0</v>
      </c>
      <c r="I15" s="245">
        <f>IF(T$9="Y",Dec!I55,0)</f>
        <v>0</v>
      </c>
      <c r="J15" s="245">
        <f>IF(T$9="Y",Dec!J55,0)</f>
        <v>0</v>
      </c>
      <c r="K15" s="245">
        <f>IF(T$9="Y",Dec!K55,I15*J15)</f>
        <v>0</v>
      </c>
      <c r="L15" s="246">
        <f>IF(T$9="Y",Dec!L55,0)</f>
        <v>0</v>
      </c>
      <c r="M15" s="247" t="str">
        <f>IF(E15=" "," ",IF(T$9="Y",Dec!M55,IF((H15+K15+L15)&gt;0,H15+K15+L15,"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IF(Employee!H$138=E$9,Employee!D$138+SUM(M15)+Dec!V55,SUM(M15)+Dec!V55)</f>
        <v>0</v>
      </c>
      <c r="W15" s="49">
        <f>IF(Employee!H$138=E$9,Employee!D$139+SUM(N15)+Dec!W55,SUM(N15)+Dec!W55)</f>
        <v>0</v>
      </c>
      <c r="X15" s="49">
        <f>IF(O15=" ",Dec!X55,O15+Dec!X55)</f>
        <v>0</v>
      </c>
      <c r="Y15" s="49">
        <f>IF(P15=" ",Dec!Y55,P15+Dec!Y55)</f>
        <v>0</v>
      </c>
      <c r="Z15" s="49">
        <f>IF(Q15=" ",Dec!Z55,Q15+Dec!Z55)</f>
        <v>0</v>
      </c>
      <c r="AA15" s="49">
        <f>IF(R15=" ",Dec!AA55,R15+Dec!AA55)</f>
        <v>0</v>
      </c>
      <c r="AC15" s="49">
        <f>IF(T15=" ",Dec!AC55,T15+Dec!AC55)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443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2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86"/>
      <c r="H18" s="87"/>
      <c r="I18" s="87"/>
      <c r="J18" s="87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28</v>
      </c>
      <c r="F19" s="35"/>
      <c r="G19" s="35"/>
      <c r="H19" s="360" t="s">
        <v>28</v>
      </c>
      <c r="I19" s="361"/>
      <c r="J19" s="359"/>
      <c r="K19" s="204">
        <f>M9+1</f>
        <v>44844</v>
      </c>
      <c r="L19" s="203" t="s">
        <v>76</v>
      </c>
      <c r="M19" s="205">
        <f>K19+6</f>
        <v>44850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167"/>
      <c r="C20" s="168"/>
      <c r="D20" s="169"/>
      <c r="E20" s="168"/>
      <c r="F20" s="168"/>
      <c r="G20" s="168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117" t="str">
        <f>IF(E21=" "," ",IF(Employee!F$24&gt;E$19," ",IF(Employee!F$26&lt;E$19," ",Employee!D$15)))</f>
        <v xml:space="preserve"> </v>
      </c>
      <c r="G21" s="130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89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 t="shared" ref="X21:AA22" si="3">IF(O21=" ",X11,O21+X11)</f>
        <v>0</v>
      </c>
      <c r="Y21" s="49">
        <f t="shared" si="3"/>
        <v>0</v>
      </c>
      <c r="Z21" s="49">
        <f t="shared" si="3"/>
        <v>0</v>
      </c>
      <c r="AA21" s="49">
        <f t="shared" si="3"/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118" t="str">
        <f>IF(E22=" "," ",IF(Employee!F$50&gt;E$19," ",IF(Employee!F$52&lt;E$19," ",Employee!D$41)))</f>
        <v xml:space="preserve"> </v>
      </c>
      <c r="G22" s="130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2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 t="shared" si="3"/>
        <v>0</v>
      </c>
      <c r="Y22" s="49">
        <f t="shared" si="3"/>
        <v>0</v>
      </c>
      <c r="Z22" s="49">
        <f t="shared" si="3"/>
        <v>0</v>
      </c>
      <c r="AA22" s="49">
        <f t="shared" si="3"/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118" t="str">
        <f>IF(E23=" "," ",IF(Employee!F$76&gt;E$19," ",IF(Employee!F$78&lt;E$19," ",Employee!D$67)))</f>
        <v xml:space="preserve"> </v>
      </c>
      <c r="G23" s="130"/>
      <c r="H23" s="96">
        <f t="shared" ref="H23:H25" si="4">IF(T$19="Y",H13,0)</f>
        <v>0</v>
      </c>
      <c r="I23" s="92">
        <f t="shared" ref="I23:I25" si="5">IF(T$19="Y",I13,0)</f>
        <v>0</v>
      </c>
      <c r="J23" s="92">
        <f t="shared" ref="J23:J25" si="6">IF(T$19="Y",J13,0)</f>
        <v>0</v>
      </c>
      <c r="K23" s="92">
        <f t="shared" ref="K23:K25" si="7">IF(T$19="Y",K13,I23*J23)</f>
        <v>0</v>
      </c>
      <c r="L23" s="92">
        <f t="shared" ref="L23:L25" si="8">IF(T$19="Y",L13,0)</f>
        <v>0</v>
      </c>
      <c r="M23" s="100" t="str">
        <f t="shared" ref="M23:M25" si="9">IF(E23=" "," ",IF(T$19="Y",M13,IF((H23+K23+L23)&gt;0,H23+K23+L23," ")))</f>
        <v xml:space="preserve"> </v>
      </c>
      <c r="N23" s="92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 t="shared" ref="X23:X25" si="10">IF(O23=" ",X13,O23+X13)</f>
        <v>0</v>
      </c>
      <c r="Y23" s="49">
        <f t="shared" ref="Y23:Y25" si="11">IF(P23=" ",Y13,P23+Y13)</f>
        <v>0</v>
      </c>
      <c r="Z23" s="49">
        <f t="shared" ref="Z23:Z25" si="12">IF(Q23=" ",Z13,Q23+Z13)</f>
        <v>0</v>
      </c>
      <c r="AA23" s="49">
        <f t="shared" ref="AA23:AA25" si="13">IF(R23=" ",AA13,R23+AA13)</f>
        <v>0</v>
      </c>
      <c r="AC23" s="49">
        <f t="shared" ref="AC23:AC25" si="14"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118" t="str">
        <f>IF(E24=" "," ",IF(Employee!F$102&gt;E$19," ",IF(Employee!F$104&lt;E$19," ",Employee!D$93)))</f>
        <v xml:space="preserve"> </v>
      </c>
      <c r="G24" s="130"/>
      <c r="H24" s="96">
        <f t="shared" si="4"/>
        <v>0</v>
      </c>
      <c r="I24" s="92">
        <f t="shared" si="5"/>
        <v>0</v>
      </c>
      <c r="J24" s="92">
        <f t="shared" si="6"/>
        <v>0</v>
      </c>
      <c r="K24" s="92">
        <f t="shared" si="7"/>
        <v>0</v>
      </c>
      <c r="L24" s="92">
        <f t="shared" si="8"/>
        <v>0</v>
      </c>
      <c r="M24" s="100" t="str">
        <f t="shared" si="9"/>
        <v xml:space="preserve"> </v>
      </c>
      <c r="N24" s="92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 t="shared" si="10"/>
        <v>0</v>
      </c>
      <c r="Y24" s="49">
        <f t="shared" si="11"/>
        <v>0</v>
      </c>
      <c r="Z24" s="49">
        <f t="shared" si="12"/>
        <v>0</v>
      </c>
      <c r="AA24" s="49">
        <f t="shared" si="13"/>
        <v>0</v>
      </c>
      <c r="AC24" s="49">
        <f t="shared" si="14"/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118" t="str">
        <f>IF(E25=" "," ",IF(Employee!F$128&gt;E$19," ",IF(Employee!F$130&lt;E$19," ",Employee!D$119)))</f>
        <v xml:space="preserve"> </v>
      </c>
      <c r="G25" s="130"/>
      <c r="H25" s="244">
        <f t="shared" si="4"/>
        <v>0</v>
      </c>
      <c r="I25" s="245">
        <f t="shared" si="5"/>
        <v>0</v>
      </c>
      <c r="J25" s="245">
        <f t="shared" si="6"/>
        <v>0</v>
      </c>
      <c r="K25" s="245">
        <f t="shared" si="7"/>
        <v>0</v>
      </c>
      <c r="L25" s="245">
        <f t="shared" si="8"/>
        <v>0</v>
      </c>
      <c r="M25" s="247" t="str">
        <f t="shared" si="9"/>
        <v xml:space="preserve"> </v>
      </c>
      <c r="N25" s="245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 t="shared" si="10"/>
        <v>0</v>
      </c>
      <c r="Y25" s="49">
        <f t="shared" si="11"/>
        <v>0</v>
      </c>
      <c r="Z25" s="49">
        <f t="shared" si="12"/>
        <v>0</v>
      </c>
      <c r="AA25" s="49">
        <f t="shared" si="13"/>
        <v>0</v>
      </c>
      <c r="AC25" s="49">
        <f t="shared" si="14"/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61"/>
      <c r="H26" s="101"/>
      <c r="I26" s="102"/>
      <c r="J26" s="102"/>
      <c r="K26" s="134"/>
      <c r="L26" s="134"/>
      <c r="M26" s="133">
        <f t="shared" ref="M26:R26" si="15">SUM(M21:M25)</f>
        <v>0</v>
      </c>
      <c r="N26" s="127">
        <f t="shared" si="15"/>
        <v>0</v>
      </c>
      <c r="O26" s="127">
        <f t="shared" si="15"/>
        <v>0</v>
      </c>
      <c r="P26" s="127">
        <f t="shared" si="15"/>
        <v>0</v>
      </c>
      <c r="Q26" s="127">
        <f t="shared" si="15"/>
        <v>0</v>
      </c>
      <c r="R26" s="127">
        <f t="shared" si="15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29</v>
      </c>
      <c r="F29" s="35"/>
      <c r="G29" s="35"/>
      <c r="H29" s="360" t="s">
        <v>28</v>
      </c>
      <c r="I29" s="361"/>
      <c r="J29" s="359"/>
      <c r="K29" s="204">
        <f>M19+1</f>
        <v>44851</v>
      </c>
      <c r="L29" s="203" t="s">
        <v>76</v>
      </c>
      <c r="M29" s="205">
        <f>K29+6</f>
        <v>44857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4"/>
      <c r="C30" s="170"/>
      <c r="D30" s="119"/>
      <c r="E30" s="170"/>
      <c r="F30" s="171"/>
      <c r="G30" s="170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29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89">
        <f>IF(T$29="Y",L21,0)</f>
        <v>0</v>
      </c>
      <c r="M31" s="99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16">IF(P31=0,Y21,P31+Y21)</f>
        <v>0</v>
      </c>
      <c r="Z31" s="49">
        <f t="shared" si="16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29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92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16"/>
        <v>0</v>
      </c>
      <c r="Z32" s="49">
        <f t="shared" si="16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29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92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16"/>
        <v>0</v>
      </c>
      <c r="Z33" s="49">
        <f t="shared" si="16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29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92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16"/>
        <v>0</v>
      </c>
      <c r="Z34" s="49">
        <f t="shared" si="16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29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92">
        <f>IF(T$29="Y",L25,0)</f>
        <v>0</v>
      </c>
      <c r="M35" s="100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16"/>
        <v>0</v>
      </c>
      <c r="Z35" s="49">
        <f t="shared" si="16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7">SUM(M31:M35)</f>
        <v>0</v>
      </c>
      <c r="N36" s="127">
        <f t="shared" si="17"/>
        <v>0</v>
      </c>
      <c r="O36" s="127">
        <f t="shared" si="17"/>
        <v>0</v>
      </c>
      <c r="P36" s="127">
        <f t="shared" si="17"/>
        <v>0</v>
      </c>
      <c r="Q36" s="127">
        <f t="shared" si="17"/>
        <v>0</v>
      </c>
      <c r="R36" s="127">
        <f t="shared" si="17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43"/>
      <c r="I38" s="43"/>
      <c r="J38" s="43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30</v>
      </c>
      <c r="F39" s="35"/>
      <c r="G39" s="35"/>
      <c r="H39" s="360" t="s">
        <v>28</v>
      </c>
      <c r="I39" s="361"/>
      <c r="J39" s="359"/>
      <c r="K39" s="204">
        <f>M29+1</f>
        <v>44858</v>
      </c>
      <c r="L39" s="203" t="s">
        <v>76</v>
      </c>
      <c r="M39" s="205">
        <f>K39+6</f>
        <v>44864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14" t="str">
        <f>IF(Employee!D$28="m"," ",IF(Employee!F$24&gt;E$39," ",IF(Employee!F$26&lt;E$39," ",Employee!D$29)))</f>
        <v xml:space="preserve"> </v>
      </c>
      <c r="F41" s="98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110">
        <f>IF(T$39="Y",L31,0)</f>
        <v>0</v>
      </c>
      <c r="M41" s="110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8">IF(P41=0,Y31,P41+Y31)</f>
        <v>0</v>
      </c>
      <c r="Z41" s="49">
        <f t="shared" si="18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6" t="str">
        <f>IF(Employee!D$54="m"," ",IF(Employee!F$50&gt;E$39," ",IF(Employee!F$52&lt;E$39," ",Employee!D$55)))</f>
        <v xml:space="preserve"> </v>
      </c>
      <c r="F42" s="30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11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8"/>
        <v>0</v>
      </c>
      <c r="Z42" s="49">
        <f t="shared" si="18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6" t="str">
        <f>IF(Employee!D$80="m"," ",IF(Employee!F$76&gt;E$39," ",IF(Employee!F$78&lt;E$39," ",Employee!D$81)))</f>
        <v xml:space="preserve"> </v>
      </c>
      <c r="F43" s="30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11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8"/>
        <v>0</v>
      </c>
      <c r="Z43" s="49">
        <f t="shared" si="18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6" t="str">
        <f>IF(Employee!D$106="m"," ",IF(Employee!F$102&gt;E$39," ",IF(Employee!F$104&lt;E$39," ",Employee!D$107)))</f>
        <v xml:space="preserve"> </v>
      </c>
      <c r="F44" s="30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11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8"/>
        <v>0</v>
      </c>
      <c r="Z44" s="49">
        <f t="shared" si="18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6" t="str">
        <f>IF(Employee!D$132="m"," ",IF(Employee!F$128&gt;E$39," ",IF(Employee!F$130&lt;E$39," ",Employee!D$133)))</f>
        <v xml:space="preserve"> </v>
      </c>
      <c r="F45" s="30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11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8"/>
        <v>0</v>
      </c>
      <c r="Z45" s="49">
        <f t="shared" si="18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9">SUM(M41:M45)</f>
        <v>0</v>
      </c>
      <c r="N46" s="127">
        <f t="shared" si="19"/>
        <v>0</v>
      </c>
      <c r="O46" s="127">
        <f t="shared" si="19"/>
        <v>0</v>
      </c>
      <c r="P46" s="127">
        <f t="shared" si="19"/>
        <v>0</v>
      </c>
      <c r="Q46" s="127">
        <f t="shared" si="19"/>
        <v>0</v>
      </c>
      <c r="R46" s="127">
        <f t="shared" si="19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7</v>
      </c>
      <c r="F49" s="35"/>
      <c r="G49" s="35"/>
      <c r="H49" s="360" t="s">
        <v>28</v>
      </c>
      <c r="I49" s="361"/>
      <c r="J49" s="359"/>
      <c r="K49" s="204">
        <f>DATE(2022,1,1)</f>
        <v>44562</v>
      </c>
      <c r="L49" s="203" t="s">
        <v>76</v>
      </c>
      <c r="M49" s="205">
        <f>DATE(2022,1,31)</f>
        <v>44592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IF(T$49="Y",Dec!H61,0)</f>
        <v>0</v>
      </c>
      <c r="I51" s="89">
        <f>IF(T$49="Y",Dec!I61,0)</f>
        <v>0</v>
      </c>
      <c r="J51" s="89">
        <f>IF(T$49="Y",Dec!J61,0)</f>
        <v>0</v>
      </c>
      <c r="K51" s="89">
        <f>IF(T$49="Y",Dec!K61,I51*J51)</f>
        <v>0</v>
      </c>
      <c r="L51" s="110">
        <f>IF(T$49="Y",Dec!L61,0)</f>
        <v>0</v>
      </c>
      <c r="M51" s="99" t="str">
        <f>IF(E51=" "," ",IF(T$49="Y",Dec!M61,IF((H51+K51+L51)&gt;0,H51+K51+L51,"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IF(Employee!H$35=E$49,Employee!D$34+SUM(M51)+Dec!V61,SUM(M51)+Dec!V61)</f>
        <v>0</v>
      </c>
      <c r="W51" s="49">
        <f>IF(Employee!H$35=E$49,Employee!D$35+SUM(N51)+Dec!W61,SUM(N51)+Dec!W61)</f>
        <v>0</v>
      </c>
      <c r="X51" s="49">
        <f>IF(O51=" ",Dec!X61,O51+Dec!X61)</f>
        <v>0</v>
      </c>
      <c r="Y51" s="49">
        <f>IF(P51=" ",Dec!Y61,P51+Dec!Y61)</f>
        <v>0</v>
      </c>
      <c r="Z51" s="49">
        <f>IF(Q51=" ",Dec!Z61,Q51+Dec!Z61)</f>
        <v>0</v>
      </c>
      <c r="AA51" s="49">
        <f>IF(R51=" ",Dec!AA61,R51+Dec!AA61)</f>
        <v>0</v>
      </c>
      <c r="AC51" s="49">
        <f>IF(T51=" ",Dec!AC61,T51+Dec!AC61)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IF(T$49="Y",Dec!H62,0)</f>
        <v>0</v>
      </c>
      <c r="I52" s="92">
        <f>IF(T$49="Y",Dec!I62,0)</f>
        <v>0</v>
      </c>
      <c r="J52" s="92">
        <f>IF(T$49="Y",Dec!J62,0)</f>
        <v>0</v>
      </c>
      <c r="K52" s="92">
        <f>IF(T$49="Y",Dec!K62,I52*J52)</f>
        <v>0</v>
      </c>
      <c r="L52" s="111">
        <f>IF(T$49="Y",Dec!L62,0)</f>
        <v>0</v>
      </c>
      <c r="M52" s="100" t="str">
        <f>IF(E52=" "," ",IF(T$49="Y",Dec!M62,IF((H52+K52+L52)&gt;0,H52+K52+L52,"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IF(Employee!H$61=E$49,Employee!D$60+SUM(M52)+Dec!V62,SUM(M52)+Dec!V62)</f>
        <v>0</v>
      </c>
      <c r="W52" s="49">
        <f>IF(Employee!H$61=E$49,Employee!D$61+SUM(N52)+Dec!W62,SUM(N52)+Dec!W62)</f>
        <v>0</v>
      </c>
      <c r="X52" s="49">
        <f>IF(O52=" ",Dec!X62,O52+Dec!X62)</f>
        <v>0</v>
      </c>
      <c r="Y52" s="49">
        <f>IF(P52=" ",Dec!Y62,P52+Dec!Y62)</f>
        <v>0</v>
      </c>
      <c r="Z52" s="49">
        <f>IF(Q52=" ",Dec!Z62,Q52+Dec!Z62)</f>
        <v>0</v>
      </c>
      <c r="AA52" s="49">
        <f>IF(R52=" ",Dec!AA62,R52+Dec!AA62)</f>
        <v>0</v>
      </c>
      <c r="AC52" s="49">
        <f>IF(T52=" ",Dec!AC62,T52+Dec!AC62)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IF(T$49="Y",Dec!H63,0)</f>
        <v>0</v>
      </c>
      <c r="I53" s="92">
        <f>IF(T$49="Y",Dec!I63,0)</f>
        <v>0</v>
      </c>
      <c r="J53" s="92">
        <f>IF(T$49="Y",Dec!J63,0)</f>
        <v>0</v>
      </c>
      <c r="K53" s="92">
        <f>IF(T$49="Y",Dec!K63,I53*J53)</f>
        <v>0</v>
      </c>
      <c r="L53" s="111">
        <f>IF(T$49="Y",Dec!L63,0)</f>
        <v>0</v>
      </c>
      <c r="M53" s="100" t="str">
        <f>IF(E53=" "," ",IF(T$49="Y",Dec!M63,IF((H53+K53+L53)&gt;0,H53+K53+L53,"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IF(Employee!H$87=E$49,Employee!D$86+SUM(M53)+Dec!V63,SUM(M53)+Dec!V63)</f>
        <v>0</v>
      </c>
      <c r="W53" s="49">
        <f>IF(Employee!H$87=E$49,Employee!D$87+SUM(N53)+Dec!W63,SUM(N53)+Dec!W63)</f>
        <v>0</v>
      </c>
      <c r="X53" s="49">
        <f>IF(O53=" ",Dec!X63,O53+Dec!X63)</f>
        <v>0</v>
      </c>
      <c r="Y53" s="49">
        <f>IF(P53=" ",Dec!Y63,P53+Dec!Y63)</f>
        <v>0</v>
      </c>
      <c r="Z53" s="49">
        <f>IF(Q53=" ",Dec!Z63,Q53+Dec!Z63)</f>
        <v>0</v>
      </c>
      <c r="AA53" s="49">
        <f>IF(R53=" ",Dec!AA63,R53+Dec!AA63)</f>
        <v>0</v>
      </c>
      <c r="AC53" s="49">
        <f>IF(T53=" ",Dec!AC63,T53+Dec!AC63)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IF(T$49="Y",Dec!H64,0)</f>
        <v>0</v>
      </c>
      <c r="I54" s="92">
        <f>IF(T$49="Y",Dec!I64,0)</f>
        <v>0</v>
      </c>
      <c r="J54" s="92">
        <f>IF(T$49="Y",Dec!J64,0)</f>
        <v>0</v>
      </c>
      <c r="K54" s="92">
        <f>IF(T$49="Y",Dec!K64,I54*J54)</f>
        <v>0</v>
      </c>
      <c r="L54" s="111">
        <f>IF(T$49="Y",Dec!L64,0)</f>
        <v>0</v>
      </c>
      <c r="M54" s="100" t="str">
        <f>IF(E54=" "," ",IF(T$49="Y",Dec!M64,IF((H54+K54+L54)&gt;0,H54+K54+L54,"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IF(Employee!H$113=E$49,Employee!D$112+SUM(M54)+Dec!V64,SUM(M54)+Dec!V64)</f>
        <v>0</v>
      </c>
      <c r="W54" s="49">
        <f>IF(Employee!H$113=E$49,Employee!D$113+SUM(N54)+Dec!W64,SUM(N54)+Dec!W64)</f>
        <v>0</v>
      </c>
      <c r="X54" s="49">
        <f>IF(O54=" ",Dec!X64,O54+Dec!X64)</f>
        <v>0</v>
      </c>
      <c r="Y54" s="49">
        <f>IF(P54=" ",Dec!Y64,P54+Dec!Y64)</f>
        <v>0</v>
      </c>
      <c r="Z54" s="49">
        <f>IF(Q54=" ",Dec!Z64,Q54+Dec!Z64)</f>
        <v>0</v>
      </c>
      <c r="AA54" s="49">
        <f>IF(R54=" ",Dec!AA64,R54+Dec!AA64)</f>
        <v>0</v>
      </c>
      <c r="AC54" s="49">
        <f>IF(T54=" ",Dec!AC64,T54+Dec!AC64)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IF(T$49="Y",Dec!H65,0)</f>
        <v>0</v>
      </c>
      <c r="I55" s="245">
        <f>IF(T$49="Y",Dec!I65,0)</f>
        <v>0</v>
      </c>
      <c r="J55" s="245">
        <f>IF(T$49="Y",Dec!J65,0)</f>
        <v>0</v>
      </c>
      <c r="K55" s="245">
        <f>IF(T$49="Y",Dec!K65,I55*J55)</f>
        <v>0</v>
      </c>
      <c r="L55" s="246">
        <f>IF(T$49="Y",Dec!L65,0)</f>
        <v>0</v>
      </c>
      <c r="M55" s="100" t="str">
        <f>IF(E55=" "," ",IF(T$49="Y",Dec!M65,IF((H55+K55+L55)&gt;0,H55+K55+L55,"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IF(Employee!H$139=E$49,Employee!D$138+SUM(M55)+Dec!V65,SUM(M55)+Dec!V65)</f>
        <v>0</v>
      </c>
      <c r="W55" s="49">
        <f>IF(Employee!H$139=E$49,Employee!D$139+SUM(N55)+Dec!W65,SUM(N55)+Dec!W65)</f>
        <v>0</v>
      </c>
      <c r="X55" s="49">
        <f>IF(O55=" ",Dec!X65,O55+Dec!X65)</f>
        <v>0</v>
      </c>
      <c r="Y55" s="49">
        <f>IF(P55=" ",Dec!Y65,P55+Dec!Y65)</f>
        <v>0</v>
      </c>
      <c r="Z55" s="49">
        <f>IF(Q55=" ",Dec!Z65,Q55+Dec!Z65)</f>
        <v>0</v>
      </c>
      <c r="AA55" s="49">
        <f>IF(R55=" ",Dec!AA65,R55+Dec!AA65)</f>
        <v>0</v>
      </c>
      <c r="AC55" s="49">
        <f>IF(T55=" ",Dec!AC65,T55+Dec!AC65)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20">SUM(M51:M55)</f>
        <v>0</v>
      </c>
      <c r="N56" s="127">
        <f t="shared" si="20"/>
        <v>0</v>
      </c>
      <c r="O56" s="127">
        <f t="shared" si="20"/>
        <v>0</v>
      </c>
      <c r="P56" s="127">
        <f t="shared" si="20"/>
        <v>0</v>
      </c>
      <c r="Q56" s="127">
        <f t="shared" si="20"/>
        <v>0</v>
      </c>
      <c r="R56" s="127">
        <f t="shared" si="20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SUM(AD21:AD56)</f>
        <v>0</v>
      </c>
      <c r="AE58" s="157">
        <f>SUM(AE21:AE56)</f>
        <v>0</v>
      </c>
      <c r="AF58" s="157">
        <f>SUM(AF21:AF56)</f>
        <v>0</v>
      </c>
      <c r="AG58" s="157">
        <f>SUM(AG21:AG56)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21">SUM(M60:M64)</f>
        <v>0</v>
      </c>
      <c r="N65" s="184">
        <f t="shared" si="21"/>
        <v>0</v>
      </c>
      <c r="O65" s="184">
        <f t="shared" si="21"/>
        <v>0</v>
      </c>
      <c r="P65" s="184">
        <f t="shared" si="21"/>
        <v>0</v>
      </c>
      <c r="Q65" s="184">
        <f t="shared" si="21"/>
        <v>0</v>
      </c>
      <c r="R65" s="184">
        <f t="shared" si="21"/>
        <v>0</v>
      </c>
      <c r="S65" s="188"/>
      <c r="T65" s="184">
        <f>SUM(T60:T64)</f>
        <v>0</v>
      </c>
      <c r="AD65" s="158">
        <f>AD60+Dec!AD75</f>
        <v>0</v>
      </c>
      <c r="AE65" s="158">
        <f>AE60+Dec!AE75</f>
        <v>0</v>
      </c>
      <c r="AF65" s="158">
        <f>AF60+Dec!AF75</f>
        <v>0</v>
      </c>
      <c r="AG65" s="158">
        <f>AG60+Dec!AG75</f>
        <v>0</v>
      </c>
    </row>
    <row r="66" spans="6:33" ht="14" thickTop="1" x14ac:dyDescent="0.15"/>
    <row r="67" spans="6:33" x14ac:dyDescent="0.15">
      <c r="AD67" s="162"/>
      <c r="AE67" s="158">
        <f>AE62+Dec!AE77</f>
        <v>0</v>
      </c>
      <c r="AF67" s="158">
        <f>AF62+Dec!AF77</f>
        <v>0</v>
      </c>
      <c r="AG67" s="158">
        <f>AG62+Dec!AG77</f>
        <v>0</v>
      </c>
    </row>
  </sheetData>
  <mergeCells count="79">
    <mergeCell ref="M59:R59"/>
    <mergeCell ref="B1:F2"/>
    <mergeCell ref="V1:AC2"/>
    <mergeCell ref="R48:T48"/>
    <mergeCell ref="B17:T17"/>
    <mergeCell ref="B18:E18"/>
    <mergeCell ref="B19:D19"/>
    <mergeCell ref="O18:Q18"/>
    <mergeCell ref="R18:T18"/>
    <mergeCell ref="H19:J19"/>
    <mergeCell ref="O19:R19"/>
    <mergeCell ref="O38:Q38"/>
    <mergeCell ref="R38:T38"/>
    <mergeCell ref="B57:T57"/>
    <mergeCell ref="F56:G56"/>
    <mergeCell ref="B47:T47"/>
    <mergeCell ref="AD1:AG2"/>
    <mergeCell ref="AD3:AD6"/>
    <mergeCell ref="AE3:AE6"/>
    <mergeCell ref="AF3:AF6"/>
    <mergeCell ref="AG3:AG6"/>
    <mergeCell ref="B48:E48"/>
    <mergeCell ref="B49:D49"/>
    <mergeCell ref="H49:J49"/>
    <mergeCell ref="O49:R49"/>
    <mergeCell ref="O48:Q48"/>
    <mergeCell ref="AC3:AC6"/>
    <mergeCell ref="F46:G46"/>
    <mergeCell ref="F26:G26"/>
    <mergeCell ref="B27:T27"/>
    <mergeCell ref="B28:E28"/>
    <mergeCell ref="B29:D29"/>
    <mergeCell ref="H29:J29"/>
    <mergeCell ref="O29:R29"/>
    <mergeCell ref="O28:Q28"/>
    <mergeCell ref="R28:T28"/>
    <mergeCell ref="F36:G36"/>
    <mergeCell ref="B37:T37"/>
    <mergeCell ref="B38:E38"/>
    <mergeCell ref="B39:D39"/>
    <mergeCell ref="H39:J39"/>
    <mergeCell ref="O39:R3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  <mergeCell ref="F16:G16"/>
    <mergeCell ref="B7:T7"/>
    <mergeCell ref="B8:E8"/>
    <mergeCell ref="O8:Q8"/>
    <mergeCell ref="R8:T8"/>
    <mergeCell ref="B9:D9"/>
    <mergeCell ref="H9:J9"/>
    <mergeCell ref="O9:R9"/>
  </mergeCells>
  <phoneticPr fontId="6" type="noConversion"/>
  <dataValidations count="1">
    <dataValidation type="list" allowBlank="1" showInputMessage="1" showErrorMessage="1" sqref="G51:G55 G41:G45 G21:G25 G31:G35 G11:G15" xr:uid="{00000000-0002-0000-0700-000000000000}">
      <formula1>$G$3:$G$6</formula1>
    </dataValidation>
  </dataValidations>
  <hyperlinks>
    <hyperlink ref="B1" r:id="rId1" xr:uid="{00000000-0004-0000-07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33" max="16383" man="1"/>
    <brk id="45" max="16383" man="1"/>
    <brk id="52" max="16383" man="1"/>
  </rowBreaks>
  <colBreaks count="1" manualBreakCount="1">
    <brk id="11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AH6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Jul!H3:H6</f>
        <v>Statutory Pay</v>
      </c>
      <c r="I3" s="365" t="str">
        <f>Jul!I3:I6</f>
        <v>Basic hours</v>
      </c>
      <c r="J3" s="365" t="str">
        <f>Jul!J3:J6</f>
        <v>Hourly rate</v>
      </c>
      <c r="K3" s="365" t="str">
        <f>Jul!K3:K6</f>
        <v>Basic    wages</v>
      </c>
      <c r="L3" s="365" t="str">
        <f>Jul!L3:L6</f>
        <v>Overtime Bonus Gratuities</v>
      </c>
      <c r="M3" s="428" t="str">
        <f>Jul!M3:M6</f>
        <v>GROSS WAGES</v>
      </c>
      <c r="N3" s="365" t="str">
        <f>Jul!N3:N6</f>
        <v>Income Tax</v>
      </c>
      <c r="O3" s="365" t="str">
        <f>Jul!O3:O6</f>
        <v>Employees National Insurance</v>
      </c>
      <c r="P3" s="365" t="str">
        <f>Jul!P3:P6</f>
        <v>Student Loans</v>
      </c>
      <c r="Q3" s="365" t="str">
        <f>Jul!Q3:Q6</f>
        <v>Other Deductions</v>
      </c>
      <c r="R3" s="428" t="str">
        <f>Jul!R3:R6</f>
        <v>NET      PAY</v>
      </c>
      <c r="S3" s="42"/>
      <c r="T3" s="365" t="str">
        <f>Jul!T3:T6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31</v>
      </c>
      <c r="F9" s="35"/>
      <c r="G9" s="35"/>
      <c r="H9" s="360" t="s">
        <v>28</v>
      </c>
      <c r="I9" s="361"/>
      <c r="J9" s="359"/>
      <c r="K9" s="204">
        <f>Admin!B210</f>
        <v>44865</v>
      </c>
      <c r="L9" s="203" t="s">
        <v>76</v>
      </c>
      <c r="M9" s="205">
        <f>K9+6</f>
        <v>44871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IF(T$9="Y",Jan!H41,0)</f>
        <v>0</v>
      </c>
      <c r="I11" s="89">
        <f>IF(T$9="Y",Jan!I41,0)</f>
        <v>0</v>
      </c>
      <c r="J11" s="89">
        <f>IF(T$9="Y",Jan!J41,0)</f>
        <v>0</v>
      </c>
      <c r="K11" s="89">
        <f>IF(T$9="Y",Jan!K41,I11*J11)</f>
        <v>0</v>
      </c>
      <c r="L11" s="110">
        <f>IF(T$9="Y",Jan!L41,0)</f>
        <v>0</v>
      </c>
      <c r="M11" s="99" t="str">
        <f>IF(E11=" "," ",IF(T$9="Y",Jan!M41,IF((H11+K11+L11)&gt;0,H11+K11+L11,"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IF(Employee!H$34=E$9,Employee!D$34+SUM(M11)+Jan!V41,SUM(M11)+Jan!V41)</f>
        <v>0</v>
      </c>
      <c r="W11" s="49">
        <f>IF(Employee!H$34=E$9,Employee!D$35+SUM(N11)+Jan!W41,SUM(N11)+Jan!W41)</f>
        <v>0</v>
      </c>
      <c r="X11" s="49">
        <f>IF(O11=" ",Jan!X41,O11+Jan!X41)</f>
        <v>0</v>
      </c>
      <c r="Y11" s="49">
        <f>IF(P11=" ",Jan!Y41,P11+Jan!Y41)</f>
        <v>0</v>
      </c>
      <c r="Z11" s="49">
        <f>IF(Q11=" ",Jan!Z41,Q11+Jan!Z41)</f>
        <v>0</v>
      </c>
      <c r="AA11" s="49">
        <f>IF(R11=" ",Jan!AA41,R11+Jan!AA41)</f>
        <v>0</v>
      </c>
      <c r="AC11" s="49">
        <f>IF(T11=" ",Jan!AC41,T11+Jan!AC41)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IF(T$9="Y",Jan!H42,0)</f>
        <v>0</v>
      </c>
      <c r="I12" s="92">
        <f>IF(T$9="Y",Jan!I42,0)</f>
        <v>0</v>
      </c>
      <c r="J12" s="92">
        <f>IF(T$9="Y",Jan!J42,0)</f>
        <v>0</v>
      </c>
      <c r="K12" s="92">
        <f>IF(T$9="Y",Jan!K42,I12*J12)</f>
        <v>0</v>
      </c>
      <c r="L12" s="111">
        <f>IF(T$9="Y",Jan!L42,0)</f>
        <v>0</v>
      </c>
      <c r="M12" s="100" t="str">
        <f>IF(E12=" "," ",IF(T$9="Y",Jan!M42,IF((H12+K12+L12)&gt;0,H12+K12+L12,"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IF(Employee!H$60=E$9,Employee!D$60+SUM(M12)+Jan!V42,SUM(M12)+Jan!V42)</f>
        <v>0</v>
      </c>
      <c r="W12" s="49">
        <f>IF(Employee!H$60=E$9,Employee!D$61+SUM(N12)+Jan!W42,SUM(N12)+Jan!W42)</f>
        <v>0</v>
      </c>
      <c r="X12" s="49">
        <f>IF(O12=" ",Jan!X42,O12+Jan!X42)</f>
        <v>0</v>
      </c>
      <c r="Y12" s="49">
        <f>IF(P12=" ",Jan!Y42,P12+Jan!Y42)</f>
        <v>0</v>
      </c>
      <c r="Z12" s="49">
        <f>IF(Q12=" ",Jan!Z42,Q12+Jan!Z42)</f>
        <v>0</v>
      </c>
      <c r="AA12" s="49">
        <f>IF(R12=" ",Jan!AA42,R12+Jan!AA42)</f>
        <v>0</v>
      </c>
      <c r="AC12" s="49">
        <f>IF(T12=" ",Jan!AC42,T12+Jan!AC42)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IF(T$9="Y",Jan!H43,0)</f>
        <v>0</v>
      </c>
      <c r="I13" s="92">
        <f>IF(T$9="Y",Jan!I43,0)</f>
        <v>0</v>
      </c>
      <c r="J13" s="92">
        <f>IF(T$9="Y",Jan!J43,0)</f>
        <v>0</v>
      </c>
      <c r="K13" s="92">
        <f>IF(T$9="Y",Jan!K43,I13*J13)</f>
        <v>0</v>
      </c>
      <c r="L13" s="111">
        <f>IF(T$9="Y",Jan!L43,0)</f>
        <v>0</v>
      </c>
      <c r="M13" s="100" t="str">
        <f>IF(E13=" "," ",IF(T$9="Y",Jan!M43,IF((H13+K13+L13)&gt;0,H13+K13+L13,"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IF(Employee!H$86=E$9,Employee!D$86+SUM(M13)+Jan!V43,SUM(M13)+Jan!V43)</f>
        <v>0</v>
      </c>
      <c r="W13" s="49">
        <f>IF(Employee!H$86=E$9,Employee!D$87+SUM(N13)+Jan!W43,SUM(N13)+Jan!W43)</f>
        <v>0</v>
      </c>
      <c r="X13" s="49">
        <f>IF(O13=" ",Jan!X43,O13+Jan!X43)</f>
        <v>0</v>
      </c>
      <c r="Y13" s="49">
        <f>IF(P13=" ",Jan!Y43,P13+Jan!Y43)</f>
        <v>0</v>
      </c>
      <c r="Z13" s="49">
        <f>IF(Q13=" ",Jan!Z43,Q13+Jan!Z43)</f>
        <v>0</v>
      </c>
      <c r="AA13" s="49">
        <f>IF(R13=" ",Jan!AA43,R13+Jan!AA43)</f>
        <v>0</v>
      </c>
      <c r="AC13" s="49">
        <f>IF(T13=" ",Jan!AC43,T13+Jan!AC43)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IF(T$9="Y",Jan!H44,0)</f>
        <v>0</v>
      </c>
      <c r="I14" s="92">
        <f>IF(T$9="Y",Jan!I44,0)</f>
        <v>0</v>
      </c>
      <c r="J14" s="92">
        <f>IF(T$9="Y",Jan!J44,0)</f>
        <v>0</v>
      </c>
      <c r="K14" s="92">
        <f>IF(T$9="Y",Jan!K44,I14*J14)</f>
        <v>0</v>
      </c>
      <c r="L14" s="111">
        <f>IF(T$9="Y",Jan!L44,0)</f>
        <v>0</v>
      </c>
      <c r="M14" s="100" t="str">
        <f>IF(E14=" "," ",IF(T$9="Y",Jan!M44,IF((H14+K14+L14)&gt;0,H14+K14+L14,"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IF(Employee!H$112=E$9,Employee!D$112+SUM(M14)+Jan!V44,SUM(M14)+Jan!V44)</f>
        <v>0</v>
      </c>
      <c r="W14" s="49">
        <f>IF(Employee!H$112=E$9,Employee!D$113+SUM(N14)+Jan!W44,SUM(N14)+Jan!W44)</f>
        <v>0</v>
      </c>
      <c r="X14" s="49">
        <f>IF(O14=" ",Jan!X44,O14+Jan!X44)</f>
        <v>0</v>
      </c>
      <c r="Y14" s="49">
        <f>IF(P14=" ",Jan!Y44,P14+Jan!Y44)</f>
        <v>0</v>
      </c>
      <c r="Z14" s="49">
        <f>IF(Q14=" ",Jan!Z44,Q14+Jan!Z44)</f>
        <v>0</v>
      </c>
      <c r="AA14" s="49">
        <f>IF(R14=" ",Jan!AA44,R14+Jan!AA44)</f>
        <v>0</v>
      </c>
      <c r="AC14" s="49">
        <f>IF(T14=" ",Jan!AC44,T14+Jan!AC44)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IF(T$9="Y",Jan!H45,0)</f>
        <v>0</v>
      </c>
      <c r="I15" s="245">
        <f>IF(T$9="Y",Jan!I45,0)</f>
        <v>0</v>
      </c>
      <c r="J15" s="245">
        <f>IF(T$9="Y",Jan!J45,0)</f>
        <v>0</v>
      </c>
      <c r="K15" s="245">
        <f>IF(T$9="Y",Jan!K45,I15*J15)</f>
        <v>0</v>
      </c>
      <c r="L15" s="246">
        <f>IF(T$9="Y",Jan!L45,0)</f>
        <v>0</v>
      </c>
      <c r="M15" s="247" t="str">
        <f>IF(E15=" "," ",IF(T$9="Y",Jan!M45,IF((H15+K15+L15)&gt;0,H15+K15+L15,"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IF(Employee!H$138=E$9,Employee!D$138+SUM(M15)+Jan!V45,SUM(M15)+Jan!V45)</f>
        <v>0</v>
      </c>
      <c r="W15" s="49">
        <f>IF(Employee!H$138=E$9,Employee!D$139+SUM(N15)+Jan!W45,SUM(N15)+Jan!W45)</f>
        <v>0</v>
      </c>
      <c r="X15" s="49">
        <f>IF(O15=" ",Jan!X45,O15+Jan!X45)</f>
        <v>0</v>
      </c>
      <c r="Y15" s="49">
        <f>IF(P15=" ",Jan!Y45,P15+Jan!Y45)</f>
        <v>0</v>
      </c>
      <c r="Z15" s="49">
        <f>IF(Q15=" ",Jan!Z45,Q15+Jan!Z45)</f>
        <v>0</v>
      </c>
      <c r="AA15" s="49">
        <f>IF(R15=" ",Jan!AA45,R15+Jan!AA45)</f>
        <v>0</v>
      </c>
      <c r="AC15" s="49">
        <f>IF(T15=" ",Jan!AC45,T15+Jan!AC45)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32</v>
      </c>
      <c r="F19" s="35"/>
      <c r="G19" s="35"/>
      <c r="H19" s="360" t="s">
        <v>28</v>
      </c>
      <c r="I19" s="361"/>
      <c r="J19" s="359"/>
      <c r="K19" s="204">
        <f>M9+1</f>
        <v>44872</v>
      </c>
      <c r="L19" s="203" t="s">
        <v>76</v>
      </c>
      <c r="M19" s="205">
        <f>K19+6</f>
        <v>44878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33</v>
      </c>
      <c r="F29" s="35"/>
      <c r="G29" s="35"/>
      <c r="H29" s="360" t="s">
        <v>28</v>
      </c>
      <c r="I29" s="361"/>
      <c r="J29" s="359"/>
      <c r="K29" s="204">
        <f>M19+1</f>
        <v>44879</v>
      </c>
      <c r="L29" s="203" t="s">
        <v>76</v>
      </c>
      <c r="M29" s="205">
        <f>K29+6</f>
        <v>44885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34</v>
      </c>
      <c r="F39" s="35"/>
      <c r="G39" s="35"/>
      <c r="H39" s="360" t="s">
        <v>28</v>
      </c>
      <c r="I39" s="439"/>
      <c r="J39" s="440"/>
      <c r="K39" s="204">
        <f>M29+1</f>
        <v>44886</v>
      </c>
      <c r="L39" s="203" t="s">
        <v>76</v>
      </c>
      <c r="M39" s="205">
        <f>K39+6</f>
        <v>44892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8</v>
      </c>
      <c r="F49" s="35"/>
      <c r="G49" s="35"/>
      <c r="H49" s="360" t="s">
        <v>28</v>
      </c>
      <c r="I49" s="361"/>
      <c r="J49" s="359"/>
      <c r="K49" s="204">
        <f>DATE(2022,2,1)</f>
        <v>44593</v>
      </c>
      <c r="L49" s="203" t="s">
        <v>76</v>
      </c>
      <c r="M49" s="205">
        <f>DATE(2022,2,28)</f>
        <v>44620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IF(T$49="Y",Jan!H51,0)</f>
        <v>0</v>
      </c>
      <c r="I51" s="89">
        <f>IF(T$49="Y",Jan!I51,0)</f>
        <v>0</v>
      </c>
      <c r="J51" s="89">
        <f>IF(T$49="Y",Jan!J51,0)</f>
        <v>0</v>
      </c>
      <c r="K51" s="89">
        <f>IF(T$49="Y",Jan!K51,I51*J51)</f>
        <v>0</v>
      </c>
      <c r="L51" s="110">
        <f>IF(T$49="Y",Jan!L51,0)</f>
        <v>0</v>
      </c>
      <c r="M51" s="99" t="str">
        <f>IF(E51=" "," ",IF(T$49="Y",Jan!M51,IF((H51+K51+L51)&gt;0,H51+K51+L51,"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IF(Employee!H$35=E$49,Employee!D$34+SUM(M51)+Jan!V51,SUM(M51)+Jan!V51)</f>
        <v>0</v>
      </c>
      <c r="W51" s="49">
        <f>IF(Employee!H$35=E$49,Employee!D$35+SUM(N51)+Jan!W51,SUM(N51)+Jan!W51)</f>
        <v>0</v>
      </c>
      <c r="X51" s="49">
        <f>IF(O51=" ",Jan!X51,O51+Jan!X51)</f>
        <v>0</v>
      </c>
      <c r="Y51" s="49">
        <f>IF(P51=" ",Jan!Y51,P51+Jan!Y51)</f>
        <v>0</v>
      </c>
      <c r="Z51" s="49">
        <f>IF(Q51=" ",Jan!Z51,Q51+Jan!Z51)</f>
        <v>0</v>
      </c>
      <c r="AA51" s="49">
        <f>IF(R51=" ",Jan!AA51,R51+Jan!AA51)</f>
        <v>0</v>
      </c>
      <c r="AC51" s="49">
        <f>IF(T51=" ",Jan!AC51,T51+Jan!AC51)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IF(T$49="Y",Jan!H52,0)</f>
        <v>0</v>
      </c>
      <c r="I52" s="92">
        <f>IF(T$49="Y",Jan!I52,0)</f>
        <v>0</v>
      </c>
      <c r="J52" s="92">
        <f>IF(T$49="Y",Jan!J52,0)</f>
        <v>0</v>
      </c>
      <c r="K52" s="92">
        <f>IF(T$49="Y",Jan!K52,I52*J52)</f>
        <v>0</v>
      </c>
      <c r="L52" s="111">
        <f>IF(T$49="Y",Jan!L52,0)</f>
        <v>0</v>
      </c>
      <c r="M52" s="100" t="str">
        <f>IF(E52=" "," ",IF(T$49="Y",Jan!M52,IF((H52+K52+L52)&gt;0,H52+K52+L52,"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IF(Employee!H$61=E$49,Employee!D$60+SUM(M52)+Jan!V52,SUM(M52)+Jan!V52)</f>
        <v>0</v>
      </c>
      <c r="W52" s="49">
        <f>IF(Employee!H$61=E$49,Employee!D$61+SUM(N52)+Jan!W52,SUM(N52)+Jan!W52)</f>
        <v>0</v>
      </c>
      <c r="X52" s="49">
        <f>IF(O52=" ",Jan!X52,O52+Jan!X52)</f>
        <v>0</v>
      </c>
      <c r="Y52" s="49">
        <f>IF(P52=" ",Jan!Y52,P52+Jan!Y52)</f>
        <v>0</v>
      </c>
      <c r="Z52" s="49">
        <f>IF(Q52=" ",Jan!Z52,Q52+Jan!Z52)</f>
        <v>0</v>
      </c>
      <c r="AA52" s="49">
        <f>IF(R52=" ",Jan!AA52,R52+Jan!AA52)</f>
        <v>0</v>
      </c>
      <c r="AC52" s="49">
        <f>IF(T52=" ",Jan!AC52,T52+Jan!AC52)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IF(T$49="Y",Jan!H53,0)</f>
        <v>0</v>
      </c>
      <c r="I53" s="92">
        <f>IF(T$49="Y",Jan!I53,0)</f>
        <v>0</v>
      </c>
      <c r="J53" s="92">
        <f>IF(T$49="Y",Jan!J53,0)</f>
        <v>0</v>
      </c>
      <c r="K53" s="92">
        <f>IF(T$49="Y",Jan!K53,I53*J53)</f>
        <v>0</v>
      </c>
      <c r="L53" s="111">
        <f>IF(T$49="Y",Jan!L53,0)</f>
        <v>0</v>
      </c>
      <c r="M53" s="100" t="str">
        <f>IF(E53=" "," ",IF(T$49="Y",Jan!M53,IF((H53+K53+L53)&gt;0,H53+K53+L53,"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IF(Employee!H$87=E$49,Employee!D$86+SUM(M53)+Jan!V53,SUM(M53)+Jan!V53)</f>
        <v>0</v>
      </c>
      <c r="W53" s="49">
        <f>IF(Employee!H$87=E$49,Employee!D$87+SUM(N53)+Jan!W53,SUM(N53)+Jan!W53)</f>
        <v>0</v>
      </c>
      <c r="X53" s="49">
        <f>IF(O53=" ",Jan!X53,O53+Jan!X53)</f>
        <v>0</v>
      </c>
      <c r="Y53" s="49">
        <f>IF(P53=" ",Jan!Y53,P53+Jan!Y53)</f>
        <v>0</v>
      </c>
      <c r="Z53" s="49">
        <f>IF(Q53=" ",Jan!Z53,Q53+Jan!Z53)</f>
        <v>0</v>
      </c>
      <c r="AA53" s="49">
        <f>IF(R53=" ",Jan!AA53,R53+Jan!AA53)</f>
        <v>0</v>
      </c>
      <c r="AC53" s="49">
        <f>IF(T53=" ",Jan!AC53,T53+Jan!AC53)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IF(T$49="Y",Jan!H54,0)</f>
        <v>0</v>
      </c>
      <c r="I54" s="92">
        <f>IF(T$49="Y",Jan!I54,0)</f>
        <v>0</v>
      </c>
      <c r="J54" s="92">
        <f>IF(T$49="Y",Jan!J54,0)</f>
        <v>0</v>
      </c>
      <c r="K54" s="92">
        <f>IF(T$49="Y",Jan!K54,I54*J54)</f>
        <v>0</v>
      </c>
      <c r="L54" s="111">
        <f>IF(T$49="Y",Jan!L54,0)</f>
        <v>0</v>
      </c>
      <c r="M54" s="100" t="str">
        <f>IF(E54=" "," ",IF(T$49="Y",Jan!M54,IF((H54+K54+L54)&gt;0,H54+K54+L54,"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IF(Employee!H$113=E$49,Employee!D$112+SUM(M54)+Jan!V54,SUM(M54)+Jan!V54)</f>
        <v>0</v>
      </c>
      <c r="W54" s="49">
        <f>IF(Employee!H$113=E$49,Employee!D$113+SUM(N54)+Jan!W54,SUM(N54)+Jan!W54)</f>
        <v>0</v>
      </c>
      <c r="X54" s="49">
        <f>IF(O54=" ",Jan!X54,O54+Jan!X54)</f>
        <v>0</v>
      </c>
      <c r="Y54" s="49">
        <f>IF(P54=" ",Jan!Y54,P54+Jan!Y54)</f>
        <v>0</v>
      </c>
      <c r="Z54" s="49">
        <f>IF(Q54=" ",Jan!Z54,Q54+Jan!Z54)</f>
        <v>0</v>
      </c>
      <c r="AA54" s="49">
        <f>IF(R54=" ",Jan!AA54,R54+Jan!AA54)</f>
        <v>0</v>
      </c>
      <c r="AC54" s="49">
        <f>IF(T54=" ",Jan!AC54,T54+Jan!AC54)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IF(T$49="Y",Jan!H55,0)</f>
        <v>0</v>
      </c>
      <c r="I55" s="245">
        <f>IF(T$49="Y",Jan!I55,0)</f>
        <v>0</v>
      </c>
      <c r="J55" s="245">
        <f>IF(T$49="Y",Jan!J55,0)</f>
        <v>0</v>
      </c>
      <c r="K55" s="245">
        <f>IF(T$49="Y",Jan!K55,I55*J55)</f>
        <v>0</v>
      </c>
      <c r="L55" s="246">
        <f>IF(T$49="Y",Jan!L55,0)</f>
        <v>0</v>
      </c>
      <c r="M55" s="100" t="str">
        <f>IF(E55=" "," ",IF(T$49="Y",Jan!M55,IF((H55+K55+L55)&gt;0,H55+K55+L55,"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IF(Employee!H$139=E$49,Employee!D$138+SUM(M55)+Jan!V55,SUM(M55)+Jan!V55)</f>
        <v>0</v>
      </c>
      <c r="W55" s="49">
        <f>IF(Employee!H$139=E$49,Employee!D$139+SUM(N55)+Jan!W55,SUM(N55)+Jan!W55)</f>
        <v>0</v>
      </c>
      <c r="X55" s="49">
        <f>IF(O55=" ",Jan!X55,O55+Jan!X55)</f>
        <v>0</v>
      </c>
      <c r="Y55" s="49">
        <f>IF(P55=" ",Jan!Y55,P55+Jan!Y55)</f>
        <v>0</v>
      </c>
      <c r="Z55" s="49">
        <f>IF(Q55=" ",Jan!Z55,Q55+Jan!Z55)</f>
        <v>0</v>
      </c>
      <c r="AA55" s="49">
        <f>IF(R55=" ",Jan!AA55,R55+Jan!AA55)</f>
        <v>0</v>
      </c>
      <c r="AC55" s="49">
        <f>IF(T55=" ",Jan!AC55,T55+Jan!AC55)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AD60+Jan!AD65</f>
        <v>0</v>
      </c>
      <c r="AE65" s="158">
        <f>AE60+Jan!AE65</f>
        <v>0</v>
      </c>
      <c r="AF65" s="158">
        <f>AF60+Jan!AF65</f>
        <v>0</v>
      </c>
      <c r="AG65" s="158">
        <f>AG60+Jan!AG65</f>
        <v>0</v>
      </c>
    </row>
    <row r="66" spans="6:33" ht="14" thickTop="1" x14ac:dyDescent="0.15"/>
    <row r="67" spans="6:33" x14ac:dyDescent="0.15">
      <c r="AD67" s="162"/>
      <c r="AE67" s="158">
        <f>AE62+Jan!AE67</f>
        <v>0</v>
      </c>
      <c r="AF67" s="158">
        <f>AF62+Jan!AF67</f>
        <v>0</v>
      </c>
      <c r="AG67" s="158">
        <f>AG62+Jan!AG67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800-000000000000}">
      <formula1>$G$3:$G$6</formula1>
    </dataValidation>
  </dataValidations>
  <hyperlinks>
    <hyperlink ref="B1" r:id="rId1" xr:uid="{00000000-0004-0000-08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H7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Jul!H3:H6</f>
        <v>Statutory Pay</v>
      </c>
      <c r="I3" s="365" t="str">
        <f>Jul!I3:I6</f>
        <v>Basic hours</v>
      </c>
      <c r="J3" s="365" t="str">
        <f>Jul!J3:J6</f>
        <v>Hourly rate</v>
      </c>
      <c r="K3" s="365" t="str">
        <f>Jul!K3:K6</f>
        <v>Basic    wages</v>
      </c>
      <c r="L3" s="365" t="str">
        <f>Jul!L3:L6</f>
        <v>Overtime Bonus Gratuities</v>
      </c>
      <c r="M3" s="428" t="str">
        <f>Jul!M3:M6</f>
        <v>GROSS WAGES</v>
      </c>
      <c r="N3" s="365" t="str">
        <f>Jul!N3:N6</f>
        <v>Income Tax</v>
      </c>
      <c r="O3" s="365" t="str">
        <f>Jul!O3:O6</f>
        <v>Employees National Insurance</v>
      </c>
      <c r="P3" s="365" t="str">
        <f>Jul!P3:P6</f>
        <v>Student Loans</v>
      </c>
      <c r="Q3" s="365" t="str">
        <f>Jul!Q3:Q6</f>
        <v>Other Deductions</v>
      </c>
      <c r="R3" s="428" t="str">
        <f>Jul!R3:R6</f>
        <v>NET      PAY</v>
      </c>
      <c r="S3" s="42"/>
      <c r="T3" s="365" t="str">
        <f>Jul!T3:T6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35</v>
      </c>
      <c r="F9" s="35"/>
      <c r="G9" s="35"/>
      <c r="H9" s="360" t="s">
        <v>28</v>
      </c>
      <c r="I9" s="361"/>
      <c r="J9" s="359"/>
      <c r="K9" s="204">
        <f>Feb!M39+1</f>
        <v>44893</v>
      </c>
      <c r="L9" s="203" t="s">
        <v>76</v>
      </c>
      <c r="M9" s="205">
        <f>K9+6</f>
        <v>44899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IF(T$9="Y",Feb!H41,0)</f>
        <v>0</v>
      </c>
      <c r="I11" s="89">
        <f>IF(T$9="Y",Feb!I41,0)</f>
        <v>0</v>
      </c>
      <c r="J11" s="89">
        <f>IF(T$9="Y",Feb!J41,0)</f>
        <v>0</v>
      </c>
      <c r="K11" s="89">
        <f>IF(T$9="Y",Feb!K41,I11*J11)</f>
        <v>0</v>
      </c>
      <c r="L11" s="110">
        <f>IF(T$9="Y",Feb!L41,0)</f>
        <v>0</v>
      </c>
      <c r="M11" s="110" t="str">
        <f>IF(E11=" "," ",IF(T$9="Y",Feb!M41,IF((H11+K11+L11)&gt;0,H11+K11+L11,"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IF(Employee!H$34=E$9,Employee!D$34+SUM(M11)+Feb!V41,SUM(M11)+Feb!V41)</f>
        <v>0</v>
      </c>
      <c r="W11" s="49">
        <f>IF(Employee!H$34=E$9,Employee!D$35+SUM(N11)+Feb!W41,SUM(N11)+Feb!W41)</f>
        <v>0</v>
      </c>
      <c r="X11" s="49">
        <f>IF(O11=" ",Feb!X41,O11+Feb!X41)</f>
        <v>0</v>
      </c>
      <c r="Y11" s="49">
        <f>IF(P11=" ",Feb!Y41,P11+Feb!Y41)</f>
        <v>0</v>
      </c>
      <c r="Z11" s="49">
        <f>IF(Q11=" ",Feb!Z41,Q11+Feb!Z41)</f>
        <v>0</v>
      </c>
      <c r="AA11" s="49">
        <f>IF(R11=" ",Feb!AA41,R11+Feb!AA41)</f>
        <v>0</v>
      </c>
      <c r="AC11" s="49">
        <f>IF(T11=" ",Feb!AC41,T11+Feb!AC41)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IF(T$9="Y",Feb!H42,0)</f>
        <v>0</v>
      </c>
      <c r="I12" s="92">
        <f>IF(T$9="Y",Feb!I42,0)</f>
        <v>0</v>
      </c>
      <c r="J12" s="92">
        <f>IF(T$9="Y",Feb!J42,0)</f>
        <v>0</v>
      </c>
      <c r="K12" s="92">
        <f>IF(T$9="Y",Feb!K42,I12*J12)</f>
        <v>0</v>
      </c>
      <c r="L12" s="111">
        <f>IF(T$9="Y",Feb!L42,0)</f>
        <v>0</v>
      </c>
      <c r="M12" s="111" t="str">
        <f>IF(E12=" "," ",IF(T$9="Y",Feb!M42,IF((H12+K12+L12)&gt;0,H12+K12+L12,"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IF(Employee!H$60=E$9,Employee!D$60+SUM(M12)+Feb!V42,SUM(M12)+Feb!V42)</f>
        <v>0</v>
      </c>
      <c r="W12" s="49">
        <f>IF(Employee!H$60=E$9,Employee!D$61+SUM(N12)+Feb!W42,SUM(N12)+Feb!W42)</f>
        <v>0</v>
      </c>
      <c r="X12" s="49">
        <f>IF(O12=" ",Feb!X42,O12+Feb!X42)</f>
        <v>0</v>
      </c>
      <c r="Y12" s="49">
        <f>IF(P12=" ",Feb!Y42,P12+Feb!Y42)</f>
        <v>0</v>
      </c>
      <c r="Z12" s="49">
        <f>IF(Q12=" ",Feb!Z42,Q12+Feb!Z42)</f>
        <v>0</v>
      </c>
      <c r="AA12" s="49">
        <f>IF(R12=" ",Feb!AA42,R12+Feb!AA42)</f>
        <v>0</v>
      </c>
      <c r="AC12" s="49">
        <f>IF(T12=" ",Feb!AC42,T12+Feb!AC42)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IF(T$9="Y",Feb!H43,0)</f>
        <v>0</v>
      </c>
      <c r="I13" s="92">
        <f>IF(T$9="Y",Feb!I43,0)</f>
        <v>0</v>
      </c>
      <c r="J13" s="92">
        <f>IF(T$9="Y",Feb!J43,0)</f>
        <v>0</v>
      </c>
      <c r="K13" s="92">
        <f>IF(T$9="Y",Feb!K43,I13*J13)</f>
        <v>0</v>
      </c>
      <c r="L13" s="111">
        <f>IF(T$9="Y",Feb!L43,0)</f>
        <v>0</v>
      </c>
      <c r="M13" s="111" t="str">
        <f>IF(E13=" "," ",IF(T$9="Y",Feb!M43,IF((H13+K13+L13)&gt;0,H13+K13+L13,"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IF(Employee!H$86=E$9,Employee!D$86+SUM(M13)+Feb!V43,SUM(M13)+Feb!V43)</f>
        <v>0</v>
      </c>
      <c r="W13" s="49">
        <f>IF(Employee!H$86=E$9,Employee!D$87+SUM(N13)+Feb!W43,SUM(N13)+Feb!W43)</f>
        <v>0</v>
      </c>
      <c r="X13" s="49">
        <f>IF(O13=" ",Feb!X43,O13+Feb!X43)</f>
        <v>0</v>
      </c>
      <c r="Y13" s="49">
        <f>IF(P13=" ",Feb!Y43,P13+Feb!Y43)</f>
        <v>0</v>
      </c>
      <c r="Z13" s="49">
        <f>IF(Q13=" ",Feb!Z43,Q13+Feb!Z43)</f>
        <v>0</v>
      </c>
      <c r="AA13" s="49">
        <f>IF(R13=" ",Feb!AA43,R13+Feb!AA43)</f>
        <v>0</v>
      </c>
      <c r="AC13" s="49">
        <f>IF(T13=" ",Feb!AC43,T13+Feb!AC43)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IF(T$9="Y",Feb!H44,0)</f>
        <v>0</v>
      </c>
      <c r="I14" s="92">
        <f>IF(T$9="Y",Feb!I44,0)</f>
        <v>0</v>
      </c>
      <c r="J14" s="92">
        <f>IF(T$9="Y",Feb!J44,0)</f>
        <v>0</v>
      </c>
      <c r="K14" s="92">
        <f>IF(T$9="Y",Feb!K44,I14*J14)</f>
        <v>0</v>
      </c>
      <c r="L14" s="111">
        <f>IF(T$9="Y",Feb!L44,0)</f>
        <v>0</v>
      </c>
      <c r="M14" s="111" t="str">
        <f>IF(E14=" "," ",IF(T$9="Y",Feb!M44,IF((H14+K14+L14)&gt;0,H14+K14+L14,"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IF(Employee!H$112=E$9,Employee!D$112+SUM(M14)+Feb!V44,SUM(M14)+Feb!V44)</f>
        <v>0</v>
      </c>
      <c r="W14" s="49">
        <f>IF(Employee!H$112=E$9,Employee!D$113+SUM(N14)+Feb!W44,SUM(N14)+Feb!W44)</f>
        <v>0</v>
      </c>
      <c r="X14" s="49">
        <f>IF(O14=" ",Feb!X44,O14+Feb!X44)</f>
        <v>0</v>
      </c>
      <c r="Y14" s="49">
        <f>IF(P14=" ",Feb!Y44,P14+Feb!Y44)</f>
        <v>0</v>
      </c>
      <c r="Z14" s="49">
        <f>IF(Q14=" ",Feb!Z44,Q14+Feb!Z44)</f>
        <v>0</v>
      </c>
      <c r="AA14" s="49">
        <f>IF(R14=" ",Feb!AA44,R14+Feb!AA44)</f>
        <v>0</v>
      </c>
      <c r="AC14" s="49">
        <f>IF(T14=" ",Feb!AC44,T14+Feb!AC44)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IF(T$9="Y",Feb!H45,0)</f>
        <v>0</v>
      </c>
      <c r="I15" s="245">
        <f>IF(T$9="Y",Feb!I45,0)</f>
        <v>0</v>
      </c>
      <c r="J15" s="245">
        <f>IF(T$9="Y",Feb!J45,0)</f>
        <v>0</v>
      </c>
      <c r="K15" s="245">
        <f>IF(T$9="Y",Feb!K45,I15*J15)</f>
        <v>0</v>
      </c>
      <c r="L15" s="246">
        <f>IF(T$9="Y",Feb!L45,0)</f>
        <v>0</v>
      </c>
      <c r="M15" s="111" t="str">
        <f>IF(E15=" "," ",IF(T$9="Y",Feb!M45,IF((H15+K15+L15)&gt;0,H15+K15+L15,"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IF(Employee!H$138=E$9,Employee!D$138+SUM(M15)+Feb!V45,SUM(M15)+Feb!V45)</f>
        <v>0</v>
      </c>
      <c r="W15" s="49">
        <f>IF(Employee!H$138=E$9,Employee!D$139+SUM(N15)+Feb!W45,SUM(N15)+Feb!W45)</f>
        <v>0</v>
      </c>
      <c r="X15" s="49">
        <f>IF(O15=" ",Feb!X45,O15+Feb!X45)</f>
        <v>0</v>
      </c>
      <c r="Y15" s="49">
        <f>IF(P15=" ",Feb!Y45,P15+Feb!Y45)</f>
        <v>0</v>
      </c>
      <c r="Z15" s="49">
        <f>IF(Q15=" ",Feb!Z45,Q15+Feb!Z45)</f>
        <v>0</v>
      </c>
      <c r="AA15" s="49">
        <f>IF(R15=" ",Feb!AA45,R15+Feb!AA45)</f>
        <v>0</v>
      </c>
      <c r="AC15" s="49">
        <f>IF(T15=" ",Feb!AC45,T15+Feb!AC45)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36</v>
      </c>
      <c r="F19" s="35"/>
      <c r="G19" s="35"/>
      <c r="H19" s="360" t="s">
        <v>28</v>
      </c>
      <c r="I19" s="361"/>
      <c r="J19" s="359"/>
      <c r="K19" s="204">
        <f>M9+1</f>
        <v>44900</v>
      </c>
      <c r="L19" s="203" t="s">
        <v>76</v>
      </c>
      <c r="M19" s="205">
        <f>K19+6</f>
        <v>44906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37</v>
      </c>
      <c r="F29" s="35"/>
      <c r="G29" s="35"/>
      <c r="H29" s="360" t="s">
        <v>28</v>
      </c>
      <c r="I29" s="361"/>
      <c r="J29" s="359"/>
      <c r="K29" s="204">
        <f>M19+1</f>
        <v>44907</v>
      </c>
      <c r="L29" s="203" t="s">
        <v>76</v>
      </c>
      <c r="M29" s="205">
        <f>K29+6</f>
        <v>44913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38</v>
      </c>
      <c r="F39" s="35"/>
      <c r="G39" s="35"/>
      <c r="H39" s="360" t="s">
        <v>28</v>
      </c>
      <c r="I39" s="439"/>
      <c r="J39" s="440"/>
      <c r="K39" s="204">
        <f>M29+1</f>
        <v>44914</v>
      </c>
      <c r="L39" s="203" t="s">
        <v>76</v>
      </c>
      <c r="M39" s="205">
        <f>K39+6</f>
        <v>44920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39</v>
      </c>
      <c r="F49" s="35"/>
      <c r="G49" s="35"/>
      <c r="H49" s="360" t="s">
        <v>28</v>
      </c>
      <c r="I49" s="439"/>
      <c r="J49" s="440"/>
      <c r="K49" s="204">
        <f>M39+1</f>
        <v>44921</v>
      </c>
      <c r="L49" s="203" t="s">
        <v>76</v>
      </c>
      <c r="M49" s="205">
        <f>K49+6</f>
        <v>44927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IF(T$49="Y",H45,0)</f>
        <v>0</v>
      </c>
      <c r="I55" s="245">
        <f>IF(T$49="Y",I45,0)</f>
        <v>0</v>
      </c>
      <c r="J55" s="245">
        <f>IF(T$49="Y",J45,0)</f>
        <v>0</v>
      </c>
      <c r="K55" s="245">
        <f>IF(T$49="Y",K45,I55*J55)</f>
        <v>0</v>
      </c>
      <c r="L55" s="246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9</v>
      </c>
      <c r="F59" s="35"/>
      <c r="G59" s="35"/>
      <c r="H59" s="360" t="s">
        <v>28</v>
      </c>
      <c r="I59" s="361"/>
      <c r="J59" s="359"/>
      <c r="K59" s="204">
        <f>DATE(2022,3,1)</f>
        <v>44621</v>
      </c>
      <c r="L59" s="203" t="s">
        <v>76</v>
      </c>
      <c r="M59" s="205">
        <f>DATE(2022,3,31)</f>
        <v>44651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IF(T$59="Y",Feb!H51,0)</f>
        <v>0</v>
      </c>
      <c r="I61" s="89">
        <f>IF(T$59="Y",Feb!I51,0)</f>
        <v>0</v>
      </c>
      <c r="J61" s="89">
        <f>IF(T$59="Y",Feb!J51,0)</f>
        <v>0</v>
      </c>
      <c r="K61" s="89">
        <f>IF(T$59="Y",Feb!K51,I61*J61)</f>
        <v>0</v>
      </c>
      <c r="L61" s="110">
        <f>IF(T$59="Y",Feb!L51,0)</f>
        <v>0</v>
      </c>
      <c r="M61" s="99" t="str">
        <f>IF(E61=" "," ",IF(T$59="Y",Feb!M51,IF((H61+K61+L61)&gt;0,H61+K61+L61,"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IF(Employee!H$35=E$59,Employee!D$34+SUM(M61)+Feb!V51,SUM(M61)+Feb!V51)</f>
        <v>0</v>
      </c>
      <c r="W61" s="49">
        <f>IF(Employee!H$35=E$59,Employee!D$35+SUM(N61)+Feb!W51,SUM(N61)+Feb!W51)</f>
        <v>0</v>
      </c>
      <c r="X61" s="49">
        <f>IF(O61=" ",Feb!X51,O61+Feb!X51)</f>
        <v>0</v>
      </c>
      <c r="Y61" s="49">
        <f>IF(P61=" ",Feb!Y51,P61+Feb!Y51)</f>
        <v>0</v>
      </c>
      <c r="Z61" s="49">
        <f>IF(Q61=" ",Feb!Z51,Q61+Feb!Z51)</f>
        <v>0</v>
      </c>
      <c r="AA61" s="49">
        <f>IF(R61=" ",Feb!AA51,R61+Feb!AA51)</f>
        <v>0</v>
      </c>
      <c r="AC61" s="49">
        <f>IF(T61=" ",Feb!AC51,T61+Feb!AC51)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IF(T$59="Y",Feb!H52,0)</f>
        <v>0</v>
      </c>
      <c r="I62" s="92">
        <f>IF(T$59="Y",Feb!I52,0)</f>
        <v>0</v>
      </c>
      <c r="J62" s="92">
        <f>IF(T$59="Y",Feb!J52,0)</f>
        <v>0</v>
      </c>
      <c r="K62" s="92">
        <f>IF(T$59="Y",Feb!K52,I62*J62)</f>
        <v>0</v>
      </c>
      <c r="L62" s="111">
        <f>IF(T$59="Y",Feb!L52,0)</f>
        <v>0</v>
      </c>
      <c r="M62" s="100" t="str">
        <f>IF(E62=" "," ",IF(T$59="Y",Feb!M52,IF((H62+K62+L62)&gt;0,H62+K62+L62,"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IF(Employee!H$61=E$59,Employee!D$60+SUM(M62)+Feb!V52,SUM(M62)+Feb!V52)</f>
        <v>0</v>
      </c>
      <c r="W62" s="49">
        <f>IF(Employee!H$61=E$59,Employee!D$61+SUM(N62)+Feb!W52,SUM(N62)+Feb!W52)</f>
        <v>0</v>
      </c>
      <c r="X62" s="49">
        <f>IF(O62=" ",Feb!X52,O62+Feb!X52)</f>
        <v>0</v>
      </c>
      <c r="Y62" s="49">
        <f>IF(P62=" ",Feb!Y52,P62+Feb!Y52)</f>
        <v>0</v>
      </c>
      <c r="Z62" s="49">
        <f>IF(Q62=" ",Feb!Z52,Q62+Feb!Z52)</f>
        <v>0</v>
      </c>
      <c r="AA62" s="49">
        <f>IF(R62=" ",Feb!AA52,R62+Feb!AA52)</f>
        <v>0</v>
      </c>
      <c r="AC62" s="49">
        <f>IF(T62=" ",Feb!AC52,T62+Feb!AC52)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IF(T$59="Y",Feb!H53,0)</f>
        <v>0</v>
      </c>
      <c r="I63" s="92">
        <f>IF(T$59="Y",Feb!I53,0)</f>
        <v>0</v>
      </c>
      <c r="J63" s="92">
        <f>IF(T$59="Y",Feb!J53,0)</f>
        <v>0</v>
      </c>
      <c r="K63" s="92">
        <f>IF(T$59="Y",Feb!K53,I63*J63)</f>
        <v>0</v>
      </c>
      <c r="L63" s="111">
        <f>IF(T$59="Y",Feb!L53,0)</f>
        <v>0</v>
      </c>
      <c r="M63" s="100" t="str">
        <f>IF(E63=" "," ",IF(T$59="Y",Feb!M53,IF((H63+K63+L63)&gt;0,H63+K63+L63,"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IF(Employee!H$87=E$59,Employee!D$86+SUM(M63)+Feb!V53,SUM(M63)+Feb!V53)</f>
        <v>0</v>
      </c>
      <c r="W63" s="49">
        <f>IF(Employee!H$87=E$59,Employee!D$87+SUM(N63)+Feb!W53,SUM(N63)+Feb!W53)</f>
        <v>0</v>
      </c>
      <c r="X63" s="49">
        <f>IF(O63=" ",Feb!X53,O63+Feb!X53)</f>
        <v>0</v>
      </c>
      <c r="Y63" s="49">
        <f>IF(P63=" ",Feb!Y53,P63+Feb!Y53)</f>
        <v>0</v>
      </c>
      <c r="Z63" s="49">
        <f>IF(Q63=" ",Feb!Z53,Q63+Feb!Z53)</f>
        <v>0</v>
      </c>
      <c r="AA63" s="49">
        <f>IF(R63=" ",Feb!AA53,R63+Feb!AA53)</f>
        <v>0</v>
      </c>
      <c r="AC63" s="49">
        <f>IF(T63=" ",Feb!AC53,T63+Feb!AC53)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IF(T$59="Y",Feb!H54,0)</f>
        <v>0</v>
      </c>
      <c r="I64" s="92">
        <f>IF(T$59="Y",Feb!I54,0)</f>
        <v>0</v>
      </c>
      <c r="J64" s="92">
        <f>IF(T$59="Y",Feb!J54,0)</f>
        <v>0</v>
      </c>
      <c r="K64" s="92">
        <f>IF(T$59="Y",Feb!K54,I64*J64)</f>
        <v>0</v>
      </c>
      <c r="L64" s="111">
        <f>IF(T$59="Y",Feb!L54,0)</f>
        <v>0</v>
      </c>
      <c r="M64" s="100" t="str">
        <f>IF(E64=" "," ",IF(T$59="Y",Feb!M54,IF((H64+K64+L64)&gt;0,H64+K64+L64,"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IF(Employee!H$113=E$59,Employee!D$112+SUM(M64)+Feb!V54,SUM(M64)+Feb!V54)</f>
        <v>0</v>
      </c>
      <c r="W64" s="49">
        <f>IF(Employee!H$113=E$59,Employee!D$113+SUM(N64)+Feb!W54,SUM(N64)+Feb!W54)</f>
        <v>0</v>
      </c>
      <c r="X64" s="49">
        <f>IF(O64=" ",Feb!X54,O64+Feb!X54)</f>
        <v>0</v>
      </c>
      <c r="Y64" s="49">
        <f>IF(P64=" ",Feb!Y54,P64+Feb!Y54)</f>
        <v>0</v>
      </c>
      <c r="Z64" s="49">
        <f>IF(Q64=" ",Feb!Z54,Q64+Feb!Z54)</f>
        <v>0</v>
      </c>
      <c r="AA64" s="49">
        <f>IF(R64=" ",Feb!AA54,R64+Feb!AA54)</f>
        <v>0</v>
      </c>
      <c r="AC64" s="49">
        <f>IF(T64=" ",Feb!AC54,T64+Feb!AC54)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IF(T$59="Y",Feb!H55,0)</f>
        <v>0</v>
      </c>
      <c r="I65" s="245">
        <f>IF(T$59="Y",Feb!I55,0)</f>
        <v>0</v>
      </c>
      <c r="J65" s="245">
        <f>IF(T$59="Y",Feb!J55,0)</f>
        <v>0</v>
      </c>
      <c r="K65" s="245">
        <f>IF(T$59="Y",Feb!K55,I65*J65)</f>
        <v>0</v>
      </c>
      <c r="L65" s="246">
        <f>IF(T$59="Y",Feb!L55,0)</f>
        <v>0</v>
      </c>
      <c r="M65" s="100" t="str">
        <f>IF(E65=" "," ",IF(T$59="Y",Feb!M55,IF((H65+K65+L65)&gt;0,H65+K65+L65,"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IF(Employee!H$139=E$59,Employee!D$138+SUM(M65)+Feb!V55,SUM(M65)+Feb!V55)</f>
        <v>0</v>
      </c>
      <c r="W65" s="49">
        <f>IF(Employee!H$139=E$59,Employee!D$139+SUM(N65)+Feb!W55,SUM(N65)+Feb!W55)</f>
        <v>0</v>
      </c>
      <c r="X65" s="49">
        <f>IF(O65=" ",Feb!X55,O65+Feb!X55)</f>
        <v>0</v>
      </c>
      <c r="Y65" s="49">
        <f>IF(P65=" ",Feb!Y55,P65+Feb!Y55)</f>
        <v>0</v>
      </c>
      <c r="Z65" s="49">
        <f>IF(Q65=" ",Feb!Z55,Q65+Feb!Z55)</f>
        <v>0</v>
      </c>
      <c r="AA65" s="49">
        <f>IF(R65=" ",Feb!AA55,R65+Feb!AA55)</f>
        <v>0</v>
      </c>
      <c r="AC65" s="49">
        <f>IF(T65=" ",Feb!AC55,T65+Feb!AC55)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1">SUM(M61:M65)</f>
        <v>0</v>
      </c>
      <c r="N66" s="127">
        <f t="shared" si="11"/>
        <v>0</v>
      </c>
      <c r="O66" s="127">
        <f t="shared" si="11"/>
        <v>0</v>
      </c>
      <c r="P66" s="127">
        <f t="shared" si="11"/>
        <v>0</v>
      </c>
      <c r="Q66" s="127">
        <f t="shared" si="11"/>
        <v>0</v>
      </c>
      <c r="R66" s="127">
        <f t="shared" si="11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2">SUM(M70:M74)</f>
        <v>0</v>
      </c>
      <c r="N75" s="184">
        <f t="shared" si="12"/>
        <v>0</v>
      </c>
      <c r="O75" s="184">
        <f t="shared" si="12"/>
        <v>0</v>
      </c>
      <c r="P75" s="184">
        <f t="shared" si="12"/>
        <v>0</v>
      </c>
      <c r="Q75" s="184">
        <f t="shared" si="12"/>
        <v>0</v>
      </c>
      <c r="R75" s="184">
        <f t="shared" si="12"/>
        <v>0</v>
      </c>
      <c r="S75" s="188"/>
      <c r="T75" s="184">
        <f>SUM(T70:T74)</f>
        <v>0</v>
      </c>
      <c r="AD75" s="158">
        <f>AD70+Feb!AD65</f>
        <v>0</v>
      </c>
      <c r="AE75" s="158">
        <f>AE70+Feb!AE65</f>
        <v>0</v>
      </c>
      <c r="AF75" s="158">
        <f>AF70+Feb!AF65</f>
        <v>0</v>
      </c>
      <c r="AG75" s="158">
        <f>AG70+Feb!AG65</f>
        <v>0</v>
      </c>
    </row>
    <row r="76" spans="1:34" ht="14" thickTop="1" x14ac:dyDescent="0.15"/>
    <row r="77" spans="1:34" x14ac:dyDescent="0.15">
      <c r="AD77" s="162"/>
      <c r="AE77" s="158">
        <f>AE72+Feb!AE67</f>
        <v>0</v>
      </c>
      <c r="AF77" s="158">
        <f>AF72+Feb!AF67</f>
        <v>0</v>
      </c>
      <c r="AG77" s="158">
        <f>AG72+Feb!AG67</f>
        <v>0</v>
      </c>
    </row>
  </sheetData>
  <mergeCells count="87">
    <mergeCell ref="F36:G36"/>
    <mergeCell ref="B28:E28"/>
    <mergeCell ref="F16:G16"/>
    <mergeCell ref="B17:T17"/>
    <mergeCell ref="B27:T27"/>
    <mergeCell ref="B18:E18"/>
    <mergeCell ref="B9:D9"/>
    <mergeCell ref="H9:J9"/>
    <mergeCell ref="H29:J29"/>
    <mergeCell ref="O29:R29"/>
    <mergeCell ref="R28:T28"/>
    <mergeCell ref="O9:R9"/>
    <mergeCell ref="B19:D19"/>
    <mergeCell ref="H19:J19"/>
    <mergeCell ref="O19:R19"/>
    <mergeCell ref="F26:G26"/>
    <mergeCell ref="B29:D29"/>
    <mergeCell ref="O28:Q28"/>
    <mergeCell ref="O18:Q18"/>
    <mergeCell ref="R18:T18"/>
    <mergeCell ref="B3:B6"/>
    <mergeCell ref="C3:C6"/>
    <mergeCell ref="D3:D6"/>
    <mergeCell ref="K3:K6"/>
    <mergeCell ref="O8:Q8"/>
    <mergeCell ref="E3:E6"/>
    <mergeCell ref="N3:N6"/>
    <mergeCell ref="O3:O6"/>
    <mergeCell ref="P3:P6"/>
    <mergeCell ref="Q3:Q6"/>
    <mergeCell ref="R8:T8"/>
    <mergeCell ref="B7:T7"/>
    <mergeCell ref="B8:E8"/>
    <mergeCell ref="M69:R69"/>
    <mergeCell ref="F56:G56"/>
    <mergeCell ref="B57:T57"/>
    <mergeCell ref="H59:J59"/>
    <mergeCell ref="O59:R59"/>
    <mergeCell ref="O58:Q58"/>
    <mergeCell ref="F66:G66"/>
    <mergeCell ref="B58:E58"/>
    <mergeCell ref="B59:D59"/>
    <mergeCell ref="R58:T58"/>
    <mergeCell ref="B67:T67"/>
    <mergeCell ref="H49:J49"/>
    <mergeCell ref="O49:R49"/>
    <mergeCell ref="O48:Q48"/>
    <mergeCell ref="R48:T48"/>
    <mergeCell ref="B49:D49"/>
    <mergeCell ref="B37:T37"/>
    <mergeCell ref="B38:E38"/>
    <mergeCell ref="F46:G46"/>
    <mergeCell ref="B47:T47"/>
    <mergeCell ref="B48:E48"/>
    <mergeCell ref="O38:Q38"/>
    <mergeCell ref="R38:T38"/>
    <mergeCell ref="B39:D39"/>
    <mergeCell ref="H39:J39"/>
    <mergeCell ref="O39:R39"/>
    <mergeCell ref="AD1:AG2"/>
    <mergeCell ref="AE3:AE6"/>
    <mergeCell ref="AF3:AF6"/>
    <mergeCell ref="AD3:AD6"/>
    <mergeCell ref="AG3:AG6"/>
    <mergeCell ref="Y3:Y6"/>
    <mergeCell ref="Z3:Z6"/>
    <mergeCell ref="T3:T6"/>
    <mergeCell ref="L3:L6"/>
    <mergeCell ref="M3:M6"/>
    <mergeCell ref="R3:R6"/>
    <mergeCell ref="W3:W6"/>
    <mergeCell ref="A1:A6"/>
    <mergeCell ref="AA3:AA6"/>
    <mergeCell ref="AC3:AC6"/>
    <mergeCell ref="F3:F6"/>
    <mergeCell ref="H3:H6"/>
    <mergeCell ref="I3:I6"/>
    <mergeCell ref="J3:J6"/>
    <mergeCell ref="B1:F2"/>
    <mergeCell ref="V1:AC2"/>
    <mergeCell ref="V3:V6"/>
    <mergeCell ref="U1:U6"/>
    <mergeCell ref="G1:H1"/>
    <mergeCell ref="I1:L1"/>
    <mergeCell ref="G2:H2"/>
    <mergeCell ref="I2:L2"/>
    <mergeCell ref="X3:X6"/>
  </mergeCells>
  <phoneticPr fontId="6" type="noConversion"/>
  <dataValidations count="1">
    <dataValidation type="list" allowBlank="1" showInputMessage="1" showErrorMessage="1" sqref="G61:G65 G41:G45 G21:G25 G11:G15 G31:G35 G51:G55" xr:uid="{00000000-0002-0000-0900-000000000000}">
      <formula1>$G$3:$G$6</formula1>
    </dataValidation>
  </dataValidations>
  <hyperlinks>
    <hyperlink ref="B1" r:id="rId1" xr:uid="{00000000-0004-0000-09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Jul!H3:H6</f>
        <v>Statutory Pay</v>
      </c>
      <c r="I3" s="365" t="str">
        <f>Jul!I3:I6</f>
        <v>Basic hours</v>
      </c>
      <c r="J3" s="365" t="str">
        <f>Jul!J3:J6</f>
        <v>Hourly rate</v>
      </c>
      <c r="K3" s="365" t="str">
        <f>Jul!K3:K6</f>
        <v>Basic    wages</v>
      </c>
      <c r="L3" s="365" t="str">
        <f>Jul!L3:L6</f>
        <v>Overtime Bonus Gratuities</v>
      </c>
      <c r="M3" s="428" t="str">
        <f>Jul!M3:M6</f>
        <v>GROSS WAGES</v>
      </c>
      <c r="N3" s="365" t="str">
        <f>Jul!N3:N6</f>
        <v>Income Tax</v>
      </c>
      <c r="O3" s="365" t="str">
        <f>Jul!O3:O6</f>
        <v>Employees National Insurance</v>
      </c>
      <c r="P3" s="365" t="str">
        <f>Jul!P3:P6</f>
        <v>Student Loans</v>
      </c>
      <c r="Q3" s="365" t="str">
        <f>Jul!Q3:Q6</f>
        <v>Other Deductions</v>
      </c>
      <c r="R3" s="428" t="str">
        <f>Jul!R3:R6</f>
        <v>NET      PAY</v>
      </c>
      <c r="S3" s="42"/>
      <c r="T3" s="365" t="str">
        <f>Jul!T3:T6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40</v>
      </c>
      <c r="F9" s="35"/>
      <c r="G9" s="35"/>
      <c r="H9" s="360" t="s">
        <v>28</v>
      </c>
      <c r="I9" s="361"/>
      <c r="J9" s="359"/>
      <c r="K9" s="204">
        <f>Mar!M49+1</f>
        <v>44928</v>
      </c>
      <c r="L9" s="203" t="s">
        <v>76</v>
      </c>
      <c r="M9" s="205">
        <f>K9+6</f>
        <v>44934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IF(T$9="Y",Mar!H51,0)</f>
        <v>0</v>
      </c>
      <c r="I11" s="89">
        <f>IF(T$9="Y",Mar!I51,0)</f>
        <v>0</v>
      </c>
      <c r="J11" s="89">
        <f>IF(T$9="Y",Mar!J51,0)</f>
        <v>0</v>
      </c>
      <c r="K11" s="89">
        <f>IF(T$9="Y",Mar!K51,I11*J11)</f>
        <v>0</v>
      </c>
      <c r="L11" s="110">
        <f>IF(T$9="Y",Mar!L51,0)</f>
        <v>0</v>
      </c>
      <c r="M11" s="110" t="str">
        <f>IF(E11=" "," ",IF(T$9="Y",Mar!M51,IF((H11+K11+L11)&gt;0,H11+K11+L11,"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IF(Employee!H$34=E$9,Employee!D$34+SUM(M11)+Mar!V51,SUM(M11)+Mar!V51)</f>
        <v>0</v>
      </c>
      <c r="W11" s="49">
        <f>IF(Employee!H$34=E$9,Employee!D$35+SUM(N11)+Mar!W51,SUM(N11)+Mar!W51)</f>
        <v>0</v>
      </c>
      <c r="X11" s="49">
        <f>IF(O11=" ",Mar!X51,O11+Mar!X51)</f>
        <v>0</v>
      </c>
      <c r="Y11" s="49">
        <f>IF(P11=" ",Mar!Y51,P11+Mar!Y51)</f>
        <v>0</v>
      </c>
      <c r="Z11" s="49">
        <f>IF(Q11=" ",Mar!Z51,Q11+Mar!Z51)</f>
        <v>0</v>
      </c>
      <c r="AA11" s="49">
        <f>IF(R11=" ",Mar!AA51,R11+Mar!AA51)</f>
        <v>0</v>
      </c>
      <c r="AC11" s="49">
        <f>IF(T11=" ",Mar!AC51,T11+Mar!AC51)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IF(T$9="Y",Mar!H52,0)</f>
        <v>0</v>
      </c>
      <c r="I12" s="92">
        <f>IF(T$9="Y",Mar!I52,0)</f>
        <v>0</v>
      </c>
      <c r="J12" s="92">
        <f>IF(T$9="Y",Mar!J52,0)</f>
        <v>0</v>
      </c>
      <c r="K12" s="92">
        <f>IF(T$9="Y",Mar!K52,I12*J12)</f>
        <v>0</v>
      </c>
      <c r="L12" s="111">
        <f>IF(T$9="Y",Mar!L52,0)</f>
        <v>0</v>
      </c>
      <c r="M12" s="111" t="str">
        <f>IF(E12=" "," ",IF(T$9="Y",Mar!M52,IF((H12+K12+L12)&gt;0,H12+K12+L12,"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IF(Employee!H$60=E$9,Employee!D$60+SUM(M12)+Mar!V52,SUM(M12)+Mar!V52)</f>
        <v>0</v>
      </c>
      <c r="W12" s="49">
        <f>IF(Employee!H$60=E$9,Employee!D$61+SUM(N12)+Mar!W52,SUM(N12)+Mar!W52)</f>
        <v>0</v>
      </c>
      <c r="X12" s="49">
        <f>IF(O12=" ",Mar!X52,O12+Mar!X52)</f>
        <v>0</v>
      </c>
      <c r="Y12" s="49">
        <f>IF(P12=" ",Mar!Y52,P12+Mar!Y52)</f>
        <v>0</v>
      </c>
      <c r="Z12" s="49">
        <f>IF(Q12=" ",Mar!Z52,Q12+Mar!Z52)</f>
        <v>0</v>
      </c>
      <c r="AA12" s="49">
        <f>IF(R12=" ",Mar!AA52,R12+Mar!AA52)</f>
        <v>0</v>
      </c>
      <c r="AC12" s="49">
        <f>IF(T12=" ",Mar!AC52,T12+Mar!AC52)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IF(T$9="Y",Mar!H53,0)</f>
        <v>0</v>
      </c>
      <c r="I13" s="92">
        <f>IF(T$9="Y",Mar!I53,0)</f>
        <v>0</v>
      </c>
      <c r="J13" s="92">
        <f>IF(T$9="Y",Mar!J53,0)</f>
        <v>0</v>
      </c>
      <c r="K13" s="92">
        <f>IF(T$9="Y",Mar!K53,I13*J13)</f>
        <v>0</v>
      </c>
      <c r="L13" s="111">
        <f>IF(T$9="Y",Mar!L53,0)</f>
        <v>0</v>
      </c>
      <c r="M13" s="111" t="str">
        <f>IF(E13=" "," ",IF(T$9="Y",Mar!M53,IF((H13+K13+L13)&gt;0,H13+K13+L13,"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IF(Employee!H$86=E$9,Employee!D$86+SUM(M13)+Mar!V53,SUM(M13)+Mar!V53)</f>
        <v>0</v>
      </c>
      <c r="W13" s="49">
        <f>IF(Employee!H$86=E$9,Employee!D$87+SUM(N13)+Mar!W53,SUM(N13)+Mar!W53)</f>
        <v>0</v>
      </c>
      <c r="X13" s="49">
        <f>IF(O13=" ",Mar!X53,O13+Mar!X53)</f>
        <v>0</v>
      </c>
      <c r="Y13" s="49">
        <f>IF(P13=" ",Mar!Y53,P13+Mar!Y53)</f>
        <v>0</v>
      </c>
      <c r="Z13" s="49">
        <f>IF(Q13=" ",Mar!Z53,Q13+Mar!Z53)</f>
        <v>0</v>
      </c>
      <c r="AA13" s="49">
        <f>IF(R13=" ",Mar!AA53,R13+Mar!AA53)</f>
        <v>0</v>
      </c>
      <c r="AC13" s="49">
        <f>IF(T13=" ",Mar!AC53,T13+Mar!AC53)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IF(T$9="Y",Mar!H54,0)</f>
        <v>0</v>
      </c>
      <c r="I14" s="92">
        <f>IF(T$9="Y",Mar!I54,0)</f>
        <v>0</v>
      </c>
      <c r="J14" s="92">
        <f>IF(T$9="Y",Mar!J54,0)</f>
        <v>0</v>
      </c>
      <c r="K14" s="92">
        <f>IF(T$9="Y",Mar!K54,I14*J14)</f>
        <v>0</v>
      </c>
      <c r="L14" s="111">
        <f>IF(T$9="Y",Mar!L54,0)</f>
        <v>0</v>
      </c>
      <c r="M14" s="111" t="str">
        <f>IF(E14=" "," ",IF(T$9="Y",Mar!M54,IF((H14+K14+L14)&gt;0,H14+K14+L14,"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IF(Employee!H$112=E$9,Employee!D$112+SUM(M14)+Mar!V54,SUM(M14)+Mar!V54)</f>
        <v>0</v>
      </c>
      <c r="W14" s="49">
        <f>IF(Employee!H$112=E$9,Employee!D$113+SUM(N14)+Mar!W54,SUM(N14)+Mar!W54)</f>
        <v>0</v>
      </c>
      <c r="X14" s="49">
        <f>IF(O14=" ",Mar!X54,O14+Mar!X54)</f>
        <v>0</v>
      </c>
      <c r="Y14" s="49">
        <f>IF(P14=" ",Mar!Y54,P14+Mar!Y54)</f>
        <v>0</v>
      </c>
      <c r="Z14" s="49">
        <f>IF(Q14=" ",Mar!Z54,Q14+Mar!Z54)</f>
        <v>0</v>
      </c>
      <c r="AA14" s="49">
        <f>IF(R14=" ",Mar!AA54,R14+Mar!AA54)</f>
        <v>0</v>
      </c>
      <c r="AC14" s="49">
        <f>IF(T14=" ",Mar!AC54,T14+Mar!AC54)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IF(T$9="Y",Mar!H55,0)</f>
        <v>0</v>
      </c>
      <c r="I15" s="245">
        <f>IF(T$9="Y",Mar!I55,0)</f>
        <v>0</v>
      </c>
      <c r="J15" s="245">
        <f>IF(T$9="Y",Mar!J55,0)</f>
        <v>0</v>
      </c>
      <c r="K15" s="245">
        <f>IF(T$9="Y",Mar!K55,I15*J15)</f>
        <v>0</v>
      </c>
      <c r="L15" s="246">
        <f>IF(T$9="Y",Mar!L55,0)</f>
        <v>0</v>
      </c>
      <c r="M15" s="111" t="str">
        <f>IF(E15=" "," ",IF(T$9="Y",Mar!M55,IF((H15+K15+L15)&gt;0,H15+K15+L15,"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IF(Employee!H$138=E$9,Employee!D$138+SUM(M15)+Mar!V55,SUM(M15)+Mar!V55)</f>
        <v>0</v>
      </c>
      <c r="W15" s="49">
        <f>IF(Employee!H$138=E$9,Employee!D$139+SUM(N15)+Mar!W55,SUM(N15)+Mar!W55)</f>
        <v>0</v>
      </c>
      <c r="X15" s="49">
        <f>IF(O15=" ",Mar!X55,O15+Mar!X55)</f>
        <v>0</v>
      </c>
      <c r="Y15" s="49">
        <f>IF(P15=" ",Mar!Y55,P15+Mar!Y55)</f>
        <v>0</v>
      </c>
      <c r="Z15" s="49">
        <f>IF(Q15=" ",Mar!Z55,Q15+Mar!Z55)</f>
        <v>0</v>
      </c>
      <c r="AA15" s="49">
        <f>IF(R15=" ",Mar!AA55,R15+Mar!AA55)</f>
        <v>0</v>
      </c>
      <c r="AC15" s="49">
        <f>IF(T15=" ",Mar!AC55,T15+Mar!AC55)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41</v>
      </c>
      <c r="F19" s="35"/>
      <c r="G19" s="35"/>
      <c r="H19" s="360" t="s">
        <v>28</v>
      </c>
      <c r="I19" s="361"/>
      <c r="J19" s="359"/>
      <c r="K19" s="204">
        <f>M9+1</f>
        <v>44935</v>
      </c>
      <c r="L19" s="203" t="s">
        <v>76</v>
      </c>
      <c r="M19" s="205">
        <f>K19+6</f>
        <v>44941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42</v>
      </c>
      <c r="F29" s="35"/>
      <c r="G29" s="35"/>
      <c r="H29" s="360" t="s">
        <v>28</v>
      </c>
      <c r="I29" s="361"/>
      <c r="J29" s="359"/>
      <c r="K29" s="204">
        <f>M19+1</f>
        <v>44942</v>
      </c>
      <c r="L29" s="203" t="s">
        <v>76</v>
      </c>
      <c r="M29" s="205">
        <f>K29+6</f>
        <v>44948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43</v>
      </c>
      <c r="F39" s="35"/>
      <c r="G39" s="35"/>
      <c r="H39" s="360" t="s">
        <v>28</v>
      </c>
      <c r="I39" s="439"/>
      <c r="J39" s="440"/>
      <c r="K39" s="204">
        <f>M29+1</f>
        <v>44949</v>
      </c>
      <c r="L39" s="203" t="s">
        <v>76</v>
      </c>
      <c r="M39" s="205">
        <f>K39+6</f>
        <v>44955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10</v>
      </c>
      <c r="F49" s="35"/>
      <c r="G49" s="35"/>
      <c r="H49" s="360" t="s">
        <v>28</v>
      </c>
      <c r="I49" s="361"/>
      <c r="J49" s="359"/>
      <c r="K49" s="204">
        <f>DATE(2022,4,1)</f>
        <v>44652</v>
      </c>
      <c r="L49" s="203" t="s">
        <v>76</v>
      </c>
      <c r="M49" s="205">
        <f>DATE(2022,4,30)</f>
        <v>44681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IF(T$49="Y",Mar!H61,0)</f>
        <v>0</v>
      </c>
      <c r="I51" s="89">
        <f>IF(T$49="Y",Mar!I61,0)</f>
        <v>0</v>
      </c>
      <c r="J51" s="89">
        <f>IF(T$49="Y",Mar!J61,0)</f>
        <v>0</v>
      </c>
      <c r="K51" s="89">
        <f>IF(T$49="Y",Mar!K61,I51*J51)</f>
        <v>0</v>
      </c>
      <c r="L51" s="110">
        <f>IF(T$49="Y",Mar!L61,0)</f>
        <v>0</v>
      </c>
      <c r="M51" s="99" t="str">
        <f>IF(E51=" "," ",IF(T$49="Y",Mar!M61,IF((H51+K51+L51)&gt;0,H51+K51+L51,"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IF(Employee!H$35=E$49,Employee!D$34+SUM(M51)+Mar!V61,SUM(M51)+Mar!V61)</f>
        <v>0</v>
      </c>
      <c r="W51" s="49">
        <f>IF(Employee!H$35=E$49,Employee!D$35+SUM(N51)+Mar!W61,SUM(N51)+Mar!W61)</f>
        <v>0</v>
      </c>
      <c r="X51" s="49">
        <f>IF(O51=" ",Mar!X61,O51+Mar!X61)</f>
        <v>0</v>
      </c>
      <c r="Y51" s="49">
        <f>IF(P51=" ",Mar!Y61,P51+Mar!Y61)</f>
        <v>0</v>
      </c>
      <c r="Z51" s="49">
        <f>IF(Q51=" ",Mar!Z61,Q51+Mar!Z61)</f>
        <v>0</v>
      </c>
      <c r="AA51" s="49">
        <f>IF(R51=" ",Mar!AA61,R51+Mar!AA61)</f>
        <v>0</v>
      </c>
      <c r="AC51" s="49">
        <f>IF(T51=" ",Mar!AC61,T51+Mar!AC61)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IF(T$49="Y",Mar!H62,0)</f>
        <v>0</v>
      </c>
      <c r="I52" s="92">
        <f>IF(T$49="Y",Mar!I62,0)</f>
        <v>0</v>
      </c>
      <c r="J52" s="92">
        <f>IF(T$49="Y",Mar!J62,0)</f>
        <v>0</v>
      </c>
      <c r="K52" s="92">
        <f>IF(T$49="Y",Mar!K62,I52*J52)</f>
        <v>0</v>
      </c>
      <c r="L52" s="111">
        <f>IF(T$49="Y",Mar!L62,0)</f>
        <v>0</v>
      </c>
      <c r="M52" s="100" t="str">
        <f>IF(E52=" "," ",IF(T$49="Y",Mar!M62,IF((H52+K52+L52)&gt;0,H52+K52+L52,"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IF(Employee!H$61=E$49,Employee!D$60+SUM(M52)+Mar!V62,SUM(M52)+Mar!V62)</f>
        <v>0</v>
      </c>
      <c r="W52" s="49">
        <f>IF(Employee!H$61=E$49,Employee!D$61+SUM(N52)+Mar!W62,SUM(N52)+Mar!W62)</f>
        <v>0</v>
      </c>
      <c r="X52" s="49">
        <f>IF(O52=" ",Mar!X62,O52+Mar!X62)</f>
        <v>0</v>
      </c>
      <c r="Y52" s="49">
        <f>IF(P52=" ",Mar!Y62,P52+Mar!Y62)</f>
        <v>0</v>
      </c>
      <c r="Z52" s="49">
        <f>IF(Q52=" ",Mar!Z62,Q52+Mar!Z62)</f>
        <v>0</v>
      </c>
      <c r="AA52" s="49">
        <f>IF(R52=" ",Mar!AA62,R52+Mar!AA62)</f>
        <v>0</v>
      </c>
      <c r="AC52" s="49">
        <f>IF(T52=" ",Mar!AC62,T52+Mar!AC62)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IF(T$49="Y",Mar!H63,0)</f>
        <v>0</v>
      </c>
      <c r="I53" s="92">
        <f>IF(T$49="Y",Mar!I63,0)</f>
        <v>0</v>
      </c>
      <c r="J53" s="92">
        <f>IF(T$49="Y",Mar!J63,0)</f>
        <v>0</v>
      </c>
      <c r="K53" s="92">
        <f>IF(T$49="Y",Mar!K63,I53*J53)</f>
        <v>0</v>
      </c>
      <c r="L53" s="111">
        <f>IF(T$49="Y",Mar!L63,0)</f>
        <v>0</v>
      </c>
      <c r="M53" s="100" t="str">
        <f>IF(E53=" "," ",IF(T$49="Y",Mar!M63,IF((H53+K53+L53)&gt;0,H53+K53+L53,"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IF(Employee!H$87=E$49,Employee!D$86+SUM(M53)+Mar!V63,SUM(M53)+Mar!V63)</f>
        <v>0</v>
      </c>
      <c r="W53" s="49">
        <f>IF(Employee!H$87=E$49,Employee!D$87+SUM(N53)+Mar!W63,SUM(N53)+Mar!W63)</f>
        <v>0</v>
      </c>
      <c r="X53" s="49">
        <f>IF(O53=" ",Mar!X63,O53+Mar!X63)</f>
        <v>0</v>
      </c>
      <c r="Y53" s="49">
        <f>IF(P53=" ",Mar!Y63,P53+Mar!Y63)</f>
        <v>0</v>
      </c>
      <c r="Z53" s="49">
        <f>IF(Q53=" ",Mar!Z63,Q53+Mar!Z63)</f>
        <v>0</v>
      </c>
      <c r="AA53" s="49">
        <f>IF(R53=" ",Mar!AA63,R53+Mar!AA63)</f>
        <v>0</v>
      </c>
      <c r="AC53" s="49">
        <f>IF(T53=" ",Mar!AC63,T53+Mar!AC63)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IF(T$49="Y",Mar!H64,0)</f>
        <v>0</v>
      </c>
      <c r="I54" s="92">
        <f>IF(T$49="Y",Mar!I64,0)</f>
        <v>0</v>
      </c>
      <c r="J54" s="92">
        <f>IF(T$49="Y",Mar!J64,0)</f>
        <v>0</v>
      </c>
      <c r="K54" s="92">
        <f>IF(T$49="Y",Mar!K64,I54*J54)</f>
        <v>0</v>
      </c>
      <c r="L54" s="111">
        <f>IF(T$49="Y",Mar!L64,0)</f>
        <v>0</v>
      </c>
      <c r="M54" s="100" t="str">
        <f>IF(E54=" "," ",IF(T$49="Y",Mar!M64,IF((H54+K54+L54)&gt;0,H54+K54+L54,"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IF(Employee!H$113=E$49,Employee!D$112+SUM(M54)+Mar!V64,SUM(M54)+Mar!V64)</f>
        <v>0</v>
      </c>
      <c r="W54" s="49">
        <f>IF(Employee!H$113=E$49,Employee!D$113+SUM(N54)+Mar!W64,SUM(N54)+Mar!W64)</f>
        <v>0</v>
      </c>
      <c r="X54" s="49">
        <f>IF(O54=" ",Mar!X64,O54+Mar!X64)</f>
        <v>0</v>
      </c>
      <c r="Y54" s="49">
        <f>IF(P54=" ",Mar!Y64,P54+Mar!Y64)</f>
        <v>0</v>
      </c>
      <c r="Z54" s="49">
        <f>IF(Q54=" ",Mar!Z64,Q54+Mar!Z64)</f>
        <v>0</v>
      </c>
      <c r="AA54" s="49">
        <f>IF(R54=" ",Mar!AA64,R54+Mar!AA64)</f>
        <v>0</v>
      </c>
      <c r="AC54" s="49">
        <f>IF(T54=" ",Mar!AC64,T54+Mar!AC64)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IF(T$49="Y",Mar!H65,0)</f>
        <v>0</v>
      </c>
      <c r="I55" s="245">
        <f>IF(T$49="Y",Mar!I65,0)</f>
        <v>0</v>
      </c>
      <c r="J55" s="245">
        <f>IF(T$49="Y",Mar!J65,0)</f>
        <v>0</v>
      </c>
      <c r="K55" s="245">
        <f>IF(T$49="Y",Mar!K65,I55*J55)</f>
        <v>0</v>
      </c>
      <c r="L55" s="246">
        <f>IF(T$49="Y",Mar!L65,0)</f>
        <v>0</v>
      </c>
      <c r="M55" s="100" t="str">
        <f>IF(E55=" "," ",IF(T$49="Y",Mar!M65,IF((H55+K55+L55)&gt;0,H55+K55+L55,"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IF(Employee!H$139=E$49,Employee!D$138+SUM(M55)+Mar!V65,SUM(M55)+Mar!V65)</f>
        <v>0</v>
      </c>
      <c r="W55" s="49">
        <f>IF(Employee!H$139=E$49,Employee!D$139+SUM(N55)+Mar!W65,SUM(N55)+Mar!W65)</f>
        <v>0</v>
      </c>
      <c r="X55" s="49">
        <f>IF(O55=" ",Mar!X65,O55+Mar!X65)</f>
        <v>0</v>
      </c>
      <c r="Y55" s="49">
        <f>IF(P55=" ",Mar!Y65,P55+Mar!Y65)</f>
        <v>0</v>
      </c>
      <c r="Z55" s="49">
        <f>IF(Q55=" ",Mar!Z65,Q55+Mar!Z65)</f>
        <v>0</v>
      </c>
      <c r="AA55" s="49">
        <f>IF(R55=" ",Mar!AA65,R55+Mar!AA65)</f>
        <v>0</v>
      </c>
      <c r="AC55" s="49">
        <f>IF(T55=" ",Mar!AC65,T55+Mar!AC65)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AD60+Mar!AD75</f>
        <v>0</v>
      </c>
      <c r="AE65" s="158">
        <f>AE60+Mar!AE75</f>
        <v>0</v>
      </c>
      <c r="AF65" s="158">
        <f>AF60+Mar!AF75</f>
        <v>0</v>
      </c>
      <c r="AG65" s="158">
        <f>AG60+Mar!AG75</f>
        <v>0</v>
      </c>
    </row>
    <row r="66" spans="6:33" ht="14" thickTop="1" x14ac:dyDescent="0.15"/>
    <row r="67" spans="6:33" x14ac:dyDescent="0.15">
      <c r="AD67" s="162"/>
      <c r="AE67" s="158">
        <f>AE62+Mar!AE77</f>
        <v>0</v>
      </c>
      <c r="AF67" s="158">
        <f>AF62+Mar!AF77</f>
        <v>0</v>
      </c>
      <c r="AG67" s="158">
        <f>AG62+Mar!AG77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A00-000000000000}">
      <formula1>$G$3:$G$6</formula1>
    </dataValidation>
  </dataValidations>
  <hyperlinks>
    <hyperlink ref="B1" r:id="rId1" xr:uid="{00000000-0004-0000-0A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46" t="s">
        <v>66</v>
      </c>
      <c r="C1" s="447"/>
      <c r="D1" s="447"/>
      <c r="E1" s="447"/>
      <c r="F1" s="448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49"/>
      <c r="C2" s="450"/>
      <c r="D2" s="450"/>
      <c r="E2" s="450"/>
      <c r="F2" s="451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Jul!H3:H6</f>
        <v>Statutory Pay</v>
      </c>
      <c r="I3" s="365" t="str">
        <f>Jul!I3:I6</f>
        <v>Basic hours</v>
      </c>
      <c r="J3" s="365" t="str">
        <f>Jul!J3:J6</f>
        <v>Hourly rate</v>
      </c>
      <c r="K3" s="365" t="str">
        <f>Jul!K3:K6</f>
        <v>Basic    wages</v>
      </c>
      <c r="L3" s="365" t="str">
        <f>Jul!L3:L6</f>
        <v>Overtime Bonus Gratuities</v>
      </c>
      <c r="M3" s="428" t="str">
        <f>Jul!M3:M6</f>
        <v>GROSS WAGES</v>
      </c>
      <c r="N3" s="365" t="str">
        <f>Jul!N3:N6</f>
        <v>Income Tax</v>
      </c>
      <c r="O3" s="365" t="str">
        <f>Jul!O3:O6</f>
        <v>Employees National Insurance</v>
      </c>
      <c r="P3" s="365" t="str">
        <f>Jul!P3:P6</f>
        <v>Student Loans</v>
      </c>
      <c r="Q3" s="365" t="str">
        <f>Jul!Q3:Q6</f>
        <v>Other Deductions</v>
      </c>
      <c r="R3" s="428" t="str">
        <f>Jul!R3:R6</f>
        <v>NET      PAY</v>
      </c>
      <c r="S3" s="42"/>
      <c r="T3" s="365" t="str">
        <f>Jul!T3:T6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44</v>
      </c>
      <c r="F9" s="35"/>
      <c r="G9" s="35"/>
      <c r="H9" s="360" t="s">
        <v>28</v>
      </c>
      <c r="I9" s="361"/>
      <c r="J9" s="359"/>
      <c r="K9" s="204">
        <f>Apr!M39+1</f>
        <v>44956</v>
      </c>
      <c r="L9" s="203" t="s">
        <v>76</v>
      </c>
      <c r="M9" s="205">
        <f>K9+6</f>
        <v>44962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IF(T$9="Y",Apr!H41,0)</f>
        <v>0</v>
      </c>
      <c r="I11" s="89">
        <f>IF(T$9="Y",Apr!I41,0)</f>
        <v>0</v>
      </c>
      <c r="J11" s="89">
        <f>IF(T$9="Y",Apr!J41,0)</f>
        <v>0</v>
      </c>
      <c r="K11" s="89">
        <f>IF(T$9="Y",Apr!K41,I11*J11)</f>
        <v>0</v>
      </c>
      <c r="L11" s="110">
        <f>IF(T$9="Y",Apr!L41,0)</f>
        <v>0</v>
      </c>
      <c r="M11" s="110" t="str">
        <f>IF(E11=" "," ",IF(T$9="Y",Apr!M41,IF((H11+K11+L11)&gt;0,H11+K11+L11,"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IF(Employee!H$34=E$9,Employee!D$34+SUM(M11)+Apr!V41,SUM(M11)+Apr!V41)</f>
        <v>0</v>
      </c>
      <c r="W11" s="49">
        <f>IF(Employee!H$34=E$9,Employee!D$35+SUM(N11)+Apr!W41,SUM(N11)+Apr!W41)</f>
        <v>0</v>
      </c>
      <c r="X11" s="49">
        <f>IF(O11=" ",Apr!X41,O11+Apr!X41)</f>
        <v>0</v>
      </c>
      <c r="Y11" s="49">
        <f>IF(P11=" ",Apr!Y41,P11+Apr!Y41)</f>
        <v>0</v>
      </c>
      <c r="Z11" s="49">
        <f>IF(Q11=" ",Apr!Z41,Q11+Apr!Z41)</f>
        <v>0</v>
      </c>
      <c r="AA11" s="49">
        <f>IF(R11=" ",Apr!AA41,R11+Apr!AA41)</f>
        <v>0</v>
      </c>
      <c r="AC11" s="49">
        <f>IF(T11=" ",Apr!AC41,T11+Apr!AC41)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IF(T$9="Y",Apr!H42,0)</f>
        <v>0</v>
      </c>
      <c r="I12" s="92">
        <f>IF(T$9="Y",Apr!I42,0)</f>
        <v>0</v>
      </c>
      <c r="J12" s="92">
        <f>IF(T$9="Y",Apr!J42,0)</f>
        <v>0</v>
      </c>
      <c r="K12" s="92">
        <f>IF(T$9="Y",Apr!K42,I12*J12)</f>
        <v>0</v>
      </c>
      <c r="L12" s="111">
        <f>IF(T$9="Y",Apr!L42,0)</f>
        <v>0</v>
      </c>
      <c r="M12" s="111" t="str">
        <f>IF(E12=" "," ",IF(T$9="Y",Apr!M42,IF((H12+K12+L12)&gt;0,H12+K12+L12,"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IF(Employee!H$60=E$9,Employee!D$60+SUM(M12)+Apr!V42,SUM(M12)+Apr!V42)</f>
        <v>0</v>
      </c>
      <c r="W12" s="49">
        <f>IF(Employee!H$60=E$9,Employee!D$61+SUM(N12)+Apr!W42,SUM(N12)+Apr!W42)</f>
        <v>0</v>
      </c>
      <c r="X12" s="49">
        <f>IF(O12=" ",Apr!X42,O12+Apr!X42)</f>
        <v>0</v>
      </c>
      <c r="Y12" s="49">
        <f>IF(P12=" ",Apr!Y42,P12+Apr!Y42)</f>
        <v>0</v>
      </c>
      <c r="Z12" s="49">
        <f>IF(Q12=" ",Apr!Z42,Q12+Apr!Z42)</f>
        <v>0</v>
      </c>
      <c r="AA12" s="49">
        <f>IF(R12=" ",Apr!AA42,R12+Apr!AA42)</f>
        <v>0</v>
      </c>
      <c r="AC12" s="49">
        <f>IF(T12=" ",Apr!AC42,T12+Apr!AC42)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IF(T$9="Y",Apr!H43,0)</f>
        <v>0</v>
      </c>
      <c r="I13" s="92">
        <f>IF(T$9="Y",Apr!I43,0)</f>
        <v>0</v>
      </c>
      <c r="J13" s="92">
        <f>IF(T$9="Y",Apr!J43,0)</f>
        <v>0</v>
      </c>
      <c r="K13" s="92">
        <f>IF(T$9="Y",Apr!K43,I13*J13)</f>
        <v>0</v>
      </c>
      <c r="L13" s="111">
        <f>IF(T$9="Y",Apr!L43,0)</f>
        <v>0</v>
      </c>
      <c r="M13" s="111" t="str">
        <f>IF(E13=" "," ",IF(T$9="Y",Apr!M43,IF((H13+K13+L13)&gt;0,H13+K13+L13,"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IF(Employee!H$86=E$9,Employee!D$86+SUM(M13)+Apr!V43,SUM(M13)+Apr!V43)</f>
        <v>0</v>
      </c>
      <c r="W13" s="49">
        <f>IF(Employee!H$86=E$9,Employee!D$87+SUM(N13)+Apr!W43,SUM(N13)+Apr!W43)</f>
        <v>0</v>
      </c>
      <c r="X13" s="49">
        <f>IF(O13=" ",Apr!X43,O13+Apr!X43)</f>
        <v>0</v>
      </c>
      <c r="Y13" s="49">
        <f>IF(P13=" ",Apr!Y43,P13+Apr!Y43)</f>
        <v>0</v>
      </c>
      <c r="Z13" s="49">
        <f>IF(Q13=" ",Apr!Z43,Q13+Apr!Z43)</f>
        <v>0</v>
      </c>
      <c r="AA13" s="49">
        <f>IF(R13=" ",Apr!AA43,R13+Apr!AA43)</f>
        <v>0</v>
      </c>
      <c r="AC13" s="49">
        <f>IF(T13=" ",Apr!AC43,T13+Apr!AC43)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IF(T$9="Y",Apr!H44,0)</f>
        <v>0</v>
      </c>
      <c r="I14" s="92">
        <f>IF(T$9="Y",Apr!I44,0)</f>
        <v>0</v>
      </c>
      <c r="J14" s="92">
        <f>IF(T$9="Y",Apr!J44,0)</f>
        <v>0</v>
      </c>
      <c r="K14" s="92">
        <f>IF(T$9="Y",Apr!K44,I14*J14)</f>
        <v>0</v>
      </c>
      <c r="L14" s="111">
        <f>IF(T$9="Y",Apr!L44,0)</f>
        <v>0</v>
      </c>
      <c r="M14" s="111" t="str">
        <f>IF(E14=" "," ",IF(T$9="Y",Apr!M44,IF((H14+K14+L14)&gt;0,H14+K14+L14,"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IF(Employee!H$112=E$9,Employee!D$112+SUM(M14)+Apr!V44,SUM(M14)+Apr!V44)</f>
        <v>0</v>
      </c>
      <c r="W14" s="49">
        <f>IF(Employee!H$112=E$9,Employee!D$113+SUM(N14)+Apr!W44,SUM(N14)+Apr!W44)</f>
        <v>0</v>
      </c>
      <c r="X14" s="49">
        <f>IF(O14=" ",Apr!X44,O14+Apr!X44)</f>
        <v>0</v>
      </c>
      <c r="Y14" s="49">
        <f>IF(P14=" ",Apr!Y44,P14+Apr!Y44)</f>
        <v>0</v>
      </c>
      <c r="Z14" s="49">
        <f>IF(Q14=" ",Apr!Z44,Q14+Apr!Z44)</f>
        <v>0</v>
      </c>
      <c r="AA14" s="49">
        <f>IF(R14=" ",Apr!AA44,R14+Apr!AA44)</f>
        <v>0</v>
      </c>
      <c r="AC14" s="49">
        <f>IF(T14=" ",Apr!AC44,T14+Apr!AC44)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IF(T$9="Y",Apr!H45,0)</f>
        <v>0</v>
      </c>
      <c r="I15" s="245">
        <f>IF(T$9="Y",Apr!I45,0)</f>
        <v>0</v>
      </c>
      <c r="J15" s="245">
        <f>IF(T$9="Y",Apr!J45,0)</f>
        <v>0</v>
      </c>
      <c r="K15" s="245">
        <f>IF(T$9="Y",Apr!K45,I15*J15)</f>
        <v>0</v>
      </c>
      <c r="L15" s="246">
        <f>IF(T$19="Y",Apr!L45,0)</f>
        <v>0</v>
      </c>
      <c r="M15" s="111" t="str">
        <f>IF(E15=" "," ",IF(T$9="Y",Apr!M45,IF((H15+K15+L15)&gt;0,H15+K15+L15,"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IF(Employee!H$138=E$9,Employee!D$138+SUM(M15)+Apr!V45,SUM(M15)+Apr!V45)</f>
        <v>0</v>
      </c>
      <c r="W15" s="49">
        <f>IF(Employee!H$138=E$9,Employee!D$139+SUM(N15)+Apr!W45,SUM(N15)+Apr!W45)</f>
        <v>0</v>
      </c>
      <c r="X15" s="49">
        <f>IF(O15=" ",Apr!X45,O15+Apr!X45)</f>
        <v>0</v>
      </c>
      <c r="Y15" s="49">
        <f>IF(P15=" ",Apr!Y45,P15+Apr!Y45)</f>
        <v>0</v>
      </c>
      <c r="Z15" s="49">
        <f>IF(Q15=" ",Apr!Z45,Q15+Apr!Z45)</f>
        <v>0</v>
      </c>
      <c r="AA15" s="49">
        <f>IF(R15=" ",Apr!AA45,R15+Apr!AA45)</f>
        <v>0</v>
      </c>
      <c r="AC15" s="49">
        <f>IF(T15=" ",Apr!AC45,T15+Apr!AC45)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45</v>
      </c>
      <c r="F19" s="35"/>
      <c r="G19" s="35"/>
      <c r="H19" s="360" t="s">
        <v>28</v>
      </c>
      <c r="I19" s="361"/>
      <c r="J19" s="359"/>
      <c r="K19" s="204">
        <f>M9+1</f>
        <v>44963</v>
      </c>
      <c r="L19" s="203" t="s">
        <v>76</v>
      </c>
      <c r="M19" s="205">
        <f>K19+6</f>
        <v>44969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46</v>
      </c>
      <c r="F29" s="35"/>
      <c r="G29" s="35"/>
      <c r="H29" s="360" t="s">
        <v>28</v>
      </c>
      <c r="I29" s="361"/>
      <c r="J29" s="359"/>
      <c r="K29" s="204">
        <f>M19+1</f>
        <v>44970</v>
      </c>
      <c r="L29" s="203" t="s">
        <v>76</v>
      </c>
      <c r="M29" s="205">
        <f>K29+6</f>
        <v>44976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47</v>
      </c>
      <c r="F39" s="35"/>
      <c r="G39" s="35"/>
      <c r="H39" s="360" t="s">
        <v>28</v>
      </c>
      <c r="I39" s="439"/>
      <c r="J39" s="440"/>
      <c r="K39" s="204">
        <f>M29+1</f>
        <v>44977</v>
      </c>
      <c r="L39" s="203" t="s">
        <v>76</v>
      </c>
      <c r="M39" s="205">
        <f>K39+6</f>
        <v>44983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11</v>
      </c>
      <c r="F49" s="35"/>
      <c r="G49" s="35"/>
      <c r="H49" s="360" t="s">
        <v>28</v>
      </c>
      <c r="I49" s="361"/>
      <c r="J49" s="359"/>
      <c r="K49" s="204">
        <f>DATE(2022,5,1)</f>
        <v>44682</v>
      </c>
      <c r="L49" s="203" t="s">
        <v>76</v>
      </c>
      <c r="M49" s="205">
        <f>DATE(2022,5,31)</f>
        <v>44712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IF(T$49="Y",Apr!H51,0)</f>
        <v>0</v>
      </c>
      <c r="I51" s="89">
        <f>IF(T$49="Y",Apr!I51,0)</f>
        <v>0</v>
      </c>
      <c r="J51" s="89">
        <f>IF(T$49="Y",Apr!J51,0)</f>
        <v>0</v>
      </c>
      <c r="K51" s="89">
        <f>IF(T$49="Y",Apr!K51,I51*J51)</f>
        <v>0</v>
      </c>
      <c r="L51" s="110">
        <f>IF(T$49="Y",Apr!L51,0)</f>
        <v>0</v>
      </c>
      <c r="M51" s="99" t="str">
        <f>IF(E51=" "," ",IF(T$49="Y",Apr!M51,IF((H51+K51+L51)&gt;0,H51+K51+L51,"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IF(Employee!H$35=E$49,Employee!D$34+SUM(M51)+Apr!V51,SUM(M51)+Apr!V51)</f>
        <v>0</v>
      </c>
      <c r="W51" s="49">
        <f>IF(Employee!H$35=E$49,Employee!D$35+SUM(N51)+Apr!W51,SUM(N51)+Apr!W51)</f>
        <v>0</v>
      </c>
      <c r="X51" s="49">
        <f>IF(O51=" ",Apr!X51,O51+Apr!X51)</f>
        <v>0</v>
      </c>
      <c r="Y51" s="49">
        <f>IF(P51=" ",Apr!Y51,P51+Apr!Y51)</f>
        <v>0</v>
      </c>
      <c r="Z51" s="49">
        <f>IF(Q51=" ",Apr!Z51,Q51+Apr!Z51)</f>
        <v>0</v>
      </c>
      <c r="AA51" s="49">
        <f>IF(R51=" ",Apr!AA51,R51+Apr!AA51)</f>
        <v>0</v>
      </c>
      <c r="AC51" s="49">
        <f>IF(T51=" ",Apr!AC51,T51+Apr!AC51)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IF(T$49="Y",Apr!H52,0)</f>
        <v>0</v>
      </c>
      <c r="I52" s="92">
        <f>IF(T$49="Y",Apr!I52,0)</f>
        <v>0</v>
      </c>
      <c r="J52" s="92">
        <f>IF(T$49="Y",Apr!J52,0)</f>
        <v>0</v>
      </c>
      <c r="K52" s="92">
        <f>IF(T$49="Y",Apr!K52,I52*J52)</f>
        <v>0</v>
      </c>
      <c r="L52" s="111">
        <f>IF(T$49="Y",Apr!L52,0)</f>
        <v>0</v>
      </c>
      <c r="M52" s="100" t="str">
        <f>IF(E52=" "," ",IF(T$49="Y",Apr!M52,IF((H52+K52+L52)&gt;0,H52+K52+L52,"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IF(Employee!H$61=E$49,Employee!D$60+SUM(M52)+Apr!V52,SUM(M52)+Apr!V52)</f>
        <v>0</v>
      </c>
      <c r="W52" s="49">
        <f>IF(Employee!H$61=E$49,Employee!D$61+SUM(N52)+Apr!W52,SUM(N52)+Apr!W52)</f>
        <v>0</v>
      </c>
      <c r="X52" s="49">
        <f>IF(O52=" ",Apr!X52,O52+Apr!X52)</f>
        <v>0</v>
      </c>
      <c r="Y52" s="49">
        <f>IF(P52=" ",Apr!Y52,P52+Apr!Y52)</f>
        <v>0</v>
      </c>
      <c r="Z52" s="49">
        <f>IF(Q52=" ",Apr!Z52,Q52+Apr!Z52)</f>
        <v>0</v>
      </c>
      <c r="AA52" s="49">
        <f>IF(R52=" ",Apr!AA52,R52+Apr!AA52)</f>
        <v>0</v>
      </c>
      <c r="AC52" s="49">
        <f>IF(T52=" ",Apr!AC52,T52+Apr!AC52)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IF(T$49="Y",Apr!H53,0)</f>
        <v>0</v>
      </c>
      <c r="I53" s="92">
        <f>IF(T$49="Y",Apr!I53,0)</f>
        <v>0</v>
      </c>
      <c r="J53" s="92">
        <f>IF(T$49="Y",Apr!J53,0)</f>
        <v>0</v>
      </c>
      <c r="K53" s="92">
        <f>IF(T$49="Y",Apr!K53,I53*J53)</f>
        <v>0</v>
      </c>
      <c r="L53" s="111">
        <f>IF(T$49="Y",Apr!L53,0)</f>
        <v>0</v>
      </c>
      <c r="M53" s="100" t="str">
        <f>IF(E53=" "," ",IF(T$49="Y",Apr!M53,IF((H53+K53+L53)&gt;0,H53+K53+L53,"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IF(Employee!H$87=E$49,Employee!D$86+SUM(M53)+Apr!V53,SUM(M53)+Apr!V53)</f>
        <v>0</v>
      </c>
      <c r="W53" s="49">
        <f>IF(Employee!H$87=E$49,Employee!D$87+SUM(N53)+Apr!W53,SUM(N53)+Apr!W53)</f>
        <v>0</v>
      </c>
      <c r="X53" s="49">
        <f>IF(O53=" ",Apr!X53,O53+Apr!X53)</f>
        <v>0</v>
      </c>
      <c r="Y53" s="49">
        <f>IF(P53=" ",Apr!Y53,P53+Apr!Y53)</f>
        <v>0</v>
      </c>
      <c r="Z53" s="49">
        <f>IF(Q53=" ",Apr!Z53,Q53+Apr!Z53)</f>
        <v>0</v>
      </c>
      <c r="AA53" s="49">
        <f>IF(R53=" ",Apr!AA53,R53+Apr!AA53)</f>
        <v>0</v>
      </c>
      <c r="AC53" s="49">
        <f>IF(T53=" ",Apr!AC53,T53+Apr!AC53)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IF(T$49="Y",Apr!H54,0)</f>
        <v>0</v>
      </c>
      <c r="I54" s="92">
        <f>IF(T$49="Y",Apr!I54,0)</f>
        <v>0</v>
      </c>
      <c r="J54" s="92">
        <f>IF(T$49="Y",Apr!J54,0)</f>
        <v>0</v>
      </c>
      <c r="K54" s="92">
        <f>IF(T$49="Y",Apr!K54,I54*J54)</f>
        <v>0</v>
      </c>
      <c r="L54" s="111">
        <f>IF(T$49="Y",Apr!L54,0)</f>
        <v>0</v>
      </c>
      <c r="M54" s="100" t="str">
        <f>IF(E54=" "," ",IF(T$49="Y",Apr!M54,IF((H54+K54+L54)&gt;0,H54+K54+L54,"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IF(Employee!H$113=E$49,Employee!D$112+SUM(M54)+Apr!V54,SUM(M54)+Apr!V54)</f>
        <v>0</v>
      </c>
      <c r="W54" s="49">
        <f>IF(Employee!H$113=E$49,Employee!D$113+SUM(N54)+Apr!W54,SUM(N54)+Apr!W54)</f>
        <v>0</v>
      </c>
      <c r="X54" s="49">
        <f>IF(O54=" ",Apr!X54,O54+Apr!X54)</f>
        <v>0</v>
      </c>
      <c r="Y54" s="49">
        <f>IF(P54=" ",Apr!Y54,P54+Apr!Y54)</f>
        <v>0</v>
      </c>
      <c r="Z54" s="49">
        <f>IF(Q54=" ",Apr!Z54,Q54+Apr!Z54)</f>
        <v>0</v>
      </c>
      <c r="AA54" s="49">
        <f>IF(R54=" ",Apr!AA54,R54+Apr!AA54)</f>
        <v>0</v>
      </c>
      <c r="AC54" s="49">
        <f>IF(T54=" ",Apr!AC54,T54+Apr!AC54)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IF(T$49="Y",Apr!H55,0)</f>
        <v>0</v>
      </c>
      <c r="I55" s="245">
        <f>IF(T$49="Y",Apr!I55,0)</f>
        <v>0</v>
      </c>
      <c r="J55" s="245">
        <f>IF(T$49="Y",Apr!J55,0)</f>
        <v>0</v>
      </c>
      <c r="K55" s="245">
        <f>IF(T$49="Y",Apr!K55,I55*J55)</f>
        <v>0</v>
      </c>
      <c r="L55" s="246">
        <f>IF(T$49="Y",Apr!L55,0)</f>
        <v>0</v>
      </c>
      <c r="M55" s="100" t="str">
        <f>IF(E55=" "," ",IF(T$49="Y",Apr!M55,IF((H55+K55+L55)&gt;0,H55+K55+L55,"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IF(Employee!H$139=E$49,Employee!D$138+SUM(M55)+Apr!V55,SUM(M55)+Apr!V55)</f>
        <v>0</v>
      </c>
      <c r="W55" s="49">
        <f>IF(Employee!H$139=E$49,Employee!D$139+SUM(N55)+Apr!W55,SUM(N55)+Apr!W55)</f>
        <v>0</v>
      </c>
      <c r="X55" s="49">
        <f>IF(O55=" ",Apr!X55,O55+Apr!X55)</f>
        <v>0</v>
      </c>
      <c r="Y55" s="49">
        <f>IF(P55=" ",Apr!Y55,P55+Apr!Y55)</f>
        <v>0</v>
      </c>
      <c r="Z55" s="49">
        <f>IF(Q55=" ",Apr!Z55,Q55+Apr!Z55)</f>
        <v>0</v>
      </c>
      <c r="AA55" s="49">
        <f>IF(R55=" ",Apr!AA55,R55+Apr!AA55)</f>
        <v>0</v>
      </c>
      <c r="AC55" s="49">
        <f>IF(T55=" ",Apr!AC55,T55+Apr!AC55)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AD60+Apr!AD65</f>
        <v>0</v>
      </c>
      <c r="AE65" s="158">
        <f>AE60+Apr!AE65</f>
        <v>0</v>
      </c>
      <c r="AF65" s="158">
        <f>AF60+Apr!AF65</f>
        <v>0</v>
      </c>
      <c r="AG65" s="158">
        <f>AG60+Apr!AG65</f>
        <v>0</v>
      </c>
    </row>
    <row r="66" spans="6:33" ht="14" thickTop="1" x14ac:dyDescent="0.15"/>
    <row r="67" spans="6:33" x14ac:dyDescent="0.15">
      <c r="AD67" s="162"/>
      <c r="AE67" s="158">
        <f>AE62+Apr!AE67</f>
        <v>0</v>
      </c>
      <c r="AF67" s="158">
        <f>AF62+Apr!AF67</f>
        <v>0</v>
      </c>
      <c r="AG67" s="158">
        <f>AG62+Apr!AG67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B00-000000000000}">
      <formula1>$G$3:$G$6</formula1>
    </dataValidation>
  </dataValidations>
  <hyperlinks>
    <hyperlink ref="B1" r:id="rId1" xr:uid="{00000000-0004-0000-0B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4294967293" verticalDpi="4294967293" r:id="rId2"/>
  <headerFooter alignWithMargins="0">
    <oddHeader>&amp;C&amp;"Arial,Bold"&amp;11Payroll</oddHeader>
    <oddFooter>&amp;L&amp;D  &amp;T&amp;C&amp;P  of  &amp;N&amp;R&amp;F  &amp;A</oddFooter>
  </headerFooter>
  <rowBreaks count="1" manualBreakCount="1">
    <brk id="57" max="16383" man="1"/>
  </rowBreaks>
  <colBreaks count="1" manualBreakCount="1">
    <brk id="11" max="1048575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AH8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SUM(AD80:AG80)+SUM(AE82:AG82)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M16+M26+M36+M46+M56+M66+M76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T16+T26+T36+T46+T56+T66+T76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M85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T85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Jul!H3:H6</f>
        <v>Statutory Pay</v>
      </c>
      <c r="I3" s="365" t="str">
        <f>Jul!I3:I6</f>
        <v>Basic hours</v>
      </c>
      <c r="J3" s="365" t="str">
        <f>Jul!J3:J6</f>
        <v>Hourly rate</v>
      </c>
      <c r="K3" s="365" t="str">
        <f>Jul!K3:K6</f>
        <v>Basic    wages</v>
      </c>
      <c r="L3" s="365" t="str">
        <f>Jul!L3:L6</f>
        <v>Overtime Bonus Gratuities</v>
      </c>
      <c r="M3" s="428" t="str">
        <f>Jul!M3:M6</f>
        <v>GROSS WAGES</v>
      </c>
      <c r="N3" s="365" t="str">
        <f>Jul!N3:N6</f>
        <v>Income Tax</v>
      </c>
      <c r="O3" s="365" t="str">
        <f>Jul!O3:O6</f>
        <v>Employees National Insurance</v>
      </c>
      <c r="P3" s="365" t="str">
        <f>Jul!P3:P6</f>
        <v>Student Loans</v>
      </c>
      <c r="Q3" s="365" t="str">
        <f>Jul!Q3:Q6</f>
        <v>Other Deductions</v>
      </c>
      <c r="R3" s="428" t="str">
        <f>Jul!R3:R6</f>
        <v>NET      PAY</v>
      </c>
      <c r="S3" s="42"/>
      <c r="T3" s="365" t="str">
        <f>Jul!T3:T6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48</v>
      </c>
      <c r="F9" s="35"/>
      <c r="G9" s="35"/>
      <c r="H9" s="360" t="s">
        <v>28</v>
      </c>
      <c r="I9" s="361"/>
      <c r="J9" s="359"/>
      <c r="K9" s="204">
        <f>May!M39+1</f>
        <v>44984</v>
      </c>
      <c r="L9" s="203" t="s">
        <v>76</v>
      </c>
      <c r="M9" s="205">
        <f>K9+6</f>
        <v>44990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IF(T$9="Y",May!H41,0)</f>
        <v>0</v>
      </c>
      <c r="I11" s="89">
        <f>IF(T$9="Y",May!I41,0)</f>
        <v>0</v>
      </c>
      <c r="J11" s="89">
        <f>IF(T$9="Y",May!J41,0)</f>
        <v>0</v>
      </c>
      <c r="K11" s="89">
        <f>IF(T$9="Y",May!K41,I11*J11)</f>
        <v>0</v>
      </c>
      <c r="L11" s="110">
        <f>IF(T$9="Y",May!L41,0)</f>
        <v>0</v>
      </c>
      <c r="M11" s="110" t="str">
        <f>IF(E11=" "," ",IF(T$9="Y",May!M41,IF((H11+K11+L11)&gt;0,H11+K11+L11,"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IF(Employee!H$34=E$9,Employee!D$34+SUM(M11)+May!V41,SUM(M11)+May!V41)</f>
        <v>0</v>
      </c>
      <c r="W11" s="49">
        <f>IF(Employee!H$34=E$9,Employee!D$35+SUM(N11)+May!W41,SUM(N11)+May!W41)</f>
        <v>0</v>
      </c>
      <c r="X11" s="49">
        <f>IF(O11=" ",May!X41,O11+May!X41)</f>
        <v>0</v>
      </c>
      <c r="Y11" s="49">
        <f>IF(P11=" ",May!Y41,P11+May!Y41)</f>
        <v>0</v>
      </c>
      <c r="Z11" s="49">
        <f>IF(Q11=" ",May!Z41,Q11+May!Z41)</f>
        <v>0</v>
      </c>
      <c r="AA11" s="49">
        <f>IF(R11=" ",May!AA41,R11+May!AA41)</f>
        <v>0</v>
      </c>
      <c r="AC11" s="49">
        <f>IF(T11=" ",May!AC41,T11+May!AC41)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IF(T$9="Y",May!H42,0)</f>
        <v>0</v>
      </c>
      <c r="I12" s="92">
        <f>IF(T$9="Y",May!I42,0)</f>
        <v>0</v>
      </c>
      <c r="J12" s="92">
        <f>IF(T$9="Y",May!J42,0)</f>
        <v>0</v>
      </c>
      <c r="K12" s="92">
        <f>IF(T$9="Y",May!K42,I12*J12)</f>
        <v>0</v>
      </c>
      <c r="L12" s="111">
        <f>IF(T$9="Y",May!L42,0)</f>
        <v>0</v>
      </c>
      <c r="M12" s="111" t="str">
        <f>IF(E12=" "," ",IF(T$9="Y",May!M42,IF((H12+K12+L12)&gt;0,H12+K12+L12,"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IF(Employee!H$60=E$9,Employee!D$60+SUM(M12)+May!V42,SUM(M12)+May!V42)</f>
        <v>0</v>
      </c>
      <c r="W12" s="49">
        <f>IF(Employee!H$60=E$9,Employee!D$61+SUM(N12)+May!W42,SUM(N12)+May!W42)</f>
        <v>0</v>
      </c>
      <c r="X12" s="49">
        <f>IF(O12=" ",May!X42,O12+May!X42)</f>
        <v>0</v>
      </c>
      <c r="Y12" s="49">
        <f>IF(P12=" ",May!Y42,P12+May!Y42)</f>
        <v>0</v>
      </c>
      <c r="Z12" s="49">
        <f>IF(Q12=" ",May!Z42,Q12+May!Z42)</f>
        <v>0</v>
      </c>
      <c r="AA12" s="49">
        <f>IF(R12=" ",May!AA42,R12+May!AA42)</f>
        <v>0</v>
      </c>
      <c r="AC12" s="49">
        <f>IF(T12=" ",May!AC42,T12+May!AC42)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IF(T$9="Y",May!H43,0)</f>
        <v>0</v>
      </c>
      <c r="I13" s="92">
        <f>IF(T$9="Y",May!I43,0)</f>
        <v>0</v>
      </c>
      <c r="J13" s="92">
        <f>IF(T$9="Y",May!J43,0)</f>
        <v>0</v>
      </c>
      <c r="K13" s="92">
        <f>IF(T$9="Y",May!K43,I13*J13)</f>
        <v>0</v>
      </c>
      <c r="L13" s="111">
        <f>IF(T$9="Y",May!L43,0)</f>
        <v>0</v>
      </c>
      <c r="M13" s="111" t="str">
        <f>IF(E13=" "," ",IF(T$9="Y",May!M43,IF((H13+K13+L13)&gt;0,H13+K13+L13,"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IF(Employee!H$86=E$9,Employee!D$86+SUM(M13)+May!V43,SUM(M13)+May!V43)</f>
        <v>0</v>
      </c>
      <c r="W13" s="49">
        <f>IF(Employee!H$86=E$9,Employee!D$87+SUM(N13)+May!W43,SUM(N13)+May!W43)</f>
        <v>0</v>
      </c>
      <c r="X13" s="49">
        <f>IF(O13=" ",May!X43,O13+May!X43)</f>
        <v>0</v>
      </c>
      <c r="Y13" s="49">
        <f>IF(P13=" ",May!Y43,P13+May!Y43)</f>
        <v>0</v>
      </c>
      <c r="Z13" s="49">
        <f>IF(Q13=" ",May!Z43,Q13+May!Z43)</f>
        <v>0</v>
      </c>
      <c r="AA13" s="49">
        <f>IF(R13=" ",May!AA43,R13+May!AA43)</f>
        <v>0</v>
      </c>
      <c r="AC13" s="49">
        <f>IF(T13=" ",May!AC43,T13+May!AC43)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IF(T$9="Y",May!H44,0)</f>
        <v>0</v>
      </c>
      <c r="I14" s="92">
        <f>IF(T$9="Y",May!I44,0)</f>
        <v>0</v>
      </c>
      <c r="J14" s="92">
        <f>IF(T$9="Y",May!J44,0)</f>
        <v>0</v>
      </c>
      <c r="K14" s="92">
        <f>IF(T$9="Y",May!K44,I14*J14)</f>
        <v>0</v>
      </c>
      <c r="L14" s="111">
        <f>IF(T$9="Y",May!L44,0)</f>
        <v>0</v>
      </c>
      <c r="M14" s="111" t="str">
        <f>IF(E14=" "," ",IF(T$9="Y",May!M44,IF((H14+K14+L14)&gt;0,H14+K14+L14,"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IF(Employee!H$112=E$9,Employee!D$112+SUM(M14)+May!V44,SUM(M14)+May!V44)</f>
        <v>0</v>
      </c>
      <c r="W14" s="49">
        <f>IF(Employee!H$112=E$9,Employee!D$113+SUM(N14)+May!W44,SUM(N14)+May!W44)</f>
        <v>0</v>
      </c>
      <c r="X14" s="49">
        <f>IF(O14=" ",May!X44,O14+May!X44)</f>
        <v>0</v>
      </c>
      <c r="Y14" s="49">
        <f>IF(P14=" ",May!Y44,P14+May!Y44)</f>
        <v>0</v>
      </c>
      <c r="Z14" s="49">
        <f>IF(Q14=" ",May!Z44,Q14+May!Z44)</f>
        <v>0</v>
      </c>
      <c r="AA14" s="49">
        <f>IF(R14=" ",May!AA44,R14+May!AA44)</f>
        <v>0</v>
      </c>
      <c r="AC14" s="49">
        <f>IF(T14=" ",May!AC44,T14+May!AC44)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IF(T$9="Y",May!H45,0)</f>
        <v>0</v>
      </c>
      <c r="I15" s="245">
        <f>IF(T$9="Y",May!I45,0)</f>
        <v>0</v>
      </c>
      <c r="J15" s="245">
        <f>IF(T$9="Y",May!J45,0)</f>
        <v>0</v>
      </c>
      <c r="K15" s="245">
        <f>IF(T$9="Y",May!K45,I15*J15)</f>
        <v>0</v>
      </c>
      <c r="L15" s="246">
        <f>IF(T$9="Y",May!L45,0)</f>
        <v>0</v>
      </c>
      <c r="M15" s="111" t="str">
        <f>IF(E15=" "," ",IF(T$9="Y",May!M45,IF((H15+K15+L15)&gt;0,H15+K15+L15,"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IF(Employee!H$138=E$9,Employee!D$138+SUM(M15)+May!V45,SUM(M15)+May!V45)</f>
        <v>0</v>
      </c>
      <c r="W15" s="49">
        <f>IF(Employee!H$138=E$9,Employee!D$139+SUM(N15)+May!W45,SUM(N15)+May!W45)</f>
        <v>0</v>
      </c>
      <c r="X15" s="49">
        <f>IF(O15=" ",May!X45,O15+May!X45)</f>
        <v>0</v>
      </c>
      <c r="Y15" s="49">
        <f>IF(P15=" ",May!Y45,P15+May!Y45)</f>
        <v>0</v>
      </c>
      <c r="Z15" s="49">
        <f>IF(Q15=" ",May!Z45,Q15+May!Z45)</f>
        <v>0</v>
      </c>
      <c r="AA15" s="49">
        <f>IF(R15=" ",May!AA45,R15+May!AA45)</f>
        <v>0</v>
      </c>
      <c r="AC15" s="49">
        <f>IF(T15=" ",May!AC45,T15+May!AC45)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49</v>
      </c>
      <c r="F19" s="35"/>
      <c r="G19" s="35"/>
      <c r="H19" s="360" t="s">
        <v>28</v>
      </c>
      <c r="I19" s="361"/>
      <c r="J19" s="359"/>
      <c r="K19" s="204">
        <f>M9+1</f>
        <v>44991</v>
      </c>
      <c r="L19" s="203" t="s">
        <v>76</v>
      </c>
      <c r="M19" s="205">
        <f>K19+6</f>
        <v>44997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50</v>
      </c>
      <c r="F29" s="35"/>
      <c r="G29" s="35"/>
      <c r="H29" s="360" t="s">
        <v>28</v>
      </c>
      <c r="I29" s="361"/>
      <c r="J29" s="359"/>
      <c r="K29" s="204">
        <f>M19+1</f>
        <v>44998</v>
      </c>
      <c r="L29" s="203" t="s">
        <v>76</v>
      </c>
      <c r="M29" s="205">
        <f>K29+6</f>
        <v>45004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51</v>
      </c>
      <c r="F39" s="35"/>
      <c r="G39" s="35"/>
      <c r="H39" s="360" t="s">
        <v>28</v>
      </c>
      <c r="I39" s="439"/>
      <c r="J39" s="440"/>
      <c r="K39" s="204">
        <f>M29+1</f>
        <v>45005</v>
      </c>
      <c r="L39" s="203" t="s">
        <v>76</v>
      </c>
      <c r="M39" s="205">
        <f>K39+6</f>
        <v>45011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52</v>
      </c>
      <c r="F49" s="35"/>
      <c r="G49" s="35"/>
      <c r="H49" s="360" t="s">
        <v>28</v>
      </c>
      <c r="I49" s="439"/>
      <c r="J49" s="440"/>
      <c r="K49" s="204">
        <f>M39+1</f>
        <v>45012</v>
      </c>
      <c r="L49" s="203" t="s">
        <v>76</v>
      </c>
      <c r="M49" s="205">
        <f>K49+6</f>
        <v>45018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IF(T$49="Y",H45,0)</f>
        <v>0</v>
      </c>
      <c r="I55" s="245">
        <f>IF(T$49="Y",I45,0)</f>
        <v>0</v>
      </c>
      <c r="J55" s="245">
        <f>IF(T$49="Y",J45,0)</f>
        <v>0</v>
      </c>
      <c r="K55" s="245">
        <f>IF(T$49="Y",K45,I55*J55)</f>
        <v>0</v>
      </c>
      <c r="L55" s="246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23</v>
      </c>
      <c r="C58" s="437"/>
      <c r="D58" s="437"/>
      <c r="E58" s="438"/>
      <c r="F58" s="32"/>
      <c r="G58" s="32"/>
      <c r="H58" s="32"/>
      <c r="I58" s="32"/>
      <c r="J58" s="32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9</v>
      </c>
      <c r="C59" s="439"/>
      <c r="D59" s="440"/>
      <c r="E59" s="156">
        <v>53</v>
      </c>
      <c r="F59" s="35"/>
      <c r="G59" s="35"/>
      <c r="H59" s="360" t="s">
        <v>28</v>
      </c>
      <c r="I59" s="439"/>
      <c r="J59" s="440"/>
      <c r="K59" s="204">
        <f>M49+1</f>
        <v>45019</v>
      </c>
      <c r="L59" s="203" t="s">
        <v>76</v>
      </c>
      <c r="M59" s="205">
        <f>K59+4</f>
        <v>45023</v>
      </c>
      <c r="N59" s="20"/>
      <c r="O59" s="401" t="s">
        <v>63</v>
      </c>
      <c r="P59" s="441"/>
      <c r="Q59" s="441"/>
      <c r="R59" s="442"/>
      <c r="S59" s="35"/>
      <c r="T59" s="164"/>
      <c r="U59" s="37"/>
      <c r="AH59" s="35"/>
    </row>
    <row r="60" spans="1:34" ht="18" customHeight="1" thickTop="1" x14ac:dyDescent="0.15">
      <c r="A60" s="34"/>
      <c r="B60" s="452" t="s">
        <v>65</v>
      </c>
      <c r="C60" s="453"/>
      <c r="D60" s="453"/>
      <c r="E60" s="453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IF(Employee!D$28="m","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IF(T$49="Y",H51,0)</f>
        <v>0</v>
      </c>
      <c r="I61" s="89">
        <f>IF(T$49="Y",I51,0)</f>
        <v>0</v>
      </c>
      <c r="J61" s="89">
        <f>IF(T$49="Y",J51,0)</f>
        <v>0</v>
      </c>
      <c r="K61" s="89">
        <f>IF(T$49="Y",K51,I61*J61)</f>
        <v>0</v>
      </c>
      <c r="L61" s="110">
        <f>IF(T$49="Y",L51,0)</f>
        <v>0</v>
      </c>
      <c r="M61" s="99" t="str">
        <f>IF(E61=" "," ",IF(T$59="Y",M51,IF((H61+K61+L61)&gt;0,H61+K61+L61,"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03" t="str">
        <f>IF(M61=" "," ",IF(M61=0," ",M61-SUM(N61:Q61)))</f>
        <v xml:space="preserve"> </v>
      </c>
      <c r="S61" s="94"/>
      <c r="T61" s="99">
        <v>0</v>
      </c>
      <c r="U61" s="39"/>
      <c r="V61" s="49">
        <f>IF(Employee!H$34=E$59,Employee!D$34+SUM(M61)+V51,SUM(M61)+V51)</f>
        <v>0</v>
      </c>
      <c r="W61" s="49">
        <f>IF(Employee!H$34=E$59,Employee!D$35+SUM(N61)+W51,SUM(N61)+W51)</f>
        <v>0</v>
      </c>
      <c r="X61" s="49">
        <f>IF(O61=" ",X51,O61+X51)</f>
        <v>0</v>
      </c>
      <c r="Y61" s="49">
        <f t="shared" ref="Y61:Z65" si="11">IF(P61=0,Y51,P61+Y51)</f>
        <v>0</v>
      </c>
      <c r="Z61" s="49">
        <f t="shared" si="11"/>
        <v>0</v>
      </c>
      <c r="AA61" s="49">
        <f>IF(R61=" ",AA51,AA51+R61)</f>
        <v>0</v>
      </c>
      <c r="AC61" s="49">
        <f>IF(T61=" ",AC51,T61+AC51)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IF(Employee!D$54="m","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IF(T$49="Y",H52,0)</f>
        <v>0</v>
      </c>
      <c r="I62" s="92">
        <f>IF(T$49="Y",I52,0)</f>
        <v>0</v>
      </c>
      <c r="J62" s="92">
        <f>IF(T$49="Y",J52,0)</f>
        <v>0</v>
      </c>
      <c r="K62" s="92">
        <f>IF(T$49="Y",K52,I62*J62)</f>
        <v>0</v>
      </c>
      <c r="L62" s="111">
        <f>IF(T$49="Y",L52,0)</f>
        <v>0</v>
      </c>
      <c r="M62" s="100" t="str">
        <f>IF(E62=" "," ",IF(T$59="Y",M52,IF((H62+K62+L62)&gt;0,H62+K62+L62,"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04" t="str">
        <f>IF(M62=" "," ",IF(M62=0," ",M62-SUM(N62:Q62)))</f>
        <v xml:space="preserve"> </v>
      </c>
      <c r="S62" s="94"/>
      <c r="T62" s="100">
        <v>0</v>
      </c>
      <c r="U62" s="39"/>
      <c r="V62" s="49">
        <f>IF(Employee!H$60=E$59,Employee!D$60+SUM(M62)+V52,SUM(M62)+V52)</f>
        <v>0</v>
      </c>
      <c r="W62" s="49">
        <f>IF(Employee!H$60=E$59,Employee!D$61+SUM(N62)+W52,SUM(N62)+W52)</f>
        <v>0</v>
      </c>
      <c r="X62" s="49">
        <f>IF(O62=" ",X52,O62+X52)</f>
        <v>0</v>
      </c>
      <c r="Y62" s="49">
        <f t="shared" si="11"/>
        <v>0</v>
      </c>
      <c r="Z62" s="49">
        <f t="shared" si="11"/>
        <v>0</v>
      </c>
      <c r="AA62" s="49">
        <f>IF(R62=" ",AA52,AA52+R62)</f>
        <v>0</v>
      </c>
      <c r="AC62" s="49">
        <f>IF(T62=" ",AC52,T62+AC52)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IF(Employee!D$80="m","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IF(T$49="Y",H53,0)</f>
        <v>0</v>
      </c>
      <c r="I63" s="92">
        <f>IF(T$49="Y",I53,0)</f>
        <v>0</v>
      </c>
      <c r="J63" s="92">
        <f>IF(T$49="Y",J53,0)</f>
        <v>0</v>
      </c>
      <c r="K63" s="92">
        <f>IF(T$49="Y",K53,I63*J63)</f>
        <v>0</v>
      </c>
      <c r="L63" s="111">
        <f>IF(T$49="Y",L53,0)</f>
        <v>0</v>
      </c>
      <c r="M63" s="100" t="str">
        <f>IF(E63=" "," ",IF(T$59="Y",M53,IF((H63+K63+L63)&gt;0,H63+K63+L63,"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04" t="str">
        <f>IF(M63=" "," ",IF(M63=0," ",M63-SUM(N63:Q63)))</f>
        <v xml:space="preserve"> </v>
      </c>
      <c r="S63" s="94"/>
      <c r="T63" s="100">
        <v>0</v>
      </c>
      <c r="U63" s="39"/>
      <c r="V63" s="49">
        <f>IF(Employee!H$86=E$59,Employee!D$86+SUM(M63)+V53,SUM(M63)+V53)</f>
        <v>0</v>
      </c>
      <c r="W63" s="49">
        <f>IF(Employee!H$86=E$59,Employee!D$87+SUM(N63)+W53,SUM(N63)+W53)</f>
        <v>0</v>
      </c>
      <c r="X63" s="49">
        <f>IF(O63=" ",X53,O63+X53)</f>
        <v>0</v>
      </c>
      <c r="Y63" s="49">
        <f t="shared" si="11"/>
        <v>0</v>
      </c>
      <c r="Z63" s="49">
        <f t="shared" si="11"/>
        <v>0</v>
      </c>
      <c r="AA63" s="49">
        <f>IF(R63=" ",AA53,AA53+R63)</f>
        <v>0</v>
      </c>
      <c r="AC63" s="49">
        <f>IF(T63=" ",AC53,T63+AC53)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IF(Employee!D$106="m","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IF(T$49="Y",H54,0)</f>
        <v>0</v>
      </c>
      <c r="I64" s="92">
        <f>IF(T$49="Y",I54,0)</f>
        <v>0</v>
      </c>
      <c r="J64" s="92">
        <f>IF(T$49="Y",J54,0)</f>
        <v>0</v>
      </c>
      <c r="K64" s="92">
        <f>IF(T$49="Y",K54,I64*J64)</f>
        <v>0</v>
      </c>
      <c r="L64" s="111">
        <f>IF(T$49="Y",L54,0)</f>
        <v>0</v>
      </c>
      <c r="M64" s="100" t="str">
        <f>IF(E64=" "," ",IF(T$59="Y",M54,IF((H64+K64+L64)&gt;0,H64+K64+L64,"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04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IF(Employee!H$112=E$59,Employee!D$112+SUM(M64)+V54,SUM(M64)+V54)</f>
        <v>0</v>
      </c>
      <c r="W64" s="49">
        <f>IF(Employee!H$112=E$59,Employee!D$113+SUM(N64)+W54,SUM(N64)+W54)</f>
        <v>0</v>
      </c>
      <c r="X64" s="49">
        <f>IF(O64=" ",X54,O64+X54)</f>
        <v>0</v>
      </c>
      <c r="Y64" s="49">
        <f t="shared" si="11"/>
        <v>0</v>
      </c>
      <c r="Z64" s="49">
        <f t="shared" si="11"/>
        <v>0</v>
      </c>
      <c r="AA64" s="49">
        <f>IF(R64=" ",AA54,AA54+R64)</f>
        <v>0</v>
      </c>
      <c r="AC64" s="49">
        <f>IF(T64=" ",AC54,T64+AC54)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IF(Employee!D$132="m","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IF(T$49="Y",H55,0)</f>
        <v>0</v>
      </c>
      <c r="I65" s="245">
        <f>IF(T$49="Y",I55,0)</f>
        <v>0</v>
      </c>
      <c r="J65" s="245">
        <f>IF(T$49="Y",J55,0)</f>
        <v>0</v>
      </c>
      <c r="K65" s="245">
        <f>IF(T$49="Y",K55,I65*J65)</f>
        <v>0</v>
      </c>
      <c r="L65" s="246">
        <f>IF(T$49="Y",L55,0)</f>
        <v>0</v>
      </c>
      <c r="M65" s="100" t="str">
        <f>IF(E65=" "," ",IF(T$59="Y",M55,IF((H65+K65+L65)&gt;0,H65+K65+L65,"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04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IF(Employee!H$138=E$59,Employee!D$138+SUM(M65)+V55,SUM(M65)+V55)</f>
        <v>0</v>
      </c>
      <c r="W65" s="49">
        <f>IF(Employee!H$138=E$59,Employee!D$139+SUM(N65)+W55,SUM(N65)+W55)</f>
        <v>0</v>
      </c>
      <c r="X65" s="49">
        <f>IF(O65=" ",X55,O65+X55)</f>
        <v>0</v>
      </c>
      <c r="Y65" s="49">
        <f t="shared" si="11"/>
        <v>0</v>
      </c>
      <c r="Z65" s="49">
        <f t="shared" si="11"/>
        <v>0</v>
      </c>
      <c r="AA65" s="49">
        <f>IF(R65=" ",AA55,AA55+R65)</f>
        <v>0</v>
      </c>
      <c r="AC65" s="49">
        <f>IF(T65=" ",AC55,T65+AC55)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443"/>
      <c r="H66" s="101"/>
      <c r="I66" s="102"/>
      <c r="J66" s="102"/>
      <c r="K66" s="134"/>
      <c r="L66" s="134"/>
      <c r="M66" s="127">
        <f t="shared" ref="M66:R66" si="12">SUM(M61:M65)</f>
        <v>0</v>
      </c>
      <c r="N66" s="127">
        <f t="shared" si="12"/>
        <v>0</v>
      </c>
      <c r="O66" s="127">
        <f t="shared" si="12"/>
        <v>0</v>
      </c>
      <c r="P66" s="127">
        <f t="shared" si="12"/>
        <v>0</v>
      </c>
      <c r="Q66" s="127">
        <f t="shared" si="12"/>
        <v>0</v>
      </c>
      <c r="R66" s="127">
        <f t="shared" si="12"/>
        <v>0</v>
      </c>
      <c r="S66" s="94"/>
      <c r="T66" s="127">
        <f>SUM(T61:T65)</f>
        <v>0</v>
      </c>
      <c r="U66" s="40"/>
      <c r="V66" s="49"/>
      <c r="AH66" s="35"/>
    </row>
    <row r="67" spans="1:34" s="8" customFormat="1" ht="24" customHeight="1" thickBot="1" x14ac:dyDescent="0.2">
      <c r="A67" s="108"/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165"/>
      <c r="V67" s="66"/>
      <c r="W67" s="66"/>
      <c r="X67" s="66"/>
      <c r="Y67" s="166"/>
      <c r="Z67" s="66"/>
      <c r="AA67" s="66"/>
      <c r="AB67" s="67"/>
      <c r="AC67" s="66"/>
      <c r="AD67" s="76"/>
      <c r="AE67" s="76"/>
      <c r="AF67" s="76"/>
      <c r="AG67" s="76"/>
      <c r="AH67" s="35"/>
    </row>
    <row r="68" spans="1:34" ht="18" customHeight="1" thickTop="1" thickBot="1" x14ac:dyDescent="0.2">
      <c r="A68" s="31"/>
      <c r="B68" s="375" t="s">
        <v>24</v>
      </c>
      <c r="C68" s="361"/>
      <c r="D68" s="361"/>
      <c r="E68" s="359"/>
      <c r="F68" s="32"/>
      <c r="G68" s="32"/>
      <c r="H68" s="43"/>
      <c r="I68" s="43"/>
      <c r="J68" s="43"/>
      <c r="K68" s="46"/>
      <c r="L68" s="46"/>
      <c r="M68" s="43"/>
      <c r="N68" s="32"/>
      <c r="O68" s="362" t="s">
        <v>28</v>
      </c>
      <c r="P68" s="363"/>
      <c r="Q68" s="364"/>
      <c r="R68" s="399"/>
      <c r="S68" s="400"/>
      <c r="T68" s="400"/>
      <c r="U68" s="33"/>
      <c r="AH68" s="35"/>
    </row>
    <row r="69" spans="1:34" ht="18" customHeight="1" thickTop="1" thickBot="1" x14ac:dyDescent="0.2">
      <c r="A69" s="34"/>
      <c r="B69" s="360" t="s">
        <v>10</v>
      </c>
      <c r="C69" s="361"/>
      <c r="D69" s="359"/>
      <c r="E69" s="156">
        <v>12</v>
      </c>
      <c r="F69" s="35"/>
      <c r="G69" s="35"/>
      <c r="H69" s="360" t="s">
        <v>28</v>
      </c>
      <c r="I69" s="361"/>
      <c r="J69" s="359"/>
      <c r="K69" s="204">
        <f>DATE(2022,6,1)</f>
        <v>44713</v>
      </c>
      <c r="L69" s="203" t="s">
        <v>76</v>
      </c>
      <c r="M69" s="205">
        <f>DATE(2022,6,30)</f>
        <v>44742</v>
      </c>
      <c r="N69" s="20"/>
      <c r="O69" s="401" t="s">
        <v>64</v>
      </c>
      <c r="P69" s="402"/>
      <c r="Q69" s="402"/>
      <c r="R69" s="403"/>
      <c r="S69" s="35"/>
      <c r="T69" s="132"/>
      <c r="U69" s="37"/>
      <c r="AH69" s="35"/>
    </row>
    <row r="70" spans="1:34" ht="18" customHeight="1" thickTop="1" x14ac:dyDescent="0.15">
      <c r="A70" s="34"/>
      <c r="B70" s="72"/>
      <c r="C70" s="24"/>
      <c r="D70" s="24"/>
      <c r="E70" s="36"/>
      <c r="F70" s="35"/>
      <c r="G70" s="35"/>
      <c r="H70" s="44"/>
      <c r="I70" s="44"/>
      <c r="J70" s="44"/>
      <c r="K70" s="47"/>
      <c r="L70" s="47"/>
      <c r="M70" s="44"/>
      <c r="N70" s="35"/>
      <c r="O70" s="44"/>
      <c r="P70" s="44"/>
      <c r="Q70" s="44"/>
      <c r="R70" s="44"/>
      <c r="S70" s="35"/>
      <c r="T70" s="44"/>
      <c r="U70" s="37"/>
      <c r="AH70" s="35"/>
    </row>
    <row r="71" spans="1:34" ht="18" customHeight="1" x14ac:dyDescent="0.15">
      <c r="A71" s="34"/>
      <c r="B71" s="113" t="str">
        <f>IF(E71=" "," ",IF(Employee!F$24&gt;E$69," ",IF(Employee!F$26&lt;E$69," ",Employee!D$30)))</f>
        <v xml:space="preserve"> </v>
      </c>
      <c r="C71" s="299"/>
      <c r="D71" s="299" t="s">
        <v>107</v>
      </c>
      <c r="E71" s="120" t="str">
        <f>IF(Employee!D$28="w"," ",IF(Employee!F$24&gt;E$69," ",IF(Employee!F$26&lt;E$69," ",Employee!D$29)))</f>
        <v xml:space="preserve"> </v>
      </c>
      <c r="F71" s="117" t="str">
        <f>IF(E71=" "," ",IF(Employee!F$24&gt;E$69," ",IF(Employee!F$26&lt;E$69," ",Employee!D$15)))</f>
        <v xml:space="preserve"> </v>
      </c>
      <c r="G71" s="130"/>
      <c r="H71" s="95">
        <f>IF(T$69="Y",May!H51,0)</f>
        <v>0</v>
      </c>
      <c r="I71" s="89">
        <f>IF(T$69="Y",May!I51,0)</f>
        <v>0</v>
      </c>
      <c r="J71" s="89">
        <f>IF(T$69="Y",May!J51,0)</f>
        <v>0</v>
      </c>
      <c r="K71" s="89">
        <f>IF(T$69="Y",May!K51,I71*J71)</f>
        <v>0</v>
      </c>
      <c r="L71" s="110">
        <f>IF(T$69="Y",May!L51,0)</f>
        <v>0</v>
      </c>
      <c r="M71" s="99" t="str">
        <f>IF(E71=" "," ",IF(T$69="Y",May!M51,IF((H71+K71+L71)&gt;0,H71+K71+L71," ")))</f>
        <v xml:space="preserve"> </v>
      </c>
      <c r="N71" s="95">
        <v>0</v>
      </c>
      <c r="O71" s="89">
        <v>0</v>
      </c>
      <c r="P71" s="89">
        <v>0</v>
      </c>
      <c r="Q71" s="110">
        <v>0</v>
      </c>
      <c r="R71" s="172" t="str">
        <f>IF(M71=" "," ",IF(M71=0," ",M71-SUM(N71:Q71)))</f>
        <v xml:space="preserve"> </v>
      </c>
      <c r="S71" s="94"/>
      <c r="T71" s="99">
        <v>0</v>
      </c>
      <c r="U71" s="39"/>
      <c r="V71" s="49">
        <f>IF(Employee!H$35=E$69,Employee!D$34+SUM(M71)+May!V51,SUM(M71)+May!V51)</f>
        <v>0</v>
      </c>
      <c r="W71" s="49">
        <f>IF(Employee!H$35=E$69,Employee!D$35+SUM(N71)+May!W51,SUM(N71)+May!W51)</f>
        <v>0</v>
      </c>
      <c r="X71" s="49">
        <f>IF(O71=" ",May!X51,O71+May!X51)</f>
        <v>0</v>
      </c>
      <c r="Y71" s="49">
        <f>IF(P71=" ",May!Y51,P71+May!Y51)</f>
        <v>0</v>
      </c>
      <c r="Z71" s="49">
        <f>IF(Q71=" ",May!Z51,Q71+May!Z51)</f>
        <v>0</v>
      </c>
      <c r="AA71" s="49">
        <f>IF(R71=" ",May!AA51,R71+May!AA51)</f>
        <v>0</v>
      </c>
      <c r="AC71" s="49">
        <f>IF(T71=" ",May!AC51,T71+May!AC51)</f>
        <v>0</v>
      </c>
      <c r="AD71" s="76">
        <f>IF(G71="SSP",H71,0)</f>
        <v>0</v>
      </c>
      <c r="AE71" s="76">
        <f>IF(G71="SMP",H71,0)</f>
        <v>0</v>
      </c>
      <c r="AF71" s="76">
        <f>IF(G71="SPP",H71,0)</f>
        <v>0</v>
      </c>
      <c r="AG71" s="76">
        <f>IF(G71="SAP",H71,0)</f>
        <v>0</v>
      </c>
      <c r="AH71" s="35"/>
    </row>
    <row r="72" spans="1:34" ht="18" customHeight="1" x14ac:dyDescent="0.15">
      <c r="A72" s="34"/>
      <c r="B72" s="115" t="str">
        <f>IF(E72=" "," ",IF(Employee!F$50&gt;E$69," ",IF(Employee!F$52&lt;E$69," ",Employee!D$56)))</f>
        <v xml:space="preserve"> </v>
      </c>
      <c r="C72" s="299"/>
      <c r="D72" s="299" t="s">
        <v>107</v>
      </c>
      <c r="E72" s="112" t="str">
        <f>IF(Employee!D$54="w"," ",IF(Employee!F$50&gt;E$69," ",IF(Employee!F$52&lt;E$69," ",Employee!D$55)))</f>
        <v xml:space="preserve"> </v>
      </c>
      <c r="F72" s="118" t="str">
        <f>IF(E72=" "," ",IF(Employee!F$50&gt;E$69," ",IF(Employee!F$52&lt;E$69," ",Employee!D$41)))</f>
        <v xml:space="preserve"> </v>
      </c>
      <c r="G72" s="130"/>
      <c r="H72" s="96">
        <f>IF(T$69="Y",May!H52,0)</f>
        <v>0</v>
      </c>
      <c r="I72" s="92">
        <f>IF(T$69="Y",May!I52,0)</f>
        <v>0</v>
      </c>
      <c r="J72" s="92">
        <f>IF(T$69="Y",May!J52,0)</f>
        <v>0</v>
      </c>
      <c r="K72" s="92">
        <f>IF(T$69="Y",May!K52,I72*J72)</f>
        <v>0</v>
      </c>
      <c r="L72" s="111">
        <f>IF(T$69="Y",May!L52,0)</f>
        <v>0</v>
      </c>
      <c r="M72" s="100" t="str">
        <f>IF(E72=" "," ",IF(T$69="Y",May!M52,IF((H72+K72+L72)&gt;0,H72+K72+L72," ")))</f>
        <v xml:space="preserve"> </v>
      </c>
      <c r="N72" s="96">
        <v>0</v>
      </c>
      <c r="O72" s="92">
        <v>0</v>
      </c>
      <c r="P72" s="92">
        <v>0</v>
      </c>
      <c r="Q72" s="111">
        <v>0</v>
      </c>
      <c r="R72" s="173" t="str">
        <f>IF(M72=" "," ",IF(M72=0," ",M72-SUM(N72:Q72)))</f>
        <v xml:space="preserve"> </v>
      </c>
      <c r="S72" s="94"/>
      <c r="T72" s="100">
        <v>0</v>
      </c>
      <c r="U72" s="39"/>
      <c r="V72" s="49">
        <f>IF(Employee!H$61=E$69,Employee!D$60+SUM(M72)+May!V52,SUM(M72)+May!V52)</f>
        <v>0</v>
      </c>
      <c r="W72" s="49">
        <f>IF(Employee!H$61=E$69,Employee!D$61+SUM(N72)+May!W52,SUM(N72)+May!W52)</f>
        <v>0</v>
      </c>
      <c r="X72" s="49">
        <f>IF(O72=" ",May!X52,O72+May!X52)</f>
        <v>0</v>
      </c>
      <c r="Y72" s="49">
        <f>IF(P72=" ",May!Y52,P72+May!Y52)</f>
        <v>0</v>
      </c>
      <c r="Z72" s="49">
        <f>IF(Q72=" ",May!Z52,Q72+May!Z52)</f>
        <v>0</v>
      </c>
      <c r="AA72" s="49">
        <f>IF(R72=" ",May!AA52,R72+May!AA52)</f>
        <v>0</v>
      </c>
      <c r="AC72" s="49">
        <f>IF(T72=" ",May!AC52,T72+May!AC52)</f>
        <v>0</v>
      </c>
      <c r="AD72" s="76">
        <f>IF(G72="SSP",H72,0)</f>
        <v>0</v>
      </c>
      <c r="AE72" s="76">
        <f>IF(G72="SMP",H72,0)</f>
        <v>0</v>
      </c>
      <c r="AF72" s="76">
        <f>IF(G72="SPP",H72,0)</f>
        <v>0</v>
      </c>
      <c r="AG72" s="76">
        <f>IF(G72="SAP",H72,0)</f>
        <v>0</v>
      </c>
      <c r="AH72" s="35"/>
    </row>
    <row r="73" spans="1:34" ht="18" customHeight="1" x14ac:dyDescent="0.15">
      <c r="A73" s="34"/>
      <c r="B73" s="115" t="str">
        <f>IF(E73=" "," ",IF(Employee!F$76&gt;E$69," ",IF(Employee!F$78&lt;E$69," ",Employee!D$82)))</f>
        <v xml:space="preserve"> </v>
      </c>
      <c r="C73" s="299"/>
      <c r="D73" s="299" t="s">
        <v>107</v>
      </c>
      <c r="E73" s="112" t="str">
        <f>IF(Employee!D$80="w"," ",IF(Employee!F$76&gt;E$69," ",IF(Employee!F$78&lt;E$69," ",Employee!D$81)))</f>
        <v xml:space="preserve"> </v>
      </c>
      <c r="F73" s="118" t="str">
        <f>IF(E73=" "," ",IF(Employee!F$76&gt;E$69," ",IF(Employee!F$78&lt;E$69," ",Employee!D$67)))</f>
        <v xml:space="preserve"> </v>
      </c>
      <c r="G73" s="130"/>
      <c r="H73" s="96">
        <f>IF(T$69="Y",May!H53,0)</f>
        <v>0</v>
      </c>
      <c r="I73" s="92">
        <f>IF(T$69="Y",May!I53,0)</f>
        <v>0</v>
      </c>
      <c r="J73" s="92">
        <f>IF(T$69="Y",May!J53,0)</f>
        <v>0</v>
      </c>
      <c r="K73" s="92">
        <f>IF(T$69="Y",May!K53,I73*J73)</f>
        <v>0</v>
      </c>
      <c r="L73" s="111">
        <f>IF(T$69="Y",May!L53,0)</f>
        <v>0</v>
      </c>
      <c r="M73" s="100" t="str">
        <f>IF(E73=" "," ",IF(T$69="Y",May!M53,IF((H73+K73+L73)&gt;0,H73+K73+L73," ")))</f>
        <v xml:space="preserve"> </v>
      </c>
      <c r="N73" s="96">
        <v>0</v>
      </c>
      <c r="O73" s="92">
        <v>0</v>
      </c>
      <c r="P73" s="92">
        <v>0</v>
      </c>
      <c r="Q73" s="111">
        <v>0</v>
      </c>
      <c r="R73" s="173" t="str">
        <f>IF(M73=" "," ",IF(M73=0," ",M73-SUM(N73:Q73)))</f>
        <v xml:space="preserve"> </v>
      </c>
      <c r="S73" s="94"/>
      <c r="T73" s="100">
        <v>0</v>
      </c>
      <c r="U73" s="39"/>
      <c r="V73" s="49">
        <f>IF(Employee!H$87=E$69,Employee!D$86+SUM(M73)+May!V53,SUM(M73)+May!V53)</f>
        <v>0</v>
      </c>
      <c r="W73" s="49">
        <f>IF(Employee!H$87=E$69,Employee!D$87+SUM(N73)+May!W53,SUM(N73)+May!W53)</f>
        <v>0</v>
      </c>
      <c r="X73" s="49">
        <f>IF(O73=" ",May!X53,O73+May!X53)</f>
        <v>0</v>
      </c>
      <c r="Y73" s="49">
        <f>IF(P73=" ",May!Y53,P73+May!Y53)</f>
        <v>0</v>
      </c>
      <c r="Z73" s="49">
        <f>IF(Q73=" ",May!Z53,Q73+May!Z53)</f>
        <v>0</v>
      </c>
      <c r="AA73" s="49">
        <f>IF(R73=" ",May!AA53,R73+May!AA53)</f>
        <v>0</v>
      </c>
      <c r="AC73" s="49">
        <f>IF(T73=" ",May!AC53,T73+May!AC53)</f>
        <v>0</v>
      </c>
      <c r="AD73" s="76">
        <f>IF(G73="SSP",H73,0)</f>
        <v>0</v>
      </c>
      <c r="AE73" s="76">
        <f>IF(G73="SMP",H73,0)</f>
        <v>0</v>
      </c>
      <c r="AF73" s="76">
        <f>IF(G73="SPP",H73,0)</f>
        <v>0</v>
      </c>
      <c r="AG73" s="76">
        <f>IF(G73="SAP",H73,0)</f>
        <v>0</v>
      </c>
      <c r="AH73" s="35"/>
    </row>
    <row r="74" spans="1:34" ht="18" customHeight="1" x14ac:dyDescent="0.15">
      <c r="A74" s="34"/>
      <c r="B74" s="115" t="str">
        <f>IF(E74=" "," ",IF(Employee!F$102&gt;E$69," ",IF(Employee!F$104&lt;E$69," ",Employee!D$108)))</f>
        <v xml:space="preserve"> </v>
      </c>
      <c r="C74" s="299"/>
      <c r="D74" s="299" t="s">
        <v>107</v>
      </c>
      <c r="E74" s="112" t="str">
        <f>IF(Employee!D$106="w"," ",IF(Employee!F$102&gt;E$69," ",IF(Employee!F$104&lt;E$69," ",Employee!D$107)))</f>
        <v xml:space="preserve"> </v>
      </c>
      <c r="F74" s="118" t="str">
        <f>IF(E74=" "," ",IF(Employee!F$102&gt;E$69," ",IF(Employee!F$104&lt;E$69," ",Employee!D$93)))</f>
        <v xml:space="preserve"> </v>
      </c>
      <c r="G74" s="130"/>
      <c r="H74" s="96">
        <f>IF(T$69="Y",May!H54,0)</f>
        <v>0</v>
      </c>
      <c r="I74" s="92">
        <f>IF(T$69="Y",May!I54,0)</f>
        <v>0</v>
      </c>
      <c r="J74" s="92">
        <f>IF(T$69="Y",May!J54,0)</f>
        <v>0</v>
      </c>
      <c r="K74" s="92">
        <f>IF(T$69="Y",May!K54,I74*J74)</f>
        <v>0</v>
      </c>
      <c r="L74" s="111">
        <f>IF(T$69="Y",May!L54,0)</f>
        <v>0</v>
      </c>
      <c r="M74" s="100" t="str">
        <f>IF(E74=" "," ",IF(T$69="Y",May!M54,IF((H74+K74+L74)&gt;0,H74+K74+L74," ")))</f>
        <v xml:space="preserve"> </v>
      </c>
      <c r="N74" s="96">
        <v>0</v>
      </c>
      <c r="O74" s="92">
        <v>0</v>
      </c>
      <c r="P74" s="92">
        <v>0</v>
      </c>
      <c r="Q74" s="111">
        <v>0</v>
      </c>
      <c r="R74" s="173" t="str">
        <f>IF(M74=" "," ",IF(M74=0," ",M74-SUM(N74:Q74)))</f>
        <v xml:space="preserve"> </v>
      </c>
      <c r="S74" s="94"/>
      <c r="T74" s="100">
        <v>0</v>
      </c>
      <c r="U74" s="39"/>
      <c r="V74" s="49">
        <f>IF(Employee!H$113=E$69,Employee!D$112+SUM(M74)+May!V54,SUM(M74)+May!V54)</f>
        <v>0</v>
      </c>
      <c r="W74" s="49">
        <f>IF(Employee!H$113=E$69,Employee!D$113+SUM(N74)+May!W54,SUM(N74)+May!W54)</f>
        <v>0</v>
      </c>
      <c r="X74" s="49">
        <f>IF(O74=" ",May!X54,O74+May!X54)</f>
        <v>0</v>
      </c>
      <c r="Y74" s="49">
        <f>IF(P74=" ",May!Y54,P74+May!Y54)</f>
        <v>0</v>
      </c>
      <c r="Z74" s="49">
        <f>IF(Q74=" ",May!Z54,Q74+May!Z54)</f>
        <v>0</v>
      </c>
      <c r="AA74" s="49">
        <f>IF(R74=" ",May!AA54,R74+May!AA54)</f>
        <v>0</v>
      </c>
      <c r="AC74" s="49">
        <f>IF(T74=" ",May!AC54,T74+May!AC54)</f>
        <v>0</v>
      </c>
      <c r="AD74" s="76">
        <f>IF(G74="SSP",H74,0)</f>
        <v>0</v>
      </c>
      <c r="AE74" s="76">
        <f>IF(G74="SMP",H74,0)</f>
        <v>0</v>
      </c>
      <c r="AF74" s="76">
        <f>IF(G74="SPP",H74,0)</f>
        <v>0</v>
      </c>
      <c r="AG74" s="76">
        <f>IF(G74="SAP",H74,0)</f>
        <v>0</v>
      </c>
      <c r="AH74" s="35"/>
    </row>
    <row r="75" spans="1:34" ht="18" customHeight="1" thickBot="1" x14ac:dyDescent="0.2">
      <c r="A75" s="34"/>
      <c r="B75" s="115" t="str">
        <f>IF(E75=" "," ",IF(Employee!F$128&gt;E$69," ",IF(Employee!F$130&lt;E$69," ",Employee!D$134)))</f>
        <v xml:space="preserve"> </v>
      </c>
      <c r="C75" s="299"/>
      <c r="D75" s="299" t="s">
        <v>107</v>
      </c>
      <c r="E75" s="112" t="str">
        <f>IF(Employee!D$132="w"," ",IF(Employee!F$128&gt;E$69," ",IF(Employee!F$130&lt;E$69," ",Employee!D$133)))</f>
        <v xml:space="preserve"> </v>
      </c>
      <c r="F75" s="118" t="str">
        <f>IF(E75=" "," ",IF(Employee!F$128&gt;E$69," ",IF(Employee!F$130&lt;E$69," ",Employee!D$119)))</f>
        <v xml:space="preserve"> </v>
      </c>
      <c r="G75" s="130"/>
      <c r="H75" s="244">
        <f>IF(T$69="Y",May!H55,0)</f>
        <v>0</v>
      </c>
      <c r="I75" s="245">
        <f>IF(T$69="Y",May!I55,0)</f>
        <v>0</v>
      </c>
      <c r="J75" s="245">
        <f>IF(T$69="Y",May!J55,0)</f>
        <v>0</v>
      </c>
      <c r="K75" s="245">
        <f>IF(T$69="Y",May!K55,I75*J75)</f>
        <v>0</v>
      </c>
      <c r="L75" s="246">
        <f>IF(T$69="Y",May!L55,0)</f>
        <v>0</v>
      </c>
      <c r="M75" s="100" t="str">
        <f>IF(E75=" "," ",IF(T$69="Y",May!M55,IF((H75+K75+L75)&gt;0,H75+K75+L75," ")))</f>
        <v xml:space="preserve"> </v>
      </c>
      <c r="N75" s="244">
        <v>0</v>
      </c>
      <c r="O75" s="245">
        <v>0</v>
      </c>
      <c r="P75" s="245">
        <v>0</v>
      </c>
      <c r="Q75" s="246">
        <v>0</v>
      </c>
      <c r="R75" s="173" t="str">
        <f>IF(M75=" "," ",IF(M75=0," ",M75-SUM(N75:Q75)))</f>
        <v xml:space="preserve"> </v>
      </c>
      <c r="S75" s="94"/>
      <c r="T75" s="247">
        <v>0</v>
      </c>
      <c r="U75" s="39"/>
      <c r="V75" s="49">
        <f>IF(Employee!H$139=E$69,Employee!D$138+SUM(M75)+May!V55,SUM(M75)+May!V55)</f>
        <v>0</v>
      </c>
      <c r="W75" s="49">
        <f>IF(Employee!H$139=E$69,Employee!D$139+SUM(N75)+May!W55,SUM(N75)+May!W55)</f>
        <v>0</v>
      </c>
      <c r="X75" s="49">
        <f>IF(O75=" ",May!X55,O75+May!X55)</f>
        <v>0</v>
      </c>
      <c r="Y75" s="49">
        <f>IF(P75=" ",May!Y55,P75+May!Y55)</f>
        <v>0</v>
      </c>
      <c r="Z75" s="49">
        <f>IF(Q75=" ",May!Z55,Q75+May!Z55)</f>
        <v>0</v>
      </c>
      <c r="AA75" s="49">
        <f>IF(R75=" ",May!AA55,R75+May!AA55)</f>
        <v>0</v>
      </c>
      <c r="AC75" s="49">
        <f>IF(T75=" ",May!AC55,T75+May!AC55)</f>
        <v>0</v>
      </c>
      <c r="AD75" s="76">
        <f>IF(G75="SSP",H75,0)</f>
        <v>0</v>
      </c>
      <c r="AE75" s="76">
        <f>IF(G75="SMP",H75,0)</f>
        <v>0</v>
      </c>
      <c r="AF75" s="76">
        <f>IF(G75="SPP",H75,0)</f>
        <v>0</v>
      </c>
      <c r="AG75" s="76">
        <f>IF(G75="SAP",H75,0)</f>
        <v>0</v>
      </c>
      <c r="AH75" s="35"/>
    </row>
    <row r="76" spans="1:34" ht="18" customHeight="1" thickTop="1" thickBot="1" x14ac:dyDescent="0.2">
      <c r="A76" s="38"/>
      <c r="B76" s="123"/>
      <c r="C76" s="121"/>
      <c r="D76" s="121"/>
      <c r="E76" s="122"/>
      <c r="F76" s="358" t="s">
        <v>7</v>
      </c>
      <c r="G76" s="359"/>
      <c r="H76" s="101"/>
      <c r="I76" s="102"/>
      <c r="J76" s="102"/>
      <c r="K76" s="134"/>
      <c r="L76" s="134"/>
      <c r="M76" s="127">
        <f t="shared" ref="M76:R76" si="13">SUM(M71:M75)</f>
        <v>0</v>
      </c>
      <c r="N76" s="127">
        <f t="shared" si="13"/>
        <v>0</v>
      </c>
      <c r="O76" s="127">
        <f t="shared" si="13"/>
        <v>0</v>
      </c>
      <c r="P76" s="127">
        <f t="shared" si="13"/>
        <v>0</v>
      </c>
      <c r="Q76" s="127">
        <f t="shared" si="13"/>
        <v>0</v>
      </c>
      <c r="R76" s="127">
        <f t="shared" si="13"/>
        <v>0</v>
      </c>
      <c r="S76" s="94"/>
      <c r="T76" s="127">
        <f>SUM(T71:T75)</f>
        <v>0</v>
      </c>
      <c r="U76" s="40"/>
      <c r="V76" s="49"/>
      <c r="AH76" s="35"/>
    </row>
    <row r="77" spans="1:34" ht="24" customHeight="1" x14ac:dyDescent="0.15">
      <c r="B77" s="370"/>
      <c r="C77" s="370"/>
      <c r="D77" s="370"/>
      <c r="E77" s="370"/>
      <c r="F77" s="370"/>
      <c r="G77" s="370"/>
      <c r="H77" s="370"/>
      <c r="I77" s="370"/>
      <c r="J77" s="370"/>
      <c r="K77" s="370"/>
      <c r="L77" s="370"/>
      <c r="M77" s="370"/>
      <c r="N77" s="370"/>
      <c r="O77" s="370"/>
      <c r="P77" s="370"/>
      <c r="Q77" s="370"/>
      <c r="R77" s="370"/>
      <c r="S77" s="370"/>
      <c r="T77" s="370"/>
      <c r="U77" s="35"/>
    </row>
    <row r="78" spans="1:34" ht="12.75" customHeight="1" x14ac:dyDescent="0.15">
      <c r="AD78" s="157">
        <f>SUM(AD11:AD76)</f>
        <v>0</v>
      </c>
      <c r="AE78" s="157">
        <f>SUM(AE11:AE76)</f>
        <v>0</v>
      </c>
      <c r="AF78" s="157">
        <f>SUM(AF11:AF76)</f>
        <v>0</v>
      </c>
      <c r="AG78" s="157">
        <f>SUM(AG11:AG76)</f>
        <v>0</v>
      </c>
    </row>
    <row r="79" spans="1:34" ht="13.5" customHeight="1" thickBot="1" x14ac:dyDescent="0.2">
      <c r="F79" s="181" t="s">
        <v>71</v>
      </c>
      <c r="G79" s="180"/>
      <c r="H79" s="180"/>
      <c r="M79" s="415" t="s">
        <v>74</v>
      </c>
      <c r="N79" s="416"/>
      <c r="O79" s="416"/>
      <c r="P79" s="416"/>
      <c r="Q79" s="416"/>
      <c r="R79" s="416"/>
      <c r="T79" s="183"/>
    </row>
    <row r="80" spans="1:34" ht="12.75" customHeight="1" x14ac:dyDescent="0.15">
      <c r="F80" s="198" t="str">
        <f>IF(B71="D",Employee!D15," ")</f>
        <v xml:space="preserve"> </v>
      </c>
      <c r="M80" s="185" t="str">
        <f>IF(B71="D",M71," ")</f>
        <v xml:space="preserve"> </v>
      </c>
      <c r="N80" s="186" t="str">
        <f>IF(B71="D",N71," ")</f>
        <v xml:space="preserve"> </v>
      </c>
      <c r="O80" s="186" t="str">
        <f>IF(B71="D",O71," ")</f>
        <v xml:space="preserve"> </v>
      </c>
      <c r="P80" s="186" t="str">
        <f>IF(B71="D",P71," ")</f>
        <v xml:space="preserve"> </v>
      </c>
      <c r="Q80" s="186" t="str">
        <f>IF(B71="D",Q71," ")</f>
        <v xml:space="preserve"> </v>
      </c>
      <c r="R80" s="187" t="str">
        <f>IF(B71="D",R71," ")</f>
        <v xml:space="preserve"> </v>
      </c>
      <c r="S80" s="188"/>
      <c r="T80" s="189" t="str">
        <f>IF(B71="D",T71," ")</f>
        <v xml:space="preserve"> </v>
      </c>
      <c r="AD80" s="159">
        <f>IF((AD78-(O1+T1)*0.13)&gt;0,AD78-(Q1+T1)*0.13,0)</f>
        <v>0</v>
      </c>
      <c r="AE80" s="159">
        <f>AE78</f>
        <v>0</v>
      </c>
      <c r="AF80" s="159">
        <f>AF78</f>
        <v>0</v>
      </c>
      <c r="AG80" s="159">
        <f>AG78</f>
        <v>0</v>
      </c>
    </row>
    <row r="81" spans="6:33" x14ac:dyDescent="0.15">
      <c r="F81" s="198" t="str">
        <f>IF(B72="D",Employee!D41," ")</f>
        <v xml:space="preserve"> </v>
      </c>
      <c r="M81" s="190" t="str">
        <f>IF(B72="D",M72," ")</f>
        <v xml:space="preserve"> </v>
      </c>
      <c r="N81" s="191" t="str">
        <f>IF(B72="D",N72," ")</f>
        <v xml:space="preserve"> </v>
      </c>
      <c r="O81" s="191" t="str">
        <f>IF(B72="D",O72," ")</f>
        <v xml:space="preserve"> </v>
      </c>
      <c r="P81" s="191" t="str">
        <f>IF(B72="D",P72," ")</f>
        <v xml:space="preserve"> </v>
      </c>
      <c r="Q81" s="191" t="str">
        <f>IF(B72="D",Q72," ")</f>
        <v xml:space="preserve"> </v>
      </c>
      <c r="R81" s="192" t="str">
        <f>IF(B72="D",R72," ")</f>
        <v xml:space="preserve"> </v>
      </c>
      <c r="S81" s="188"/>
      <c r="T81" s="193" t="str">
        <f>IF(B72="D",T72," ")</f>
        <v xml:space="preserve"> </v>
      </c>
    </row>
    <row r="82" spans="6:33" ht="12.75" customHeight="1" x14ac:dyDescent="0.15">
      <c r="F82" s="198" t="str">
        <f>IF(B73="D",Employee!D67," ")</f>
        <v xml:space="preserve"> </v>
      </c>
      <c r="M82" s="190" t="str">
        <f>IF(B73="D",M73," ")</f>
        <v xml:space="preserve"> </v>
      </c>
      <c r="N82" s="191" t="str">
        <f>IF(B73="D",N73," ")</f>
        <v xml:space="preserve"> </v>
      </c>
      <c r="O82" s="191" t="str">
        <f>IF(B73="D",O73," ")</f>
        <v xml:space="preserve"> </v>
      </c>
      <c r="P82" s="191" t="str">
        <f>IF(B73="D",P73," ")</f>
        <v xml:space="preserve"> </v>
      </c>
      <c r="Q82" s="191" t="str">
        <f>IF(B73="D",Q73," ")</f>
        <v xml:space="preserve"> </v>
      </c>
      <c r="R82" s="192" t="str">
        <f>IF(B73="D",R73," ")</f>
        <v xml:space="preserve"> </v>
      </c>
      <c r="S82" s="188"/>
      <c r="T82" s="193" t="str">
        <f>IF(B73="D",T73," ")</f>
        <v xml:space="preserve"> </v>
      </c>
      <c r="AD82" s="162"/>
      <c r="AE82" s="159">
        <f>AE80*0.045</f>
        <v>0</v>
      </c>
      <c r="AF82" s="159">
        <f>AF80*0.045</f>
        <v>0</v>
      </c>
      <c r="AG82" s="159">
        <f>AG80*0.045</f>
        <v>0</v>
      </c>
    </row>
    <row r="83" spans="6:33" x14ac:dyDescent="0.15">
      <c r="F83" s="198" t="str">
        <f>IF(B74="D",Employee!D93," ")</f>
        <v xml:space="preserve"> </v>
      </c>
      <c r="M83" s="190" t="str">
        <f>IF(B74="D",M74," ")</f>
        <v xml:space="preserve"> </v>
      </c>
      <c r="N83" s="191" t="str">
        <f>IF(B74="D",N74," ")</f>
        <v xml:space="preserve"> </v>
      </c>
      <c r="O83" s="191" t="str">
        <f>IF(B74="D",O74," ")</f>
        <v xml:space="preserve"> </v>
      </c>
      <c r="P83" s="191" t="str">
        <f>IF(B74="D",P74," ")</f>
        <v xml:space="preserve"> </v>
      </c>
      <c r="Q83" s="191" t="str">
        <f>IF(B74="D",Q74," ")</f>
        <v xml:space="preserve"> </v>
      </c>
      <c r="R83" s="192" t="str">
        <f>IF(B74="D",R74," ")</f>
        <v xml:space="preserve"> </v>
      </c>
      <c r="S83" s="188"/>
      <c r="T83" s="193" t="str">
        <f>IF(B74="D",T74," ")</f>
        <v xml:space="preserve"> </v>
      </c>
    </row>
    <row r="84" spans="6:33" ht="14" thickBot="1" x14ac:dyDescent="0.2">
      <c r="F84" s="198" t="str">
        <f>IF(B75="D",Employee!D119," ")</f>
        <v xml:space="preserve"> </v>
      </c>
      <c r="M84" s="194" t="str">
        <f>IF(B75="D",M75," ")</f>
        <v xml:space="preserve"> </v>
      </c>
      <c r="N84" s="195" t="str">
        <f>IF(B75="D",N75," ")</f>
        <v xml:space="preserve"> </v>
      </c>
      <c r="O84" s="195" t="str">
        <f>IF(B75="D",O75," ")</f>
        <v xml:space="preserve"> </v>
      </c>
      <c r="P84" s="195" t="str">
        <f>IF(B75="D",P75," ")</f>
        <v xml:space="preserve"> </v>
      </c>
      <c r="Q84" s="195" t="str">
        <f>IF(B75="D",Q75," ")</f>
        <v xml:space="preserve"> </v>
      </c>
      <c r="R84" s="196" t="str">
        <f>IF(B75="D",R75," ")</f>
        <v xml:space="preserve"> </v>
      </c>
      <c r="S84" s="188"/>
      <c r="T84" s="197" t="str">
        <f>IF(B75="D",T75," ")</f>
        <v xml:space="preserve"> </v>
      </c>
    </row>
    <row r="85" spans="6:33" ht="14" thickBot="1" x14ac:dyDescent="0.2">
      <c r="F85" s="182" t="s">
        <v>73</v>
      </c>
      <c r="M85" s="184">
        <f t="shared" ref="M85:R85" si="14">SUM(M80:M84)</f>
        <v>0</v>
      </c>
      <c r="N85" s="184">
        <f t="shared" si="14"/>
        <v>0</v>
      </c>
      <c r="O85" s="184">
        <f t="shared" si="14"/>
        <v>0</v>
      </c>
      <c r="P85" s="184">
        <f t="shared" si="14"/>
        <v>0</v>
      </c>
      <c r="Q85" s="184">
        <f t="shared" si="14"/>
        <v>0</v>
      </c>
      <c r="R85" s="184">
        <f t="shared" si="14"/>
        <v>0</v>
      </c>
      <c r="S85" s="188"/>
      <c r="T85" s="184">
        <f>SUM(T80:T84)</f>
        <v>0</v>
      </c>
      <c r="AD85" s="158">
        <f>AD80+May!AD65</f>
        <v>0</v>
      </c>
      <c r="AE85" s="158">
        <f>AE80+May!AE65</f>
        <v>0</v>
      </c>
      <c r="AF85" s="158">
        <f>AF80+May!AF65</f>
        <v>0</v>
      </c>
      <c r="AG85" s="158">
        <f>AG80+May!AG65</f>
        <v>0</v>
      </c>
    </row>
    <row r="86" spans="6:33" ht="14" thickTop="1" x14ac:dyDescent="0.15"/>
    <row r="87" spans="6:33" x14ac:dyDescent="0.15">
      <c r="AD87" s="162"/>
      <c r="AE87" s="158">
        <f>AE82+May!AE67</f>
        <v>0</v>
      </c>
      <c r="AF87" s="158">
        <f>AF82+May!AF67</f>
        <v>0</v>
      </c>
      <c r="AG87" s="158">
        <f>AG82+May!AG67</f>
        <v>0</v>
      </c>
    </row>
  </sheetData>
  <mergeCells count="96">
    <mergeCell ref="O19:R19"/>
    <mergeCell ref="AD1:AG2"/>
    <mergeCell ref="G1:H1"/>
    <mergeCell ref="I1:L1"/>
    <mergeCell ref="B3:B6"/>
    <mergeCell ref="C3:C6"/>
    <mergeCell ref="D3:D6"/>
    <mergeCell ref="E3:E6"/>
    <mergeCell ref="G2:H2"/>
    <mergeCell ref="I2:L2"/>
    <mergeCell ref="AD3:AD6"/>
    <mergeCell ref="B1:F2"/>
    <mergeCell ref="V1:AC2"/>
    <mergeCell ref="AF3:AF6"/>
    <mergeCell ref="B17:T17"/>
    <mergeCell ref="B18:E18"/>
    <mergeCell ref="O18:Q18"/>
    <mergeCell ref="R18:T18"/>
    <mergeCell ref="Q3:Q6"/>
    <mergeCell ref="O8:Q8"/>
    <mergeCell ref="B9:D9"/>
    <mergeCell ref="M3:M6"/>
    <mergeCell ref="P3:P6"/>
    <mergeCell ref="B27:T27"/>
    <mergeCell ref="O28:Q28"/>
    <mergeCell ref="R28:T28"/>
    <mergeCell ref="O39:R39"/>
    <mergeCell ref="O38:Q38"/>
    <mergeCell ref="R38:T38"/>
    <mergeCell ref="O29:R29"/>
    <mergeCell ref="B29:D29"/>
    <mergeCell ref="H29:J29"/>
    <mergeCell ref="O49:R49"/>
    <mergeCell ref="AG3:AG6"/>
    <mergeCell ref="AE3:AE6"/>
    <mergeCell ref="B7:T7"/>
    <mergeCell ref="B8:E8"/>
    <mergeCell ref="R8:T8"/>
    <mergeCell ref="AC3:AC6"/>
    <mergeCell ref="T3:T6"/>
    <mergeCell ref="V3:V6"/>
    <mergeCell ref="W3:W6"/>
    <mergeCell ref="U1:U6"/>
    <mergeCell ref="X3:X6"/>
    <mergeCell ref="Y3:Y6"/>
    <mergeCell ref="Z3:Z6"/>
    <mergeCell ref="AA3:AA6"/>
    <mergeCell ref="F26:G26"/>
    <mergeCell ref="F56:G56"/>
    <mergeCell ref="B57:T57"/>
    <mergeCell ref="O58:Q58"/>
    <mergeCell ref="R58:T58"/>
    <mergeCell ref="B58:E58"/>
    <mergeCell ref="O48:Q48"/>
    <mergeCell ref="R48:T48"/>
    <mergeCell ref="B59:D59"/>
    <mergeCell ref="B28:E28"/>
    <mergeCell ref="F46:G46"/>
    <mergeCell ref="B47:T47"/>
    <mergeCell ref="B48:E48"/>
    <mergeCell ref="H39:J39"/>
    <mergeCell ref="O59:R59"/>
    <mergeCell ref="H59:J59"/>
    <mergeCell ref="F36:G36"/>
    <mergeCell ref="B37:T37"/>
    <mergeCell ref="B38:E38"/>
    <mergeCell ref="B39:D39"/>
    <mergeCell ref="B49:D49"/>
    <mergeCell ref="H49:J49"/>
    <mergeCell ref="A1:A6"/>
    <mergeCell ref="F76:G76"/>
    <mergeCell ref="N3:N6"/>
    <mergeCell ref="O3:O6"/>
    <mergeCell ref="H9:J9"/>
    <mergeCell ref="O9:R9"/>
    <mergeCell ref="R3:R6"/>
    <mergeCell ref="B19:D19"/>
    <mergeCell ref="H19:J19"/>
    <mergeCell ref="F3:F6"/>
    <mergeCell ref="H3:H6"/>
    <mergeCell ref="I3:I6"/>
    <mergeCell ref="J3:J6"/>
    <mergeCell ref="K3:K6"/>
    <mergeCell ref="L3:L6"/>
    <mergeCell ref="F16:G16"/>
    <mergeCell ref="B60:E60"/>
    <mergeCell ref="M79:R79"/>
    <mergeCell ref="R68:T68"/>
    <mergeCell ref="B77:T77"/>
    <mergeCell ref="F66:G66"/>
    <mergeCell ref="B67:T67"/>
    <mergeCell ref="O68:Q68"/>
    <mergeCell ref="B69:D69"/>
    <mergeCell ref="H69:J69"/>
    <mergeCell ref="O69:R69"/>
    <mergeCell ref="B68:E68"/>
  </mergeCells>
  <phoneticPr fontId="6" type="noConversion"/>
  <dataValidations count="1">
    <dataValidation type="list" allowBlank="1" showInputMessage="1" showErrorMessage="1" sqref="G71:G75 G51:G55 G31:G35 G11:G15 G21:G25 G41:G45 G61:G65" xr:uid="{00000000-0002-0000-0C00-000000000000}">
      <formula1>$G$3:$G$6</formula1>
    </dataValidation>
  </dataValidations>
  <hyperlinks>
    <hyperlink ref="B1" r:id="rId1" xr:uid="{00000000-0004-0000-0C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2:N78"/>
  <sheetViews>
    <sheetView zoomScaleNormal="100" workbookViewId="0">
      <selection activeCell="H3" sqref="H3"/>
    </sheetView>
  </sheetViews>
  <sheetFormatPr baseColWidth="10" defaultColWidth="9.1640625" defaultRowHeight="11" x14ac:dyDescent="0.15"/>
  <cols>
    <col min="1" max="1" width="2.6640625" style="254" customWidth="1"/>
    <col min="2" max="2" width="12.6640625" style="254" customWidth="1"/>
    <col min="3" max="4" width="10.6640625" style="254" customWidth="1"/>
    <col min="5" max="7" width="12.6640625" style="254" customWidth="1"/>
    <col min="8" max="9" width="10.6640625" style="254" customWidth="1"/>
    <col min="10" max="11" width="5.6640625" style="254" customWidth="1"/>
    <col min="12" max="12" width="10.6640625" style="254" customWidth="1"/>
    <col min="13" max="13" width="12.6640625" style="254" customWidth="1"/>
    <col min="14" max="14" width="2.6640625" style="254" customWidth="1"/>
    <col min="15" max="16384" width="9.1640625" style="254"/>
  </cols>
  <sheetData>
    <row r="2" spans="1:14" ht="12" x14ac:dyDescent="0.15">
      <c r="B2" s="293"/>
      <c r="C2" s="288"/>
      <c r="D2" s="288"/>
      <c r="E2" s="288"/>
      <c r="F2" s="288"/>
      <c r="G2" s="288"/>
      <c r="H2" s="288"/>
      <c r="I2" s="288"/>
      <c r="J2" s="288"/>
      <c r="K2" s="288"/>
      <c r="L2" s="288"/>
      <c r="M2" s="289"/>
    </row>
    <row r="3" spans="1:14" s="255" customFormat="1" ht="13" x14ac:dyDescent="0.15">
      <c r="B3" s="294" t="s">
        <v>129</v>
      </c>
      <c r="C3" s="264"/>
      <c r="D3" s="264"/>
      <c r="E3" s="264"/>
      <c r="F3" s="211" t="s">
        <v>136</v>
      </c>
      <c r="G3" s="297" t="s">
        <v>131</v>
      </c>
      <c r="H3" s="297" t="str">
        <f>LOOKUP(F4,IF(F3="W",Admin!C2:C381,IF(F3="M",Admin!D2:D381," ")),Admin!A2:A381)</f>
        <v>Jul</v>
      </c>
      <c r="I3" s="478" t="str">
        <f>IF(M3="ERROR","Enter W or M in cell F3"," ")</f>
        <v xml:space="preserve"> </v>
      </c>
      <c r="J3" s="478"/>
      <c r="K3" s="478"/>
      <c r="L3" s="478"/>
      <c r="M3" s="296" t="b">
        <f>IF(ISERROR(H3),"ERROR")</f>
        <v>0</v>
      </c>
    </row>
    <row r="4" spans="1:14" s="255" customFormat="1" ht="13" x14ac:dyDescent="0.15">
      <c r="B4" s="294" t="s">
        <v>130</v>
      </c>
      <c r="C4" s="264"/>
      <c r="D4" s="264"/>
      <c r="E4" s="264"/>
      <c r="F4" s="210">
        <v>1</v>
      </c>
      <c r="G4" s="297" t="s">
        <v>132</v>
      </c>
      <c r="H4" s="297">
        <f>IF(F$3="W",8+10*(LOOKUP(F4,Admin!C2:C381,Admin!F2:F381)-1),8+10*LOOKUP(F4,Admin!H8:H19,Admin!I8:I19))</f>
        <v>8</v>
      </c>
      <c r="I4" s="478" t="str">
        <f>IF(M3="ERROR","Enter 1 to 53 in cell F4"," ")</f>
        <v xml:space="preserve"> </v>
      </c>
      <c r="J4" s="478"/>
      <c r="K4" s="478"/>
      <c r="L4" s="478"/>
      <c r="M4" s="295"/>
    </row>
    <row r="5" spans="1:14" s="255" customFormat="1" ht="13" x14ac:dyDescent="0.15">
      <c r="B5" s="292"/>
      <c r="C5" s="290"/>
      <c r="D5" s="290"/>
      <c r="E5" s="290"/>
      <c r="F5" s="290"/>
      <c r="G5" s="290"/>
      <c r="H5" s="290"/>
      <c r="I5" s="290"/>
      <c r="J5" s="290"/>
      <c r="K5" s="290"/>
      <c r="L5" s="290"/>
      <c r="M5" s="291"/>
    </row>
    <row r="6" spans="1:14" ht="21" customHeight="1" x14ac:dyDescent="0.15">
      <c r="A6" s="454"/>
      <c r="B6" s="454"/>
      <c r="C6" s="454"/>
      <c r="D6" s="454"/>
      <c r="E6" s="454"/>
      <c r="F6" s="454"/>
      <c r="G6" s="454"/>
      <c r="H6" s="454"/>
      <c r="I6" s="454"/>
      <c r="J6" s="454"/>
      <c r="K6" s="454"/>
      <c r="L6" s="454"/>
      <c r="M6" s="454"/>
      <c r="N6" s="454"/>
    </row>
    <row r="7" spans="1:14" ht="25" customHeight="1" x14ac:dyDescent="0.2">
      <c r="A7" s="256"/>
      <c r="B7" s="472" t="str">
        <f ca="1">IF(M14=" "," ",Employee!$D$5)</f>
        <v xml:space="preserve"> </v>
      </c>
      <c r="C7" s="472"/>
      <c r="D7" s="472"/>
      <c r="E7" s="472"/>
      <c r="F7" s="472"/>
      <c r="G7" s="467" t="str">
        <f ca="1">IF(G14=" "," ",Employee!$D$15)</f>
        <v xml:space="preserve"> </v>
      </c>
      <c r="H7" s="468"/>
      <c r="I7" s="479" t="str">
        <f ca="1">IF(G14=" "," ",Employee!$D$16)</f>
        <v xml:space="preserve"> </v>
      </c>
      <c r="J7" s="480"/>
      <c r="K7" s="480"/>
      <c r="L7" s="459" t="str">
        <f ca="1">INDIRECT(ADDRESS($H$4,2,1,TRUE,$H$3))</f>
        <v>WEEKLY PAYROLL</v>
      </c>
      <c r="M7" s="459"/>
      <c r="N7" s="257"/>
    </row>
    <row r="8" spans="1:14" ht="18" customHeight="1" x14ac:dyDescent="0.15">
      <c r="A8" s="258"/>
      <c r="B8" s="463" t="str">
        <f ca="1">IF(M14=" "," ",Employee!$D$6)</f>
        <v xml:space="preserve"> </v>
      </c>
      <c r="C8" s="463"/>
      <c r="D8" s="464"/>
      <c r="E8" s="465"/>
      <c r="F8" s="466"/>
      <c r="G8" s="259"/>
      <c r="H8" s="260"/>
      <c r="I8" s="261"/>
      <c r="J8" s="261"/>
      <c r="K8" s="261"/>
      <c r="L8" s="261"/>
      <c r="M8" s="261" t="str">
        <f ca="1">INDIRECT(ADDRESS($H$4+2+C10,5,1,TRUE,$H$3))</f>
        <v xml:space="preserve"> </v>
      </c>
      <c r="N8" s="262"/>
    </row>
    <row r="9" spans="1:14" ht="21" customHeight="1" x14ac:dyDescent="0.15">
      <c r="A9" s="258"/>
      <c r="B9" s="463" t="str">
        <f ca="1">IF(M14=" "," ",Employee!$D$7)</f>
        <v xml:space="preserve"> </v>
      </c>
      <c r="C9" s="463"/>
      <c r="D9" s="463"/>
      <c r="E9" s="263" t="str">
        <f ca="1">IF(M14=" "," ",Employee!$D$9)</f>
        <v xml:space="preserve"> </v>
      </c>
      <c r="F9" s="264"/>
      <c r="G9" s="265"/>
      <c r="H9" s="249" t="s">
        <v>127</v>
      </c>
      <c r="I9" s="266">
        <f ca="1">INDIRECT(ADDRESS($H$4+1,13,1,TRUE,$H$3))</f>
        <v>44661</v>
      </c>
      <c r="J9" s="481" t="s">
        <v>6</v>
      </c>
      <c r="K9" s="481"/>
      <c r="L9" s="249" t="s">
        <v>126</v>
      </c>
      <c r="M9" s="261" t="str">
        <f ca="1">IF(M8=" "," ",Employee!$M$15)</f>
        <v xml:space="preserve"> </v>
      </c>
      <c r="N9" s="262"/>
    </row>
    <row r="10" spans="1:14" ht="21" customHeight="1" x14ac:dyDescent="0.15">
      <c r="A10" s="258"/>
      <c r="B10" s="249" t="s">
        <v>125</v>
      </c>
      <c r="C10" s="267">
        <f>Employee!$D$29</f>
        <v>1</v>
      </c>
      <c r="D10" s="487"/>
      <c r="E10" s="488"/>
      <c r="F10" s="485"/>
      <c r="G10" s="485"/>
      <c r="H10" s="253" t="str">
        <f>"Tax "&amp;IF($F$3="W","Week","Month")</f>
        <v>Tax Week</v>
      </c>
      <c r="I10" s="268">
        <f ca="1">INDIRECT(ADDRESS($H$4+1,5,1,TRUE,$H$3))</f>
        <v>1</v>
      </c>
      <c r="J10" s="477" t="str">
        <f ca="1">IF(M8=" "," ",INDIRECT(ADDRESS($H$4+2+C10,4,1,TRUE,$H$3)))</f>
        <v xml:space="preserve"> </v>
      </c>
      <c r="K10" s="477"/>
      <c r="L10" s="249" t="s">
        <v>123</v>
      </c>
      <c r="M10" s="261" t="str">
        <f ca="1">IF(M8=" "," ",INDIRECT(ADDRESS($H$4+2+C10,3,1,TRUE,$H$3)))</f>
        <v xml:space="preserve"> </v>
      </c>
      <c r="N10" s="262"/>
    </row>
    <row r="11" spans="1:14" ht="6" customHeight="1" x14ac:dyDescent="0.15">
      <c r="A11" s="258"/>
      <c r="B11" s="458"/>
      <c r="C11" s="458"/>
      <c r="D11" s="458"/>
      <c r="E11" s="458"/>
      <c r="F11" s="458"/>
      <c r="G11" s="458"/>
      <c r="H11" s="458"/>
      <c r="I11" s="458"/>
      <c r="J11" s="458"/>
      <c r="K11" s="458"/>
      <c r="L11" s="458"/>
      <c r="M11" s="458"/>
      <c r="N11" s="262"/>
    </row>
    <row r="12" spans="1:14" ht="21" customHeight="1" x14ac:dyDescent="0.15">
      <c r="A12" s="258"/>
      <c r="B12" s="473" t="s">
        <v>122</v>
      </c>
      <c r="C12" s="474"/>
      <c r="D12" s="474"/>
      <c r="E12" s="474"/>
      <c r="F12" s="474"/>
      <c r="G12" s="475" t="s">
        <v>121</v>
      </c>
      <c r="H12" s="482" t="s">
        <v>120</v>
      </c>
      <c r="I12" s="482"/>
      <c r="J12" s="482"/>
      <c r="K12" s="482"/>
      <c r="L12" s="482"/>
      <c r="M12" s="486" t="s">
        <v>119</v>
      </c>
      <c r="N12" s="262"/>
    </row>
    <row r="13" spans="1:14" s="269" customFormat="1" ht="21" customHeight="1" x14ac:dyDescent="0.15">
      <c r="A13" s="258"/>
      <c r="B13" s="252" t="s">
        <v>118</v>
      </c>
      <c r="C13" s="252" t="s">
        <v>117</v>
      </c>
      <c r="D13" s="252" t="s">
        <v>116</v>
      </c>
      <c r="E13" s="252" t="s">
        <v>115</v>
      </c>
      <c r="F13" s="248" t="s">
        <v>114</v>
      </c>
      <c r="G13" s="476"/>
      <c r="H13" s="251" t="s">
        <v>128</v>
      </c>
      <c r="I13" s="252" t="s">
        <v>112</v>
      </c>
      <c r="J13" s="462" t="s">
        <v>111</v>
      </c>
      <c r="K13" s="462"/>
      <c r="L13" s="248" t="s">
        <v>2</v>
      </c>
      <c r="M13" s="475"/>
      <c r="N13" s="262"/>
    </row>
    <row r="14" spans="1:14" s="277" customFormat="1" ht="21" customHeight="1" x14ac:dyDescent="0.15">
      <c r="A14" s="270"/>
      <c r="B14" s="271" t="str">
        <f ca="1">IF(M8=" "," ",INDIRECT(ADDRESS($H$4+2+C10,8,1,TRUE,$H$3)))</f>
        <v xml:space="preserve"> </v>
      </c>
      <c r="C14" s="271" t="str">
        <f ca="1">IF(M8=" "," ",INDIRECT(ADDRESS($H$4+2+C10,9,1,TRUE,$H$3)))</f>
        <v xml:space="preserve"> </v>
      </c>
      <c r="D14" s="271" t="str">
        <f ca="1">IF(M8=" "," ",INDIRECT(ADDRESS($H$4+2+C10,10,1,TRUE,$H$3)))</f>
        <v xml:space="preserve"> </v>
      </c>
      <c r="E14" s="271" t="str">
        <f ca="1">IF(M8=" "," ",INDIRECT(ADDRESS($H$4+2+C10,11,1,TRUE,$H$3)))</f>
        <v xml:space="preserve"> </v>
      </c>
      <c r="F14" s="272" t="str">
        <f ca="1">IF(M8=" "," ",INDIRECT(ADDRESS($H$4+2+C10,12,1,TRUE,$H$3)))</f>
        <v xml:space="preserve"> </v>
      </c>
      <c r="G14" s="273" t="str">
        <f ca="1">IF(M8=" "," ",INDIRECT(ADDRESS($H$4+2+C10,13,1,TRUE,$H$3)))</f>
        <v xml:space="preserve"> </v>
      </c>
      <c r="H14" s="274" t="str">
        <f ca="1">IF(M8=" "," ",INDIRECT(ADDRESS($H$4+2+C10,14,1,TRUE,$H$3)))</f>
        <v xml:space="preserve"> </v>
      </c>
      <c r="I14" s="271" t="str">
        <f ca="1">IF(M8=" "," ",INDIRECT(ADDRESS($H$4+2+C10,15,1,TRUE,$H$3)))</f>
        <v xml:space="preserve"> </v>
      </c>
      <c r="J14" s="457" t="str">
        <f ca="1">IF(M8=" "," ",INDIRECT(ADDRESS($H$4+2+C10,16,1,TRUE,$H$3)))</f>
        <v xml:space="preserve"> </v>
      </c>
      <c r="K14" s="457"/>
      <c r="L14" s="272" t="str">
        <f ca="1">IF(M8=" "," ",INDIRECT(ADDRESS($H$4+2+C10,17,1,TRUE,$H$3)))</f>
        <v xml:space="preserve"> </v>
      </c>
      <c r="M14" s="275" t="str">
        <f ca="1">IF(M8=" "," ",INDIRECT(ADDRESS($H$4+2+C10,18,1,TRUE,$H$3)))</f>
        <v xml:space="preserve"> </v>
      </c>
      <c r="N14" s="276"/>
    </row>
    <row r="15" spans="1:14" s="279" customFormat="1" ht="21" customHeight="1" x14ac:dyDescent="0.15">
      <c r="A15" s="258"/>
      <c r="B15" s="471" t="s">
        <v>110</v>
      </c>
      <c r="C15" s="471"/>
      <c r="D15" s="278"/>
      <c r="E15" s="278"/>
      <c r="F15" s="278"/>
      <c r="G15" s="278"/>
      <c r="H15" s="278"/>
      <c r="I15" s="278"/>
      <c r="J15" s="278"/>
      <c r="K15" s="278"/>
      <c r="L15" s="278"/>
      <c r="M15" s="278"/>
      <c r="N15" s="262"/>
    </row>
    <row r="16" spans="1:14" s="279" customFormat="1" ht="21" customHeight="1" x14ac:dyDescent="0.15">
      <c r="A16" s="258"/>
      <c r="B16" s="280"/>
      <c r="C16" s="280"/>
      <c r="D16" s="278"/>
      <c r="E16" s="455" t="s">
        <v>109</v>
      </c>
      <c r="F16" s="456"/>
      <c r="G16" s="271" t="str">
        <f ca="1">IF(M8=" "," ",INDIRECT(ADDRESS($H$4+2+C10,22,1,TRUE,$H$3)))</f>
        <v xml:space="preserve"> </v>
      </c>
      <c r="H16" s="271" t="str">
        <f ca="1">IF(M8=" "," ",INDIRECT(ADDRESS($H$4+2+C10,23,1,TRUE,$H$3)))</f>
        <v xml:space="preserve"> </v>
      </c>
      <c r="I16" s="271" t="str">
        <f ca="1">IF(M8=" "," ",INDIRECT(ADDRESS($H$4+2+C10,24,1,TRUE,$H$3)))</f>
        <v xml:space="preserve"> </v>
      </c>
      <c r="J16" s="457" t="str">
        <f ca="1">IF(M8=" "," ",INDIRECT(ADDRESS($H$4+2+C10,25,1,TRUE,$H$3)))</f>
        <v xml:space="preserve"> </v>
      </c>
      <c r="K16" s="457"/>
      <c r="L16" s="271" t="str">
        <f ca="1">IF(M8=" "," ",INDIRECT(ADDRESS($H$4+2+C10,26,1,TRUE,$H$3)))</f>
        <v xml:space="preserve"> </v>
      </c>
      <c r="M16" s="271" t="str">
        <f ca="1">IF(M8=" "," ",INDIRECT(ADDRESS($H$4+2+C10,27,1,TRUE,$H$3)))</f>
        <v xml:space="preserve"> </v>
      </c>
      <c r="N16" s="262"/>
    </row>
    <row r="17" spans="1:14" ht="6" customHeight="1" x14ac:dyDescent="0.15">
      <c r="A17" s="258"/>
      <c r="B17" s="261"/>
      <c r="C17" s="261"/>
      <c r="D17" s="261"/>
      <c r="E17" s="261"/>
      <c r="F17" s="261"/>
      <c r="G17" s="261"/>
      <c r="H17" s="261"/>
      <c r="I17" s="261"/>
      <c r="J17" s="458"/>
      <c r="K17" s="458"/>
      <c r="L17" s="261"/>
      <c r="M17" s="261"/>
      <c r="N17" s="262"/>
    </row>
    <row r="18" spans="1:14" ht="21" customHeight="1" x14ac:dyDescent="0.15">
      <c r="A18" s="258"/>
      <c r="B18" s="261"/>
      <c r="C18" s="261"/>
      <c r="D18" s="261"/>
      <c r="E18" s="261"/>
      <c r="F18" s="261"/>
      <c r="G18" s="261"/>
      <c r="H18" s="261"/>
      <c r="I18" s="261"/>
      <c r="J18" s="469" t="s">
        <v>108</v>
      </c>
      <c r="K18" s="470"/>
      <c r="L18" s="470"/>
      <c r="M18" s="281" t="str">
        <f ca="1">IF(M8=" "," ",INDIRECT(ADDRESS($H$4+1,13,1,TRUE,$H$3)))</f>
        <v xml:space="preserve"> </v>
      </c>
      <c r="N18" s="262"/>
    </row>
    <row r="19" spans="1:14" ht="12" customHeight="1" x14ac:dyDescent="0.15">
      <c r="A19" s="282"/>
      <c r="B19" s="287" t="s">
        <v>66</v>
      </c>
      <c r="C19" s="287"/>
      <c r="D19" s="283"/>
      <c r="E19" s="284"/>
      <c r="F19" s="284"/>
      <c r="G19" s="284"/>
      <c r="H19" s="284"/>
      <c r="I19" s="284"/>
      <c r="J19" s="284"/>
      <c r="K19" s="284"/>
      <c r="L19" s="284"/>
      <c r="M19" s="284"/>
      <c r="N19" s="285"/>
    </row>
    <row r="20" spans="1:14" ht="21" customHeight="1" x14ac:dyDescent="0.15">
      <c r="A20" s="454"/>
      <c r="B20" s="454"/>
      <c r="C20" s="454"/>
      <c r="D20" s="454"/>
      <c r="E20" s="454"/>
      <c r="F20" s="454"/>
      <c r="G20" s="454"/>
      <c r="H20" s="454"/>
      <c r="I20" s="454"/>
      <c r="J20" s="454"/>
      <c r="K20" s="454"/>
      <c r="L20" s="454"/>
      <c r="M20" s="454"/>
      <c r="N20" s="454"/>
    </row>
    <row r="21" spans="1:14" ht="25" customHeight="1" x14ac:dyDescent="0.2">
      <c r="A21" s="256"/>
      <c r="B21" s="472" t="str">
        <f ca="1">IF(M28=" "," ",Employee!$D$5)</f>
        <v xml:space="preserve"> </v>
      </c>
      <c r="C21" s="472"/>
      <c r="D21" s="472"/>
      <c r="E21" s="472"/>
      <c r="F21" s="472"/>
      <c r="G21" s="467" t="str">
        <f ca="1">IF(G28=" "," ",Employee!$D$41)</f>
        <v xml:space="preserve"> </v>
      </c>
      <c r="H21" s="468"/>
      <c r="I21" s="479" t="str">
        <f ca="1">IF(G28=" "," ",Employee!$D$42)</f>
        <v xml:space="preserve"> </v>
      </c>
      <c r="J21" s="480"/>
      <c r="K21" s="480"/>
      <c r="L21" s="459" t="s">
        <v>23</v>
      </c>
      <c r="M21" s="459"/>
      <c r="N21" s="257"/>
    </row>
    <row r="22" spans="1:14" ht="18" customHeight="1" x14ac:dyDescent="0.15">
      <c r="A22" s="258"/>
      <c r="B22" s="463" t="str">
        <f ca="1">IF(M28=" "," ",Employee!$D$6)</f>
        <v xml:space="preserve"> </v>
      </c>
      <c r="C22" s="463"/>
      <c r="D22" s="464"/>
      <c r="E22" s="465"/>
      <c r="F22" s="466"/>
      <c r="G22" s="259"/>
      <c r="H22" s="260"/>
      <c r="I22" s="261"/>
      <c r="J22" s="261"/>
      <c r="K22" s="261"/>
      <c r="L22" s="261"/>
      <c r="M22" s="261" t="str">
        <f ca="1">INDIRECT(ADDRESS($H$4+2+C24,5,1,TRUE,$H$3))</f>
        <v xml:space="preserve"> </v>
      </c>
      <c r="N22" s="262"/>
    </row>
    <row r="23" spans="1:14" ht="21" customHeight="1" x14ac:dyDescent="0.15">
      <c r="A23" s="258"/>
      <c r="B23" s="463" t="str">
        <f ca="1">IF(M28=" "," ",Employee!$D$7)</f>
        <v xml:space="preserve"> </v>
      </c>
      <c r="C23" s="463"/>
      <c r="D23" s="463"/>
      <c r="E23" s="263" t="str">
        <f ca="1">IF(M28=" "," ",Employee!$D$9)</f>
        <v xml:space="preserve"> </v>
      </c>
      <c r="F23" s="264"/>
      <c r="G23" s="265"/>
      <c r="H23" s="249" t="s">
        <v>127</v>
      </c>
      <c r="I23" s="266">
        <f ca="1">I9</f>
        <v>44661</v>
      </c>
      <c r="J23" s="481" t="s">
        <v>6</v>
      </c>
      <c r="K23" s="481"/>
      <c r="L23" s="249" t="s">
        <v>126</v>
      </c>
      <c r="M23" s="261" t="str">
        <f ca="1">IF(M22=" "," ",Employee!$M$41)</f>
        <v xml:space="preserve"> </v>
      </c>
      <c r="N23" s="262"/>
    </row>
    <row r="24" spans="1:14" ht="21" customHeight="1" x14ac:dyDescent="0.15">
      <c r="A24" s="258"/>
      <c r="B24" s="249" t="s">
        <v>125</v>
      </c>
      <c r="C24" s="267">
        <f>Employee!$D$55</f>
        <v>2</v>
      </c>
      <c r="D24" s="250"/>
      <c r="E24" s="286"/>
      <c r="F24" s="458"/>
      <c r="G24" s="458"/>
      <c r="H24" s="253" t="s">
        <v>124</v>
      </c>
      <c r="I24" s="268">
        <f ca="1">I10</f>
        <v>1</v>
      </c>
      <c r="J24" s="477" t="str">
        <f ca="1">IF(M22=" "," ",INDIRECT(ADDRESS($H$4+2+C24,4,1,TRUE,$H$3)))</f>
        <v xml:space="preserve"> </v>
      </c>
      <c r="K24" s="477"/>
      <c r="L24" s="249" t="s">
        <v>123</v>
      </c>
      <c r="M24" s="261" t="str">
        <f ca="1">IF(M22=" "," ",INDIRECT(ADDRESS($H$4+2+C24,3,1,TRUE,$H$3)))</f>
        <v xml:space="preserve"> </v>
      </c>
      <c r="N24" s="262"/>
    </row>
    <row r="25" spans="1:14" ht="6" customHeight="1" x14ac:dyDescent="0.15">
      <c r="A25" s="258"/>
      <c r="B25" s="458"/>
      <c r="C25" s="458"/>
      <c r="D25" s="458"/>
      <c r="E25" s="458"/>
      <c r="F25" s="458"/>
      <c r="G25" s="458"/>
      <c r="H25" s="458"/>
      <c r="I25" s="458"/>
      <c r="J25" s="458"/>
      <c r="K25" s="458"/>
      <c r="L25" s="458"/>
      <c r="M25" s="458"/>
      <c r="N25" s="262"/>
    </row>
    <row r="26" spans="1:14" ht="21" customHeight="1" x14ac:dyDescent="0.15">
      <c r="A26" s="258"/>
      <c r="B26" s="473" t="s">
        <v>122</v>
      </c>
      <c r="C26" s="474"/>
      <c r="D26" s="474"/>
      <c r="E26" s="474"/>
      <c r="F26" s="474"/>
      <c r="G26" s="475" t="s">
        <v>121</v>
      </c>
      <c r="H26" s="473" t="s">
        <v>120</v>
      </c>
      <c r="I26" s="482"/>
      <c r="J26" s="482"/>
      <c r="K26" s="482"/>
      <c r="L26" s="482"/>
      <c r="M26" s="460" t="s">
        <v>119</v>
      </c>
      <c r="N26" s="262"/>
    </row>
    <row r="27" spans="1:14" s="269" customFormat="1" ht="21" customHeight="1" x14ac:dyDescent="0.15">
      <c r="A27" s="258"/>
      <c r="B27" s="252" t="s">
        <v>118</v>
      </c>
      <c r="C27" s="252" t="s">
        <v>117</v>
      </c>
      <c r="D27" s="252" t="s">
        <v>116</v>
      </c>
      <c r="E27" s="252" t="s">
        <v>115</v>
      </c>
      <c r="F27" s="248" t="s">
        <v>114</v>
      </c>
      <c r="G27" s="476"/>
      <c r="H27" s="252" t="s">
        <v>128</v>
      </c>
      <c r="I27" s="252" t="s">
        <v>112</v>
      </c>
      <c r="J27" s="462" t="s">
        <v>111</v>
      </c>
      <c r="K27" s="462"/>
      <c r="L27" s="248" t="s">
        <v>2</v>
      </c>
      <c r="M27" s="461"/>
      <c r="N27" s="262"/>
    </row>
    <row r="28" spans="1:14" s="279" customFormat="1" ht="21" customHeight="1" x14ac:dyDescent="0.15">
      <c r="A28" s="258"/>
      <c r="B28" s="271" t="str">
        <f ca="1">IF(M22=" "," ",INDIRECT(ADDRESS($H$4+2+C24,8,1,TRUE,$H$3)))</f>
        <v xml:space="preserve"> </v>
      </c>
      <c r="C28" s="271" t="str">
        <f ca="1">IF(M22=" "," ",INDIRECT(ADDRESS($H$4+2+C24,9,1,TRUE,$H$3)))</f>
        <v xml:space="preserve"> </v>
      </c>
      <c r="D28" s="271" t="str">
        <f ca="1">IF(M22=" "," ",INDIRECT(ADDRESS($H$4+2+C24,10,1,TRUE,$H$3)))</f>
        <v xml:space="preserve"> </v>
      </c>
      <c r="E28" s="271" t="str">
        <f ca="1">IF(M22=" "," ",INDIRECT(ADDRESS($H$4+2+C24,11,1,TRUE,$H$3)))</f>
        <v xml:space="preserve"> </v>
      </c>
      <c r="F28" s="272" t="str">
        <f ca="1">IF(M22=" "," ",INDIRECT(ADDRESS($H$4+2+C24,12,1,TRUE,$H$3)))</f>
        <v xml:space="preserve"> </v>
      </c>
      <c r="G28" s="273" t="str">
        <f ca="1">IF(M22=" "," ",INDIRECT(ADDRESS($H$4+2+C24,13,1,TRUE,$H$3)))</f>
        <v xml:space="preserve"> </v>
      </c>
      <c r="H28" s="274" t="str">
        <f ca="1">IF(M22=" "," ",INDIRECT(ADDRESS($H$4+2+C24,14,1,TRUE,$H$3)))</f>
        <v xml:space="preserve"> </v>
      </c>
      <c r="I28" s="271" t="str">
        <f ca="1">IF(M22=" "," ",INDIRECT(ADDRESS($H$4+2+C24,15,1,TRUE,$H$3)))</f>
        <v xml:space="preserve"> </v>
      </c>
      <c r="J28" s="457" t="str">
        <f ca="1">IF(M22=" "," ",INDIRECT(ADDRESS($H$4+2+C24,16,1,TRUE,$H$3)))</f>
        <v xml:space="preserve"> </v>
      </c>
      <c r="K28" s="457"/>
      <c r="L28" s="272" t="str">
        <f ca="1">IF(M22=" "," ",INDIRECT(ADDRESS($H$4+2+C24,17,1,TRUE,$H$3)))</f>
        <v xml:space="preserve"> </v>
      </c>
      <c r="M28" s="275" t="str">
        <f ca="1">IF(M22=" "," ",INDIRECT(ADDRESS($H$4+2+C24,18,1,TRUE,$H$3)))</f>
        <v xml:space="preserve"> </v>
      </c>
      <c r="N28" s="262"/>
    </row>
    <row r="29" spans="1:14" s="279" customFormat="1" ht="21" customHeight="1" x14ac:dyDescent="0.15">
      <c r="A29" s="258"/>
      <c r="B29" s="471" t="s">
        <v>110</v>
      </c>
      <c r="C29" s="471"/>
      <c r="D29" s="278"/>
      <c r="E29" s="278"/>
      <c r="F29" s="278"/>
      <c r="G29" s="278"/>
      <c r="H29" s="278"/>
      <c r="I29" s="278"/>
      <c r="J29" s="278"/>
      <c r="K29" s="278"/>
      <c r="L29" s="278"/>
      <c r="M29" s="278"/>
      <c r="N29" s="262"/>
    </row>
    <row r="30" spans="1:14" s="279" customFormat="1" ht="21" customHeight="1" x14ac:dyDescent="0.15">
      <c r="A30" s="258"/>
      <c r="B30" s="280"/>
      <c r="C30" s="280"/>
      <c r="D30" s="278"/>
      <c r="E30" s="455" t="s">
        <v>109</v>
      </c>
      <c r="F30" s="456"/>
      <c r="G30" s="271" t="str">
        <f ca="1">IF(M22=" "," ",INDIRECT(ADDRESS($H$4+2+C24,22,1,TRUE,$H$3)))</f>
        <v xml:space="preserve"> </v>
      </c>
      <c r="H30" s="271" t="str">
        <f ca="1">IF(M22=" "," ",INDIRECT(ADDRESS($H$4+2+C24,23,1,TRUE,$H$3)))</f>
        <v xml:space="preserve"> </v>
      </c>
      <c r="I30" s="271" t="str">
        <f ca="1">IF(M22=" "," ",INDIRECT(ADDRESS($H$4+2+C24,24,1,TRUE,$H$3)))</f>
        <v xml:space="preserve"> </v>
      </c>
      <c r="J30" s="457" t="str">
        <f ca="1">IF(M22=" "," ",INDIRECT(ADDRESS($H$4+2+C24,25,1,TRUE,$H$3)))</f>
        <v xml:space="preserve"> </v>
      </c>
      <c r="K30" s="457"/>
      <c r="L30" s="271" t="str">
        <f ca="1">IF(M22=" "," ",INDIRECT(ADDRESS($H$4+2+C24,26,1,TRUE,$H$3)))</f>
        <v xml:space="preserve"> </v>
      </c>
      <c r="M30" s="271" t="str">
        <f ca="1">IF(M22=" "," ",INDIRECT(ADDRESS($H$4+2+C24,27,1,TRUE,$H$3)))</f>
        <v xml:space="preserve"> </v>
      </c>
      <c r="N30" s="262"/>
    </row>
    <row r="31" spans="1:14" ht="6" customHeight="1" x14ac:dyDescent="0.15">
      <c r="A31" s="258"/>
      <c r="B31" s="261"/>
      <c r="C31" s="261"/>
      <c r="D31" s="261"/>
      <c r="E31" s="261"/>
      <c r="F31" s="261"/>
      <c r="G31" s="261"/>
      <c r="H31" s="261"/>
      <c r="I31" s="261"/>
      <c r="J31" s="458"/>
      <c r="K31" s="458"/>
      <c r="L31" s="261"/>
      <c r="M31" s="261"/>
      <c r="N31" s="262"/>
    </row>
    <row r="32" spans="1:14" ht="21" customHeight="1" x14ac:dyDescent="0.15">
      <c r="A32" s="258"/>
      <c r="B32" s="261"/>
      <c r="C32" s="261"/>
      <c r="D32" s="261"/>
      <c r="E32" s="261"/>
      <c r="F32" s="261"/>
      <c r="G32" s="261"/>
      <c r="H32" s="261"/>
      <c r="I32" s="261"/>
      <c r="J32" s="469" t="s">
        <v>108</v>
      </c>
      <c r="K32" s="470"/>
      <c r="L32" s="470"/>
      <c r="M32" s="281" t="str">
        <f ca="1">M18</f>
        <v xml:space="preserve"> </v>
      </c>
      <c r="N32" s="262"/>
    </row>
    <row r="33" spans="1:14" ht="12" customHeight="1" x14ac:dyDescent="0.15">
      <c r="A33" s="282"/>
      <c r="B33" s="287" t="s">
        <v>66</v>
      </c>
      <c r="C33" s="287"/>
      <c r="D33" s="283"/>
      <c r="E33" s="284"/>
      <c r="F33" s="284"/>
      <c r="G33" s="284"/>
      <c r="H33" s="284"/>
      <c r="I33" s="284"/>
      <c r="J33" s="284"/>
      <c r="K33" s="284"/>
      <c r="L33" s="284"/>
      <c r="M33" s="284"/>
      <c r="N33" s="285"/>
    </row>
    <row r="34" spans="1:14" ht="21" customHeight="1" x14ac:dyDescent="0.15">
      <c r="A34" s="483"/>
      <c r="B34" s="484"/>
      <c r="C34" s="484"/>
      <c r="D34" s="484"/>
      <c r="E34" s="484"/>
      <c r="F34" s="484"/>
      <c r="G34" s="484"/>
      <c r="H34" s="484"/>
      <c r="I34" s="484"/>
      <c r="J34" s="484"/>
      <c r="K34" s="484"/>
      <c r="L34" s="484"/>
      <c r="M34" s="484"/>
      <c r="N34" s="484"/>
    </row>
    <row r="35" spans="1:14" ht="21" customHeight="1" x14ac:dyDescent="0.15">
      <c r="A35" s="454"/>
      <c r="B35" s="454"/>
      <c r="C35" s="454"/>
      <c r="D35" s="454"/>
      <c r="E35" s="454"/>
      <c r="F35" s="454"/>
      <c r="G35" s="454"/>
      <c r="H35" s="454"/>
      <c r="I35" s="454"/>
      <c r="J35" s="454"/>
      <c r="K35" s="454"/>
      <c r="L35" s="454"/>
      <c r="M35" s="454"/>
      <c r="N35" s="454"/>
    </row>
    <row r="36" spans="1:14" ht="25" customHeight="1" x14ac:dyDescent="0.2">
      <c r="A36" s="256"/>
      <c r="B36" s="472" t="str">
        <f ca="1">IF(M43=" "," ",Employee!$D$5)</f>
        <v xml:space="preserve"> </v>
      </c>
      <c r="C36" s="472"/>
      <c r="D36" s="472"/>
      <c r="E36" s="472"/>
      <c r="F36" s="472"/>
      <c r="G36" s="467" t="str">
        <f ca="1">IF(G43=" "," ",Employee!$D$67)</f>
        <v xml:space="preserve"> </v>
      </c>
      <c r="H36" s="468"/>
      <c r="I36" s="479" t="str">
        <f ca="1">IF(G43=" "," ",Employee!$D$68)</f>
        <v xml:space="preserve"> </v>
      </c>
      <c r="J36" s="480"/>
      <c r="K36" s="480"/>
      <c r="L36" s="459" t="s">
        <v>23</v>
      </c>
      <c r="M36" s="459"/>
      <c r="N36" s="257"/>
    </row>
    <row r="37" spans="1:14" ht="18" customHeight="1" x14ac:dyDescent="0.15">
      <c r="A37" s="258"/>
      <c r="B37" s="463" t="str">
        <f ca="1">IF(M43=" "," ",Employee!$D$6)</f>
        <v xml:space="preserve"> </v>
      </c>
      <c r="C37" s="463"/>
      <c r="D37" s="464"/>
      <c r="E37" s="465"/>
      <c r="F37" s="466"/>
      <c r="G37" s="259"/>
      <c r="H37" s="260"/>
      <c r="I37" s="261"/>
      <c r="J37" s="261"/>
      <c r="K37" s="261"/>
      <c r="L37" s="261"/>
      <c r="M37" s="261" t="str">
        <f ca="1">INDIRECT(ADDRESS($H$4+2+C39,5,1,TRUE,$H$3))</f>
        <v xml:space="preserve"> </v>
      </c>
      <c r="N37" s="262"/>
    </row>
    <row r="38" spans="1:14" ht="21" customHeight="1" x14ac:dyDescent="0.15">
      <c r="A38" s="258"/>
      <c r="B38" s="463" t="str">
        <f ca="1">IF(M43=" "," ",Employee!$D$7)</f>
        <v xml:space="preserve"> </v>
      </c>
      <c r="C38" s="463"/>
      <c r="D38" s="463"/>
      <c r="E38" s="263" t="str">
        <f ca="1">IF(M43=" "," ",Employee!$D$9)</f>
        <v xml:space="preserve"> </v>
      </c>
      <c r="F38" s="264"/>
      <c r="G38" s="265"/>
      <c r="H38" s="249" t="s">
        <v>127</v>
      </c>
      <c r="I38" s="266">
        <f ca="1">I23</f>
        <v>44661</v>
      </c>
      <c r="J38" s="481" t="s">
        <v>6</v>
      </c>
      <c r="K38" s="481"/>
      <c r="L38" s="249" t="s">
        <v>126</v>
      </c>
      <c r="M38" s="261" t="str">
        <f ca="1">IF(M37=" "," ",Employee!$M$67)</f>
        <v xml:space="preserve"> </v>
      </c>
      <c r="N38" s="262"/>
    </row>
    <row r="39" spans="1:14" ht="21" customHeight="1" x14ac:dyDescent="0.15">
      <c r="A39" s="258"/>
      <c r="B39" s="249" t="s">
        <v>125</v>
      </c>
      <c r="C39" s="267">
        <f>Employee!$D$81</f>
        <v>3</v>
      </c>
      <c r="D39" s="250"/>
      <c r="E39" s="286"/>
      <c r="F39" s="458"/>
      <c r="G39" s="458"/>
      <c r="H39" s="253" t="s">
        <v>124</v>
      </c>
      <c r="I39" s="268">
        <f ca="1">I24</f>
        <v>1</v>
      </c>
      <c r="J39" s="477" t="str">
        <f ca="1">IF(M37=" "," ",INDIRECT(ADDRESS($H$4+2+C39,4,1,TRUE,$H$3)))</f>
        <v xml:space="preserve"> </v>
      </c>
      <c r="K39" s="477"/>
      <c r="L39" s="249" t="s">
        <v>123</v>
      </c>
      <c r="M39" s="261" t="str">
        <f ca="1">IF(M37=" "," ",INDIRECT(ADDRESS($H$4+2+C39,3,1,TRUE,$H$3)))</f>
        <v xml:space="preserve"> </v>
      </c>
      <c r="N39" s="262"/>
    </row>
    <row r="40" spans="1:14" ht="6" customHeight="1" x14ac:dyDescent="0.15">
      <c r="A40" s="258"/>
      <c r="B40" s="458"/>
      <c r="C40" s="458"/>
      <c r="D40" s="458"/>
      <c r="E40" s="458"/>
      <c r="F40" s="458"/>
      <c r="G40" s="458"/>
      <c r="H40" s="458"/>
      <c r="I40" s="458"/>
      <c r="J40" s="458"/>
      <c r="K40" s="458"/>
      <c r="L40" s="458"/>
      <c r="M40" s="458"/>
      <c r="N40" s="262"/>
    </row>
    <row r="41" spans="1:14" ht="21" customHeight="1" x14ac:dyDescent="0.15">
      <c r="A41" s="258"/>
      <c r="B41" s="473" t="s">
        <v>122</v>
      </c>
      <c r="C41" s="474"/>
      <c r="D41" s="474"/>
      <c r="E41" s="474"/>
      <c r="F41" s="474"/>
      <c r="G41" s="475" t="s">
        <v>121</v>
      </c>
      <c r="H41" s="473" t="s">
        <v>120</v>
      </c>
      <c r="I41" s="482"/>
      <c r="J41" s="482"/>
      <c r="K41" s="482"/>
      <c r="L41" s="482"/>
      <c r="M41" s="460" t="s">
        <v>119</v>
      </c>
      <c r="N41" s="262"/>
    </row>
    <row r="42" spans="1:14" s="269" customFormat="1" ht="21" customHeight="1" x14ac:dyDescent="0.15">
      <c r="A42" s="258"/>
      <c r="B42" s="252" t="s">
        <v>118</v>
      </c>
      <c r="C42" s="252" t="s">
        <v>117</v>
      </c>
      <c r="D42" s="252" t="s">
        <v>116</v>
      </c>
      <c r="E42" s="252" t="s">
        <v>115</v>
      </c>
      <c r="F42" s="248" t="s">
        <v>114</v>
      </c>
      <c r="G42" s="476"/>
      <c r="H42" s="252" t="s">
        <v>128</v>
      </c>
      <c r="I42" s="252" t="s">
        <v>112</v>
      </c>
      <c r="J42" s="462" t="s">
        <v>111</v>
      </c>
      <c r="K42" s="462"/>
      <c r="L42" s="248" t="s">
        <v>2</v>
      </c>
      <c r="M42" s="461"/>
      <c r="N42" s="262"/>
    </row>
    <row r="43" spans="1:14" s="279" customFormat="1" ht="21" customHeight="1" x14ac:dyDescent="0.15">
      <c r="A43" s="258"/>
      <c r="B43" s="271" t="str">
        <f ca="1">IF(M37=" "," ",INDIRECT(ADDRESS($H$4+2+C39,8,1,TRUE,$H$3)))</f>
        <v xml:space="preserve"> </v>
      </c>
      <c r="C43" s="271" t="str">
        <f ca="1">IF(M37=" "," ",INDIRECT(ADDRESS($H$4+2+C39,9,1,TRUE,$H$3)))</f>
        <v xml:space="preserve"> </v>
      </c>
      <c r="D43" s="271" t="str">
        <f ca="1">IF(M37=" "," ",INDIRECT(ADDRESS($H$4+2+C39,10,1,TRUE,$H$3)))</f>
        <v xml:space="preserve"> </v>
      </c>
      <c r="E43" s="271" t="str">
        <f ca="1">IF(M37=" "," ",INDIRECT(ADDRESS($H$4+2+C39,11,1,TRUE,$H$3)))</f>
        <v xml:space="preserve"> </v>
      </c>
      <c r="F43" s="272" t="str">
        <f ca="1">IF(M37=" "," ",INDIRECT(ADDRESS($H$4+2+C39,12,1,TRUE,$H$3)))</f>
        <v xml:space="preserve"> </v>
      </c>
      <c r="G43" s="273" t="str">
        <f ca="1">IF(M37=" "," ",INDIRECT(ADDRESS($H$4+2+C39,13,1,TRUE,$H$3)))</f>
        <v xml:space="preserve"> </v>
      </c>
      <c r="H43" s="274" t="str">
        <f ca="1">IF(M37=" "," ",INDIRECT(ADDRESS($H$4+2+C39,14,1,TRUE,$H$3)))</f>
        <v xml:space="preserve"> </v>
      </c>
      <c r="I43" s="271" t="str">
        <f ca="1">IF(M37=" "," ",INDIRECT(ADDRESS($H$4+2+C39,15,1,TRUE,$H$3)))</f>
        <v xml:space="preserve"> </v>
      </c>
      <c r="J43" s="457" t="str">
        <f ca="1">IF(M37=" "," ",INDIRECT(ADDRESS($H$4+2+C39,16,1,TRUE,$H$3)))</f>
        <v xml:space="preserve"> </v>
      </c>
      <c r="K43" s="457"/>
      <c r="L43" s="272" t="str">
        <f ca="1">IF(M37=" "," ",INDIRECT(ADDRESS($H$4+2+C39,17,1,TRUE,$H$3)))</f>
        <v xml:space="preserve"> </v>
      </c>
      <c r="M43" s="275" t="str">
        <f ca="1">IF(M37=" "," ",INDIRECT(ADDRESS($H$4+2+C39,18,1,TRUE,$H$3)))</f>
        <v xml:space="preserve"> </v>
      </c>
      <c r="N43" s="262"/>
    </row>
    <row r="44" spans="1:14" s="279" customFormat="1" ht="21" customHeight="1" x14ac:dyDescent="0.15">
      <c r="A44" s="258"/>
      <c r="B44" s="471" t="s">
        <v>110</v>
      </c>
      <c r="C44" s="471"/>
      <c r="D44" s="278"/>
      <c r="E44" s="278"/>
      <c r="F44" s="278"/>
      <c r="G44" s="278"/>
      <c r="H44" s="278"/>
      <c r="I44" s="278"/>
      <c r="J44" s="278"/>
      <c r="K44" s="278"/>
      <c r="L44" s="278"/>
      <c r="M44" s="278"/>
      <c r="N44" s="262"/>
    </row>
    <row r="45" spans="1:14" s="279" customFormat="1" ht="21" customHeight="1" x14ac:dyDescent="0.15">
      <c r="A45" s="258"/>
      <c r="B45" s="280"/>
      <c r="C45" s="280"/>
      <c r="D45" s="278"/>
      <c r="E45" s="455" t="s">
        <v>109</v>
      </c>
      <c r="F45" s="456"/>
      <c r="G45" s="271" t="str">
        <f ca="1">IF(M37=" "," ",INDIRECT(ADDRESS($H$4+2+C39,22,1,TRUE,$H$3)))</f>
        <v xml:space="preserve"> </v>
      </c>
      <c r="H45" s="271" t="str">
        <f ca="1">IF(M37=" "," ",INDIRECT(ADDRESS($H$4+2+C39,23,1,TRUE,$H$3)))</f>
        <v xml:space="preserve"> </v>
      </c>
      <c r="I45" s="271" t="str">
        <f ca="1">IF(M37=" "," ",INDIRECT(ADDRESS($H$4+2+C39,24,1,TRUE,$H$3)))</f>
        <v xml:space="preserve"> </v>
      </c>
      <c r="J45" s="457" t="str">
        <f ca="1">IF(M37=" "," ",INDIRECT(ADDRESS($H$4+2+C39,25,1,TRUE,$H$3)))</f>
        <v xml:space="preserve"> </v>
      </c>
      <c r="K45" s="457"/>
      <c r="L45" s="271" t="str">
        <f ca="1">IF(M37=" "," ",INDIRECT(ADDRESS($H$4+2+C39,26,1,TRUE,$H$3)))</f>
        <v xml:space="preserve"> </v>
      </c>
      <c r="M45" s="271" t="str">
        <f ca="1">IF(M37=" "," ",INDIRECT(ADDRESS($H$4+2+C39,27,1,TRUE,$H$3)))</f>
        <v xml:space="preserve"> </v>
      </c>
      <c r="N45" s="262"/>
    </row>
    <row r="46" spans="1:14" ht="6" customHeight="1" x14ac:dyDescent="0.15">
      <c r="A46" s="258"/>
      <c r="B46" s="261"/>
      <c r="C46" s="261"/>
      <c r="D46" s="261"/>
      <c r="E46" s="261"/>
      <c r="F46" s="261"/>
      <c r="G46" s="261"/>
      <c r="H46" s="261"/>
      <c r="I46" s="261"/>
      <c r="J46" s="458"/>
      <c r="K46" s="458"/>
      <c r="L46" s="261"/>
      <c r="M46" s="261"/>
      <c r="N46" s="262"/>
    </row>
    <row r="47" spans="1:14" ht="21" customHeight="1" x14ac:dyDescent="0.15">
      <c r="A47" s="258"/>
      <c r="B47" s="261"/>
      <c r="C47" s="261"/>
      <c r="D47" s="261"/>
      <c r="E47" s="261"/>
      <c r="F47" s="261"/>
      <c r="G47" s="261"/>
      <c r="H47" s="261"/>
      <c r="I47" s="261"/>
      <c r="J47" s="469" t="s">
        <v>108</v>
      </c>
      <c r="K47" s="470"/>
      <c r="L47" s="470"/>
      <c r="M47" s="281" t="str">
        <f ca="1">M32</f>
        <v xml:space="preserve"> </v>
      </c>
      <c r="N47" s="262"/>
    </row>
    <row r="48" spans="1:14" ht="12" customHeight="1" x14ac:dyDescent="0.15">
      <c r="A48" s="282"/>
      <c r="B48" s="287" t="s">
        <v>66</v>
      </c>
      <c r="C48" s="287"/>
      <c r="D48" s="283"/>
      <c r="E48" s="284"/>
      <c r="F48" s="284"/>
      <c r="G48" s="284"/>
      <c r="H48" s="284"/>
      <c r="I48" s="284"/>
      <c r="J48" s="284"/>
      <c r="K48" s="284"/>
      <c r="L48" s="284"/>
      <c r="M48" s="284"/>
      <c r="N48" s="285"/>
    </row>
    <row r="49" spans="1:14" ht="21" customHeight="1" x14ac:dyDescent="0.15">
      <c r="A49" s="454"/>
      <c r="B49" s="454"/>
      <c r="C49" s="454"/>
      <c r="D49" s="454"/>
      <c r="E49" s="454"/>
      <c r="F49" s="454"/>
      <c r="G49" s="454"/>
      <c r="H49" s="454"/>
      <c r="I49" s="454"/>
      <c r="J49" s="454"/>
      <c r="K49" s="454"/>
      <c r="L49" s="454"/>
      <c r="M49" s="454"/>
      <c r="N49" s="454"/>
    </row>
    <row r="50" spans="1:14" ht="25" customHeight="1" x14ac:dyDescent="0.2">
      <c r="A50" s="256"/>
      <c r="B50" s="472" t="str">
        <f ca="1">IF(M57=" "," ",Employee!$D$5)</f>
        <v xml:space="preserve"> </v>
      </c>
      <c r="C50" s="472"/>
      <c r="D50" s="472"/>
      <c r="E50" s="472"/>
      <c r="F50" s="472"/>
      <c r="G50" s="467" t="str">
        <f ca="1">IF(G57=" "," ",Employee!$D$93)</f>
        <v xml:space="preserve"> </v>
      </c>
      <c r="H50" s="468"/>
      <c r="I50" s="479" t="str">
        <f ca="1">IF(G57=" "," ",Employee!$D$94)</f>
        <v xml:space="preserve"> </v>
      </c>
      <c r="J50" s="480"/>
      <c r="K50" s="480"/>
      <c r="L50" s="459" t="s">
        <v>23</v>
      </c>
      <c r="M50" s="459"/>
      <c r="N50" s="257"/>
    </row>
    <row r="51" spans="1:14" ht="18" customHeight="1" x14ac:dyDescent="0.15">
      <c r="A51" s="258"/>
      <c r="B51" s="463" t="str">
        <f ca="1">IF(M57=" "," ",Employee!$D$6)</f>
        <v xml:space="preserve"> </v>
      </c>
      <c r="C51" s="463"/>
      <c r="D51" s="464"/>
      <c r="E51" s="465"/>
      <c r="F51" s="466"/>
      <c r="G51" s="259"/>
      <c r="H51" s="260"/>
      <c r="I51" s="261"/>
      <c r="J51" s="261"/>
      <c r="K51" s="261"/>
      <c r="L51" s="261"/>
      <c r="M51" s="261" t="str">
        <f ca="1">INDIRECT(ADDRESS($H$4+2+C53,5,1,TRUE,$H$3))</f>
        <v xml:space="preserve"> </v>
      </c>
      <c r="N51" s="262"/>
    </row>
    <row r="52" spans="1:14" ht="21" customHeight="1" x14ac:dyDescent="0.15">
      <c r="A52" s="258"/>
      <c r="B52" s="463" t="str">
        <f ca="1">IF(M57=" "," ",Employee!$D$7)</f>
        <v xml:space="preserve"> </v>
      </c>
      <c r="C52" s="463"/>
      <c r="D52" s="463"/>
      <c r="E52" s="263" t="str">
        <f ca="1">IF(M57=" "," ",Employee!$D$9)</f>
        <v xml:space="preserve"> </v>
      </c>
      <c r="F52" s="264"/>
      <c r="G52" s="265"/>
      <c r="H52" s="249" t="s">
        <v>127</v>
      </c>
      <c r="I52" s="266">
        <f ca="1">I38</f>
        <v>44661</v>
      </c>
      <c r="J52" s="481" t="s">
        <v>6</v>
      </c>
      <c r="K52" s="481"/>
      <c r="L52" s="249" t="s">
        <v>126</v>
      </c>
      <c r="M52" s="261" t="str">
        <f ca="1">IF(M51=" "," ",Employee!$M$93)</f>
        <v xml:space="preserve"> </v>
      </c>
      <c r="N52" s="262"/>
    </row>
    <row r="53" spans="1:14" ht="21" customHeight="1" x14ac:dyDescent="0.15">
      <c r="A53" s="258"/>
      <c r="B53" s="249" t="s">
        <v>125</v>
      </c>
      <c r="C53" s="267">
        <f>Employee!$D$107</f>
        <v>4</v>
      </c>
      <c r="D53" s="250"/>
      <c r="E53" s="286"/>
      <c r="F53" s="458"/>
      <c r="G53" s="458"/>
      <c r="H53" s="253" t="s">
        <v>124</v>
      </c>
      <c r="I53" s="268">
        <f ca="1">I39</f>
        <v>1</v>
      </c>
      <c r="J53" s="477" t="str">
        <f ca="1">IF(M51=" "," ",INDIRECT(ADDRESS($H$4+2+C53,4,1,TRUE,$H$3)))</f>
        <v xml:space="preserve"> </v>
      </c>
      <c r="K53" s="477"/>
      <c r="L53" s="249" t="s">
        <v>123</v>
      </c>
      <c r="M53" s="261" t="str">
        <f ca="1">IF(M51=" "," ",INDIRECT(ADDRESS($H$4+2+C53,3,1,TRUE,$H$3)))</f>
        <v xml:space="preserve"> </v>
      </c>
      <c r="N53" s="262"/>
    </row>
    <row r="54" spans="1:14" ht="6" customHeight="1" x14ac:dyDescent="0.15">
      <c r="A54" s="258"/>
      <c r="B54" s="458"/>
      <c r="C54" s="458"/>
      <c r="D54" s="458"/>
      <c r="E54" s="458"/>
      <c r="F54" s="458"/>
      <c r="G54" s="458"/>
      <c r="H54" s="458"/>
      <c r="I54" s="458"/>
      <c r="J54" s="458"/>
      <c r="K54" s="458"/>
      <c r="L54" s="458"/>
      <c r="M54" s="458"/>
      <c r="N54" s="262"/>
    </row>
    <row r="55" spans="1:14" ht="21" customHeight="1" x14ac:dyDescent="0.15">
      <c r="A55" s="258"/>
      <c r="B55" s="473" t="s">
        <v>122</v>
      </c>
      <c r="C55" s="474"/>
      <c r="D55" s="474"/>
      <c r="E55" s="474"/>
      <c r="F55" s="474"/>
      <c r="G55" s="475" t="s">
        <v>121</v>
      </c>
      <c r="H55" s="473" t="s">
        <v>120</v>
      </c>
      <c r="I55" s="482"/>
      <c r="J55" s="482"/>
      <c r="K55" s="482"/>
      <c r="L55" s="482"/>
      <c r="M55" s="460" t="s">
        <v>119</v>
      </c>
      <c r="N55" s="262"/>
    </row>
    <row r="56" spans="1:14" s="269" customFormat="1" ht="21" customHeight="1" x14ac:dyDescent="0.15">
      <c r="A56" s="258"/>
      <c r="B56" s="252" t="s">
        <v>118</v>
      </c>
      <c r="C56" s="252" t="s">
        <v>117</v>
      </c>
      <c r="D56" s="252" t="s">
        <v>116</v>
      </c>
      <c r="E56" s="252" t="s">
        <v>115</v>
      </c>
      <c r="F56" s="248" t="s">
        <v>114</v>
      </c>
      <c r="G56" s="476"/>
      <c r="H56" s="252" t="s">
        <v>128</v>
      </c>
      <c r="I56" s="252" t="s">
        <v>112</v>
      </c>
      <c r="J56" s="462" t="s">
        <v>111</v>
      </c>
      <c r="K56" s="462"/>
      <c r="L56" s="248" t="s">
        <v>2</v>
      </c>
      <c r="M56" s="461"/>
      <c r="N56" s="262"/>
    </row>
    <row r="57" spans="1:14" s="279" customFormat="1" ht="21" customHeight="1" x14ac:dyDescent="0.15">
      <c r="A57" s="258"/>
      <c r="B57" s="271" t="str">
        <f ca="1">IF(M51=" "," ",INDIRECT(ADDRESS($H$4+2+C53,8,1,TRUE,$H$3)))</f>
        <v xml:space="preserve"> </v>
      </c>
      <c r="C57" s="271" t="str">
        <f ca="1">IF(M51=" "," ",INDIRECT(ADDRESS($H$4+2+C53,9,1,TRUE,$H$3)))</f>
        <v xml:space="preserve"> </v>
      </c>
      <c r="D57" s="271" t="str">
        <f ca="1">IF(M51=" "," ",INDIRECT(ADDRESS($H$4+2+C53,10,1,TRUE,$H$3)))</f>
        <v xml:space="preserve"> </v>
      </c>
      <c r="E57" s="271" t="str">
        <f ca="1">IF(M51=" "," ",INDIRECT(ADDRESS($H$4+2+C53,11,1,TRUE,$H$3)))</f>
        <v xml:space="preserve"> </v>
      </c>
      <c r="F57" s="272" t="str">
        <f ca="1">IF(M51=" "," ",INDIRECT(ADDRESS($H$4+2+C53,12,1,TRUE,$H$3)))</f>
        <v xml:space="preserve"> </v>
      </c>
      <c r="G57" s="273" t="str">
        <f ca="1">IF(M51=" "," ",INDIRECT(ADDRESS($H$4+2+C53,13,1,TRUE,$H$3)))</f>
        <v xml:space="preserve"> </v>
      </c>
      <c r="H57" s="274" t="str">
        <f ca="1">IF(M51=" "," ",INDIRECT(ADDRESS($H$4+2+C53,14,1,TRUE,$H$3)))</f>
        <v xml:space="preserve"> </v>
      </c>
      <c r="I57" s="271" t="str">
        <f ca="1">IF(M51=" "," ",INDIRECT(ADDRESS($H$4+2+C53,15,1,TRUE,$H$3)))</f>
        <v xml:space="preserve"> </v>
      </c>
      <c r="J57" s="457" t="str">
        <f ca="1">IF(M51=" "," ",INDIRECT(ADDRESS($H$4+2+C53,16,1,TRUE,$H$3)))</f>
        <v xml:space="preserve"> </v>
      </c>
      <c r="K57" s="457"/>
      <c r="L57" s="272" t="str">
        <f ca="1">IF(M51=" "," ",INDIRECT(ADDRESS($H$4+2+C53,17,1,TRUE,$H$3)))</f>
        <v xml:space="preserve"> </v>
      </c>
      <c r="M57" s="275" t="str">
        <f ca="1">IF(M51=" "," ",INDIRECT(ADDRESS($H$4+2+C53,18,1,TRUE,$H$3)))</f>
        <v xml:space="preserve"> </v>
      </c>
      <c r="N57" s="262"/>
    </row>
    <row r="58" spans="1:14" s="279" customFormat="1" ht="21" customHeight="1" x14ac:dyDescent="0.15">
      <c r="A58" s="258"/>
      <c r="B58" s="471" t="s">
        <v>110</v>
      </c>
      <c r="C58" s="471"/>
      <c r="D58" s="278"/>
      <c r="E58" s="278"/>
      <c r="F58" s="278"/>
      <c r="G58" s="278"/>
      <c r="H58" s="278"/>
      <c r="I58" s="278"/>
      <c r="J58" s="278"/>
      <c r="K58" s="278"/>
      <c r="L58" s="278"/>
      <c r="M58" s="278"/>
      <c r="N58" s="262"/>
    </row>
    <row r="59" spans="1:14" s="279" customFormat="1" ht="21" customHeight="1" x14ac:dyDescent="0.15">
      <c r="A59" s="258"/>
      <c r="B59" s="280"/>
      <c r="C59" s="280"/>
      <c r="D59" s="278"/>
      <c r="E59" s="455" t="s">
        <v>109</v>
      </c>
      <c r="F59" s="456"/>
      <c r="G59" s="271" t="str">
        <f ca="1">IF(M51=" "," ",INDIRECT(ADDRESS($H$4+2+C53,22,1,TRUE,$H$3)))</f>
        <v xml:space="preserve"> </v>
      </c>
      <c r="H59" s="271" t="str">
        <f ca="1">IF(M51=" "," ",INDIRECT(ADDRESS($H$4+2+C53,23,1,TRUE,$H$3)))</f>
        <v xml:space="preserve"> </v>
      </c>
      <c r="I59" s="271" t="str">
        <f ca="1">IF(M51=" "," ",INDIRECT(ADDRESS($H$4+2+C53,24,1,TRUE,$H$3)))</f>
        <v xml:space="preserve"> </v>
      </c>
      <c r="J59" s="457" t="str">
        <f ca="1">IF(M51=" "," ",INDIRECT(ADDRESS($H$4+2+C53,25,1,TRUE,$H$3)))</f>
        <v xml:space="preserve"> </v>
      </c>
      <c r="K59" s="457"/>
      <c r="L59" s="271" t="str">
        <f ca="1">IF(M51=" "," ",INDIRECT(ADDRESS($H$4+2+C53,26,1,TRUE,$H$3)))</f>
        <v xml:space="preserve"> </v>
      </c>
      <c r="M59" s="271" t="str">
        <f ca="1">IF(M51=" "," ",INDIRECT(ADDRESS($H$4+2+C53,27,1,TRUE,$H$3)))</f>
        <v xml:space="preserve"> </v>
      </c>
      <c r="N59" s="262"/>
    </row>
    <row r="60" spans="1:14" ht="6" customHeight="1" x14ac:dyDescent="0.15">
      <c r="A60" s="258"/>
      <c r="B60" s="261"/>
      <c r="C60" s="261"/>
      <c r="D60" s="261"/>
      <c r="E60" s="261"/>
      <c r="F60" s="261"/>
      <c r="G60" s="261"/>
      <c r="H60" s="261"/>
      <c r="I60" s="261"/>
      <c r="J60" s="458"/>
      <c r="K60" s="458"/>
      <c r="L60" s="261"/>
      <c r="M60" s="261"/>
      <c r="N60" s="262"/>
    </row>
    <row r="61" spans="1:14" ht="21" customHeight="1" x14ac:dyDescent="0.15">
      <c r="A61" s="258"/>
      <c r="B61" s="261"/>
      <c r="C61" s="261"/>
      <c r="D61" s="261"/>
      <c r="E61" s="261"/>
      <c r="F61" s="261"/>
      <c r="G61" s="261"/>
      <c r="H61" s="261"/>
      <c r="I61" s="261"/>
      <c r="J61" s="469" t="s">
        <v>108</v>
      </c>
      <c r="K61" s="470"/>
      <c r="L61" s="470"/>
      <c r="M61" s="281" t="str">
        <f ca="1">M47</f>
        <v xml:space="preserve"> </v>
      </c>
      <c r="N61" s="262"/>
    </row>
    <row r="62" spans="1:14" ht="12" customHeight="1" x14ac:dyDescent="0.15">
      <c r="A62" s="282"/>
      <c r="B62" s="287" t="s">
        <v>66</v>
      </c>
      <c r="C62" s="287"/>
      <c r="D62" s="283"/>
      <c r="E62" s="284"/>
      <c r="F62" s="284"/>
      <c r="G62" s="284"/>
      <c r="H62" s="284"/>
      <c r="I62" s="284"/>
      <c r="J62" s="284"/>
      <c r="K62" s="284"/>
      <c r="L62" s="284"/>
      <c r="M62" s="284"/>
      <c r="N62" s="285"/>
    </row>
    <row r="63" spans="1:14" ht="21" customHeight="1" x14ac:dyDescent="0.15">
      <c r="A63" s="483"/>
      <c r="B63" s="484"/>
      <c r="C63" s="484"/>
      <c r="D63" s="484"/>
      <c r="E63" s="484"/>
      <c r="F63" s="484"/>
      <c r="G63" s="484"/>
      <c r="H63" s="484"/>
      <c r="I63" s="484"/>
      <c r="J63" s="484"/>
      <c r="K63" s="484"/>
      <c r="L63" s="484"/>
      <c r="M63" s="484"/>
      <c r="N63" s="484"/>
    </row>
    <row r="64" spans="1:14" ht="21" customHeight="1" x14ac:dyDescent="0.15">
      <c r="A64" s="454"/>
      <c r="B64" s="454"/>
      <c r="C64" s="454"/>
      <c r="D64" s="454"/>
      <c r="E64" s="454"/>
      <c r="F64" s="454"/>
      <c r="G64" s="454"/>
      <c r="H64" s="454"/>
      <c r="I64" s="454"/>
      <c r="J64" s="454"/>
      <c r="K64" s="454"/>
      <c r="L64" s="454"/>
      <c r="M64" s="454"/>
      <c r="N64" s="454"/>
    </row>
    <row r="65" spans="1:14" ht="25" customHeight="1" x14ac:dyDescent="0.2">
      <c r="A65" s="256"/>
      <c r="B65" s="472" t="str">
        <f ca="1">IF(M72=" "," ",Employee!$D$5)</f>
        <v xml:space="preserve"> </v>
      </c>
      <c r="C65" s="472"/>
      <c r="D65" s="472"/>
      <c r="E65" s="472"/>
      <c r="F65" s="472"/>
      <c r="G65" s="467" t="str">
        <f ca="1">IF(G72=" "," ",Employee!$D$119)</f>
        <v xml:space="preserve"> </v>
      </c>
      <c r="H65" s="468"/>
      <c r="I65" s="479" t="str">
        <f ca="1">IF(G72=" "," ",Employee!$D$120)</f>
        <v xml:space="preserve"> </v>
      </c>
      <c r="J65" s="480"/>
      <c r="K65" s="480"/>
      <c r="L65" s="459" t="s">
        <v>23</v>
      </c>
      <c r="M65" s="459"/>
      <c r="N65" s="257"/>
    </row>
    <row r="66" spans="1:14" ht="18" customHeight="1" x14ac:dyDescent="0.15">
      <c r="A66" s="258"/>
      <c r="B66" s="463" t="str">
        <f ca="1">IF(M72=" "," ",Employee!$D$6)</f>
        <v xml:space="preserve"> </v>
      </c>
      <c r="C66" s="463"/>
      <c r="D66" s="464"/>
      <c r="E66" s="465"/>
      <c r="F66" s="466"/>
      <c r="G66" s="259"/>
      <c r="H66" s="260"/>
      <c r="I66" s="261"/>
      <c r="J66" s="261"/>
      <c r="K66" s="261"/>
      <c r="L66" s="261"/>
      <c r="M66" s="261" t="str">
        <f ca="1">INDIRECT(ADDRESS($H$4+2+C68,5,1,TRUE,$H$3))</f>
        <v xml:space="preserve"> </v>
      </c>
      <c r="N66" s="262"/>
    </row>
    <row r="67" spans="1:14" ht="21" customHeight="1" x14ac:dyDescent="0.15">
      <c r="A67" s="258"/>
      <c r="B67" s="463" t="str">
        <f ca="1">IF(M72=" "," ",Employee!$D$7)</f>
        <v xml:space="preserve"> </v>
      </c>
      <c r="C67" s="463"/>
      <c r="D67" s="463"/>
      <c r="E67" s="263" t="str">
        <f ca="1">IF(M72=" "," ",Employee!$D$9)</f>
        <v xml:space="preserve"> </v>
      </c>
      <c r="F67" s="264"/>
      <c r="G67" s="265"/>
      <c r="H67" s="249" t="s">
        <v>127</v>
      </c>
      <c r="I67" s="266">
        <f ca="1">I52</f>
        <v>44661</v>
      </c>
      <c r="J67" s="481" t="s">
        <v>6</v>
      </c>
      <c r="K67" s="481"/>
      <c r="L67" s="249" t="s">
        <v>126</v>
      </c>
      <c r="M67" s="261" t="str">
        <f ca="1">IF(M66=" "," ",Employee!$M$119)</f>
        <v xml:space="preserve"> </v>
      </c>
      <c r="N67" s="262"/>
    </row>
    <row r="68" spans="1:14" ht="21" customHeight="1" x14ac:dyDescent="0.15">
      <c r="A68" s="258"/>
      <c r="B68" s="249" t="s">
        <v>125</v>
      </c>
      <c r="C68" s="267">
        <f>Employee!$D$133</f>
        <v>5</v>
      </c>
      <c r="D68" s="250"/>
      <c r="E68" s="286"/>
      <c r="F68" s="458"/>
      <c r="G68" s="458"/>
      <c r="H68" s="253" t="s">
        <v>124</v>
      </c>
      <c r="I68" s="268">
        <f ca="1">I53</f>
        <v>1</v>
      </c>
      <c r="J68" s="477" t="str">
        <f ca="1">IF(M66=" "," ",INDIRECT(ADDRESS($H$4+2+C68,4,1,TRUE,$H$3)))</f>
        <v xml:space="preserve"> </v>
      </c>
      <c r="K68" s="477"/>
      <c r="L68" s="249" t="s">
        <v>123</v>
      </c>
      <c r="M68" s="261" t="str">
        <f ca="1">IF(M66=" "," ",INDIRECT(ADDRESS($H$4+2+C68,3,1,TRUE,$H$3)))</f>
        <v xml:space="preserve"> </v>
      </c>
      <c r="N68" s="262"/>
    </row>
    <row r="69" spans="1:14" ht="6" customHeight="1" x14ac:dyDescent="0.15">
      <c r="A69" s="258"/>
      <c r="B69" s="458"/>
      <c r="C69" s="458"/>
      <c r="D69" s="458"/>
      <c r="E69" s="458"/>
      <c r="F69" s="458"/>
      <c r="G69" s="458"/>
      <c r="H69" s="458"/>
      <c r="I69" s="458"/>
      <c r="J69" s="458"/>
      <c r="K69" s="458"/>
      <c r="L69" s="458"/>
      <c r="M69" s="458"/>
      <c r="N69" s="262"/>
    </row>
    <row r="70" spans="1:14" ht="21" customHeight="1" x14ac:dyDescent="0.15">
      <c r="A70" s="258"/>
      <c r="B70" s="473" t="s">
        <v>122</v>
      </c>
      <c r="C70" s="474"/>
      <c r="D70" s="474"/>
      <c r="E70" s="474"/>
      <c r="F70" s="474"/>
      <c r="G70" s="475" t="s">
        <v>121</v>
      </c>
      <c r="H70" s="473" t="s">
        <v>120</v>
      </c>
      <c r="I70" s="482"/>
      <c r="J70" s="482"/>
      <c r="K70" s="482"/>
      <c r="L70" s="482"/>
      <c r="M70" s="460" t="s">
        <v>119</v>
      </c>
      <c r="N70" s="262"/>
    </row>
    <row r="71" spans="1:14" s="269" customFormat="1" ht="21" customHeight="1" x14ac:dyDescent="0.15">
      <c r="A71" s="258"/>
      <c r="B71" s="252" t="s">
        <v>118</v>
      </c>
      <c r="C71" s="252" t="s">
        <v>117</v>
      </c>
      <c r="D71" s="252" t="s">
        <v>116</v>
      </c>
      <c r="E71" s="252" t="s">
        <v>115</v>
      </c>
      <c r="F71" s="248" t="s">
        <v>114</v>
      </c>
      <c r="G71" s="476"/>
      <c r="H71" s="252" t="s">
        <v>113</v>
      </c>
      <c r="I71" s="252" t="s">
        <v>112</v>
      </c>
      <c r="J71" s="462" t="s">
        <v>111</v>
      </c>
      <c r="K71" s="462"/>
      <c r="L71" s="248" t="s">
        <v>2</v>
      </c>
      <c r="M71" s="461"/>
      <c r="N71" s="262"/>
    </row>
    <row r="72" spans="1:14" s="279" customFormat="1" ht="21" customHeight="1" x14ac:dyDescent="0.15">
      <c r="A72" s="258"/>
      <c r="B72" s="271" t="str">
        <f ca="1">IF(M66=" "," ",INDIRECT(ADDRESS($H$4+2+C68,8,1,TRUE,$H$3)))</f>
        <v xml:space="preserve"> </v>
      </c>
      <c r="C72" s="271" t="str">
        <f ca="1">IF(M66=" "," ",INDIRECT(ADDRESS($H$4+2+C68,9,1,TRUE,$H$3)))</f>
        <v xml:space="preserve"> </v>
      </c>
      <c r="D72" s="271" t="str">
        <f ca="1">IF(M66=" "," ",INDIRECT(ADDRESS($H$4+2+C68,10,1,TRUE,$H$3)))</f>
        <v xml:space="preserve"> </v>
      </c>
      <c r="E72" s="271" t="str">
        <f ca="1">IF(M66=" "," ",INDIRECT(ADDRESS($H$4+2+C68,11,1,TRUE,$H$3)))</f>
        <v xml:space="preserve"> </v>
      </c>
      <c r="F72" s="272" t="str">
        <f ca="1">IF(M66=" "," ",INDIRECT(ADDRESS($H$4+2+C68,12,1,TRUE,$H$3)))</f>
        <v xml:space="preserve"> </v>
      </c>
      <c r="G72" s="273" t="str">
        <f ca="1">IF(M66=" "," ",INDIRECT(ADDRESS($H$4+2+C68,13,1,TRUE,$H$3)))</f>
        <v xml:space="preserve"> </v>
      </c>
      <c r="H72" s="274" t="str">
        <f ca="1">IF(M66=" "," ",INDIRECT(ADDRESS($H$4+2+C68,14,1,TRUE,$H$3)))</f>
        <v xml:space="preserve"> </v>
      </c>
      <c r="I72" s="271" t="str">
        <f ca="1">IF(M66=" "," ",INDIRECT(ADDRESS($H$4+2+C68,15,1,TRUE,$H$3)))</f>
        <v xml:space="preserve"> </v>
      </c>
      <c r="J72" s="457" t="str">
        <f ca="1">IF(M66=" "," ",INDIRECT(ADDRESS($H$4+2+C68,16,1,TRUE,$H$3)))</f>
        <v xml:space="preserve"> </v>
      </c>
      <c r="K72" s="457"/>
      <c r="L72" s="272" t="str">
        <f ca="1">IF(M66=" "," ",INDIRECT(ADDRESS($H$4+2+C68,17,1,TRUE,$H$3)))</f>
        <v xml:space="preserve"> </v>
      </c>
      <c r="M72" s="275" t="str">
        <f ca="1">IF(M66=" "," ",INDIRECT(ADDRESS($H$4+2+C68,18,1,TRUE,$H$3)))</f>
        <v xml:space="preserve"> </v>
      </c>
      <c r="N72" s="262"/>
    </row>
    <row r="73" spans="1:14" s="279" customFormat="1" ht="21" customHeight="1" x14ac:dyDescent="0.15">
      <c r="A73" s="258"/>
      <c r="B73" s="471" t="s">
        <v>110</v>
      </c>
      <c r="C73" s="471"/>
      <c r="D73" s="278"/>
      <c r="E73" s="278"/>
      <c r="F73" s="278"/>
      <c r="G73" s="278"/>
      <c r="H73" s="278"/>
      <c r="I73" s="278"/>
      <c r="J73" s="278"/>
      <c r="K73" s="278"/>
      <c r="L73" s="278"/>
      <c r="M73" s="278"/>
      <c r="N73" s="262"/>
    </row>
    <row r="74" spans="1:14" s="279" customFormat="1" ht="21" customHeight="1" x14ac:dyDescent="0.15">
      <c r="A74" s="258"/>
      <c r="B74" s="280"/>
      <c r="C74" s="280"/>
      <c r="D74" s="278"/>
      <c r="E74" s="455" t="s">
        <v>109</v>
      </c>
      <c r="F74" s="456"/>
      <c r="G74" s="271" t="str">
        <f ca="1">IF(M66=" "," ",INDIRECT(ADDRESS($H$4+2+C68,22,1,TRUE,$H$3)))</f>
        <v xml:space="preserve"> </v>
      </c>
      <c r="H74" s="271" t="str">
        <f ca="1">IF(M66=" "," ",INDIRECT(ADDRESS($H$4+2+C68,23,1,TRUE,$H$3)))</f>
        <v xml:space="preserve"> </v>
      </c>
      <c r="I74" s="271" t="str">
        <f ca="1">IF(M66=" "," ",INDIRECT(ADDRESS($H$4+2+C68,24,1,TRUE,$H$3)))</f>
        <v xml:space="preserve"> </v>
      </c>
      <c r="J74" s="457" t="str">
        <f ca="1">IF(M66=" "," ",INDIRECT(ADDRESS($H$4+2+C68,25,1,TRUE,$H$3)))</f>
        <v xml:space="preserve"> </v>
      </c>
      <c r="K74" s="457"/>
      <c r="L74" s="271" t="str">
        <f ca="1">IF(M66=" "," ",INDIRECT(ADDRESS($H$4+2+C68,26,1,TRUE,$H$3)))</f>
        <v xml:space="preserve"> </v>
      </c>
      <c r="M74" s="271" t="str">
        <f ca="1">IF(M66=" "," ",INDIRECT(ADDRESS($H$4+2+C68,27,1,TRUE,$H$3)))</f>
        <v xml:space="preserve"> </v>
      </c>
      <c r="N74" s="262"/>
    </row>
    <row r="75" spans="1:14" ht="6" customHeight="1" x14ac:dyDescent="0.15">
      <c r="A75" s="258"/>
      <c r="B75" s="261"/>
      <c r="C75" s="261"/>
      <c r="D75" s="261"/>
      <c r="E75" s="261"/>
      <c r="F75" s="261"/>
      <c r="G75" s="261"/>
      <c r="H75" s="261"/>
      <c r="I75" s="261"/>
      <c r="J75" s="458"/>
      <c r="K75" s="458"/>
      <c r="L75" s="261"/>
      <c r="M75" s="261"/>
      <c r="N75" s="262"/>
    </row>
    <row r="76" spans="1:14" ht="21" customHeight="1" x14ac:dyDescent="0.15">
      <c r="A76" s="258"/>
      <c r="B76" s="261"/>
      <c r="C76" s="261"/>
      <c r="D76" s="261"/>
      <c r="E76" s="261"/>
      <c r="F76" s="261"/>
      <c r="G76" s="261"/>
      <c r="H76" s="261"/>
      <c r="I76" s="261"/>
      <c r="J76" s="469" t="s">
        <v>108</v>
      </c>
      <c r="K76" s="470"/>
      <c r="L76" s="470"/>
      <c r="M76" s="281" t="str">
        <f ca="1">M61</f>
        <v xml:space="preserve"> </v>
      </c>
      <c r="N76" s="262"/>
    </row>
    <row r="77" spans="1:14" ht="12" customHeight="1" x14ac:dyDescent="0.15">
      <c r="A77" s="282"/>
      <c r="B77" s="287" t="s">
        <v>66</v>
      </c>
      <c r="C77" s="287"/>
      <c r="D77" s="283"/>
      <c r="E77" s="284"/>
      <c r="F77" s="284"/>
      <c r="G77" s="284"/>
      <c r="H77" s="284"/>
      <c r="I77" s="284"/>
      <c r="J77" s="284"/>
      <c r="K77" s="284"/>
      <c r="L77" s="284"/>
      <c r="M77" s="284"/>
      <c r="N77" s="285"/>
    </row>
    <row r="78" spans="1:14" ht="21" customHeight="1" x14ac:dyDescent="0.15">
      <c r="A78" s="454"/>
      <c r="B78" s="454"/>
      <c r="C78" s="454"/>
      <c r="D78" s="454"/>
      <c r="E78" s="454"/>
      <c r="F78" s="454"/>
      <c r="G78" s="454"/>
      <c r="H78" s="454"/>
      <c r="I78" s="454"/>
      <c r="J78" s="454"/>
      <c r="K78" s="454"/>
      <c r="L78" s="454"/>
      <c r="M78" s="454"/>
      <c r="N78" s="454"/>
    </row>
  </sheetData>
  <mergeCells count="121">
    <mergeCell ref="I7:K7"/>
    <mergeCell ref="B21:F21"/>
    <mergeCell ref="G21:H21"/>
    <mergeCell ref="I21:K21"/>
    <mergeCell ref="B12:F12"/>
    <mergeCell ref="G12:G13"/>
    <mergeCell ref="B15:C15"/>
    <mergeCell ref="E37:F37"/>
    <mergeCell ref="B38:D38"/>
    <mergeCell ref="B26:F26"/>
    <mergeCell ref="G26:G27"/>
    <mergeCell ref="J10:K10"/>
    <mergeCell ref="J27:K27"/>
    <mergeCell ref="H12:L12"/>
    <mergeCell ref="B11:M11"/>
    <mergeCell ref="J9:K9"/>
    <mergeCell ref="M12:M13"/>
    <mergeCell ref="D10:E10"/>
    <mergeCell ref="J31:K31"/>
    <mergeCell ref="J14:K14"/>
    <mergeCell ref="J16:K16"/>
    <mergeCell ref="J47:L47"/>
    <mergeCell ref="J61:L61"/>
    <mergeCell ref="B40:M40"/>
    <mergeCell ref="B36:F36"/>
    <mergeCell ref="G36:H36"/>
    <mergeCell ref="E22:F22"/>
    <mergeCell ref="B23:D23"/>
    <mergeCell ref="B44:C44"/>
    <mergeCell ref="B37:D37"/>
    <mergeCell ref="A49:N49"/>
    <mergeCell ref="L50:M50"/>
    <mergeCell ref="H41:L41"/>
    <mergeCell ref="I50:K50"/>
    <mergeCell ref="B51:D51"/>
    <mergeCell ref="E51:F51"/>
    <mergeCell ref="M41:M42"/>
    <mergeCell ref="J42:K42"/>
    <mergeCell ref="J30:K30"/>
    <mergeCell ref="J32:L32"/>
    <mergeCell ref="J43:K43"/>
    <mergeCell ref="E45:F45"/>
    <mergeCell ref="J45:K45"/>
    <mergeCell ref="J46:K46"/>
    <mergeCell ref="J39:K39"/>
    <mergeCell ref="A6:N6"/>
    <mergeCell ref="A20:N20"/>
    <mergeCell ref="A34:N34"/>
    <mergeCell ref="A35:N35"/>
    <mergeCell ref="F24:G24"/>
    <mergeCell ref="B25:M25"/>
    <mergeCell ref="L21:M21"/>
    <mergeCell ref="L7:M7"/>
    <mergeCell ref="M26:M27"/>
    <mergeCell ref="J13:K13"/>
    <mergeCell ref="B8:D8"/>
    <mergeCell ref="B29:C29"/>
    <mergeCell ref="B7:F7"/>
    <mergeCell ref="E8:F8"/>
    <mergeCell ref="B9:D9"/>
    <mergeCell ref="E30:F30"/>
    <mergeCell ref="E16:F16"/>
    <mergeCell ref="F10:G10"/>
    <mergeCell ref="G7:H7"/>
    <mergeCell ref="J17:K17"/>
    <mergeCell ref="J23:K23"/>
    <mergeCell ref="H26:L26"/>
    <mergeCell ref="J28:K28"/>
    <mergeCell ref="B22:D22"/>
    <mergeCell ref="G55:G56"/>
    <mergeCell ref="B70:F70"/>
    <mergeCell ref="B52:D52"/>
    <mergeCell ref="G70:G71"/>
    <mergeCell ref="B67:D67"/>
    <mergeCell ref="B58:C58"/>
    <mergeCell ref="F53:G53"/>
    <mergeCell ref="J57:K57"/>
    <mergeCell ref="I65:K65"/>
    <mergeCell ref="H70:L70"/>
    <mergeCell ref="J67:K67"/>
    <mergeCell ref="F39:G39"/>
    <mergeCell ref="B50:F50"/>
    <mergeCell ref="G50:H50"/>
    <mergeCell ref="B41:F41"/>
    <mergeCell ref="G41:G42"/>
    <mergeCell ref="J53:K53"/>
    <mergeCell ref="J68:K68"/>
    <mergeCell ref="I3:L3"/>
    <mergeCell ref="I4:L4"/>
    <mergeCell ref="J24:K24"/>
    <mergeCell ref="I36:K36"/>
    <mergeCell ref="L36:M36"/>
    <mergeCell ref="J38:K38"/>
    <mergeCell ref="J18:L18"/>
    <mergeCell ref="J52:K52"/>
    <mergeCell ref="B54:M54"/>
    <mergeCell ref="H55:L55"/>
    <mergeCell ref="M55:M56"/>
    <mergeCell ref="J56:K56"/>
    <mergeCell ref="F68:G68"/>
    <mergeCell ref="B65:F65"/>
    <mergeCell ref="A63:N63"/>
    <mergeCell ref="A64:N64"/>
    <mergeCell ref="B55:F55"/>
    <mergeCell ref="A78:N78"/>
    <mergeCell ref="E59:F59"/>
    <mergeCell ref="J59:K59"/>
    <mergeCell ref="J72:K72"/>
    <mergeCell ref="E74:F74"/>
    <mergeCell ref="J74:K74"/>
    <mergeCell ref="J75:K75"/>
    <mergeCell ref="B69:M69"/>
    <mergeCell ref="L65:M65"/>
    <mergeCell ref="J60:K60"/>
    <mergeCell ref="M70:M71"/>
    <mergeCell ref="J71:K71"/>
    <mergeCell ref="B66:D66"/>
    <mergeCell ref="E66:F66"/>
    <mergeCell ref="G65:H65"/>
    <mergeCell ref="J76:L76"/>
    <mergeCell ref="B73:C73"/>
  </mergeCells>
  <hyperlinks>
    <hyperlink ref="B19" r:id="rId1" xr:uid="{00000000-0004-0000-0D00-000000000000}"/>
    <hyperlink ref="B33" r:id="rId2" xr:uid="{00000000-0004-0000-0D00-000001000000}"/>
    <hyperlink ref="B48" r:id="rId3" xr:uid="{00000000-0004-0000-0D00-000002000000}"/>
    <hyperlink ref="B62" r:id="rId4" xr:uid="{00000000-0004-0000-0D00-000003000000}"/>
    <hyperlink ref="B77" r:id="rId5" xr:uid="{00000000-0004-0000-0D00-000004000000}"/>
  </hyperlinks>
  <printOptions horizontalCentered="1" verticalCentered="1"/>
  <pageMargins left="0.55118110236220474" right="0.55118110236220474" top="0.31496062992125984" bottom="0.23622047244094491" header="7.874015748031496E-2" footer="0.11811023622047245"/>
  <pageSetup paperSize="9" orientation="landscape" r:id="rId6"/>
  <headerFooter alignWithMargins="0"/>
  <rowBreaks count="2" manualBreakCount="2">
    <brk id="34" max="16383" man="1"/>
    <brk id="63" max="16383" man="1"/>
  </rowBreak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D00-000000000000}">
          <x14:formula1>
            <xm:f>Employee!$V$7:$V$8</xm:f>
          </x14:formula1>
          <xm:sqref>F3</xm:sqref>
        </x14:dataValidation>
        <x14:dataValidation type="list" allowBlank="1" showInputMessage="1" showErrorMessage="1" promptTitle="Enter Week or Month Number" prompt="Either use the drop down menu to enter Week number or Month number, or type the number 1-12 or 1 through 53." xr:uid="{00000000-0002-0000-0D00-000001000000}">
          <x14:formula1>
            <xm:f>Employee!$X$2:$X$54</xm:f>
          </x14:formula1>
          <xm:sqref>F4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O18"/>
  <sheetViews>
    <sheetView workbookViewId="0">
      <selection activeCell="J4" sqref="J4"/>
    </sheetView>
  </sheetViews>
  <sheetFormatPr baseColWidth="10" defaultColWidth="9.1640625" defaultRowHeight="12" x14ac:dyDescent="0.15"/>
  <cols>
    <col min="1" max="1" width="1.6640625" style="212" customWidth="1"/>
    <col min="2" max="2" width="9.6640625" style="213" customWidth="1"/>
    <col min="3" max="9" width="11.6640625" style="212" customWidth="1"/>
    <col min="10" max="10" width="9.6640625" style="212" customWidth="1"/>
    <col min="11" max="14" width="11.6640625" style="212" customWidth="1"/>
    <col min="15" max="15" width="1.6640625" style="212" customWidth="1"/>
    <col min="16" max="16384" width="9.1640625" style="212"/>
  </cols>
  <sheetData>
    <row r="1" spans="1:15" ht="9" customHeight="1" thickBot="1" x14ac:dyDescent="0.2">
      <c r="A1" s="243"/>
      <c r="B1" s="242"/>
      <c r="C1" s="241"/>
      <c r="D1" s="241"/>
      <c r="E1" s="241"/>
      <c r="F1" s="241"/>
      <c r="G1" s="241"/>
      <c r="H1" s="241"/>
      <c r="I1" s="241"/>
      <c r="J1" s="241"/>
      <c r="K1" s="241"/>
      <c r="L1" s="241"/>
      <c r="M1" s="241"/>
      <c r="N1" s="241"/>
      <c r="O1" s="240"/>
    </row>
    <row r="2" spans="1:15" s="235" customFormat="1" ht="41" thickTop="1" thickBot="1" x14ac:dyDescent="0.2">
      <c r="A2" s="239"/>
      <c r="B2" s="237" t="s">
        <v>103</v>
      </c>
      <c r="C2" s="238" t="s">
        <v>102</v>
      </c>
      <c r="D2" s="237" t="s">
        <v>101</v>
      </c>
      <c r="E2" s="237" t="s">
        <v>100</v>
      </c>
      <c r="F2" s="237" t="s">
        <v>99</v>
      </c>
      <c r="G2" s="237" t="s">
        <v>98</v>
      </c>
      <c r="H2" s="237" t="s">
        <v>97</v>
      </c>
      <c r="I2" s="237" t="s">
        <v>96</v>
      </c>
      <c r="J2" s="237" t="s">
        <v>95</v>
      </c>
      <c r="K2" s="237" t="s">
        <v>94</v>
      </c>
      <c r="L2" s="238" t="s">
        <v>93</v>
      </c>
      <c r="M2" s="238" t="s">
        <v>104</v>
      </c>
      <c r="N2" s="237" t="s">
        <v>92</v>
      </c>
      <c r="O2" s="236"/>
    </row>
    <row r="3" spans="1:15" ht="15" customHeight="1" thickTop="1" x14ac:dyDescent="0.15">
      <c r="A3" s="231"/>
      <c r="B3" s="234"/>
      <c r="C3" s="233"/>
      <c r="D3" s="233"/>
      <c r="E3" s="233"/>
      <c r="F3" s="233"/>
      <c r="G3" s="233"/>
      <c r="H3" s="233"/>
      <c r="I3" s="233"/>
      <c r="N3" s="232"/>
      <c r="O3" s="225"/>
    </row>
    <row r="4" spans="1:15" ht="15" customHeight="1" x14ac:dyDescent="0.15">
      <c r="A4" s="231"/>
      <c r="B4" s="230">
        <f>DATE(2022,4,30)</f>
        <v>44681</v>
      </c>
      <c r="C4" s="229">
        <f>DATE(2022,5,19)</f>
        <v>44700</v>
      </c>
      <c r="D4" s="227">
        <f>Apr!T1+Apr!O1</f>
        <v>0</v>
      </c>
      <c r="E4" s="228">
        <f>Apr!N1</f>
        <v>0</v>
      </c>
      <c r="F4" s="228">
        <f>Apr!AD60+Apr!AE60+Apr!AF60+Apr!AG60</f>
        <v>0</v>
      </c>
      <c r="G4" s="228">
        <f>Apr!AE62+Apr!AF62+Apr!AG62</f>
        <v>0</v>
      </c>
      <c r="H4" s="228">
        <f>Apr!P1</f>
        <v>0</v>
      </c>
      <c r="I4" s="227">
        <f t="shared" ref="I4:I15" si="0">D4+E4-F4-G4+H4</f>
        <v>0</v>
      </c>
      <c r="M4" s="212">
        <f>(YEAR(Admin!B2)-1999)*100+1</f>
        <v>2301</v>
      </c>
      <c r="N4" s="226">
        <f t="shared" ref="N4:N15" si="1">N3+I4-L4</f>
        <v>0</v>
      </c>
      <c r="O4" s="225"/>
    </row>
    <row r="5" spans="1:15" ht="15" customHeight="1" x14ac:dyDescent="0.15">
      <c r="A5" s="231"/>
      <c r="B5" s="230">
        <f>DATE(2022,5,31)</f>
        <v>44712</v>
      </c>
      <c r="C5" s="229">
        <f>DATE(2022,6,19)</f>
        <v>44731</v>
      </c>
      <c r="D5" s="227">
        <f>May!T1+May!O1</f>
        <v>0</v>
      </c>
      <c r="E5" s="228">
        <f>May!N1</f>
        <v>0</v>
      </c>
      <c r="F5" s="228">
        <f>May!AD60+May!AE60+May!AF60+May!AG60</f>
        <v>0</v>
      </c>
      <c r="G5" s="228">
        <f>May!AE62+May!AF62+May!AG62</f>
        <v>0</v>
      </c>
      <c r="H5" s="228">
        <f>May!P1</f>
        <v>0</v>
      </c>
      <c r="I5" s="227">
        <f t="shared" si="0"/>
        <v>0</v>
      </c>
      <c r="M5" s="212">
        <f>M4+1</f>
        <v>2302</v>
      </c>
      <c r="N5" s="226">
        <f t="shared" si="1"/>
        <v>0</v>
      </c>
      <c r="O5" s="225"/>
    </row>
    <row r="6" spans="1:15" ht="15" customHeight="1" x14ac:dyDescent="0.15">
      <c r="A6" s="231"/>
      <c r="B6" s="230">
        <f>DATE(2022,6,30)</f>
        <v>44742</v>
      </c>
      <c r="C6" s="229">
        <f>DATE(2022,7,19)</f>
        <v>44761</v>
      </c>
      <c r="D6" s="227">
        <f>Jun!T1+Jun!O1</f>
        <v>0</v>
      </c>
      <c r="E6" s="228">
        <f>Jun!N1</f>
        <v>0</v>
      </c>
      <c r="F6" s="228">
        <f>Jun!AD80+Jun!AE80+Jun!AF80+Jun!AG80</f>
        <v>0</v>
      </c>
      <c r="G6" s="228">
        <f>Jun!AE82+Jun!AF82+Jun!AG82</f>
        <v>0</v>
      </c>
      <c r="H6" s="228">
        <f>Jun!P1</f>
        <v>0</v>
      </c>
      <c r="I6" s="227">
        <f t="shared" si="0"/>
        <v>0</v>
      </c>
      <c r="M6" s="212">
        <f t="shared" ref="M6:M15" si="2">M5+1</f>
        <v>2303</v>
      </c>
      <c r="N6" s="226">
        <f t="shared" si="1"/>
        <v>0</v>
      </c>
      <c r="O6" s="225"/>
    </row>
    <row r="7" spans="1:15" ht="15" customHeight="1" x14ac:dyDescent="0.15">
      <c r="A7" s="231"/>
      <c r="B7" s="230">
        <f>DATE(2022,7,31)</f>
        <v>44773</v>
      </c>
      <c r="C7" s="229">
        <f>DATE(2022,8,19)</f>
        <v>44792</v>
      </c>
      <c r="D7" s="227">
        <f>Jul!T1+Jul!O1</f>
        <v>0</v>
      </c>
      <c r="E7" s="228">
        <f>Jul!N1</f>
        <v>0</v>
      </c>
      <c r="F7" s="228">
        <f>Jul!AD60+Jul!AE60+Jul!AF60+Jul!AG60</f>
        <v>0</v>
      </c>
      <c r="G7" s="228">
        <f>Jul!AE62+Jul!AF62+Jul!AG62</f>
        <v>0</v>
      </c>
      <c r="H7" s="228">
        <f>Jul!P1</f>
        <v>0</v>
      </c>
      <c r="I7" s="227">
        <f t="shared" si="0"/>
        <v>0</v>
      </c>
      <c r="M7" s="212">
        <f t="shared" si="2"/>
        <v>2304</v>
      </c>
      <c r="N7" s="226">
        <f t="shared" si="1"/>
        <v>0</v>
      </c>
      <c r="O7" s="225"/>
    </row>
    <row r="8" spans="1:15" ht="15" customHeight="1" x14ac:dyDescent="0.15">
      <c r="A8" s="231"/>
      <c r="B8" s="230">
        <f>DATE(2022,8,31)</f>
        <v>44804</v>
      </c>
      <c r="C8" s="229">
        <f>DATE(2022,9,19)</f>
        <v>44823</v>
      </c>
      <c r="D8" s="227">
        <f>Aug!T1+Aug!O1</f>
        <v>0</v>
      </c>
      <c r="E8" s="228">
        <f>Aug!N1</f>
        <v>0</v>
      </c>
      <c r="F8" s="228">
        <f>Aug!AD60+Aug!AE60+Aug!AF60+Aug!AG60</f>
        <v>0</v>
      </c>
      <c r="G8" s="228">
        <f>Aug!AE62+Aug!AF62+Aug!AG62</f>
        <v>0</v>
      </c>
      <c r="H8" s="228">
        <f>Aug!P1</f>
        <v>0</v>
      </c>
      <c r="I8" s="227">
        <f t="shared" si="0"/>
        <v>0</v>
      </c>
      <c r="M8" s="212">
        <f t="shared" si="2"/>
        <v>2305</v>
      </c>
      <c r="N8" s="226">
        <f t="shared" si="1"/>
        <v>0</v>
      </c>
      <c r="O8" s="225"/>
    </row>
    <row r="9" spans="1:15" ht="15" customHeight="1" x14ac:dyDescent="0.15">
      <c r="A9" s="231"/>
      <c r="B9" s="230">
        <f>DATE(2022,9,30)</f>
        <v>44834</v>
      </c>
      <c r="C9" s="229">
        <f>DATE(2022,10,19)</f>
        <v>44853</v>
      </c>
      <c r="D9" s="227">
        <f>Sep!T1+Sep!O1</f>
        <v>0</v>
      </c>
      <c r="E9" s="228">
        <f>Sep!N1</f>
        <v>0</v>
      </c>
      <c r="F9" s="228">
        <f>Sep!AD70+Sep!AE70+Sep!AF70+Sep!AG70</f>
        <v>0</v>
      </c>
      <c r="G9" s="228">
        <f>Sep!AE72+Sep!AF72+Sep!AG72</f>
        <v>0</v>
      </c>
      <c r="H9" s="228">
        <f>Sep!P1</f>
        <v>0</v>
      </c>
      <c r="I9" s="227">
        <f t="shared" si="0"/>
        <v>0</v>
      </c>
      <c r="M9" s="212">
        <f t="shared" si="2"/>
        <v>2306</v>
      </c>
      <c r="N9" s="226">
        <f t="shared" si="1"/>
        <v>0</v>
      </c>
      <c r="O9" s="225"/>
    </row>
    <row r="10" spans="1:15" ht="15" customHeight="1" x14ac:dyDescent="0.15">
      <c r="A10" s="231"/>
      <c r="B10" s="230">
        <f>DATE(2022,10,31)</f>
        <v>44865</v>
      </c>
      <c r="C10" s="229">
        <f>DATE(2022,11,19)</f>
        <v>44884</v>
      </c>
      <c r="D10" s="227">
        <f>Oct!T1+Oct!O1</f>
        <v>0</v>
      </c>
      <c r="E10" s="228">
        <f>Oct!N1</f>
        <v>0</v>
      </c>
      <c r="F10" s="228">
        <f>Oct!AD60+Oct!AE60+Oct!AF60+Oct!AG60</f>
        <v>0</v>
      </c>
      <c r="G10" s="228">
        <f>Oct!AE62+Oct!AF62+Oct!AG62</f>
        <v>0</v>
      </c>
      <c r="H10" s="228">
        <f>Oct!P1</f>
        <v>0</v>
      </c>
      <c r="I10" s="227">
        <f t="shared" si="0"/>
        <v>0</v>
      </c>
      <c r="M10" s="212">
        <f t="shared" si="2"/>
        <v>2307</v>
      </c>
      <c r="N10" s="226">
        <f t="shared" si="1"/>
        <v>0</v>
      </c>
      <c r="O10" s="225"/>
    </row>
    <row r="11" spans="1:15" ht="15" customHeight="1" x14ac:dyDescent="0.15">
      <c r="A11" s="231"/>
      <c r="B11" s="230">
        <f>DATE(2022,11,30)</f>
        <v>44895</v>
      </c>
      <c r="C11" s="229">
        <f>DATE(2022,12,19)</f>
        <v>44914</v>
      </c>
      <c r="D11" s="227">
        <f>Nov!T1+Nov!O1</f>
        <v>0</v>
      </c>
      <c r="E11" s="228">
        <f>Nov!N1</f>
        <v>0</v>
      </c>
      <c r="F11" s="228">
        <f>Nov!AD60+Nov!AE60+Nov!AF60+Nov!AG60</f>
        <v>0</v>
      </c>
      <c r="G11" s="228">
        <f>Nov!AE62+Nov!AF62+Nov!AG62</f>
        <v>0</v>
      </c>
      <c r="H11" s="228">
        <f>Nov!P1</f>
        <v>0</v>
      </c>
      <c r="I11" s="227">
        <f t="shared" si="0"/>
        <v>0</v>
      </c>
      <c r="M11" s="212">
        <f t="shared" si="2"/>
        <v>2308</v>
      </c>
      <c r="N11" s="226">
        <f t="shared" si="1"/>
        <v>0</v>
      </c>
      <c r="O11" s="225"/>
    </row>
    <row r="12" spans="1:15" ht="15" customHeight="1" x14ac:dyDescent="0.15">
      <c r="A12" s="231"/>
      <c r="B12" s="230">
        <f>DATE(2022,12,31)</f>
        <v>44926</v>
      </c>
      <c r="C12" s="229">
        <f>DATE(2023,1,19)</f>
        <v>44945</v>
      </c>
      <c r="D12" s="227">
        <f>Dec!T1+Dec!O1</f>
        <v>0</v>
      </c>
      <c r="E12" s="228">
        <f>Dec!N1</f>
        <v>0</v>
      </c>
      <c r="F12" s="228">
        <f>Dec!AD70+Dec!AE70+Dec!AF70+Dec!AG70</f>
        <v>0</v>
      </c>
      <c r="G12" s="228">
        <f>Dec!AE72+Dec!AF72+Dec!AG72</f>
        <v>0</v>
      </c>
      <c r="H12" s="228">
        <f>Dec!P1</f>
        <v>0</v>
      </c>
      <c r="I12" s="227">
        <f t="shared" si="0"/>
        <v>0</v>
      </c>
      <c r="M12" s="212">
        <f t="shared" si="2"/>
        <v>2309</v>
      </c>
      <c r="N12" s="226">
        <f t="shared" si="1"/>
        <v>0</v>
      </c>
      <c r="O12" s="225"/>
    </row>
    <row r="13" spans="1:15" ht="15" customHeight="1" x14ac:dyDescent="0.15">
      <c r="A13" s="231"/>
      <c r="B13" s="230">
        <f>DATE(2023,1,31)</f>
        <v>44957</v>
      </c>
      <c r="C13" s="229">
        <f>DATE(2023,2,19)</f>
        <v>44976</v>
      </c>
      <c r="D13" s="227">
        <f>Jan!T1+Jan!O1</f>
        <v>0</v>
      </c>
      <c r="E13" s="228">
        <f>Jan!N1</f>
        <v>0</v>
      </c>
      <c r="F13" s="228">
        <f>Jan!AD60+Jan!AE60+Jan!AF60+Jan!AG60</f>
        <v>0</v>
      </c>
      <c r="G13" s="228">
        <f>Jan!AE62+Jan!AF62+Jan!AG62</f>
        <v>0</v>
      </c>
      <c r="H13" s="228">
        <f>Jan!P1</f>
        <v>0</v>
      </c>
      <c r="I13" s="227">
        <f t="shared" si="0"/>
        <v>0</v>
      </c>
      <c r="M13" s="212">
        <f t="shared" si="2"/>
        <v>2310</v>
      </c>
      <c r="N13" s="226">
        <f t="shared" si="1"/>
        <v>0</v>
      </c>
      <c r="O13" s="225"/>
    </row>
    <row r="14" spans="1:15" ht="15" customHeight="1" x14ac:dyDescent="0.15">
      <c r="A14" s="231"/>
      <c r="B14" s="230">
        <f>DATE(2023,2,28)</f>
        <v>44985</v>
      </c>
      <c r="C14" s="229">
        <f>DATE(2023,3,19)</f>
        <v>45004</v>
      </c>
      <c r="D14" s="227">
        <f>Feb!T1+Feb!O1</f>
        <v>0</v>
      </c>
      <c r="E14" s="228">
        <f>Feb!N1</f>
        <v>0</v>
      </c>
      <c r="F14" s="228">
        <f>Feb!AD60+Feb!AE60+Feb!AF60+Feb!AG60</f>
        <v>0</v>
      </c>
      <c r="G14" s="228">
        <f>Feb!AE62+Feb!AF62+Feb!AG62</f>
        <v>0</v>
      </c>
      <c r="H14" s="228">
        <f>Feb!P1</f>
        <v>0</v>
      </c>
      <c r="I14" s="227">
        <f t="shared" si="0"/>
        <v>0</v>
      </c>
      <c r="M14" s="212">
        <f t="shared" si="2"/>
        <v>2311</v>
      </c>
      <c r="N14" s="226">
        <f t="shared" si="1"/>
        <v>0</v>
      </c>
      <c r="O14" s="225"/>
    </row>
    <row r="15" spans="1:15" ht="15" customHeight="1" thickBot="1" x14ac:dyDescent="0.2">
      <c r="A15" s="231"/>
      <c r="B15" s="230">
        <f>DATE(2023,3,31)</f>
        <v>45016</v>
      </c>
      <c r="C15" s="229">
        <f>DATE(2023,4,19)</f>
        <v>45035</v>
      </c>
      <c r="D15" s="227">
        <f>Mar!T1+Mar!O1</f>
        <v>0</v>
      </c>
      <c r="E15" s="228">
        <f>Mar!N1</f>
        <v>0</v>
      </c>
      <c r="F15" s="228">
        <f>Mar!AD70+Mar!AE70+Mar!AF70+Mar!AG70</f>
        <v>0</v>
      </c>
      <c r="G15" s="228">
        <f>Mar!AE72+Mar!AF72+Mar!AG72</f>
        <v>0</v>
      </c>
      <c r="H15" s="228">
        <f>Mar!P1</f>
        <v>0</v>
      </c>
      <c r="I15" s="227">
        <f t="shared" si="0"/>
        <v>0</v>
      </c>
      <c r="M15" s="212">
        <f t="shared" si="2"/>
        <v>2312</v>
      </c>
      <c r="N15" s="226">
        <f t="shared" si="1"/>
        <v>0</v>
      </c>
      <c r="O15" s="225"/>
    </row>
    <row r="16" spans="1:15" s="213" customFormat="1" ht="15" customHeight="1" thickTop="1" thickBot="1" x14ac:dyDescent="0.2">
      <c r="A16" s="224"/>
      <c r="B16" s="223"/>
      <c r="C16" s="222"/>
      <c r="D16" s="221">
        <f t="shared" ref="D16:I16" si="3">SUM(D4:D15)</f>
        <v>0</v>
      </c>
      <c r="E16" s="221">
        <f t="shared" si="3"/>
        <v>0</v>
      </c>
      <c r="F16" s="221">
        <f t="shared" si="3"/>
        <v>0</v>
      </c>
      <c r="G16" s="221">
        <f t="shared" si="3"/>
        <v>0</v>
      </c>
      <c r="H16" s="221">
        <f t="shared" si="3"/>
        <v>0</v>
      </c>
      <c r="I16" s="221">
        <f t="shared" si="3"/>
        <v>0</v>
      </c>
      <c r="J16" s="220"/>
      <c r="K16" s="220"/>
      <c r="L16" s="219">
        <f>SUM(L4:L15)</f>
        <v>0</v>
      </c>
      <c r="M16" s="222"/>
      <c r="N16" s="218"/>
      <c r="O16" s="217"/>
    </row>
    <row r="17" spans="1:15" ht="9" customHeight="1" thickTop="1" x14ac:dyDescent="0.15">
      <c r="A17" s="216"/>
      <c r="B17" s="489"/>
      <c r="C17" s="489"/>
      <c r="D17" s="489"/>
      <c r="E17" s="489"/>
      <c r="F17" s="489"/>
      <c r="G17" s="489"/>
      <c r="H17" s="489"/>
      <c r="I17" s="489"/>
      <c r="J17" s="489"/>
      <c r="K17" s="489"/>
      <c r="L17" s="489"/>
      <c r="M17" s="489"/>
      <c r="N17" s="489"/>
      <c r="O17" s="215"/>
    </row>
    <row r="18" spans="1:15" x14ac:dyDescent="0.15">
      <c r="B18" s="214" t="s">
        <v>91</v>
      </c>
    </row>
  </sheetData>
  <mergeCells count="1">
    <mergeCell ref="B17:N17"/>
  </mergeCells>
  <pageMargins left="0.75" right="0.75" top="1" bottom="1" header="0.5" footer="0.5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4"/>
  <dimension ref="A1:S382"/>
  <sheetViews>
    <sheetView zoomScaleNormal="100" workbookViewId="0">
      <selection activeCell="B2" sqref="B2"/>
    </sheetView>
  </sheetViews>
  <sheetFormatPr baseColWidth="10" defaultColWidth="9.1640625" defaultRowHeight="11" x14ac:dyDescent="0.15"/>
  <cols>
    <col min="1" max="1" width="6" style="306" customWidth="1"/>
    <col min="2" max="2" width="9.1640625" style="318"/>
    <col min="3" max="4" width="9.1640625" style="319"/>
    <col min="5" max="5" width="5.6640625" style="306" customWidth="1"/>
    <col min="6" max="6" width="9.1640625" style="320"/>
    <col min="7" max="7" width="6.33203125" style="306" customWidth="1"/>
    <col min="8" max="9" width="9.1640625" style="306"/>
    <col min="10" max="10" width="12.5" style="306" customWidth="1"/>
    <col min="11" max="11" width="9.5" style="306" customWidth="1"/>
    <col min="12" max="12" width="9.1640625" style="306"/>
    <col min="13" max="13" width="8.33203125" style="320" customWidth="1"/>
    <col min="14" max="14" width="10.5" style="320" customWidth="1"/>
    <col min="15" max="15" width="4.33203125" style="320" customWidth="1"/>
    <col min="16" max="16" width="9.83203125" style="320" bestFit="1" customWidth="1"/>
    <col min="17" max="17" width="4.33203125" style="320" customWidth="1"/>
    <col min="18" max="18" width="9.83203125" style="320" bestFit="1" customWidth="1"/>
    <col min="19" max="19" width="2" style="306" customWidth="1"/>
    <col min="20" max="16384" width="9.1640625" style="306"/>
  </cols>
  <sheetData>
    <row r="1" spans="1:19" ht="27" thickBot="1" x14ac:dyDescent="0.2">
      <c r="A1" s="300" t="s">
        <v>84</v>
      </c>
      <c r="B1" s="301" t="s">
        <v>8</v>
      </c>
      <c r="C1" s="300" t="s">
        <v>9</v>
      </c>
      <c r="D1" s="300" t="s">
        <v>10</v>
      </c>
      <c r="E1" s="302" t="s">
        <v>87</v>
      </c>
      <c r="F1" s="302" t="s">
        <v>86</v>
      </c>
      <c r="G1" s="490" t="s">
        <v>77</v>
      </c>
      <c r="H1" s="491"/>
      <c r="I1" s="492">
        <f>DATE(YEAR(B2)+1,MONTH(B2),DAY(B2))-1</f>
        <v>45021</v>
      </c>
      <c r="J1" s="493"/>
      <c r="K1" s="303"/>
      <c r="L1" s="303"/>
      <c r="M1" s="304"/>
      <c r="N1" s="305" t="str">
        <f>TEXT(YEAR(I1)-1,"0") &amp; "-" &amp; TEXT(YEAR(I1)-2000,"0")</f>
        <v>2022-23</v>
      </c>
      <c r="O1" s="304"/>
      <c r="P1" s="304"/>
      <c r="Q1" s="304"/>
      <c r="R1" s="304"/>
      <c r="S1" s="303"/>
    </row>
    <row r="2" spans="1:19" ht="12" x14ac:dyDescent="0.15">
      <c r="A2" s="307" t="str">
        <f>TEXT(DATE(YEAR(B$2),MONTH(B$2)+(D2-1)+3,1),"Mmm")</f>
        <v>Jul</v>
      </c>
      <c r="B2" s="308">
        <v>44657</v>
      </c>
      <c r="C2" s="309">
        <v>1</v>
      </c>
      <c r="D2" s="309">
        <v>1</v>
      </c>
      <c r="E2" s="310">
        <f>B2</f>
        <v>44657</v>
      </c>
      <c r="F2" s="309">
        <v>1</v>
      </c>
      <c r="G2" s="303"/>
      <c r="H2" s="303"/>
      <c r="I2" s="303"/>
      <c r="J2" s="303"/>
      <c r="K2" s="303"/>
      <c r="L2" s="303"/>
      <c r="M2" s="303"/>
      <c r="N2" s="303"/>
      <c r="O2" s="303"/>
      <c r="P2" s="303"/>
      <c r="Q2" s="303"/>
      <c r="R2" s="303"/>
      <c r="S2" s="303"/>
    </row>
    <row r="3" spans="1:19" ht="12" x14ac:dyDescent="0.15">
      <c r="A3" s="307" t="str">
        <f t="shared" ref="A3:A66" si="0">TEXT(DATE(YEAR(B$2),MONTH(B$2)+(D3-1)+3,1),"Mmm")</f>
        <v>Jul</v>
      </c>
      <c r="B3" s="308">
        <f>B2+1</f>
        <v>44658</v>
      </c>
      <c r="C3" s="309">
        <v>1</v>
      </c>
      <c r="D3" s="309">
        <v>1</v>
      </c>
      <c r="E3" s="311"/>
      <c r="F3" s="312">
        <v>1</v>
      </c>
      <c r="G3" s="303"/>
      <c r="H3" s="494" t="s">
        <v>88</v>
      </c>
      <c r="I3" s="495"/>
      <c r="J3" s="495"/>
      <c r="K3" s="495"/>
      <c r="L3" s="495"/>
      <c r="M3" s="496"/>
      <c r="N3" s="303"/>
      <c r="O3" s="303"/>
      <c r="P3" s="303"/>
      <c r="Q3" s="303"/>
      <c r="R3" s="303"/>
      <c r="S3" s="303"/>
    </row>
    <row r="4" spans="1:19" ht="12" x14ac:dyDescent="0.15">
      <c r="A4" s="307" t="str">
        <f t="shared" si="0"/>
        <v>Jul</v>
      </c>
      <c r="B4" s="308">
        <f t="shared" ref="B4:B67" si="1">B3+1</f>
        <v>44659</v>
      </c>
      <c r="C4" s="309">
        <v>1</v>
      </c>
      <c r="D4" s="309">
        <v>1</v>
      </c>
      <c r="E4" s="311"/>
      <c r="F4" s="312">
        <v>1</v>
      </c>
      <c r="G4" s="303"/>
      <c r="H4" s="313"/>
      <c r="I4" s="313"/>
      <c r="J4" s="313"/>
      <c r="K4" s="313"/>
      <c r="L4" s="313"/>
      <c r="M4" s="313"/>
      <c r="N4" s="303"/>
      <c r="O4" s="303"/>
      <c r="P4" s="303"/>
      <c r="Q4" s="303"/>
      <c r="R4" s="303"/>
      <c r="S4" s="303"/>
    </row>
    <row r="5" spans="1:19" ht="12" x14ac:dyDescent="0.15">
      <c r="A5" s="307" t="str">
        <f t="shared" si="0"/>
        <v>Jul</v>
      </c>
      <c r="B5" s="308">
        <f t="shared" si="1"/>
        <v>44660</v>
      </c>
      <c r="C5" s="309">
        <v>1</v>
      </c>
      <c r="D5" s="309">
        <v>1</v>
      </c>
      <c r="E5" s="311"/>
      <c r="F5" s="312">
        <v>1</v>
      </c>
      <c r="G5" s="303"/>
      <c r="H5" s="313"/>
      <c r="I5" s="313"/>
      <c r="J5" s="313"/>
      <c r="K5" s="313"/>
      <c r="L5" s="313"/>
      <c r="M5" s="313"/>
      <c r="N5" s="303"/>
      <c r="O5" s="303"/>
      <c r="P5" s="303"/>
      <c r="Q5" s="303"/>
      <c r="R5" s="303"/>
      <c r="S5" s="303"/>
    </row>
    <row r="6" spans="1:19" ht="12" x14ac:dyDescent="0.15">
      <c r="A6" s="307" t="str">
        <f t="shared" si="0"/>
        <v>Jul</v>
      </c>
      <c r="B6" s="308">
        <f t="shared" si="1"/>
        <v>44661</v>
      </c>
      <c r="C6" s="309">
        <v>1</v>
      </c>
      <c r="D6" s="309">
        <v>1</v>
      </c>
      <c r="E6" s="311"/>
      <c r="F6" s="312">
        <v>1</v>
      </c>
      <c r="G6" s="303"/>
      <c r="H6" s="314" t="s">
        <v>85</v>
      </c>
      <c r="I6" s="314" t="s">
        <v>89</v>
      </c>
      <c r="J6" s="313"/>
      <c r="K6" s="314" t="s">
        <v>90</v>
      </c>
      <c r="L6" s="313"/>
      <c r="M6" s="313"/>
      <c r="N6" s="303"/>
      <c r="O6" s="303"/>
      <c r="P6" s="303"/>
      <c r="Q6" s="303"/>
      <c r="R6" s="303"/>
      <c r="S6" s="303"/>
    </row>
    <row r="7" spans="1:19" ht="12" x14ac:dyDescent="0.15">
      <c r="A7" s="307" t="str">
        <f t="shared" si="0"/>
        <v>Jul</v>
      </c>
      <c r="B7" s="308">
        <f t="shared" si="1"/>
        <v>44662</v>
      </c>
      <c r="C7" s="309">
        <v>2</v>
      </c>
      <c r="D7" s="309">
        <v>1</v>
      </c>
      <c r="E7" s="311"/>
      <c r="F7" s="312">
        <v>2</v>
      </c>
      <c r="G7" s="303"/>
      <c r="H7" s="313"/>
      <c r="I7" s="313"/>
      <c r="J7" s="313"/>
      <c r="K7" s="313"/>
      <c r="L7" s="313"/>
      <c r="M7" s="313"/>
      <c r="N7" s="303"/>
      <c r="O7" s="303"/>
      <c r="P7" s="303"/>
      <c r="Q7" s="303"/>
      <c r="R7" s="303"/>
      <c r="S7" s="303"/>
    </row>
    <row r="8" spans="1:19" ht="12" x14ac:dyDescent="0.15">
      <c r="A8" s="307" t="str">
        <f t="shared" si="0"/>
        <v>Jul</v>
      </c>
      <c r="B8" s="308">
        <f t="shared" si="1"/>
        <v>44663</v>
      </c>
      <c r="C8" s="309">
        <v>2</v>
      </c>
      <c r="D8" s="309">
        <v>1</v>
      </c>
      <c r="E8" s="311"/>
      <c r="F8" s="312">
        <v>2</v>
      </c>
      <c r="G8" s="303"/>
      <c r="H8" s="309">
        <v>1</v>
      </c>
      <c r="I8" s="309">
        <v>4</v>
      </c>
      <c r="J8" s="313"/>
      <c r="K8" s="309">
        <v>5</v>
      </c>
      <c r="L8" s="313"/>
      <c r="M8" s="313"/>
      <c r="N8" s="303"/>
      <c r="O8" s="303"/>
      <c r="P8" s="303"/>
      <c r="Q8" s="303"/>
      <c r="R8" s="303"/>
      <c r="S8" s="303"/>
    </row>
    <row r="9" spans="1:19" ht="12" x14ac:dyDescent="0.15">
      <c r="A9" s="307" t="str">
        <f t="shared" si="0"/>
        <v>Jul</v>
      </c>
      <c r="B9" s="308">
        <f t="shared" si="1"/>
        <v>44664</v>
      </c>
      <c r="C9" s="309">
        <v>2</v>
      </c>
      <c r="D9" s="309">
        <v>1</v>
      </c>
      <c r="E9" s="311"/>
      <c r="F9" s="312">
        <v>2</v>
      </c>
      <c r="G9" s="303"/>
      <c r="H9" s="309">
        <v>2</v>
      </c>
      <c r="I9" s="309">
        <v>4</v>
      </c>
      <c r="J9" s="313"/>
      <c r="K9" s="313"/>
      <c r="L9" s="313"/>
      <c r="M9" s="313"/>
      <c r="N9" s="303"/>
      <c r="O9" s="303"/>
      <c r="P9" s="303"/>
      <c r="Q9" s="303"/>
      <c r="R9" s="303"/>
      <c r="S9" s="303"/>
    </row>
    <row r="10" spans="1:19" ht="12" x14ac:dyDescent="0.15">
      <c r="A10" s="307" t="str">
        <f t="shared" si="0"/>
        <v>Jul</v>
      </c>
      <c r="B10" s="308">
        <f t="shared" si="1"/>
        <v>44665</v>
      </c>
      <c r="C10" s="309">
        <v>2</v>
      </c>
      <c r="D10" s="309">
        <v>1</v>
      </c>
      <c r="E10" s="311"/>
      <c r="F10" s="312">
        <v>2</v>
      </c>
      <c r="G10" s="303"/>
      <c r="H10" s="309">
        <v>3</v>
      </c>
      <c r="I10" s="309">
        <v>5</v>
      </c>
      <c r="J10" s="313"/>
      <c r="K10" s="313"/>
      <c r="L10" s="313"/>
      <c r="M10" s="313"/>
      <c r="N10" s="303"/>
      <c r="O10" s="303"/>
      <c r="P10" s="303"/>
      <c r="Q10" s="303"/>
      <c r="R10" s="303"/>
      <c r="S10" s="303"/>
    </row>
    <row r="11" spans="1:19" ht="12" x14ac:dyDescent="0.15">
      <c r="A11" s="307" t="str">
        <f t="shared" si="0"/>
        <v>Jul</v>
      </c>
      <c r="B11" s="308">
        <f t="shared" si="1"/>
        <v>44666</v>
      </c>
      <c r="C11" s="309">
        <v>2</v>
      </c>
      <c r="D11" s="309">
        <v>1</v>
      </c>
      <c r="E11" s="311"/>
      <c r="F11" s="312">
        <v>2</v>
      </c>
      <c r="G11" s="303"/>
      <c r="H11" s="309">
        <v>4</v>
      </c>
      <c r="I11" s="309">
        <v>4</v>
      </c>
      <c r="J11" s="313"/>
      <c r="K11" s="314" t="s">
        <v>133</v>
      </c>
      <c r="L11" s="309" t="s">
        <v>80</v>
      </c>
      <c r="M11" s="313"/>
      <c r="N11" s="303"/>
      <c r="O11" s="303"/>
      <c r="P11" s="303"/>
      <c r="Q11" s="303"/>
      <c r="R11" s="303"/>
      <c r="S11" s="303"/>
    </row>
    <row r="12" spans="1:19" ht="12" x14ac:dyDescent="0.15">
      <c r="A12" s="307" t="str">
        <f t="shared" si="0"/>
        <v>Jul</v>
      </c>
      <c r="B12" s="308">
        <f t="shared" si="1"/>
        <v>44667</v>
      </c>
      <c r="C12" s="309">
        <v>2</v>
      </c>
      <c r="D12" s="309">
        <v>1</v>
      </c>
      <c r="E12" s="311"/>
      <c r="F12" s="312">
        <v>2</v>
      </c>
      <c r="G12" s="303"/>
      <c r="H12" s="309">
        <v>5</v>
      </c>
      <c r="I12" s="309">
        <v>4</v>
      </c>
      <c r="J12" s="313"/>
      <c r="K12" s="314" t="s">
        <v>134</v>
      </c>
      <c r="L12" s="309" t="s">
        <v>78</v>
      </c>
      <c r="M12" s="313"/>
      <c r="N12" s="303"/>
      <c r="O12" s="303"/>
      <c r="P12" s="303"/>
      <c r="Q12" s="303"/>
      <c r="R12" s="303"/>
      <c r="S12" s="303"/>
    </row>
    <row r="13" spans="1:19" ht="12" x14ac:dyDescent="0.15">
      <c r="A13" s="307" t="str">
        <f t="shared" si="0"/>
        <v>Jul</v>
      </c>
      <c r="B13" s="308">
        <f t="shared" si="1"/>
        <v>44668</v>
      </c>
      <c r="C13" s="309">
        <v>2</v>
      </c>
      <c r="D13" s="309">
        <v>1</v>
      </c>
      <c r="E13" s="311"/>
      <c r="F13" s="312">
        <v>2</v>
      </c>
      <c r="G13" s="303"/>
      <c r="H13" s="309">
        <v>6</v>
      </c>
      <c r="I13" s="309">
        <v>5</v>
      </c>
      <c r="J13" s="313"/>
      <c r="K13" s="313"/>
      <c r="L13" s="313"/>
      <c r="M13" s="313"/>
      <c r="N13" s="303"/>
      <c r="O13" s="303"/>
      <c r="P13" s="303"/>
      <c r="Q13" s="303"/>
      <c r="R13" s="303"/>
      <c r="S13" s="303"/>
    </row>
    <row r="14" spans="1:19" ht="12" x14ac:dyDescent="0.15">
      <c r="A14" s="307" t="str">
        <f t="shared" si="0"/>
        <v>Jul</v>
      </c>
      <c r="B14" s="308">
        <f t="shared" si="1"/>
        <v>44669</v>
      </c>
      <c r="C14" s="309">
        <v>3</v>
      </c>
      <c r="D14" s="309">
        <v>1</v>
      </c>
      <c r="E14" s="311"/>
      <c r="F14" s="312">
        <v>3</v>
      </c>
      <c r="G14" s="303"/>
      <c r="H14" s="309">
        <v>7</v>
      </c>
      <c r="I14" s="309">
        <v>4</v>
      </c>
      <c r="J14" s="313"/>
      <c r="K14" s="313"/>
      <c r="L14" s="313"/>
      <c r="M14" s="313"/>
      <c r="N14" s="303"/>
      <c r="O14" s="303"/>
      <c r="P14" s="303"/>
      <c r="Q14" s="303"/>
      <c r="R14" s="303"/>
      <c r="S14" s="303"/>
    </row>
    <row r="15" spans="1:19" ht="12" x14ac:dyDescent="0.15">
      <c r="A15" s="307" t="str">
        <f t="shared" si="0"/>
        <v>Jul</v>
      </c>
      <c r="B15" s="308">
        <f t="shared" si="1"/>
        <v>44670</v>
      </c>
      <c r="C15" s="309">
        <v>3</v>
      </c>
      <c r="D15" s="309">
        <v>1</v>
      </c>
      <c r="E15" s="311"/>
      <c r="F15" s="312">
        <v>3</v>
      </c>
      <c r="G15" s="303"/>
      <c r="H15" s="309">
        <v>8</v>
      </c>
      <c r="I15" s="309">
        <v>4</v>
      </c>
      <c r="J15" s="313"/>
      <c r="K15" s="313"/>
      <c r="L15" s="313"/>
      <c r="M15" s="313"/>
      <c r="N15" s="303"/>
      <c r="O15" s="303"/>
      <c r="P15" s="303"/>
      <c r="Q15" s="303"/>
      <c r="R15" s="303"/>
      <c r="S15" s="303"/>
    </row>
    <row r="16" spans="1:19" ht="12" x14ac:dyDescent="0.15">
      <c r="A16" s="307" t="str">
        <f t="shared" si="0"/>
        <v>Jul</v>
      </c>
      <c r="B16" s="308">
        <f t="shared" si="1"/>
        <v>44671</v>
      </c>
      <c r="C16" s="309">
        <v>3</v>
      </c>
      <c r="D16" s="309">
        <v>1</v>
      </c>
      <c r="E16" s="311"/>
      <c r="F16" s="312">
        <v>3</v>
      </c>
      <c r="G16" s="303"/>
      <c r="H16" s="309">
        <v>9</v>
      </c>
      <c r="I16" s="309">
        <v>5</v>
      </c>
      <c r="J16" s="313"/>
      <c r="K16" s="313"/>
      <c r="L16" s="313"/>
      <c r="M16" s="313"/>
      <c r="N16" s="303"/>
      <c r="O16" s="303"/>
      <c r="P16" s="303"/>
      <c r="Q16" s="303"/>
      <c r="R16" s="303"/>
      <c r="S16" s="303"/>
    </row>
    <row r="17" spans="1:19" ht="12" customHeight="1" x14ac:dyDescent="0.15">
      <c r="A17" s="307" t="str">
        <f t="shared" si="0"/>
        <v>Jul</v>
      </c>
      <c r="B17" s="308">
        <f t="shared" si="1"/>
        <v>44672</v>
      </c>
      <c r="C17" s="309">
        <v>3</v>
      </c>
      <c r="D17" s="309">
        <v>1</v>
      </c>
      <c r="E17" s="311"/>
      <c r="F17" s="312">
        <v>3</v>
      </c>
      <c r="G17" s="303"/>
      <c r="H17" s="309">
        <v>10</v>
      </c>
      <c r="I17" s="309">
        <v>4</v>
      </c>
      <c r="J17" s="313"/>
      <c r="K17" s="313"/>
      <c r="L17" s="313"/>
      <c r="M17" s="313"/>
      <c r="N17" s="303"/>
      <c r="O17" s="303"/>
      <c r="P17" s="303"/>
      <c r="Q17" s="303"/>
      <c r="R17" s="303"/>
      <c r="S17" s="303"/>
    </row>
    <row r="18" spans="1:19" ht="12" x14ac:dyDescent="0.15">
      <c r="A18" s="307" t="str">
        <f t="shared" si="0"/>
        <v>Jul</v>
      </c>
      <c r="B18" s="308">
        <f t="shared" si="1"/>
        <v>44673</v>
      </c>
      <c r="C18" s="309">
        <v>3</v>
      </c>
      <c r="D18" s="309">
        <v>1</v>
      </c>
      <c r="E18" s="311"/>
      <c r="F18" s="312">
        <v>3</v>
      </c>
      <c r="G18" s="303"/>
      <c r="H18" s="309">
        <v>11</v>
      </c>
      <c r="I18" s="309">
        <v>4</v>
      </c>
      <c r="J18" s="313"/>
      <c r="K18" s="313"/>
      <c r="L18" s="313"/>
      <c r="M18" s="313"/>
      <c r="N18" s="303"/>
      <c r="O18" s="303"/>
      <c r="P18" s="303"/>
      <c r="Q18" s="303"/>
      <c r="R18" s="303"/>
      <c r="S18" s="303"/>
    </row>
    <row r="19" spans="1:19" ht="12" x14ac:dyDescent="0.15">
      <c r="A19" s="307" t="str">
        <f t="shared" si="0"/>
        <v>Jul</v>
      </c>
      <c r="B19" s="308">
        <f t="shared" si="1"/>
        <v>44674</v>
      </c>
      <c r="C19" s="309">
        <v>3</v>
      </c>
      <c r="D19" s="309">
        <v>1</v>
      </c>
      <c r="E19" s="311"/>
      <c r="F19" s="312">
        <v>3</v>
      </c>
      <c r="G19" s="303"/>
      <c r="H19" s="309">
        <v>12</v>
      </c>
      <c r="I19" s="309">
        <v>6</v>
      </c>
      <c r="J19" s="313"/>
      <c r="K19" s="313"/>
      <c r="L19" s="313"/>
      <c r="M19" s="313"/>
      <c r="N19" s="303"/>
      <c r="O19" s="303"/>
      <c r="P19" s="303"/>
      <c r="Q19" s="303"/>
      <c r="R19" s="303"/>
      <c r="S19" s="303"/>
    </row>
    <row r="20" spans="1:19" ht="12" x14ac:dyDescent="0.15">
      <c r="A20" s="307" t="str">
        <f t="shared" si="0"/>
        <v>Jul</v>
      </c>
      <c r="B20" s="308">
        <f t="shared" si="1"/>
        <v>44675</v>
      </c>
      <c r="C20" s="309">
        <v>3</v>
      </c>
      <c r="D20" s="309">
        <v>1</v>
      </c>
      <c r="E20" s="311"/>
      <c r="F20" s="312">
        <v>3</v>
      </c>
      <c r="G20" s="303"/>
      <c r="H20" s="303"/>
      <c r="I20" s="303"/>
      <c r="J20" s="303"/>
      <c r="K20" s="303"/>
      <c r="L20" s="303"/>
      <c r="M20" s="303"/>
      <c r="N20" s="303"/>
      <c r="O20" s="303"/>
      <c r="P20" s="303"/>
      <c r="Q20" s="303"/>
      <c r="R20" s="303"/>
      <c r="S20" s="303"/>
    </row>
    <row r="21" spans="1:19" ht="12" x14ac:dyDescent="0.15">
      <c r="A21" s="307" t="str">
        <f t="shared" si="0"/>
        <v>Jul</v>
      </c>
      <c r="B21" s="308">
        <f t="shared" si="1"/>
        <v>44676</v>
      </c>
      <c r="C21" s="309">
        <v>4</v>
      </c>
      <c r="D21" s="309">
        <v>1</v>
      </c>
      <c r="E21" s="311"/>
      <c r="F21" s="312">
        <v>4</v>
      </c>
      <c r="G21" s="303"/>
      <c r="H21" s="303"/>
      <c r="I21" s="303"/>
      <c r="J21" s="303"/>
      <c r="K21" s="303"/>
      <c r="L21" s="303"/>
      <c r="M21" s="303"/>
      <c r="N21" s="303"/>
      <c r="O21" s="303"/>
      <c r="P21" s="303"/>
      <c r="Q21" s="303"/>
      <c r="R21" s="303"/>
      <c r="S21" s="303"/>
    </row>
    <row r="22" spans="1:19" ht="12" x14ac:dyDescent="0.15">
      <c r="A22" s="307" t="str">
        <f t="shared" si="0"/>
        <v>Jul</v>
      </c>
      <c r="B22" s="308">
        <f t="shared" si="1"/>
        <v>44677</v>
      </c>
      <c r="C22" s="309">
        <v>4</v>
      </c>
      <c r="D22" s="309">
        <v>1</v>
      </c>
      <c r="E22" s="311"/>
      <c r="F22" s="312">
        <v>4</v>
      </c>
      <c r="G22" s="303"/>
      <c r="H22" s="303"/>
      <c r="I22" s="303"/>
      <c r="J22" s="303"/>
      <c r="K22" s="303"/>
      <c r="L22" s="303"/>
      <c r="M22" s="303"/>
      <c r="N22" s="303"/>
      <c r="O22" s="303"/>
      <c r="P22" s="303"/>
      <c r="Q22" s="303"/>
      <c r="R22" s="303"/>
      <c r="S22" s="303"/>
    </row>
    <row r="23" spans="1:19" ht="12" x14ac:dyDescent="0.15">
      <c r="A23" s="307" t="str">
        <f t="shared" si="0"/>
        <v>Jul</v>
      </c>
      <c r="B23" s="308">
        <f t="shared" si="1"/>
        <v>44678</v>
      </c>
      <c r="C23" s="309">
        <v>4</v>
      </c>
      <c r="D23" s="309">
        <v>1</v>
      </c>
      <c r="E23" s="311"/>
      <c r="F23" s="312">
        <v>4</v>
      </c>
      <c r="G23" s="303"/>
      <c r="H23" s="303"/>
      <c r="I23" s="303"/>
      <c r="J23" s="303"/>
      <c r="K23" s="303"/>
      <c r="L23" s="303"/>
      <c r="M23" s="303"/>
      <c r="N23" s="303"/>
      <c r="O23" s="303"/>
      <c r="P23" s="303"/>
      <c r="Q23" s="303"/>
      <c r="R23" s="303"/>
      <c r="S23" s="303"/>
    </row>
    <row r="24" spans="1:19" ht="12" x14ac:dyDescent="0.15">
      <c r="A24" s="307" t="str">
        <f t="shared" si="0"/>
        <v>Jul</v>
      </c>
      <c r="B24" s="308">
        <f t="shared" si="1"/>
        <v>44679</v>
      </c>
      <c r="C24" s="309">
        <v>4</v>
      </c>
      <c r="D24" s="309">
        <v>1</v>
      </c>
      <c r="E24" s="311"/>
      <c r="F24" s="312">
        <v>4</v>
      </c>
      <c r="G24" s="303"/>
      <c r="H24" s="303"/>
      <c r="I24" s="303"/>
      <c r="J24" s="303"/>
      <c r="K24" s="303"/>
      <c r="L24" s="303"/>
      <c r="M24" s="303"/>
      <c r="N24" s="303"/>
      <c r="O24" s="303"/>
      <c r="P24" s="303"/>
      <c r="Q24" s="303"/>
      <c r="R24" s="303"/>
      <c r="S24" s="303"/>
    </row>
    <row r="25" spans="1:19" ht="12" x14ac:dyDescent="0.15">
      <c r="A25" s="307" t="str">
        <f t="shared" si="0"/>
        <v>Jul</v>
      </c>
      <c r="B25" s="308">
        <f t="shared" si="1"/>
        <v>44680</v>
      </c>
      <c r="C25" s="309">
        <v>4</v>
      </c>
      <c r="D25" s="309">
        <v>1</v>
      </c>
      <c r="E25" s="311"/>
      <c r="F25" s="312">
        <v>4</v>
      </c>
      <c r="G25" s="303"/>
      <c r="H25" s="303"/>
      <c r="I25" s="303"/>
      <c r="J25" s="303"/>
      <c r="K25" s="303"/>
      <c r="L25" s="303"/>
      <c r="M25" s="303"/>
      <c r="N25" s="303"/>
      <c r="O25" s="303"/>
      <c r="P25" s="303"/>
      <c r="Q25" s="303"/>
      <c r="R25" s="303"/>
      <c r="S25" s="303"/>
    </row>
    <row r="26" spans="1:19" ht="12" customHeight="1" x14ac:dyDescent="0.15">
      <c r="A26" s="307" t="str">
        <f t="shared" si="0"/>
        <v>Jul</v>
      </c>
      <c r="B26" s="308">
        <f t="shared" si="1"/>
        <v>44681</v>
      </c>
      <c r="C26" s="309">
        <v>4</v>
      </c>
      <c r="D26" s="309">
        <v>1</v>
      </c>
      <c r="E26" s="311"/>
      <c r="F26" s="312">
        <v>4</v>
      </c>
      <c r="G26" s="303"/>
      <c r="H26" s="303"/>
      <c r="I26" s="303"/>
      <c r="J26" s="303"/>
      <c r="K26" s="303"/>
      <c r="L26" s="303"/>
      <c r="M26" s="303"/>
      <c r="N26" s="303"/>
      <c r="O26" s="303"/>
      <c r="P26" s="303"/>
      <c r="Q26" s="303"/>
      <c r="R26" s="303"/>
      <c r="S26" s="303"/>
    </row>
    <row r="27" spans="1:19" ht="12" customHeight="1" x14ac:dyDescent="0.15">
      <c r="A27" s="307" t="str">
        <f t="shared" si="0"/>
        <v>Jul</v>
      </c>
      <c r="B27" s="308">
        <f t="shared" si="1"/>
        <v>44682</v>
      </c>
      <c r="C27" s="309">
        <v>4</v>
      </c>
      <c r="D27" s="309">
        <v>1</v>
      </c>
      <c r="E27" s="303"/>
      <c r="F27" s="312">
        <v>4</v>
      </c>
      <c r="G27" s="303"/>
      <c r="H27" s="303"/>
      <c r="I27" s="303"/>
      <c r="J27" s="303"/>
      <c r="K27" s="303"/>
      <c r="L27" s="303"/>
      <c r="M27" s="303"/>
      <c r="N27" s="303"/>
      <c r="O27" s="303"/>
      <c r="P27" s="303"/>
      <c r="Q27" s="303"/>
      <c r="R27" s="303"/>
      <c r="S27" s="303"/>
    </row>
    <row r="28" spans="1:19" ht="12" x14ac:dyDescent="0.15">
      <c r="A28" s="307" t="str">
        <f t="shared" si="0"/>
        <v>Aug</v>
      </c>
      <c r="B28" s="308">
        <f t="shared" si="1"/>
        <v>44683</v>
      </c>
      <c r="C28" s="309">
        <v>5</v>
      </c>
      <c r="D28" s="309">
        <v>2</v>
      </c>
      <c r="E28" s="311"/>
      <c r="F28" s="312">
        <v>1</v>
      </c>
      <c r="G28" s="303"/>
      <c r="H28" s="303"/>
      <c r="I28" s="303"/>
      <c r="J28" s="303"/>
      <c r="K28" s="303"/>
      <c r="L28" s="303"/>
      <c r="M28" s="303"/>
      <c r="N28" s="303"/>
      <c r="O28" s="303"/>
      <c r="P28" s="303"/>
      <c r="Q28" s="303"/>
      <c r="R28" s="303"/>
      <c r="S28" s="303"/>
    </row>
    <row r="29" spans="1:19" ht="12" x14ac:dyDescent="0.15">
      <c r="A29" s="307" t="str">
        <f t="shared" si="0"/>
        <v>Aug</v>
      </c>
      <c r="B29" s="308">
        <f t="shared" si="1"/>
        <v>44684</v>
      </c>
      <c r="C29" s="309">
        <v>5</v>
      </c>
      <c r="D29" s="309">
        <v>2</v>
      </c>
      <c r="E29" s="311"/>
      <c r="F29" s="312">
        <v>1</v>
      </c>
      <c r="G29" s="303"/>
      <c r="H29" s="303"/>
      <c r="I29" s="303"/>
      <c r="J29" s="303"/>
      <c r="K29" s="303"/>
      <c r="L29" s="303"/>
      <c r="M29" s="303"/>
      <c r="N29" s="303"/>
      <c r="O29" s="303"/>
      <c r="P29" s="303"/>
      <c r="Q29" s="303"/>
      <c r="R29" s="303"/>
      <c r="S29" s="303"/>
    </row>
    <row r="30" spans="1:19" ht="12" x14ac:dyDescent="0.15">
      <c r="A30" s="307" t="str">
        <f t="shared" si="0"/>
        <v>Aug</v>
      </c>
      <c r="B30" s="308">
        <f t="shared" si="1"/>
        <v>44685</v>
      </c>
      <c r="C30" s="309">
        <v>5</v>
      </c>
      <c r="D30" s="309">
        <v>2</v>
      </c>
      <c r="E30" s="311"/>
      <c r="F30" s="309">
        <v>1</v>
      </c>
      <c r="G30" s="303"/>
      <c r="H30" s="303"/>
      <c r="I30" s="303"/>
      <c r="J30" s="303"/>
      <c r="K30" s="303"/>
      <c r="L30" s="303"/>
      <c r="M30" s="303"/>
      <c r="N30" s="303"/>
      <c r="O30" s="303"/>
      <c r="P30" s="303"/>
      <c r="Q30" s="303"/>
      <c r="R30" s="303"/>
      <c r="S30" s="303"/>
    </row>
    <row r="31" spans="1:19" ht="12" x14ac:dyDescent="0.15">
      <c r="A31" s="307" t="str">
        <f t="shared" si="0"/>
        <v>Aug</v>
      </c>
      <c r="B31" s="308">
        <f t="shared" si="1"/>
        <v>44686</v>
      </c>
      <c r="C31" s="309">
        <v>5</v>
      </c>
      <c r="D31" s="309">
        <v>2</v>
      </c>
      <c r="E31" s="311"/>
      <c r="F31" s="312">
        <v>1</v>
      </c>
      <c r="G31" s="303"/>
      <c r="H31" s="303"/>
      <c r="I31" s="303"/>
      <c r="J31" s="303"/>
      <c r="K31" s="303"/>
      <c r="L31" s="303"/>
      <c r="M31" s="303"/>
      <c r="N31" s="303"/>
      <c r="O31" s="303"/>
      <c r="P31" s="303"/>
      <c r="Q31" s="303"/>
      <c r="R31" s="303"/>
      <c r="S31" s="303"/>
    </row>
    <row r="32" spans="1:19" ht="12" x14ac:dyDescent="0.15">
      <c r="A32" s="307" t="str">
        <f t="shared" si="0"/>
        <v>Aug</v>
      </c>
      <c r="B32" s="308">
        <f t="shared" si="1"/>
        <v>44687</v>
      </c>
      <c r="C32" s="316">
        <v>5</v>
      </c>
      <c r="D32" s="316">
        <v>2</v>
      </c>
      <c r="E32" s="315"/>
      <c r="F32" s="312">
        <v>1</v>
      </c>
      <c r="G32" s="303"/>
      <c r="H32" s="303"/>
      <c r="I32" s="303"/>
      <c r="J32" s="303"/>
      <c r="K32" s="303"/>
      <c r="L32" s="303"/>
      <c r="M32" s="303"/>
      <c r="N32" s="303"/>
      <c r="O32" s="303"/>
      <c r="P32" s="303"/>
      <c r="Q32" s="303"/>
      <c r="R32" s="303"/>
      <c r="S32" s="303"/>
    </row>
    <row r="33" spans="1:19" ht="12" x14ac:dyDescent="0.15">
      <c r="A33" s="307" t="str">
        <f t="shared" si="0"/>
        <v>Aug</v>
      </c>
      <c r="B33" s="308">
        <f t="shared" si="1"/>
        <v>44688</v>
      </c>
      <c r="C33" s="309">
        <v>5</v>
      </c>
      <c r="D33" s="309">
        <v>2</v>
      </c>
      <c r="E33" s="311"/>
      <c r="F33" s="312">
        <v>1</v>
      </c>
      <c r="G33" s="313"/>
      <c r="H33" s="313"/>
      <c r="I33" s="313"/>
      <c r="J33" s="313"/>
      <c r="K33" s="313"/>
      <c r="L33" s="313"/>
      <c r="M33" s="313"/>
      <c r="N33" s="313"/>
      <c r="O33" s="313"/>
      <c r="P33" s="313"/>
      <c r="Q33" s="313"/>
      <c r="R33" s="313"/>
      <c r="S33" s="313"/>
    </row>
    <row r="34" spans="1:19" ht="12" x14ac:dyDescent="0.15">
      <c r="A34" s="307" t="str">
        <f t="shared" si="0"/>
        <v>Aug</v>
      </c>
      <c r="B34" s="308">
        <f t="shared" si="1"/>
        <v>44689</v>
      </c>
      <c r="C34" s="309">
        <v>5</v>
      </c>
      <c r="D34" s="309">
        <v>2</v>
      </c>
      <c r="E34" s="311"/>
      <c r="F34" s="312">
        <v>1</v>
      </c>
      <c r="G34" s="313"/>
      <c r="H34" s="313"/>
      <c r="I34" s="313"/>
      <c r="J34" s="313"/>
      <c r="K34" s="313"/>
      <c r="L34" s="313"/>
      <c r="M34" s="313"/>
      <c r="N34" s="313"/>
      <c r="O34" s="313"/>
      <c r="P34" s="313"/>
      <c r="Q34" s="313"/>
      <c r="R34" s="313"/>
      <c r="S34" s="313"/>
    </row>
    <row r="35" spans="1:19" ht="12" x14ac:dyDescent="0.15">
      <c r="A35" s="307" t="str">
        <f t="shared" si="0"/>
        <v>Aug</v>
      </c>
      <c r="B35" s="308">
        <f t="shared" si="1"/>
        <v>44690</v>
      </c>
      <c r="C35" s="309">
        <v>6</v>
      </c>
      <c r="D35" s="309">
        <v>2</v>
      </c>
      <c r="E35" s="311"/>
      <c r="F35" s="312">
        <v>2</v>
      </c>
      <c r="G35" s="303"/>
      <c r="H35" s="303"/>
      <c r="I35" s="303"/>
      <c r="J35" s="303"/>
      <c r="K35" s="303"/>
      <c r="L35" s="303"/>
      <c r="M35" s="313"/>
      <c r="N35" s="313"/>
      <c r="O35" s="313"/>
      <c r="P35" s="313"/>
      <c r="Q35" s="313"/>
      <c r="R35" s="313"/>
      <c r="S35" s="313"/>
    </row>
    <row r="36" spans="1:19" ht="12" x14ac:dyDescent="0.15">
      <c r="A36" s="307" t="str">
        <f t="shared" si="0"/>
        <v>Aug</v>
      </c>
      <c r="B36" s="308">
        <f t="shared" si="1"/>
        <v>44691</v>
      </c>
      <c r="C36" s="309">
        <v>6</v>
      </c>
      <c r="D36" s="309">
        <v>2</v>
      </c>
      <c r="E36" s="311"/>
      <c r="F36" s="312">
        <v>2</v>
      </c>
      <c r="G36" s="303"/>
      <c r="H36" s="303"/>
      <c r="I36" s="303"/>
      <c r="J36" s="303"/>
      <c r="K36" s="303"/>
      <c r="L36" s="303"/>
      <c r="M36" s="313"/>
      <c r="N36" s="313"/>
      <c r="O36" s="313"/>
      <c r="P36" s="313"/>
      <c r="Q36" s="313"/>
      <c r="R36" s="313"/>
      <c r="S36" s="313"/>
    </row>
    <row r="37" spans="1:19" ht="12" x14ac:dyDescent="0.15">
      <c r="A37" s="307" t="str">
        <f t="shared" si="0"/>
        <v>Aug</v>
      </c>
      <c r="B37" s="308">
        <f t="shared" si="1"/>
        <v>44692</v>
      </c>
      <c r="C37" s="309">
        <v>6</v>
      </c>
      <c r="D37" s="309">
        <v>2</v>
      </c>
      <c r="E37" s="311"/>
      <c r="F37" s="312">
        <v>2</v>
      </c>
      <c r="G37" s="303"/>
      <c r="H37" s="303"/>
      <c r="I37" s="303"/>
      <c r="J37" s="303"/>
      <c r="K37" s="303"/>
      <c r="L37" s="303"/>
      <c r="M37" s="313"/>
      <c r="N37" s="313"/>
      <c r="O37" s="313"/>
      <c r="P37" s="313"/>
      <c r="Q37" s="313"/>
      <c r="R37" s="313"/>
      <c r="S37" s="313"/>
    </row>
    <row r="38" spans="1:19" ht="12" x14ac:dyDescent="0.15">
      <c r="A38" s="307" t="str">
        <f t="shared" si="0"/>
        <v>Aug</v>
      </c>
      <c r="B38" s="308">
        <f t="shared" si="1"/>
        <v>44693</v>
      </c>
      <c r="C38" s="309">
        <v>6</v>
      </c>
      <c r="D38" s="309">
        <v>2</v>
      </c>
      <c r="E38" s="311"/>
      <c r="F38" s="312">
        <v>2</v>
      </c>
      <c r="G38" s="303"/>
      <c r="H38" s="303"/>
      <c r="I38" s="303"/>
      <c r="J38" s="303"/>
      <c r="K38" s="303"/>
      <c r="L38" s="303"/>
      <c r="M38" s="313"/>
      <c r="N38" s="313"/>
      <c r="O38" s="313"/>
      <c r="P38" s="313"/>
      <c r="Q38" s="313"/>
      <c r="R38" s="313"/>
      <c r="S38" s="313"/>
    </row>
    <row r="39" spans="1:19" ht="12" x14ac:dyDescent="0.15">
      <c r="A39" s="307" t="str">
        <f t="shared" si="0"/>
        <v>Aug</v>
      </c>
      <c r="B39" s="308">
        <f t="shared" si="1"/>
        <v>44694</v>
      </c>
      <c r="C39" s="309">
        <v>6</v>
      </c>
      <c r="D39" s="309">
        <v>2</v>
      </c>
      <c r="E39" s="311"/>
      <c r="F39" s="312">
        <v>2</v>
      </c>
      <c r="G39" s="303"/>
      <c r="H39" s="303"/>
      <c r="I39" s="303"/>
      <c r="J39" s="303"/>
      <c r="K39" s="303"/>
      <c r="L39" s="303"/>
      <c r="M39" s="313"/>
      <c r="N39" s="313"/>
      <c r="O39" s="313"/>
      <c r="P39" s="313"/>
      <c r="Q39" s="313"/>
      <c r="R39" s="313"/>
      <c r="S39" s="313"/>
    </row>
    <row r="40" spans="1:19" ht="12" x14ac:dyDescent="0.15">
      <c r="A40" s="307" t="str">
        <f t="shared" si="0"/>
        <v>Aug</v>
      </c>
      <c r="B40" s="308">
        <f t="shared" si="1"/>
        <v>44695</v>
      </c>
      <c r="C40" s="309">
        <v>6</v>
      </c>
      <c r="D40" s="309">
        <v>2</v>
      </c>
      <c r="E40" s="311"/>
      <c r="F40" s="312">
        <v>2</v>
      </c>
      <c r="G40" s="303"/>
      <c r="H40" s="303"/>
      <c r="I40" s="303"/>
      <c r="J40" s="303"/>
      <c r="K40" s="303"/>
      <c r="L40" s="303"/>
      <c r="M40" s="313"/>
      <c r="N40" s="313"/>
      <c r="O40" s="313"/>
      <c r="P40" s="313"/>
      <c r="Q40" s="313"/>
      <c r="R40" s="313"/>
      <c r="S40" s="313"/>
    </row>
    <row r="41" spans="1:19" ht="12" x14ac:dyDescent="0.15">
      <c r="A41" s="307" t="str">
        <f t="shared" si="0"/>
        <v>Aug</v>
      </c>
      <c r="B41" s="308">
        <f t="shared" si="1"/>
        <v>44696</v>
      </c>
      <c r="C41" s="309">
        <v>6</v>
      </c>
      <c r="D41" s="309">
        <v>2</v>
      </c>
      <c r="E41" s="311"/>
      <c r="F41" s="312">
        <v>2</v>
      </c>
      <c r="G41" s="303"/>
      <c r="H41" s="303"/>
      <c r="I41" s="303"/>
      <c r="J41" s="303"/>
      <c r="K41" s="303"/>
      <c r="L41" s="303"/>
      <c r="M41" s="313"/>
      <c r="N41" s="313"/>
      <c r="O41" s="313"/>
      <c r="P41" s="313"/>
      <c r="Q41" s="313"/>
      <c r="R41" s="313"/>
      <c r="S41" s="313"/>
    </row>
    <row r="42" spans="1:19" ht="12" x14ac:dyDescent="0.15">
      <c r="A42" s="307" t="str">
        <f t="shared" si="0"/>
        <v>Aug</v>
      </c>
      <c r="B42" s="308">
        <f t="shared" si="1"/>
        <v>44697</v>
      </c>
      <c r="C42" s="309">
        <v>7</v>
      </c>
      <c r="D42" s="309">
        <v>2</v>
      </c>
      <c r="E42" s="311"/>
      <c r="F42" s="312">
        <v>3</v>
      </c>
      <c r="G42" s="303"/>
      <c r="H42" s="303"/>
      <c r="I42" s="303"/>
      <c r="J42" s="303"/>
      <c r="K42" s="303"/>
      <c r="L42" s="303"/>
      <c r="M42" s="313"/>
      <c r="N42" s="313"/>
      <c r="O42" s="313"/>
      <c r="P42" s="313"/>
      <c r="Q42" s="313"/>
      <c r="R42" s="313"/>
      <c r="S42" s="313"/>
    </row>
    <row r="43" spans="1:19" ht="12" x14ac:dyDescent="0.15">
      <c r="A43" s="307" t="str">
        <f t="shared" si="0"/>
        <v>Aug</v>
      </c>
      <c r="B43" s="308">
        <f t="shared" si="1"/>
        <v>44698</v>
      </c>
      <c r="C43" s="309">
        <v>7</v>
      </c>
      <c r="D43" s="309">
        <v>2</v>
      </c>
      <c r="E43" s="311"/>
      <c r="F43" s="312">
        <v>3</v>
      </c>
      <c r="G43" s="303"/>
      <c r="H43" s="303"/>
      <c r="I43" s="303"/>
      <c r="J43" s="303"/>
      <c r="K43" s="303"/>
      <c r="L43" s="303"/>
      <c r="M43" s="313"/>
      <c r="N43" s="313"/>
      <c r="O43" s="313"/>
      <c r="P43" s="313"/>
      <c r="Q43" s="313"/>
      <c r="R43" s="313"/>
      <c r="S43" s="313"/>
    </row>
    <row r="44" spans="1:19" ht="12" x14ac:dyDescent="0.15">
      <c r="A44" s="307" t="str">
        <f t="shared" si="0"/>
        <v>Aug</v>
      </c>
      <c r="B44" s="308">
        <f t="shared" si="1"/>
        <v>44699</v>
      </c>
      <c r="C44" s="309">
        <v>7</v>
      </c>
      <c r="D44" s="309">
        <v>2</v>
      </c>
      <c r="E44" s="311"/>
      <c r="F44" s="312">
        <v>3</v>
      </c>
      <c r="G44" s="303"/>
      <c r="H44" s="303"/>
      <c r="I44" s="303"/>
      <c r="J44" s="303"/>
      <c r="K44" s="303"/>
      <c r="L44" s="303"/>
      <c r="M44" s="313"/>
      <c r="N44" s="313"/>
      <c r="O44" s="313"/>
      <c r="P44" s="313"/>
      <c r="Q44" s="313"/>
      <c r="R44" s="313"/>
      <c r="S44" s="313"/>
    </row>
    <row r="45" spans="1:19" ht="12" x14ac:dyDescent="0.15">
      <c r="A45" s="307" t="str">
        <f t="shared" si="0"/>
        <v>Aug</v>
      </c>
      <c r="B45" s="308">
        <f t="shared" si="1"/>
        <v>44700</v>
      </c>
      <c r="C45" s="309">
        <v>7</v>
      </c>
      <c r="D45" s="309">
        <v>2</v>
      </c>
      <c r="E45" s="311"/>
      <c r="F45" s="312">
        <v>3</v>
      </c>
      <c r="G45" s="303"/>
      <c r="H45" s="303"/>
      <c r="I45" s="303"/>
      <c r="J45" s="303"/>
      <c r="K45" s="303"/>
      <c r="L45" s="303"/>
      <c r="M45" s="313"/>
      <c r="N45" s="313"/>
      <c r="O45" s="313"/>
      <c r="P45" s="313"/>
      <c r="Q45" s="313"/>
      <c r="R45" s="313"/>
      <c r="S45" s="313"/>
    </row>
    <row r="46" spans="1:19" ht="12" x14ac:dyDescent="0.15">
      <c r="A46" s="307" t="str">
        <f t="shared" si="0"/>
        <v>Aug</v>
      </c>
      <c r="B46" s="308">
        <f t="shared" si="1"/>
        <v>44701</v>
      </c>
      <c r="C46" s="309">
        <v>7</v>
      </c>
      <c r="D46" s="309">
        <v>2</v>
      </c>
      <c r="E46" s="311"/>
      <c r="F46" s="312">
        <v>3</v>
      </c>
      <c r="G46" s="303"/>
      <c r="H46" s="303"/>
      <c r="I46" s="303"/>
      <c r="J46" s="303"/>
      <c r="K46" s="303"/>
      <c r="L46" s="303"/>
      <c r="M46" s="313"/>
      <c r="N46" s="313"/>
      <c r="O46" s="313"/>
      <c r="P46" s="313"/>
      <c r="Q46" s="313"/>
      <c r="R46" s="313"/>
      <c r="S46" s="313"/>
    </row>
    <row r="47" spans="1:19" ht="12" x14ac:dyDescent="0.15">
      <c r="A47" s="307" t="str">
        <f t="shared" si="0"/>
        <v>Aug</v>
      </c>
      <c r="B47" s="308">
        <f t="shared" si="1"/>
        <v>44702</v>
      </c>
      <c r="C47" s="309">
        <v>7</v>
      </c>
      <c r="D47" s="309">
        <v>2</v>
      </c>
      <c r="E47" s="311"/>
      <c r="F47" s="312">
        <v>3</v>
      </c>
      <c r="G47" s="303"/>
      <c r="H47" s="303"/>
      <c r="I47" s="303"/>
      <c r="J47" s="303"/>
      <c r="K47" s="303"/>
      <c r="L47" s="303"/>
      <c r="M47" s="313"/>
      <c r="N47" s="313"/>
      <c r="O47" s="313"/>
      <c r="P47" s="313"/>
      <c r="Q47" s="313"/>
      <c r="R47" s="313"/>
      <c r="S47" s="313"/>
    </row>
    <row r="48" spans="1:19" ht="12" x14ac:dyDescent="0.15">
      <c r="A48" s="307" t="str">
        <f t="shared" si="0"/>
        <v>Aug</v>
      </c>
      <c r="B48" s="308">
        <f t="shared" si="1"/>
        <v>44703</v>
      </c>
      <c r="C48" s="309">
        <v>7</v>
      </c>
      <c r="D48" s="309">
        <v>2</v>
      </c>
      <c r="E48" s="311"/>
      <c r="F48" s="312">
        <v>3</v>
      </c>
      <c r="G48" s="303"/>
      <c r="H48" s="303"/>
      <c r="I48" s="303"/>
      <c r="J48" s="303"/>
      <c r="K48" s="303"/>
      <c r="L48" s="303"/>
      <c r="M48" s="313"/>
      <c r="N48" s="313"/>
      <c r="O48" s="313"/>
      <c r="P48" s="313"/>
      <c r="Q48" s="313"/>
      <c r="R48" s="313"/>
      <c r="S48" s="313"/>
    </row>
    <row r="49" spans="1:19" ht="12" x14ac:dyDescent="0.15">
      <c r="A49" s="307" t="str">
        <f t="shared" si="0"/>
        <v>Aug</v>
      </c>
      <c r="B49" s="308">
        <f t="shared" si="1"/>
        <v>44704</v>
      </c>
      <c r="C49" s="309">
        <v>8</v>
      </c>
      <c r="D49" s="309">
        <v>2</v>
      </c>
      <c r="E49" s="311"/>
      <c r="F49" s="312">
        <v>4</v>
      </c>
      <c r="G49" s="303"/>
      <c r="H49" s="303"/>
      <c r="I49" s="303"/>
      <c r="J49" s="303"/>
      <c r="K49" s="303"/>
      <c r="L49" s="303"/>
      <c r="M49" s="313"/>
      <c r="N49" s="313"/>
      <c r="O49" s="313"/>
      <c r="P49" s="313"/>
      <c r="Q49" s="313"/>
      <c r="R49" s="313"/>
      <c r="S49" s="313"/>
    </row>
    <row r="50" spans="1:19" ht="12" x14ac:dyDescent="0.15">
      <c r="A50" s="307" t="str">
        <f t="shared" si="0"/>
        <v>Aug</v>
      </c>
      <c r="B50" s="308">
        <f t="shared" si="1"/>
        <v>44705</v>
      </c>
      <c r="C50" s="309">
        <v>8</v>
      </c>
      <c r="D50" s="309">
        <v>2</v>
      </c>
      <c r="E50" s="311"/>
      <c r="F50" s="312">
        <v>4</v>
      </c>
      <c r="G50" s="303"/>
      <c r="H50" s="303"/>
      <c r="I50" s="303"/>
      <c r="J50" s="303"/>
      <c r="K50" s="303"/>
      <c r="L50" s="303"/>
      <c r="M50" s="313"/>
      <c r="N50" s="313"/>
      <c r="O50" s="313"/>
      <c r="P50" s="313"/>
      <c r="Q50" s="313"/>
      <c r="R50" s="313"/>
      <c r="S50" s="313"/>
    </row>
    <row r="51" spans="1:19" ht="12" x14ac:dyDescent="0.15">
      <c r="A51" s="307" t="str">
        <f t="shared" si="0"/>
        <v>Aug</v>
      </c>
      <c r="B51" s="308">
        <f t="shared" si="1"/>
        <v>44706</v>
      </c>
      <c r="C51" s="309">
        <v>8</v>
      </c>
      <c r="D51" s="309">
        <v>2</v>
      </c>
      <c r="E51" s="311"/>
      <c r="F51" s="312">
        <v>4</v>
      </c>
      <c r="G51" s="303"/>
      <c r="H51" s="303"/>
      <c r="I51" s="303"/>
      <c r="J51" s="303"/>
      <c r="K51" s="303"/>
      <c r="L51" s="303"/>
      <c r="M51" s="313"/>
      <c r="N51" s="313"/>
      <c r="O51" s="313"/>
      <c r="P51" s="313"/>
      <c r="Q51" s="313"/>
      <c r="R51" s="313"/>
      <c r="S51" s="313"/>
    </row>
    <row r="52" spans="1:19" ht="12" x14ac:dyDescent="0.15">
      <c r="A52" s="307" t="str">
        <f t="shared" si="0"/>
        <v>Aug</v>
      </c>
      <c r="B52" s="308">
        <f t="shared" si="1"/>
        <v>44707</v>
      </c>
      <c r="C52" s="309">
        <v>8</v>
      </c>
      <c r="D52" s="309">
        <v>2</v>
      </c>
      <c r="E52" s="311"/>
      <c r="F52" s="312">
        <v>4</v>
      </c>
      <c r="G52" s="313"/>
      <c r="H52" s="313"/>
      <c r="I52" s="313"/>
      <c r="J52" s="313"/>
      <c r="K52" s="313"/>
      <c r="L52" s="313"/>
      <c r="M52" s="313"/>
      <c r="N52" s="313"/>
      <c r="O52" s="313"/>
      <c r="P52" s="313"/>
      <c r="Q52" s="313"/>
      <c r="R52" s="313"/>
      <c r="S52" s="313"/>
    </row>
    <row r="53" spans="1:19" ht="12" x14ac:dyDescent="0.15">
      <c r="A53" s="307" t="str">
        <f t="shared" si="0"/>
        <v>Aug</v>
      </c>
      <c r="B53" s="308">
        <f t="shared" si="1"/>
        <v>44708</v>
      </c>
      <c r="C53" s="309">
        <v>8</v>
      </c>
      <c r="D53" s="309">
        <v>2</v>
      </c>
      <c r="E53" s="311"/>
      <c r="F53" s="312">
        <v>4</v>
      </c>
      <c r="G53" s="313"/>
      <c r="H53" s="313"/>
      <c r="I53" s="313"/>
      <c r="J53" s="313"/>
      <c r="K53" s="313"/>
      <c r="L53" s="313"/>
      <c r="M53" s="313"/>
      <c r="N53" s="313"/>
      <c r="O53" s="313"/>
      <c r="P53" s="313"/>
      <c r="Q53" s="313"/>
      <c r="R53" s="313"/>
      <c r="S53" s="313"/>
    </row>
    <row r="54" spans="1:19" ht="12" x14ac:dyDescent="0.15">
      <c r="A54" s="307" t="str">
        <f t="shared" si="0"/>
        <v>Aug</v>
      </c>
      <c r="B54" s="308">
        <f t="shared" si="1"/>
        <v>44709</v>
      </c>
      <c r="C54" s="309">
        <v>8</v>
      </c>
      <c r="D54" s="309">
        <v>2</v>
      </c>
      <c r="E54" s="311"/>
      <c r="F54" s="312">
        <v>4</v>
      </c>
      <c r="G54" s="313"/>
      <c r="H54" s="313"/>
      <c r="I54" s="313"/>
      <c r="J54" s="313"/>
      <c r="K54" s="313"/>
      <c r="L54" s="313"/>
      <c r="M54" s="313"/>
      <c r="N54" s="313"/>
      <c r="O54" s="313"/>
      <c r="P54" s="313"/>
      <c r="Q54" s="313"/>
      <c r="R54" s="313"/>
      <c r="S54" s="313"/>
    </row>
    <row r="55" spans="1:19" ht="12" x14ac:dyDescent="0.15">
      <c r="A55" s="307" t="str">
        <f t="shared" si="0"/>
        <v>Aug</v>
      </c>
      <c r="B55" s="308">
        <f t="shared" si="1"/>
        <v>44710</v>
      </c>
      <c r="C55" s="309">
        <v>8</v>
      </c>
      <c r="D55" s="309">
        <v>2</v>
      </c>
      <c r="E55" s="311"/>
      <c r="F55" s="312">
        <v>4</v>
      </c>
      <c r="G55" s="313"/>
      <c r="H55" s="313"/>
      <c r="I55" s="313"/>
      <c r="J55" s="313"/>
      <c r="K55" s="313"/>
      <c r="L55" s="313"/>
      <c r="M55" s="313"/>
      <c r="N55" s="313"/>
      <c r="O55" s="313"/>
      <c r="P55" s="313"/>
      <c r="Q55" s="313"/>
      <c r="R55" s="313"/>
      <c r="S55" s="313"/>
    </row>
    <row r="56" spans="1:19" ht="12" x14ac:dyDescent="0.15">
      <c r="A56" s="307" t="str">
        <f t="shared" si="0"/>
        <v>Sep</v>
      </c>
      <c r="B56" s="308">
        <f t="shared" si="1"/>
        <v>44711</v>
      </c>
      <c r="C56" s="309">
        <v>9</v>
      </c>
      <c r="D56" s="309">
        <v>3</v>
      </c>
      <c r="E56" s="311"/>
      <c r="F56" s="312">
        <v>1</v>
      </c>
      <c r="G56" s="313"/>
      <c r="H56" s="313"/>
      <c r="I56" s="313"/>
      <c r="J56" s="313"/>
      <c r="K56" s="313"/>
      <c r="L56" s="313"/>
      <c r="M56" s="313"/>
      <c r="N56" s="313"/>
      <c r="O56" s="313"/>
      <c r="P56" s="313"/>
      <c r="Q56" s="313"/>
      <c r="R56" s="313"/>
      <c r="S56" s="313"/>
    </row>
    <row r="57" spans="1:19" ht="12" x14ac:dyDescent="0.15">
      <c r="A57" s="307" t="str">
        <f t="shared" si="0"/>
        <v>Sep</v>
      </c>
      <c r="B57" s="308">
        <f t="shared" si="1"/>
        <v>44712</v>
      </c>
      <c r="C57" s="309">
        <v>9</v>
      </c>
      <c r="D57" s="309">
        <v>3</v>
      </c>
      <c r="E57" s="311"/>
      <c r="F57" s="312">
        <v>1</v>
      </c>
      <c r="G57" s="313"/>
      <c r="H57" s="313"/>
      <c r="I57" s="313"/>
      <c r="J57" s="313"/>
      <c r="K57" s="313"/>
      <c r="L57" s="313"/>
      <c r="M57" s="313"/>
      <c r="N57" s="313"/>
      <c r="O57" s="313"/>
      <c r="P57" s="313"/>
      <c r="Q57" s="313"/>
      <c r="R57" s="313"/>
      <c r="S57" s="313"/>
    </row>
    <row r="58" spans="1:19" x14ac:dyDescent="0.15">
      <c r="A58" s="307" t="str">
        <f t="shared" si="0"/>
        <v>Sep</v>
      </c>
      <c r="B58" s="308">
        <f t="shared" si="1"/>
        <v>44713</v>
      </c>
      <c r="C58" s="309">
        <v>9</v>
      </c>
      <c r="D58" s="309">
        <v>3</v>
      </c>
      <c r="E58" s="311"/>
      <c r="F58" s="309">
        <v>1</v>
      </c>
      <c r="G58" s="313"/>
      <c r="H58" s="313"/>
      <c r="I58" s="313"/>
      <c r="J58" s="313"/>
      <c r="K58" s="313"/>
      <c r="L58" s="313"/>
      <c r="M58" s="313"/>
      <c r="N58" s="313"/>
      <c r="O58" s="313"/>
      <c r="P58" s="313"/>
      <c r="Q58" s="313"/>
      <c r="R58" s="313"/>
      <c r="S58" s="313"/>
    </row>
    <row r="59" spans="1:19" ht="12" x14ac:dyDescent="0.15">
      <c r="A59" s="307" t="str">
        <f t="shared" si="0"/>
        <v>Sep</v>
      </c>
      <c r="B59" s="308">
        <f t="shared" si="1"/>
        <v>44714</v>
      </c>
      <c r="C59" s="309">
        <v>9</v>
      </c>
      <c r="D59" s="309">
        <v>3</v>
      </c>
      <c r="E59" s="311"/>
      <c r="F59" s="312">
        <v>1</v>
      </c>
      <c r="G59" s="313"/>
      <c r="H59" s="313"/>
      <c r="I59" s="313"/>
      <c r="J59" s="313"/>
      <c r="K59" s="313"/>
      <c r="L59" s="313"/>
      <c r="M59" s="313"/>
      <c r="N59" s="313"/>
      <c r="O59" s="313"/>
      <c r="P59" s="313"/>
      <c r="Q59" s="313"/>
      <c r="R59" s="313"/>
      <c r="S59" s="313"/>
    </row>
    <row r="60" spans="1:19" ht="12" x14ac:dyDescent="0.15">
      <c r="A60" s="307" t="str">
        <f t="shared" si="0"/>
        <v>Sep</v>
      </c>
      <c r="B60" s="308">
        <f t="shared" si="1"/>
        <v>44715</v>
      </c>
      <c r="C60" s="309">
        <v>9</v>
      </c>
      <c r="D60" s="309">
        <v>3</v>
      </c>
      <c r="E60" s="311"/>
      <c r="F60" s="312">
        <v>1</v>
      </c>
      <c r="G60" s="313"/>
      <c r="H60" s="313"/>
      <c r="I60" s="313"/>
      <c r="J60" s="313"/>
      <c r="K60" s="313"/>
      <c r="L60" s="313"/>
      <c r="M60" s="313"/>
      <c r="N60" s="313"/>
      <c r="O60" s="313"/>
      <c r="P60" s="313"/>
      <c r="Q60" s="313"/>
      <c r="R60" s="313"/>
      <c r="S60" s="313"/>
    </row>
    <row r="61" spans="1:19" ht="12" x14ac:dyDescent="0.15">
      <c r="A61" s="307" t="str">
        <f t="shared" si="0"/>
        <v>Sep</v>
      </c>
      <c r="B61" s="308">
        <f t="shared" si="1"/>
        <v>44716</v>
      </c>
      <c r="C61" s="309">
        <v>9</v>
      </c>
      <c r="D61" s="309">
        <v>3</v>
      </c>
      <c r="E61" s="311"/>
      <c r="F61" s="312">
        <v>1</v>
      </c>
      <c r="G61" s="313"/>
      <c r="H61" s="313"/>
      <c r="I61" s="313"/>
      <c r="J61" s="313"/>
      <c r="K61" s="313"/>
      <c r="L61" s="313"/>
      <c r="M61" s="313"/>
      <c r="N61" s="313"/>
      <c r="O61" s="313"/>
      <c r="P61" s="313"/>
      <c r="Q61" s="313"/>
      <c r="R61" s="313"/>
      <c r="S61" s="313"/>
    </row>
    <row r="62" spans="1:19" ht="12" x14ac:dyDescent="0.15">
      <c r="A62" s="307" t="str">
        <f t="shared" si="0"/>
        <v>Sep</v>
      </c>
      <c r="B62" s="308">
        <f t="shared" si="1"/>
        <v>44717</v>
      </c>
      <c r="C62" s="316">
        <v>9</v>
      </c>
      <c r="D62" s="316">
        <v>3</v>
      </c>
      <c r="E62" s="311"/>
      <c r="F62" s="312">
        <v>1</v>
      </c>
      <c r="G62" s="313"/>
      <c r="H62" s="313"/>
      <c r="I62" s="313"/>
      <c r="J62" s="313"/>
      <c r="K62" s="313"/>
      <c r="L62" s="313"/>
      <c r="M62" s="313"/>
      <c r="N62" s="313"/>
      <c r="O62" s="313"/>
      <c r="P62" s="313"/>
      <c r="Q62" s="313"/>
      <c r="R62" s="313"/>
      <c r="S62" s="313"/>
    </row>
    <row r="63" spans="1:19" ht="12" x14ac:dyDescent="0.15">
      <c r="A63" s="307" t="str">
        <f t="shared" si="0"/>
        <v>Sep</v>
      </c>
      <c r="B63" s="308">
        <f t="shared" si="1"/>
        <v>44718</v>
      </c>
      <c r="C63" s="316">
        <v>10</v>
      </c>
      <c r="D63" s="316">
        <v>3</v>
      </c>
      <c r="E63" s="315"/>
      <c r="F63" s="312">
        <v>2</v>
      </c>
      <c r="G63" s="313"/>
      <c r="H63" s="313"/>
      <c r="I63" s="313"/>
      <c r="J63" s="313"/>
      <c r="K63" s="313"/>
      <c r="L63" s="313"/>
      <c r="M63" s="313"/>
      <c r="N63" s="313"/>
      <c r="O63" s="313"/>
      <c r="P63" s="313"/>
      <c r="Q63" s="313"/>
      <c r="R63" s="313"/>
      <c r="S63" s="313"/>
    </row>
    <row r="64" spans="1:19" ht="12" x14ac:dyDescent="0.15">
      <c r="A64" s="307" t="str">
        <f t="shared" si="0"/>
        <v>Sep</v>
      </c>
      <c r="B64" s="308">
        <f t="shared" si="1"/>
        <v>44719</v>
      </c>
      <c r="C64" s="309">
        <v>10</v>
      </c>
      <c r="D64" s="309">
        <v>3</v>
      </c>
      <c r="E64" s="311"/>
      <c r="F64" s="312">
        <v>2</v>
      </c>
      <c r="G64" s="313"/>
      <c r="H64" s="313"/>
      <c r="I64" s="313"/>
      <c r="J64" s="313"/>
      <c r="K64" s="313"/>
      <c r="L64" s="313"/>
      <c r="M64" s="313"/>
      <c r="N64" s="313"/>
      <c r="O64" s="313"/>
      <c r="P64" s="313"/>
      <c r="Q64" s="313"/>
      <c r="R64" s="313"/>
      <c r="S64" s="313"/>
    </row>
    <row r="65" spans="1:19" ht="12" x14ac:dyDescent="0.15">
      <c r="A65" s="307" t="str">
        <f t="shared" si="0"/>
        <v>Sep</v>
      </c>
      <c r="B65" s="308">
        <f t="shared" si="1"/>
        <v>44720</v>
      </c>
      <c r="C65" s="309">
        <v>10</v>
      </c>
      <c r="D65" s="309">
        <v>3</v>
      </c>
      <c r="E65" s="311"/>
      <c r="F65" s="312">
        <v>2</v>
      </c>
      <c r="G65" s="313"/>
      <c r="H65" s="313"/>
      <c r="I65" s="313"/>
      <c r="J65" s="313"/>
      <c r="K65" s="313"/>
      <c r="L65" s="313"/>
      <c r="M65" s="313"/>
      <c r="N65" s="313"/>
      <c r="O65" s="313"/>
      <c r="P65" s="313"/>
      <c r="Q65" s="313"/>
      <c r="R65" s="313"/>
      <c r="S65" s="313"/>
    </row>
    <row r="66" spans="1:19" ht="12" x14ac:dyDescent="0.15">
      <c r="A66" s="307" t="str">
        <f t="shared" si="0"/>
        <v>Sep</v>
      </c>
      <c r="B66" s="308">
        <f t="shared" si="1"/>
        <v>44721</v>
      </c>
      <c r="C66" s="309">
        <v>10</v>
      </c>
      <c r="D66" s="309">
        <v>3</v>
      </c>
      <c r="E66" s="311"/>
      <c r="F66" s="312">
        <v>2</v>
      </c>
      <c r="G66" s="313"/>
      <c r="H66" s="313"/>
      <c r="I66" s="313"/>
      <c r="J66" s="313"/>
      <c r="K66" s="313"/>
      <c r="L66" s="313"/>
      <c r="M66" s="313"/>
      <c r="N66" s="313"/>
      <c r="O66" s="313"/>
      <c r="P66" s="313"/>
      <c r="Q66" s="313"/>
      <c r="R66" s="313"/>
      <c r="S66" s="313"/>
    </row>
    <row r="67" spans="1:19" ht="12" x14ac:dyDescent="0.15">
      <c r="A67" s="307" t="str">
        <f t="shared" ref="A67:A130" si="2">TEXT(DATE(YEAR(B$2),MONTH(B$2)+(D67-1)+3,1),"Mmm")</f>
        <v>Sep</v>
      </c>
      <c r="B67" s="308">
        <f t="shared" si="1"/>
        <v>44722</v>
      </c>
      <c r="C67" s="309">
        <v>10</v>
      </c>
      <c r="D67" s="309">
        <v>3</v>
      </c>
      <c r="E67" s="311"/>
      <c r="F67" s="312">
        <v>2</v>
      </c>
      <c r="G67" s="313"/>
      <c r="H67" s="313"/>
      <c r="I67" s="313"/>
      <c r="J67" s="313"/>
      <c r="K67" s="313"/>
      <c r="L67" s="313"/>
      <c r="M67" s="313"/>
      <c r="N67" s="313"/>
      <c r="O67" s="313"/>
      <c r="P67" s="313"/>
      <c r="Q67" s="313"/>
      <c r="R67" s="313"/>
      <c r="S67" s="313"/>
    </row>
    <row r="68" spans="1:19" ht="12" x14ac:dyDescent="0.15">
      <c r="A68" s="307" t="str">
        <f t="shared" si="2"/>
        <v>Sep</v>
      </c>
      <c r="B68" s="308">
        <f t="shared" ref="B68:B131" si="3">B67+1</f>
        <v>44723</v>
      </c>
      <c r="C68" s="309">
        <v>10</v>
      </c>
      <c r="D68" s="309">
        <v>3</v>
      </c>
      <c r="E68" s="311"/>
      <c r="F68" s="312">
        <v>2</v>
      </c>
      <c r="G68" s="313"/>
      <c r="H68" s="313"/>
      <c r="I68" s="313"/>
      <c r="J68" s="313"/>
      <c r="K68" s="313"/>
      <c r="L68" s="313"/>
      <c r="M68" s="313"/>
      <c r="N68" s="313"/>
      <c r="O68" s="313"/>
      <c r="P68" s="313"/>
      <c r="Q68" s="313"/>
      <c r="R68" s="313"/>
      <c r="S68" s="313"/>
    </row>
    <row r="69" spans="1:19" ht="12" x14ac:dyDescent="0.15">
      <c r="A69" s="307" t="str">
        <f t="shared" si="2"/>
        <v>Sep</v>
      </c>
      <c r="B69" s="308">
        <f t="shared" si="3"/>
        <v>44724</v>
      </c>
      <c r="C69" s="309">
        <v>10</v>
      </c>
      <c r="D69" s="309">
        <v>3</v>
      </c>
      <c r="E69" s="311"/>
      <c r="F69" s="312">
        <v>2</v>
      </c>
      <c r="G69" s="313"/>
      <c r="H69" s="313"/>
      <c r="I69" s="313"/>
      <c r="J69" s="313"/>
      <c r="K69" s="313"/>
      <c r="L69" s="313"/>
      <c r="M69" s="313"/>
      <c r="N69" s="313"/>
      <c r="O69" s="313"/>
      <c r="P69" s="313"/>
      <c r="Q69" s="313"/>
      <c r="R69" s="313"/>
      <c r="S69" s="313"/>
    </row>
    <row r="70" spans="1:19" ht="12" x14ac:dyDescent="0.15">
      <c r="A70" s="307" t="str">
        <f t="shared" si="2"/>
        <v>Sep</v>
      </c>
      <c r="B70" s="308">
        <f t="shared" si="3"/>
        <v>44725</v>
      </c>
      <c r="C70" s="309">
        <v>11</v>
      </c>
      <c r="D70" s="309">
        <v>3</v>
      </c>
      <c r="E70" s="311"/>
      <c r="F70" s="312">
        <v>3</v>
      </c>
      <c r="G70" s="313"/>
      <c r="H70" s="313"/>
      <c r="I70" s="313"/>
      <c r="J70" s="313"/>
      <c r="K70" s="313"/>
      <c r="L70" s="313"/>
      <c r="M70" s="313"/>
      <c r="N70" s="313"/>
      <c r="O70" s="313"/>
      <c r="P70" s="313"/>
      <c r="Q70" s="313"/>
      <c r="R70" s="313"/>
      <c r="S70" s="313"/>
    </row>
    <row r="71" spans="1:19" ht="12" x14ac:dyDescent="0.15">
      <c r="A71" s="307" t="str">
        <f t="shared" si="2"/>
        <v>Sep</v>
      </c>
      <c r="B71" s="308">
        <f t="shared" si="3"/>
        <v>44726</v>
      </c>
      <c r="C71" s="309">
        <v>11</v>
      </c>
      <c r="D71" s="309">
        <v>3</v>
      </c>
      <c r="E71" s="311"/>
      <c r="F71" s="312">
        <v>3</v>
      </c>
      <c r="G71" s="313"/>
      <c r="H71" s="313"/>
      <c r="I71" s="313"/>
      <c r="J71" s="313"/>
      <c r="K71" s="313"/>
      <c r="L71" s="313"/>
      <c r="M71" s="313"/>
      <c r="N71" s="313"/>
      <c r="O71" s="313"/>
      <c r="P71" s="313"/>
      <c r="Q71" s="313"/>
      <c r="R71" s="313"/>
      <c r="S71" s="313"/>
    </row>
    <row r="72" spans="1:19" ht="12" x14ac:dyDescent="0.15">
      <c r="A72" s="307" t="str">
        <f t="shared" si="2"/>
        <v>Sep</v>
      </c>
      <c r="B72" s="308">
        <f t="shared" si="3"/>
        <v>44727</v>
      </c>
      <c r="C72" s="309">
        <v>11</v>
      </c>
      <c r="D72" s="309">
        <v>3</v>
      </c>
      <c r="E72" s="311"/>
      <c r="F72" s="312">
        <v>3</v>
      </c>
      <c r="G72" s="313"/>
      <c r="H72" s="313"/>
      <c r="I72" s="313"/>
      <c r="J72" s="313"/>
      <c r="K72" s="313"/>
      <c r="L72" s="313"/>
      <c r="M72" s="313"/>
      <c r="N72" s="313"/>
      <c r="O72" s="313"/>
      <c r="P72" s="313"/>
      <c r="Q72" s="313"/>
      <c r="R72" s="313"/>
      <c r="S72" s="313"/>
    </row>
    <row r="73" spans="1:19" ht="12" x14ac:dyDescent="0.15">
      <c r="A73" s="307" t="str">
        <f t="shared" si="2"/>
        <v>Sep</v>
      </c>
      <c r="B73" s="308">
        <f t="shared" si="3"/>
        <v>44728</v>
      </c>
      <c r="C73" s="309">
        <v>11</v>
      </c>
      <c r="D73" s="309">
        <v>3</v>
      </c>
      <c r="E73" s="311"/>
      <c r="F73" s="312">
        <v>3</v>
      </c>
      <c r="G73" s="313"/>
      <c r="H73" s="313"/>
      <c r="I73" s="313"/>
      <c r="J73" s="313"/>
      <c r="K73" s="313"/>
      <c r="L73" s="313"/>
      <c r="M73" s="313"/>
      <c r="N73" s="313"/>
      <c r="O73" s="313"/>
      <c r="P73" s="313"/>
      <c r="Q73" s="313"/>
      <c r="R73" s="313"/>
      <c r="S73" s="313"/>
    </row>
    <row r="74" spans="1:19" ht="12" x14ac:dyDescent="0.15">
      <c r="A74" s="307" t="str">
        <f t="shared" si="2"/>
        <v>Sep</v>
      </c>
      <c r="B74" s="308">
        <f t="shared" si="3"/>
        <v>44729</v>
      </c>
      <c r="C74" s="309">
        <v>11</v>
      </c>
      <c r="D74" s="309">
        <v>3</v>
      </c>
      <c r="E74" s="311"/>
      <c r="F74" s="312">
        <v>3</v>
      </c>
      <c r="G74" s="313"/>
      <c r="H74" s="313"/>
      <c r="I74" s="313"/>
      <c r="J74" s="313"/>
      <c r="K74" s="313"/>
      <c r="L74" s="313"/>
      <c r="M74" s="313"/>
      <c r="N74" s="313"/>
      <c r="O74" s="313"/>
      <c r="P74" s="313"/>
      <c r="Q74" s="313"/>
      <c r="R74" s="313"/>
      <c r="S74" s="313"/>
    </row>
    <row r="75" spans="1:19" ht="12" x14ac:dyDescent="0.15">
      <c r="A75" s="307" t="str">
        <f t="shared" si="2"/>
        <v>Sep</v>
      </c>
      <c r="B75" s="308">
        <f t="shared" si="3"/>
        <v>44730</v>
      </c>
      <c r="C75" s="309">
        <v>11</v>
      </c>
      <c r="D75" s="309">
        <v>3</v>
      </c>
      <c r="E75" s="311"/>
      <c r="F75" s="312">
        <v>3</v>
      </c>
      <c r="G75" s="313"/>
      <c r="H75" s="313"/>
      <c r="I75" s="313"/>
      <c r="J75" s="313"/>
      <c r="K75" s="313"/>
      <c r="L75" s="313"/>
      <c r="M75" s="313"/>
      <c r="N75" s="313"/>
      <c r="O75" s="313"/>
      <c r="P75" s="313"/>
      <c r="Q75" s="313"/>
      <c r="R75" s="313"/>
      <c r="S75" s="313"/>
    </row>
    <row r="76" spans="1:19" ht="12" x14ac:dyDescent="0.15">
      <c r="A76" s="307" t="str">
        <f t="shared" si="2"/>
        <v>Sep</v>
      </c>
      <c r="B76" s="308">
        <f t="shared" si="3"/>
        <v>44731</v>
      </c>
      <c r="C76" s="309">
        <v>11</v>
      </c>
      <c r="D76" s="309">
        <v>3</v>
      </c>
      <c r="E76" s="311"/>
      <c r="F76" s="312">
        <v>3</v>
      </c>
      <c r="G76" s="313"/>
      <c r="H76" s="313"/>
      <c r="I76" s="313"/>
      <c r="J76" s="313"/>
      <c r="K76" s="313"/>
      <c r="L76" s="313"/>
      <c r="M76" s="313"/>
      <c r="N76" s="313"/>
      <c r="O76" s="313"/>
      <c r="P76" s="313"/>
      <c r="Q76" s="313"/>
      <c r="R76" s="313"/>
      <c r="S76" s="313"/>
    </row>
    <row r="77" spans="1:19" ht="12" x14ac:dyDescent="0.15">
      <c r="A77" s="307" t="str">
        <f t="shared" si="2"/>
        <v>Sep</v>
      </c>
      <c r="B77" s="308">
        <f t="shared" si="3"/>
        <v>44732</v>
      </c>
      <c r="C77" s="309">
        <v>12</v>
      </c>
      <c r="D77" s="309">
        <v>3</v>
      </c>
      <c r="E77" s="311"/>
      <c r="F77" s="312">
        <v>4</v>
      </c>
      <c r="G77" s="313"/>
      <c r="H77" s="313"/>
      <c r="I77" s="313"/>
      <c r="J77" s="313"/>
      <c r="K77" s="313"/>
      <c r="L77" s="313"/>
      <c r="M77" s="313"/>
      <c r="N77" s="313"/>
      <c r="O77" s="313"/>
      <c r="P77" s="313"/>
      <c r="Q77" s="313"/>
      <c r="R77" s="313"/>
      <c r="S77" s="313"/>
    </row>
    <row r="78" spans="1:19" ht="12" x14ac:dyDescent="0.15">
      <c r="A78" s="307" t="str">
        <f t="shared" si="2"/>
        <v>Sep</v>
      </c>
      <c r="B78" s="308">
        <f t="shared" si="3"/>
        <v>44733</v>
      </c>
      <c r="C78" s="309">
        <v>12</v>
      </c>
      <c r="D78" s="309">
        <v>3</v>
      </c>
      <c r="E78" s="311"/>
      <c r="F78" s="312">
        <v>4</v>
      </c>
      <c r="G78" s="313"/>
      <c r="H78" s="313"/>
      <c r="I78" s="313"/>
      <c r="J78" s="313"/>
      <c r="K78" s="313"/>
      <c r="L78" s="313"/>
      <c r="M78" s="313"/>
      <c r="N78" s="313"/>
      <c r="O78" s="313"/>
      <c r="P78" s="313"/>
      <c r="Q78" s="313"/>
      <c r="R78" s="313"/>
      <c r="S78" s="313"/>
    </row>
    <row r="79" spans="1:19" ht="12" x14ac:dyDescent="0.15">
      <c r="A79" s="307" t="str">
        <f t="shared" si="2"/>
        <v>Sep</v>
      </c>
      <c r="B79" s="308">
        <f t="shared" si="3"/>
        <v>44734</v>
      </c>
      <c r="C79" s="309">
        <v>12</v>
      </c>
      <c r="D79" s="309">
        <v>3</v>
      </c>
      <c r="E79" s="311"/>
      <c r="F79" s="312">
        <v>4</v>
      </c>
      <c r="G79" s="313"/>
      <c r="H79" s="313"/>
      <c r="I79" s="313"/>
      <c r="J79" s="313"/>
      <c r="K79" s="313"/>
      <c r="L79" s="313"/>
      <c r="M79" s="313"/>
      <c r="N79" s="313"/>
      <c r="O79" s="313"/>
      <c r="P79" s="313"/>
      <c r="Q79" s="313"/>
      <c r="R79" s="313"/>
      <c r="S79" s="313"/>
    </row>
    <row r="80" spans="1:19" ht="12" x14ac:dyDescent="0.15">
      <c r="A80" s="307" t="str">
        <f t="shared" si="2"/>
        <v>Sep</v>
      </c>
      <c r="B80" s="308">
        <f t="shared" si="3"/>
        <v>44735</v>
      </c>
      <c r="C80" s="309">
        <v>12</v>
      </c>
      <c r="D80" s="309">
        <v>3</v>
      </c>
      <c r="E80" s="311"/>
      <c r="F80" s="312">
        <v>4</v>
      </c>
      <c r="G80" s="313"/>
      <c r="H80" s="313"/>
      <c r="I80" s="313"/>
      <c r="J80" s="313"/>
      <c r="K80" s="313"/>
      <c r="L80" s="313"/>
      <c r="M80" s="313"/>
      <c r="N80" s="313"/>
      <c r="O80" s="313"/>
      <c r="P80" s="313"/>
      <c r="Q80" s="313"/>
      <c r="R80" s="313"/>
      <c r="S80" s="313"/>
    </row>
    <row r="81" spans="1:19" ht="12" x14ac:dyDescent="0.15">
      <c r="A81" s="307" t="str">
        <f t="shared" si="2"/>
        <v>Sep</v>
      </c>
      <c r="B81" s="308">
        <f t="shared" si="3"/>
        <v>44736</v>
      </c>
      <c r="C81" s="309">
        <v>12</v>
      </c>
      <c r="D81" s="309">
        <v>3</v>
      </c>
      <c r="E81" s="311"/>
      <c r="F81" s="312">
        <v>4</v>
      </c>
      <c r="G81" s="313"/>
      <c r="H81" s="313"/>
      <c r="I81" s="313"/>
      <c r="J81" s="313"/>
      <c r="K81" s="313"/>
      <c r="L81" s="313"/>
      <c r="M81" s="313"/>
      <c r="N81" s="313"/>
      <c r="O81" s="313"/>
      <c r="P81" s="313"/>
      <c r="Q81" s="313"/>
      <c r="R81" s="313"/>
      <c r="S81" s="313"/>
    </row>
    <row r="82" spans="1:19" ht="12" x14ac:dyDescent="0.15">
      <c r="A82" s="307" t="str">
        <f t="shared" si="2"/>
        <v>Sep</v>
      </c>
      <c r="B82" s="308">
        <f t="shared" si="3"/>
        <v>44737</v>
      </c>
      <c r="C82" s="309">
        <v>12</v>
      </c>
      <c r="D82" s="309">
        <v>3</v>
      </c>
      <c r="E82" s="311"/>
      <c r="F82" s="312">
        <v>4</v>
      </c>
      <c r="G82" s="313"/>
      <c r="H82" s="313"/>
      <c r="I82" s="313"/>
      <c r="J82" s="313"/>
      <c r="K82" s="313"/>
      <c r="L82" s="313"/>
      <c r="M82" s="313"/>
      <c r="N82" s="313"/>
      <c r="O82" s="313"/>
      <c r="P82" s="313"/>
      <c r="Q82" s="313"/>
      <c r="R82" s="313"/>
      <c r="S82" s="313"/>
    </row>
    <row r="83" spans="1:19" ht="12" x14ac:dyDescent="0.15">
      <c r="A83" s="307" t="str">
        <f t="shared" si="2"/>
        <v>Sep</v>
      </c>
      <c r="B83" s="308">
        <f t="shared" si="3"/>
        <v>44738</v>
      </c>
      <c r="C83" s="309">
        <v>12</v>
      </c>
      <c r="D83" s="309">
        <v>3</v>
      </c>
      <c r="E83" s="311"/>
      <c r="F83" s="312">
        <v>4</v>
      </c>
      <c r="G83" s="313"/>
      <c r="H83" s="313"/>
      <c r="I83" s="313"/>
      <c r="J83" s="313"/>
      <c r="K83" s="313"/>
      <c r="L83" s="313"/>
      <c r="M83" s="313"/>
      <c r="N83" s="313"/>
      <c r="O83" s="313"/>
      <c r="P83" s="313"/>
      <c r="Q83" s="313"/>
      <c r="R83" s="313"/>
      <c r="S83" s="313"/>
    </row>
    <row r="84" spans="1:19" ht="12" x14ac:dyDescent="0.15">
      <c r="A84" s="307" t="str">
        <f t="shared" si="2"/>
        <v>Sep</v>
      </c>
      <c r="B84" s="308">
        <f t="shared" si="3"/>
        <v>44739</v>
      </c>
      <c r="C84" s="309">
        <v>13</v>
      </c>
      <c r="D84" s="309">
        <v>3</v>
      </c>
      <c r="E84" s="311"/>
      <c r="F84" s="312">
        <v>5</v>
      </c>
      <c r="G84" s="313"/>
      <c r="H84" s="313"/>
      <c r="I84" s="313"/>
      <c r="J84" s="313"/>
      <c r="K84" s="313"/>
      <c r="L84" s="313"/>
      <c r="M84" s="313"/>
      <c r="N84" s="313"/>
      <c r="O84" s="313"/>
      <c r="P84" s="313"/>
      <c r="Q84" s="313"/>
      <c r="R84" s="313"/>
      <c r="S84" s="313"/>
    </row>
    <row r="85" spans="1:19" ht="12" x14ac:dyDescent="0.15">
      <c r="A85" s="307" t="str">
        <f t="shared" si="2"/>
        <v>Sep</v>
      </c>
      <c r="B85" s="308">
        <f t="shared" si="3"/>
        <v>44740</v>
      </c>
      <c r="C85" s="309">
        <v>13</v>
      </c>
      <c r="D85" s="309">
        <v>3</v>
      </c>
      <c r="E85" s="311"/>
      <c r="F85" s="312">
        <v>5</v>
      </c>
      <c r="G85" s="313"/>
      <c r="H85" s="313"/>
      <c r="I85" s="313"/>
      <c r="J85" s="313"/>
      <c r="K85" s="313"/>
      <c r="L85" s="313"/>
      <c r="M85" s="313"/>
      <c r="N85" s="313"/>
      <c r="O85" s="313"/>
      <c r="P85" s="313"/>
      <c r="Q85" s="313"/>
      <c r="R85" s="313"/>
      <c r="S85" s="313"/>
    </row>
    <row r="86" spans="1:19" ht="12" x14ac:dyDescent="0.15">
      <c r="A86" s="307" t="str">
        <f t="shared" si="2"/>
        <v>Sep</v>
      </c>
      <c r="B86" s="308">
        <f t="shared" si="3"/>
        <v>44741</v>
      </c>
      <c r="C86" s="309">
        <v>13</v>
      </c>
      <c r="D86" s="309">
        <v>3</v>
      </c>
      <c r="E86" s="311"/>
      <c r="F86" s="312">
        <v>5</v>
      </c>
      <c r="G86" s="313"/>
      <c r="H86" s="313"/>
      <c r="I86" s="313"/>
      <c r="J86" s="313"/>
      <c r="K86" s="313"/>
      <c r="L86" s="313"/>
      <c r="M86" s="313"/>
      <c r="N86" s="313"/>
      <c r="O86" s="313"/>
      <c r="P86" s="313"/>
      <c r="Q86" s="313"/>
      <c r="R86" s="313"/>
      <c r="S86" s="313"/>
    </row>
    <row r="87" spans="1:19" ht="12" x14ac:dyDescent="0.15">
      <c r="A87" s="307" t="str">
        <f t="shared" si="2"/>
        <v>Sep</v>
      </c>
      <c r="B87" s="308">
        <f t="shared" si="3"/>
        <v>44742</v>
      </c>
      <c r="C87" s="309">
        <v>13</v>
      </c>
      <c r="D87" s="309">
        <v>3</v>
      </c>
      <c r="E87" s="311"/>
      <c r="F87" s="312">
        <v>5</v>
      </c>
      <c r="G87" s="313"/>
      <c r="H87" s="313"/>
      <c r="I87" s="313"/>
      <c r="J87" s="313"/>
      <c r="K87" s="313"/>
      <c r="L87" s="313"/>
      <c r="M87" s="313"/>
      <c r="N87" s="313"/>
      <c r="O87" s="313"/>
      <c r="P87" s="313"/>
      <c r="Q87" s="313"/>
      <c r="R87" s="313"/>
      <c r="S87" s="313"/>
    </row>
    <row r="88" spans="1:19" ht="12" x14ac:dyDescent="0.15">
      <c r="A88" s="307" t="str">
        <f t="shared" si="2"/>
        <v>Sep</v>
      </c>
      <c r="B88" s="308">
        <f t="shared" si="3"/>
        <v>44743</v>
      </c>
      <c r="C88" s="309">
        <v>13</v>
      </c>
      <c r="D88" s="309">
        <v>3</v>
      </c>
      <c r="E88" s="311"/>
      <c r="F88" s="312">
        <v>5</v>
      </c>
      <c r="G88" s="313"/>
      <c r="H88" s="313"/>
      <c r="I88" s="313"/>
      <c r="J88" s="313"/>
      <c r="K88" s="313"/>
      <c r="L88" s="313"/>
      <c r="M88" s="313"/>
      <c r="N88" s="313"/>
      <c r="O88" s="313"/>
      <c r="P88" s="313"/>
      <c r="Q88" s="313"/>
      <c r="R88" s="313"/>
      <c r="S88" s="313"/>
    </row>
    <row r="89" spans="1:19" ht="12" x14ac:dyDescent="0.15">
      <c r="A89" s="307" t="str">
        <f t="shared" si="2"/>
        <v>Sep</v>
      </c>
      <c r="B89" s="308">
        <f t="shared" si="3"/>
        <v>44744</v>
      </c>
      <c r="C89" s="309">
        <v>13</v>
      </c>
      <c r="D89" s="309">
        <v>3</v>
      </c>
      <c r="E89" s="311"/>
      <c r="F89" s="312">
        <v>5</v>
      </c>
      <c r="G89" s="313"/>
      <c r="H89" s="313"/>
      <c r="I89" s="313"/>
      <c r="J89" s="313"/>
      <c r="K89" s="313"/>
      <c r="L89" s="313"/>
      <c r="M89" s="313"/>
      <c r="N89" s="313"/>
      <c r="O89" s="313"/>
      <c r="P89" s="313"/>
      <c r="Q89" s="313"/>
      <c r="R89" s="313"/>
      <c r="S89" s="313"/>
    </row>
    <row r="90" spans="1:19" ht="12" x14ac:dyDescent="0.15">
      <c r="A90" s="307" t="str">
        <f t="shared" si="2"/>
        <v>Sep</v>
      </c>
      <c r="B90" s="308">
        <f t="shared" si="3"/>
        <v>44745</v>
      </c>
      <c r="C90" s="309">
        <v>13</v>
      </c>
      <c r="D90" s="309">
        <v>3</v>
      </c>
      <c r="E90" s="311"/>
      <c r="F90" s="312">
        <v>5</v>
      </c>
      <c r="G90" s="313"/>
      <c r="H90" s="313"/>
      <c r="I90" s="313"/>
      <c r="J90" s="313"/>
      <c r="K90" s="313"/>
      <c r="L90" s="313"/>
      <c r="M90" s="313"/>
      <c r="N90" s="313"/>
      <c r="O90" s="313"/>
      <c r="P90" s="313"/>
      <c r="Q90" s="313"/>
      <c r="R90" s="313"/>
      <c r="S90" s="313"/>
    </row>
    <row r="91" spans="1:19" ht="12" x14ac:dyDescent="0.15">
      <c r="A91" s="307" t="str">
        <f t="shared" si="2"/>
        <v>Oct</v>
      </c>
      <c r="B91" s="308">
        <f t="shared" si="3"/>
        <v>44746</v>
      </c>
      <c r="C91" s="309">
        <v>14</v>
      </c>
      <c r="D91" s="309">
        <v>4</v>
      </c>
      <c r="E91" s="311"/>
      <c r="F91" s="312">
        <v>1</v>
      </c>
      <c r="G91" s="313"/>
      <c r="H91" s="313"/>
      <c r="I91" s="313"/>
      <c r="J91" s="313"/>
      <c r="K91" s="313"/>
      <c r="L91" s="313"/>
      <c r="M91" s="313"/>
      <c r="N91" s="313"/>
      <c r="O91" s="313"/>
      <c r="P91" s="313"/>
      <c r="Q91" s="313"/>
      <c r="R91" s="313"/>
      <c r="S91" s="313"/>
    </row>
    <row r="92" spans="1:19" ht="12" x14ac:dyDescent="0.15">
      <c r="A92" s="307" t="str">
        <f t="shared" si="2"/>
        <v>Oct</v>
      </c>
      <c r="B92" s="308">
        <f t="shared" si="3"/>
        <v>44747</v>
      </c>
      <c r="C92" s="309">
        <v>14</v>
      </c>
      <c r="D92" s="309">
        <v>4</v>
      </c>
      <c r="E92" s="311"/>
      <c r="F92" s="312">
        <v>1</v>
      </c>
      <c r="G92" s="314"/>
      <c r="H92" s="313"/>
      <c r="I92" s="313"/>
      <c r="J92" s="313"/>
      <c r="K92" s="313"/>
      <c r="L92" s="313"/>
      <c r="M92" s="313"/>
      <c r="N92" s="313"/>
      <c r="O92" s="313"/>
      <c r="P92" s="313"/>
      <c r="Q92" s="313"/>
      <c r="R92" s="313"/>
      <c r="S92" s="313"/>
    </row>
    <row r="93" spans="1:19" x14ac:dyDescent="0.15">
      <c r="A93" s="307" t="str">
        <f t="shared" si="2"/>
        <v>Oct</v>
      </c>
      <c r="B93" s="308">
        <f t="shared" si="3"/>
        <v>44748</v>
      </c>
      <c r="C93" s="316">
        <v>14</v>
      </c>
      <c r="D93" s="316">
        <v>4</v>
      </c>
      <c r="E93" s="315"/>
      <c r="F93" s="309">
        <v>1</v>
      </c>
      <c r="G93" s="313"/>
      <c r="H93" s="313"/>
      <c r="I93" s="313"/>
      <c r="J93" s="313"/>
      <c r="K93" s="313"/>
      <c r="L93" s="313"/>
      <c r="M93" s="313"/>
      <c r="N93" s="313"/>
      <c r="O93" s="313"/>
      <c r="P93" s="313"/>
      <c r="Q93" s="313"/>
      <c r="R93" s="313"/>
      <c r="S93" s="313"/>
    </row>
    <row r="94" spans="1:19" ht="12" x14ac:dyDescent="0.15">
      <c r="A94" s="307" t="str">
        <f t="shared" si="2"/>
        <v>Oct</v>
      </c>
      <c r="B94" s="308">
        <f t="shared" si="3"/>
        <v>44749</v>
      </c>
      <c r="C94" s="309">
        <v>14</v>
      </c>
      <c r="D94" s="309">
        <v>4</v>
      </c>
      <c r="E94" s="311"/>
      <c r="F94" s="312">
        <v>1</v>
      </c>
      <c r="G94" s="313"/>
      <c r="H94" s="313"/>
      <c r="I94" s="313"/>
      <c r="J94" s="313"/>
      <c r="K94" s="313"/>
      <c r="L94" s="313"/>
      <c r="M94" s="313"/>
      <c r="N94" s="313"/>
      <c r="O94" s="313"/>
      <c r="P94" s="313"/>
      <c r="Q94" s="313"/>
      <c r="R94" s="313"/>
      <c r="S94" s="313"/>
    </row>
    <row r="95" spans="1:19" ht="12" x14ac:dyDescent="0.15">
      <c r="A95" s="307" t="str">
        <f t="shared" si="2"/>
        <v>Oct</v>
      </c>
      <c r="B95" s="308">
        <f t="shared" si="3"/>
        <v>44750</v>
      </c>
      <c r="C95" s="309">
        <v>14</v>
      </c>
      <c r="D95" s="309">
        <v>4</v>
      </c>
      <c r="E95" s="311"/>
      <c r="F95" s="312">
        <v>1</v>
      </c>
      <c r="G95" s="313"/>
      <c r="H95" s="313"/>
      <c r="I95" s="313"/>
      <c r="J95" s="313"/>
      <c r="K95" s="313"/>
      <c r="L95" s="313"/>
      <c r="M95" s="313"/>
      <c r="N95" s="313"/>
      <c r="O95" s="313"/>
      <c r="P95" s="313"/>
      <c r="Q95" s="313"/>
      <c r="R95" s="313"/>
      <c r="S95" s="313"/>
    </row>
    <row r="96" spans="1:19" ht="12" x14ac:dyDescent="0.15">
      <c r="A96" s="307" t="str">
        <f t="shared" si="2"/>
        <v>Oct</v>
      </c>
      <c r="B96" s="308">
        <f t="shared" si="3"/>
        <v>44751</v>
      </c>
      <c r="C96" s="309">
        <v>14</v>
      </c>
      <c r="D96" s="309">
        <v>4</v>
      </c>
      <c r="E96" s="311"/>
      <c r="F96" s="312">
        <v>1</v>
      </c>
      <c r="G96" s="313"/>
      <c r="H96" s="313"/>
      <c r="I96" s="313"/>
      <c r="J96" s="313"/>
      <c r="K96" s="313"/>
      <c r="L96" s="313"/>
      <c r="M96" s="313"/>
      <c r="N96" s="313"/>
      <c r="O96" s="313"/>
      <c r="P96" s="313"/>
      <c r="Q96" s="313"/>
      <c r="R96" s="313"/>
      <c r="S96" s="313"/>
    </row>
    <row r="97" spans="1:19" ht="12" x14ac:dyDescent="0.15">
      <c r="A97" s="307" t="str">
        <f t="shared" si="2"/>
        <v>Oct</v>
      </c>
      <c r="B97" s="308">
        <f t="shared" si="3"/>
        <v>44752</v>
      </c>
      <c r="C97" s="309">
        <v>14</v>
      </c>
      <c r="D97" s="309">
        <v>4</v>
      </c>
      <c r="E97" s="311"/>
      <c r="F97" s="312">
        <v>1</v>
      </c>
      <c r="G97" s="313"/>
      <c r="H97" s="313"/>
      <c r="I97" s="313"/>
      <c r="J97" s="313"/>
      <c r="K97" s="313"/>
      <c r="L97" s="313"/>
      <c r="M97" s="313"/>
      <c r="N97" s="313"/>
      <c r="O97" s="313"/>
      <c r="P97" s="313"/>
      <c r="Q97" s="313"/>
      <c r="R97" s="313"/>
      <c r="S97" s="313"/>
    </row>
    <row r="98" spans="1:19" ht="12" x14ac:dyDescent="0.15">
      <c r="A98" s="307" t="str">
        <f t="shared" si="2"/>
        <v>Oct</v>
      </c>
      <c r="B98" s="308">
        <f t="shared" si="3"/>
        <v>44753</v>
      </c>
      <c r="C98" s="309">
        <v>15</v>
      </c>
      <c r="D98" s="309">
        <v>4</v>
      </c>
      <c r="E98" s="311"/>
      <c r="F98" s="312">
        <v>2</v>
      </c>
      <c r="G98" s="313"/>
      <c r="H98" s="313"/>
      <c r="I98" s="313"/>
      <c r="J98" s="313"/>
      <c r="K98" s="313"/>
      <c r="L98" s="313"/>
      <c r="M98" s="313"/>
      <c r="N98" s="313"/>
      <c r="O98" s="313"/>
      <c r="P98" s="313"/>
      <c r="Q98" s="313"/>
      <c r="R98" s="313"/>
      <c r="S98" s="313"/>
    </row>
    <row r="99" spans="1:19" ht="12" x14ac:dyDescent="0.15">
      <c r="A99" s="307" t="str">
        <f t="shared" si="2"/>
        <v>Oct</v>
      </c>
      <c r="B99" s="308">
        <f t="shared" si="3"/>
        <v>44754</v>
      </c>
      <c r="C99" s="309">
        <v>15</v>
      </c>
      <c r="D99" s="309">
        <v>4</v>
      </c>
      <c r="E99" s="311"/>
      <c r="F99" s="312">
        <v>2</v>
      </c>
      <c r="G99" s="313"/>
      <c r="H99" s="313"/>
      <c r="I99" s="313"/>
      <c r="J99" s="313"/>
      <c r="K99" s="313"/>
      <c r="L99" s="313"/>
      <c r="M99" s="313"/>
      <c r="N99" s="313"/>
      <c r="O99" s="313"/>
      <c r="P99" s="313"/>
      <c r="Q99" s="313"/>
      <c r="R99" s="313"/>
      <c r="S99" s="313"/>
    </row>
    <row r="100" spans="1:19" ht="12" x14ac:dyDescent="0.15">
      <c r="A100" s="307" t="str">
        <f t="shared" si="2"/>
        <v>Oct</v>
      </c>
      <c r="B100" s="308">
        <f t="shared" si="3"/>
        <v>44755</v>
      </c>
      <c r="C100" s="309">
        <v>15</v>
      </c>
      <c r="D100" s="309">
        <v>4</v>
      </c>
      <c r="E100" s="311"/>
      <c r="F100" s="312">
        <v>2</v>
      </c>
      <c r="G100" s="313"/>
      <c r="H100" s="313"/>
      <c r="I100" s="313"/>
      <c r="J100" s="313"/>
      <c r="K100" s="313"/>
      <c r="L100" s="313"/>
      <c r="M100" s="313"/>
      <c r="N100" s="313"/>
      <c r="O100" s="313"/>
      <c r="P100" s="313"/>
      <c r="Q100" s="313"/>
      <c r="R100" s="313"/>
      <c r="S100" s="313"/>
    </row>
    <row r="101" spans="1:19" ht="12" x14ac:dyDescent="0.15">
      <c r="A101" s="307" t="str">
        <f t="shared" si="2"/>
        <v>Oct</v>
      </c>
      <c r="B101" s="308">
        <f t="shared" si="3"/>
        <v>44756</v>
      </c>
      <c r="C101" s="309">
        <v>15</v>
      </c>
      <c r="D101" s="309">
        <v>4</v>
      </c>
      <c r="E101" s="311"/>
      <c r="F101" s="312">
        <v>2</v>
      </c>
      <c r="G101" s="313"/>
      <c r="H101" s="313"/>
      <c r="I101" s="313"/>
      <c r="J101" s="313"/>
      <c r="K101" s="313"/>
      <c r="L101" s="313"/>
      <c r="M101" s="313"/>
      <c r="N101" s="313"/>
      <c r="O101" s="313"/>
      <c r="P101" s="313"/>
      <c r="Q101" s="313"/>
      <c r="R101" s="313"/>
      <c r="S101" s="313"/>
    </row>
    <row r="102" spans="1:19" ht="12" x14ac:dyDescent="0.15">
      <c r="A102" s="307" t="str">
        <f t="shared" si="2"/>
        <v>Oct</v>
      </c>
      <c r="B102" s="308">
        <f t="shared" si="3"/>
        <v>44757</v>
      </c>
      <c r="C102" s="309">
        <v>15</v>
      </c>
      <c r="D102" s="309">
        <v>4</v>
      </c>
      <c r="E102" s="311"/>
      <c r="F102" s="312">
        <v>2</v>
      </c>
      <c r="G102" s="313"/>
      <c r="H102" s="313"/>
      <c r="I102" s="313"/>
      <c r="J102" s="313"/>
      <c r="K102" s="313"/>
      <c r="L102" s="313"/>
      <c r="M102" s="313"/>
      <c r="N102" s="313"/>
      <c r="O102" s="313"/>
      <c r="P102" s="313"/>
      <c r="Q102" s="313"/>
      <c r="R102" s="313"/>
      <c r="S102" s="313"/>
    </row>
    <row r="103" spans="1:19" ht="12" x14ac:dyDescent="0.15">
      <c r="A103" s="307" t="str">
        <f t="shared" si="2"/>
        <v>Oct</v>
      </c>
      <c r="B103" s="308">
        <f t="shared" si="3"/>
        <v>44758</v>
      </c>
      <c r="C103" s="309">
        <v>15</v>
      </c>
      <c r="D103" s="309">
        <v>4</v>
      </c>
      <c r="E103" s="311"/>
      <c r="F103" s="312">
        <v>2</v>
      </c>
      <c r="G103" s="313"/>
      <c r="H103" s="313"/>
      <c r="I103" s="313"/>
      <c r="J103" s="313"/>
      <c r="K103" s="313"/>
      <c r="L103" s="313"/>
      <c r="M103" s="313"/>
      <c r="N103" s="313"/>
      <c r="O103" s="313"/>
      <c r="P103" s="313"/>
      <c r="Q103" s="313"/>
      <c r="R103" s="313"/>
      <c r="S103" s="313"/>
    </row>
    <row r="104" spans="1:19" ht="12" x14ac:dyDescent="0.15">
      <c r="A104" s="307" t="str">
        <f t="shared" si="2"/>
        <v>Oct</v>
      </c>
      <c r="B104" s="308">
        <f t="shared" si="3"/>
        <v>44759</v>
      </c>
      <c r="C104" s="309">
        <v>15</v>
      </c>
      <c r="D104" s="309">
        <v>4</v>
      </c>
      <c r="E104" s="311"/>
      <c r="F104" s="312">
        <v>2</v>
      </c>
      <c r="G104" s="313"/>
      <c r="H104" s="313"/>
      <c r="I104" s="313"/>
      <c r="J104" s="313"/>
      <c r="K104" s="313"/>
      <c r="L104" s="313"/>
      <c r="M104" s="313"/>
      <c r="N104" s="313"/>
      <c r="O104" s="313"/>
      <c r="P104" s="313"/>
      <c r="Q104" s="313"/>
      <c r="R104" s="313"/>
      <c r="S104" s="313"/>
    </row>
    <row r="105" spans="1:19" ht="12" x14ac:dyDescent="0.15">
      <c r="A105" s="307" t="str">
        <f t="shared" si="2"/>
        <v>Oct</v>
      </c>
      <c r="B105" s="308">
        <f t="shared" si="3"/>
        <v>44760</v>
      </c>
      <c r="C105" s="309">
        <v>16</v>
      </c>
      <c r="D105" s="309">
        <v>4</v>
      </c>
      <c r="E105" s="311"/>
      <c r="F105" s="312">
        <v>3</v>
      </c>
      <c r="G105" s="313"/>
      <c r="H105" s="313"/>
      <c r="I105" s="313"/>
      <c r="J105" s="313"/>
      <c r="K105" s="313"/>
      <c r="L105" s="313"/>
      <c r="M105" s="313"/>
      <c r="N105" s="313"/>
      <c r="O105" s="313"/>
      <c r="P105" s="313"/>
      <c r="Q105" s="313"/>
      <c r="R105" s="313"/>
      <c r="S105" s="313"/>
    </row>
    <row r="106" spans="1:19" ht="12" x14ac:dyDescent="0.15">
      <c r="A106" s="307" t="str">
        <f t="shared" si="2"/>
        <v>Oct</v>
      </c>
      <c r="B106" s="308">
        <f t="shared" si="3"/>
        <v>44761</v>
      </c>
      <c r="C106" s="309">
        <v>16</v>
      </c>
      <c r="D106" s="309">
        <v>4</v>
      </c>
      <c r="E106" s="311"/>
      <c r="F106" s="312">
        <v>3</v>
      </c>
      <c r="G106" s="313"/>
      <c r="H106" s="313"/>
      <c r="I106" s="313"/>
      <c r="J106" s="313"/>
      <c r="K106" s="313"/>
      <c r="L106" s="313"/>
      <c r="M106" s="313"/>
      <c r="N106" s="313"/>
      <c r="O106" s="313"/>
      <c r="P106" s="313"/>
      <c r="Q106" s="313"/>
      <c r="R106" s="313"/>
      <c r="S106" s="313"/>
    </row>
    <row r="107" spans="1:19" ht="12" x14ac:dyDescent="0.15">
      <c r="A107" s="307" t="str">
        <f t="shared" si="2"/>
        <v>Oct</v>
      </c>
      <c r="B107" s="308">
        <f t="shared" si="3"/>
        <v>44762</v>
      </c>
      <c r="C107" s="309">
        <v>16</v>
      </c>
      <c r="D107" s="309">
        <v>4</v>
      </c>
      <c r="E107" s="311"/>
      <c r="F107" s="312">
        <v>3</v>
      </c>
      <c r="G107" s="313"/>
      <c r="H107" s="313"/>
      <c r="I107" s="313"/>
      <c r="J107" s="313"/>
      <c r="K107" s="313"/>
      <c r="L107" s="313"/>
      <c r="M107" s="313"/>
      <c r="N107" s="313"/>
      <c r="O107" s="313"/>
      <c r="P107" s="313"/>
      <c r="Q107" s="313"/>
      <c r="R107" s="313"/>
      <c r="S107" s="313"/>
    </row>
    <row r="108" spans="1:19" ht="12" x14ac:dyDescent="0.15">
      <c r="A108" s="307" t="str">
        <f t="shared" si="2"/>
        <v>Oct</v>
      </c>
      <c r="B108" s="308">
        <f t="shared" si="3"/>
        <v>44763</v>
      </c>
      <c r="C108" s="309">
        <v>16</v>
      </c>
      <c r="D108" s="309">
        <v>4</v>
      </c>
      <c r="E108" s="311"/>
      <c r="F108" s="312">
        <v>3</v>
      </c>
      <c r="G108" s="313"/>
      <c r="H108" s="313"/>
      <c r="I108" s="313"/>
      <c r="J108" s="313"/>
      <c r="K108" s="313"/>
      <c r="L108" s="313"/>
      <c r="M108" s="313"/>
      <c r="N108" s="313"/>
      <c r="O108" s="313"/>
      <c r="P108" s="313"/>
      <c r="Q108" s="313"/>
      <c r="R108" s="313"/>
      <c r="S108" s="313"/>
    </row>
    <row r="109" spans="1:19" ht="12" x14ac:dyDescent="0.15">
      <c r="A109" s="307" t="str">
        <f t="shared" si="2"/>
        <v>Oct</v>
      </c>
      <c r="B109" s="308">
        <f t="shared" si="3"/>
        <v>44764</v>
      </c>
      <c r="C109" s="309">
        <v>16</v>
      </c>
      <c r="D109" s="309">
        <v>4</v>
      </c>
      <c r="E109" s="311"/>
      <c r="F109" s="312">
        <v>3</v>
      </c>
      <c r="G109" s="313"/>
      <c r="H109" s="313"/>
      <c r="I109" s="313"/>
      <c r="J109" s="313"/>
      <c r="K109" s="313"/>
      <c r="L109" s="313"/>
      <c r="M109" s="313"/>
      <c r="N109" s="313"/>
      <c r="O109" s="313"/>
      <c r="P109" s="313"/>
      <c r="Q109" s="313"/>
      <c r="R109" s="313"/>
      <c r="S109" s="313"/>
    </row>
    <row r="110" spans="1:19" ht="12" x14ac:dyDescent="0.15">
      <c r="A110" s="307" t="str">
        <f t="shared" si="2"/>
        <v>Oct</v>
      </c>
      <c r="B110" s="308">
        <f t="shared" si="3"/>
        <v>44765</v>
      </c>
      <c r="C110" s="309">
        <v>16</v>
      </c>
      <c r="D110" s="309">
        <v>4</v>
      </c>
      <c r="E110" s="311"/>
      <c r="F110" s="312">
        <v>3</v>
      </c>
      <c r="G110" s="313"/>
      <c r="H110" s="313"/>
      <c r="I110" s="313"/>
      <c r="J110" s="313"/>
      <c r="K110" s="313"/>
      <c r="L110" s="313"/>
      <c r="M110" s="313"/>
      <c r="N110" s="313"/>
      <c r="O110" s="313"/>
      <c r="P110" s="313"/>
      <c r="Q110" s="313"/>
      <c r="R110" s="313"/>
      <c r="S110" s="313"/>
    </row>
    <row r="111" spans="1:19" ht="12" x14ac:dyDescent="0.15">
      <c r="A111" s="307" t="str">
        <f t="shared" si="2"/>
        <v>Oct</v>
      </c>
      <c r="B111" s="308">
        <f t="shared" si="3"/>
        <v>44766</v>
      </c>
      <c r="C111" s="309">
        <v>16</v>
      </c>
      <c r="D111" s="309">
        <v>4</v>
      </c>
      <c r="E111" s="311"/>
      <c r="F111" s="312">
        <v>3</v>
      </c>
      <c r="G111" s="313"/>
      <c r="H111" s="313"/>
      <c r="I111" s="313"/>
      <c r="J111" s="313"/>
      <c r="K111" s="313"/>
      <c r="L111" s="313"/>
      <c r="M111" s="313"/>
      <c r="N111" s="313"/>
      <c r="O111" s="313"/>
      <c r="P111" s="313"/>
      <c r="Q111" s="313"/>
      <c r="R111" s="313"/>
      <c r="S111" s="313"/>
    </row>
    <row r="112" spans="1:19" ht="12" x14ac:dyDescent="0.15">
      <c r="A112" s="307" t="str">
        <f t="shared" si="2"/>
        <v>Oct</v>
      </c>
      <c r="B112" s="308">
        <f t="shared" si="3"/>
        <v>44767</v>
      </c>
      <c r="C112" s="309">
        <v>17</v>
      </c>
      <c r="D112" s="309">
        <v>4</v>
      </c>
      <c r="E112" s="311"/>
      <c r="F112" s="312">
        <v>4</v>
      </c>
      <c r="G112" s="313"/>
      <c r="H112" s="313"/>
      <c r="I112" s="313"/>
      <c r="J112" s="313"/>
      <c r="K112" s="313"/>
      <c r="L112" s="313"/>
      <c r="M112" s="313"/>
      <c r="N112" s="313"/>
      <c r="O112" s="313"/>
      <c r="P112" s="313"/>
      <c r="Q112" s="313"/>
      <c r="R112" s="313"/>
      <c r="S112" s="313"/>
    </row>
    <row r="113" spans="1:19" ht="12" x14ac:dyDescent="0.15">
      <c r="A113" s="307" t="str">
        <f t="shared" si="2"/>
        <v>Oct</v>
      </c>
      <c r="B113" s="308">
        <f t="shared" si="3"/>
        <v>44768</v>
      </c>
      <c r="C113" s="309">
        <v>17</v>
      </c>
      <c r="D113" s="309">
        <v>4</v>
      </c>
      <c r="E113" s="311"/>
      <c r="F113" s="312">
        <v>4</v>
      </c>
      <c r="G113" s="313"/>
      <c r="H113" s="313"/>
      <c r="I113" s="313"/>
      <c r="J113" s="313"/>
      <c r="K113" s="313"/>
      <c r="L113" s="313"/>
      <c r="M113" s="313"/>
      <c r="N113" s="313"/>
      <c r="O113" s="313"/>
      <c r="P113" s="313"/>
      <c r="Q113" s="313"/>
      <c r="R113" s="313"/>
      <c r="S113" s="313"/>
    </row>
    <row r="114" spans="1:19" ht="12" x14ac:dyDescent="0.15">
      <c r="A114" s="307" t="str">
        <f t="shared" si="2"/>
        <v>Oct</v>
      </c>
      <c r="B114" s="308">
        <f t="shared" si="3"/>
        <v>44769</v>
      </c>
      <c r="C114" s="309">
        <v>17</v>
      </c>
      <c r="D114" s="309">
        <v>4</v>
      </c>
      <c r="E114" s="311"/>
      <c r="F114" s="312">
        <v>4</v>
      </c>
      <c r="G114" s="313"/>
      <c r="H114" s="313"/>
      <c r="I114" s="313"/>
      <c r="J114" s="313"/>
      <c r="K114" s="313"/>
      <c r="L114" s="313"/>
      <c r="M114" s="313"/>
      <c r="N114" s="313"/>
      <c r="O114" s="313"/>
      <c r="P114" s="313"/>
      <c r="Q114" s="313"/>
      <c r="R114" s="313"/>
      <c r="S114" s="313"/>
    </row>
    <row r="115" spans="1:19" ht="12" x14ac:dyDescent="0.15">
      <c r="A115" s="307" t="str">
        <f t="shared" si="2"/>
        <v>Oct</v>
      </c>
      <c r="B115" s="308">
        <f t="shared" si="3"/>
        <v>44770</v>
      </c>
      <c r="C115" s="309">
        <v>17</v>
      </c>
      <c r="D115" s="309">
        <v>4</v>
      </c>
      <c r="E115" s="311"/>
      <c r="F115" s="312">
        <v>4</v>
      </c>
      <c r="G115" s="313"/>
      <c r="H115" s="313"/>
      <c r="I115" s="313"/>
      <c r="J115" s="313"/>
      <c r="K115" s="313"/>
      <c r="L115" s="313"/>
      <c r="M115" s="313"/>
      <c r="N115" s="313"/>
      <c r="O115" s="313"/>
      <c r="P115" s="313"/>
      <c r="Q115" s="313"/>
      <c r="R115" s="313"/>
      <c r="S115" s="313"/>
    </row>
    <row r="116" spans="1:19" ht="12" x14ac:dyDescent="0.15">
      <c r="A116" s="307" t="str">
        <f t="shared" si="2"/>
        <v>Oct</v>
      </c>
      <c r="B116" s="308">
        <f t="shared" si="3"/>
        <v>44771</v>
      </c>
      <c r="C116" s="309">
        <v>17</v>
      </c>
      <c r="D116" s="309">
        <v>4</v>
      </c>
      <c r="E116" s="311"/>
      <c r="F116" s="312">
        <v>4</v>
      </c>
      <c r="G116" s="313"/>
      <c r="H116" s="313"/>
      <c r="I116" s="313"/>
      <c r="J116" s="313"/>
      <c r="K116" s="313"/>
      <c r="L116" s="313"/>
      <c r="M116" s="313"/>
      <c r="N116" s="313"/>
      <c r="O116" s="313"/>
      <c r="P116" s="313"/>
      <c r="Q116" s="313"/>
      <c r="R116" s="313"/>
      <c r="S116" s="313"/>
    </row>
    <row r="117" spans="1:19" ht="12" x14ac:dyDescent="0.15">
      <c r="A117" s="307" t="str">
        <f t="shared" si="2"/>
        <v>Oct</v>
      </c>
      <c r="B117" s="308">
        <f t="shared" si="3"/>
        <v>44772</v>
      </c>
      <c r="C117" s="309">
        <v>17</v>
      </c>
      <c r="D117" s="309">
        <v>4</v>
      </c>
      <c r="E117" s="311"/>
      <c r="F117" s="312">
        <v>4</v>
      </c>
      <c r="G117" s="313"/>
      <c r="H117" s="313"/>
      <c r="I117" s="313"/>
      <c r="J117" s="313"/>
      <c r="K117" s="313"/>
      <c r="L117" s="313"/>
      <c r="M117" s="313"/>
      <c r="N117" s="313"/>
      <c r="O117" s="313"/>
      <c r="P117" s="313"/>
      <c r="Q117" s="313"/>
      <c r="R117" s="313"/>
      <c r="S117" s="313"/>
    </row>
    <row r="118" spans="1:19" ht="12" x14ac:dyDescent="0.15">
      <c r="A118" s="307" t="str">
        <f t="shared" si="2"/>
        <v>Oct</v>
      </c>
      <c r="B118" s="308">
        <f t="shared" si="3"/>
        <v>44773</v>
      </c>
      <c r="C118" s="309">
        <v>17</v>
      </c>
      <c r="D118" s="309">
        <v>4</v>
      </c>
      <c r="E118" s="311"/>
      <c r="F118" s="312">
        <v>4</v>
      </c>
      <c r="G118" s="313"/>
      <c r="H118" s="313"/>
      <c r="I118" s="313"/>
      <c r="J118" s="313"/>
      <c r="K118" s="313"/>
      <c r="L118" s="313"/>
      <c r="M118" s="313"/>
      <c r="N118" s="313"/>
      <c r="O118" s="313"/>
      <c r="P118" s="313"/>
      <c r="Q118" s="313"/>
      <c r="R118" s="313"/>
      <c r="S118" s="313"/>
    </row>
    <row r="119" spans="1:19" ht="12" x14ac:dyDescent="0.15">
      <c r="A119" s="307" t="str">
        <f t="shared" si="2"/>
        <v>Nov</v>
      </c>
      <c r="B119" s="308">
        <f t="shared" si="3"/>
        <v>44774</v>
      </c>
      <c r="C119" s="309">
        <v>18</v>
      </c>
      <c r="D119" s="309">
        <v>5</v>
      </c>
      <c r="E119" s="311"/>
      <c r="F119" s="312">
        <v>1</v>
      </c>
      <c r="G119" s="313"/>
      <c r="H119" s="313"/>
      <c r="I119" s="313"/>
      <c r="J119" s="313"/>
      <c r="K119" s="313"/>
      <c r="L119" s="313"/>
      <c r="M119" s="313"/>
      <c r="N119" s="313"/>
      <c r="O119" s="313"/>
      <c r="P119" s="313"/>
      <c r="Q119" s="313"/>
      <c r="R119" s="313"/>
      <c r="S119" s="313"/>
    </row>
    <row r="120" spans="1:19" ht="12" x14ac:dyDescent="0.15">
      <c r="A120" s="307" t="str">
        <f t="shared" si="2"/>
        <v>Nov</v>
      </c>
      <c r="B120" s="308">
        <f t="shared" si="3"/>
        <v>44775</v>
      </c>
      <c r="C120" s="309">
        <v>18</v>
      </c>
      <c r="D120" s="309">
        <v>5</v>
      </c>
      <c r="E120" s="311"/>
      <c r="F120" s="312">
        <v>1</v>
      </c>
      <c r="G120" s="313"/>
      <c r="H120" s="313"/>
      <c r="I120" s="313"/>
      <c r="J120" s="313"/>
      <c r="K120" s="313"/>
      <c r="L120" s="313"/>
      <c r="M120" s="313"/>
      <c r="N120" s="313"/>
      <c r="O120" s="313"/>
      <c r="P120" s="313"/>
      <c r="Q120" s="313"/>
      <c r="R120" s="313"/>
      <c r="S120" s="313"/>
    </row>
    <row r="121" spans="1:19" x14ac:dyDescent="0.15">
      <c r="A121" s="307" t="str">
        <f t="shared" si="2"/>
        <v>Nov</v>
      </c>
      <c r="B121" s="308">
        <f t="shared" si="3"/>
        <v>44776</v>
      </c>
      <c r="C121" s="309">
        <v>18</v>
      </c>
      <c r="D121" s="309">
        <v>5</v>
      </c>
      <c r="E121" s="311"/>
      <c r="F121" s="309">
        <v>1</v>
      </c>
      <c r="G121" s="313"/>
      <c r="H121" s="313"/>
      <c r="I121" s="313"/>
      <c r="J121" s="313"/>
      <c r="K121" s="313"/>
      <c r="L121" s="313"/>
      <c r="M121" s="313"/>
      <c r="N121" s="313"/>
      <c r="O121" s="313"/>
      <c r="P121" s="313"/>
      <c r="Q121" s="313"/>
      <c r="R121" s="313"/>
      <c r="S121" s="313"/>
    </row>
    <row r="122" spans="1:19" ht="12" x14ac:dyDescent="0.15">
      <c r="A122" s="307" t="str">
        <f t="shared" si="2"/>
        <v>Nov</v>
      </c>
      <c r="B122" s="308">
        <f t="shared" si="3"/>
        <v>44777</v>
      </c>
      <c r="C122" s="309">
        <v>18</v>
      </c>
      <c r="D122" s="309">
        <v>5</v>
      </c>
      <c r="E122" s="311"/>
      <c r="F122" s="312">
        <v>1</v>
      </c>
      <c r="G122" s="313"/>
      <c r="H122" s="313"/>
      <c r="I122" s="313"/>
      <c r="J122" s="313"/>
      <c r="K122" s="313"/>
      <c r="L122" s="313"/>
      <c r="M122" s="313"/>
      <c r="N122" s="313"/>
      <c r="O122" s="313"/>
      <c r="P122" s="313"/>
      <c r="Q122" s="313"/>
      <c r="R122" s="313"/>
      <c r="S122" s="313"/>
    </row>
    <row r="123" spans="1:19" ht="12" x14ac:dyDescent="0.15">
      <c r="A123" s="307" t="str">
        <f t="shared" si="2"/>
        <v>Nov</v>
      </c>
      <c r="B123" s="308">
        <f t="shared" si="3"/>
        <v>44778</v>
      </c>
      <c r="C123" s="309">
        <v>18</v>
      </c>
      <c r="D123" s="309">
        <v>5</v>
      </c>
      <c r="E123" s="311"/>
      <c r="F123" s="312">
        <v>1</v>
      </c>
      <c r="G123" s="313"/>
      <c r="H123" s="313"/>
      <c r="I123" s="313"/>
      <c r="J123" s="313"/>
      <c r="K123" s="313"/>
      <c r="L123" s="313"/>
      <c r="M123" s="313"/>
      <c r="N123" s="313"/>
      <c r="O123" s="313"/>
      <c r="P123" s="313"/>
      <c r="Q123" s="313"/>
      <c r="R123" s="313"/>
      <c r="S123" s="313"/>
    </row>
    <row r="124" spans="1:19" ht="12" x14ac:dyDescent="0.15">
      <c r="A124" s="307" t="str">
        <f t="shared" si="2"/>
        <v>Nov</v>
      </c>
      <c r="B124" s="308">
        <f t="shared" si="3"/>
        <v>44779</v>
      </c>
      <c r="C124" s="316">
        <v>18</v>
      </c>
      <c r="D124" s="316">
        <v>5</v>
      </c>
      <c r="E124" s="315"/>
      <c r="F124" s="312">
        <v>1</v>
      </c>
      <c r="G124" s="313"/>
      <c r="H124" s="313"/>
      <c r="I124" s="313"/>
      <c r="J124" s="313"/>
      <c r="K124" s="313"/>
      <c r="L124" s="313"/>
      <c r="M124" s="313"/>
      <c r="N124" s="313"/>
      <c r="O124" s="313"/>
      <c r="P124" s="313"/>
      <c r="Q124" s="313"/>
      <c r="R124" s="313"/>
      <c r="S124" s="313"/>
    </row>
    <row r="125" spans="1:19" ht="12" x14ac:dyDescent="0.15">
      <c r="A125" s="307" t="str">
        <f t="shared" si="2"/>
        <v>Nov</v>
      </c>
      <c r="B125" s="308">
        <f t="shared" si="3"/>
        <v>44780</v>
      </c>
      <c r="C125" s="309">
        <v>18</v>
      </c>
      <c r="D125" s="309">
        <v>5</v>
      </c>
      <c r="E125" s="311"/>
      <c r="F125" s="312">
        <v>1</v>
      </c>
      <c r="G125" s="313"/>
      <c r="H125" s="313"/>
      <c r="I125" s="313"/>
      <c r="J125" s="313"/>
      <c r="K125" s="313"/>
      <c r="L125" s="313"/>
      <c r="M125" s="313"/>
      <c r="N125" s="313"/>
      <c r="O125" s="313"/>
      <c r="P125" s="313"/>
      <c r="Q125" s="313"/>
      <c r="R125" s="313"/>
      <c r="S125" s="313"/>
    </row>
    <row r="126" spans="1:19" ht="12" x14ac:dyDescent="0.15">
      <c r="A126" s="307" t="str">
        <f t="shared" si="2"/>
        <v>Nov</v>
      </c>
      <c r="B126" s="308">
        <f t="shared" si="3"/>
        <v>44781</v>
      </c>
      <c r="C126" s="309">
        <v>19</v>
      </c>
      <c r="D126" s="309">
        <v>5</v>
      </c>
      <c r="E126" s="311"/>
      <c r="F126" s="312">
        <v>2</v>
      </c>
      <c r="G126" s="313"/>
      <c r="H126" s="313"/>
      <c r="I126" s="313"/>
      <c r="J126" s="313"/>
      <c r="K126" s="313"/>
      <c r="L126" s="313"/>
      <c r="M126" s="313"/>
      <c r="N126" s="313"/>
      <c r="O126" s="313"/>
      <c r="P126" s="313"/>
      <c r="Q126" s="313"/>
      <c r="R126" s="313"/>
      <c r="S126" s="313"/>
    </row>
    <row r="127" spans="1:19" ht="12" x14ac:dyDescent="0.15">
      <c r="A127" s="307" t="str">
        <f t="shared" si="2"/>
        <v>Nov</v>
      </c>
      <c r="B127" s="308">
        <f t="shared" si="3"/>
        <v>44782</v>
      </c>
      <c r="C127" s="309">
        <v>19</v>
      </c>
      <c r="D127" s="309">
        <v>5</v>
      </c>
      <c r="E127" s="311"/>
      <c r="F127" s="312">
        <v>2</v>
      </c>
      <c r="G127" s="313"/>
      <c r="H127" s="313"/>
      <c r="I127" s="313"/>
      <c r="J127" s="313"/>
      <c r="K127" s="313"/>
      <c r="L127" s="313"/>
      <c r="M127" s="313"/>
      <c r="N127" s="313"/>
      <c r="O127" s="313"/>
      <c r="P127" s="313"/>
      <c r="Q127" s="313"/>
      <c r="R127" s="313"/>
      <c r="S127" s="313"/>
    </row>
    <row r="128" spans="1:19" ht="12" x14ac:dyDescent="0.15">
      <c r="A128" s="307" t="str">
        <f t="shared" si="2"/>
        <v>Nov</v>
      </c>
      <c r="B128" s="308">
        <f t="shared" si="3"/>
        <v>44783</v>
      </c>
      <c r="C128" s="309">
        <v>19</v>
      </c>
      <c r="D128" s="309">
        <v>5</v>
      </c>
      <c r="E128" s="311"/>
      <c r="F128" s="312">
        <v>2</v>
      </c>
      <c r="G128" s="313"/>
      <c r="H128" s="313"/>
      <c r="I128" s="313"/>
      <c r="J128" s="313"/>
      <c r="K128" s="313"/>
      <c r="L128" s="313"/>
      <c r="M128" s="313"/>
      <c r="N128" s="313"/>
      <c r="O128" s="313"/>
      <c r="P128" s="313"/>
      <c r="Q128" s="313"/>
      <c r="R128" s="313"/>
      <c r="S128" s="313"/>
    </row>
    <row r="129" spans="1:19" ht="12" x14ac:dyDescent="0.15">
      <c r="A129" s="307" t="str">
        <f t="shared" si="2"/>
        <v>Nov</v>
      </c>
      <c r="B129" s="308">
        <f t="shared" si="3"/>
        <v>44784</v>
      </c>
      <c r="C129" s="309">
        <v>19</v>
      </c>
      <c r="D129" s="309">
        <v>5</v>
      </c>
      <c r="E129" s="311"/>
      <c r="F129" s="312">
        <v>2</v>
      </c>
      <c r="G129" s="313"/>
      <c r="H129" s="313"/>
      <c r="I129" s="313"/>
      <c r="J129" s="313"/>
      <c r="K129" s="313"/>
      <c r="L129" s="313"/>
      <c r="M129" s="313"/>
      <c r="N129" s="313"/>
      <c r="O129" s="313"/>
      <c r="P129" s="313"/>
      <c r="Q129" s="313"/>
      <c r="R129" s="313"/>
      <c r="S129" s="313"/>
    </row>
    <row r="130" spans="1:19" ht="12" x14ac:dyDescent="0.15">
      <c r="A130" s="307" t="str">
        <f t="shared" si="2"/>
        <v>Nov</v>
      </c>
      <c r="B130" s="308">
        <f t="shared" si="3"/>
        <v>44785</v>
      </c>
      <c r="C130" s="309">
        <v>19</v>
      </c>
      <c r="D130" s="309">
        <v>5</v>
      </c>
      <c r="E130" s="311"/>
      <c r="F130" s="312">
        <v>2</v>
      </c>
      <c r="G130" s="313"/>
      <c r="H130" s="313"/>
      <c r="I130" s="313"/>
      <c r="J130" s="313"/>
      <c r="K130" s="313"/>
      <c r="L130" s="313"/>
      <c r="M130" s="313"/>
      <c r="N130" s="313"/>
      <c r="O130" s="313"/>
      <c r="P130" s="313"/>
      <c r="Q130" s="313"/>
      <c r="R130" s="313"/>
      <c r="S130" s="313"/>
    </row>
    <row r="131" spans="1:19" ht="12" x14ac:dyDescent="0.15">
      <c r="A131" s="307" t="str">
        <f t="shared" ref="A131:A194" si="4">TEXT(DATE(YEAR(B$2),MONTH(B$2)+(D131-1)+3,1),"Mmm")</f>
        <v>Nov</v>
      </c>
      <c r="B131" s="308">
        <f t="shared" si="3"/>
        <v>44786</v>
      </c>
      <c r="C131" s="309">
        <v>19</v>
      </c>
      <c r="D131" s="309">
        <v>5</v>
      </c>
      <c r="E131" s="311"/>
      <c r="F131" s="312">
        <v>2</v>
      </c>
      <c r="G131" s="313"/>
      <c r="H131" s="313"/>
      <c r="I131" s="313"/>
      <c r="J131" s="313"/>
      <c r="K131" s="313"/>
      <c r="L131" s="313"/>
      <c r="M131" s="313"/>
      <c r="N131" s="313"/>
      <c r="O131" s="313"/>
      <c r="P131" s="313"/>
      <c r="Q131" s="313"/>
      <c r="R131" s="313"/>
      <c r="S131" s="313"/>
    </row>
    <row r="132" spans="1:19" ht="12" x14ac:dyDescent="0.15">
      <c r="A132" s="307" t="str">
        <f t="shared" si="4"/>
        <v>Nov</v>
      </c>
      <c r="B132" s="308">
        <f t="shared" ref="B132:B195" si="5">B131+1</f>
        <v>44787</v>
      </c>
      <c r="C132" s="309">
        <v>19</v>
      </c>
      <c r="D132" s="309">
        <v>5</v>
      </c>
      <c r="E132" s="311"/>
      <c r="F132" s="312">
        <v>2</v>
      </c>
      <c r="G132" s="313"/>
      <c r="H132" s="313"/>
      <c r="I132" s="313"/>
      <c r="J132" s="313"/>
      <c r="K132" s="313"/>
      <c r="L132" s="313"/>
      <c r="M132" s="313"/>
      <c r="N132" s="313"/>
      <c r="O132" s="313"/>
      <c r="P132" s="313"/>
      <c r="Q132" s="313"/>
      <c r="R132" s="313"/>
      <c r="S132" s="313"/>
    </row>
    <row r="133" spans="1:19" ht="12" x14ac:dyDescent="0.15">
      <c r="A133" s="307" t="str">
        <f t="shared" si="4"/>
        <v>Nov</v>
      </c>
      <c r="B133" s="308">
        <f t="shared" si="5"/>
        <v>44788</v>
      </c>
      <c r="C133" s="309">
        <v>20</v>
      </c>
      <c r="D133" s="309">
        <v>5</v>
      </c>
      <c r="E133" s="311"/>
      <c r="F133" s="312">
        <v>3</v>
      </c>
      <c r="G133" s="313"/>
      <c r="H133" s="313"/>
      <c r="I133" s="313"/>
      <c r="J133" s="313"/>
      <c r="K133" s="313"/>
      <c r="L133" s="313"/>
      <c r="M133" s="313"/>
      <c r="N133" s="313"/>
      <c r="O133" s="313"/>
      <c r="P133" s="313"/>
      <c r="Q133" s="313"/>
      <c r="R133" s="313"/>
      <c r="S133" s="313"/>
    </row>
    <row r="134" spans="1:19" ht="12" x14ac:dyDescent="0.15">
      <c r="A134" s="307" t="str">
        <f t="shared" si="4"/>
        <v>Nov</v>
      </c>
      <c r="B134" s="308">
        <f t="shared" si="5"/>
        <v>44789</v>
      </c>
      <c r="C134" s="309">
        <v>20</v>
      </c>
      <c r="D134" s="309">
        <v>5</v>
      </c>
      <c r="E134" s="311"/>
      <c r="F134" s="312">
        <v>3</v>
      </c>
      <c r="G134" s="313"/>
      <c r="H134" s="313"/>
      <c r="I134" s="313"/>
      <c r="J134" s="313"/>
      <c r="K134" s="313"/>
      <c r="L134" s="313"/>
      <c r="M134" s="313"/>
      <c r="N134" s="313"/>
      <c r="O134" s="313"/>
      <c r="P134" s="313"/>
      <c r="Q134" s="313"/>
      <c r="R134" s="313"/>
      <c r="S134" s="313"/>
    </row>
    <row r="135" spans="1:19" ht="12" x14ac:dyDescent="0.15">
      <c r="A135" s="307" t="str">
        <f t="shared" si="4"/>
        <v>Nov</v>
      </c>
      <c r="B135" s="308">
        <f t="shared" si="5"/>
        <v>44790</v>
      </c>
      <c r="C135" s="309">
        <v>20</v>
      </c>
      <c r="D135" s="309">
        <v>5</v>
      </c>
      <c r="E135" s="311"/>
      <c r="F135" s="312">
        <v>3</v>
      </c>
      <c r="G135" s="313"/>
      <c r="H135" s="313"/>
      <c r="I135" s="313"/>
      <c r="J135" s="313"/>
      <c r="K135" s="313"/>
      <c r="L135" s="313"/>
      <c r="M135" s="313"/>
      <c r="N135" s="313"/>
      <c r="O135" s="313"/>
      <c r="P135" s="313"/>
      <c r="Q135" s="313"/>
      <c r="R135" s="313"/>
      <c r="S135" s="313"/>
    </row>
    <row r="136" spans="1:19" ht="12" x14ac:dyDescent="0.15">
      <c r="A136" s="307" t="str">
        <f t="shared" si="4"/>
        <v>Nov</v>
      </c>
      <c r="B136" s="308">
        <f t="shared" si="5"/>
        <v>44791</v>
      </c>
      <c r="C136" s="309">
        <v>20</v>
      </c>
      <c r="D136" s="309">
        <v>5</v>
      </c>
      <c r="E136" s="311"/>
      <c r="F136" s="312">
        <v>3</v>
      </c>
      <c r="G136" s="313"/>
      <c r="H136" s="313"/>
      <c r="I136" s="313"/>
      <c r="J136" s="313"/>
      <c r="K136" s="313"/>
      <c r="L136" s="313"/>
      <c r="M136" s="313"/>
      <c r="N136" s="313"/>
      <c r="O136" s="313"/>
      <c r="P136" s="313"/>
      <c r="Q136" s="313"/>
      <c r="R136" s="313"/>
      <c r="S136" s="313"/>
    </row>
    <row r="137" spans="1:19" ht="12" x14ac:dyDescent="0.15">
      <c r="A137" s="307" t="str">
        <f t="shared" si="4"/>
        <v>Nov</v>
      </c>
      <c r="B137" s="308">
        <f t="shared" si="5"/>
        <v>44792</v>
      </c>
      <c r="C137" s="309">
        <v>20</v>
      </c>
      <c r="D137" s="309">
        <v>5</v>
      </c>
      <c r="E137" s="311"/>
      <c r="F137" s="312">
        <v>3</v>
      </c>
      <c r="G137" s="313"/>
      <c r="H137" s="313"/>
      <c r="I137" s="313"/>
      <c r="J137" s="313"/>
      <c r="K137" s="313"/>
      <c r="L137" s="313"/>
      <c r="M137" s="313"/>
      <c r="N137" s="313"/>
      <c r="O137" s="313"/>
      <c r="P137" s="313"/>
      <c r="Q137" s="313"/>
      <c r="R137" s="313"/>
      <c r="S137" s="313"/>
    </row>
    <row r="138" spans="1:19" ht="12" x14ac:dyDescent="0.15">
      <c r="A138" s="307" t="str">
        <f t="shared" si="4"/>
        <v>Nov</v>
      </c>
      <c r="B138" s="308">
        <f t="shared" si="5"/>
        <v>44793</v>
      </c>
      <c r="C138" s="309">
        <v>20</v>
      </c>
      <c r="D138" s="309">
        <v>5</v>
      </c>
      <c r="E138" s="311"/>
      <c r="F138" s="312">
        <v>3</v>
      </c>
      <c r="G138" s="313"/>
      <c r="H138" s="313"/>
      <c r="I138" s="313"/>
      <c r="J138" s="313"/>
      <c r="K138" s="313"/>
      <c r="L138" s="313"/>
      <c r="M138" s="313"/>
      <c r="N138" s="313"/>
      <c r="O138" s="313"/>
      <c r="P138" s="313"/>
      <c r="Q138" s="313"/>
      <c r="R138" s="313"/>
      <c r="S138" s="313"/>
    </row>
    <row r="139" spans="1:19" ht="12" x14ac:dyDescent="0.15">
      <c r="A139" s="307" t="str">
        <f t="shared" si="4"/>
        <v>Nov</v>
      </c>
      <c r="B139" s="308">
        <f t="shared" si="5"/>
        <v>44794</v>
      </c>
      <c r="C139" s="309">
        <v>20</v>
      </c>
      <c r="D139" s="309">
        <v>5</v>
      </c>
      <c r="E139" s="311"/>
      <c r="F139" s="312">
        <v>3</v>
      </c>
      <c r="G139" s="313"/>
      <c r="H139" s="313"/>
      <c r="I139" s="313"/>
      <c r="J139" s="313"/>
      <c r="K139" s="313"/>
      <c r="L139" s="313"/>
      <c r="M139" s="313"/>
      <c r="N139" s="313"/>
      <c r="O139" s="313"/>
      <c r="P139" s="313"/>
      <c r="Q139" s="313"/>
      <c r="R139" s="313"/>
      <c r="S139" s="313"/>
    </row>
    <row r="140" spans="1:19" ht="12" x14ac:dyDescent="0.15">
      <c r="A140" s="307" t="str">
        <f t="shared" si="4"/>
        <v>Nov</v>
      </c>
      <c r="B140" s="308">
        <f t="shared" si="5"/>
        <v>44795</v>
      </c>
      <c r="C140" s="309">
        <v>21</v>
      </c>
      <c r="D140" s="309">
        <v>5</v>
      </c>
      <c r="E140" s="311"/>
      <c r="F140" s="312">
        <v>4</v>
      </c>
      <c r="G140" s="313"/>
      <c r="H140" s="313"/>
      <c r="I140" s="313"/>
      <c r="J140" s="313"/>
      <c r="K140" s="313"/>
      <c r="L140" s="313"/>
      <c r="M140" s="313"/>
      <c r="N140" s="313"/>
      <c r="O140" s="313"/>
      <c r="P140" s="313"/>
      <c r="Q140" s="313"/>
      <c r="R140" s="313"/>
      <c r="S140" s="313"/>
    </row>
    <row r="141" spans="1:19" ht="12" x14ac:dyDescent="0.15">
      <c r="A141" s="307" t="str">
        <f t="shared" si="4"/>
        <v>Nov</v>
      </c>
      <c r="B141" s="308">
        <f t="shared" si="5"/>
        <v>44796</v>
      </c>
      <c r="C141" s="309">
        <v>21</v>
      </c>
      <c r="D141" s="309">
        <v>5</v>
      </c>
      <c r="E141" s="311"/>
      <c r="F141" s="312">
        <v>4</v>
      </c>
      <c r="G141" s="313"/>
      <c r="H141" s="313"/>
      <c r="I141" s="313"/>
      <c r="J141" s="313"/>
      <c r="K141" s="313"/>
      <c r="L141" s="313"/>
      <c r="M141" s="313"/>
      <c r="N141" s="313"/>
      <c r="O141" s="313"/>
      <c r="P141" s="313"/>
      <c r="Q141" s="313"/>
      <c r="R141" s="313"/>
      <c r="S141" s="313"/>
    </row>
    <row r="142" spans="1:19" ht="12" x14ac:dyDescent="0.15">
      <c r="A142" s="307" t="str">
        <f t="shared" si="4"/>
        <v>Nov</v>
      </c>
      <c r="B142" s="308">
        <f t="shared" si="5"/>
        <v>44797</v>
      </c>
      <c r="C142" s="309">
        <v>21</v>
      </c>
      <c r="D142" s="309">
        <v>5</v>
      </c>
      <c r="E142" s="311"/>
      <c r="F142" s="312">
        <v>4</v>
      </c>
      <c r="G142" s="313"/>
      <c r="H142" s="313"/>
      <c r="I142" s="313"/>
      <c r="J142" s="313"/>
      <c r="K142" s="313"/>
      <c r="L142" s="313"/>
      <c r="M142" s="313"/>
      <c r="N142" s="313"/>
      <c r="O142" s="313"/>
      <c r="P142" s="313"/>
      <c r="Q142" s="313"/>
      <c r="R142" s="313"/>
      <c r="S142" s="313"/>
    </row>
    <row r="143" spans="1:19" ht="12" x14ac:dyDescent="0.15">
      <c r="A143" s="307" t="str">
        <f t="shared" si="4"/>
        <v>Nov</v>
      </c>
      <c r="B143" s="308">
        <f t="shared" si="5"/>
        <v>44798</v>
      </c>
      <c r="C143" s="309">
        <v>21</v>
      </c>
      <c r="D143" s="309">
        <v>5</v>
      </c>
      <c r="E143" s="311"/>
      <c r="F143" s="312">
        <v>4</v>
      </c>
      <c r="G143" s="313"/>
      <c r="H143" s="313"/>
      <c r="I143" s="313"/>
      <c r="J143" s="313"/>
      <c r="K143" s="313"/>
      <c r="L143" s="313"/>
      <c r="M143" s="313"/>
      <c r="N143" s="313"/>
      <c r="O143" s="313"/>
      <c r="P143" s="313"/>
      <c r="Q143" s="313"/>
      <c r="R143" s="313"/>
      <c r="S143" s="313"/>
    </row>
    <row r="144" spans="1:19" ht="12" x14ac:dyDescent="0.15">
      <c r="A144" s="307" t="str">
        <f t="shared" si="4"/>
        <v>Nov</v>
      </c>
      <c r="B144" s="308">
        <f t="shared" si="5"/>
        <v>44799</v>
      </c>
      <c r="C144" s="309">
        <v>21</v>
      </c>
      <c r="D144" s="309">
        <v>5</v>
      </c>
      <c r="E144" s="311"/>
      <c r="F144" s="312">
        <v>4</v>
      </c>
      <c r="G144" s="313"/>
      <c r="H144" s="313"/>
      <c r="I144" s="313"/>
      <c r="J144" s="313"/>
      <c r="K144" s="313"/>
      <c r="L144" s="313"/>
      <c r="M144" s="313"/>
      <c r="N144" s="313"/>
      <c r="O144" s="313"/>
      <c r="P144" s="313"/>
      <c r="Q144" s="313"/>
      <c r="R144" s="313"/>
      <c r="S144" s="313"/>
    </row>
    <row r="145" spans="1:19" ht="12" x14ac:dyDescent="0.15">
      <c r="A145" s="307" t="str">
        <f t="shared" si="4"/>
        <v>Nov</v>
      </c>
      <c r="B145" s="308">
        <f t="shared" si="5"/>
        <v>44800</v>
      </c>
      <c r="C145" s="309">
        <v>21</v>
      </c>
      <c r="D145" s="309">
        <v>5</v>
      </c>
      <c r="E145" s="311"/>
      <c r="F145" s="312">
        <v>4</v>
      </c>
      <c r="G145" s="313"/>
      <c r="H145" s="313"/>
      <c r="I145" s="313"/>
      <c r="J145" s="313"/>
      <c r="K145" s="313"/>
      <c r="L145" s="313"/>
      <c r="M145" s="313"/>
      <c r="N145" s="313"/>
      <c r="O145" s="313"/>
      <c r="P145" s="313"/>
      <c r="Q145" s="313"/>
      <c r="R145" s="313"/>
      <c r="S145" s="313"/>
    </row>
    <row r="146" spans="1:19" ht="12" x14ac:dyDescent="0.15">
      <c r="A146" s="307" t="str">
        <f t="shared" si="4"/>
        <v>Nov</v>
      </c>
      <c r="B146" s="308">
        <f t="shared" si="5"/>
        <v>44801</v>
      </c>
      <c r="C146" s="309">
        <v>21</v>
      </c>
      <c r="D146" s="309">
        <v>5</v>
      </c>
      <c r="E146" s="311"/>
      <c r="F146" s="312">
        <v>4</v>
      </c>
      <c r="G146" s="313"/>
      <c r="H146" s="313"/>
      <c r="I146" s="313"/>
      <c r="J146" s="313"/>
      <c r="K146" s="313"/>
      <c r="L146" s="313"/>
      <c r="M146" s="313"/>
      <c r="N146" s="313"/>
      <c r="O146" s="313"/>
      <c r="P146" s="313"/>
      <c r="Q146" s="313"/>
      <c r="R146" s="313"/>
      <c r="S146" s="313"/>
    </row>
    <row r="147" spans="1:19" ht="12" x14ac:dyDescent="0.15">
      <c r="A147" s="307" t="str">
        <f t="shared" si="4"/>
        <v>Dec</v>
      </c>
      <c r="B147" s="308">
        <f t="shared" si="5"/>
        <v>44802</v>
      </c>
      <c r="C147" s="309">
        <v>22</v>
      </c>
      <c r="D147" s="309">
        <v>6</v>
      </c>
      <c r="E147" s="311"/>
      <c r="F147" s="312">
        <v>1</v>
      </c>
      <c r="G147" s="313"/>
      <c r="H147" s="313"/>
      <c r="I147" s="313"/>
      <c r="J147" s="313"/>
      <c r="K147" s="313"/>
      <c r="L147" s="313"/>
      <c r="M147" s="313"/>
      <c r="N147" s="313"/>
      <c r="O147" s="313"/>
      <c r="P147" s="313"/>
      <c r="Q147" s="313"/>
      <c r="R147" s="313"/>
      <c r="S147" s="313"/>
    </row>
    <row r="148" spans="1:19" ht="12" x14ac:dyDescent="0.15">
      <c r="A148" s="307" t="str">
        <f t="shared" si="4"/>
        <v>Dec</v>
      </c>
      <c r="B148" s="308">
        <f t="shared" si="5"/>
        <v>44803</v>
      </c>
      <c r="C148" s="309">
        <v>22</v>
      </c>
      <c r="D148" s="309">
        <v>6</v>
      </c>
      <c r="E148" s="311"/>
      <c r="F148" s="312">
        <v>1</v>
      </c>
      <c r="G148" s="313"/>
      <c r="H148" s="313"/>
      <c r="I148" s="313"/>
      <c r="J148" s="313"/>
      <c r="K148" s="313"/>
      <c r="L148" s="313"/>
      <c r="M148" s="313"/>
      <c r="N148" s="313"/>
      <c r="O148" s="313"/>
      <c r="P148" s="313"/>
      <c r="Q148" s="313"/>
      <c r="R148" s="313"/>
      <c r="S148" s="313"/>
    </row>
    <row r="149" spans="1:19" x14ac:dyDescent="0.15">
      <c r="A149" s="307" t="str">
        <f t="shared" si="4"/>
        <v>Dec</v>
      </c>
      <c r="B149" s="308">
        <f t="shared" si="5"/>
        <v>44804</v>
      </c>
      <c r="C149" s="309">
        <v>22</v>
      </c>
      <c r="D149" s="309">
        <v>6</v>
      </c>
      <c r="E149" s="311"/>
      <c r="F149" s="309">
        <v>1</v>
      </c>
      <c r="G149" s="313"/>
      <c r="H149" s="313"/>
      <c r="I149" s="313"/>
      <c r="J149" s="313"/>
      <c r="K149" s="313"/>
      <c r="L149" s="313"/>
      <c r="M149" s="313"/>
      <c r="N149" s="313"/>
      <c r="O149" s="313"/>
      <c r="P149" s="313"/>
      <c r="Q149" s="313"/>
      <c r="R149" s="313"/>
      <c r="S149" s="313"/>
    </row>
    <row r="150" spans="1:19" ht="12" x14ac:dyDescent="0.15">
      <c r="A150" s="307" t="str">
        <f t="shared" si="4"/>
        <v>Dec</v>
      </c>
      <c r="B150" s="308">
        <f t="shared" si="5"/>
        <v>44805</v>
      </c>
      <c r="C150" s="309">
        <v>22</v>
      </c>
      <c r="D150" s="309">
        <v>6</v>
      </c>
      <c r="E150" s="311"/>
      <c r="F150" s="312">
        <v>1</v>
      </c>
      <c r="G150" s="313"/>
      <c r="H150" s="313"/>
      <c r="I150" s="313"/>
      <c r="J150" s="313"/>
      <c r="K150" s="313"/>
      <c r="L150" s="313"/>
      <c r="M150" s="313"/>
      <c r="N150" s="313"/>
      <c r="O150" s="313"/>
      <c r="P150" s="313"/>
      <c r="Q150" s="313"/>
      <c r="R150" s="313"/>
      <c r="S150" s="313"/>
    </row>
    <row r="151" spans="1:19" ht="12" x14ac:dyDescent="0.15">
      <c r="A151" s="307" t="str">
        <f t="shared" si="4"/>
        <v>Dec</v>
      </c>
      <c r="B151" s="308">
        <f t="shared" si="5"/>
        <v>44806</v>
      </c>
      <c r="C151" s="309">
        <v>22</v>
      </c>
      <c r="D151" s="309">
        <v>6</v>
      </c>
      <c r="E151" s="311"/>
      <c r="F151" s="312">
        <v>1</v>
      </c>
      <c r="G151" s="313"/>
      <c r="H151" s="313"/>
      <c r="I151" s="313"/>
      <c r="J151" s="313"/>
      <c r="K151" s="313"/>
      <c r="L151" s="313"/>
      <c r="M151" s="313"/>
      <c r="N151" s="313"/>
      <c r="O151" s="313"/>
      <c r="P151" s="313"/>
      <c r="Q151" s="313"/>
      <c r="R151" s="313"/>
      <c r="S151" s="313"/>
    </row>
    <row r="152" spans="1:19" ht="12" x14ac:dyDescent="0.15">
      <c r="A152" s="307" t="str">
        <f t="shared" si="4"/>
        <v>Dec</v>
      </c>
      <c r="B152" s="308">
        <f t="shared" si="5"/>
        <v>44807</v>
      </c>
      <c r="C152" s="309">
        <v>22</v>
      </c>
      <c r="D152" s="309">
        <v>6</v>
      </c>
      <c r="E152" s="311"/>
      <c r="F152" s="312">
        <v>1</v>
      </c>
      <c r="G152" s="313"/>
      <c r="H152" s="313"/>
      <c r="I152" s="313"/>
      <c r="J152" s="313"/>
      <c r="K152" s="313"/>
      <c r="L152" s="313"/>
      <c r="M152" s="313"/>
      <c r="N152" s="313"/>
      <c r="O152" s="313"/>
      <c r="P152" s="313"/>
      <c r="Q152" s="313"/>
      <c r="R152" s="313"/>
      <c r="S152" s="313"/>
    </row>
    <row r="153" spans="1:19" ht="12" x14ac:dyDescent="0.15">
      <c r="A153" s="307" t="str">
        <f t="shared" si="4"/>
        <v>Dec</v>
      </c>
      <c r="B153" s="308">
        <f t="shared" si="5"/>
        <v>44808</v>
      </c>
      <c r="C153" s="309">
        <v>22</v>
      </c>
      <c r="D153" s="309">
        <v>6</v>
      </c>
      <c r="E153" s="311"/>
      <c r="F153" s="312">
        <v>1</v>
      </c>
      <c r="G153" s="313"/>
      <c r="H153" s="313"/>
      <c r="I153" s="313"/>
      <c r="J153" s="313"/>
      <c r="K153" s="313"/>
      <c r="L153" s="313"/>
      <c r="M153" s="313"/>
      <c r="N153" s="313"/>
      <c r="O153" s="313"/>
      <c r="P153" s="313"/>
      <c r="Q153" s="313"/>
      <c r="R153" s="313"/>
      <c r="S153" s="313"/>
    </row>
    <row r="154" spans="1:19" ht="12" x14ac:dyDescent="0.15">
      <c r="A154" s="307" t="str">
        <f t="shared" si="4"/>
        <v>Dec</v>
      </c>
      <c r="B154" s="308">
        <f t="shared" si="5"/>
        <v>44809</v>
      </c>
      <c r="C154" s="309">
        <v>23</v>
      </c>
      <c r="D154" s="309">
        <v>6</v>
      </c>
      <c r="E154" s="311"/>
      <c r="F154" s="312">
        <v>2</v>
      </c>
      <c r="G154" s="313"/>
      <c r="H154" s="313"/>
      <c r="I154" s="313"/>
      <c r="J154" s="313"/>
      <c r="K154" s="313"/>
      <c r="L154" s="313"/>
      <c r="M154" s="313"/>
      <c r="N154" s="313"/>
      <c r="O154" s="313"/>
      <c r="P154" s="313"/>
      <c r="Q154" s="313"/>
      <c r="R154" s="313"/>
      <c r="S154" s="313"/>
    </row>
    <row r="155" spans="1:19" ht="12" x14ac:dyDescent="0.15">
      <c r="A155" s="307" t="str">
        <f t="shared" si="4"/>
        <v>Dec</v>
      </c>
      <c r="B155" s="321">
        <f t="shared" si="5"/>
        <v>44810</v>
      </c>
      <c r="C155" s="316">
        <v>23</v>
      </c>
      <c r="D155" s="316">
        <v>6</v>
      </c>
      <c r="E155" s="315"/>
      <c r="F155" s="312">
        <v>2</v>
      </c>
      <c r="G155" s="313"/>
      <c r="H155" s="313"/>
      <c r="I155" s="313"/>
      <c r="J155" s="313"/>
      <c r="K155" s="313"/>
      <c r="L155" s="313"/>
      <c r="M155" s="313"/>
      <c r="N155" s="313"/>
      <c r="O155" s="313"/>
      <c r="P155" s="313"/>
      <c r="Q155" s="313"/>
      <c r="R155" s="313"/>
      <c r="S155" s="313"/>
    </row>
    <row r="156" spans="1:19" ht="12" x14ac:dyDescent="0.15">
      <c r="A156" s="307" t="str">
        <f t="shared" si="4"/>
        <v>Dec</v>
      </c>
      <c r="B156" s="308">
        <f t="shared" si="5"/>
        <v>44811</v>
      </c>
      <c r="C156" s="309">
        <v>23</v>
      </c>
      <c r="D156" s="309">
        <v>6</v>
      </c>
      <c r="E156" s="311"/>
      <c r="F156" s="312">
        <v>2</v>
      </c>
      <c r="G156" s="313"/>
      <c r="H156" s="313"/>
      <c r="I156" s="313"/>
      <c r="J156" s="313"/>
      <c r="K156" s="313"/>
      <c r="L156" s="313"/>
      <c r="M156" s="313"/>
      <c r="N156" s="313"/>
      <c r="O156" s="313"/>
      <c r="P156" s="313"/>
      <c r="Q156" s="313"/>
      <c r="R156" s="313"/>
      <c r="S156" s="313"/>
    </row>
    <row r="157" spans="1:19" ht="12" x14ac:dyDescent="0.15">
      <c r="A157" s="307" t="str">
        <f t="shared" si="4"/>
        <v>Dec</v>
      </c>
      <c r="B157" s="308">
        <f t="shared" si="5"/>
        <v>44812</v>
      </c>
      <c r="C157" s="309">
        <v>23</v>
      </c>
      <c r="D157" s="309">
        <v>6</v>
      </c>
      <c r="E157" s="311"/>
      <c r="F157" s="312">
        <v>2</v>
      </c>
      <c r="G157" s="313"/>
      <c r="H157" s="313"/>
      <c r="I157" s="313"/>
      <c r="J157" s="313"/>
      <c r="K157" s="313"/>
      <c r="L157" s="313"/>
      <c r="M157" s="313"/>
      <c r="N157" s="313"/>
      <c r="O157" s="313"/>
      <c r="P157" s="313"/>
      <c r="Q157" s="313"/>
      <c r="R157" s="313"/>
      <c r="S157" s="313"/>
    </row>
    <row r="158" spans="1:19" ht="12" x14ac:dyDescent="0.15">
      <c r="A158" s="307" t="str">
        <f t="shared" si="4"/>
        <v>Dec</v>
      </c>
      <c r="B158" s="308">
        <f t="shared" si="5"/>
        <v>44813</v>
      </c>
      <c r="C158" s="309">
        <v>23</v>
      </c>
      <c r="D158" s="309">
        <v>6</v>
      </c>
      <c r="E158" s="311"/>
      <c r="F158" s="312">
        <v>2</v>
      </c>
      <c r="G158" s="313"/>
      <c r="H158" s="313"/>
      <c r="I158" s="313"/>
      <c r="J158" s="313"/>
      <c r="K158" s="313"/>
      <c r="L158" s="313"/>
      <c r="M158" s="313"/>
      <c r="N158" s="313"/>
      <c r="O158" s="313"/>
      <c r="P158" s="313"/>
      <c r="Q158" s="313"/>
      <c r="R158" s="313"/>
      <c r="S158" s="313"/>
    </row>
    <row r="159" spans="1:19" ht="12" x14ac:dyDescent="0.15">
      <c r="A159" s="307" t="str">
        <f t="shared" si="4"/>
        <v>Dec</v>
      </c>
      <c r="B159" s="308">
        <f t="shared" si="5"/>
        <v>44814</v>
      </c>
      <c r="C159" s="309">
        <v>23</v>
      </c>
      <c r="D159" s="309">
        <v>6</v>
      </c>
      <c r="E159" s="311"/>
      <c r="F159" s="312">
        <v>2</v>
      </c>
      <c r="G159" s="313"/>
      <c r="H159" s="313"/>
      <c r="I159" s="313"/>
      <c r="J159" s="313"/>
      <c r="K159" s="313"/>
      <c r="L159" s="313"/>
      <c r="M159" s="313"/>
      <c r="N159" s="313"/>
      <c r="O159" s="313"/>
      <c r="P159" s="313"/>
      <c r="Q159" s="313"/>
      <c r="R159" s="313"/>
      <c r="S159" s="313"/>
    </row>
    <row r="160" spans="1:19" ht="12" x14ac:dyDescent="0.15">
      <c r="A160" s="307" t="str">
        <f t="shared" si="4"/>
        <v>Dec</v>
      </c>
      <c r="B160" s="308">
        <f t="shared" si="5"/>
        <v>44815</v>
      </c>
      <c r="C160" s="309">
        <v>23</v>
      </c>
      <c r="D160" s="309">
        <v>6</v>
      </c>
      <c r="E160" s="311"/>
      <c r="F160" s="312">
        <v>2</v>
      </c>
      <c r="G160" s="313"/>
      <c r="H160" s="313"/>
      <c r="I160" s="313"/>
      <c r="J160" s="313"/>
      <c r="K160" s="313"/>
      <c r="L160" s="313"/>
      <c r="M160" s="313"/>
      <c r="N160" s="313"/>
      <c r="O160" s="313"/>
      <c r="P160" s="313"/>
      <c r="Q160" s="313"/>
      <c r="R160" s="313"/>
      <c r="S160" s="313"/>
    </row>
    <row r="161" spans="1:19" ht="12" x14ac:dyDescent="0.15">
      <c r="A161" s="307" t="str">
        <f t="shared" si="4"/>
        <v>Dec</v>
      </c>
      <c r="B161" s="308">
        <f t="shared" si="5"/>
        <v>44816</v>
      </c>
      <c r="C161" s="309">
        <v>24</v>
      </c>
      <c r="D161" s="309">
        <v>6</v>
      </c>
      <c r="E161" s="311"/>
      <c r="F161" s="312">
        <v>3</v>
      </c>
      <c r="G161" s="313"/>
      <c r="H161" s="313"/>
      <c r="I161" s="313"/>
      <c r="J161" s="313"/>
      <c r="K161" s="313"/>
      <c r="L161" s="313"/>
      <c r="M161" s="313"/>
      <c r="N161" s="313"/>
      <c r="O161" s="313"/>
      <c r="P161" s="313"/>
      <c r="Q161" s="313"/>
      <c r="R161" s="313"/>
      <c r="S161" s="313"/>
    </row>
    <row r="162" spans="1:19" ht="12" x14ac:dyDescent="0.15">
      <c r="A162" s="307" t="str">
        <f t="shared" si="4"/>
        <v>Dec</v>
      </c>
      <c r="B162" s="308">
        <f t="shared" si="5"/>
        <v>44817</v>
      </c>
      <c r="C162" s="309">
        <v>24</v>
      </c>
      <c r="D162" s="309">
        <v>6</v>
      </c>
      <c r="E162" s="311"/>
      <c r="F162" s="312">
        <v>3</v>
      </c>
      <c r="G162" s="313"/>
      <c r="H162" s="313"/>
      <c r="I162" s="313"/>
      <c r="J162" s="313"/>
      <c r="K162" s="313"/>
      <c r="L162" s="313"/>
      <c r="M162" s="313"/>
      <c r="N162" s="313"/>
      <c r="O162" s="313"/>
      <c r="P162" s="313"/>
      <c r="Q162" s="313"/>
      <c r="R162" s="313"/>
      <c r="S162" s="313"/>
    </row>
    <row r="163" spans="1:19" ht="12" x14ac:dyDescent="0.15">
      <c r="A163" s="307" t="str">
        <f t="shared" si="4"/>
        <v>Dec</v>
      </c>
      <c r="B163" s="308">
        <f t="shared" si="5"/>
        <v>44818</v>
      </c>
      <c r="C163" s="309">
        <v>24</v>
      </c>
      <c r="D163" s="309">
        <v>6</v>
      </c>
      <c r="E163" s="311"/>
      <c r="F163" s="312">
        <v>3</v>
      </c>
      <c r="G163" s="313"/>
      <c r="H163" s="313"/>
      <c r="I163" s="313"/>
      <c r="J163" s="313"/>
      <c r="K163" s="313"/>
      <c r="L163" s="313"/>
      <c r="M163" s="313"/>
      <c r="N163" s="313"/>
      <c r="O163" s="313"/>
      <c r="P163" s="313"/>
      <c r="Q163" s="313"/>
      <c r="R163" s="313"/>
      <c r="S163" s="313"/>
    </row>
    <row r="164" spans="1:19" ht="12" x14ac:dyDescent="0.15">
      <c r="A164" s="307" t="str">
        <f t="shared" si="4"/>
        <v>Dec</v>
      </c>
      <c r="B164" s="308">
        <f t="shared" si="5"/>
        <v>44819</v>
      </c>
      <c r="C164" s="309">
        <v>24</v>
      </c>
      <c r="D164" s="309">
        <v>6</v>
      </c>
      <c r="E164" s="311"/>
      <c r="F164" s="312">
        <v>3</v>
      </c>
      <c r="G164" s="313"/>
      <c r="H164" s="313"/>
      <c r="I164" s="313"/>
      <c r="J164" s="313"/>
      <c r="K164" s="313"/>
      <c r="L164" s="313"/>
      <c r="M164" s="313"/>
      <c r="N164" s="313"/>
      <c r="O164" s="313"/>
      <c r="P164" s="313"/>
      <c r="Q164" s="313"/>
      <c r="R164" s="313"/>
      <c r="S164" s="313"/>
    </row>
    <row r="165" spans="1:19" ht="12" x14ac:dyDescent="0.15">
      <c r="A165" s="307" t="str">
        <f t="shared" si="4"/>
        <v>Dec</v>
      </c>
      <c r="B165" s="308">
        <f t="shared" si="5"/>
        <v>44820</v>
      </c>
      <c r="C165" s="309">
        <v>24</v>
      </c>
      <c r="D165" s="309">
        <v>6</v>
      </c>
      <c r="E165" s="311"/>
      <c r="F165" s="312">
        <v>3</v>
      </c>
      <c r="G165" s="313"/>
      <c r="H165" s="313"/>
      <c r="I165" s="313"/>
      <c r="J165" s="313"/>
      <c r="K165" s="313"/>
      <c r="L165" s="313"/>
      <c r="M165" s="313"/>
      <c r="N165" s="313"/>
      <c r="O165" s="313"/>
      <c r="P165" s="313"/>
      <c r="Q165" s="313"/>
      <c r="R165" s="313"/>
      <c r="S165" s="313"/>
    </row>
    <row r="166" spans="1:19" ht="12" x14ac:dyDescent="0.15">
      <c r="A166" s="307" t="str">
        <f t="shared" si="4"/>
        <v>Dec</v>
      </c>
      <c r="B166" s="308">
        <f t="shared" si="5"/>
        <v>44821</v>
      </c>
      <c r="C166" s="309">
        <v>24</v>
      </c>
      <c r="D166" s="309">
        <v>6</v>
      </c>
      <c r="E166" s="311"/>
      <c r="F166" s="312">
        <v>3</v>
      </c>
      <c r="G166" s="313"/>
      <c r="H166" s="313"/>
      <c r="I166" s="313"/>
      <c r="J166" s="313"/>
      <c r="K166" s="313"/>
      <c r="L166" s="313"/>
      <c r="M166" s="313"/>
      <c r="N166" s="313"/>
      <c r="O166" s="313"/>
      <c r="P166" s="313"/>
      <c r="Q166" s="313"/>
      <c r="R166" s="313"/>
      <c r="S166" s="313"/>
    </row>
    <row r="167" spans="1:19" ht="12" x14ac:dyDescent="0.15">
      <c r="A167" s="307" t="str">
        <f t="shared" si="4"/>
        <v>Dec</v>
      </c>
      <c r="B167" s="308">
        <f t="shared" si="5"/>
        <v>44822</v>
      </c>
      <c r="C167" s="309">
        <v>24</v>
      </c>
      <c r="D167" s="309">
        <v>6</v>
      </c>
      <c r="E167" s="311"/>
      <c r="F167" s="312">
        <v>3</v>
      </c>
      <c r="G167" s="313"/>
      <c r="H167" s="313"/>
      <c r="I167" s="313"/>
      <c r="J167" s="313"/>
      <c r="K167" s="313"/>
      <c r="L167" s="313"/>
      <c r="M167" s="313"/>
      <c r="N167" s="313"/>
      <c r="O167" s="313"/>
      <c r="P167" s="313"/>
      <c r="Q167" s="313"/>
      <c r="R167" s="313"/>
      <c r="S167" s="313"/>
    </row>
    <row r="168" spans="1:19" ht="12" x14ac:dyDescent="0.15">
      <c r="A168" s="307" t="str">
        <f t="shared" si="4"/>
        <v>Dec</v>
      </c>
      <c r="B168" s="308">
        <f t="shared" si="5"/>
        <v>44823</v>
      </c>
      <c r="C168" s="309">
        <v>25</v>
      </c>
      <c r="D168" s="309">
        <v>6</v>
      </c>
      <c r="E168" s="311"/>
      <c r="F168" s="312">
        <v>4</v>
      </c>
      <c r="G168" s="313"/>
      <c r="H168" s="313"/>
      <c r="I168" s="313"/>
      <c r="J168" s="313"/>
      <c r="K168" s="313"/>
      <c r="L168" s="313"/>
      <c r="M168" s="313"/>
      <c r="N168" s="313"/>
      <c r="O168" s="313"/>
      <c r="P168" s="313"/>
      <c r="Q168" s="313"/>
      <c r="R168" s="313"/>
      <c r="S168" s="313"/>
    </row>
    <row r="169" spans="1:19" ht="12" x14ac:dyDescent="0.15">
      <c r="A169" s="307" t="str">
        <f t="shared" si="4"/>
        <v>Dec</v>
      </c>
      <c r="B169" s="308">
        <f t="shared" si="5"/>
        <v>44824</v>
      </c>
      <c r="C169" s="309">
        <v>25</v>
      </c>
      <c r="D169" s="309">
        <v>6</v>
      </c>
      <c r="E169" s="311"/>
      <c r="F169" s="312">
        <v>4</v>
      </c>
      <c r="G169" s="313"/>
      <c r="H169" s="313"/>
      <c r="I169" s="313"/>
      <c r="J169" s="313"/>
      <c r="K169" s="313"/>
      <c r="L169" s="313"/>
      <c r="M169" s="313"/>
      <c r="N169" s="313"/>
      <c r="O169" s="313"/>
      <c r="P169" s="313"/>
      <c r="Q169" s="313"/>
      <c r="R169" s="313"/>
      <c r="S169" s="313"/>
    </row>
    <row r="170" spans="1:19" ht="12" x14ac:dyDescent="0.15">
      <c r="A170" s="307" t="str">
        <f t="shared" si="4"/>
        <v>Dec</v>
      </c>
      <c r="B170" s="308">
        <f t="shared" si="5"/>
        <v>44825</v>
      </c>
      <c r="C170" s="309">
        <v>25</v>
      </c>
      <c r="D170" s="309">
        <v>6</v>
      </c>
      <c r="E170" s="311"/>
      <c r="F170" s="312">
        <v>4</v>
      </c>
      <c r="G170" s="313"/>
      <c r="H170" s="313"/>
      <c r="I170" s="313"/>
      <c r="J170" s="313"/>
      <c r="K170" s="313"/>
      <c r="L170" s="313"/>
      <c r="M170" s="313"/>
      <c r="N170" s="313"/>
      <c r="O170" s="313"/>
      <c r="P170" s="313"/>
      <c r="Q170" s="313"/>
      <c r="R170" s="313"/>
      <c r="S170" s="313"/>
    </row>
    <row r="171" spans="1:19" ht="12" x14ac:dyDescent="0.15">
      <c r="A171" s="307" t="str">
        <f t="shared" si="4"/>
        <v>Dec</v>
      </c>
      <c r="B171" s="308">
        <f t="shared" si="5"/>
        <v>44826</v>
      </c>
      <c r="C171" s="309">
        <v>25</v>
      </c>
      <c r="D171" s="309">
        <v>6</v>
      </c>
      <c r="E171" s="311"/>
      <c r="F171" s="312">
        <v>4</v>
      </c>
      <c r="G171" s="313"/>
      <c r="H171" s="313"/>
      <c r="I171" s="313"/>
      <c r="J171" s="313"/>
      <c r="K171" s="313"/>
      <c r="L171" s="313"/>
      <c r="M171" s="313"/>
      <c r="N171" s="313"/>
      <c r="O171" s="313"/>
      <c r="P171" s="313"/>
      <c r="Q171" s="313"/>
      <c r="R171" s="313"/>
      <c r="S171" s="313"/>
    </row>
    <row r="172" spans="1:19" ht="12" x14ac:dyDescent="0.15">
      <c r="A172" s="307" t="str">
        <f t="shared" si="4"/>
        <v>Dec</v>
      </c>
      <c r="B172" s="308">
        <f t="shared" si="5"/>
        <v>44827</v>
      </c>
      <c r="C172" s="309">
        <v>25</v>
      </c>
      <c r="D172" s="309">
        <v>6</v>
      </c>
      <c r="E172" s="311"/>
      <c r="F172" s="312">
        <v>4</v>
      </c>
      <c r="G172" s="313"/>
      <c r="H172" s="313"/>
      <c r="I172" s="313"/>
      <c r="J172" s="313"/>
      <c r="K172" s="313"/>
      <c r="L172" s="313"/>
      <c r="M172" s="313"/>
      <c r="N172" s="313"/>
      <c r="O172" s="313"/>
      <c r="P172" s="313"/>
      <c r="Q172" s="313"/>
      <c r="R172" s="313"/>
      <c r="S172" s="313"/>
    </row>
    <row r="173" spans="1:19" ht="12" x14ac:dyDescent="0.15">
      <c r="A173" s="307" t="str">
        <f t="shared" si="4"/>
        <v>Dec</v>
      </c>
      <c r="B173" s="308">
        <f t="shared" si="5"/>
        <v>44828</v>
      </c>
      <c r="C173" s="309">
        <v>25</v>
      </c>
      <c r="D173" s="309">
        <v>6</v>
      </c>
      <c r="E173" s="311"/>
      <c r="F173" s="312">
        <v>4</v>
      </c>
      <c r="G173" s="313"/>
      <c r="H173" s="313"/>
      <c r="I173" s="313"/>
      <c r="J173" s="313"/>
      <c r="K173" s="313"/>
      <c r="L173" s="313"/>
      <c r="M173" s="313"/>
      <c r="N173" s="313"/>
      <c r="O173" s="313"/>
      <c r="P173" s="313"/>
      <c r="Q173" s="313"/>
      <c r="R173" s="313"/>
      <c r="S173" s="313"/>
    </row>
    <row r="174" spans="1:19" ht="12" x14ac:dyDescent="0.15">
      <c r="A174" s="307" t="str">
        <f t="shared" si="4"/>
        <v>Dec</v>
      </c>
      <c r="B174" s="308">
        <f t="shared" si="5"/>
        <v>44829</v>
      </c>
      <c r="C174" s="309">
        <v>25</v>
      </c>
      <c r="D174" s="309">
        <v>6</v>
      </c>
      <c r="E174" s="311"/>
      <c r="F174" s="312">
        <v>4</v>
      </c>
      <c r="G174" s="313"/>
      <c r="H174" s="313"/>
      <c r="I174" s="313"/>
      <c r="J174" s="313"/>
      <c r="K174" s="313"/>
      <c r="L174" s="313"/>
      <c r="M174" s="313"/>
      <c r="N174" s="313"/>
      <c r="O174" s="313"/>
      <c r="P174" s="313"/>
      <c r="Q174" s="313"/>
      <c r="R174" s="313"/>
      <c r="S174" s="313"/>
    </row>
    <row r="175" spans="1:19" ht="12" x14ac:dyDescent="0.15">
      <c r="A175" s="307" t="str">
        <f t="shared" si="4"/>
        <v>Dec</v>
      </c>
      <c r="B175" s="308">
        <f t="shared" si="5"/>
        <v>44830</v>
      </c>
      <c r="C175" s="309">
        <v>26</v>
      </c>
      <c r="D175" s="309">
        <v>6</v>
      </c>
      <c r="E175" s="311"/>
      <c r="F175" s="312">
        <v>5</v>
      </c>
      <c r="G175" s="313"/>
      <c r="H175" s="313"/>
      <c r="I175" s="313"/>
      <c r="J175" s="313"/>
      <c r="K175" s="313"/>
      <c r="L175" s="313"/>
      <c r="M175" s="313"/>
      <c r="N175" s="313"/>
      <c r="O175" s="313"/>
      <c r="P175" s="313"/>
      <c r="Q175" s="313"/>
      <c r="R175" s="313"/>
      <c r="S175" s="313"/>
    </row>
    <row r="176" spans="1:19" ht="12" x14ac:dyDescent="0.15">
      <c r="A176" s="307" t="str">
        <f t="shared" si="4"/>
        <v>Dec</v>
      </c>
      <c r="B176" s="308">
        <f t="shared" si="5"/>
        <v>44831</v>
      </c>
      <c r="C176" s="309">
        <v>26</v>
      </c>
      <c r="D176" s="309">
        <v>6</v>
      </c>
      <c r="E176" s="311"/>
      <c r="F176" s="312">
        <v>5</v>
      </c>
      <c r="G176" s="313"/>
      <c r="H176" s="313"/>
      <c r="I176" s="313"/>
      <c r="J176" s="313"/>
      <c r="K176" s="313"/>
      <c r="L176" s="313"/>
      <c r="M176" s="313"/>
      <c r="N176" s="313"/>
      <c r="O176" s="313"/>
      <c r="P176" s="313"/>
      <c r="Q176" s="313"/>
      <c r="R176" s="313"/>
      <c r="S176" s="313"/>
    </row>
    <row r="177" spans="1:19" ht="12" x14ac:dyDescent="0.15">
      <c r="A177" s="307" t="str">
        <f t="shared" si="4"/>
        <v>Dec</v>
      </c>
      <c r="B177" s="308">
        <f t="shared" si="5"/>
        <v>44832</v>
      </c>
      <c r="C177" s="309">
        <v>26</v>
      </c>
      <c r="D177" s="309">
        <v>6</v>
      </c>
      <c r="E177" s="311"/>
      <c r="F177" s="312">
        <v>5</v>
      </c>
      <c r="G177" s="313"/>
      <c r="H177" s="313"/>
      <c r="I177" s="313"/>
      <c r="J177" s="313"/>
      <c r="K177" s="313"/>
      <c r="L177" s="313"/>
      <c r="M177" s="313"/>
      <c r="N177" s="313"/>
      <c r="O177" s="313"/>
      <c r="P177" s="313"/>
      <c r="Q177" s="313"/>
      <c r="R177" s="313"/>
      <c r="S177" s="313"/>
    </row>
    <row r="178" spans="1:19" ht="12" x14ac:dyDescent="0.15">
      <c r="A178" s="307" t="str">
        <f t="shared" si="4"/>
        <v>Dec</v>
      </c>
      <c r="B178" s="308">
        <f t="shared" si="5"/>
        <v>44833</v>
      </c>
      <c r="C178" s="309">
        <v>26</v>
      </c>
      <c r="D178" s="309">
        <v>6</v>
      </c>
      <c r="E178" s="311"/>
      <c r="F178" s="312">
        <v>5</v>
      </c>
      <c r="G178" s="313"/>
      <c r="H178" s="313"/>
      <c r="I178" s="313"/>
      <c r="J178" s="313"/>
      <c r="K178" s="313"/>
      <c r="L178" s="313"/>
      <c r="M178" s="313"/>
      <c r="N178" s="313"/>
      <c r="O178" s="313"/>
      <c r="P178" s="313"/>
      <c r="Q178" s="313"/>
      <c r="R178" s="313"/>
      <c r="S178" s="313"/>
    </row>
    <row r="179" spans="1:19" ht="12" x14ac:dyDescent="0.15">
      <c r="A179" s="307" t="str">
        <f t="shared" si="4"/>
        <v>Dec</v>
      </c>
      <c r="B179" s="308">
        <f t="shared" si="5"/>
        <v>44834</v>
      </c>
      <c r="C179" s="309">
        <v>26</v>
      </c>
      <c r="D179" s="309">
        <v>6</v>
      </c>
      <c r="E179" s="311"/>
      <c r="F179" s="312">
        <v>5</v>
      </c>
      <c r="G179" s="313"/>
      <c r="H179" s="313"/>
      <c r="I179" s="313"/>
      <c r="J179" s="313"/>
      <c r="K179" s="313"/>
      <c r="L179" s="313"/>
      <c r="M179" s="313"/>
      <c r="N179" s="313"/>
      <c r="O179" s="313"/>
      <c r="P179" s="313"/>
      <c r="Q179" s="313"/>
      <c r="R179" s="313"/>
      <c r="S179" s="313"/>
    </row>
    <row r="180" spans="1:19" ht="12" x14ac:dyDescent="0.15">
      <c r="A180" s="307" t="str">
        <f t="shared" si="4"/>
        <v>Dec</v>
      </c>
      <c r="B180" s="308">
        <f t="shared" si="5"/>
        <v>44835</v>
      </c>
      <c r="C180" s="309">
        <v>26</v>
      </c>
      <c r="D180" s="309">
        <v>6</v>
      </c>
      <c r="E180" s="311"/>
      <c r="F180" s="312">
        <v>5</v>
      </c>
      <c r="G180" s="313"/>
      <c r="H180" s="313"/>
      <c r="I180" s="313"/>
      <c r="J180" s="313"/>
      <c r="K180" s="313"/>
      <c r="L180" s="313"/>
      <c r="M180" s="313"/>
      <c r="N180" s="313"/>
      <c r="O180" s="313"/>
      <c r="P180" s="313"/>
      <c r="Q180" s="313"/>
      <c r="R180" s="313"/>
      <c r="S180" s="313"/>
    </row>
    <row r="181" spans="1:19" ht="12" x14ac:dyDescent="0.15">
      <c r="A181" s="307" t="str">
        <f t="shared" si="4"/>
        <v>Dec</v>
      </c>
      <c r="B181" s="308">
        <f t="shared" si="5"/>
        <v>44836</v>
      </c>
      <c r="C181" s="309">
        <v>26</v>
      </c>
      <c r="D181" s="309">
        <v>6</v>
      </c>
      <c r="E181" s="311"/>
      <c r="F181" s="312">
        <v>5</v>
      </c>
      <c r="G181" s="313"/>
      <c r="H181" s="313"/>
      <c r="I181" s="313"/>
      <c r="J181" s="313"/>
      <c r="K181" s="313"/>
      <c r="L181" s="313"/>
      <c r="M181" s="313"/>
      <c r="N181" s="313"/>
      <c r="O181" s="313"/>
      <c r="P181" s="313"/>
      <c r="Q181" s="313"/>
      <c r="R181" s="313"/>
      <c r="S181" s="313"/>
    </row>
    <row r="182" spans="1:19" ht="12" x14ac:dyDescent="0.15">
      <c r="A182" s="307" t="str">
        <f t="shared" si="4"/>
        <v>Jan</v>
      </c>
      <c r="B182" s="308">
        <f t="shared" si="5"/>
        <v>44837</v>
      </c>
      <c r="C182" s="309">
        <v>27</v>
      </c>
      <c r="D182" s="309">
        <v>7</v>
      </c>
      <c r="E182" s="311"/>
      <c r="F182" s="312">
        <v>1</v>
      </c>
      <c r="G182" s="313"/>
      <c r="H182" s="313"/>
      <c r="I182" s="313"/>
      <c r="J182" s="313"/>
      <c r="K182" s="313"/>
      <c r="L182" s="313"/>
      <c r="M182" s="313"/>
      <c r="N182" s="313"/>
      <c r="O182" s="313"/>
      <c r="P182" s="313"/>
      <c r="Q182" s="313"/>
      <c r="R182" s="313"/>
      <c r="S182" s="313"/>
    </row>
    <row r="183" spans="1:19" ht="12" x14ac:dyDescent="0.15">
      <c r="A183" s="307" t="str">
        <f t="shared" si="4"/>
        <v>Jan</v>
      </c>
      <c r="B183" s="308">
        <f t="shared" si="5"/>
        <v>44838</v>
      </c>
      <c r="C183" s="309">
        <v>27</v>
      </c>
      <c r="D183" s="309">
        <v>7</v>
      </c>
      <c r="E183" s="311"/>
      <c r="F183" s="312">
        <v>1</v>
      </c>
      <c r="G183" s="314"/>
      <c r="H183" s="313"/>
      <c r="I183" s="313"/>
      <c r="J183" s="313"/>
      <c r="K183" s="313"/>
      <c r="L183" s="313"/>
      <c r="M183" s="313"/>
      <c r="N183" s="313"/>
      <c r="O183" s="313"/>
      <c r="P183" s="313"/>
      <c r="Q183" s="313"/>
      <c r="R183" s="313"/>
      <c r="S183" s="313"/>
    </row>
    <row r="184" spans="1:19" x14ac:dyDescent="0.15">
      <c r="A184" s="307" t="str">
        <f t="shared" si="4"/>
        <v>Jan</v>
      </c>
      <c r="B184" s="308">
        <f t="shared" si="5"/>
        <v>44839</v>
      </c>
      <c r="C184" s="309">
        <v>27</v>
      </c>
      <c r="D184" s="309">
        <v>7</v>
      </c>
      <c r="E184" s="311"/>
      <c r="F184" s="309">
        <v>1</v>
      </c>
      <c r="G184" s="313"/>
      <c r="H184" s="313"/>
      <c r="I184" s="313"/>
      <c r="J184" s="313"/>
      <c r="K184" s="313"/>
      <c r="L184" s="313"/>
      <c r="M184" s="313"/>
      <c r="N184" s="313"/>
      <c r="O184" s="313"/>
      <c r="P184" s="313"/>
      <c r="Q184" s="313"/>
      <c r="R184" s="313"/>
      <c r="S184" s="313"/>
    </row>
    <row r="185" spans="1:19" ht="12" x14ac:dyDescent="0.15">
      <c r="A185" s="307" t="str">
        <f t="shared" si="4"/>
        <v>Jan</v>
      </c>
      <c r="B185" s="321">
        <f t="shared" si="5"/>
        <v>44840</v>
      </c>
      <c r="C185" s="316">
        <v>27</v>
      </c>
      <c r="D185" s="316">
        <v>7</v>
      </c>
      <c r="E185" s="315"/>
      <c r="F185" s="312">
        <v>1</v>
      </c>
      <c r="G185" s="313"/>
      <c r="H185" s="313"/>
      <c r="I185" s="313"/>
      <c r="J185" s="313"/>
      <c r="K185" s="313"/>
      <c r="L185" s="313"/>
      <c r="M185" s="313"/>
      <c r="N185" s="313"/>
      <c r="O185" s="313"/>
      <c r="P185" s="313"/>
      <c r="Q185" s="313"/>
      <c r="R185" s="313"/>
      <c r="S185" s="313"/>
    </row>
    <row r="186" spans="1:19" ht="12" x14ac:dyDescent="0.15">
      <c r="A186" s="307" t="str">
        <f t="shared" si="4"/>
        <v>Jan</v>
      </c>
      <c r="B186" s="308">
        <f t="shared" si="5"/>
        <v>44841</v>
      </c>
      <c r="C186" s="309">
        <v>27</v>
      </c>
      <c r="D186" s="309">
        <v>7</v>
      </c>
      <c r="E186" s="311"/>
      <c r="F186" s="312">
        <v>1</v>
      </c>
      <c r="G186" s="313"/>
      <c r="H186" s="313"/>
      <c r="I186" s="313"/>
      <c r="J186" s="313"/>
      <c r="K186" s="313"/>
      <c r="L186" s="313"/>
      <c r="M186" s="313"/>
      <c r="N186" s="313"/>
      <c r="O186" s="313"/>
      <c r="P186" s="313"/>
      <c r="Q186" s="313"/>
      <c r="R186" s="313"/>
      <c r="S186" s="313"/>
    </row>
    <row r="187" spans="1:19" ht="12" x14ac:dyDescent="0.15">
      <c r="A187" s="307" t="str">
        <f t="shared" si="4"/>
        <v>Jan</v>
      </c>
      <c r="B187" s="308">
        <f t="shared" si="5"/>
        <v>44842</v>
      </c>
      <c r="C187" s="309">
        <v>27</v>
      </c>
      <c r="D187" s="309">
        <v>7</v>
      </c>
      <c r="E187" s="311"/>
      <c r="F187" s="312">
        <v>1</v>
      </c>
      <c r="G187" s="313"/>
      <c r="H187" s="313"/>
      <c r="I187" s="313"/>
      <c r="J187" s="313"/>
      <c r="K187" s="313"/>
      <c r="L187" s="313"/>
      <c r="M187" s="313"/>
      <c r="N187" s="313"/>
      <c r="O187" s="313"/>
      <c r="P187" s="313"/>
      <c r="Q187" s="313"/>
      <c r="R187" s="313"/>
      <c r="S187" s="313"/>
    </row>
    <row r="188" spans="1:19" ht="12" x14ac:dyDescent="0.15">
      <c r="A188" s="307" t="str">
        <f t="shared" si="4"/>
        <v>Jan</v>
      </c>
      <c r="B188" s="308">
        <f t="shared" si="5"/>
        <v>44843</v>
      </c>
      <c r="C188" s="309">
        <v>27</v>
      </c>
      <c r="D188" s="309">
        <v>7</v>
      </c>
      <c r="E188" s="311"/>
      <c r="F188" s="312">
        <v>1</v>
      </c>
      <c r="G188" s="313"/>
      <c r="H188" s="313"/>
      <c r="I188" s="313"/>
      <c r="J188" s="313"/>
      <c r="K188" s="313"/>
      <c r="L188" s="313"/>
      <c r="M188" s="313"/>
      <c r="N188" s="313"/>
      <c r="O188" s="313"/>
      <c r="P188" s="313"/>
      <c r="Q188" s="313"/>
      <c r="R188" s="313"/>
      <c r="S188" s="313"/>
    </row>
    <row r="189" spans="1:19" ht="12" x14ac:dyDescent="0.15">
      <c r="A189" s="307" t="str">
        <f t="shared" si="4"/>
        <v>Jan</v>
      </c>
      <c r="B189" s="308">
        <f t="shared" si="5"/>
        <v>44844</v>
      </c>
      <c r="C189" s="309">
        <v>28</v>
      </c>
      <c r="D189" s="309">
        <v>7</v>
      </c>
      <c r="E189" s="311"/>
      <c r="F189" s="312">
        <v>2</v>
      </c>
      <c r="G189" s="313"/>
      <c r="H189" s="313"/>
      <c r="I189" s="313"/>
      <c r="J189" s="313"/>
      <c r="K189" s="313"/>
      <c r="L189" s="313"/>
      <c r="M189" s="313"/>
      <c r="N189" s="313"/>
      <c r="O189" s="313"/>
      <c r="P189" s="313"/>
      <c r="Q189" s="313"/>
      <c r="R189" s="313"/>
      <c r="S189" s="313"/>
    </row>
    <row r="190" spans="1:19" ht="12" x14ac:dyDescent="0.15">
      <c r="A190" s="307" t="str">
        <f t="shared" si="4"/>
        <v>Jan</v>
      </c>
      <c r="B190" s="308">
        <f t="shared" si="5"/>
        <v>44845</v>
      </c>
      <c r="C190" s="309">
        <v>28</v>
      </c>
      <c r="D190" s="309">
        <v>7</v>
      </c>
      <c r="E190" s="311"/>
      <c r="F190" s="312">
        <v>2</v>
      </c>
      <c r="G190" s="313"/>
      <c r="H190" s="313"/>
      <c r="I190" s="313"/>
      <c r="J190" s="313"/>
      <c r="K190" s="313"/>
      <c r="L190" s="313"/>
      <c r="M190" s="313"/>
      <c r="N190" s="313"/>
      <c r="O190" s="313"/>
      <c r="P190" s="313"/>
      <c r="Q190" s="313"/>
      <c r="R190" s="313"/>
      <c r="S190" s="313"/>
    </row>
    <row r="191" spans="1:19" ht="12" x14ac:dyDescent="0.15">
      <c r="A191" s="307" t="str">
        <f t="shared" si="4"/>
        <v>Jan</v>
      </c>
      <c r="B191" s="308">
        <f t="shared" si="5"/>
        <v>44846</v>
      </c>
      <c r="C191" s="309">
        <v>28</v>
      </c>
      <c r="D191" s="309">
        <v>7</v>
      </c>
      <c r="E191" s="311"/>
      <c r="F191" s="312">
        <v>2</v>
      </c>
      <c r="G191" s="313"/>
      <c r="H191" s="313"/>
      <c r="I191" s="313"/>
      <c r="J191" s="313"/>
      <c r="K191" s="313"/>
      <c r="L191" s="313"/>
      <c r="M191" s="313"/>
      <c r="N191" s="313"/>
      <c r="O191" s="313"/>
      <c r="P191" s="313"/>
      <c r="Q191" s="313"/>
      <c r="R191" s="313"/>
      <c r="S191" s="313"/>
    </row>
    <row r="192" spans="1:19" ht="12" x14ac:dyDescent="0.15">
      <c r="A192" s="307" t="str">
        <f t="shared" si="4"/>
        <v>Jan</v>
      </c>
      <c r="B192" s="308">
        <f t="shared" si="5"/>
        <v>44847</v>
      </c>
      <c r="C192" s="309">
        <v>28</v>
      </c>
      <c r="D192" s="309">
        <v>7</v>
      </c>
      <c r="E192" s="311"/>
      <c r="F192" s="312">
        <v>2</v>
      </c>
      <c r="G192" s="313"/>
      <c r="H192" s="313"/>
      <c r="I192" s="313"/>
      <c r="J192" s="313"/>
      <c r="K192" s="313"/>
      <c r="L192" s="313"/>
      <c r="M192" s="313"/>
      <c r="N192" s="313"/>
      <c r="O192" s="313"/>
      <c r="P192" s="313"/>
      <c r="Q192" s="313"/>
      <c r="R192" s="313"/>
      <c r="S192" s="313"/>
    </row>
    <row r="193" spans="1:19" ht="12" x14ac:dyDescent="0.15">
      <c r="A193" s="307" t="str">
        <f t="shared" si="4"/>
        <v>Jan</v>
      </c>
      <c r="B193" s="308">
        <f t="shared" si="5"/>
        <v>44848</v>
      </c>
      <c r="C193" s="309">
        <v>28</v>
      </c>
      <c r="D193" s="309">
        <v>7</v>
      </c>
      <c r="E193" s="311"/>
      <c r="F193" s="312">
        <v>2</v>
      </c>
      <c r="G193" s="313"/>
      <c r="H193" s="313"/>
      <c r="I193" s="313"/>
      <c r="J193" s="313"/>
      <c r="K193" s="313"/>
      <c r="L193" s="313"/>
      <c r="M193" s="313"/>
      <c r="N193" s="313"/>
      <c r="O193" s="313"/>
      <c r="P193" s="313"/>
      <c r="Q193" s="313"/>
      <c r="R193" s="313"/>
      <c r="S193" s="313"/>
    </row>
    <row r="194" spans="1:19" ht="12" x14ac:dyDescent="0.15">
      <c r="A194" s="307" t="str">
        <f t="shared" si="4"/>
        <v>Jan</v>
      </c>
      <c r="B194" s="308">
        <f t="shared" si="5"/>
        <v>44849</v>
      </c>
      <c r="C194" s="309">
        <v>28</v>
      </c>
      <c r="D194" s="309">
        <v>7</v>
      </c>
      <c r="E194" s="311"/>
      <c r="F194" s="312">
        <v>2</v>
      </c>
      <c r="G194" s="313"/>
      <c r="H194" s="313"/>
      <c r="I194" s="313"/>
      <c r="J194" s="313"/>
      <c r="K194" s="313"/>
      <c r="L194" s="313"/>
      <c r="M194" s="313"/>
      <c r="N194" s="313"/>
      <c r="O194" s="313"/>
      <c r="P194" s="313"/>
      <c r="Q194" s="313"/>
      <c r="R194" s="313"/>
      <c r="S194" s="313"/>
    </row>
    <row r="195" spans="1:19" ht="12" x14ac:dyDescent="0.15">
      <c r="A195" s="307" t="str">
        <f t="shared" ref="A195:A258" si="6">TEXT(DATE(YEAR(B$2),MONTH(B$2)+(D195-1)+3,1),"Mmm")</f>
        <v>Jan</v>
      </c>
      <c r="B195" s="308">
        <f t="shared" si="5"/>
        <v>44850</v>
      </c>
      <c r="C195" s="309">
        <v>28</v>
      </c>
      <c r="D195" s="309">
        <v>7</v>
      </c>
      <c r="E195" s="311"/>
      <c r="F195" s="312">
        <v>2</v>
      </c>
      <c r="G195" s="313"/>
      <c r="H195" s="313"/>
      <c r="I195" s="313"/>
      <c r="J195" s="313"/>
      <c r="K195" s="313"/>
      <c r="L195" s="313"/>
      <c r="M195" s="313"/>
      <c r="N195" s="313"/>
      <c r="O195" s="313"/>
      <c r="P195" s="313"/>
      <c r="Q195" s="313"/>
      <c r="R195" s="313"/>
      <c r="S195" s="313"/>
    </row>
    <row r="196" spans="1:19" ht="12" x14ac:dyDescent="0.15">
      <c r="A196" s="307" t="str">
        <f t="shared" si="6"/>
        <v>Jan</v>
      </c>
      <c r="B196" s="308">
        <f t="shared" ref="B196:B259" si="7">B195+1</f>
        <v>44851</v>
      </c>
      <c r="C196" s="309">
        <v>29</v>
      </c>
      <c r="D196" s="309">
        <v>7</v>
      </c>
      <c r="E196" s="311"/>
      <c r="F196" s="312">
        <v>3</v>
      </c>
      <c r="G196" s="313"/>
      <c r="H196" s="313"/>
      <c r="I196" s="313"/>
      <c r="J196" s="313"/>
      <c r="K196" s="313"/>
      <c r="L196" s="313"/>
      <c r="M196" s="313"/>
      <c r="N196" s="313"/>
      <c r="O196" s="313"/>
      <c r="P196" s="313"/>
      <c r="Q196" s="313"/>
      <c r="R196" s="313"/>
      <c r="S196" s="313"/>
    </row>
    <row r="197" spans="1:19" ht="12" x14ac:dyDescent="0.15">
      <c r="A197" s="307" t="str">
        <f t="shared" si="6"/>
        <v>Jan</v>
      </c>
      <c r="B197" s="308">
        <f t="shared" si="7"/>
        <v>44852</v>
      </c>
      <c r="C197" s="309">
        <v>29</v>
      </c>
      <c r="D197" s="309">
        <v>7</v>
      </c>
      <c r="E197" s="311"/>
      <c r="F197" s="312">
        <v>3</v>
      </c>
      <c r="G197" s="313"/>
      <c r="H197" s="313"/>
      <c r="I197" s="313"/>
      <c r="J197" s="313"/>
      <c r="K197" s="313"/>
      <c r="L197" s="313"/>
      <c r="M197" s="313"/>
      <c r="N197" s="313"/>
      <c r="O197" s="313"/>
      <c r="P197" s="313"/>
      <c r="Q197" s="313"/>
      <c r="R197" s="313"/>
      <c r="S197" s="313"/>
    </row>
    <row r="198" spans="1:19" ht="12" x14ac:dyDescent="0.15">
      <c r="A198" s="307" t="str">
        <f t="shared" si="6"/>
        <v>Jan</v>
      </c>
      <c r="B198" s="308">
        <f t="shared" si="7"/>
        <v>44853</v>
      </c>
      <c r="C198" s="309">
        <v>29</v>
      </c>
      <c r="D198" s="309">
        <v>7</v>
      </c>
      <c r="E198" s="311"/>
      <c r="F198" s="312">
        <v>3</v>
      </c>
      <c r="G198" s="313"/>
      <c r="H198" s="313"/>
      <c r="I198" s="313"/>
      <c r="J198" s="313"/>
      <c r="K198" s="313"/>
      <c r="L198" s="313"/>
      <c r="M198" s="313"/>
      <c r="N198" s="313"/>
      <c r="O198" s="313"/>
      <c r="P198" s="313"/>
      <c r="Q198" s="313"/>
      <c r="R198" s="313"/>
      <c r="S198" s="313"/>
    </row>
    <row r="199" spans="1:19" ht="12" x14ac:dyDescent="0.15">
      <c r="A199" s="307" t="str">
        <f t="shared" si="6"/>
        <v>Jan</v>
      </c>
      <c r="B199" s="308">
        <f t="shared" si="7"/>
        <v>44854</v>
      </c>
      <c r="C199" s="309">
        <v>29</v>
      </c>
      <c r="D199" s="309">
        <v>7</v>
      </c>
      <c r="E199" s="311"/>
      <c r="F199" s="312">
        <v>3</v>
      </c>
      <c r="G199" s="313"/>
      <c r="H199" s="313"/>
      <c r="I199" s="313"/>
      <c r="J199" s="313"/>
      <c r="K199" s="313"/>
      <c r="L199" s="313"/>
      <c r="M199" s="313"/>
      <c r="N199" s="313"/>
      <c r="O199" s="313"/>
      <c r="P199" s="313"/>
      <c r="Q199" s="313"/>
      <c r="R199" s="313"/>
      <c r="S199" s="313"/>
    </row>
    <row r="200" spans="1:19" ht="12" x14ac:dyDescent="0.15">
      <c r="A200" s="307" t="str">
        <f t="shared" si="6"/>
        <v>Jan</v>
      </c>
      <c r="B200" s="308">
        <f t="shared" si="7"/>
        <v>44855</v>
      </c>
      <c r="C200" s="309">
        <v>29</v>
      </c>
      <c r="D200" s="309">
        <v>7</v>
      </c>
      <c r="E200" s="311"/>
      <c r="F200" s="312">
        <v>3</v>
      </c>
      <c r="G200" s="313"/>
      <c r="H200" s="313"/>
      <c r="I200" s="313"/>
      <c r="J200" s="313"/>
      <c r="K200" s="313"/>
      <c r="L200" s="313"/>
      <c r="M200" s="313"/>
      <c r="N200" s="313"/>
      <c r="O200" s="313"/>
      <c r="P200" s="313"/>
      <c r="Q200" s="313"/>
      <c r="R200" s="313"/>
      <c r="S200" s="313"/>
    </row>
    <row r="201" spans="1:19" ht="12" x14ac:dyDescent="0.15">
      <c r="A201" s="307" t="str">
        <f t="shared" si="6"/>
        <v>Jan</v>
      </c>
      <c r="B201" s="308">
        <f t="shared" si="7"/>
        <v>44856</v>
      </c>
      <c r="C201" s="309">
        <v>29</v>
      </c>
      <c r="D201" s="309">
        <v>7</v>
      </c>
      <c r="E201" s="311"/>
      <c r="F201" s="312">
        <v>3</v>
      </c>
      <c r="G201" s="313"/>
      <c r="H201" s="313"/>
      <c r="I201" s="313"/>
      <c r="J201" s="313"/>
      <c r="K201" s="313"/>
      <c r="L201" s="313"/>
      <c r="M201" s="313"/>
      <c r="N201" s="313"/>
      <c r="O201" s="313"/>
      <c r="P201" s="313"/>
      <c r="Q201" s="313"/>
      <c r="R201" s="313"/>
      <c r="S201" s="313"/>
    </row>
    <row r="202" spans="1:19" ht="12" x14ac:dyDescent="0.15">
      <c r="A202" s="307" t="str">
        <f t="shared" si="6"/>
        <v>Jan</v>
      </c>
      <c r="B202" s="308">
        <f t="shared" si="7"/>
        <v>44857</v>
      </c>
      <c r="C202" s="309">
        <v>29</v>
      </c>
      <c r="D202" s="309">
        <v>7</v>
      </c>
      <c r="E202" s="311"/>
      <c r="F202" s="312">
        <v>3</v>
      </c>
      <c r="G202" s="313"/>
      <c r="H202" s="313"/>
      <c r="I202" s="313"/>
      <c r="J202" s="313"/>
      <c r="K202" s="313"/>
      <c r="L202" s="313"/>
      <c r="M202" s="313"/>
      <c r="N202" s="313"/>
      <c r="O202" s="313"/>
      <c r="P202" s="313"/>
      <c r="Q202" s="313"/>
      <c r="R202" s="313"/>
      <c r="S202" s="313"/>
    </row>
    <row r="203" spans="1:19" ht="12" x14ac:dyDescent="0.15">
      <c r="A203" s="307" t="str">
        <f t="shared" si="6"/>
        <v>Jan</v>
      </c>
      <c r="B203" s="308">
        <f t="shared" si="7"/>
        <v>44858</v>
      </c>
      <c r="C203" s="309">
        <v>30</v>
      </c>
      <c r="D203" s="309">
        <v>7</v>
      </c>
      <c r="E203" s="311"/>
      <c r="F203" s="312">
        <v>4</v>
      </c>
      <c r="G203" s="313"/>
      <c r="H203" s="313"/>
      <c r="I203" s="313"/>
      <c r="J203" s="313"/>
      <c r="K203" s="313"/>
      <c r="L203" s="313"/>
      <c r="M203" s="313"/>
      <c r="N203" s="313"/>
      <c r="O203" s="313"/>
      <c r="P203" s="313"/>
      <c r="Q203" s="313"/>
      <c r="R203" s="313"/>
      <c r="S203" s="313"/>
    </row>
    <row r="204" spans="1:19" ht="12" x14ac:dyDescent="0.15">
      <c r="A204" s="307" t="str">
        <f t="shared" si="6"/>
        <v>Jan</v>
      </c>
      <c r="B204" s="308">
        <f t="shared" si="7"/>
        <v>44859</v>
      </c>
      <c r="C204" s="309">
        <v>30</v>
      </c>
      <c r="D204" s="309">
        <v>7</v>
      </c>
      <c r="E204" s="311"/>
      <c r="F204" s="312">
        <v>4</v>
      </c>
      <c r="G204" s="313"/>
      <c r="H204" s="313"/>
      <c r="I204" s="313"/>
      <c r="J204" s="313"/>
      <c r="K204" s="313"/>
      <c r="L204" s="313"/>
      <c r="M204" s="313"/>
      <c r="N204" s="313"/>
      <c r="O204" s="313"/>
      <c r="P204" s="313"/>
      <c r="Q204" s="313"/>
      <c r="R204" s="313"/>
      <c r="S204" s="313"/>
    </row>
    <row r="205" spans="1:19" ht="12" x14ac:dyDescent="0.15">
      <c r="A205" s="307" t="str">
        <f t="shared" si="6"/>
        <v>Jan</v>
      </c>
      <c r="B205" s="308">
        <f t="shared" si="7"/>
        <v>44860</v>
      </c>
      <c r="C205" s="309">
        <v>30</v>
      </c>
      <c r="D205" s="309">
        <v>7</v>
      </c>
      <c r="E205" s="311"/>
      <c r="F205" s="312">
        <v>4</v>
      </c>
      <c r="G205" s="313"/>
      <c r="H205" s="313"/>
      <c r="I205" s="313"/>
      <c r="J205" s="313"/>
      <c r="K205" s="313"/>
      <c r="L205" s="313"/>
      <c r="M205" s="313"/>
      <c r="N205" s="313"/>
      <c r="O205" s="313"/>
      <c r="P205" s="313"/>
      <c r="Q205" s="313"/>
      <c r="R205" s="313"/>
      <c r="S205" s="313"/>
    </row>
    <row r="206" spans="1:19" ht="12" x14ac:dyDescent="0.15">
      <c r="A206" s="307" t="str">
        <f t="shared" si="6"/>
        <v>Jan</v>
      </c>
      <c r="B206" s="308">
        <f t="shared" si="7"/>
        <v>44861</v>
      </c>
      <c r="C206" s="309">
        <v>30</v>
      </c>
      <c r="D206" s="309">
        <v>7</v>
      </c>
      <c r="E206" s="311"/>
      <c r="F206" s="312">
        <v>4</v>
      </c>
      <c r="G206" s="313"/>
      <c r="H206" s="313"/>
      <c r="I206" s="313"/>
      <c r="J206" s="313"/>
      <c r="K206" s="313"/>
      <c r="L206" s="313"/>
      <c r="M206" s="313"/>
      <c r="N206" s="313"/>
      <c r="O206" s="313"/>
      <c r="P206" s="313"/>
      <c r="Q206" s="313"/>
      <c r="R206" s="313"/>
      <c r="S206" s="313"/>
    </row>
    <row r="207" spans="1:19" ht="12" x14ac:dyDescent="0.15">
      <c r="A207" s="307" t="str">
        <f t="shared" si="6"/>
        <v>Jan</v>
      </c>
      <c r="B207" s="308">
        <f t="shared" si="7"/>
        <v>44862</v>
      </c>
      <c r="C207" s="309">
        <v>30</v>
      </c>
      <c r="D207" s="309">
        <v>7</v>
      </c>
      <c r="E207" s="311"/>
      <c r="F207" s="312">
        <v>4</v>
      </c>
      <c r="G207" s="313"/>
      <c r="H207" s="313"/>
      <c r="I207" s="313"/>
      <c r="J207" s="313"/>
      <c r="K207" s="313"/>
      <c r="L207" s="313"/>
      <c r="M207" s="313"/>
      <c r="N207" s="313"/>
      <c r="O207" s="313"/>
      <c r="P207" s="313"/>
      <c r="Q207" s="313"/>
      <c r="R207" s="313"/>
      <c r="S207" s="313"/>
    </row>
    <row r="208" spans="1:19" ht="12" x14ac:dyDescent="0.15">
      <c r="A208" s="307" t="str">
        <f t="shared" si="6"/>
        <v>Jan</v>
      </c>
      <c r="B208" s="308">
        <f t="shared" si="7"/>
        <v>44863</v>
      </c>
      <c r="C208" s="309">
        <v>30</v>
      </c>
      <c r="D208" s="309">
        <v>7</v>
      </c>
      <c r="E208" s="311"/>
      <c r="F208" s="312">
        <v>4</v>
      </c>
      <c r="G208" s="313"/>
      <c r="H208" s="313"/>
      <c r="I208" s="313"/>
      <c r="J208" s="313"/>
      <c r="K208" s="313"/>
      <c r="L208" s="313"/>
      <c r="M208" s="313"/>
      <c r="N208" s="313"/>
      <c r="O208" s="313"/>
      <c r="P208" s="313"/>
      <c r="Q208" s="313"/>
      <c r="R208" s="313"/>
      <c r="S208" s="313"/>
    </row>
    <row r="209" spans="1:19" ht="12" x14ac:dyDescent="0.15">
      <c r="A209" s="307" t="str">
        <f t="shared" si="6"/>
        <v>Jan</v>
      </c>
      <c r="B209" s="308">
        <f t="shared" si="7"/>
        <v>44864</v>
      </c>
      <c r="C209" s="309">
        <v>30</v>
      </c>
      <c r="D209" s="309">
        <v>7</v>
      </c>
      <c r="E209" s="311"/>
      <c r="F209" s="312">
        <v>4</v>
      </c>
      <c r="G209" s="313"/>
      <c r="H209" s="313"/>
      <c r="I209" s="313"/>
      <c r="J209" s="313"/>
      <c r="K209" s="313"/>
      <c r="L209" s="313"/>
      <c r="M209" s="313"/>
      <c r="N209" s="313"/>
      <c r="O209" s="313"/>
      <c r="P209" s="313"/>
      <c r="Q209" s="313"/>
      <c r="R209" s="313"/>
      <c r="S209" s="313"/>
    </row>
    <row r="210" spans="1:19" ht="12" x14ac:dyDescent="0.15">
      <c r="A210" s="307" t="str">
        <f t="shared" si="6"/>
        <v>Feb</v>
      </c>
      <c r="B210" s="308">
        <f t="shared" si="7"/>
        <v>44865</v>
      </c>
      <c r="C210" s="309">
        <v>31</v>
      </c>
      <c r="D210" s="309">
        <v>8</v>
      </c>
      <c r="E210" s="311"/>
      <c r="F210" s="312">
        <v>1</v>
      </c>
      <c r="G210" s="313"/>
      <c r="H210" s="313"/>
      <c r="I210" s="313"/>
      <c r="J210" s="313"/>
      <c r="K210" s="313"/>
      <c r="L210" s="313"/>
      <c r="M210" s="313"/>
      <c r="N210" s="313"/>
      <c r="O210" s="313"/>
      <c r="P210" s="313"/>
      <c r="Q210" s="313"/>
      <c r="R210" s="313"/>
      <c r="S210" s="313"/>
    </row>
    <row r="211" spans="1:19" ht="12" x14ac:dyDescent="0.15">
      <c r="A211" s="307" t="str">
        <f t="shared" si="6"/>
        <v>Feb</v>
      </c>
      <c r="B211" s="308">
        <f t="shared" si="7"/>
        <v>44866</v>
      </c>
      <c r="C211" s="309">
        <v>31</v>
      </c>
      <c r="D211" s="309">
        <v>8</v>
      </c>
      <c r="E211" s="311"/>
      <c r="F211" s="312">
        <v>1</v>
      </c>
      <c r="G211" s="313"/>
      <c r="H211" s="313"/>
      <c r="I211" s="313"/>
      <c r="J211" s="313"/>
      <c r="K211" s="313"/>
      <c r="L211" s="313"/>
      <c r="M211" s="313"/>
      <c r="N211" s="313"/>
      <c r="O211" s="313"/>
      <c r="P211" s="313"/>
      <c r="Q211" s="313"/>
      <c r="R211" s="313"/>
      <c r="S211" s="313"/>
    </row>
    <row r="212" spans="1:19" x14ac:dyDescent="0.15">
      <c r="A212" s="307" t="str">
        <f t="shared" si="6"/>
        <v>Feb</v>
      </c>
      <c r="B212" s="308">
        <f t="shared" si="7"/>
        <v>44867</v>
      </c>
      <c r="C212" s="309">
        <v>31</v>
      </c>
      <c r="D212" s="309">
        <v>8</v>
      </c>
      <c r="E212" s="311"/>
      <c r="F212" s="309">
        <v>1</v>
      </c>
      <c r="G212" s="313"/>
      <c r="H212" s="313"/>
      <c r="I212" s="314"/>
      <c r="J212" s="313"/>
      <c r="K212" s="313"/>
      <c r="L212" s="313"/>
      <c r="M212" s="313"/>
      <c r="N212" s="313"/>
      <c r="O212" s="313"/>
      <c r="P212" s="313"/>
      <c r="Q212" s="313"/>
      <c r="R212" s="313"/>
      <c r="S212" s="313"/>
    </row>
    <row r="213" spans="1:19" ht="12" x14ac:dyDescent="0.15">
      <c r="A213" s="307" t="str">
        <f t="shared" si="6"/>
        <v>Feb</v>
      </c>
      <c r="B213" s="308">
        <f t="shared" si="7"/>
        <v>44868</v>
      </c>
      <c r="C213" s="309">
        <v>31</v>
      </c>
      <c r="D213" s="309">
        <v>8</v>
      </c>
      <c r="E213" s="311"/>
      <c r="F213" s="312">
        <v>1</v>
      </c>
      <c r="G213" s="313"/>
      <c r="H213" s="313"/>
      <c r="I213" s="313"/>
      <c r="J213" s="313"/>
      <c r="K213" s="313"/>
      <c r="L213" s="313"/>
      <c r="M213" s="313"/>
      <c r="N213" s="313"/>
      <c r="O213" s="313"/>
      <c r="P213" s="313"/>
      <c r="Q213" s="313"/>
      <c r="R213" s="313"/>
      <c r="S213" s="313"/>
    </row>
    <row r="214" spans="1:19" ht="12" x14ac:dyDescent="0.15">
      <c r="A214" s="307" t="str">
        <f t="shared" si="6"/>
        <v>Feb</v>
      </c>
      <c r="B214" s="308">
        <f t="shared" si="7"/>
        <v>44869</v>
      </c>
      <c r="C214" s="309">
        <v>31</v>
      </c>
      <c r="D214" s="309">
        <v>8</v>
      </c>
      <c r="E214" s="311"/>
      <c r="F214" s="312">
        <v>1</v>
      </c>
      <c r="G214" s="313"/>
      <c r="H214" s="313"/>
      <c r="I214" s="313"/>
      <c r="J214" s="313"/>
      <c r="K214" s="313"/>
      <c r="L214" s="313"/>
      <c r="M214" s="313"/>
      <c r="N214" s="313"/>
      <c r="O214" s="313"/>
      <c r="P214" s="313"/>
      <c r="Q214" s="313"/>
      <c r="R214" s="313"/>
      <c r="S214" s="313"/>
    </row>
    <row r="215" spans="1:19" ht="12" x14ac:dyDescent="0.15">
      <c r="A215" s="307" t="str">
        <f t="shared" si="6"/>
        <v>Feb</v>
      </c>
      <c r="B215" s="308">
        <f t="shared" si="7"/>
        <v>44870</v>
      </c>
      <c r="C215" s="316">
        <v>31</v>
      </c>
      <c r="D215" s="316">
        <v>8</v>
      </c>
      <c r="E215" s="317"/>
      <c r="F215" s="312">
        <v>1</v>
      </c>
      <c r="G215" s="313"/>
      <c r="H215" s="313"/>
      <c r="I215" s="313"/>
      <c r="J215" s="313"/>
      <c r="K215" s="313"/>
      <c r="L215" s="313"/>
      <c r="M215" s="313"/>
      <c r="N215" s="313"/>
      <c r="O215" s="313"/>
      <c r="P215" s="313"/>
      <c r="Q215" s="313"/>
      <c r="R215" s="313"/>
      <c r="S215" s="313"/>
    </row>
    <row r="216" spans="1:19" ht="12" x14ac:dyDescent="0.15">
      <c r="A216" s="307" t="str">
        <f t="shared" si="6"/>
        <v>Feb</v>
      </c>
      <c r="B216" s="321">
        <f t="shared" si="7"/>
        <v>44871</v>
      </c>
      <c r="C216" s="316">
        <v>31</v>
      </c>
      <c r="D216" s="316">
        <v>8</v>
      </c>
      <c r="E216" s="315"/>
      <c r="F216" s="312">
        <v>1</v>
      </c>
      <c r="G216" s="313"/>
      <c r="H216" s="313"/>
      <c r="I216" s="313"/>
      <c r="J216" s="313"/>
      <c r="K216" s="313"/>
      <c r="L216" s="313"/>
      <c r="M216" s="313"/>
      <c r="N216" s="313"/>
      <c r="O216" s="313"/>
      <c r="P216" s="313"/>
      <c r="Q216" s="313"/>
      <c r="R216" s="313"/>
      <c r="S216" s="313"/>
    </row>
    <row r="217" spans="1:19" ht="12" x14ac:dyDescent="0.15">
      <c r="A217" s="307" t="str">
        <f t="shared" si="6"/>
        <v>Feb</v>
      </c>
      <c r="B217" s="308">
        <f t="shared" si="7"/>
        <v>44872</v>
      </c>
      <c r="C217" s="309">
        <v>32</v>
      </c>
      <c r="D217" s="309">
        <v>8</v>
      </c>
      <c r="E217" s="311"/>
      <c r="F217" s="312">
        <v>2</v>
      </c>
      <c r="G217" s="313"/>
      <c r="H217" s="313"/>
      <c r="I217" s="313"/>
      <c r="J217" s="313"/>
      <c r="K217" s="313"/>
      <c r="L217" s="313"/>
      <c r="M217" s="313"/>
      <c r="N217" s="313"/>
      <c r="O217" s="313"/>
      <c r="P217" s="313"/>
      <c r="Q217" s="313"/>
      <c r="R217" s="313"/>
      <c r="S217" s="313"/>
    </row>
    <row r="218" spans="1:19" ht="12" x14ac:dyDescent="0.15">
      <c r="A218" s="307" t="str">
        <f t="shared" si="6"/>
        <v>Feb</v>
      </c>
      <c r="B218" s="308">
        <f t="shared" si="7"/>
        <v>44873</v>
      </c>
      <c r="C218" s="309">
        <v>32</v>
      </c>
      <c r="D218" s="309">
        <v>8</v>
      </c>
      <c r="E218" s="311"/>
      <c r="F218" s="312">
        <v>2</v>
      </c>
      <c r="G218" s="313"/>
      <c r="H218" s="313"/>
      <c r="I218" s="313"/>
      <c r="J218" s="313"/>
      <c r="K218" s="313"/>
      <c r="L218" s="313"/>
      <c r="M218" s="313"/>
      <c r="N218" s="313"/>
      <c r="O218" s="313"/>
      <c r="P218" s="313"/>
      <c r="Q218" s="313"/>
      <c r="R218" s="313"/>
      <c r="S218" s="313"/>
    </row>
    <row r="219" spans="1:19" ht="12" x14ac:dyDescent="0.15">
      <c r="A219" s="307" t="str">
        <f t="shared" si="6"/>
        <v>Feb</v>
      </c>
      <c r="B219" s="308">
        <f t="shared" si="7"/>
        <v>44874</v>
      </c>
      <c r="C219" s="309">
        <v>32</v>
      </c>
      <c r="D219" s="309">
        <v>8</v>
      </c>
      <c r="E219" s="311"/>
      <c r="F219" s="312">
        <v>2</v>
      </c>
      <c r="G219" s="313"/>
      <c r="H219" s="313"/>
      <c r="I219" s="313"/>
      <c r="J219" s="313"/>
      <c r="K219" s="313"/>
      <c r="L219" s="313"/>
      <c r="M219" s="313"/>
      <c r="N219" s="313"/>
      <c r="O219" s="313"/>
      <c r="P219" s="313"/>
      <c r="Q219" s="313"/>
      <c r="R219" s="313"/>
      <c r="S219" s="313"/>
    </row>
    <row r="220" spans="1:19" ht="12" x14ac:dyDescent="0.15">
      <c r="A220" s="307" t="str">
        <f t="shared" si="6"/>
        <v>Feb</v>
      </c>
      <c r="B220" s="308">
        <f t="shared" si="7"/>
        <v>44875</v>
      </c>
      <c r="C220" s="309">
        <v>32</v>
      </c>
      <c r="D220" s="309">
        <v>8</v>
      </c>
      <c r="E220" s="311"/>
      <c r="F220" s="312">
        <v>2</v>
      </c>
      <c r="G220" s="313"/>
      <c r="H220" s="313"/>
      <c r="I220" s="313"/>
      <c r="J220" s="313"/>
      <c r="K220" s="313"/>
      <c r="L220" s="313"/>
      <c r="M220" s="313"/>
      <c r="N220" s="313"/>
      <c r="O220" s="313"/>
      <c r="P220" s="313"/>
      <c r="Q220" s="313"/>
      <c r="R220" s="313"/>
      <c r="S220" s="313"/>
    </row>
    <row r="221" spans="1:19" ht="12" x14ac:dyDescent="0.15">
      <c r="A221" s="307" t="str">
        <f t="shared" si="6"/>
        <v>Feb</v>
      </c>
      <c r="B221" s="308">
        <f t="shared" si="7"/>
        <v>44876</v>
      </c>
      <c r="C221" s="309">
        <v>32</v>
      </c>
      <c r="D221" s="309">
        <v>8</v>
      </c>
      <c r="E221" s="311"/>
      <c r="F221" s="312">
        <v>2</v>
      </c>
      <c r="G221" s="313"/>
      <c r="H221" s="313"/>
      <c r="I221" s="313"/>
      <c r="J221" s="313"/>
      <c r="K221" s="313"/>
      <c r="L221" s="313"/>
      <c r="M221" s="313"/>
      <c r="N221" s="313"/>
      <c r="O221" s="313"/>
      <c r="P221" s="313"/>
      <c r="Q221" s="313"/>
      <c r="R221" s="313"/>
      <c r="S221" s="313"/>
    </row>
    <row r="222" spans="1:19" ht="12" x14ac:dyDescent="0.15">
      <c r="A222" s="307" t="str">
        <f t="shared" si="6"/>
        <v>Feb</v>
      </c>
      <c r="B222" s="308">
        <f t="shared" si="7"/>
        <v>44877</v>
      </c>
      <c r="C222" s="309">
        <v>32</v>
      </c>
      <c r="D222" s="309">
        <v>8</v>
      </c>
      <c r="E222" s="311"/>
      <c r="F222" s="312">
        <v>2</v>
      </c>
      <c r="G222" s="313"/>
      <c r="H222" s="313"/>
      <c r="I222" s="313"/>
      <c r="J222" s="313"/>
      <c r="K222" s="313"/>
      <c r="L222" s="313"/>
      <c r="M222" s="313"/>
      <c r="N222" s="313"/>
      <c r="O222" s="313"/>
      <c r="P222" s="313"/>
      <c r="Q222" s="313"/>
      <c r="R222" s="313"/>
      <c r="S222" s="313"/>
    </row>
    <row r="223" spans="1:19" ht="12" x14ac:dyDescent="0.15">
      <c r="A223" s="307" t="str">
        <f t="shared" si="6"/>
        <v>Feb</v>
      </c>
      <c r="B223" s="308">
        <f t="shared" si="7"/>
        <v>44878</v>
      </c>
      <c r="C223" s="309">
        <v>32</v>
      </c>
      <c r="D223" s="309">
        <v>8</v>
      </c>
      <c r="E223" s="311"/>
      <c r="F223" s="312">
        <v>2</v>
      </c>
      <c r="G223" s="313"/>
      <c r="H223" s="313"/>
      <c r="I223" s="313"/>
      <c r="J223" s="313"/>
      <c r="K223" s="313"/>
      <c r="L223" s="313"/>
      <c r="M223" s="313"/>
      <c r="N223" s="313"/>
      <c r="O223" s="313"/>
      <c r="P223" s="313"/>
      <c r="Q223" s="313"/>
      <c r="R223" s="313"/>
      <c r="S223" s="313"/>
    </row>
    <row r="224" spans="1:19" ht="12" x14ac:dyDescent="0.15">
      <c r="A224" s="307" t="str">
        <f t="shared" si="6"/>
        <v>Feb</v>
      </c>
      <c r="B224" s="308">
        <f t="shared" si="7"/>
        <v>44879</v>
      </c>
      <c r="C224" s="309">
        <v>33</v>
      </c>
      <c r="D224" s="309">
        <v>8</v>
      </c>
      <c r="E224" s="311"/>
      <c r="F224" s="312">
        <v>3</v>
      </c>
      <c r="G224" s="313"/>
      <c r="H224" s="313"/>
      <c r="I224" s="313"/>
      <c r="J224" s="313"/>
      <c r="K224" s="313"/>
      <c r="L224" s="313"/>
      <c r="M224" s="313"/>
      <c r="N224" s="313"/>
      <c r="O224" s="313"/>
      <c r="P224" s="313"/>
      <c r="Q224" s="313"/>
      <c r="R224" s="313"/>
      <c r="S224" s="313"/>
    </row>
    <row r="225" spans="1:19" ht="12" x14ac:dyDescent="0.15">
      <c r="A225" s="307" t="str">
        <f t="shared" si="6"/>
        <v>Feb</v>
      </c>
      <c r="B225" s="308">
        <f t="shared" si="7"/>
        <v>44880</v>
      </c>
      <c r="C225" s="309">
        <v>33</v>
      </c>
      <c r="D225" s="309">
        <v>8</v>
      </c>
      <c r="E225" s="311"/>
      <c r="F225" s="312">
        <v>3</v>
      </c>
      <c r="G225" s="313"/>
      <c r="H225" s="313"/>
      <c r="I225" s="313"/>
      <c r="J225" s="313"/>
      <c r="K225" s="313"/>
      <c r="L225" s="313"/>
      <c r="M225" s="313"/>
      <c r="N225" s="313"/>
      <c r="O225" s="313"/>
      <c r="P225" s="313"/>
      <c r="Q225" s="313"/>
      <c r="R225" s="313"/>
      <c r="S225" s="313"/>
    </row>
    <row r="226" spans="1:19" ht="12" x14ac:dyDescent="0.15">
      <c r="A226" s="307" t="str">
        <f t="shared" si="6"/>
        <v>Feb</v>
      </c>
      <c r="B226" s="308">
        <f t="shared" si="7"/>
        <v>44881</v>
      </c>
      <c r="C226" s="309">
        <v>33</v>
      </c>
      <c r="D226" s="309">
        <v>8</v>
      </c>
      <c r="E226" s="311"/>
      <c r="F226" s="312">
        <v>3</v>
      </c>
      <c r="G226" s="313"/>
      <c r="H226" s="313"/>
      <c r="I226" s="313"/>
      <c r="J226" s="313"/>
      <c r="K226" s="313"/>
      <c r="L226" s="313"/>
      <c r="M226" s="313"/>
      <c r="N226" s="313"/>
      <c r="O226" s="313"/>
      <c r="P226" s="313"/>
      <c r="Q226" s="313"/>
      <c r="R226" s="313"/>
      <c r="S226" s="313"/>
    </row>
    <row r="227" spans="1:19" ht="12" x14ac:dyDescent="0.15">
      <c r="A227" s="307" t="str">
        <f t="shared" si="6"/>
        <v>Feb</v>
      </c>
      <c r="B227" s="308">
        <f t="shared" si="7"/>
        <v>44882</v>
      </c>
      <c r="C227" s="309">
        <v>33</v>
      </c>
      <c r="D227" s="309">
        <v>8</v>
      </c>
      <c r="E227" s="311"/>
      <c r="F227" s="312">
        <v>3</v>
      </c>
      <c r="G227" s="313"/>
      <c r="H227" s="313"/>
      <c r="I227" s="313"/>
      <c r="J227" s="313"/>
      <c r="K227" s="313"/>
      <c r="L227" s="313"/>
      <c r="M227" s="313"/>
      <c r="N227" s="313"/>
      <c r="O227" s="313"/>
      <c r="P227" s="313"/>
      <c r="Q227" s="313"/>
      <c r="R227" s="313"/>
      <c r="S227" s="313"/>
    </row>
    <row r="228" spans="1:19" ht="12" x14ac:dyDescent="0.15">
      <c r="A228" s="307" t="str">
        <f t="shared" si="6"/>
        <v>Feb</v>
      </c>
      <c r="B228" s="308">
        <f t="shared" si="7"/>
        <v>44883</v>
      </c>
      <c r="C228" s="309">
        <v>33</v>
      </c>
      <c r="D228" s="309">
        <v>8</v>
      </c>
      <c r="E228" s="311"/>
      <c r="F228" s="312">
        <v>3</v>
      </c>
      <c r="G228" s="313"/>
      <c r="H228" s="313"/>
      <c r="I228" s="313"/>
      <c r="J228" s="313"/>
      <c r="K228" s="313"/>
      <c r="L228" s="313"/>
      <c r="M228" s="313"/>
      <c r="N228" s="313"/>
      <c r="O228" s="313"/>
      <c r="P228" s="313"/>
      <c r="Q228" s="313"/>
      <c r="R228" s="313"/>
      <c r="S228" s="313"/>
    </row>
    <row r="229" spans="1:19" ht="12" x14ac:dyDescent="0.15">
      <c r="A229" s="307" t="str">
        <f t="shared" si="6"/>
        <v>Feb</v>
      </c>
      <c r="B229" s="308">
        <f t="shared" si="7"/>
        <v>44884</v>
      </c>
      <c r="C229" s="309">
        <v>33</v>
      </c>
      <c r="D229" s="309">
        <v>8</v>
      </c>
      <c r="E229" s="311"/>
      <c r="F229" s="312">
        <v>3</v>
      </c>
      <c r="G229" s="313"/>
      <c r="H229" s="313"/>
      <c r="I229" s="313"/>
      <c r="J229" s="313"/>
      <c r="K229" s="313"/>
      <c r="L229" s="313"/>
      <c r="M229" s="313"/>
      <c r="N229" s="313"/>
      <c r="O229" s="313"/>
      <c r="P229" s="313"/>
      <c r="Q229" s="313"/>
      <c r="R229" s="313"/>
      <c r="S229" s="313"/>
    </row>
    <row r="230" spans="1:19" ht="12" x14ac:dyDescent="0.15">
      <c r="A230" s="307" t="str">
        <f t="shared" si="6"/>
        <v>Feb</v>
      </c>
      <c r="B230" s="308">
        <f t="shared" si="7"/>
        <v>44885</v>
      </c>
      <c r="C230" s="309">
        <v>33</v>
      </c>
      <c r="D230" s="309">
        <v>8</v>
      </c>
      <c r="E230" s="311"/>
      <c r="F230" s="312">
        <v>3</v>
      </c>
      <c r="G230" s="313"/>
      <c r="H230" s="313"/>
      <c r="I230" s="313"/>
      <c r="J230" s="313"/>
      <c r="K230" s="313"/>
      <c r="L230" s="313"/>
      <c r="M230" s="313"/>
      <c r="N230" s="313"/>
      <c r="O230" s="313"/>
      <c r="P230" s="313"/>
      <c r="Q230" s="313"/>
      <c r="R230" s="313"/>
      <c r="S230" s="313"/>
    </row>
    <row r="231" spans="1:19" ht="12" x14ac:dyDescent="0.15">
      <c r="A231" s="307" t="str">
        <f t="shared" si="6"/>
        <v>Feb</v>
      </c>
      <c r="B231" s="308">
        <f t="shared" si="7"/>
        <v>44886</v>
      </c>
      <c r="C231" s="309">
        <v>34</v>
      </c>
      <c r="D231" s="309">
        <v>8</v>
      </c>
      <c r="E231" s="311"/>
      <c r="F231" s="312">
        <v>4</v>
      </c>
      <c r="G231" s="313"/>
      <c r="H231" s="313"/>
      <c r="I231" s="313"/>
      <c r="J231" s="313"/>
      <c r="K231" s="313"/>
      <c r="L231" s="313"/>
      <c r="M231" s="313"/>
      <c r="N231" s="313"/>
      <c r="O231" s="313"/>
      <c r="P231" s="313"/>
      <c r="Q231" s="313"/>
      <c r="R231" s="313"/>
      <c r="S231" s="313"/>
    </row>
    <row r="232" spans="1:19" ht="12" x14ac:dyDescent="0.15">
      <c r="A232" s="307" t="str">
        <f t="shared" si="6"/>
        <v>Feb</v>
      </c>
      <c r="B232" s="308">
        <f t="shared" si="7"/>
        <v>44887</v>
      </c>
      <c r="C232" s="309">
        <v>34</v>
      </c>
      <c r="D232" s="309">
        <v>8</v>
      </c>
      <c r="E232" s="311"/>
      <c r="F232" s="312">
        <v>4</v>
      </c>
      <c r="G232" s="313"/>
      <c r="H232" s="313"/>
      <c r="I232" s="313"/>
      <c r="J232" s="313"/>
      <c r="K232" s="313"/>
      <c r="L232" s="313"/>
      <c r="M232" s="313"/>
      <c r="N232" s="313"/>
      <c r="O232" s="313"/>
      <c r="P232" s="313"/>
      <c r="Q232" s="313"/>
      <c r="R232" s="313"/>
      <c r="S232" s="313"/>
    </row>
    <row r="233" spans="1:19" ht="12" x14ac:dyDescent="0.15">
      <c r="A233" s="307" t="str">
        <f t="shared" si="6"/>
        <v>Feb</v>
      </c>
      <c r="B233" s="308">
        <f t="shared" si="7"/>
        <v>44888</v>
      </c>
      <c r="C233" s="309">
        <v>34</v>
      </c>
      <c r="D233" s="309">
        <v>8</v>
      </c>
      <c r="E233" s="311"/>
      <c r="F233" s="312">
        <v>4</v>
      </c>
      <c r="G233" s="313"/>
      <c r="H233" s="313"/>
      <c r="I233" s="313"/>
      <c r="J233" s="313"/>
      <c r="K233" s="313"/>
      <c r="L233" s="313"/>
      <c r="M233" s="313"/>
      <c r="N233" s="313"/>
      <c r="O233" s="313"/>
      <c r="P233" s="313"/>
      <c r="Q233" s="313"/>
      <c r="R233" s="313"/>
      <c r="S233" s="313"/>
    </row>
    <row r="234" spans="1:19" ht="12" x14ac:dyDescent="0.15">
      <c r="A234" s="307" t="str">
        <f t="shared" si="6"/>
        <v>Feb</v>
      </c>
      <c r="B234" s="308">
        <f t="shared" si="7"/>
        <v>44889</v>
      </c>
      <c r="C234" s="309">
        <v>34</v>
      </c>
      <c r="D234" s="309">
        <v>8</v>
      </c>
      <c r="E234" s="311"/>
      <c r="F234" s="312">
        <v>4</v>
      </c>
      <c r="G234" s="313"/>
      <c r="H234" s="313"/>
      <c r="I234" s="313"/>
      <c r="J234" s="313"/>
      <c r="K234" s="313"/>
      <c r="L234" s="313"/>
      <c r="M234" s="313"/>
      <c r="N234" s="313"/>
      <c r="O234" s="313"/>
      <c r="P234" s="313"/>
      <c r="Q234" s="313"/>
      <c r="R234" s="313"/>
      <c r="S234" s="313"/>
    </row>
    <row r="235" spans="1:19" ht="12" x14ac:dyDescent="0.15">
      <c r="A235" s="307" t="str">
        <f t="shared" si="6"/>
        <v>Feb</v>
      </c>
      <c r="B235" s="308">
        <f t="shared" si="7"/>
        <v>44890</v>
      </c>
      <c r="C235" s="309">
        <v>34</v>
      </c>
      <c r="D235" s="309">
        <v>8</v>
      </c>
      <c r="E235" s="311"/>
      <c r="F235" s="312">
        <v>4</v>
      </c>
      <c r="G235" s="313"/>
      <c r="H235" s="313"/>
      <c r="I235" s="313"/>
      <c r="J235" s="313"/>
      <c r="K235" s="313"/>
      <c r="L235" s="313"/>
      <c r="M235" s="313"/>
      <c r="N235" s="313"/>
      <c r="O235" s="313"/>
      <c r="P235" s="313"/>
      <c r="Q235" s="313"/>
      <c r="R235" s="313"/>
      <c r="S235" s="313"/>
    </row>
    <row r="236" spans="1:19" ht="12" x14ac:dyDescent="0.15">
      <c r="A236" s="307" t="str">
        <f t="shared" si="6"/>
        <v>Feb</v>
      </c>
      <c r="B236" s="308">
        <f t="shared" si="7"/>
        <v>44891</v>
      </c>
      <c r="C236" s="309">
        <v>34</v>
      </c>
      <c r="D236" s="309">
        <v>8</v>
      </c>
      <c r="E236" s="311"/>
      <c r="F236" s="312">
        <v>4</v>
      </c>
      <c r="G236" s="313"/>
      <c r="H236" s="313"/>
      <c r="I236" s="313"/>
      <c r="J236" s="313"/>
      <c r="K236" s="313"/>
      <c r="L236" s="313"/>
      <c r="M236" s="313"/>
      <c r="N236" s="313"/>
      <c r="O236" s="313"/>
      <c r="P236" s="313"/>
      <c r="Q236" s="313"/>
      <c r="R236" s="313"/>
      <c r="S236" s="313"/>
    </row>
    <row r="237" spans="1:19" ht="12" x14ac:dyDescent="0.15">
      <c r="A237" s="307" t="str">
        <f t="shared" si="6"/>
        <v>Feb</v>
      </c>
      <c r="B237" s="308">
        <f t="shared" si="7"/>
        <v>44892</v>
      </c>
      <c r="C237" s="309">
        <v>34</v>
      </c>
      <c r="D237" s="309">
        <v>8</v>
      </c>
      <c r="E237" s="311"/>
      <c r="F237" s="312">
        <v>4</v>
      </c>
      <c r="G237" s="313"/>
      <c r="H237" s="313"/>
      <c r="I237" s="313"/>
      <c r="J237" s="313"/>
      <c r="K237" s="313"/>
      <c r="L237" s="313"/>
      <c r="M237" s="313"/>
      <c r="N237" s="313"/>
      <c r="O237" s="313"/>
      <c r="P237" s="313"/>
      <c r="Q237" s="313"/>
      <c r="R237" s="313"/>
      <c r="S237" s="313"/>
    </row>
    <row r="238" spans="1:19" ht="12" x14ac:dyDescent="0.15">
      <c r="A238" s="307" t="str">
        <f t="shared" si="6"/>
        <v>Mar</v>
      </c>
      <c r="B238" s="308">
        <f t="shared" si="7"/>
        <v>44893</v>
      </c>
      <c r="C238" s="309">
        <v>35</v>
      </c>
      <c r="D238" s="309">
        <v>9</v>
      </c>
      <c r="E238" s="311"/>
      <c r="F238" s="312">
        <v>1</v>
      </c>
      <c r="G238" s="313"/>
      <c r="H238" s="313"/>
      <c r="I238" s="313"/>
      <c r="J238" s="313"/>
      <c r="K238" s="313"/>
      <c r="L238" s="313"/>
      <c r="M238" s="313"/>
      <c r="N238" s="313"/>
      <c r="O238" s="313"/>
      <c r="P238" s="313"/>
      <c r="Q238" s="313"/>
      <c r="R238" s="313"/>
      <c r="S238" s="313"/>
    </row>
    <row r="239" spans="1:19" ht="12" x14ac:dyDescent="0.15">
      <c r="A239" s="307" t="str">
        <f t="shared" si="6"/>
        <v>Mar</v>
      </c>
      <c r="B239" s="308">
        <f t="shared" si="7"/>
        <v>44894</v>
      </c>
      <c r="C239" s="309">
        <v>35</v>
      </c>
      <c r="D239" s="309">
        <v>9</v>
      </c>
      <c r="E239" s="311"/>
      <c r="F239" s="312">
        <v>1</v>
      </c>
      <c r="G239" s="313"/>
      <c r="H239" s="313"/>
      <c r="I239" s="313"/>
      <c r="J239" s="313"/>
      <c r="K239" s="313"/>
      <c r="L239" s="313"/>
      <c r="M239" s="313"/>
      <c r="N239" s="313"/>
      <c r="O239" s="313"/>
      <c r="P239" s="313"/>
      <c r="Q239" s="313"/>
      <c r="R239" s="313"/>
      <c r="S239" s="313"/>
    </row>
    <row r="240" spans="1:19" x14ac:dyDescent="0.15">
      <c r="A240" s="307" t="str">
        <f t="shared" si="6"/>
        <v>Mar</v>
      </c>
      <c r="B240" s="308">
        <f t="shared" si="7"/>
        <v>44895</v>
      </c>
      <c r="C240" s="309">
        <v>35</v>
      </c>
      <c r="D240" s="309">
        <v>9</v>
      </c>
      <c r="E240" s="311"/>
      <c r="F240" s="309">
        <v>1</v>
      </c>
      <c r="G240" s="313"/>
      <c r="H240" s="313"/>
      <c r="I240" s="313"/>
      <c r="J240" s="313"/>
      <c r="K240" s="313"/>
      <c r="L240" s="313"/>
      <c r="M240" s="313"/>
      <c r="N240" s="313"/>
      <c r="O240" s="313"/>
      <c r="P240" s="313"/>
      <c r="Q240" s="313"/>
      <c r="R240" s="313"/>
      <c r="S240" s="313"/>
    </row>
    <row r="241" spans="1:19" ht="12" x14ac:dyDescent="0.15">
      <c r="A241" s="307" t="str">
        <f t="shared" si="6"/>
        <v>Mar</v>
      </c>
      <c r="B241" s="308">
        <f t="shared" si="7"/>
        <v>44896</v>
      </c>
      <c r="C241" s="309">
        <v>35</v>
      </c>
      <c r="D241" s="309">
        <v>9</v>
      </c>
      <c r="E241" s="311"/>
      <c r="F241" s="312">
        <v>1</v>
      </c>
      <c r="G241" s="313"/>
      <c r="H241" s="313"/>
      <c r="I241" s="313"/>
      <c r="J241" s="313"/>
      <c r="K241" s="313"/>
      <c r="L241" s="313"/>
      <c r="M241" s="313"/>
      <c r="N241" s="313"/>
      <c r="O241" s="313"/>
      <c r="P241" s="313"/>
      <c r="Q241" s="313"/>
      <c r="R241" s="313"/>
      <c r="S241" s="313"/>
    </row>
    <row r="242" spans="1:19" ht="12" x14ac:dyDescent="0.15">
      <c r="A242" s="307" t="str">
        <f t="shared" si="6"/>
        <v>Mar</v>
      </c>
      <c r="B242" s="308">
        <f t="shared" si="7"/>
        <v>44897</v>
      </c>
      <c r="C242" s="309">
        <v>35</v>
      </c>
      <c r="D242" s="309">
        <v>9</v>
      </c>
      <c r="E242" s="311"/>
      <c r="F242" s="312">
        <v>1</v>
      </c>
      <c r="G242" s="313"/>
      <c r="H242" s="313"/>
      <c r="I242" s="313"/>
      <c r="J242" s="313"/>
      <c r="K242" s="313"/>
      <c r="L242" s="313"/>
      <c r="M242" s="313"/>
      <c r="N242" s="313"/>
      <c r="O242" s="313"/>
      <c r="P242" s="313"/>
      <c r="Q242" s="313"/>
      <c r="R242" s="313"/>
      <c r="S242" s="313"/>
    </row>
    <row r="243" spans="1:19" ht="12" x14ac:dyDescent="0.15">
      <c r="A243" s="307" t="str">
        <f t="shared" si="6"/>
        <v>Mar</v>
      </c>
      <c r="B243" s="308">
        <f t="shared" si="7"/>
        <v>44898</v>
      </c>
      <c r="C243" s="309">
        <v>35</v>
      </c>
      <c r="D243" s="309">
        <v>9</v>
      </c>
      <c r="E243" s="311"/>
      <c r="F243" s="312">
        <v>1</v>
      </c>
      <c r="G243" s="313"/>
      <c r="H243" s="313"/>
      <c r="I243" s="313"/>
      <c r="J243" s="313"/>
      <c r="K243" s="313"/>
      <c r="L243" s="313"/>
      <c r="M243" s="313"/>
      <c r="N243" s="313"/>
      <c r="O243" s="313"/>
      <c r="P243" s="313"/>
      <c r="Q243" s="313"/>
      <c r="R243" s="313"/>
      <c r="S243" s="313"/>
    </row>
    <row r="244" spans="1:19" ht="12" x14ac:dyDescent="0.15">
      <c r="A244" s="307" t="str">
        <f t="shared" si="6"/>
        <v>Mar</v>
      </c>
      <c r="B244" s="308">
        <f t="shared" si="7"/>
        <v>44899</v>
      </c>
      <c r="C244" s="309">
        <v>35</v>
      </c>
      <c r="D244" s="309">
        <v>9</v>
      </c>
      <c r="E244" s="311"/>
      <c r="F244" s="312">
        <v>1</v>
      </c>
      <c r="G244" s="313"/>
      <c r="H244" s="313"/>
      <c r="I244" s="313"/>
      <c r="J244" s="313"/>
      <c r="K244" s="313"/>
      <c r="L244" s="313"/>
      <c r="M244" s="313"/>
      <c r="N244" s="313"/>
      <c r="O244" s="313"/>
      <c r="P244" s="313"/>
      <c r="Q244" s="313"/>
      <c r="R244" s="313"/>
      <c r="S244" s="313"/>
    </row>
    <row r="245" spans="1:19" ht="12" x14ac:dyDescent="0.15">
      <c r="A245" s="307" t="str">
        <f t="shared" si="6"/>
        <v>Mar</v>
      </c>
      <c r="B245" s="308">
        <f t="shared" si="7"/>
        <v>44900</v>
      </c>
      <c r="C245" s="309">
        <v>36</v>
      </c>
      <c r="D245" s="309">
        <v>9</v>
      </c>
      <c r="E245" s="311"/>
      <c r="F245" s="312">
        <v>2</v>
      </c>
      <c r="G245" s="313"/>
      <c r="H245" s="313"/>
      <c r="I245" s="313"/>
      <c r="J245" s="313"/>
      <c r="K245" s="313"/>
      <c r="L245" s="313"/>
      <c r="M245" s="313"/>
      <c r="N245" s="313"/>
      <c r="O245" s="313"/>
      <c r="P245" s="313"/>
      <c r="Q245" s="313"/>
      <c r="R245" s="313"/>
      <c r="S245" s="313"/>
    </row>
    <row r="246" spans="1:19" ht="12" x14ac:dyDescent="0.15">
      <c r="A246" s="307" t="str">
        <f t="shared" si="6"/>
        <v>Mar</v>
      </c>
      <c r="B246" s="321">
        <f t="shared" si="7"/>
        <v>44901</v>
      </c>
      <c r="C246" s="316">
        <v>36</v>
      </c>
      <c r="D246" s="316">
        <v>9</v>
      </c>
      <c r="E246" s="315"/>
      <c r="F246" s="312">
        <v>2</v>
      </c>
      <c r="G246" s="313"/>
      <c r="H246" s="313"/>
      <c r="I246" s="313"/>
      <c r="J246" s="313"/>
      <c r="K246" s="313"/>
      <c r="L246" s="313"/>
      <c r="M246" s="313"/>
      <c r="N246" s="313"/>
      <c r="O246" s="313"/>
      <c r="P246" s="313"/>
      <c r="Q246" s="313"/>
      <c r="R246" s="313"/>
      <c r="S246" s="313"/>
    </row>
    <row r="247" spans="1:19" ht="12" x14ac:dyDescent="0.15">
      <c r="A247" s="307" t="str">
        <f t="shared" si="6"/>
        <v>Mar</v>
      </c>
      <c r="B247" s="308">
        <f t="shared" si="7"/>
        <v>44902</v>
      </c>
      <c r="C247" s="309">
        <v>36</v>
      </c>
      <c r="D247" s="309">
        <v>9</v>
      </c>
      <c r="E247" s="311"/>
      <c r="F247" s="312">
        <v>2</v>
      </c>
      <c r="G247" s="313"/>
      <c r="H247" s="313"/>
      <c r="I247" s="313"/>
      <c r="J247" s="313"/>
      <c r="K247" s="313"/>
      <c r="L247" s="313"/>
      <c r="M247" s="313"/>
      <c r="N247" s="313"/>
      <c r="O247" s="313"/>
      <c r="P247" s="313"/>
      <c r="Q247" s="313"/>
      <c r="R247" s="313"/>
      <c r="S247" s="313"/>
    </row>
    <row r="248" spans="1:19" ht="12" x14ac:dyDescent="0.15">
      <c r="A248" s="307" t="str">
        <f t="shared" si="6"/>
        <v>Mar</v>
      </c>
      <c r="B248" s="308">
        <f t="shared" si="7"/>
        <v>44903</v>
      </c>
      <c r="C248" s="309">
        <v>36</v>
      </c>
      <c r="D248" s="309">
        <v>9</v>
      </c>
      <c r="E248" s="311"/>
      <c r="F248" s="312">
        <v>2</v>
      </c>
      <c r="G248" s="313"/>
      <c r="H248" s="313"/>
      <c r="I248" s="313"/>
      <c r="J248" s="313"/>
      <c r="K248" s="313"/>
      <c r="L248" s="313"/>
      <c r="M248" s="313"/>
      <c r="N248" s="313"/>
      <c r="O248" s="313"/>
      <c r="P248" s="313"/>
      <c r="Q248" s="313"/>
      <c r="R248" s="313"/>
      <c r="S248" s="313"/>
    </row>
    <row r="249" spans="1:19" ht="12" x14ac:dyDescent="0.15">
      <c r="A249" s="307" t="str">
        <f t="shared" si="6"/>
        <v>Mar</v>
      </c>
      <c r="B249" s="308">
        <f t="shared" si="7"/>
        <v>44904</v>
      </c>
      <c r="C249" s="309">
        <v>36</v>
      </c>
      <c r="D249" s="309">
        <v>9</v>
      </c>
      <c r="E249" s="311"/>
      <c r="F249" s="312">
        <v>2</v>
      </c>
      <c r="G249" s="313"/>
      <c r="H249" s="313"/>
      <c r="I249" s="313"/>
      <c r="J249" s="313"/>
      <c r="K249" s="313"/>
      <c r="L249" s="313"/>
      <c r="M249" s="313"/>
      <c r="N249" s="313"/>
      <c r="O249" s="313"/>
      <c r="P249" s="313"/>
      <c r="Q249" s="313"/>
      <c r="R249" s="313"/>
      <c r="S249" s="313"/>
    </row>
    <row r="250" spans="1:19" ht="12" x14ac:dyDescent="0.15">
      <c r="A250" s="307" t="str">
        <f t="shared" si="6"/>
        <v>Mar</v>
      </c>
      <c r="B250" s="308">
        <f t="shared" si="7"/>
        <v>44905</v>
      </c>
      <c r="C250" s="309">
        <v>36</v>
      </c>
      <c r="D250" s="309">
        <v>9</v>
      </c>
      <c r="E250" s="311"/>
      <c r="F250" s="312">
        <v>2</v>
      </c>
      <c r="G250" s="313"/>
      <c r="H250" s="313"/>
      <c r="I250" s="313"/>
      <c r="J250" s="313"/>
      <c r="K250" s="313"/>
      <c r="L250" s="313"/>
      <c r="M250" s="313"/>
      <c r="N250" s="313"/>
      <c r="O250" s="313"/>
      <c r="P250" s="313"/>
      <c r="Q250" s="313"/>
      <c r="R250" s="313"/>
      <c r="S250" s="313"/>
    </row>
    <row r="251" spans="1:19" ht="12" x14ac:dyDescent="0.15">
      <c r="A251" s="307" t="str">
        <f t="shared" si="6"/>
        <v>Mar</v>
      </c>
      <c r="B251" s="308">
        <f t="shared" si="7"/>
        <v>44906</v>
      </c>
      <c r="C251" s="309">
        <v>36</v>
      </c>
      <c r="D251" s="309">
        <v>9</v>
      </c>
      <c r="E251" s="311"/>
      <c r="F251" s="312">
        <v>2</v>
      </c>
      <c r="G251" s="313"/>
      <c r="H251" s="313"/>
      <c r="I251" s="313"/>
      <c r="J251" s="313"/>
      <c r="K251" s="313"/>
      <c r="L251" s="313"/>
      <c r="M251" s="313"/>
      <c r="N251" s="313"/>
      <c r="O251" s="313"/>
      <c r="P251" s="313"/>
      <c r="Q251" s="313"/>
      <c r="R251" s="313"/>
      <c r="S251" s="313"/>
    </row>
    <row r="252" spans="1:19" ht="12" x14ac:dyDescent="0.15">
      <c r="A252" s="307" t="str">
        <f t="shared" si="6"/>
        <v>Mar</v>
      </c>
      <c r="B252" s="308">
        <f t="shared" si="7"/>
        <v>44907</v>
      </c>
      <c r="C252" s="309">
        <v>37</v>
      </c>
      <c r="D252" s="309">
        <v>9</v>
      </c>
      <c r="E252" s="311"/>
      <c r="F252" s="312">
        <v>3</v>
      </c>
      <c r="G252" s="313"/>
      <c r="H252" s="313"/>
      <c r="I252" s="313"/>
      <c r="J252" s="313"/>
      <c r="K252" s="313"/>
      <c r="L252" s="313"/>
      <c r="M252" s="313"/>
      <c r="N252" s="313"/>
      <c r="O252" s="313"/>
      <c r="P252" s="313"/>
      <c r="Q252" s="313"/>
      <c r="R252" s="313"/>
      <c r="S252" s="313"/>
    </row>
    <row r="253" spans="1:19" ht="12" x14ac:dyDescent="0.15">
      <c r="A253" s="307" t="str">
        <f t="shared" si="6"/>
        <v>Mar</v>
      </c>
      <c r="B253" s="308">
        <f t="shared" si="7"/>
        <v>44908</v>
      </c>
      <c r="C253" s="309">
        <v>37</v>
      </c>
      <c r="D253" s="309">
        <v>9</v>
      </c>
      <c r="E253" s="311"/>
      <c r="F253" s="312">
        <v>3</v>
      </c>
      <c r="G253" s="313"/>
      <c r="H253" s="313"/>
      <c r="I253" s="313"/>
      <c r="J253" s="313"/>
      <c r="K253" s="313"/>
      <c r="L253" s="313"/>
      <c r="M253" s="313"/>
      <c r="N253" s="313"/>
      <c r="O253" s="313"/>
      <c r="P253" s="313"/>
      <c r="Q253" s="313"/>
      <c r="R253" s="313"/>
      <c r="S253" s="313"/>
    </row>
    <row r="254" spans="1:19" ht="12" x14ac:dyDescent="0.15">
      <c r="A254" s="307" t="str">
        <f t="shared" si="6"/>
        <v>Mar</v>
      </c>
      <c r="B254" s="308">
        <f t="shared" si="7"/>
        <v>44909</v>
      </c>
      <c r="C254" s="309">
        <v>37</v>
      </c>
      <c r="D254" s="309">
        <v>9</v>
      </c>
      <c r="E254" s="311"/>
      <c r="F254" s="312">
        <v>3</v>
      </c>
      <c r="G254" s="313"/>
      <c r="H254" s="313"/>
      <c r="I254" s="313"/>
      <c r="J254" s="313"/>
      <c r="K254" s="313"/>
      <c r="L254" s="313"/>
      <c r="M254" s="313"/>
      <c r="N254" s="313"/>
      <c r="O254" s="313"/>
      <c r="P254" s="313"/>
      <c r="Q254" s="313"/>
      <c r="R254" s="313"/>
      <c r="S254" s="313"/>
    </row>
    <row r="255" spans="1:19" ht="12" x14ac:dyDescent="0.15">
      <c r="A255" s="307" t="str">
        <f t="shared" si="6"/>
        <v>Mar</v>
      </c>
      <c r="B255" s="308">
        <f t="shared" si="7"/>
        <v>44910</v>
      </c>
      <c r="C255" s="309">
        <v>37</v>
      </c>
      <c r="D255" s="309">
        <v>9</v>
      </c>
      <c r="E255" s="311"/>
      <c r="F255" s="312">
        <v>3</v>
      </c>
      <c r="G255" s="313"/>
      <c r="H255" s="313"/>
      <c r="I255" s="313"/>
      <c r="J255" s="313"/>
      <c r="K255" s="313"/>
      <c r="L255" s="313"/>
      <c r="M255" s="313"/>
      <c r="N255" s="313"/>
      <c r="O255" s="313"/>
      <c r="P255" s="313"/>
      <c r="Q255" s="313"/>
      <c r="R255" s="313"/>
      <c r="S255" s="313"/>
    </row>
    <row r="256" spans="1:19" ht="12" x14ac:dyDescent="0.15">
      <c r="A256" s="307" t="str">
        <f t="shared" si="6"/>
        <v>Mar</v>
      </c>
      <c r="B256" s="308">
        <f t="shared" si="7"/>
        <v>44911</v>
      </c>
      <c r="C256" s="309">
        <v>37</v>
      </c>
      <c r="D256" s="309">
        <v>9</v>
      </c>
      <c r="E256" s="311"/>
      <c r="F256" s="312">
        <v>3</v>
      </c>
      <c r="G256" s="313"/>
      <c r="H256" s="313"/>
      <c r="I256" s="313"/>
      <c r="J256" s="313"/>
      <c r="K256" s="313"/>
      <c r="L256" s="313"/>
      <c r="M256" s="313"/>
      <c r="N256" s="313"/>
      <c r="O256" s="313"/>
      <c r="P256" s="313"/>
      <c r="Q256" s="313"/>
      <c r="R256" s="313"/>
      <c r="S256" s="313"/>
    </row>
    <row r="257" spans="1:19" ht="12" x14ac:dyDescent="0.15">
      <c r="A257" s="307" t="str">
        <f t="shared" si="6"/>
        <v>Mar</v>
      </c>
      <c r="B257" s="308">
        <f t="shared" si="7"/>
        <v>44912</v>
      </c>
      <c r="C257" s="309">
        <v>37</v>
      </c>
      <c r="D257" s="309">
        <v>9</v>
      </c>
      <c r="E257" s="311"/>
      <c r="F257" s="312">
        <v>3</v>
      </c>
      <c r="G257" s="313"/>
      <c r="H257" s="313"/>
      <c r="I257" s="313"/>
      <c r="J257" s="313"/>
      <c r="K257" s="313"/>
      <c r="L257" s="313"/>
      <c r="M257" s="313"/>
      <c r="N257" s="313"/>
      <c r="O257" s="313"/>
      <c r="P257" s="313"/>
      <c r="Q257" s="313"/>
      <c r="R257" s="313"/>
      <c r="S257" s="313"/>
    </row>
    <row r="258" spans="1:19" ht="12" x14ac:dyDescent="0.15">
      <c r="A258" s="307" t="str">
        <f t="shared" si="6"/>
        <v>Mar</v>
      </c>
      <c r="B258" s="308">
        <f t="shared" si="7"/>
        <v>44913</v>
      </c>
      <c r="C258" s="309">
        <v>37</v>
      </c>
      <c r="D258" s="309">
        <v>9</v>
      </c>
      <c r="E258" s="311"/>
      <c r="F258" s="312">
        <v>3</v>
      </c>
      <c r="G258" s="313"/>
      <c r="H258" s="313"/>
      <c r="I258" s="313"/>
      <c r="J258" s="313"/>
      <c r="K258" s="313"/>
      <c r="L258" s="313"/>
      <c r="M258" s="313"/>
      <c r="N258" s="313"/>
      <c r="O258" s="313"/>
      <c r="P258" s="313"/>
      <c r="Q258" s="313"/>
      <c r="R258" s="313"/>
      <c r="S258" s="313"/>
    </row>
    <row r="259" spans="1:19" ht="12" x14ac:dyDescent="0.15">
      <c r="A259" s="307" t="str">
        <f t="shared" ref="A259:A322" si="8">TEXT(DATE(YEAR(B$2),MONTH(B$2)+(D259-1)+3,1),"Mmm")</f>
        <v>Mar</v>
      </c>
      <c r="B259" s="308">
        <f t="shared" si="7"/>
        <v>44914</v>
      </c>
      <c r="C259" s="309">
        <v>38</v>
      </c>
      <c r="D259" s="309">
        <v>9</v>
      </c>
      <c r="E259" s="311"/>
      <c r="F259" s="312">
        <v>4</v>
      </c>
      <c r="G259" s="313"/>
      <c r="H259" s="313"/>
      <c r="I259" s="313"/>
      <c r="J259" s="313"/>
      <c r="K259" s="313"/>
      <c r="L259" s="313"/>
      <c r="M259" s="313"/>
      <c r="N259" s="313"/>
      <c r="O259" s="313"/>
      <c r="P259" s="313"/>
      <c r="Q259" s="313"/>
      <c r="R259" s="313"/>
      <c r="S259" s="313"/>
    </row>
    <row r="260" spans="1:19" ht="12" x14ac:dyDescent="0.15">
      <c r="A260" s="307" t="str">
        <f t="shared" si="8"/>
        <v>Mar</v>
      </c>
      <c r="B260" s="308">
        <f t="shared" ref="B260:B323" si="9">B259+1</f>
        <v>44915</v>
      </c>
      <c r="C260" s="309">
        <v>38</v>
      </c>
      <c r="D260" s="309">
        <v>9</v>
      </c>
      <c r="E260" s="311"/>
      <c r="F260" s="312">
        <v>4</v>
      </c>
      <c r="G260" s="313"/>
      <c r="H260" s="313"/>
      <c r="I260" s="313"/>
      <c r="J260" s="313"/>
      <c r="K260" s="313"/>
      <c r="L260" s="313"/>
      <c r="M260" s="313"/>
      <c r="N260" s="313"/>
      <c r="O260" s="313"/>
      <c r="P260" s="313"/>
      <c r="Q260" s="313"/>
      <c r="R260" s="313"/>
      <c r="S260" s="313"/>
    </row>
    <row r="261" spans="1:19" ht="12" x14ac:dyDescent="0.15">
      <c r="A261" s="307" t="str">
        <f t="shared" si="8"/>
        <v>Mar</v>
      </c>
      <c r="B261" s="308">
        <f t="shared" si="9"/>
        <v>44916</v>
      </c>
      <c r="C261" s="309">
        <v>38</v>
      </c>
      <c r="D261" s="309">
        <v>9</v>
      </c>
      <c r="E261" s="311"/>
      <c r="F261" s="312">
        <v>4</v>
      </c>
      <c r="G261" s="313"/>
      <c r="H261" s="313"/>
      <c r="I261" s="313"/>
      <c r="J261" s="313"/>
      <c r="K261" s="313"/>
      <c r="L261" s="313"/>
      <c r="M261" s="313"/>
      <c r="N261" s="313"/>
      <c r="O261" s="313"/>
      <c r="P261" s="313"/>
      <c r="Q261" s="313"/>
      <c r="R261" s="313"/>
      <c r="S261" s="313"/>
    </row>
    <row r="262" spans="1:19" ht="12" x14ac:dyDescent="0.15">
      <c r="A262" s="307" t="str">
        <f t="shared" si="8"/>
        <v>Mar</v>
      </c>
      <c r="B262" s="308">
        <f t="shared" si="9"/>
        <v>44917</v>
      </c>
      <c r="C262" s="309">
        <v>38</v>
      </c>
      <c r="D262" s="309">
        <v>9</v>
      </c>
      <c r="E262" s="311"/>
      <c r="F262" s="312">
        <v>4</v>
      </c>
      <c r="G262" s="313"/>
      <c r="H262" s="313"/>
      <c r="I262" s="313"/>
      <c r="J262" s="313"/>
      <c r="K262" s="313"/>
      <c r="L262" s="313"/>
      <c r="M262" s="313"/>
      <c r="N262" s="313"/>
      <c r="O262" s="313"/>
      <c r="P262" s="313"/>
      <c r="Q262" s="313"/>
      <c r="R262" s="313"/>
      <c r="S262" s="313"/>
    </row>
    <row r="263" spans="1:19" ht="12" x14ac:dyDescent="0.15">
      <c r="A263" s="307" t="str">
        <f t="shared" si="8"/>
        <v>Mar</v>
      </c>
      <c r="B263" s="308">
        <f t="shared" si="9"/>
        <v>44918</v>
      </c>
      <c r="C263" s="309">
        <v>38</v>
      </c>
      <c r="D263" s="309">
        <v>9</v>
      </c>
      <c r="E263" s="311"/>
      <c r="F263" s="312">
        <v>4</v>
      </c>
      <c r="G263" s="313"/>
      <c r="H263" s="313"/>
      <c r="I263" s="313"/>
      <c r="J263" s="313"/>
      <c r="K263" s="313"/>
      <c r="L263" s="313"/>
      <c r="M263" s="313"/>
      <c r="N263" s="313"/>
      <c r="O263" s="313"/>
      <c r="P263" s="313"/>
      <c r="Q263" s="313"/>
      <c r="R263" s="313"/>
      <c r="S263" s="313"/>
    </row>
    <row r="264" spans="1:19" ht="12" x14ac:dyDescent="0.15">
      <c r="A264" s="307" t="str">
        <f t="shared" si="8"/>
        <v>Mar</v>
      </c>
      <c r="B264" s="308">
        <f t="shared" si="9"/>
        <v>44919</v>
      </c>
      <c r="C264" s="309">
        <v>38</v>
      </c>
      <c r="D264" s="309">
        <v>9</v>
      </c>
      <c r="E264" s="311"/>
      <c r="F264" s="312">
        <v>4</v>
      </c>
      <c r="G264" s="313"/>
      <c r="H264" s="313"/>
      <c r="I264" s="313"/>
      <c r="J264" s="313"/>
      <c r="K264" s="313"/>
      <c r="L264" s="313"/>
      <c r="M264" s="313"/>
      <c r="N264" s="313"/>
      <c r="O264" s="313"/>
      <c r="P264" s="313"/>
      <c r="Q264" s="313"/>
      <c r="R264" s="313"/>
      <c r="S264" s="313"/>
    </row>
    <row r="265" spans="1:19" ht="12" x14ac:dyDescent="0.15">
      <c r="A265" s="307" t="str">
        <f t="shared" si="8"/>
        <v>Mar</v>
      </c>
      <c r="B265" s="308">
        <f t="shared" si="9"/>
        <v>44920</v>
      </c>
      <c r="C265" s="309">
        <v>38</v>
      </c>
      <c r="D265" s="309">
        <v>9</v>
      </c>
      <c r="E265" s="311"/>
      <c r="F265" s="312">
        <v>4</v>
      </c>
      <c r="G265" s="313"/>
      <c r="H265" s="313"/>
      <c r="I265" s="313"/>
      <c r="J265" s="313"/>
      <c r="K265" s="313"/>
      <c r="L265" s="313"/>
      <c r="M265" s="313"/>
      <c r="N265" s="313"/>
      <c r="O265" s="313"/>
      <c r="P265" s="313"/>
      <c r="Q265" s="313"/>
      <c r="R265" s="313"/>
      <c r="S265" s="313"/>
    </row>
    <row r="266" spans="1:19" ht="12" x14ac:dyDescent="0.15">
      <c r="A266" s="307" t="str">
        <f t="shared" si="8"/>
        <v>Mar</v>
      </c>
      <c r="B266" s="308">
        <f t="shared" si="9"/>
        <v>44921</v>
      </c>
      <c r="C266" s="309">
        <v>39</v>
      </c>
      <c r="D266" s="309">
        <v>9</v>
      </c>
      <c r="E266" s="311"/>
      <c r="F266" s="312">
        <v>5</v>
      </c>
      <c r="G266" s="313"/>
      <c r="H266" s="313"/>
      <c r="I266" s="313"/>
      <c r="J266" s="313"/>
      <c r="K266" s="313"/>
      <c r="L266" s="313"/>
      <c r="M266" s="313"/>
      <c r="N266" s="313"/>
      <c r="O266" s="313"/>
      <c r="P266" s="313"/>
      <c r="Q266" s="313"/>
      <c r="R266" s="313"/>
      <c r="S266" s="313"/>
    </row>
    <row r="267" spans="1:19" ht="12" x14ac:dyDescent="0.15">
      <c r="A267" s="307" t="str">
        <f t="shared" si="8"/>
        <v>Mar</v>
      </c>
      <c r="B267" s="308">
        <f t="shared" si="9"/>
        <v>44922</v>
      </c>
      <c r="C267" s="309">
        <v>39</v>
      </c>
      <c r="D267" s="309">
        <v>9</v>
      </c>
      <c r="E267" s="311"/>
      <c r="F267" s="312">
        <v>5</v>
      </c>
      <c r="G267" s="313"/>
      <c r="H267" s="313"/>
      <c r="I267" s="313"/>
      <c r="J267" s="313"/>
      <c r="K267" s="313"/>
      <c r="L267" s="313"/>
      <c r="M267" s="313"/>
      <c r="N267" s="313"/>
      <c r="O267" s="313"/>
      <c r="P267" s="313"/>
      <c r="Q267" s="313"/>
      <c r="R267" s="313"/>
      <c r="S267" s="313"/>
    </row>
    <row r="268" spans="1:19" ht="12" x14ac:dyDescent="0.15">
      <c r="A268" s="307" t="str">
        <f t="shared" si="8"/>
        <v>Mar</v>
      </c>
      <c r="B268" s="308">
        <f t="shared" si="9"/>
        <v>44923</v>
      </c>
      <c r="C268" s="309">
        <v>39</v>
      </c>
      <c r="D268" s="309">
        <v>9</v>
      </c>
      <c r="E268" s="311"/>
      <c r="F268" s="312">
        <v>5</v>
      </c>
      <c r="G268" s="313"/>
      <c r="H268" s="313"/>
      <c r="I268" s="313"/>
      <c r="J268" s="313"/>
      <c r="K268" s="313"/>
      <c r="L268" s="313"/>
      <c r="M268" s="313"/>
      <c r="N268" s="313"/>
      <c r="O268" s="313"/>
      <c r="P268" s="313"/>
      <c r="Q268" s="313"/>
      <c r="R268" s="313"/>
      <c r="S268" s="313"/>
    </row>
    <row r="269" spans="1:19" ht="12" x14ac:dyDescent="0.15">
      <c r="A269" s="307" t="str">
        <f t="shared" si="8"/>
        <v>Mar</v>
      </c>
      <c r="B269" s="308">
        <f t="shared" si="9"/>
        <v>44924</v>
      </c>
      <c r="C269" s="309">
        <v>39</v>
      </c>
      <c r="D269" s="309">
        <v>9</v>
      </c>
      <c r="E269" s="311"/>
      <c r="F269" s="312">
        <v>5</v>
      </c>
      <c r="G269" s="313"/>
      <c r="H269" s="313"/>
      <c r="I269" s="313"/>
      <c r="J269" s="313"/>
      <c r="K269" s="313"/>
      <c r="L269" s="313"/>
      <c r="M269" s="313"/>
      <c r="N269" s="313"/>
      <c r="O269" s="313"/>
      <c r="P269" s="313"/>
      <c r="Q269" s="313"/>
      <c r="R269" s="313"/>
      <c r="S269" s="313"/>
    </row>
    <row r="270" spans="1:19" ht="12" x14ac:dyDescent="0.15">
      <c r="A270" s="307" t="str">
        <f t="shared" si="8"/>
        <v>Mar</v>
      </c>
      <c r="B270" s="308">
        <f t="shared" si="9"/>
        <v>44925</v>
      </c>
      <c r="C270" s="309">
        <v>39</v>
      </c>
      <c r="D270" s="309">
        <v>9</v>
      </c>
      <c r="E270" s="311"/>
      <c r="F270" s="312">
        <v>5</v>
      </c>
      <c r="G270" s="313"/>
      <c r="H270" s="313"/>
      <c r="I270" s="313"/>
      <c r="J270" s="313"/>
      <c r="K270" s="313"/>
      <c r="L270" s="313"/>
      <c r="M270" s="313"/>
      <c r="N270" s="313"/>
      <c r="O270" s="313"/>
      <c r="P270" s="313"/>
      <c r="Q270" s="313"/>
      <c r="R270" s="313"/>
      <c r="S270" s="313"/>
    </row>
    <row r="271" spans="1:19" ht="12" x14ac:dyDescent="0.15">
      <c r="A271" s="307" t="str">
        <f t="shared" si="8"/>
        <v>Mar</v>
      </c>
      <c r="B271" s="308">
        <f t="shared" si="9"/>
        <v>44926</v>
      </c>
      <c r="C271" s="309">
        <v>39</v>
      </c>
      <c r="D271" s="309">
        <v>9</v>
      </c>
      <c r="E271" s="311"/>
      <c r="F271" s="312">
        <v>5</v>
      </c>
      <c r="G271" s="313"/>
      <c r="H271" s="313"/>
      <c r="I271" s="313"/>
      <c r="J271" s="313"/>
      <c r="K271" s="313"/>
      <c r="L271" s="313"/>
      <c r="M271" s="313"/>
      <c r="N271" s="313"/>
      <c r="O271" s="313"/>
      <c r="P271" s="313"/>
      <c r="Q271" s="313"/>
      <c r="R271" s="313"/>
      <c r="S271" s="313"/>
    </row>
    <row r="272" spans="1:19" ht="12" x14ac:dyDescent="0.15">
      <c r="A272" s="307" t="str">
        <f t="shared" si="8"/>
        <v>Mar</v>
      </c>
      <c r="B272" s="308">
        <f t="shared" si="9"/>
        <v>44927</v>
      </c>
      <c r="C272" s="309">
        <v>39</v>
      </c>
      <c r="D272" s="309">
        <v>9</v>
      </c>
      <c r="E272" s="311"/>
      <c r="F272" s="312">
        <v>5</v>
      </c>
      <c r="G272" s="313"/>
      <c r="H272" s="313"/>
      <c r="I272" s="313"/>
      <c r="J272" s="313"/>
      <c r="K272" s="313"/>
      <c r="L272" s="313"/>
      <c r="M272" s="313"/>
      <c r="N272" s="313"/>
      <c r="O272" s="313"/>
      <c r="P272" s="313"/>
      <c r="Q272" s="313"/>
      <c r="R272" s="313"/>
      <c r="S272" s="313"/>
    </row>
    <row r="273" spans="1:19" ht="12" x14ac:dyDescent="0.15">
      <c r="A273" s="307" t="str">
        <f t="shared" si="8"/>
        <v>Apr</v>
      </c>
      <c r="B273" s="308">
        <f t="shared" si="9"/>
        <v>44928</v>
      </c>
      <c r="C273" s="309">
        <v>40</v>
      </c>
      <c r="D273" s="309">
        <v>10</v>
      </c>
      <c r="E273" s="311"/>
      <c r="F273" s="312">
        <v>1</v>
      </c>
      <c r="G273" s="313"/>
      <c r="H273" s="313"/>
      <c r="I273" s="313"/>
      <c r="J273" s="313"/>
      <c r="K273" s="313"/>
      <c r="L273" s="313"/>
      <c r="M273" s="313"/>
      <c r="N273" s="313"/>
      <c r="O273" s="313"/>
      <c r="P273" s="313"/>
      <c r="Q273" s="313"/>
      <c r="R273" s="313"/>
      <c r="S273" s="313"/>
    </row>
    <row r="274" spans="1:19" ht="12" x14ac:dyDescent="0.15">
      <c r="A274" s="307" t="str">
        <f t="shared" si="8"/>
        <v>Apr</v>
      </c>
      <c r="B274" s="308">
        <f t="shared" si="9"/>
        <v>44929</v>
      </c>
      <c r="C274" s="309">
        <v>40</v>
      </c>
      <c r="D274" s="309">
        <v>10</v>
      </c>
      <c r="E274" s="311"/>
      <c r="F274" s="312">
        <v>1</v>
      </c>
      <c r="G274" s="314"/>
      <c r="H274" s="313"/>
      <c r="I274" s="313"/>
      <c r="J274" s="313"/>
      <c r="K274" s="313"/>
      <c r="L274" s="313"/>
      <c r="M274" s="313"/>
      <c r="N274" s="313"/>
      <c r="O274" s="313"/>
      <c r="P274" s="313"/>
      <c r="Q274" s="313"/>
      <c r="R274" s="313"/>
      <c r="S274" s="313"/>
    </row>
    <row r="275" spans="1:19" ht="12" x14ac:dyDescent="0.15">
      <c r="A275" s="307" t="str">
        <f t="shared" si="8"/>
        <v>Apr</v>
      </c>
      <c r="B275" s="308">
        <f t="shared" si="9"/>
        <v>44930</v>
      </c>
      <c r="C275" s="309">
        <v>40</v>
      </c>
      <c r="D275" s="309">
        <v>10</v>
      </c>
      <c r="E275" s="311"/>
      <c r="F275" s="312">
        <v>1</v>
      </c>
      <c r="G275" s="313"/>
      <c r="H275" s="313"/>
      <c r="I275" s="313"/>
      <c r="J275" s="313"/>
      <c r="K275" s="313"/>
      <c r="L275" s="313"/>
      <c r="M275" s="313"/>
      <c r="N275" s="313"/>
      <c r="O275" s="313"/>
      <c r="P275" s="313"/>
      <c r="Q275" s="313"/>
      <c r="R275" s="313"/>
      <c r="S275" s="313"/>
    </row>
    <row r="276" spans="1:19" ht="12" x14ac:dyDescent="0.15">
      <c r="A276" s="307" t="str">
        <f t="shared" si="8"/>
        <v>Apr</v>
      </c>
      <c r="B276" s="321">
        <f t="shared" si="9"/>
        <v>44931</v>
      </c>
      <c r="C276" s="316">
        <v>40</v>
      </c>
      <c r="D276" s="316">
        <v>10</v>
      </c>
      <c r="E276" s="311"/>
      <c r="F276" s="312">
        <v>1</v>
      </c>
      <c r="G276" s="313"/>
      <c r="H276" s="313"/>
      <c r="I276" s="313"/>
      <c r="J276" s="313"/>
      <c r="K276" s="313"/>
      <c r="L276" s="313"/>
      <c r="M276" s="313"/>
      <c r="N276" s="313"/>
      <c r="O276" s="313"/>
      <c r="P276" s="313"/>
      <c r="Q276" s="313"/>
      <c r="R276" s="313"/>
      <c r="S276" s="313"/>
    </row>
    <row r="277" spans="1:19" ht="12" x14ac:dyDescent="0.15">
      <c r="A277" s="307" t="str">
        <f t="shared" si="8"/>
        <v>Apr</v>
      </c>
      <c r="B277" s="321">
        <f t="shared" si="9"/>
        <v>44932</v>
      </c>
      <c r="C277" s="316">
        <v>40</v>
      </c>
      <c r="D277" s="316">
        <v>10</v>
      </c>
      <c r="E277" s="315"/>
      <c r="F277" s="312">
        <v>1</v>
      </c>
      <c r="G277" s="313"/>
      <c r="H277" s="313"/>
      <c r="I277" s="313"/>
      <c r="J277" s="313"/>
      <c r="K277" s="313"/>
      <c r="L277" s="313"/>
      <c r="M277" s="313"/>
      <c r="N277" s="313"/>
      <c r="O277" s="313"/>
      <c r="P277" s="313"/>
      <c r="Q277" s="313"/>
      <c r="R277" s="313"/>
      <c r="S277" s="313"/>
    </row>
    <row r="278" spans="1:19" ht="12" x14ac:dyDescent="0.15">
      <c r="A278" s="307" t="str">
        <f t="shared" si="8"/>
        <v>Apr</v>
      </c>
      <c r="B278" s="308">
        <f t="shared" si="9"/>
        <v>44933</v>
      </c>
      <c r="C278" s="309">
        <v>40</v>
      </c>
      <c r="D278" s="309">
        <v>10</v>
      </c>
      <c r="E278" s="311"/>
      <c r="F278" s="312">
        <v>1</v>
      </c>
      <c r="G278" s="313"/>
      <c r="H278" s="313"/>
      <c r="I278" s="313"/>
      <c r="J278" s="313"/>
      <c r="K278" s="313"/>
      <c r="L278" s="313"/>
      <c r="M278" s="313"/>
      <c r="N278" s="313"/>
      <c r="O278" s="313"/>
      <c r="P278" s="313"/>
      <c r="Q278" s="313"/>
      <c r="R278" s="313"/>
      <c r="S278" s="313"/>
    </row>
    <row r="279" spans="1:19" ht="12" x14ac:dyDescent="0.15">
      <c r="A279" s="307" t="str">
        <f t="shared" si="8"/>
        <v>Apr</v>
      </c>
      <c r="B279" s="308">
        <f t="shared" si="9"/>
        <v>44934</v>
      </c>
      <c r="C279" s="309">
        <v>40</v>
      </c>
      <c r="D279" s="309">
        <v>10</v>
      </c>
      <c r="E279" s="311"/>
      <c r="F279" s="312">
        <v>1</v>
      </c>
      <c r="G279" s="313"/>
      <c r="H279" s="313"/>
      <c r="I279" s="313"/>
      <c r="J279" s="313"/>
      <c r="K279" s="313"/>
      <c r="L279" s="313"/>
      <c r="M279" s="313"/>
      <c r="N279" s="313"/>
      <c r="O279" s="313"/>
      <c r="P279" s="313"/>
      <c r="Q279" s="313"/>
      <c r="R279" s="313"/>
      <c r="S279" s="313"/>
    </row>
    <row r="280" spans="1:19" ht="12" x14ac:dyDescent="0.15">
      <c r="A280" s="307" t="str">
        <f t="shared" si="8"/>
        <v>Apr</v>
      </c>
      <c r="B280" s="308">
        <f t="shared" si="9"/>
        <v>44935</v>
      </c>
      <c r="C280" s="309">
        <v>41</v>
      </c>
      <c r="D280" s="309">
        <v>10</v>
      </c>
      <c r="E280" s="311"/>
      <c r="F280" s="312">
        <v>2</v>
      </c>
      <c r="G280" s="313"/>
      <c r="H280" s="313"/>
      <c r="I280" s="313"/>
      <c r="J280" s="313"/>
      <c r="K280" s="313"/>
      <c r="L280" s="313"/>
      <c r="M280" s="313"/>
      <c r="N280" s="313"/>
      <c r="O280" s="313"/>
      <c r="P280" s="313"/>
      <c r="Q280" s="313"/>
      <c r="R280" s="313"/>
      <c r="S280" s="313"/>
    </row>
    <row r="281" spans="1:19" ht="12" x14ac:dyDescent="0.15">
      <c r="A281" s="307" t="str">
        <f t="shared" si="8"/>
        <v>Apr</v>
      </c>
      <c r="B281" s="308">
        <f t="shared" si="9"/>
        <v>44936</v>
      </c>
      <c r="C281" s="309">
        <v>41</v>
      </c>
      <c r="D281" s="309">
        <v>10</v>
      </c>
      <c r="E281" s="311"/>
      <c r="F281" s="312">
        <v>2</v>
      </c>
      <c r="G281" s="313"/>
      <c r="H281" s="313"/>
      <c r="I281" s="313"/>
      <c r="J281" s="313"/>
      <c r="K281" s="313"/>
      <c r="L281" s="313"/>
      <c r="M281" s="313"/>
      <c r="N281" s="313"/>
      <c r="O281" s="313"/>
      <c r="P281" s="313"/>
      <c r="Q281" s="313"/>
      <c r="R281" s="313"/>
      <c r="S281" s="313"/>
    </row>
    <row r="282" spans="1:19" ht="12" x14ac:dyDescent="0.15">
      <c r="A282" s="307" t="str">
        <f t="shared" si="8"/>
        <v>Apr</v>
      </c>
      <c r="B282" s="308">
        <f t="shared" si="9"/>
        <v>44937</v>
      </c>
      <c r="C282" s="309">
        <v>41</v>
      </c>
      <c r="D282" s="309">
        <v>10</v>
      </c>
      <c r="E282" s="311"/>
      <c r="F282" s="312">
        <v>2</v>
      </c>
      <c r="G282" s="313"/>
      <c r="H282" s="313"/>
      <c r="I282" s="313"/>
      <c r="J282" s="313"/>
      <c r="K282" s="313"/>
      <c r="L282" s="313"/>
      <c r="M282" s="313"/>
      <c r="N282" s="313"/>
      <c r="O282" s="313"/>
      <c r="P282" s="313"/>
      <c r="Q282" s="313"/>
      <c r="R282" s="313"/>
      <c r="S282" s="313"/>
    </row>
    <row r="283" spans="1:19" ht="12" x14ac:dyDescent="0.15">
      <c r="A283" s="307" t="str">
        <f t="shared" si="8"/>
        <v>Apr</v>
      </c>
      <c r="B283" s="308">
        <f t="shared" si="9"/>
        <v>44938</v>
      </c>
      <c r="C283" s="309">
        <v>41</v>
      </c>
      <c r="D283" s="309">
        <v>10</v>
      </c>
      <c r="E283" s="311"/>
      <c r="F283" s="312">
        <v>2</v>
      </c>
      <c r="G283" s="313"/>
      <c r="H283" s="313"/>
      <c r="I283" s="313"/>
      <c r="J283" s="313"/>
      <c r="K283" s="313"/>
      <c r="L283" s="313"/>
      <c r="M283" s="313"/>
      <c r="N283" s="313"/>
      <c r="O283" s="313"/>
      <c r="P283" s="313"/>
      <c r="Q283" s="313"/>
      <c r="R283" s="313"/>
      <c r="S283" s="313"/>
    </row>
    <row r="284" spans="1:19" ht="12" x14ac:dyDescent="0.15">
      <c r="A284" s="307" t="str">
        <f t="shared" si="8"/>
        <v>Apr</v>
      </c>
      <c r="B284" s="308">
        <f t="shared" si="9"/>
        <v>44939</v>
      </c>
      <c r="C284" s="309">
        <v>41</v>
      </c>
      <c r="D284" s="309">
        <v>10</v>
      </c>
      <c r="E284" s="311"/>
      <c r="F284" s="312">
        <v>2</v>
      </c>
      <c r="G284" s="313"/>
      <c r="H284" s="313"/>
      <c r="I284" s="313"/>
      <c r="J284" s="313"/>
      <c r="K284" s="313"/>
      <c r="L284" s="313"/>
      <c r="M284" s="313"/>
      <c r="N284" s="313"/>
      <c r="O284" s="313"/>
      <c r="P284" s="313"/>
      <c r="Q284" s="313"/>
      <c r="R284" s="313"/>
      <c r="S284" s="313"/>
    </row>
    <row r="285" spans="1:19" ht="12" x14ac:dyDescent="0.15">
      <c r="A285" s="307" t="str">
        <f t="shared" si="8"/>
        <v>Apr</v>
      </c>
      <c r="B285" s="308">
        <f t="shared" si="9"/>
        <v>44940</v>
      </c>
      <c r="C285" s="309">
        <v>41</v>
      </c>
      <c r="D285" s="309">
        <v>10</v>
      </c>
      <c r="E285" s="311"/>
      <c r="F285" s="312">
        <v>2</v>
      </c>
      <c r="G285" s="313"/>
      <c r="H285" s="313"/>
      <c r="I285" s="313"/>
      <c r="J285" s="313"/>
      <c r="K285" s="313"/>
      <c r="L285" s="313"/>
      <c r="M285" s="313"/>
      <c r="N285" s="313"/>
      <c r="O285" s="313"/>
      <c r="P285" s="313"/>
      <c r="Q285" s="313"/>
      <c r="R285" s="313"/>
      <c r="S285" s="313"/>
    </row>
    <row r="286" spans="1:19" ht="12" x14ac:dyDescent="0.15">
      <c r="A286" s="307" t="str">
        <f t="shared" si="8"/>
        <v>Apr</v>
      </c>
      <c r="B286" s="308">
        <f t="shared" si="9"/>
        <v>44941</v>
      </c>
      <c r="C286" s="309">
        <v>41</v>
      </c>
      <c r="D286" s="309">
        <v>10</v>
      </c>
      <c r="E286" s="311"/>
      <c r="F286" s="312">
        <v>2</v>
      </c>
      <c r="G286" s="313"/>
      <c r="H286" s="313"/>
      <c r="I286" s="313"/>
      <c r="J286" s="313"/>
      <c r="K286" s="313"/>
      <c r="L286" s="313"/>
      <c r="M286" s="313"/>
      <c r="N286" s="313"/>
      <c r="O286" s="313"/>
      <c r="P286" s="313"/>
      <c r="Q286" s="313"/>
      <c r="R286" s="313"/>
      <c r="S286" s="313"/>
    </row>
    <row r="287" spans="1:19" ht="12" x14ac:dyDescent="0.15">
      <c r="A287" s="307" t="str">
        <f t="shared" si="8"/>
        <v>Apr</v>
      </c>
      <c r="B287" s="308">
        <f t="shared" si="9"/>
        <v>44942</v>
      </c>
      <c r="C287" s="309">
        <v>42</v>
      </c>
      <c r="D287" s="309">
        <v>10</v>
      </c>
      <c r="E287" s="311"/>
      <c r="F287" s="312">
        <v>3</v>
      </c>
      <c r="G287" s="313"/>
      <c r="H287" s="313"/>
      <c r="I287" s="313"/>
      <c r="J287" s="313"/>
      <c r="K287" s="313"/>
      <c r="L287" s="313"/>
      <c r="M287" s="313"/>
      <c r="N287" s="313"/>
      <c r="O287" s="313"/>
      <c r="P287" s="313"/>
      <c r="Q287" s="313"/>
      <c r="R287" s="313"/>
      <c r="S287" s="313"/>
    </row>
    <row r="288" spans="1:19" ht="12" x14ac:dyDescent="0.15">
      <c r="A288" s="307" t="str">
        <f t="shared" si="8"/>
        <v>Apr</v>
      </c>
      <c r="B288" s="308">
        <f t="shared" si="9"/>
        <v>44943</v>
      </c>
      <c r="C288" s="309">
        <v>42</v>
      </c>
      <c r="D288" s="309">
        <v>10</v>
      </c>
      <c r="E288" s="311"/>
      <c r="F288" s="312">
        <v>3</v>
      </c>
      <c r="G288" s="313"/>
      <c r="H288" s="313"/>
      <c r="I288" s="313"/>
      <c r="J288" s="313"/>
      <c r="K288" s="313"/>
      <c r="L288" s="313"/>
      <c r="M288" s="313"/>
      <c r="N288" s="313"/>
      <c r="O288" s="313"/>
      <c r="P288" s="313"/>
      <c r="Q288" s="313"/>
      <c r="R288" s="313"/>
      <c r="S288" s="313"/>
    </row>
    <row r="289" spans="1:19" ht="12" x14ac:dyDescent="0.15">
      <c r="A289" s="307" t="str">
        <f t="shared" si="8"/>
        <v>Apr</v>
      </c>
      <c r="B289" s="308">
        <f t="shared" si="9"/>
        <v>44944</v>
      </c>
      <c r="C289" s="309">
        <v>42</v>
      </c>
      <c r="D289" s="309">
        <v>10</v>
      </c>
      <c r="E289" s="311"/>
      <c r="F289" s="312">
        <v>3</v>
      </c>
      <c r="G289" s="313"/>
      <c r="H289" s="313"/>
      <c r="I289" s="313"/>
      <c r="J289" s="313"/>
      <c r="K289" s="313"/>
      <c r="L289" s="313"/>
      <c r="M289" s="313"/>
      <c r="N289" s="313"/>
      <c r="O289" s="313"/>
      <c r="P289" s="313"/>
      <c r="Q289" s="313"/>
      <c r="R289" s="313"/>
      <c r="S289" s="313"/>
    </row>
    <row r="290" spans="1:19" ht="12" x14ac:dyDescent="0.15">
      <c r="A290" s="307" t="str">
        <f t="shared" si="8"/>
        <v>Apr</v>
      </c>
      <c r="B290" s="308">
        <f t="shared" si="9"/>
        <v>44945</v>
      </c>
      <c r="C290" s="309">
        <v>42</v>
      </c>
      <c r="D290" s="309">
        <v>10</v>
      </c>
      <c r="E290" s="311"/>
      <c r="F290" s="312">
        <v>3</v>
      </c>
      <c r="G290" s="313"/>
      <c r="H290" s="313"/>
      <c r="I290" s="313"/>
      <c r="J290" s="313"/>
      <c r="K290" s="313"/>
      <c r="L290" s="313"/>
      <c r="M290" s="313"/>
      <c r="N290" s="313"/>
      <c r="O290" s="313"/>
      <c r="P290" s="313"/>
      <c r="Q290" s="313"/>
      <c r="R290" s="313"/>
      <c r="S290" s="313"/>
    </row>
    <row r="291" spans="1:19" ht="12" x14ac:dyDescent="0.15">
      <c r="A291" s="307" t="str">
        <f t="shared" si="8"/>
        <v>Apr</v>
      </c>
      <c r="B291" s="308">
        <f t="shared" si="9"/>
        <v>44946</v>
      </c>
      <c r="C291" s="309">
        <v>42</v>
      </c>
      <c r="D291" s="309">
        <v>10</v>
      </c>
      <c r="E291" s="311"/>
      <c r="F291" s="312">
        <v>3</v>
      </c>
      <c r="G291" s="313"/>
      <c r="H291" s="313"/>
      <c r="I291" s="313"/>
      <c r="J291" s="313"/>
      <c r="K291" s="313"/>
      <c r="L291" s="313"/>
      <c r="M291" s="313"/>
      <c r="N291" s="313"/>
      <c r="O291" s="313"/>
      <c r="P291" s="313"/>
      <c r="Q291" s="313"/>
      <c r="R291" s="313"/>
      <c r="S291" s="313"/>
    </row>
    <row r="292" spans="1:19" ht="12" x14ac:dyDescent="0.15">
      <c r="A292" s="307" t="str">
        <f t="shared" si="8"/>
        <v>Apr</v>
      </c>
      <c r="B292" s="308">
        <f t="shared" si="9"/>
        <v>44947</v>
      </c>
      <c r="C292" s="309">
        <v>42</v>
      </c>
      <c r="D292" s="309">
        <v>10</v>
      </c>
      <c r="E292" s="311"/>
      <c r="F292" s="312">
        <v>3</v>
      </c>
      <c r="G292" s="313"/>
      <c r="H292" s="313"/>
      <c r="I292" s="313"/>
      <c r="J292" s="313"/>
      <c r="K292" s="313"/>
      <c r="L292" s="313"/>
      <c r="M292" s="313"/>
      <c r="N292" s="313"/>
      <c r="O292" s="313"/>
      <c r="P292" s="313"/>
      <c r="Q292" s="313"/>
      <c r="R292" s="313"/>
      <c r="S292" s="313"/>
    </row>
    <row r="293" spans="1:19" ht="12" x14ac:dyDescent="0.15">
      <c r="A293" s="307" t="str">
        <f t="shared" si="8"/>
        <v>Apr</v>
      </c>
      <c r="B293" s="308">
        <f t="shared" si="9"/>
        <v>44948</v>
      </c>
      <c r="C293" s="309">
        <v>42</v>
      </c>
      <c r="D293" s="309">
        <v>10</v>
      </c>
      <c r="E293" s="311"/>
      <c r="F293" s="312">
        <v>3</v>
      </c>
      <c r="G293" s="313"/>
      <c r="H293" s="313"/>
      <c r="I293" s="313"/>
      <c r="J293" s="313"/>
      <c r="K293" s="313"/>
      <c r="L293" s="313"/>
      <c r="M293" s="313"/>
      <c r="N293" s="313"/>
      <c r="O293" s="313"/>
      <c r="P293" s="313"/>
      <c r="Q293" s="313"/>
      <c r="R293" s="313"/>
      <c r="S293" s="313"/>
    </row>
    <row r="294" spans="1:19" ht="12" x14ac:dyDescent="0.15">
      <c r="A294" s="307" t="str">
        <f t="shared" si="8"/>
        <v>Apr</v>
      </c>
      <c r="B294" s="308">
        <f t="shared" si="9"/>
        <v>44949</v>
      </c>
      <c r="C294" s="309">
        <v>43</v>
      </c>
      <c r="D294" s="309">
        <v>10</v>
      </c>
      <c r="E294" s="311"/>
      <c r="F294" s="312">
        <v>4</v>
      </c>
      <c r="G294" s="313"/>
      <c r="H294" s="313"/>
      <c r="I294" s="313"/>
      <c r="J294" s="313"/>
      <c r="K294" s="313"/>
      <c r="L294" s="313"/>
      <c r="M294" s="313"/>
      <c r="N294" s="313"/>
      <c r="O294" s="313"/>
      <c r="P294" s="313"/>
      <c r="Q294" s="313"/>
      <c r="R294" s="313"/>
      <c r="S294" s="313"/>
    </row>
    <row r="295" spans="1:19" ht="12" x14ac:dyDescent="0.15">
      <c r="A295" s="307" t="str">
        <f t="shared" si="8"/>
        <v>Apr</v>
      </c>
      <c r="B295" s="308">
        <f t="shared" si="9"/>
        <v>44950</v>
      </c>
      <c r="C295" s="309">
        <v>43</v>
      </c>
      <c r="D295" s="309">
        <v>10</v>
      </c>
      <c r="E295" s="311"/>
      <c r="F295" s="312">
        <v>4</v>
      </c>
      <c r="G295" s="313"/>
      <c r="H295" s="313"/>
      <c r="I295" s="313"/>
      <c r="J295" s="313"/>
      <c r="K295" s="313"/>
      <c r="L295" s="313"/>
      <c r="M295" s="313"/>
      <c r="N295" s="313"/>
      <c r="O295" s="313"/>
      <c r="P295" s="313"/>
      <c r="Q295" s="313"/>
      <c r="R295" s="313"/>
      <c r="S295" s="313"/>
    </row>
    <row r="296" spans="1:19" ht="12" x14ac:dyDescent="0.15">
      <c r="A296" s="307" t="str">
        <f t="shared" si="8"/>
        <v>Apr</v>
      </c>
      <c r="B296" s="308">
        <f t="shared" si="9"/>
        <v>44951</v>
      </c>
      <c r="C296" s="309">
        <v>43</v>
      </c>
      <c r="D296" s="309">
        <v>10</v>
      </c>
      <c r="E296" s="311"/>
      <c r="F296" s="312">
        <v>4</v>
      </c>
      <c r="G296" s="313"/>
      <c r="H296" s="313"/>
      <c r="I296" s="313"/>
      <c r="J296" s="313"/>
      <c r="K296" s="313"/>
      <c r="L296" s="313"/>
      <c r="M296" s="313"/>
      <c r="N296" s="313"/>
      <c r="O296" s="313"/>
      <c r="P296" s="313"/>
      <c r="Q296" s="313"/>
      <c r="R296" s="313"/>
      <c r="S296" s="313"/>
    </row>
    <row r="297" spans="1:19" ht="12" x14ac:dyDescent="0.15">
      <c r="A297" s="307" t="str">
        <f t="shared" si="8"/>
        <v>Apr</v>
      </c>
      <c r="B297" s="308">
        <f t="shared" si="9"/>
        <v>44952</v>
      </c>
      <c r="C297" s="309">
        <v>43</v>
      </c>
      <c r="D297" s="309">
        <v>10</v>
      </c>
      <c r="E297" s="311"/>
      <c r="F297" s="312">
        <v>4</v>
      </c>
      <c r="G297" s="313"/>
      <c r="H297" s="313"/>
      <c r="I297" s="313"/>
      <c r="J297" s="313"/>
      <c r="K297" s="313"/>
      <c r="L297" s="313"/>
      <c r="M297" s="313"/>
      <c r="N297" s="313"/>
      <c r="O297" s="313"/>
      <c r="P297" s="313"/>
      <c r="Q297" s="313"/>
      <c r="R297" s="313"/>
      <c r="S297" s="313"/>
    </row>
    <row r="298" spans="1:19" ht="12" x14ac:dyDescent="0.15">
      <c r="A298" s="307" t="str">
        <f t="shared" si="8"/>
        <v>Apr</v>
      </c>
      <c r="B298" s="308">
        <f t="shared" si="9"/>
        <v>44953</v>
      </c>
      <c r="C298" s="309">
        <v>43</v>
      </c>
      <c r="D298" s="309">
        <v>10</v>
      </c>
      <c r="E298" s="311"/>
      <c r="F298" s="312">
        <v>4</v>
      </c>
      <c r="G298" s="313"/>
      <c r="H298" s="313"/>
      <c r="I298" s="313"/>
      <c r="J298" s="313"/>
      <c r="K298" s="313"/>
      <c r="L298" s="313"/>
      <c r="M298" s="313"/>
      <c r="N298" s="313"/>
      <c r="O298" s="313"/>
      <c r="P298" s="313"/>
      <c r="Q298" s="313"/>
      <c r="R298" s="313"/>
      <c r="S298" s="313"/>
    </row>
    <row r="299" spans="1:19" ht="12" x14ac:dyDescent="0.15">
      <c r="A299" s="307" t="str">
        <f t="shared" si="8"/>
        <v>Apr</v>
      </c>
      <c r="B299" s="308">
        <f t="shared" si="9"/>
        <v>44954</v>
      </c>
      <c r="C299" s="309">
        <v>43</v>
      </c>
      <c r="D299" s="309">
        <v>10</v>
      </c>
      <c r="E299" s="311"/>
      <c r="F299" s="312">
        <v>4</v>
      </c>
      <c r="G299" s="313"/>
      <c r="H299" s="313"/>
      <c r="I299" s="313"/>
      <c r="J299" s="313"/>
      <c r="K299" s="313"/>
      <c r="L299" s="313"/>
      <c r="M299" s="313"/>
      <c r="N299" s="313"/>
      <c r="O299" s="313"/>
      <c r="P299" s="313"/>
      <c r="Q299" s="313"/>
      <c r="R299" s="313"/>
      <c r="S299" s="313"/>
    </row>
    <row r="300" spans="1:19" ht="12" x14ac:dyDescent="0.15">
      <c r="A300" s="307" t="str">
        <f t="shared" si="8"/>
        <v>Apr</v>
      </c>
      <c r="B300" s="308">
        <f t="shared" si="9"/>
        <v>44955</v>
      </c>
      <c r="C300" s="309">
        <v>43</v>
      </c>
      <c r="D300" s="309">
        <v>10</v>
      </c>
      <c r="E300" s="311"/>
      <c r="F300" s="312">
        <v>4</v>
      </c>
      <c r="G300" s="313"/>
      <c r="H300" s="313"/>
      <c r="I300" s="313"/>
      <c r="J300" s="313"/>
      <c r="K300" s="313"/>
      <c r="L300" s="313"/>
      <c r="M300" s="313"/>
      <c r="N300" s="313"/>
      <c r="O300" s="313"/>
      <c r="P300" s="313"/>
      <c r="Q300" s="313"/>
      <c r="R300" s="313"/>
      <c r="S300" s="313"/>
    </row>
    <row r="301" spans="1:19" ht="12" x14ac:dyDescent="0.15">
      <c r="A301" s="307" t="str">
        <f t="shared" si="8"/>
        <v>May</v>
      </c>
      <c r="B301" s="308">
        <f t="shared" si="9"/>
        <v>44956</v>
      </c>
      <c r="C301" s="309">
        <v>44</v>
      </c>
      <c r="D301" s="309">
        <v>11</v>
      </c>
      <c r="E301" s="311"/>
      <c r="F301" s="312">
        <v>1</v>
      </c>
      <c r="G301" s="313"/>
      <c r="H301" s="313"/>
      <c r="I301" s="313"/>
      <c r="J301" s="313"/>
      <c r="K301" s="313"/>
      <c r="L301" s="313"/>
      <c r="M301" s="313"/>
      <c r="N301" s="313"/>
      <c r="O301" s="313"/>
      <c r="P301" s="313"/>
      <c r="Q301" s="313"/>
      <c r="R301" s="313"/>
      <c r="S301" s="313"/>
    </row>
    <row r="302" spans="1:19" ht="12" x14ac:dyDescent="0.15">
      <c r="A302" s="307" t="str">
        <f t="shared" si="8"/>
        <v>May</v>
      </c>
      <c r="B302" s="308">
        <f t="shared" si="9"/>
        <v>44957</v>
      </c>
      <c r="C302" s="309">
        <v>44</v>
      </c>
      <c r="D302" s="309">
        <v>11</v>
      </c>
      <c r="E302" s="311"/>
      <c r="F302" s="312">
        <v>1</v>
      </c>
      <c r="G302" s="313"/>
      <c r="H302" s="313"/>
      <c r="I302" s="313"/>
      <c r="J302" s="313"/>
      <c r="K302" s="313"/>
      <c r="L302" s="313"/>
      <c r="M302" s="313"/>
      <c r="N302" s="313"/>
      <c r="O302" s="313"/>
      <c r="P302" s="313"/>
      <c r="Q302" s="313"/>
      <c r="R302" s="313"/>
      <c r="S302" s="313"/>
    </row>
    <row r="303" spans="1:19" ht="12" x14ac:dyDescent="0.15">
      <c r="A303" s="307" t="str">
        <f t="shared" si="8"/>
        <v>May</v>
      </c>
      <c r="B303" s="308">
        <f t="shared" si="9"/>
        <v>44958</v>
      </c>
      <c r="C303" s="309">
        <v>44</v>
      </c>
      <c r="D303" s="309">
        <v>11</v>
      </c>
      <c r="E303" s="311"/>
      <c r="F303" s="312">
        <v>1</v>
      </c>
      <c r="G303" s="313"/>
      <c r="H303" s="313"/>
      <c r="I303" s="313"/>
      <c r="J303" s="313"/>
      <c r="K303" s="313"/>
      <c r="L303" s="313"/>
      <c r="M303" s="313"/>
      <c r="N303" s="313"/>
      <c r="O303" s="313"/>
      <c r="P303" s="313"/>
      <c r="Q303" s="313"/>
      <c r="R303" s="313"/>
      <c r="S303" s="313"/>
    </row>
    <row r="304" spans="1:19" ht="12" x14ac:dyDescent="0.15">
      <c r="A304" s="307" t="str">
        <f t="shared" si="8"/>
        <v>May</v>
      </c>
      <c r="B304" s="308">
        <f t="shared" si="9"/>
        <v>44959</v>
      </c>
      <c r="C304" s="309">
        <v>44</v>
      </c>
      <c r="D304" s="309">
        <v>11</v>
      </c>
      <c r="E304" s="311"/>
      <c r="F304" s="312">
        <v>1</v>
      </c>
      <c r="G304" s="313"/>
      <c r="H304" s="313"/>
      <c r="I304" s="313"/>
      <c r="J304" s="313"/>
      <c r="K304" s="313"/>
      <c r="L304" s="313"/>
      <c r="M304" s="313"/>
      <c r="N304" s="313"/>
      <c r="O304" s="313"/>
      <c r="P304" s="313"/>
      <c r="Q304" s="313"/>
      <c r="R304" s="313"/>
      <c r="S304" s="313"/>
    </row>
    <row r="305" spans="1:19" ht="12" x14ac:dyDescent="0.15">
      <c r="A305" s="307" t="str">
        <f t="shared" si="8"/>
        <v>May</v>
      </c>
      <c r="B305" s="308">
        <f t="shared" si="9"/>
        <v>44960</v>
      </c>
      <c r="C305" s="309">
        <v>44</v>
      </c>
      <c r="D305" s="309">
        <v>11</v>
      </c>
      <c r="E305" s="311"/>
      <c r="F305" s="312">
        <v>1</v>
      </c>
      <c r="G305" s="313"/>
      <c r="H305" s="313"/>
      <c r="I305" s="313"/>
      <c r="J305" s="313"/>
      <c r="K305" s="313"/>
      <c r="L305" s="313"/>
      <c r="M305" s="313"/>
      <c r="N305" s="313"/>
      <c r="O305" s="313"/>
      <c r="P305" s="313"/>
      <c r="Q305" s="313"/>
      <c r="R305" s="313"/>
      <c r="S305" s="313"/>
    </row>
    <row r="306" spans="1:19" ht="12" x14ac:dyDescent="0.15">
      <c r="A306" s="307" t="str">
        <f t="shared" si="8"/>
        <v>May</v>
      </c>
      <c r="B306" s="308">
        <f t="shared" si="9"/>
        <v>44961</v>
      </c>
      <c r="C306" s="309">
        <v>44</v>
      </c>
      <c r="D306" s="309">
        <v>11</v>
      </c>
      <c r="E306" s="311"/>
      <c r="F306" s="312">
        <v>1</v>
      </c>
      <c r="G306" s="313"/>
      <c r="H306" s="313"/>
      <c r="I306" s="313"/>
      <c r="J306" s="313"/>
      <c r="K306" s="313"/>
      <c r="L306" s="313"/>
      <c r="M306" s="313"/>
      <c r="N306" s="313"/>
      <c r="O306" s="313"/>
      <c r="P306" s="313"/>
      <c r="Q306" s="313"/>
      <c r="R306" s="313"/>
      <c r="S306" s="313"/>
    </row>
    <row r="307" spans="1:19" ht="12" x14ac:dyDescent="0.15">
      <c r="A307" s="307" t="str">
        <f t="shared" si="8"/>
        <v>May</v>
      </c>
      <c r="B307" s="308">
        <f t="shared" si="9"/>
        <v>44962</v>
      </c>
      <c r="C307" s="309">
        <v>44</v>
      </c>
      <c r="D307" s="309">
        <v>11</v>
      </c>
      <c r="E307" s="311"/>
      <c r="F307" s="312">
        <v>1</v>
      </c>
      <c r="G307" s="313"/>
      <c r="H307" s="313"/>
      <c r="I307" s="313"/>
      <c r="J307" s="313"/>
      <c r="K307" s="313"/>
      <c r="L307" s="313"/>
      <c r="M307" s="313"/>
      <c r="N307" s="313"/>
      <c r="O307" s="313"/>
      <c r="P307" s="313"/>
      <c r="Q307" s="313"/>
      <c r="R307" s="313"/>
      <c r="S307" s="313"/>
    </row>
    <row r="308" spans="1:19" ht="12" x14ac:dyDescent="0.15">
      <c r="A308" s="307" t="str">
        <f t="shared" si="8"/>
        <v>May</v>
      </c>
      <c r="B308" s="321">
        <f t="shared" si="9"/>
        <v>44963</v>
      </c>
      <c r="C308" s="316">
        <v>45</v>
      </c>
      <c r="D308" s="316">
        <v>11</v>
      </c>
      <c r="E308" s="315"/>
      <c r="F308" s="312">
        <v>2</v>
      </c>
      <c r="G308" s="313"/>
      <c r="H308" s="313"/>
      <c r="I308" s="313"/>
      <c r="J308" s="313"/>
      <c r="K308" s="313"/>
      <c r="L308" s="313"/>
      <c r="M308" s="313"/>
      <c r="N308" s="313"/>
      <c r="O308" s="313"/>
      <c r="P308" s="313"/>
      <c r="Q308" s="313"/>
      <c r="R308" s="313"/>
      <c r="S308" s="313"/>
    </row>
    <row r="309" spans="1:19" ht="12" x14ac:dyDescent="0.15">
      <c r="A309" s="307" t="str">
        <f t="shared" si="8"/>
        <v>May</v>
      </c>
      <c r="B309" s="308">
        <f t="shared" si="9"/>
        <v>44964</v>
      </c>
      <c r="C309" s="309">
        <v>45</v>
      </c>
      <c r="D309" s="309">
        <v>11</v>
      </c>
      <c r="E309" s="311"/>
      <c r="F309" s="312">
        <v>2</v>
      </c>
      <c r="G309" s="313"/>
      <c r="H309" s="313"/>
      <c r="I309" s="313"/>
      <c r="J309" s="313"/>
      <c r="K309" s="313"/>
      <c r="L309" s="313"/>
      <c r="M309" s="313"/>
      <c r="N309" s="313"/>
      <c r="O309" s="313"/>
      <c r="P309" s="313"/>
      <c r="Q309" s="313"/>
      <c r="R309" s="313"/>
      <c r="S309" s="313"/>
    </row>
    <row r="310" spans="1:19" ht="12" x14ac:dyDescent="0.15">
      <c r="A310" s="307" t="str">
        <f t="shared" si="8"/>
        <v>May</v>
      </c>
      <c r="B310" s="308">
        <f t="shared" si="9"/>
        <v>44965</v>
      </c>
      <c r="C310" s="309">
        <v>45</v>
      </c>
      <c r="D310" s="309">
        <v>11</v>
      </c>
      <c r="E310" s="311"/>
      <c r="F310" s="312">
        <v>2</v>
      </c>
      <c r="G310" s="313"/>
      <c r="H310" s="313"/>
      <c r="I310" s="313"/>
      <c r="J310" s="313"/>
      <c r="K310" s="313"/>
      <c r="L310" s="313"/>
      <c r="M310" s="313"/>
      <c r="N310" s="313"/>
      <c r="O310" s="313"/>
      <c r="P310" s="313"/>
      <c r="Q310" s="313"/>
      <c r="R310" s="313"/>
      <c r="S310" s="313"/>
    </row>
    <row r="311" spans="1:19" ht="12" x14ac:dyDescent="0.15">
      <c r="A311" s="307" t="str">
        <f t="shared" si="8"/>
        <v>May</v>
      </c>
      <c r="B311" s="308">
        <f t="shared" si="9"/>
        <v>44966</v>
      </c>
      <c r="C311" s="309">
        <v>45</v>
      </c>
      <c r="D311" s="309">
        <v>11</v>
      </c>
      <c r="E311" s="311"/>
      <c r="F311" s="312">
        <v>2</v>
      </c>
      <c r="G311" s="313"/>
      <c r="H311" s="313"/>
      <c r="I311" s="313"/>
      <c r="J311" s="313"/>
      <c r="K311" s="313"/>
      <c r="L311" s="313"/>
      <c r="M311" s="313"/>
      <c r="N311" s="313"/>
      <c r="O311" s="313"/>
      <c r="P311" s="313"/>
      <c r="Q311" s="313"/>
      <c r="R311" s="313"/>
      <c r="S311" s="313"/>
    </row>
    <row r="312" spans="1:19" ht="12" x14ac:dyDescent="0.15">
      <c r="A312" s="307" t="str">
        <f t="shared" si="8"/>
        <v>May</v>
      </c>
      <c r="B312" s="308">
        <f t="shared" si="9"/>
        <v>44967</v>
      </c>
      <c r="C312" s="309">
        <v>45</v>
      </c>
      <c r="D312" s="309">
        <v>11</v>
      </c>
      <c r="E312" s="311"/>
      <c r="F312" s="312">
        <v>2</v>
      </c>
      <c r="G312" s="313"/>
      <c r="H312" s="313"/>
      <c r="I312" s="313"/>
      <c r="J312" s="313"/>
      <c r="K312" s="313"/>
      <c r="L312" s="313"/>
      <c r="M312" s="313"/>
      <c r="N312" s="313"/>
      <c r="O312" s="313"/>
      <c r="P312" s="313"/>
      <c r="Q312" s="313"/>
      <c r="R312" s="313"/>
      <c r="S312" s="313"/>
    </row>
    <row r="313" spans="1:19" ht="12" x14ac:dyDescent="0.15">
      <c r="A313" s="307" t="str">
        <f t="shared" si="8"/>
        <v>May</v>
      </c>
      <c r="B313" s="308">
        <f t="shared" si="9"/>
        <v>44968</v>
      </c>
      <c r="C313" s="309">
        <v>45</v>
      </c>
      <c r="D313" s="309">
        <v>11</v>
      </c>
      <c r="E313" s="311"/>
      <c r="F313" s="312">
        <v>2</v>
      </c>
      <c r="G313" s="313"/>
      <c r="H313" s="313"/>
      <c r="I313" s="313"/>
      <c r="J313" s="313"/>
      <c r="K313" s="313"/>
      <c r="L313" s="313"/>
      <c r="M313" s="313"/>
      <c r="N313" s="313"/>
      <c r="O313" s="313"/>
      <c r="P313" s="313"/>
      <c r="Q313" s="313"/>
      <c r="R313" s="313"/>
      <c r="S313" s="313"/>
    </row>
    <row r="314" spans="1:19" ht="12" x14ac:dyDescent="0.15">
      <c r="A314" s="307" t="str">
        <f t="shared" si="8"/>
        <v>May</v>
      </c>
      <c r="B314" s="308">
        <f t="shared" si="9"/>
        <v>44969</v>
      </c>
      <c r="C314" s="309">
        <v>45</v>
      </c>
      <c r="D314" s="309">
        <v>11</v>
      </c>
      <c r="E314" s="311"/>
      <c r="F314" s="312">
        <v>2</v>
      </c>
      <c r="G314" s="313"/>
      <c r="H314" s="313"/>
      <c r="I314" s="313"/>
      <c r="J314" s="313"/>
      <c r="K314" s="313"/>
      <c r="L314" s="313"/>
      <c r="M314" s="313"/>
      <c r="N314" s="313"/>
      <c r="O314" s="313"/>
      <c r="P314" s="313"/>
      <c r="Q314" s="313"/>
      <c r="R314" s="313"/>
      <c r="S314" s="313"/>
    </row>
    <row r="315" spans="1:19" ht="12" x14ac:dyDescent="0.15">
      <c r="A315" s="307" t="str">
        <f t="shared" si="8"/>
        <v>May</v>
      </c>
      <c r="B315" s="308">
        <f t="shared" si="9"/>
        <v>44970</v>
      </c>
      <c r="C315" s="309">
        <v>46</v>
      </c>
      <c r="D315" s="309">
        <v>11</v>
      </c>
      <c r="E315" s="311"/>
      <c r="F315" s="312">
        <v>3</v>
      </c>
      <c r="G315" s="313"/>
      <c r="H315" s="313"/>
      <c r="I315" s="313"/>
      <c r="J315" s="313"/>
      <c r="K315" s="313"/>
      <c r="L315" s="313"/>
      <c r="M315" s="313"/>
      <c r="N315" s="313"/>
      <c r="O315" s="313"/>
      <c r="P315" s="313"/>
      <c r="Q315" s="313"/>
      <c r="R315" s="313"/>
      <c r="S315" s="313"/>
    </row>
    <row r="316" spans="1:19" ht="12" x14ac:dyDescent="0.15">
      <c r="A316" s="307" t="str">
        <f t="shared" si="8"/>
        <v>May</v>
      </c>
      <c r="B316" s="308">
        <f t="shared" si="9"/>
        <v>44971</v>
      </c>
      <c r="C316" s="309">
        <v>46</v>
      </c>
      <c r="D316" s="309">
        <v>11</v>
      </c>
      <c r="E316" s="311"/>
      <c r="F316" s="312">
        <v>3</v>
      </c>
      <c r="G316" s="313"/>
      <c r="H316" s="313"/>
      <c r="I316" s="313"/>
      <c r="J316" s="313"/>
      <c r="K316" s="313"/>
      <c r="L316" s="313"/>
      <c r="M316" s="313"/>
      <c r="N316" s="313"/>
      <c r="O316" s="313"/>
      <c r="P316" s="313"/>
      <c r="Q316" s="313"/>
      <c r="R316" s="313"/>
      <c r="S316" s="313"/>
    </row>
    <row r="317" spans="1:19" ht="12" x14ac:dyDescent="0.15">
      <c r="A317" s="307" t="str">
        <f t="shared" si="8"/>
        <v>May</v>
      </c>
      <c r="B317" s="308">
        <f t="shared" si="9"/>
        <v>44972</v>
      </c>
      <c r="C317" s="309">
        <v>46</v>
      </c>
      <c r="D317" s="309">
        <v>11</v>
      </c>
      <c r="E317" s="311"/>
      <c r="F317" s="312">
        <v>3</v>
      </c>
      <c r="G317" s="313"/>
      <c r="H317" s="313"/>
      <c r="I317" s="313"/>
      <c r="J317" s="313"/>
      <c r="K317" s="313"/>
      <c r="L317" s="313"/>
      <c r="M317" s="313"/>
      <c r="N317" s="313"/>
      <c r="O317" s="313"/>
      <c r="P317" s="313"/>
      <c r="Q317" s="313"/>
      <c r="R317" s="313"/>
      <c r="S317" s="313"/>
    </row>
    <row r="318" spans="1:19" ht="12" x14ac:dyDescent="0.15">
      <c r="A318" s="307" t="str">
        <f t="shared" si="8"/>
        <v>May</v>
      </c>
      <c r="B318" s="308">
        <f t="shared" si="9"/>
        <v>44973</v>
      </c>
      <c r="C318" s="309">
        <v>46</v>
      </c>
      <c r="D318" s="309">
        <v>11</v>
      </c>
      <c r="E318" s="311"/>
      <c r="F318" s="312">
        <v>3</v>
      </c>
      <c r="G318" s="313"/>
      <c r="H318" s="313"/>
      <c r="I318" s="313"/>
      <c r="J318" s="313"/>
      <c r="K318" s="313"/>
      <c r="L318" s="313"/>
      <c r="M318" s="313"/>
      <c r="N318" s="313"/>
      <c r="O318" s="313"/>
      <c r="P318" s="313"/>
      <c r="Q318" s="313"/>
      <c r="R318" s="313"/>
      <c r="S318" s="313"/>
    </row>
    <row r="319" spans="1:19" ht="12" x14ac:dyDescent="0.15">
      <c r="A319" s="307" t="str">
        <f t="shared" si="8"/>
        <v>May</v>
      </c>
      <c r="B319" s="308">
        <f t="shared" si="9"/>
        <v>44974</v>
      </c>
      <c r="C319" s="309">
        <v>46</v>
      </c>
      <c r="D319" s="309">
        <v>11</v>
      </c>
      <c r="E319" s="311"/>
      <c r="F319" s="312">
        <v>3</v>
      </c>
      <c r="G319" s="313"/>
      <c r="H319" s="313"/>
      <c r="I319" s="313"/>
      <c r="J319" s="313"/>
      <c r="K319" s="313"/>
      <c r="L319" s="313"/>
      <c r="M319" s="313"/>
      <c r="N319" s="313"/>
      <c r="O319" s="313"/>
      <c r="P319" s="313"/>
      <c r="Q319" s="313"/>
      <c r="R319" s="313"/>
      <c r="S319" s="313"/>
    </row>
    <row r="320" spans="1:19" ht="12" x14ac:dyDescent="0.15">
      <c r="A320" s="307" t="str">
        <f t="shared" si="8"/>
        <v>May</v>
      </c>
      <c r="B320" s="308">
        <f t="shared" si="9"/>
        <v>44975</v>
      </c>
      <c r="C320" s="309">
        <v>46</v>
      </c>
      <c r="D320" s="309">
        <v>11</v>
      </c>
      <c r="E320" s="311"/>
      <c r="F320" s="312">
        <v>3</v>
      </c>
      <c r="G320" s="313"/>
      <c r="H320" s="313"/>
      <c r="I320" s="313"/>
      <c r="J320" s="313"/>
      <c r="K320" s="313"/>
      <c r="L320" s="313"/>
      <c r="M320" s="313"/>
      <c r="N320" s="313"/>
      <c r="O320" s="313"/>
      <c r="P320" s="313"/>
      <c r="Q320" s="313"/>
      <c r="R320" s="313"/>
      <c r="S320" s="313"/>
    </row>
    <row r="321" spans="1:19" ht="12" x14ac:dyDescent="0.15">
      <c r="A321" s="307" t="str">
        <f t="shared" si="8"/>
        <v>May</v>
      </c>
      <c r="B321" s="308">
        <f t="shared" si="9"/>
        <v>44976</v>
      </c>
      <c r="C321" s="309">
        <v>46</v>
      </c>
      <c r="D321" s="309">
        <v>11</v>
      </c>
      <c r="E321" s="311"/>
      <c r="F321" s="312">
        <v>3</v>
      </c>
      <c r="G321" s="313"/>
      <c r="H321" s="313"/>
      <c r="I321" s="313"/>
      <c r="J321" s="313"/>
      <c r="K321" s="313"/>
      <c r="L321" s="313"/>
      <c r="M321" s="313"/>
      <c r="N321" s="313"/>
      <c r="O321" s="313"/>
      <c r="P321" s="313"/>
      <c r="Q321" s="313"/>
      <c r="R321" s="313"/>
      <c r="S321" s="313"/>
    </row>
    <row r="322" spans="1:19" ht="12" x14ac:dyDescent="0.15">
      <c r="A322" s="307" t="str">
        <f t="shared" si="8"/>
        <v>May</v>
      </c>
      <c r="B322" s="308">
        <f t="shared" si="9"/>
        <v>44977</v>
      </c>
      <c r="C322" s="309">
        <v>47</v>
      </c>
      <c r="D322" s="309">
        <v>11</v>
      </c>
      <c r="E322" s="311"/>
      <c r="F322" s="312">
        <v>4</v>
      </c>
      <c r="G322" s="313"/>
      <c r="H322" s="313"/>
      <c r="I322" s="313"/>
      <c r="J322" s="313"/>
      <c r="K322" s="313"/>
      <c r="L322" s="313"/>
      <c r="M322" s="313"/>
      <c r="N322" s="313"/>
      <c r="O322" s="313"/>
      <c r="P322" s="313"/>
      <c r="Q322" s="313"/>
      <c r="R322" s="313"/>
      <c r="S322" s="313"/>
    </row>
    <row r="323" spans="1:19" ht="12" x14ac:dyDescent="0.15">
      <c r="A323" s="307" t="str">
        <f t="shared" ref="A323:A381" si="10">TEXT(DATE(YEAR(B$2),MONTH(B$2)+(D323-1)+3,1),"Mmm")</f>
        <v>May</v>
      </c>
      <c r="B323" s="308">
        <f t="shared" si="9"/>
        <v>44978</v>
      </c>
      <c r="C323" s="309">
        <v>47</v>
      </c>
      <c r="D323" s="309">
        <v>11</v>
      </c>
      <c r="E323" s="311"/>
      <c r="F323" s="312">
        <v>4</v>
      </c>
      <c r="G323" s="313"/>
      <c r="H323" s="313"/>
      <c r="I323" s="313"/>
      <c r="J323" s="313"/>
      <c r="K323" s="313"/>
      <c r="L323" s="313"/>
      <c r="M323" s="313"/>
      <c r="N323" s="313"/>
      <c r="O323" s="313"/>
      <c r="P323" s="313"/>
      <c r="Q323" s="313"/>
      <c r="R323" s="313"/>
      <c r="S323" s="313"/>
    </row>
    <row r="324" spans="1:19" ht="12" x14ac:dyDescent="0.15">
      <c r="A324" s="307" t="str">
        <f t="shared" si="10"/>
        <v>May</v>
      </c>
      <c r="B324" s="308">
        <f t="shared" ref="B324:B381" si="11">B323+1</f>
        <v>44979</v>
      </c>
      <c r="C324" s="309">
        <v>47</v>
      </c>
      <c r="D324" s="309">
        <v>11</v>
      </c>
      <c r="E324" s="311"/>
      <c r="F324" s="312">
        <v>4</v>
      </c>
      <c r="G324" s="313"/>
      <c r="H324" s="313"/>
      <c r="I324" s="313"/>
      <c r="J324" s="313"/>
      <c r="K324" s="313"/>
      <c r="L324" s="313"/>
      <c r="M324" s="313"/>
      <c r="N324" s="313"/>
      <c r="O324" s="313"/>
      <c r="P324" s="313"/>
      <c r="Q324" s="313"/>
      <c r="R324" s="313"/>
      <c r="S324" s="313"/>
    </row>
    <row r="325" spans="1:19" ht="12" x14ac:dyDescent="0.15">
      <c r="A325" s="307" t="str">
        <f t="shared" si="10"/>
        <v>May</v>
      </c>
      <c r="B325" s="308">
        <f t="shared" si="11"/>
        <v>44980</v>
      </c>
      <c r="C325" s="309">
        <v>47</v>
      </c>
      <c r="D325" s="309">
        <v>11</v>
      </c>
      <c r="E325" s="311"/>
      <c r="F325" s="312">
        <v>4</v>
      </c>
      <c r="G325" s="313"/>
      <c r="H325" s="313"/>
      <c r="I325" s="313"/>
      <c r="J325" s="313"/>
      <c r="K325" s="313"/>
      <c r="L325" s="313"/>
      <c r="M325" s="313"/>
      <c r="N325" s="313"/>
      <c r="O325" s="313"/>
      <c r="P325" s="313"/>
      <c r="Q325" s="313"/>
      <c r="R325" s="313"/>
      <c r="S325" s="313"/>
    </row>
    <row r="326" spans="1:19" ht="12" x14ac:dyDescent="0.15">
      <c r="A326" s="307" t="str">
        <f t="shared" si="10"/>
        <v>May</v>
      </c>
      <c r="B326" s="308">
        <f t="shared" si="11"/>
        <v>44981</v>
      </c>
      <c r="C326" s="309">
        <v>47</v>
      </c>
      <c r="D326" s="309">
        <v>11</v>
      </c>
      <c r="E326" s="311"/>
      <c r="F326" s="312">
        <v>4</v>
      </c>
      <c r="G326" s="313"/>
      <c r="H326" s="313"/>
      <c r="I326" s="313"/>
      <c r="J326" s="313"/>
      <c r="K326" s="313"/>
      <c r="L326" s="313"/>
      <c r="M326" s="313"/>
      <c r="N326" s="313"/>
      <c r="O326" s="313"/>
      <c r="P326" s="313"/>
      <c r="Q326" s="313"/>
      <c r="R326" s="313"/>
      <c r="S326" s="313"/>
    </row>
    <row r="327" spans="1:19" ht="12" x14ac:dyDescent="0.15">
      <c r="A327" s="307" t="str">
        <f t="shared" si="10"/>
        <v>May</v>
      </c>
      <c r="B327" s="308">
        <f t="shared" si="11"/>
        <v>44982</v>
      </c>
      <c r="C327" s="309">
        <v>47</v>
      </c>
      <c r="D327" s="309">
        <v>11</v>
      </c>
      <c r="E327" s="311"/>
      <c r="F327" s="312">
        <v>4</v>
      </c>
      <c r="G327" s="313"/>
      <c r="H327" s="313"/>
      <c r="I327" s="313"/>
      <c r="J327" s="313"/>
      <c r="K327" s="313"/>
      <c r="L327" s="313"/>
      <c r="M327" s="313"/>
      <c r="N327" s="313"/>
      <c r="O327" s="313"/>
      <c r="P327" s="313"/>
      <c r="Q327" s="313"/>
      <c r="R327" s="313"/>
      <c r="S327" s="313"/>
    </row>
    <row r="328" spans="1:19" ht="12" x14ac:dyDescent="0.15">
      <c r="A328" s="307" t="str">
        <f t="shared" si="10"/>
        <v>May</v>
      </c>
      <c r="B328" s="308">
        <f t="shared" si="11"/>
        <v>44983</v>
      </c>
      <c r="C328" s="309">
        <v>47</v>
      </c>
      <c r="D328" s="309">
        <v>11</v>
      </c>
      <c r="E328" s="311"/>
      <c r="F328" s="312">
        <v>4</v>
      </c>
      <c r="G328" s="313"/>
      <c r="H328" s="313"/>
      <c r="I328" s="313"/>
      <c r="J328" s="313"/>
      <c r="K328" s="313"/>
      <c r="L328" s="313"/>
      <c r="M328" s="313"/>
      <c r="N328" s="313"/>
      <c r="O328" s="313"/>
      <c r="P328" s="313"/>
      <c r="Q328" s="313"/>
      <c r="R328" s="313"/>
      <c r="S328" s="313"/>
    </row>
    <row r="329" spans="1:19" ht="12" x14ac:dyDescent="0.15">
      <c r="A329" s="307" t="str">
        <f t="shared" si="10"/>
        <v>Jun</v>
      </c>
      <c r="B329" s="308">
        <f t="shared" si="11"/>
        <v>44984</v>
      </c>
      <c r="C329" s="309">
        <v>48</v>
      </c>
      <c r="D329" s="309">
        <v>12</v>
      </c>
      <c r="E329" s="311"/>
      <c r="F329" s="312">
        <v>1</v>
      </c>
      <c r="G329" s="313"/>
      <c r="H329" s="313"/>
      <c r="I329" s="313"/>
      <c r="J329" s="313"/>
      <c r="K329" s="313"/>
      <c r="L329" s="313"/>
      <c r="M329" s="313"/>
      <c r="N329" s="313"/>
      <c r="O329" s="313"/>
      <c r="P329" s="313"/>
      <c r="Q329" s="313"/>
      <c r="R329" s="313"/>
      <c r="S329" s="313"/>
    </row>
    <row r="330" spans="1:19" ht="12" x14ac:dyDescent="0.15">
      <c r="A330" s="307" t="str">
        <f t="shared" si="10"/>
        <v>Jun</v>
      </c>
      <c r="B330" s="308">
        <f t="shared" si="11"/>
        <v>44985</v>
      </c>
      <c r="C330" s="309">
        <v>48</v>
      </c>
      <c r="D330" s="309">
        <v>12</v>
      </c>
      <c r="E330" s="311"/>
      <c r="F330" s="312">
        <v>1</v>
      </c>
      <c r="G330" s="313"/>
      <c r="H330" s="314"/>
      <c r="I330" s="313"/>
      <c r="J330" s="313"/>
      <c r="K330" s="313"/>
      <c r="L330" s="313"/>
      <c r="M330" s="313"/>
      <c r="N330" s="313"/>
      <c r="O330" s="313"/>
      <c r="P330" s="313"/>
      <c r="Q330" s="313"/>
      <c r="R330" s="313"/>
      <c r="S330" s="313"/>
    </row>
    <row r="331" spans="1:19" ht="12" x14ac:dyDescent="0.15">
      <c r="A331" s="307" t="str">
        <f t="shared" si="10"/>
        <v>Jun</v>
      </c>
      <c r="B331" s="308">
        <f t="shared" si="11"/>
        <v>44986</v>
      </c>
      <c r="C331" s="316">
        <v>48</v>
      </c>
      <c r="D331" s="309">
        <v>12</v>
      </c>
      <c r="E331" s="317"/>
      <c r="F331" s="312">
        <v>1</v>
      </c>
      <c r="G331" s="314"/>
      <c r="H331" s="313"/>
      <c r="I331" s="313"/>
      <c r="J331" s="313"/>
      <c r="K331" s="313"/>
      <c r="L331" s="313"/>
      <c r="M331" s="313"/>
      <c r="N331" s="313"/>
      <c r="O331" s="313"/>
      <c r="P331" s="313"/>
      <c r="Q331" s="313"/>
      <c r="R331" s="313"/>
      <c r="S331" s="313"/>
    </row>
    <row r="332" spans="1:19" ht="12" x14ac:dyDescent="0.15">
      <c r="A332" s="307" t="str">
        <f t="shared" si="10"/>
        <v>Jun</v>
      </c>
      <c r="B332" s="308">
        <f t="shared" si="11"/>
        <v>44987</v>
      </c>
      <c r="C332" s="309">
        <v>48</v>
      </c>
      <c r="D332" s="309">
        <v>12</v>
      </c>
      <c r="E332" s="311"/>
      <c r="F332" s="312">
        <v>1</v>
      </c>
      <c r="G332" s="313"/>
      <c r="H332" s="313"/>
      <c r="I332" s="313"/>
      <c r="J332" s="313"/>
      <c r="K332" s="313"/>
      <c r="L332" s="313"/>
      <c r="M332" s="313"/>
      <c r="N332" s="313"/>
      <c r="O332" s="313"/>
      <c r="P332" s="313"/>
      <c r="Q332" s="313"/>
      <c r="R332" s="313"/>
      <c r="S332" s="313"/>
    </row>
    <row r="333" spans="1:19" ht="12" x14ac:dyDescent="0.15">
      <c r="A333" s="307" t="str">
        <f t="shared" si="10"/>
        <v>Jun</v>
      </c>
      <c r="B333" s="308">
        <f t="shared" si="11"/>
        <v>44988</v>
      </c>
      <c r="C333" s="309">
        <v>48</v>
      </c>
      <c r="D333" s="309">
        <v>12</v>
      </c>
      <c r="E333" s="311"/>
      <c r="F333" s="312">
        <v>1</v>
      </c>
      <c r="G333" s="313"/>
      <c r="H333" s="313"/>
      <c r="I333" s="313"/>
      <c r="J333" s="313"/>
      <c r="K333" s="313"/>
      <c r="L333" s="313"/>
      <c r="M333" s="313"/>
      <c r="N333" s="313"/>
      <c r="O333" s="313"/>
      <c r="P333" s="313"/>
      <c r="Q333" s="313"/>
      <c r="R333" s="313"/>
      <c r="S333" s="313"/>
    </row>
    <row r="334" spans="1:19" ht="12" x14ac:dyDescent="0.15">
      <c r="A334" s="307" t="str">
        <f t="shared" si="10"/>
        <v>Jun</v>
      </c>
      <c r="B334" s="308">
        <f t="shared" si="11"/>
        <v>44989</v>
      </c>
      <c r="C334" s="309">
        <v>48</v>
      </c>
      <c r="D334" s="309">
        <v>12</v>
      </c>
      <c r="E334" s="311"/>
      <c r="F334" s="312">
        <v>1</v>
      </c>
      <c r="G334" s="313"/>
      <c r="H334" s="313"/>
      <c r="I334" s="313"/>
      <c r="J334" s="313"/>
      <c r="K334" s="313"/>
      <c r="L334" s="313"/>
      <c r="M334" s="313"/>
      <c r="N334" s="313"/>
      <c r="O334" s="313"/>
      <c r="P334" s="313"/>
      <c r="Q334" s="313"/>
      <c r="R334" s="313"/>
      <c r="S334" s="313"/>
    </row>
    <row r="335" spans="1:19" ht="12" x14ac:dyDescent="0.15">
      <c r="A335" s="307" t="str">
        <f t="shared" si="10"/>
        <v>Jun</v>
      </c>
      <c r="B335" s="308">
        <f t="shared" si="11"/>
        <v>44990</v>
      </c>
      <c r="C335" s="309">
        <v>48</v>
      </c>
      <c r="D335" s="309">
        <v>12</v>
      </c>
      <c r="E335" s="311"/>
      <c r="F335" s="312">
        <v>1</v>
      </c>
      <c r="G335" s="313"/>
      <c r="H335" s="313"/>
      <c r="I335" s="313"/>
      <c r="J335" s="313"/>
      <c r="K335" s="313"/>
      <c r="L335" s="313"/>
      <c r="M335" s="313"/>
      <c r="N335" s="313"/>
      <c r="O335" s="313"/>
      <c r="P335" s="313"/>
      <c r="Q335" s="313"/>
      <c r="R335" s="313"/>
      <c r="S335" s="313"/>
    </row>
    <row r="336" spans="1:19" ht="12" x14ac:dyDescent="0.15">
      <c r="A336" s="307" t="str">
        <f t="shared" si="10"/>
        <v>Jun</v>
      </c>
      <c r="B336" s="321">
        <f t="shared" si="11"/>
        <v>44991</v>
      </c>
      <c r="C336" s="316">
        <v>49</v>
      </c>
      <c r="D336" s="316">
        <v>12</v>
      </c>
      <c r="E336" s="315"/>
      <c r="F336" s="312">
        <v>2</v>
      </c>
      <c r="G336" s="313"/>
      <c r="H336" s="313"/>
      <c r="I336" s="313"/>
      <c r="J336" s="313"/>
      <c r="K336" s="313"/>
      <c r="L336" s="313"/>
      <c r="M336" s="313"/>
      <c r="N336" s="313"/>
      <c r="O336" s="313"/>
      <c r="P336" s="313"/>
      <c r="Q336" s="313"/>
      <c r="R336" s="313"/>
      <c r="S336" s="313"/>
    </row>
    <row r="337" spans="1:19" ht="12" x14ac:dyDescent="0.15">
      <c r="A337" s="307" t="str">
        <f t="shared" si="10"/>
        <v>Jun</v>
      </c>
      <c r="B337" s="308">
        <f t="shared" si="11"/>
        <v>44992</v>
      </c>
      <c r="C337" s="309">
        <v>49</v>
      </c>
      <c r="D337" s="309">
        <v>12</v>
      </c>
      <c r="E337" s="311"/>
      <c r="F337" s="312">
        <v>2</v>
      </c>
      <c r="G337" s="313"/>
      <c r="H337" s="313"/>
      <c r="I337" s="313"/>
      <c r="J337" s="313"/>
      <c r="K337" s="313"/>
      <c r="L337" s="313"/>
      <c r="M337" s="313"/>
      <c r="N337" s="313"/>
      <c r="O337" s="313"/>
      <c r="P337" s="313"/>
      <c r="Q337" s="313"/>
      <c r="R337" s="313"/>
      <c r="S337" s="313"/>
    </row>
    <row r="338" spans="1:19" ht="12" x14ac:dyDescent="0.15">
      <c r="A338" s="307" t="str">
        <f t="shared" si="10"/>
        <v>Jun</v>
      </c>
      <c r="B338" s="308">
        <f t="shared" si="11"/>
        <v>44993</v>
      </c>
      <c r="C338" s="309">
        <v>49</v>
      </c>
      <c r="D338" s="309">
        <v>12</v>
      </c>
      <c r="E338" s="311"/>
      <c r="F338" s="312">
        <v>2</v>
      </c>
      <c r="G338" s="313"/>
      <c r="H338" s="313"/>
      <c r="I338" s="313"/>
      <c r="J338" s="313"/>
      <c r="K338" s="313"/>
      <c r="L338" s="313"/>
      <c r="M338" s="313"/>
      <c r="N338" s="313"/>
      <c r="O338" s="313"/>
      <c r="P338" s="313"/>
      <c r="Q338" s="313"/>
      <c r="R338" s="313"/>
      <c r="S338" s="313"/>
    </row>
    <row r="339" spans="1:19" ht="12" x14ac:dyDescent="0.15">
      <c r="A339" s="307" t="str">
        <f t="shared" si="10"/>
        <v>Jun</v>
      </c>
      <c r="B339" s="308">
        <f t="shared" si="11"/>
        <v>44994</v>
      </c>
      <c r="C339" s="309">
        <v>49</v>
      </c>
      <c r="D339" s="309">
        <v>12</v>
      </c>
      <c r="E339" s="311"/>
      <c r="F339" s="312">
        <v>2</v>
      </c>
      <c r="G339" s="313"/>
      <c r="H339" s="313"/>
      <c r="I339" s="313"/>
      <c r="J339" s="313"/>
      <c r="K339" s="313"/>
      <c r="L339" s="313"/>
      <c r="M339" s="313"/>
      <c r="N339" s="313"/>
      <c r="O339" s="313"/>
      <c r="P339" s="313"/>
      <c r="Q339" s="313"/>
      <c r="R339" s="313"/>
      <c r="S339" s="313"/>
    </row>
    <row r="340" spans="1:19" ht="12" x14ac:dyDescent="0.15">
      <c r="A340" s="307" t="str">
        <f t="shared" si="10"/>
        <v>Jun</v>
      </c>
      <c r="B340" s="308">
        <f t="shared" si="11"/>
        <v>44995</v>
      </c>
      <c r="C340" s="309">
        <v>49</v>
      </c>
      <c r="D340" s="309">
        <v>12</v>
      </c>
      <c r="E340" s="311"/>
      <c r="F340" s="312">
        <v>2</v>
      </c>
      <c r="G340" s="313"/>
      <c r="H340" s="313"/>
      <c r="I340" s="313"/>
      <c r="J340" s="313"/>
      <c r="K340" s="313"/>
      <c r="L340" s="313"/>
      <c r="M340" s="313"/>
      <c r="N340" s="313"/>
      <c r="O340" s="313"/>
      <c r="P340" s="313"/>
      <c r="Q340" s="313"/>
      <c r="R340" s="313"/>
      <c r="S340" s="313"/>
    </row>
    <row r="341" spans="1:19" ht="12" x14ac:dyDescent="0.15">
      <c r="A341" s="307" t="str">
        <f t="shared" si="10"/>
        <v>Jun</v>
      </c>
      <c r="B341" s="308">
        <f t="shared" si="11"/>
        <v>44996</v>
      </c>
      <c r="C341" s="309">
        <v>49</v>
      </c>
      <c r="D341" s="309">
        <v>12</v>
      </c>
      <c r="E341" s="311"/>
      <c r="F341" s="312">
        <v>2</v>
      </c>
      <c r="G341" s="313"/>
      <c r="H341" s="313"/>
      <c r="I341" s="313"/>
      <c r="J341" s="313"/>
      <c r="K341" s="313"/>
      <c r="L341" s="313"/>
      <c r="M341" s="313"/>
      <c r="N341" s="313"/>
      <c r="O341" s="313"/>
      <c r="P341" s="313"/>
      <c r="Q341" s="313"/>
      <c r="R341" s="313"/>
      <c r="S341" s="313"/>
    </row>
    <row r="342" spans="1:19" ht="12" x14ac:dyDescent="0.15">
      <c r="A342" s="307" t="str">
        <f t="shared" si="10"/>
        <v>Jun</v>
      </c>
      <c r="B342" s="308">
        <f t="shared" si="11"/>
        <v>44997</v>
      </c>
      <c r="C342" s="309">
        <v>49</v>
      </c>
      <c r="D342" s="309">
        <v>12</v>
      </c>
      <c r="E342" s="311"/>
      <c r="F342" s="312">
        <v>2</v>
      </c>
      <c r="G342" s="313"/>
      <c r="H342" s="313"/>
      <c r="I342" s="313"/>
      <c r="J342" s="313"/>
      <c r="K342" s="313"/>
      <c r="L342" s="313"/>
      <c r="M342" s="313"/>
      <c r="N342" s="313"/>
      <c r="O342" s="313"/>
      <c r="P342" s="313"/>
      <c r="Q342" s="313"/>
      <c r="R342" s="313"/>
      <c r="S342" s="313"/>
    </row>
    <row r="343" spans="1:19" ht="12" x14ac:dyDescent="0.15">
      <c r="A343" s="307" t="str">
        <f t="shared" si="10"/>
        <v>Jun</v>
      </c>
      <c r="B343" s="308">
        <f t="shared" si="11"/>
        <v>44998</v>
      </c>
      <c r="C343" s="309">
        <v>50</v>
      </c>
      <c r="D343" s="309">
        <v>12</v>
      </c>
      <c r="E343" s="311"/>
      <c r="F343" s="312">
        <v>3</v>
      </c>
      <c r="G343" s="313"/>
      <c r="H343" s="313"/>
      <c r="I343" s="313"/>
      <c r="J343" s="313"/>
      <c r="K343" s="313"/>
      <c r="L343" s="313"/>
      <c r="M343" s="313"/>
      <c r="N343" s="313"/>
      <c r="O343" s="313"/>
      <c r="P343" s="313"/>
      <c r="Q343" s="313"/>
      <c r="R343" s="313"/>
      <c r="S343" s="313"/>
    </row>
    <row r="344" spans="1:19" ht="12" x14ac:dyDescent="0.15">
      <c r="A344" s="307" t="str">
        <f t="shared" si="10"/>
        <v>Jun</v>
      </c>
      <c r="B344" s="308">
        <f t="shared" si="11"/>
        <v>44999</v>
      </c>
      <c r="C344" s="309">
        <v>50</v>
      </c>
      <c r="D344" s="309">
        <v>12</v>
      </c>
      <c r="E344" s="311"/>
      <c r="F344" s="312">
        <v>3</v>
      </c>
      <c r="G344" s="313"/>
      <c r="H344" s="313"/>
      <c r="I344" s="313"/>
      <c r="J344" s="313"/>
      <c r="K344" s="313"/>
      <c r="L344" s="313"/>
      <c r="M344" s="313"/>
      <c r="N344" s="313"/>
      <c r="O344" s="313"/>
      <c r="P344" s="313"/>
      <c r="Q344" s="313"/>
      <c r="R344" s="313"/>
      <c r="S344" s="313"/>
    </row>
    <row r="345" spans="1:19" ht="12" x14ac:dyDescent="0.15">
      <c r="A345" s="307" t="str">
        <f t="shared" si="10"/>
        <v>Jun</v>
      </c>
      <c r="B345" s="308">
        <f t="shared" si="11"/>
        <v>45000</v>
      </c>
      <c r="C345" s="309">
        <v>50</v>
      </c>
      <c r="D345" s="309">
        <v>12</v>
      </c>
      <c r="E345" s="311"/>
      <c r="F345" s="312">
        <v>3</v>
      </c>
      <c r="G345" s="313"/>
      <c r="H345" s="313"/>
      <c r="I345" s="313"/>
      <c r="J345" s="313"/>
      <c r="K345" s="313"/>
      <c r="L345" s="313"/>
      <c r="M345" s="313"/>
      <c r="N345" s="313"/>
      <c r="O345" s="313"/>
      <c r="P345" s="313"/>
      <c r="Q345" s="313"/>
      <c r="R345" s="313"/>
      <c r="S345" s="313"/>
    </row>
    <row r="346" spans="1:19" ht="12" x14ac:dyDescent="0.15">
      <c r="A346" s="307" t="str">
        <f t="shared" si="10"/>
        <v>Jun</v>
      </c>
      <c r="B346" s="308">
        <f t="shared" si="11"/>
        <v>45001</v>
      </c>
      <c r="C346" s="309">
        <v>50</v>
      </c>
      <c r="D346" s="309">
        <v>12</v>
      </c>
      <c r="E346" s="311"/>
      <c r="F346" s="312">
        <v>3</v>
      </c>
      <c r="G346" s="313"/>
      <c r="H346" s="313"/>
      <c r="I346" s="313"/>
      <c r="J346" s="313"/>
      <c r="K346" s="313"/>
      <c r="L346" s="313"/>
      <c r="M346" s="313"/>
      <c r="N346" s="313"/>
      <c r="O346" s="313"/>
      <c r="P346" s="313"/>
      <c r="Q346" s="313"/>
      <c r="R346" s="313"/>
      <c r="S346" s="313"/>
    </row>
    <row r="347" spans="1:19" ht="12" x14ac:dyDescent="0.15">
      <c r="A347" s="307" t="str">
        <f t="shared" si="10"/>
        <v>Jun</v>
      </c>
      <c r="B347" s="308">
        <f t="shared" si="11"/>
        <v>45002</v>
      </c>
      <c r="C347" s="309">
        <v>50</v>
      </c>
      <c r="D347" s="309">
        <v>12</v>
      </c>
      <c r="E347" s="311"/>
      <c r="F347" s="312">
        <v>3</v>
      </c>
      <c r="G347" s="313"/>
      <c r="H347" s="313"/>
      <c r="I347" s="313"/>
      <c r="J347" s="313"/>
      <c r="K347" s="313"/>
      <c r="L347" s="313"/>
      <c r="M347" s="313"/>
      <c r="N347" s="313"/>
      <c r="O347" s="313"/>
      <c r="P347" s="313"/>
      <c r="Q347" s="313"/>
      <c r="R347" s="313"/>
      <c r="S347" s="313"/>
    </row>
    <row r="348" spans="1:19" ht="12" x14ac:dyDescent="0.15">
      <c r="A348" s="307" t="str">
        <f t="shared" si="10"/>
        <v>Jun</v>
      </c>
      <c r="B348" s="308">
        <f t="shared" si="11"/>
        <v>45003</v>
      </c>
      <c r="C348" s="309">
        <v>50</v>
      </c>
      <c r="D348" s="309">
        <v>12</v>
      </c>
      <c r="E348" s="311"/>
      <c r="F348" s="312">
        <v>3</v>
      </c>
      <c r="G348" s="313"/>
      <c r="H348" s="313"/>
      <c r="I348" s="313"/>
      <c r="J348" s="313"/>
      <c r="K348" s="313"/>
      <c r="L348" s="313"/>
      <c r="M348" s="313"/>
      <c r="N348" s="313"/>
      <c r="O348" s="313"/>
      <c r="P348" s="313"/>
      <c r="Q348" s="313"/>
      <c r="R348" s="313"/>
      <c r="S348" s="313"/>
    </row>
    <row r="349" spans="1:19" ht="12" x14ac:dyDescent="0.15">
      <c r="A349" s="307" t="str">
        <f t="shared" si="10"/>
        <v>Jun</v>
      </c>
      <c r="B349" s="308">
        <f t="shared" si="11"/>
        <v>45004</v>
      </c>
      <c r="C349" s="309">
        <v>50</v>
      </c>
      <c r="D349" s="309">
        <v>12</v>
      </c>
      <c r="E349" s="311"/>
      <c r="F349" s="312">
        <v>3</v>
      </c>
      <c r="G349" s="313"/>
      <c r="H349" s="313"/>
      <c r="I349" s="313"/>
      <c r="J349" s="313"/>
      <c r="K349" s="313"/>
      <c r="L349" s="313"/>
      <c r="M349" s="313"/>
      <c r="N349" s="313"/>
      <c r="O349" s="313"/>
      <c r="P349" s="313"/>
      <c r="Q349" s="313"/>
      <c r="R349" s="313"/>
      <c r="S349" s="313"/>
    </row>
    <row r="350" spans="1:19" ht="12" x14ac:dyDescent="0.15">
      <c r="A350" s="307" t="str">
        <f t="shared" si="10"/>
        <v>Jun</v>
      </c>
      <c r="B350" s="308">
        <f t="shared" si="11"/>
        <v>45005</v>
      </c>
      <c r="C350" s="309">
        <v>51</v>
      </c>
      <c r="D350" s="309">
        <v>12</v>
      </c>
      <c r="E350" s="311"/>
      <c r="F350" s="312">
        <v>4</v>
      </c>
      <c r="G350" s="313"/>
      <c r="H350" s="313"/>
      <c r="I350" s="313"/>
      <c r="J350" s="313"/>
      <c r="K350" s="313"/>
      <c r="L350" s="313"/>
      <c r="M350" s="313"/>
      <c r="N350" s="313"/>
      <c r="O350" s="313"/>
      <c r="P350" s="313"/>
      <c r="Q350" s="313"/>
      <c r="R350" s="313"/>
      <c r="S350" s="313"/>
    </row>
    <row r="351" spans="1:19" ht="12" x14ac:dyDescent="0.15">
      <c r="A351" s="307" t="str">
        <f t="shared" si="10"/>
        <v>Jun</v>
      </c>
      <c r="B351" s="308">
        <f t="shared" si="11"/>
        <v>45006</v>
      </c>
      <c r="C351" s="309">
        <v>51</v>
      </c>
      <c r="D351" s="309">
        <v>12</v>
      </c>
      <c r="E351" s="311"/>
      <c r="F351" s="312">
        <v>4</v>
      </c>
      <c r="G351" s="313"/>
      <c r="H351" s="313"/>
      <c r="I351" s="313"/>
      <c r="J351" s="313"/>
      <c r="K351" s="313"/>
      <c r="L351" s="313"/>
      <c r="M351" s="313"/>
      <c r="N351" s="313"/>
      <c r="O351" s="313"/>
      <c r="P351" s="313"/>
      <c r="Q351" s="313"/>
      <c r="R351" s="313"/>
      <c r="S351" s="313"/>
    </row>
    <row r="352" spans="1:19" ht="12" x14ac:dyDescent="0.15">
      <c r="A352" s="307" t="str">
        <f t="shared" si="10"/>
        <v>Jun</v>
      </c>
      <c r="B352" s="308">
        <f t="shared" si="11"/>
        <v>45007</v>
      </c>
      <c r="C352" s="309">
        <v>51</v>
      </c>
      <c r="D352" s="309">
        <v>12</v>
      </c>
      <c r="E352" s="311"/>
      <c r="F352" s="312">
        <v>4</v>
      </c>
      <c r="G352" s="313"/>
      <c r="H352" s="313"/>
      <c r="I352" s="313"/>
      <c r="J352" s="313"/>
      <c r="K352" s="313"/>
      <c r="L352" s="313"/>
      <c r="M352" s="313"/>
      <c r="N352" s="313"/>
      <c r="O352" s="313"/>
      <c r="P352" s="313"/>
      <c r="Q352" s="313"/>
      <c r="R352" s="313"/>
      <c r="S352" s="313"/>
    </row>
    <row r="353" spans="1:19" ht="12" x14ac:dyDescent="0.15">
      <c r="A353" s="307" t="str">
        <f t="shared" si="10"/>
        <v>Jun</v>
      </c>
      <c r="B353" s="308">
        <f t="shared" si="11"/>
        <v>45008</v>
      </c>
      <c r="C353" s="309">
        <v>51</v>
      </c>
      <c r="D353" s="309">
        <v>12</v>
      </c>
      <c r="E353" s="311"/>
      <c r="F353" s="312">
        <v>4</v>
      </c>
      <c r="G353" s="313"/>
      <c r="H353" s="313"/>
      <c r="I353" s="313"/>
      <c r="J353" s="313"/>
      <c r="K353" s="313"/>
      <c r="L353" s="313"/>
      <c r="M353" s="313"/>
      <c r="N353" s="313"/>
      <c r="O353" s="313"/>
      <c r="P353" s="313"/>
      <c r="Q353" s="313"/>
      <c r="R353" s="313"/>
      <c r="S353" s="313"/>
    </row>
    <row r="354" spans="1:19" ht="12" x14ac:dyDescent="0.15">
      <c r="A354" s="307" t="str">
        <f t="shared" si="10"/>
        <v>Jun</v>
      </c>
      <c r="B354" s="308">
        <f t="shared" si="11"/>
        <v>45009</v>
      </c>
      <c r="C354" s="309">
        <v>51</v>
      </c>
      <c r="D354" s="309">
        <v>12</v>
      </c>
      <c r="E354" s="311"/>
      <c r="F354" s="312">
        <v>4</v>
      </c>
      <c r="G354" s="313"/>
      <c r="H354" s="313"/>
      <c r="I354" s="313"/>
      <c r="J354" s="313"/>
      <c r="K354" s="313"/>
      <c r="L354" s="313"/>
      <c r="M354" s="313"/>
      <c r="N354" s="313"/>
      <c r="O354" s="313"/>
      <c r="P354" s="313"/>
      <c r="Q354" s="313"/>
      <c r="R354" s="313"/>
      <c r="S354" s="313"/>
    </row>
    <row r="355" spans="1:19" ht="12" x14ac:dyDescent="0.15">
      <c r="A355" s="307" t="str">
        <f t="shared" si="10"/>
        <v>Jun</v>
      </c>
      <c r="B355" s="308">
        <f t="shared" si="11"/>
        <v>45010</v>
      </c>
      <c r="C355" s="309">
        <v>51</v>
      </c>
      <c r="D355" s="309">
        <v>12</v>
      </c>
      <c r="E355" s="311"/>
      <c r="F355" s="312">
        <v>4</v>
      </c>
      <c r="G355" s="313"/>
      <c r="H355" s="313"/>
      <c r="I355" s="313"/>
      <c r="J355" s="313"/>
      <c r="K355" s="313"/>
      <c r="L355" s="313"/>
      <c r="M355" s="313"/>
      <c r="N355" s="313"/>
      <c r="O355" s="313"/>
      <c r="P355" s="313"/>
      <c r="Q355" s="313"/>
      <c r="R355" s="313"/>
      <c r="S355" s="313"/>
    </row>
    <row r="356" spans="1:19" ht="12" x14ac:dyDescent="0.15">
      <c r="A356" s="307" t="str">
        <f t="shared" si="10"/>
        <v>Jun</v>
      </c>
      <c r="B356" s="308">
        <f t="shared" si="11"/>
        <v>45011</v>
      </c>
      <c r="C356" s="309">
        <v>51</v>
      </c>
      <c r="D356" s="309">
        <v>12</v>
      </c>
      <c r="E356" s="311"/>
      <c r="F356" s="312">
        <v>4</v>
      </c>
      <c r="G356" s="313"/>
      <c r="H356" s="313"/>
      <c r="I356" s="313"/>
      <c r="J356" s="313"/>
      <c r="K356" s="313"/>
      <c r="L356" s="313"/>
      <c r="M356" s="313"/>
      <c r="N356" s="313"/>
      <c r="O356" s="313"/>
      <c r="P356" s="313"/>
      <c r="Q356" s="313"/>
      <c r="R356" s="313"/>
      <c r="S356" s="313"/>
    </row>
    <row r="357" spans="1:19" ht="12" x14ac:dyDescent="0.15">
      <c r="A357" s="307" t="str">
        <f t="shared" si="10"/>
        <v>Jun</v>
      </c>
      <c r="B357" s="308">
        <f t="shared" si="11"/>
        <v>45012</v>
      </c>
      <c r="C357" s="309">
        <v>52</v>
      </c>
      <c r="D357" s="309">
        <v>12</v>
      </c>
      <c r="E357" s="311"/>
      <c r="F357" s="312">
        <v>5</v>
      </c>
      <c r="G357" s="313"/>
      <c r="H357" s="313"/>
      <c r="I357" s="313"/>
      <c r="J357" s="313"/>
      <c r="K357" s="313"/>
      <c r="L357" s="313"/>
      <c r="M357" s="313"/>
      <c r="N357" s="313"/>
      <c r="O357" s="313"/>
      <c r="P357" s="313"/>
      <c r="Q357" s="313"/>
      <c r="R357" s="313"/>
      <c r="S357" s="313"/>
    </row>
    <row r="358" spans="1:19" ht="12" x14ac:dyDescent="0.15">
      <c r="A358" s="307" t="str">
        <f t="shared" si="10"/>
        <v>Jun</v>
      </c>
      <c r="B358" s="308">
        <f t="shared" si="11"/>
        <v>45013</v>
      </c>
      <c r="C358" s="309">
        <v>52</v>
      </c>
      <c r="D358" s="309">
        <v>12</v>
      </c>
      <c r="E358" s="311"/>
      <c r="F358" s="312">
        <v>5</v>
      </c>
      <c r="G358" s="313"/>
      <c r="H358" s="313"/>
      <c r="I358" s="313"/>
      <c r="J358" s="313"/>
      <c r="K358" s="313"/>
      <c r="L358" s="313"/>
      <c r="M358" s="313"/>
      <c r="N358" s="313"/>
      <c r="O358" s="313"/>
      <c r="P358" s="313"/>
      <c r="Q358" s="313"/>
      <c r="R358" s="313"/>
      <c r="S358" s="313"/>
    </row>
    <row r="359" spans="1:19" ht="12" x14ac:dyDescent="0.15">
      <c r="A359" s="307" t="str">
        <f t="shared" si="10"/>
        <v>Jun</v>
      </c>
      <c r="B359" s="308">
        <f t="shared" si="11"/>
        <v>45014</v>
      </c>
      <c r="C359" s="309">
        <v>52</v>
      </c>
      <c r="D359" s="309">
        <v>12</v>
      </c>
      <c r="E359" s="311"/>
      <c r="F359" s="312">
        <v>5</v>
      </c>
      <c r="G359" s="313"/>
      <c r="H359" s="313"/>
      <c r="I359" s="313"/>
      <c r="J359" s="313"/>
      <c r="K359" s="313"/>
      <c r="L359" s="313"/>
      <c r="M359" s="313"/>
      <c r="N359" s="313"/>
      <c r="O359" s="313"/>
      <c r="P359" s="313"/>
      <c r="Q359" s="313"/>
      <c r="R359" s="313"/>
      <c r="S359" s="313"/>
    </row>
    <row r="360" spans="1:19" ht="12" x14ac:dyDescent="0.15">
      <c r="A360" s="307" t="str">
        <f t="shared" si="10"/>
        <v>Jun</v>
      </c>
      <c r="B360" s="308">
        <f t="shared" si="11"/>
        <v>45015</v>
      </c>
      <c r="C360" s="309">
        <v>52</v>
      </c>
      <c r="D360" s="309">
        <v>12</v>
      </c>
      <c r="E360" s="311"/>
      <c r="F360" s="312">
        <v>5</v>
      </c>
      <c r="G360" s="313"/>
      <c r="H360" s="313"/>
      <c r="I360" s="313"/>
      <c r="J360" s="313"/>
      <c r="K360" s="313"/>
      <c r="L360" s="313"/>
      <c r="M360" s="313"/>
      <c r="N360" s="313"/>
      <c r="O360" s="313"/>
      <c r="P360" s="313"/>
      <c r="Q360" s="313"/>
      <c r="R360" s="313"/>
      <c r="S360" s="313"/>
    </row>
    <row r="361" spans="1:19" ht="12" x14ac:dyDescent="0.15">
      <c r="A361" s="307" t="str">
        <f t="shared" si="10"/>
        <v>Jun</v>
      </c>
      <c r="B361" s="308">
        <f t="shared" si="11"/>
        <v>45016</v>
      </c>
      <c r="C361" s="309">
        <v>52</v>
      </c>
      <c r="D361" s="309">
        <v>12</v>
      </c>
      <c r="E361" s="311"/>
      <c r="F361" s="312">
        <v>5</v>
      </c>
      <c r="G361" s="313"/>
      <c r="H361" s="313"/>
      <c r="I361" s="313"/>
      <c r="J361" s="313"/>
      <c r="K361" s="313"/>
      <c r="L361" s="313"/>
      <c r="M361" s="313"/>
      <c r="N361" s="313"/>
      <c r="O361" s="313"/>
      <c r="P361" s="313"/>
      <c r="Q361" s="313"/>
      <c r="R361" s="313"/>
      <c r="S361" s="313"/>
    </row>
    <row r="362" spans="1:19" ht="12" x14ac:dyDescent="0.15">
      <c r="A362" s="307" t="str">
        <f t="shared" si="10"/>
        <v>Jun</v>
      </c>
      <c r="B362" s="308">
        <f t="shared" si="11"/>
        <v>45017</v>
      </c>
      <c r="C362" s="309">
        <v>52</v>
      </c>
      <c r="D362" s="309">
        <v>12</v>
      </c>
      <c r="E362" s="311"/>
      <c r="F362" s="312">
        <v>5</v>
      </c>
      <c r="G362" s="313"/>
      <c r="H362" s="313"/>
      <c r="I362" s="313"/>
      <c r="J362" s="313"/>
      <c r="K362" s="313"/>
      <c r="L362" s="313"/>
      <c r="M362" s="313"/>
      <c r="N362" s="313"/>
      <c r="O362" s="313"/>
      <c r="P362" s="313"/>
      <c r="Q362" s="313"/>
      <c r="R362" s="313"/>
      <c r="S362" s="313"/>
    </row>
    <row r="363" spans="1:19" ht="12" x14ac:dyDescent="0.15">
      <c r="A363" s="307" t="str">
        <f t="shared" si="10"/>
        <v>Jun</v>
      </c>
      <c r="B363" s="308">
        <f t="shared" si="11"/>
        <v>45018</v>
      </c>
      <c r="C363" s="309">
        <v>52</v>
      </c>
      <c r="D363" s="309">
        <v>12</v>
      </c>
      <c r="E363" s="311"/>
      <c r="F363" s="312">
        <v>5</v>
      </c>
      <c r="G363" s="313"/>
      <c r="H363" s="313"/>
      <c r="I363" s="313"/>
      <c r="J363" s="313"/>
      <c r="K363" s="313"/>
      <c r="L363" s="313"/>
      <c r="M363" s="313"/>
      <c r="N363" s="313"/>
      <c r="O363" s="313"/>
      <c r="P363" s="313"/>
      <c r="Q363" s="313"/>
      <c r="R363" s="313"/>
      <c r="S363" s="313"/>
    </row>
    <row r="364" spans="1:19" ht="12" x14ac:dyDescent="0.15">
      <c r="A364" s="307" t="str">
        <f t="shared" si="10"/>
        <v>Jun</v>
      </c>
      <c r="B364" s="308">
        <f t="shared" si="11"/>
        <v>45019</v>
      </c>
      <c r="C364" s="309">
        <v>53</v>
      </c>
      <c r="D364" s="309">
        <v>12</v>
      </c>
      <c r="E364" s="311"/>
      <c r="F364" s="312">
        <v>6</v>
      </c>
      <c r="G364" s="313"/>
      <c r="H364" s="313"/>
      <c r="I364" s="313"/>
      <c r="J364" s="313"/>
      <c r="K364" s="313"/>
      <c r="L364" s="313"/>
      <c r="M364" s="313"/>
      <c r="N364" s="313"/>
      <c r="O364" s="313"/>
      <c r="P364" s="313"/>
      <c r="Q364" s="313"/>
      <c r="R364" s="313"/>
      <c r="S364" s="313"/>
    </row>
    <row r="365" spans="1:19" ht="12" x14ac:dyDescent="0.15">
      <c r="A365" s="307" t="str">
        <f t="shared" si="10"/>
        <v>Jun</v>
      </c>
      <c r="B365" s="308">
        <f t="shared" si="11"/>
        <v>45020</v>
      </c>
      <c r="C365" s="309">
        <v>53</v>
      </c>
      <c r="D365" s="309">
        <v>12</v>
      </c>
      <c r="E365" s="311"/>
      <c r="F365" s="312">
        <v>6</v>
      </c>
      <c r="G365" s="313"/>
      <c r="H365" s="313"/>
      <c r="I365" s="313"/>
      <c r="J365" s="313"/>
      <c r="K365" s="313"/>
      <c r="L365" s="313"/>
      <c r="M365" s="313"/>
      <c r="N365" s="313"/>
      <c r="O365" s="313"/>
      <c r="P365" s="313"/>
      <c r="Q365" s="313"/>
      <c r="R365" s="313"/>
      <c r="S365" s="313"/>
    </row>
    <row r="366" spans="1:19" ht="12" x14ac:dyDescent="0.15">
      <c r="A366" s="307" t="str">
        <f t="shared" si="10"/>
        <v>Jun</v>
      </c>
      <c r="B366" s="308">
        <f t="shared" si="11"/>
        <v>45021</v>
      </c>
      <c r="C366" s="309">
        <v>53</v>
      </c>
      <c r="D366" s="309">
        <v>12</v>
      </c>
      <c r="E366" s="310">
        <f>B366</f>
        <v>45021</v>
      </c>
      <c r="F366" s="312">
        <v>6</v>
      </c>
      <c r="G366" s="313"/>
      <c r="H366" s="313"/>
      <c r="I366" s="313"/>
      <c r="J366" s="313"/>
      <c r="K366" s="313"/>
      <c r="L366" s="313"/>
      <c r="M366" s="313"/>
      <c r="N366" s="313"/>
      <c r="O366" s="313"/>
      <c r="P366" s="313"/>
      <c r="Q366" s="313"/>
      <c r="R366" s="313"/>
      <c r="S366" s="313"/>
    </row>
    <row r="367" spans="1:19" ht="12" x14ac:dyDescent="0.15">
      <c r="A367" s="307" t="str">
        <f t="shared" si="10"/>
        <v>Jun</v>
      </c>
      <c r="B367" s="308">
        <f t="shared" si="11"/>
        <v>45022</v>
      </c>
      <c r="C367" s="309">
        <v>53</v>
      </c>
      <c r="D367" s="309">
        <v>12</v>
      </c>
      <c r="E367" s="311"/>
      <c r="F367" s="312">
        <v>6</v>
      </c>
      <c r="G367" s="313"/>
      <c r="H367" s="313"/>
      <c r="I367" s="313"/>
      <c r="J367" s="313"/>
      <c r="K367" s="313"/>
      <c r="L367" s="313"/>
      <c r="M367" s="313"/>
      <c r="N367" s="313"/>
      <c r="O367" s="313"/>
      <c r="P367" s="313"/>
      <c r="Q367" s="313"/>
      <c r="R367" s="313"/>
      <c r="S367" s="313"/>
    </row>
    <row r="368" spans="1:19" ht="12" x14ac:dyDescent="0.15">
      <c r="A368" s="307" t="str">
        <f t="shared" si="10"/>
        <v>Jun</v>
      </c>
      <c r="B368" s="308">
        <f t="shared" si="11"/>
        <v>45023</v>
      </c>
      <c r="C368" s="309">
        <v>53</v>
      </c>
      <c r="D368" s="309">
        <v>12</v>
      </c>
      <c r="E368" s="311"/>
      <c r="F368" s="312">
        <v>6</v>
      </c>
      <c r="G368" s="313"/>
      <c r="H368" s="313"/>
      <c r="I368" s="313"/>
      <c r="J368" s="313"/>
      <c r="K368" s="313"/>
      <c r="L368" s="313"/>
      <c r="M368" s="313"/>
      <c r="N368" s="313"/>
      <c r="O368" s="313"/>
      <c r="P368" s="313"/>
      <c r="Q368" s="313"/>
      <c r="R368" s="313"/>
      <c r="S368" s="313"/>
    </row>
    <row r="369" spans="1:19" ht="12" x14ac:dyDescent="0.15">
      <c r="A369" s="307" t="str">
        <f t="shared" si="10"/>
        <v>Jun</v>
      </c>
      <c r="B369" s="308">
        <f t="shared" si="11"/>
        <v>45024</v>
      </c>
      <c r="C369" s="309">
        <v>53</v>
      </c>
      <c r="D369" s="309">
        <v>12</v>
      </c>
      <c r="E369" s="311"/>
      <c r="F369" s="312">
        <v>6</v>
      </c>
      <c r="G369" s="313"/>
      <c r="H369" s="313"/>
      <c r="I369" s="313"/>
      <c r="J369" s="313"/>
      <c r="K369" s="313"/>
      <c r="L369" s="313"/>
      <c r="M369" s="313"/>
      <c r="N369" s="313"/>
      <c r="O369" s="313"/>
      <c r="P369" s="313"/>
      <c r="Q369" s="313"/>
      <c r="R369" s="313"/>
      <c r="S369" s="313"/>
    </row>
    <row r="370" spans="1:19" ht="12" x14ac:dyDescent="0.15">
      <c r="A370" s="307" t="str">
        <f t="shared" si="10"/>
        <v>Jun</v>
      </c>
      <c r="B370" s="308">
        <f t="shared" si="11"/>
        <v>45025</v>
      </c>
      <c r="C370" s="309">
        <v>53</v>
      </c>
      <c r="D370" s="309">
        <v>12</v>
      </c>
      <c r="E370" s="311"/>
      <c r="F370" s="312">
        <v>6</v>
      </c>
      <c r="G370" s="313"/>
      <c r="H370" s="313"/>
      <c r="I370" s="313"/>
      <c r="J370" s="313"/>
      <c r="K370" s="313"/>
      <c r="L370" s="313"/>
      <c r="M370" s="313"/>
      <c r="N370" s="313"/>
      <c r="O370" s="313"/>
      <c r="P370" s="313"/>
      <c r="Q370" s="313"/>
      <c r="R370" s="313"/>
      <c r="S370" s="313"/>
    </row>
    <row r="371" spans="1:19" ht="12" x14ac:dyDescent="0.15">
      <c r="A371" s="307" t="str">
        <f t="shared" si="10"/>
        <v>Jun</v>
      </c>
      <c r="B371" s="308">
        <f t="shared" si="11"/>
        <v>45026</v>
      </c>
      <c r="C371" s="309">
        <v>53</v>
      </c>
      <c r="D371" s="309">
        <v>12</v>
      </c>
      <c r="E371" s="311"/>
      <c r="F371" s="312">
        <v>6</v>
      </c>
      <c r="G371" s="313"/>
      <c r="H371" s="313"/>
      <c r="I371" s="313"/>
      <c r="J371" s="313"/>
      <c r="K371" s="313"/>
      <c r="L371" s="313"/>
      <c r="M371" s="313"/>
      <c r="N371" s="313"/>
      <c r="O371" s="313"/>
      <c r="P371" s="313"/>
      <c r="Q371" s="313"/>
      <c r="R371" s="313"/>
      <c r="S371" s="313"/>
    </row>
    <row r="372" spans="1:19" ht="12" x14ac:dyDescent="0.15">
      <c r="A372" s="307" t="str">
        <f t="shared" si="10"/>
        <v>Jun</v>
      </c>
      <c r="B372" s="308">
        <f t="shared" si="11"/>
        <v>45027</v>
      </c>
      <c r="C372" s="309">
        <v>53</v>
      </c>
      <c r="D372" s="309">
        <v>12</v>
      </c>
      <c r="E372" s="311"/>
      <c r="F372" s="312">
        <v>6</v>
      </c>
      <c r="G372" s="313"/>
      <c r="H372" s="313"/>
      <c r="I372" s="313"/>
      <c r="J372" s="313"/>
      <c r="K372" s="313"/>
      <c r="L372" s="313"/>
      <c r="M372" s="313"/>
      <c r="N372" s="313"/>
      <c r="O372" s="313"/>
      <c r="P372" s="313"/>
      <c r="Q372" s="313"/>
      <c r="R372" s="313"/>
      <c r="S372" s="313"/>
    </row>
    <row r="373" spans="1:19" ht="12" x14ac:dyDescent="0.15">
      <c r="A373" s="307" t="str">
        <f t="shared" si="10"/>
        <v>Jun</v>
      </c>
      <c r="B373" s="308">
        <f t="shared" si="11"/>
        <v>45028</v>
      </c>
      <c r="C373" s="309">
        <v>53</v>
      </c>
      <c r="D373" s="309">
        <v>12</v>
      </c>
      <c r="E373" s="311"/>
      <c r="F373" s="312">
        <v>6</v>
      </c>
      <c r="G373" s="313"/>
      <c r="H373" s="313"/>
      <c r="I373" s="313"/>
      <c r="J373" s="313"/>
      <c r="K373" s="313"/>
      <c r="L373" s="313"/>
      <c r="M373" s="313"/>
      <c r="N373" s="313"/>
      <c r="O373" s="313"/>
      <c r="P373" s="313"/>
      <c r="Q373" s="313"/>
      <c r="R373" s="313"/>
      <c r="S373" s="313"/>
    </row>
    <row r="374" spans="1:19" ht="12" x14ac:dyDescent="0.15">
      <c r="A374" s="307" t="str">
        <f t="shared" si="10"/>
        <v>Jun</v>
      </c>
      <c r="B374" s="308">
        <f t="shared" si="11"/>
        <v>45029</v>
      </c>
      <c r="C374" s="309">
        <v>53</v>
      </c>
      <c r="D374" s="309">
        <v>12</v>
      </c>
      <c r="E374" s="311"/>
      <c r="F374" s="312">
        <v>6</v>
      </c>
      <c r="G374" s="313"/>
      <c r="H374" s="313"/>
      <c r="I374" s="313"/>
      <c r="J374" s="313"/>
      <c r="K374" s="313"/>
      <c r="L374" s="313"/>
      <c r="M374" s="313"/>
      <c r="N374" s="313"/>
      <c r="O374" s="313"/>
      <c r="P374" s="313"/>
      <c r="Q374" s="313"/>
      <c r="R374" s="313"/>
      <c r="S374" s="313"/>
    </row>
    <row r="375" spans="1:19" ht="12" x14ac:dyDescent="0.15">
      <c r="A375" s="307" t="str">
        <f t="shared" si="10"/>
        <v>Jun</v>
      </c>
      <c r="B375" s="308">
        <f t="shared" si="11"/>
        <v>45030</v>
      </c>
      <c r="C375" s="309">
        <v>53</v>
      </c>
      <c r="D375" s="309">
        <v>12</v>
      </c>
      <c r="E375" s="311"/>
      <c r="F375" s="312">
        <v>6</v>
      </c>
      <c r="G375" s="313"/>
      <c r="H375" s="313"/>
      <c r="I375" s="313"/>
      <c r="J375" s="313"/>
      <c r="K375" s="313"/>
      <c r="L375" s="313"/>
      <c r="M375" s="313"/>
      <c r="N375" s="313"/>
      <c r="O375" s="313"/>
      <c r="P375" s="313"/>
      <c r="Q375" s="313"/>
      <c r="R375" s="313"/>
      <c r="S375" s="313"/>
    </row>
    <row r="376" spans="1:19" ht="12" x14ac:dyDescent="0.15">
      <c r="A376" s="307" t="str">
        <f t="shared" si="10"/>
        <v>Jun</v>
      </c>
      <c r="B376" s="308">
        <f t="shared" si="11"/>
        <v>45031</v>
      </c>
      <c r="C376" s="309">
        <v>53</v>
      </c>
      <c r="D376" s="309">
        <v>12</v>
      </c>
      <c r="E376" s="311"/>
      <c r="F376" s="312">
        <v>6</v>
      </c>
      <c r="G376" s="313"/>
      <c r="H376" s="313"/>
      <c r="I376" s="313"/>
      <c r="J376" s="313"/>
      <c r="K376" s="313"/>
      <c r="L376" s="313"/>
      <c r="M376" s="313"/>
      <c r="N376" s="313"/>
      <c r="O376" s="313"/>
      <c r="P376" s="313"/>
      <c r="Q376" s="313"/>
      <c r="R376" s="313"/>
      <c r="S376" s="313"/>
    </row>
    <row r="377" spans="1:19" ht="12" x14ac:dyDescent="0.15">
      <c r="A377" s="307" t="str">
        <f t="shared" si="10"/>
        <v>Jun</v>
      </c>
      <c r="B377" s="308">
        <f t="shared" si="11"/>
        <v>45032</v>
      </c>
      <c r="C377" s="309">
        <v>53</v>
      </c>
      <c r="D377" s="309">
        <v>12</v>
      </c>
      <c r="E377" s="311"/>
      <c r="F377" s="312">
        <v>6</v>
      </c>
      <c r="G377" s="313"/>
      <c r="H377" s="313"/>
      <c r="I377" s="313"/>
      <c r="J377" s="313"/>
      <c r="K377" s="313"/>
      <c r="L377" s="313"/>
      <c r="M377" s="313"/>
      <c r="N377" s="313"/>
      <c r="O377" s="313"/>
      <c r="P377" s="313"/>
      <c r="Q377" s="313"/>
      <c r="R377" s="313"/>
      <c r="S377" s="313"/>
    </row>
    <row r="378" spans="1:19" ht="12" x14ac:dyDescent="0.15">
      <c r="A378" s="307" t="str">
        <f t="shared" si="10"/>
        <v>Jun</v>
      </c>
      <c r="B378" s="308">
        <f t="shared" si="11"/>
        <v>45033</v>
      </c>
      <c r="C378" s="309">
        <v>53</v>
      </c>
      <c r="D378" s="309">
        <v>12</v>
      </c>
      <c r="E378" s="311"/>
      <c r="F378" s="312">
        <v>6</v>
      </c>
      <c r="G378" s="313"/>
      <c r="H378" s="313"/>
      <c r="I378" s="313"/>
      <c r="J378" s="313"/>
      <c r="K378" s="313"/>
      <c r="L378" s="313"/>
      <c r="M378" s="313"/>
      <c r="N378" s="313"/>
      <c r="O378" s="313"/>
      <c r="P378" s="313"/>
      <c r="Q378" s="313"/>
      <c r="R378" s="313"/>
      <c r="S378" s="313"/>
    </row>
    <row r="379" spans="1:19" ht="12" x14ac:dyDescent="0.15">
      <c r="A379" s="307" t="str">
        <f t="shared" si="10"/>
        <v>Jun</v>
      </c>
      <c r="B379" s="308">
        <f t="shared" si="11"/>
        <v>45034</v>
      </c>
      <c r="C379" s="309">
        <v>53</v>
      </c>
      <c r="D379" s="309">
        <v>12</v>
      </c>
      <c r="E379" s="311"/>
      <c r="F379" s="312">
        <v>6</v>
      </c>
      <c r="G379" s="313"/>
      <c r="H379" s="313"/>
      <c r="I379" s="313"/>
      <c r="J379" s="313"/>
      <c r="K379" s="313"/>
      <c r="L379" s="313"/>
      <c r="M379" s="313"/>
      <c r="N379" s="313"/>
      <c r="O379" s="313"/>
      <c r="P379" s="313"/>
      <c r="Q379" s="313"/>
      <c r="R379" s="313"/>
      <c r="S379" s="313"/>
    </row>
    <row r="380" spans="1:19" ht="12" x14ac:dyDescent="0.15">
      <c r="A380" s="307" t="str">
        <f t="shared" si="10"/>
        <v>Jun</v>
      </c>
      <c r="B380" s="308">
        <f t="shared" si="11"/>
        <v>45035</v>
      </c>
      <c r="C380" s="309">
        <v>53</v>
      </c>
      <c r="D380" s="309">
        <v>12</v>
      </c>
      <c r="E380" s="311"/>
      <c r="F380" s="312">
        <v>6</v>
      </c>
      <c r="G380" s="313"/>
      <c r="H380" s="313"/>
      <c r="I380" s="313"/>
      <c r="J380" s="313"/>
      <c r="K380" s="313"/>
      <c r="L380" s="313"/>
      <c r="M380" s="313"/>
      <c r="N380" s="313"/>
      <c r="O380" s="313"/>
      <c r="P380" s="313"/>
      <c r="Q380" s="313"/>
      <c r="R380" s="313"/>
      <c r="S380" s="313"/>
    </row>
    <row r="381" spans="1:19" ht="12" x14ac:dyDescent="0.15">
      <c r="A381" s="307" t="str">
        <f t="shared" si="10"/>
        <v>Jun</v>
      </c>
      <c r="B381" s="308">
        <f t="shared" si="11"/>
        <v>45036</v>
      </c>
      <c r="C381" s="309">
        <v>53</v>
      </c>
      <c r="D381" s="309">
        <v>12</v>
      </c>
      <c r="E381" s="311"/>
      <c r="F381" s="312">
        <v>6</v>
      </c>
      <c r="G381" s="313"/>
      <c r="H381" s="313"/>
      <c r="I381" s="313"/>
      <c r="J381" s="313"/>
      <c r="K381" s="313"/>
      <c r="L381" s="313"/>
      <c r="M381" s="313"/>
      <c r="N381" s="313"/>
      <c r="O381" s="313"/>
      <c r="P381" s="313"/>
      <c r="Q381" s="313"/>
      <c r="R381" s="313"/>
      <c r="S381" s="313"/>
    </row>
    <row r="382" spans="1:19" x14ac:dyDescent="0.15">
      <c r="A382" s="310"/>
      <c r="B382" s="310"/>
      <c r="C382" s="310"/>
      <c r="D382" s="310"/>
      <c r="E382" s="310"/>
      <c r="F382" s="310"/>
      <c r="G382" s="310"/>
      <c r="H382" s="310"/>
      <c r="I382" s="310"/>
      <c r="J382" s="310"/>
      <c r="K382" s="310"/>
      <c r="L382" s="310"/>
      <c r="M382" s="310"/>
      <c r="N382" s="310"/>
      <c r="O382" s="310"/>
      <c r="P382" s="310"/>
      <c r="Q382" s="310"/>
      <c r="R382" s="310"/>
      <c r="S382" s="310"/>
    </row>
  </sheetData>
  <mergeCells count="3">
    <mergeCell ref="G1:H1"/>
    <mergeCell ref="I1:J1"/>
    <mergeCell ref="H3:M3"/>
  </mergeCells>
  <phoneticPr fontId="6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12</vt:i4>
      </vt:variant>
    </vt:vector>
  </HeadingPairs>
  <TitlesOfParts>
    <vt:vector size="28" baseType="lpstr">
      <vt:lpstr>Employee</vt:lpstr>
      <vt:lpstr>Apr</vt:lpstr>
      <vt:lpstr>May</vt:lpstr>
      <vt:lpstr>Jun</vt:lpstr>
      <vt:lpstr>Jul</vt:lpstr>
      <vt:lpstr>Aug</vt:lpstr>
      <vt:lpstr>Sep</vt:lpstr>
      <vt:lpstr>Oct</vt:lpstr>
      <vt:lpstr>Nov</vt:lpstr>
      <vt:lpstr>Dec</vt:lpstr>
      <vt:lpstr>Jan</vt:lpstr>
      <vt:lpstr>Feb</vt:lpstr>
      <vt:lpstr>Mar</vt:lpstr>
      <vt:lpstr>Payslips</vt:lpstr>
      <vt:lpstr>Payment</vt:lpstr>
      <vt:lpstr>Admin</vt:lpstr>
      <vt:lpstr>Apr!Print_Titles</vt:lpstr>
      <vt:lpstr>Aug!Print_Titles</vt:lpstr>
      <vt:lpstr>Dec!Print_Titles</vt:lpstr>
      <vt:lpstr>Feb!Print_Titles</vt:lpstr>
      <vt:lpstr>Jan!Print_Titles</vt:lpstr>
      <vt:lpstr>Jul!Print_Titles</vt:lpstr>
      <vt:lpstr>Jun!Print_Titles</vt:lpstr>
      <vt:lpstr>Mar!Print_Titles</vt:lpstr>
      <vt:lpstr>May!Print_Titles</vt:lpstr>
      <vt:lpstr>Nov!Print_Titles</vt:lpstr>
      <vt:lpstr>Oct!Print_Titles</vt:lpstr>
      <vt:lpstr>Sep!Print_Titles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0910 Payroll 5</dc:title>
  <dc:creator>DIY Accounting Limited</dc:creator>
  <cp:lastModifiedBy>DIY Accounting Limited</cp:lastModifiedBy>
  <cp:lastPrinted>2006-09-19T02:28:04Z</cp:lastPrinted>
  <dcterms:created xsi:type="dcterms:W3CDTF">2006-03-29T22:56:21Z</dcterms:created>
  <dcterms:modified xsi:type="dcterms:W3CDTF">2025-04-03T23:04:59Z</dcterms:modified>
  <dc:description>Copyright (C) 2006-2026 DIY Accounting Limited. Licensed under the PolyForm Internal Use License 1.0.0 with an additional grant for accountants.</dc:description>
</cp:coreProperties>
</file>