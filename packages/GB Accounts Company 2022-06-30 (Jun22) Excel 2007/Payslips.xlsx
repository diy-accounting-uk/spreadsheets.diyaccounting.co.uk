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Jul" sheetId="12" r:id="rId2"/>
    <sheet name="Aug" sheetId="11" r:id="rId3"/>
    <sheet name="Sep" sheetId="10" r:id="rId4"/>
    <sheet name="Oct" sheetId="9" r:id="rId5"/>
    <sheet name="Nov" sheetId="8" r:id="rId6"/>
    <sheet name="Dec" sheetId="17" r:id="rId7"/>
    <sheet name="Jan" sheetId="16" r:id="rId8"/>
    <sheet name="Feb" sheetId="15" r:id="rId9"/>
    <sheet name="Mar" sheetId="14" r:id="rId10"/>
    <sheet name="Apr" sheetId="13" r:id="rId11"/>
    <sheet name="May" sheetId="19" r:id="rId12"/>
    <sheet name="Jun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<sst xmlns="http://schemas.openxmlformats.org/spreadsheetml/2006/main" count="1383" uniqueCount="138">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</sst>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Jul!M39+1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Aug!M39+1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IF(T$59="Y",Aug!H51,0)</f>
        <v>0</v>
      </c>
      <c r="I61" s="89">
        <f>IF(T$59="Y",Aug!I51,0)</f>
        <v>0</v>
      </c>
      <c r="J61" s="89">
        <f>IF(T$59="Y",Aug!J51,0)</f>
        <v>0</v>
      </c>
      <c r="K61" s="89">
        <f>IF(T$59="Y",Aug!K51,I61*J61)</f>
        <v>0</v>
      </c>
      <c r="L61" s="110">
        <f>IF(T$59="Y",Aug!L51,0)</f>
        <v>0</v>
      </c>
      <c r="M61" s="99" t="str">
        <f>IF(E61=" "," ",IF(T$59="Y",Aug!M51,IF((H61+K61+L61)&gt;0,H61+K61+L61,"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IF(Employee!H$35=E$59,Employee!D$34+SUM(M61)+Aug!V51,SUM(M61)+Aug!V51)</f>
        <v>0</v>
      </c>
      <c r="W61" s="49">
        <f>IF(Employee!H$35=E$59,Employee!D$35+SUM(N61)+Aug!W51,SUM(N61)+Aug!W51)</f>
        <v>0</v>
      </c>
      <c r="X61" s="49">
        <f>IF(O61=" ",Aug!X51,O61+Aug!X51)</f>
        <v>0</v>
      </c>
      <c r="Y61" s="49">
        <f>IF(P61=" ",Aug!Y51,P61+Aug!Y51)</f>
        <v>0</v>
      </c>
      <c r="Z61" s="49">
        <f>IF(Q61=" ",Aug!Z51,Q61+Aug!Z51)</f>
        <v>0</v>
      </c>
      <c r="AA61" s="49">
        <f>IF(R61=" ",Aug!AA51,R61+Aug!AA51)</f>
        <v>0</v>
      </c>
      <c r="AC61" s="49">
        <f>IF(T61=" ",Aug!AC51,T61+Aug!AC51)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IF(T$59="Y",Aug!H52,0)</f>
        <v>0</v>
      </c>
      <c r="I62" s="92">
        <f>IF(T$59="Y",Aug!I52,0)</f>
        <v>0</v>
      </c>
      <c r="J62" s="92">
        <f>IF(T$59="Y",Aug!J52,0)</f>
        <v>0</v>
      </c>
      <c r="K62" s="92">
        <f>IF(T$59="Y",Aug!K52,I62*J62)</f>
        <v>0</v>
      </c>
      <c r="L62" s="111">
        <f>IF(T$59="Y",Aug!L52,0)</f>
        <v>0</v>
      </c>
      <c r="M62" s="100" t="str">
        <f>IF(E62=" "," ",IF(T$59="Y",Aug!M52,IF((H62+K62+L62)&gt;0,H62+K62+L62,"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IF(Employee!H$61=E$59,Employee!D$60+SUM(M62)+Aug!V52,SUM(M62)+Aug!V52)</f>
        <v>0</v>
      </c>
      <c r="W62" s="49">
        <f>IF(Employee!H$61=E$59,Employee!D$61+SUM(N62)+Aug!W52,SUM(N62)+Aug!W52)</f>
        <v>0</v>
      </c>
      <c r="X62" s="49">
        <f>IF(O62=" ",Aug!X52,O62+Aug!X52)</f>
        <v>0</v>
      </c>
      <c r="Y62" s="49">
        <f>IF(P62=" ",Aug!Y52,P62+Aug!Y52)</f>
        <v>0</v>
      </c>
      <c r="Z62" s="49">
        <f>IF(Q62=" ",Aug!Z52,Q62+Aug!Z52)</f>
        <v>0</v>
      </c>
      <c r="AA62" s="49">
        <f>IF(R62=" ",Aug!AA52,R62+Aug!AA52)</f>
        <v>0</v>
      </c>
      <c r="AC62" s="49">
        <f>IF(T62=" ",Aug!AC52,T62+Aug!AC52)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IF(T$59="Y",Aug!H53,0)</f>
        <v>0</v>
      </c>
      <c r="I63" s="92">
        <f>IF(T$59="Y",Aug!I53,0)</f>
        <v>0</v>
      </c>
      <c r="J63" s="92">
        <f>IF(T$59="Y",Aug!J53,0)</f>
        <v>0</v>
      </c>
      <c r="K63" s="92">
        <f>IF(T$59="Y",Aug!K53,I63*J63)</f>
        <v>0</v>
      </c>
      <c r="L63" s="111">
        <f>IF(T$59="Y",Aug!L53,0)</f>
        <v>0</v>
      </c>
      <c r="M63" s="100" t="str">
        <f>IF(E63=" "," ",IF(T$59="Y",Aug!M53,IF((H63+K63+L63)&gt;0,H63+K63+L63,"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IF(Employee!H$87=E$59,Employee!D$86+SUM(M63)+Aug!V53,SUM(M63)+Aug!V53)</f>
        <v>0</v>
      </c>
      <c r="W63" s="49">
        <f>IF(Employee!H$87=E$59,Employee!D$87+SUM(N63)+Aug!W53,SUM(N63)+Aug!W53)</f>
        <v>0</v>
      </c>
      <c r="X63" s="49">
        <f>IF(O63=" ",Aug!X53,O63+Aug!X53)</f>
        <v>0</v>
      </c>
      <c r="Y63" s="49">
        <f>IF(P63=" ",Aug!Y53,P63+Aug!Y53)</f>
        <v>0</v>
      </c>
      <c r="Z63" s="49">
        <f>IF(Q63=" ",Aug!Z53,Q63+Aug!Z53)</f>
        <v>0</v>
      </c>
      <c r="AA63" s="49">
        <f>IF(R63=" ",Aug!AA53,R63+Aug!AA53)</f>
        <v>0</v>
      </c>
      <c r="AC63" s="49">
        <f>IF(T63=" ",Aug!AC53,T63+Aug!AC53)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IF(T$59="Y",Aug!H54,0)</f>
        <v>0</v>
      </c>
      <c r="I64" s="92">
        <f>IF(T$59="Y",Aug!I54,0)</f>
        <v>0</v>
      </c>
      <c r="J64" s="92">
        <f>IF(T$59="Y",Aug!J54,0)</f>
        <v>0</v>
      </c>
      <c r="K64" s="92">
        <f>IF(T$59="Y",Aug!K54,I64*J64)</f>
        <v>0</v>
      </c>
      <c r="L64" s="111">
        <f>IF(T$59="Y",Aug!L54,0)</f>
        <v>0</v>
      </c>
      <c r="M64" s="100" t="str">
        <f>IF(E64=" "," ",IF(T$59="Y",Aug!M54,IF((H64+K64+L64)&gt;0,H64+K64+L64,"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IF(Employee!H$113=E$59,Employee!D$112+SUM(M64)+Aug!V54,SUM(M64)+Aug!V54)</f>
        <v>0</v>
      </c>
      <c r="W64" s="49">
        <f>IF(Employee!H$113=E$59,Employee!D$113+SUM(N64)+Aug!W54,SUM(N64)+Aug!W54)</f>
        <v>0</v>
      </c>
      <c r="X64" s="49">
        <f>IF(O64=" ",Aug!X54,O64+Aug!X54)</f>
        <v>0</v>
      </c>
      <c r="Y64" s="49">
        <f>IF(P64=" ",Aug!Y54,P64+Aug!Y54)</f>
        <v>0</v>
      </c>
      <c r="Z64" s="49">
        <f>IF(Q64=" ",Aug!Z54,Q64+Aug!Z54)</f>
        <v>0</v>
      </c>
      <c r="AA64" s="49">
        <f>IF(R64=" ",Aug!AA54,R64+Aug!AA54)</f>
        <v>0</v>
      </c>
      <c r="AC64" s="49">
        <f>IF(T64=" ",Aug!AC54,T64+Aug!AC54)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IF(T$59="Y",Aug!H55,0)</f>
        <v>0</v>
      </c>
      <c r="I65" s="245">
        <f>IF(T$59="Y",Aug!I55,0)</f>
        <v>0</v>
      </c>
      <c r="J65" s="245">
        <f>IF(T$59="Y",Aug!J55,0)</f>
        <v>0</v>
      </c>
      <c r="K65" s="245">
        <f>IF(T$59="Y",Aug!K55,I65*J65)</f>
        <v>0</v>
      </c>
      <c r="L65" s="246">
        <f>IF(T$59="Y",Aug!L55,0)</f>
        <v>0</v>
      </c>
      <c r="M65" s="100" t="str">
        <f>IF(E65=" "," ",IF(T$59="Y",Aug!M55,IF((H65+K65+L65)&gt;0,H65+K65+L65,"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IF(Employee!H$139=E$59,Employee!D$138+SUM(M65)+Aug!V55,SUM(M65)+Aug!V55)</f>
        <v>0</v>
      </c>
      <c r="W65" s="49">
        <f>IF(Employee!H$139=E$59,Employee!D$139+SUM(N65)+Aug!W55,SUM(N65)+Aug!W55)</f>
        <v>0</v>
      </c>
      <c r="X65" s="49">
        <f>IF(O65=" ",Aug!X55,O65+Aug!X55)</f>
        <v>0</v>
      </c>
      <c r="Y65" s="49">
        <f>IF(P65=" ",Aug!Y55,P65+Aug!Y55)</f>
        <v>0</v>
      </c>
      <c r="Z65" s="49">
        <f>IF(Q65=" ",Aug!Z55,Q65+Aug!Z55)</f>
        <v>0</v>
      </c>
      <c r="AA65" s="49">
        <f>IF(R65=" ",Aug!AA55,R65+Aug!AA55)</f>
        <v>0</v>
      </c>
      <c r="AC65" s="49">
        <f>IF(T65=" ",Aug!AC55,T65+Aug!AC55)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AD70+Aug!AD65</f>
        <v>0</v>
      </c>
      <c r="AE75" s="158">
        <f>AE70+Aug!AE65</f>
        <v>0</v>
      </c>
      <c r="AF75" s="158">
        <f>AF70+Aug!AF65</f>
        <v>0</v>
      </c>
      <c r="AG75" s="158">
        <f>AG70+Aug!AG65</f>
        <v>0</v>
      </c>
    </row>
    <row r="76" spans="1:34" ht="14" thickTop="1" x14ac:dyDescent="0.15"/>
    <row r="77" spans="1:34" x14ac:dyDescent="0.15">
      <c r="AD77" s="162"/>
      <c r="AE77" s="158">
        <f>AE72+Aug!AE67</f>
        <v>0</v>
      </c>
      <c r="AF77" s="158">
        <f>AF72+Aug!AF67</f>
        <v>0</v>
      </c>
      <c r="AG77" s="158">
        <f>AG72+Aug!AG67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89">
        <f>IF(T$9="Y",Sep!L41,0)</f>
        <v>0</v>
      </c>
      <c r="M11" s="99" t="str">
        <f>IF(E11=" "," ",IF(T$9="Y",Sep!M41,IF((H11+K11+L11)&gt;0,H11+K11+L11,"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IF(Employee!H$34=E$9,Employee!D$34+SUM(M11)+Sep!V51,SUM(M11)+Sep!V51)</f>
        <v>0</v>
      </c>
      <c r="W11" s="49">
        <f>IF(Employee!H$34=E$9,Employee!D$35+SUM(N11)+Sep!W51,SUM(N11)+Sep!W51)</f>
        <v>0</v>
      </c>
      <c r="X11" s="49">
        <f>IF(O11=" ",Sep!X51,O11+Sep!X51)</f>
        <v>0</v>
      </c>
      <c r="Y11" s="49">
        <f>IF(P11=" ",Sep!Y51,P11+Sep!Y51)</f>
        <v>0</v>
      </c>
      <c r="Z11" s="49">
        <f>IF(Q11=" ",Sep!Z51,Q11+Sep!Z51)</f>
        <v>0</v>
      </c>
      <c r="AA11" s="49">
        <f>IF(R11=" ",Sep!AA51,R11+Sep!AA51)</f>
        <v>0</v>
      </c>
      <c r="AC11" s="49">
        <f>IF(T11=" ",Sep!AC51,T11+Sep!AC51)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92">
        <f>IF(T$9="Y",Sep!L42,0)</f>
        <v>0</v>
      </c>
      <c r="M12" s="100" t="str">
        <f>IF(E12=" "," ",IF(T$9="Y",Sep!M42,IF((H12+K12+L12)&gt;0,H12+K12+L12,"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IF(Employee!H$60=E$9,Employee!D$60+SUM(M12)+Sep!V52,SUM(M12)+Sep!V52)</f>
        <v>0</v>
      </c>
      <c r="W12" s="49">
        <f>IF(Employee!H$60=E$9,Employee!D$61+SUM(N12)+Sep!W52,SUM(N12)+Sep!W52)</f>
        <v>0</v>
      </c>
      <c r="X12" s="49">
        <f>IF(O12=" ",Sep!X52,O12+Sep!X52)</f>
        <v>0</v>
      </c>
      <c r="Y12" s="49">
        <f>IF(P12=" ",Sep!Y52,P12+Sep!Y52)</f>
        <v>0</v>
      </c>
      <c r="Z12" s="49">
        <f>IF(Q12=" ",Sep!Z52,Q12+Sep!Z52)</f>
        <v>0</v>
      </c>
      <c r="AA12" s="49">
        <f>IF(R12=" ",Sep!AA52,R12+Sep!AA52)</f>
        <v>0</v>
      </c>
      <c r="AC12" s="49">
        <f>IF(T12=" ",Sep!AC52,T12+Sep!AC52)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92">
        <f>IF(T$9="Y",Sep!L43,0)</f>
        <v>0</v>
      </c>
      <c r="M13" s="100" t="str">
        <f>IF(E13=" "," ",IF(T$9="Y",Sep!M43,IF((H13+K13+L13)&gt;0,H13+K13+L13,"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IF(Employee!H$86=E$9,Employee!D$86+SUM(M13)+Sep!V53,SUM(M13)+Sep!V53)</f>
        <v>0</v>
      </c>
      <c r="W13" s="49">
        <f>IF(Employee!H$86=E$9,Employee!D$87+SUM(N13)+Sep!W53,SUM(N13)+Sep!W53)</f>
        <v>0</v>
      </c>
      <c r="X13" s="49">
        <f>IF(O13=" ",Sep!X53,O13+Sep!X53)</f>
        <v>0</v>
      </c>
      <c r="Y13" s="49">
        <f>IF(P13=" ",Sep!Y53,P13+Sep!Y53)</f>
        <v>0</v>
      </c>
      <c r="Z13" s="49">
        <f>IF(Q13=" ",Sep!Z53,Q13+Sep!Z53)</f>
        <v>0</v>
      </c>
      <c r="AA13" s="49">
        <f>IF(R13=" ",Sep!AA53,R13+Sep!AA53)</f>
        <v>0</v>
      </c>
      <c r="AC13" s="49">
        <f>IF(T13=" ",Sep!AC53,T13+Sep!AC53)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92">
        <f>IF(T$9="Y",Sep!L44,0)</f>
        <v>0</v>
      </c>
      <c r="M14" s="100" t="str">
        <f>IF(E14=" "," ",IF(T$9="Y",Sep!M44,IF((H14+K14+L14)&gt;0,H14+K14+L14,"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IF(Employee!H$112=E$9,Employee!D$112+SUM(M14)+Sep!V54,SUM(M14)+Sep!V54)</f>
        <v>0</v>
      </c>
      <c r="W14" s="49">
        <f>IF(Employee!H$112=E$9,Employee!D$113+SUM(N14)+Sep!W54,SUM(N14)+Sep!W54)</f>
        <v>0</v>
      </c>
      <c r="X14" s="49">
        <f>IF(O14=" ",Sep!X54,O14+Sep!X54)</f>
        <v>0</v>
      </c>
      <c r="Y14" s="49">
        <f>IF(P14=" ",Sep!Y54,P14+Sep!Y54)</f>
        <v>0</v>
      </c>
      <c r="Z14" s="49">
        <f>IF(Q14=" ",Sep!Z54,Q14+Sep!Z54)</f>
        <v>0</v>
      </c>
      <c r="AA14" s="49">
        <f>IF(R14=" ",Sep!AA54,R14+Sep!AA54)</f>
        <v>0</v>
      </c>
      <c r="AC14" s="49">
        <f>IF(T14=" ",Sep!AC54,T14+Sep!AC54)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5">
        <f>IF(T$9="Y",Sep!L45,0)</f>
        <v>0</v>
      </c>
      <c r="M15" s="247" t="str">
        <f>IF(E15=" "," ",IF(T$9="Y",Sep!M45,IF((H15+K15+L15)&gt;0,H15+K15+L15,"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IF(Employee!H$138=E$9,Employee!D$138+SUM(M15)+Sep!V55,SUM(M15)+Sep!V55)</f>
        <v>0</v>
      </c>
      <c r="W15" s="49">
        <f>IF(Employee!H$138=E$9,Employee!D$139+SUM(N15)+Sep!W55,SUM(N15)+Sep!W55)</f>
        <v>0</v>
      </c>
      <c r="X15" s="49">
        <f>IF(O15=" ",Sep!X55,O15+Sep!X55)</f>
        <v>0</v>
      </c>
      <c r="Y15" s="49">
        <f>IF(P15=" ",Sep!Y55,P15+Sep!Y55)</f>
        <v>0</v>
      </c>
      <c r="Z15" s="49">
        <f>IF(Q15=" ",Sep!Z55,Q15+Sep!Z55)</f>
        <v>0</v>
      </c>
      <c r="AA15" s="49">
        <f>IF(R15=" ",Sep!AA55,R15+Sep!AA55)</f>
        <v>0</v>
      </c>
      <c r="AC15" s="49">
        <f>IF(T15=" ",Sep!AC55,T15+Sep!AC55)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IF(T$49="Y",Sep!H61,0)</f>
        <v>0</v>
      </c>
      <c r="I51" s="89">
        <f>IF(T$49="Y",Sep!I61,0)</f>
        <v>0</v>
      </c>
      <c r="J51" s="89">
        <f>IF(T$49="Y",Sep!J61,0)</f>
        <v>0</v>
      </c>
      <c r="K51" s="89">
        <f>IF(T$49="Y",Sep!K61,I51*J51)</f>
        <v>0</v>
      </c>
      <c r="L51" s="110">
        <f>IF(T$49="Y",Sep!L61,0)</f>
        <v>0</v>
      </c>
      <c r="M51" s="99" t="str">
        <f>IF(E51=" "," ",IF(T$49="Y",Sep!M61,IF((H51+K51+L51)&gt;0,H51+K51+L51,"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IF(Employee!H$35=E$49,Employee!D$34+SUM(M51)+Sep!V61,SUM(M51)+Sep!V61)</f>
        <v>0</v>
      </c>
      <c r="W51" s="49">
        <f>IF(Employee!H$35=E$49,Employee!D$35+SUM(N51)+Sep!W61,SUM(N51)+Sep!W61)</f>
        <v>0</v>
      </c>
      <c r="X51" s="49">
        <f>IF(O51=" ",Sep!X61,O51+Sep!X61)</f>
        <v>0</v>
      </c>
      <c r="Y51" s="49">
        <f>IF(P51=" ",Sep!Y61,P51+Sep!Y61)</f>
        <v>0</v>
      </c>
      <c r="Z51" s="49">
        <f>IF(Q51=" ",Sep!Z61,Q51+Sep!Z61)</f>
        <v>0</v>
      </c>
      <c r="AA51" s="49">
        <f>IF(R51=" ",Sep!AA61,R51+Sep!AA61)</f>
        <v>0</v>
      </c>
      <c r="AC51" s="49">
        <f>IF(T51=" ",Sep!AC61,T51+Sep!AC61)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IF(T$49="Y",Sep!H62,0)</f>
        <v>0</v>
      </c>
      <c r="I52" s="92">
        <f>IF(T$49="Y",Sep!I62,0)</f>
        <v>0</v>
      </c>
      <c r="J52" s="92">
        <f>IF(T$49="Y",Sep!J62,0)</f>
        <v>0</v>
      </c>
      <c r="K52" s="92">
        <f>IF(T$49="Y",Sep!K62,I52*J52)</f>
        <v>0</v>
      </c>
      <c r="L52" s="111">
        <f>IF(T$49="Y",Sep!L62,0)</f>
        <v>0</v>
      </c>
      <c r="M52" s="100" t="str">
        <f>IF(E52=" "," ",IF(T$49="Y",Sep!M62,IF((H52+K52+L52)&gt;0,H52+K52+L52,"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IF(Employee!H$61=E$49,Employee!D$60+SUM(M52)+Sep!V62,SUM(M52)+Sep!V62)</f>
        <v>0</v>
      </c>
      <c r="W52" s="49">
        <f>IF(Employee!H$61=E$49,Employee!D$61+SUM(N52)+Sep!W62,SUM(N52)+Sep!W62)</f>
        <v>0</v>
      </c>
      <c r="X52" s="49">
        <f>IF(O52=" ",Sep!X62,O52+Sep!X62)</f>
        <v>0</v>
      </c>
      <c r="Y52" s="49">
        <f>IF(P52=" ",Sep!Y62,P52+Sep!Y62)</f>
        <v>0</v>
      </c>
      <c r="Z52" s="49">
        <f>IF(Q52=" ",Sep!Z62,Q52+Sep!Z62)</f>
        <v>0</v>
      </c>
      <c r="AA52" s="49">
        <f>IF(R52=" ",Sep!AA62,R52+Sep!AA62)</f>
        <v>0</v>
      </c>
      <c r="AC52" s="49">
        <f>IF(T52=" ",Sep!AC62,T52+Sep!AC62)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IF(T$49="Y",Sep!H63,0)</f>
        <v>0</v>
      </c>
      <c r="I53" s="92">
        <f>IF(T$49="Y",Sep!I63,0)</f>
        <v>0</v>
      </c>
      <c r="J53" s="92">
        <f>IF(T$49="Y",Sep!J63,0)</f>
        <v>0</v>
      </c>
      <c r="K53" s="92">
        <f>IF(T$49="Y",Sep!K63,I53*J53)</f>
        <v>0</v>
      </c>
      <c r="L53" s="111">
        <f>IF(T$49="Y",Sep!L63,0)</f>
        <v>0</v>
      </c>
      <c r="M53" s="100" t="str">
        <f>IF(E53=" "," ",IF(T$49="Y",Sep!M63,IF((H53+K53+L53)&gt;0,H53+K53+L53,"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IF(Employee!H$87=E$49,Employee!D$86+SUM(M53)+Sep!V63,SUM(M53)+Sep!V63)</f>
        <v>0</v>
      </c>
      <c r="W53" s="49">
        <f>IF(Employee!H$87=E$49,Employee!D$87+SUM(N53)+Sep!W63,SUM(N53)+Sep!W63)</f>
        <v>0</v>
      </c>
      <c r="X53" s="49">
        <f>IF(O53=" ",Sep!X63,O53+Sep!X63)</f>
        <v>0</v>
      </c>
      <c r="Y53" s="49">
        <f>IF(P53=" ",Sep!Y63,P53+Sep!Y63)</f>
        <v>0</v>
      </c>
      <c r="Z53" s="49">
        <f>IF(Q53=" ",Sep!Z63,Q53+Sep!Z63)</f>
        <v>0</v>
      </c>
      <c r="AA53" s="49">
        <f>IF(R53=" ",Sep!AA63,R53+Sep!AA63)</f>
        <v>0</v>
      </c>
      <c r="AC53" s="49">
        <f>IF(T53=" ",Sep!AC63,T53+Sep!AC63)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IF(T$49="Y",Sep!H64,0)</f>
        <v>0</v>
      </c>
      <c r="I54" s="92">
        <f>IF(T$49="Y",Sep!I64,0)</f>
        <v>0</v>
      </c>
      <c r="J54" s="92">
        <f>IF(T$49="Y",Sep!J64,0)</f>
        <v>0</v>
      </c>
      <c r="K54" s="92">
        <f>IF(T$49="Y",Sep!K64,I54*J54)</f>
        <v>0</v>
      </c>
      <c r="L54" s="111">
        <f>IF(T$49="Y",Sep!L64,0)</f>
        <v>0</v>
      </c>
      <c r="M54" s="100" t="str">
        <f>IF(E54=" "," ",IF(T$49="Y",Sep!M64,IF((H54+K54+L54)&gt;0,H54+K54+L54,"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IF(Employee!H$113=E$49,Employee!D$112+SUM(M54)+Sep!V64,SUM(M54)+Sep!V64)</f>
        <v>0</v>
      </c>
      <c r="W54" s="49">
        <f>IF(Employee!H$113=E$49,Employee!D$113+SUM(N54)+Sep!W64,SUM(N54)+Sep!W64)</f>
        <v>0</v>
      </c>
      <c r="X54" s="49">
        <f>IF(O54=" ",Sep!X64,O54+Sep!X64)</f>
        <v>0</v>
      </c>
      <c r="Y54" s="49">
        <f>IF(P54=" ",Sep!Y64,P54+Sep!Y64)</f>
        <v>0</v>
      </c>
      <c r="Z54" s="49">
        <f>IF(Q54=" ",Sep!Z64,Q54+Sep!Z64)</f>
        <v>0</v>
      </c>
      <c r="AA54" s="49">
        <f>IF(R54=" ",Sep!AA64,R54+Sep!AA64)</f>
        <v>0</v>
      </c>
      <c r="AC54" s="49">
        <f>IF(T54=" ",Sep!AC64,T54+Sep!AC64)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IF(T$49="Y",Sep!H65,0)</f>
        <v>0</v>
      </c>
      <c r="I55" s="245">
        <f>IF(T$49="Y",Sep!I65,0)</f>
        <v>0</v>
      </c>
      <c r="J55" s="245">
        <f>IF(T$49="Y",Sep!J65,0)</f>
        <v>0</v>
      </c>
      <c r="K55" s="245">
        <f>IF(T$49="Y",Sep!K65,I55*J55)</f>
        <v>0</v>
      </c>
      <c r="L55" s="246">
        <f>IF(T$49="Y",Sep!L65,0)</f>
        <v>0</v>
      </c>
      <c r="M55" s="100" t="str">
        <f>IF(E55=" "," ",IF(T$49="Y",Sep!M65,IF((H55+K55+L55)&gt;0,H55+K55+L55,"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IF(Employee!H$139=E$49,Employee!D$138+SUM(M55)+Sep!V65,SUM(M55)+Sep!V65)</f>
        <v>0</v>
      </c>
      <c r="W55" s="49">
        <f>IF(Employee!H$139=E$49,Employee!D$139+SUM(N55)+Sep!W65,SUM(N55)+Sep!W65)</f>
        <v>0</v>
      </c>
      <c r="X55" s="49">
        <f>IF(O55=" ",Sep!X65,O55+Sep!X65)</f>
        <v>0</v>
      </c>
      <c r="Y55" s="49">
        <f>IF(P55=" ",Sep!Y65,P55+Sep!Y65)</f>
        <v>0</v>
      </c>
      <c r="Z55" s="49">
        <f>IF(Q55=" ",Sep!Z65,Q55+Sep!Z65)</f>
        <v>0</v>
      </c>
      <c r="AA55" s="49">
        <f>IF(R55=" ",Sep!AA65,R55+Sep!AA65)</f>
        <v>0</v>
      </c>
      <c r="AC55" s="49">
        <f>IF(T55=" ",Sep!AC65,T55+Sep!AC65)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AD60+Sep!AD75</f>
        <v>0</v>
      </c>
      <c r="AE65" s="158">
        <f>AE60+Sep!AE75</f>
        <v>0</v>
      </c>
      <c r="AF65" s="158">
        <f>AF60+Sep!AF75</f>
        <v>0</v>
      </c>
      <c r="AG65" s="158">
        <f>AG60+Sep!AG75</f>
        <v>0</v>
      </c>
    </row>
    <row r="66" spans="6:33" ht="14" thickTop="1" x14ac:dyDescent="0.15"/>
    <row r="67" spans="6:33" x14ac:dyDescent="0.15">
      <c r="AD67" s="162"/>
      <c r="AE67" s="158">
        <f>AE62+Sep!AE77</f>
        <v>0</v>
      </c>
      <c r="AF67" s="158">
        <f>AF62+Sep!AF77</f>
        <v>0</v>
      </c>
      <c r="AG67" s="158">
        <f>AG62+Sep!AG77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IF(T$9="Y",Oct!#REF!,0)</f>
        <v>0</v>
      </c>
      <c r="I11" s="89">
        <f>IF(T$9="Y",Oct!#REF!,0)</f>
        <v>0</v>
      </c>
      <c r="J11" s="89">
        <f>IF(T$9="Y",Oct!#REF!,0)</f>
        <v>0</v>
      </c>
      <c r="K11" s="89">
        <v>0</v>
      </c>
      <c r="L11" s="110">
        <f>IF(T$9="Y",Oct!#REF!,0)</f>
        <v>0</v>
      </c>
      <c r="M11" s="110" t="str">
        <f>IF(E11=" "," ",IF(T$9="Y",Oct!#REF!,IF((H11+K11+L11)&gt;0,H11+K11+L11,"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IF(T$9="Y",Oct!#REF!,0)</f>
        <v>0</v>
      </c>
      <c r="I12" s="92">
        <f>IF(T$9="Y",Oct!#REF!,0)</f>
        <v>0</v>
      </c>
      <c r="J12" s="92">
        <f>IF(T$9="Y",Oct!#REF!,0)</f>
        <v>0</v>
      </c>
      <c r="K12" s="92">
        <f>IF(T$9="Y",Oct!#REF!,I12*J12)</f>
        <v>0</v>
      </c>
      <c r="L12" s="111">
        <f>IF(T$9="Y",Oct!#REF!,0)</f>
        <v>0</v>
      </c>
      <c r="M12" s="111" t="str">
        <f>IF(E12=" "," ",IF(T$9="Y",Oct!#REF!,IF((H12+K12+L12)&gt;0,H12+K12+L12,"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IF(T$9="Y",Oct!#REF!,0)</f>
        <v>0</v>
      </c>
      <c r="I13" s="92">
        <f>IF(T$9="Y",Oct!#REF!,0)</f>
        <v>0</v>
      </c>
      <c r="J13" s="92">
        <f>IF(T$9="Y",Oct!#REF!,0)</f>
        <v>0</v>
      </c>
      <c r="K13" s="92">
        <f>IF(T$9="Y",Oct!#REF!,I13*J13)</f>
        <v>0</v>
      </c>
      <c r="L13" s="111">
        <f>IF(T$9="Y",Oct!#REF!,0)</f>
        <v>0</v>
      </c>
      <c r="M13" s="111" t="str">
        <f>IF(E13=" "," ",IF(T$9="Y",Oct!#REF!,IF((H13+K13+L13)&gt;0,H13+K13+L13,"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IF(T$9="Y",Oct!#REF!,0)</f>
        <v>0</v>
      </c>
      <c r="I14" s="92">
        <f>IF(T$9="Y",Oct!#REF!,0)</f>
        <v>0</v>
      </c>
      <c r="J14" s="92">
        <f>IF(T$9="Y",Oct!#REF!,0)</f>
        <v>0</v>
      </c>
      <c r="K14" s="92">
        <f>IF(T$9="Y",Oct!#REF!,I14*J14)</f>
        <v>0</v>
      </c>
      <c r="L14" s="111">
        <f>IF(T$9="Y",Oct!#REF!,0)</f>
        <v>0</v>
      </c>
      <c r="M14" s="111" t="str">
        <f>IF(E14=" "," ",IF(T$9="Y",Oct!#REF!,IF((H14+K14+L14)&gt;0,H14+K14+L14,"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IF(T$9="Y",Oct!#REF!,0)</f>
        <v>0</v>
      </c>
      <c r="I15" s="245">
        <f>IF(T$9="Y",Oct!#REF!,0)</f>
        <v>0</v>
      </c>
      <c r="J15" s="245">
        <f>IF(T$9="Y",Oct!#REF!,0)</f>
        <v>0</v>
      </c>
      <c r="K15" s="245">
        <f>IF(T$9="Y",Oct!#REF!,I15*J15)</f>
        <v>0</v>
      </c>
      <c r="L15" s="246">
        <f>IF(T$9="Y",Oct!#REF!,0)</f>
        <v>0</v>
      </c>
      <c r="M15" s="246" t="str">
        <f>IF(E15=" "," ",IF(T$9="Y",Oct!#REF!,IF((H15+K15+L15)&gt;0,H15+K15+L15,"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89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92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92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IF(Employee!H$87=E$49,Employee!D$87+SUM(N53)+Oct!W53,SUM(N53)+Oct!W53)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92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IF(T$49="Y",Oct!H55,0)</f>
        <v>0</v>
      </c>
      <c r="I55" s="92">
        <f>IF(T$49="Y",Oct!I55,0)</f>
        <v>0</v>
      </c>
      <c r="J55" s="92">
        <f>IF(T$49="Y",Oct!J55,0)</f>
        <v>0</v>
      </c>
      <c r="K55" s="92">
        <f>IF(T$49="Y",Oct!K55,I55*J55)</f>
        <v>0</v>
      </c>
      <c r="L55" s="92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Nov!M39+1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IF(T$9="Y",Dec!H51,0)</f>
        <v>0</v>
      </c>
      <c r="I11" s="89">
        <f>IF(T$9="Y",Dec!I51,0)</f>
        <v>0</v>
      </c>
      <c r="J11" s="89">
        <f>IF(T$9="Y",Dec!J51,0)</f>
        <v>0</v>
      </c>
      <c r="K11" s="89">
        <f>IF(T$9="Y",Dec!K51,I11*J11)</f>
        <v>0</v>
      </c>
      <c r="L11" s="110">
        <f>IF(T$9="Y",Dec!L51,0)</f>
        <v>0</v>
      </c>
      <c r="M11" s="99" t="str">
        <f>IF(E11=" "," ",IF(T$9="Y",Dec!M51,IF((H11+K11+L11)&gt;0,H11+K11+L11,"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IF(T$9="Y",Dec!H52,0)</f>
        <v>0</v>
      </c>
      <c r="I12" s="92">
        <f>IF(T$9="Y",Dec!I52,0)</f>
        <v>0</v>
      </c>
      <c r="J12" s="92">
        <f>IF(T$9="Y",Dec!J52,0)</f>
        <v>0</v>
      </c>
      <c r="K12" s="92">
        <f>IF(T$9="Y",Dec!K52,I12*J12)</f>
        <v>0</v>
      </c>
      <c r="L12" s="111">
        <f>IF(T$9="Y",Dec!L52,0)</f>
        <v>0</v>
      </c>
      <c r="M12" s="100" t="str">
        <f>IF(E12=" "," ",IF(T$9="Y",Dec!M52,IF((H12+K12+L12)&gt;0,H12+K12+L12,"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IF(T$9="Y",Dec!H53,0)</f>
        <v>0</v>
      </c>
      <c r="I13" s="92">
        <f>IF(T$9="Y",Dec!I53,0)</f>
        <v>0</v>
      </c>
      <c r="J13" s="92">
        <f>IF(T$9="Y",Dec!J53,0)</f>
        <v>0</v>
      </c>
      <c r="K13" s="92">
        <f>IF(T$9="Y",Dec!K53,I13*J13)</f>
        <v>0</v>
      </c>
      <c r="L13" s="111">
        <f>IF(T$9="Y",Dec!L53,0)</f>
        <v>0</v>
      </c>
      <c r="M13" s="100" t="str">
        <f>IF(E13=" "," ",IF(T$9="Y",Dec!M53,IF((H13+K13+L13)&gt;0,H13+K13+L13,"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IF(T$9="Y",Dec!H54,0)</f>
        <v>0</v>
      </c>
      <c r="I14" s="92">
        <f>IF(T$9="Y",Dec!I54,0)</f>
        <v>0</v>
      </c>
      <c r="J14" s="92">
        <f>IF(T$9="Y",Dec!J54,0)</f>
        <v>0</v>
      </c>
      <c r="K14" s="92">
        <f>IF(T$9="Y",Dec!K54,I14*J14)</f>
        <v>0</v>
      </c>
      <c r="L14" s="111">
        <f>IF(T$9="Y",Dec!L54,0)</f>
        <v>0</v>
      </c>
      <c r="M14" s="100" t="str">
        <f>IF(E14=" "," ",IF(T$9="Y",Dec!M54,IF((H14+K14+L14)&gt;0,H14+K14+L14,"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IF(T$9="Y",Dec!H55,0)</f>
        <v>0</v>
      </c>
      <c r="I15" s="245">
        <f>IF(T$9="Y",Dec!I55,0)</f>
        <v>0</v>
      </c>
      <c r="J15" s="245">
        <f>IF(T$9="Y",Dec!J55,0)</f>
        <v>0</v>
      </c>
      <c r="K15" s="245">
        <f>IF(T$9="Y",Dec!K55,I15*J15)</f>
        <v>0</v>
      </c>
      <c r="L15" s="246">
        <f>IF(T$9="Y",Dec!L55,0)</f>
        <v>0</v>
      </c>
      <c r="M15" s="247" t="str">
        <f>IF(E15=" "," ",IF(T$9="Y",Dec!M55,IF((H15+K15+L15)&gt;0,H15+K15+L15,"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IF(T$9="Y",Jan!H41,0)</f>
        <v>0</v>
      </c>
      <c r="I11" s="89">
        <f>IF(T$9="Y",Jan!I41,0)</f>
        <v>0</v>
      </c>
      <c r="J11" s="89">
        <f>IF(T$9="Y",Jan!J41,0)</f>
        <v>0</v>
      </c>
      <c r="K11" s="89">
        <f>IF(T$9="Y",Jan!K41,I11*J11)</f>
        <v>0</v>
      </c>
      <c r="L11" s="110">
        <f>IF(T$9="Y",Jan!L41,0)</f>
        <v>0</v>
      </c>
      <c r="M11" s="99" t="str">
        <f>IF(E11=" "," ",IF(T$9="Y",Jan!M41,IF((H11+K11+L11)&gt;0,H11+K11+L11,"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IF(T$9="Y",Jan!H42,0)</f>
        <v>0</v>
      </c>
      <c r="I12" s="92">
        <f>IF(T$9="Y",Jan!I42,0)</f>
        <v>0</v>
      </c>
      <c r="J12" s="92">
        <f>IF(T$9="Y",Jan!J42,0)</f>
        <v>0</v>
      </c>
      <c r="K12" s="92">
        <f>IF(T$9="Y",Jan!K42,I12*J12)</f>
        <v>0</v>
      </c>
      <c r="L12" s="111">
        <f>IF(T$9="Y",Jan!L42,0)</f>
        <v>0</v>
      </c>
      <c r="M12" s="100" t="str">
        <f>IF(E12=" "," ",IF(T$9="Y",Jan!M42,IF((H12+K12+L12)&gt;0,H12+K12+L12,"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IF(T$9="Y",Jan!H43,0)</f>
        <v>0</v>
      </c>
      <c r="I13" s="92">
        <f>IF(T$9="Y",Jan!I43,0)</f>
        <v>0</v>
      </c>
      <c r="J13" s="92">
        <f>IF(T$9="Y",Jan!J43,0)</f>
        <v>0</v>
      </c>
      <c r="K13" s="92">
        <f>IF(T$9="Y",Jan!K43,I13*J13)</f>
        <v>0</v>
      </c>
      <c r="L13" s="111">
        <f>IF(T$9="Y",Jan!L43,0)</f>
        <v>0</v>
      </c>
      <c r="M13" s="100" t="str">
        <f>IF(E13=" "," ",IF(T$9="Y",Jan!M43,IF((H13+K13+L13)&gt;0,H13+K13+L13,"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IF(T$9="Y",Jan!H44,0)</f>
        <v>0</v>
      </c>
      <c r="I14" s="92">
        <f>IF(T$9="Y",Jan!I44,0)</f>
        <v>0</v>
      </c>
      <c r="J14" s="92">
        <f>IF(T$9="Y",Jan!J44,0)</f>
        <v>0</v>
      </c>
      <c r="K14" s="92">
        <f>IF(T$9="Y",Jan!K44,I14*J14)</f>
        <v>0</v>
      </c>
      <c r="L14" s="111">
        <f>IF(T$9="Y",Jan!L44,0)</f>
        <v>0</v>
      </c>
      <c r="M14" s="100" t="str">
        <f>IF(E14=" "," ",IF(T$9="Y",Jan!M44,IF((H14+K14+L14)&gt;0,H14+K14+L14,"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IF(T$9="Y",Jan!H45,0)</f>
        <v>0</v>
      </c>
      <c r="I15" s="245">
        <f>IF(T$9="Y",Jan!I45,0)</f>
        <v>0</v>
      </c>
      <c r="J15" s="245">
        <f>IF(T$9="Y",Jan!J45,0)</f>
        <v>0</v>
      </c>
      <c r="K15" s="245">
        <f>IF(T$9="Y",Jan!K45,I15*J15)</f>
        <v>0</v>
      </c>
      <c r="L15" s="246">
        <f>IF(T$9="Y",Jan!L45,0)</f>
        <v>0</v>
      </c>
      <c r="M15" s="247" t="str">
        <f>IF(E15=" "," ",IF(T$9="Y",Jan!M45,IF((H15+K15+L15)&gt;0,H15+K15+L15,"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110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111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111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111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IF(T$49="Y",Jan!H55,0)</f>
        <v>0</v>
      </c>
      <c r="I55" s="245">
        <f>IF(T$49="Y",Jan!I55,0)</f>
        <v>0</v>
      </c>
      <c r="J55" s="245">
        <f>IF(T$49="Y",Jan!J55,0)</f>
        <v>0</v>
      </c>
      <c r="K55" s="245">
        <f>IF(T$49="Y",Jan!K55,I55*J55)</f>
        <v>0</v>
      </c>
      <c r="L55" s="246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Feb!M39+1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Mar!M49+1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110" t="str">
        <f>IF(E11=" "," ",IF(T$9="Y",Mar!M51,IF((H11+K11+L11)&gt;0,H11+K11+L11,"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11" t="str">
        <f>IF(E12=" "," ",IF(T$9="Y",Mar!M52,IF((H12+K12+L12)&gt;0,H12+K12+L12,"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11" t="str">
        <f>IF(E13=" "," ",IF(T$9="Y",Mar!M53,IF((H13+K13+L13)&gt;0,H13+K13+L13,"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11" t="str">
        <f>IF(E14=" "," ",IF(T$9="Y",Mar!M54,IF((H14+K14+L14)&gt;0,H14+K14+L14,"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111" t="str">
        <f>IF(E15=" "," ",IF(T$9="Y",Mar!M55,IF((H15+K15+L15)&gt;0,H15+K15+L15,"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Apr!M39+1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110" t="str">
        <f>IF(E11=" "," ",IF(T$9="Y",Apr!M41,IF((H11+K11+L11)&gt;0,H11+K11+L11,"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11" t="str">
        <f>IF(E12=" "," ",IF(T$9="Y",Apr!M42,IF((H12+K12+L12)&gt;0,H12+K12+L12,"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11" t="str">
        <f>IF(E13=" "," ",IF(T$9="Y",Apr!M43,IF((H13+K13+L13)&gt;0,H13+K13+L13,"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11" t="str">
        <f>IF(E14=" "," ",IF(T$9="Y",Apr!M44,IF((H14+K14+L14)&gt;0,H14+K14+L14,"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IF(T$19="Y",Apr!L45,0)</f>
        <v>0</v>
      </c>
      <c r="M15" s="111" t="str">
        <f>IF(E15=" "," ",IF(T$9="Y",Apr!M45,IF((H15+K15+L15)&gt;0,H15+K15+L15,"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Jul!H3:H6</f>
        <v>Statutory Pay</v>
      </c>
      <c r="I3" s="365" t="str">
        <f>Jul!I3:I6</f>
        <v>Basic hours</v>
      </c>
      <c r="J3" s="365" t="str">
        <f>Jul!J3:J6</f>
        <v>Hourly rate</v>
      </c>
      <c r="K3" s="365" t="str">
        <f>Jul!K3:K6</f>
        <v>Basic    wages</v>
      </c>
      <c r="L3" s="365" t="str">
        <f>Jul!L3:L6</f>
        <v>Overtime Bonus Gratuities</v>
      </c>
      <c r="M3" s="428" t="str">
        <f>Jul!M3:M6</f>
        <v>GROSS WAGES</v>
      </c>
      <c r="N3" s="365" t="str">
        <f>Jul!N3:N6</f>
        <v>Income Tax</v>
      </c>
      <c r="O3" s="365" t="str">
        <f>Jul!O3:O6</f>
        <v>Employees National Insurance</v>
      </c>
      <c r="P3" s="365" t="str">
        <f>Jul!P3:P6</f>
        <v>Student Loans</v>
      </c>
      <c r="Q3" s="365" t="str">
        <f>Jul!Q3:Q6</f>
        <v>Other Deductions</v>
      </c>
      <c r="R3" s="428" t="str">
        <f>Jul!R3:R6</f>
        <v>NET      PAY</v>
      </c>
      <c r="S3" s="42"/>
      <c r="T3" s="365" t="str">
        <f>Jul!T3:T6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May!M39+1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IF(T$69="Y",May!H51,0)</f>
        <v>0</v>
      </c>
      <c r="I71" s="89">
        <f>IF(T$69="Y",May!I51,0)</f>
        <v>0</v>
      </c>
      <c r="J71" s="89">
        <f>IF(T$69="Y",May!J51,0)</f>
        <v>0</v>
      </c>
      <c r="K71" s="89">
        <f>IF(T$69="Y",May!K51,I71*J71)</f>
        <v>0</v>
      </c>
      <c r="L71" s="110">
        <f>IF(T$69="Y",May!L51,0)</f>
        <v>0</v>
      </c>
      <c r="M71" s="99" t="str">
        <f>IF(E71=" "," ",IF(T$69="Y",May!M51,IF((H71+K71+L71)&gt;0,H71+K71+L71,"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IF(Employee!H$35=E$69,Employee!D$34+SUM(M71)+May!V51,SUM(M71)+May!V51)</f>
        <v>0</v>
      </c>
      <c r="W71" s="49">
        <f>IF(Employee!H$35=E$69,Employee!D$35+SUM(N71)+May!W51,SUM(N71)+May!W51)</f>
        <v>0</v>
      </c>
      <c r="X71" s="49">
        <f>IF(O71=" ",May!X51,O71+May!X51)</f>
        <v>0</v>
      </c>
      <c r="Y71" s="49">
        <f>IF(P71=" ",May!Y51,P71+May!Y51)</f>
        <v>0</v>
      </c>
      <c r="Z71" s="49">
        <f>IF(Q71=" ",May!Z51,Q71+May!Z51)</f>
        <v>0</v>
      </c>
      <c r="AA71" s="49">
        <f>IF(R71=" ",May!AA51,R71+May!AA51)</f>
        <v>0</v>
      </c>
      <c r="AC71" s="49">
        <f>IF(T71=" ",May!AC51,T71+May!AC51)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IF(T$69="Y",May!H52,0)</f>
        <v>0</v>
      </c>
      <c r="I72" s="92">
        <f>IF(T$69="Y",May!I52,0)</f>
        <v>0</v>
      </c>
      <c r="J72" s="92">
        <f>IF(T$69="Y",May!J52,0)</f>
        <v>0</v>
      </c>
      <c r="K72" s="92">
        <f>IF(T$69="Y",May!K52,I72*J72)</f>
        <v>0</v>
      </c>
      <c r="L72" s="111">
        <f>IF(T$69="Y",May!L52,0)</f>
        <v>0</v>
      </c>
      <c r="M72" s="100" t="str">
        <f>IF(E72=" "," ",IF(T$69="Y",May!M52,IF((H72+K72+L72)&gt;0,H72+K72+L72,"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IF(Employee!H$61=E$69,Employee!D$60+SUM(M72)+May!V52,SUM(M72)+May!V52)</f>
        <v>0</v>
      </c>
      <c r="W72" s="49">
        <f>IF(Employee!H$61=E$69,Employee!D$61+SUM(N72)+May!W52,SUM(N72)+May!W52)</f>
        <v>0</v>
      </c>
      <c r="X72" s="49">
        <f>IF(O72=" ",May!X52,O72+May!X52)</f>
        <v>0</v>
      </c>
      <c r="Y72" s="49">
        <f>IF(P72=" ",May!Y52,P72+May!Y52)</f>
        <v>0</v>
      </c>
      <c r="Z72" s="49">
        <f>IF(Q72=" ",May!Z52,Q72+May!Z52)</f>
        <v>0</v>
      </c>
      <c r="AA72" s="49">
        <f>IF(R72=" ",May!AA52,R72+May!AA52)</f>
        <v>0</v>
      </c>
      <c r="AC72" s="49">
        <f>IF(T72=" ",May!AC52,T72+May!AC52)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IF(T$69="Y",May!H53,0)</f>
        <v>0</v>
      </c>
      <c r="I73" s="92">
        <f>IF(T$69="Y",May!I53,0)</f>
        <v>0</v>
      </c>
      <c r="J73" s="92">
        <f>IF(T$69="Y",May!J53,0)</f>
        <v>0</v>
      </c>
      <c r="K73" s="92">
        <f>IF(T$69="Y",May!K53,I73*J73)</f>
        <v>0</v>
      </c>
      <c r="L73" s="111">
        <f>IF(T$69="Y",May!L53,0)</f>
        <v>0</v>
      </c>
      <c r="M73" s="100" t="str">
        <f>IF(E73=" "," ",IF(T$69="Y",May!M53,IF((H73+K73+L73)&gt;0,H73+K73+L73,"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IF(Employee!H$87=E$69,Employee!D$86+SUM(M73)+May!V53,SUM(M73)+May!V53)</f>
        <v>0</v>
      </c>
      <c r="W73" s="49">
        <f>IF(Employee!H$87=E$69,Employee!D$87+SUM(N73)+May!W53,SUM(N73)+May!W53)</f>
        <v>0</v>
      </c>
      <c r="X73" s="49">
        <f>IF(O73=" ",May!X53,O73+May!X53)</f>
        <v>0</v>
      </c>
      <c r="Y73" s="49">
        <f>IF(P73=" ",May!Y53,P73+May!Y53)</f>
        <v>0</v>
      </c>
      <c r="Z73" s="49">
        <f>IF(Q73=" ",May!Z53,Q73+May!Z53)</f>
        <v>0</v>
      </c>
      <c r="AA73" s="49">
        <f>IF(R73=" ",May!AA53,R73+May!AA53)</f>
        <v>0</v>
      </c>
      <c r="AC73" s="49">
        <f>IF(T73=" ",May!AC53,T73+May!AC53)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IF(T$69="Y",May!H54,0)</f>
        <v>0</v>
      </c>
      <c r="I74" s="92">
        <f>IF(T$69="Y",May!I54,0)</f>
        <v>0</v>
      </c>
      <c r="J74" s="92">
        <f>IF(T$69="Y",May!J54,0)</f>
        <v>0</v>
      </c>
      <c r="K74" s="92">
        <f>IF(T$69="Y",May!K54,I74*J74)</f>
        <v>0</v>
      </c>
      <c r="L74" s="111">
        <f>IF(T$69="Y",May!L54,0)</f>
        <v>0</v>
      </c>
      <c r="M74" s="100" t="str">
        <f>IF(E74=" "," ",IF(T$69="Y",May!M54,IF((H74+K74+L74)&gt;0,H74+K74+L74,"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IF(Employee!H$113=E$69,Employee!D$112+SUM(M74)+May!V54,SUM(M74)+May!V54)</f>
        <v>0</v>
      </c>
      <c r="W74" s="49">
        <f>IF(Employee!H$113=E$69,Employee!D$113+SUM(N74)+May!W54,SUM(N74)+May!W54)</f>
        <v>0</v>
      </c>
      <c r="X74" s="49">
        <f>IF(O74=" ",May!X54,O74+May!X54)</f>
        <v>0</v>
      </c>
      <c r="Y74" s="49">
        <f>IF(P74=" ",May!Y54,P74+May!Y54)</f>
        <v>0</v>
      </c>
      <c r="Z74" s="49">
        <f>IF(Q74=" ",May!Z54,Q74+May!Z54)</f>
        <v>0</v>
      </c>
      <c r="AA74" s="49">
        <f>IF(R74=" ",May!AA54,R74+May!AA54)</f>
        <v>0</v>
      </c>
      <c r="AC74" s="49">
        <f>IF(T74=" ",May!AC54,T74+May!AC54)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IF(T$69="Y",May!H55,0)</f>
        <v>0</v>
      </c>
      <c r="I75" s="245">
        <f>IF(T$69="Y",May!I55,0)</f>
        <v>0</v>
      </c>
      <c r="J75" s="245">
        <f>IF(T$69="Y",May!J55,0)</f>
        <v>0</v>
      </c>
      <c r="K75" s="245">
        <f>IF(T$69="Y",May!K55,I75*J75)</f>
        <v>0</v>
      </c>
      <c r="L75" s="246">
        <f>IF(T$69="Y",May!L55,0)</f>
        <v>0</v>
      </c>
      <c r="M75" s="100" t="str">
        <f>IF(E75=" "," ",IF(T$69="Y",May!M55,IF((H75+K75+L75)&gt;0,H75+K75+L75,"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IF(Employee!H$139=E$69,Employee!D$138+SUM(M75)+May!V55,SUM(M75)+May!V55)</f>
        <v>0</v>
      </c>
      <c r="W75" s="49">
        <f>IF(Employee!H$139=E$69,Employee!D$139+SUM(N75)+May!W55,SUM(N75)+May!W55)</f>
        <v>0</v>
      </c>
      <c r="X75" s="49">
        <f>IF(O75=" ",May!X55,O75+May!X55)</f>
        <v>0</v>
      </c>
      <c r="Y75" s="49">
        <f>IF(P75=" ",May!Y55,P75+May!Y55)</f>
        <v>0</v>
      </c>
      <c r="Z75" s="49">
        <f>IF(Q75=" ",May!Z55,Q75+May!Z55)</f>
        <v>0</v>
      </c>
      <c r="AA75" s="49">
        <f>IF(R75=" ",May!AA55,R75+May!AA55)</f>
        <v>0</v>
      </c>
      <c r="AC75" s="49">
        <f>IF(T75=" ",May!AC55,T75+May!AC55)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AD80+May!AD65</f>
        <v>0</v>
      </c>
      <c r="AE85" s="158">
        <f>AE80+May!AE65</f>
        <v>0</v>
      </c>
      <c r="AF85" s="158">
        <f>AF80+May!AF65</f>
        <v>0</v>
      </c>
      <c r="AG85" s="158">
        <f>AG80+May!AG65</f>
        <v>0</v>
      </c>
    </row>
    <row r="86" spans="6:33" ht="14" thickTop="1" x14ac:dyDescent="0.15"/>
    <row r="87" spans="6:33" x14ac:dyDescent="0.15">
      <c r="AD87" s="162"/>
      <c r="AE87" s="158">
        <f>AE82+May!AE67</f>
        <v>0</v>
      </c>
      <c r="AF87" s="158">
        <f>AF82+May!AF67</f>
        <v>0</v>
      </c>
      <c r="AG87" s="158">
        <f>AG82+May!AG67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Jul!T1+Jul!O1</f>
        <v>0</v>
      </c>
      <c r="E4" s="228">
        <f>Jul!N1</f>
        <v>0</v>
      </c>
      <c r="F4" s="228">
        <f>Jul!AD60+Jul!AE60+Jul!AF60+Jul!AG60</f>
        <v>0</v>
      </c>
      <c r="G4" s="228">
        <f>Jul!AE62+Jul!AF62+Jul!AG62</f>
        <v>0</v>
      </c>
      <c r="H4" s="228">
        <f>Jul!P1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Aug!T1+Aug!O1</f>
        <v>0</v>
      </c>
      <c r="E5" s="228">
        <f>Aug!N1</f>
        <v>0</v>
      </c>
      <c r="F5" s="228">
        <f>Aug!AD60+Aug!AE60+Aug!AF60+Aug!AG60</f>
        <v>0</v>
      </c>
      <c r="G5" s="228">
        <f>Aug!AE62+Aug!AF62+Aug!AG62</f>
        <v>0</v>
      </c>
      <c r="H5" s="228">
        <f>Aug!P1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Sep!T1+Sep!O1</f>
        <v>0</v>
      </c>
      <c r="E6" s="228">
        <f>Sep!N1</f>
        <v>0</v>
      </c>
      <c r="F6" s="228">
        <f>Sep!AD70+Sep!AE70+Sep!AF70+Sep!AG70</f>
        <v>0</v>
      </c>
      <c r="G6" s="228">
        <f>Sep!AE72+Sep!AF72+Sep!AG72</f>
        <v>0</v>
      </c>
      <c r="H6" s="228">
        <f>Sep!P1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Oct!T1+Oct!O1</f>
        <v>0</v>
      </c>
      <c r="E7" s="228">
        <f>Oct!N1</f>
        <v>0</v>
      </c>
      <c r="F7" s="228">
        <f>Oct!AD60+Oct!AE60+Oct!AF60+Oct!AG60</f>
        <v>0</v>
      </c>
      <c r="G7" s="228">
        <f>Oct!AE62+Oct!AF62+Oct!AG62</f>
        <v>0</v>
      </c>
      <c r="H7" s="228">
        <f>Oct!P1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Nov!T1+Nov!O1</f>
        <v>0</v>
      </c>
      <c r="E8" s="228">
        <f>Nov!N1</f>
        <v>0</v>
      </c>
      <c r="F8" s="228">
        <f>Nov!AD60+Nov!AE60+Nov!AF60+Nov!AG60</f>
        <v>0</v>
      </c>
      <c r="G8" s="228">
        <f>Nov!AE62+Nov!AF62+Nov!AG62</f>
        <v>0</v>
      </c>
      <c r="H8" s="228">
        <f>Nov!P1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Dec!T1+Dec!O1</f>
        <v>0</v>
      </c>
      <c r="E9" s="228">
        <f>Dec!N1</f>
        <v>0</v>
      </c>
      <c r="F9" s="228">
        <f>Dec!AD70+Dec!AE70+Dec!AF70+Dec!AG70</f>
        <v>0</v>
      </c>
      <c r="G9" s="228">
        <f>Dec!AE72+Dec!AF72+Dec!AG72</f>
        <v>0</v>
      </c>
      <c r="H9" s="228">
        <f>Dec!P1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Jan!T1+Jan!O1</f>
        <v>0</v>
      </c>
      <c r="E10" s="228">
        <f>Jan!N1</f>
        <v>0</v>
      </c>
      <c r="F10" s="228">
        <f>Jan!AD60+Jan!AE60+Jan!AF60+Jan!AG60</f>
        <v>0</v>
      </c>
      <c r="G10" s="228">
        <f>Jan!AE62+Jan!AF62+Jan!AG62</f>
        <v>0</v>
      </c>
      <c r="H10" s="228">
        <f>Jan!P1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Feb!T1+Feb!O1</f>
        <v>0</v>
      </c>
      <c r="E11" s="228">
        <f>Feb!N1</f>
        <v>0</v>
      </c>
      <c r="F11" s="228">
        <f>Feb!AD60+Feb!AE60+Feb!AF60+Feb!AG60</f>
        <v>0</v>
      </c>
      <c r="G11" s="228">
        <f>Feb!AE62+Feb!AF62+Feb!AG62</f>
        <v>0</v>
      </c>
      <c r="H11" s="228">
        <f>Feb!P1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Mar!T1+Mar!O1</f>
        <v>0</v>
      </c>
      <c r="E12" s="228">
        <f>Mar!N1</f>
        <v>0</v>
      </c>
      <c r="F12" s="228">
        <f>Mar!AD70+Mar!AE70+Mar!AF70+Mar!AG70</f>
        <v>0</v>
      </c>
      <c r="G12" s="228">
        <f>Mar!AE72+Mar!AF72+Mar!AG72</f>
        <v>0</v>
      </c>
      <c r="H12" s="228">
        <f>Mar!P1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Apr!T1+Apr!O1</f>
        <v>0</v>
      </c>
      <c r="E13" s="228">
        <f>Apr!N1</f>
        <v>0</v>
      </c>
      <c r="F13" s="228">
        <f>Apr!AD60+Apr!AE60+Apr!AF60+Apr!AG60</f>
        <v>0</v>
      </c>
      <c r="G13" s="228">
        <f>Apr!AE62+Apr!AF62+Apr!AG62</f>
        <v>0</v>
      </c>
      <c r="H13" s="228">
        <f>Apr!P1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May!T1+May!O1</f>
        <v>0</v>
      </c>
      <c r="E14" s="228">
        <f>May!N1</f>
        <v>0</v>
      </c>
      <c r="F14" s="228">
        <f>May!AD60+May!AE60+May!AF60+May!AG60</f>
        <v>0</v>
      </c>
      <c r="G14" s="228">
        <f>May!AE62+May!AF62+May!AG62</f>
        <v>0</v>
      </c>
      <c r="H14" s="228">
        <f>May!P1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Jun!T1+Jun!O1</f>
        <v>0</v>
      </c>
      <c r="E15" s="228">
        <f>Jun!N1</f>
        <v>0</v>
      </c>
      <c r="F15" s="228">
        <f>Jun!AD80+Jun!AE80+Jun!AF80+Jun!AG80</f>
        <v>0</v>
      </c>
      <c r="G15" s="228">
        <f>Jun!AE82+Jun!AF82+Jun!AG82</f>
        <v>0</v>
      </c>
      <c r="H15" s="228">
        <f>Jun!P1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45021</v>
      </c>
      <c r="J1" s="493"/>
      <c r="K1" s="303"/>
      <c r="L1" s="303"/>
      <c r="M1" s="304"/>
      <c r="N1" s="305" t="str">
        <f>TEXT(YEAR(I1)-1,"0") &amp; "-" &amp; TEXT(YEAR(I1)-2000,"0")</f>
        <v>2022-23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44657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44658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44659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44660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44661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44662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44663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44664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44665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44666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44667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44668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44669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44670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44671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44672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44673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44674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44675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44676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44677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44678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44679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44680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44681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44682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44683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44684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44685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44686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44687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44688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44689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44690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44691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44692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44693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44694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44695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44696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44697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44698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44699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44700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44701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44702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44703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44704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44705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44706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44707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44708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44709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44710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44711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44712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44713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44714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44715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44716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44717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44718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44719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44720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44721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44722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44723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44724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44725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44726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44727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44728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44729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44730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44731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44732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44733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44734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44735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44736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44737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44738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44739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44740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44741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44742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44743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44744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44745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44746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44747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44748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44749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44750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44751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44752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44753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44754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44755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44756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44757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44758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44759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44760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44761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44762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44763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44764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44765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44766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44767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44768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44769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44770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44771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44772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44773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44774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44775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44776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44777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44778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44779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44780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44781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44782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44783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44784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44785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44786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44787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44788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44789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44790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44791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44792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44793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44794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44795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44796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44797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44798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44799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44800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44801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44802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44803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44804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44805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44806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44807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44808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44809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44810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44811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44812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44813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44814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44815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44816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44817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44818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44819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44820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44821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44822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44823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44824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44825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44826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44827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44828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44829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44830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44831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44832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44833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44834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44835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44836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44837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44838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44839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44840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44841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44842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44843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44844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44845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44846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44847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44848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44849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44850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44851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44852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44853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44854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44855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44856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44857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44858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44859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44860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44861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44862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44863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44864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44865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44866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44867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44868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44869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44870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44871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44872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44873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44874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44875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44876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44877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44878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44879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44880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44881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44882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44883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44884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44885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44886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44887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44888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44889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44890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44891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44892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44893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44894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44895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44896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44897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44898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44899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44900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44901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44902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44903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44904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44905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44906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44907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44908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44909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44910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44911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44912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44913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44914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44915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44916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44917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44918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44919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44920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44921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44922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44923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44924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44925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44926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44927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44928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44929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44930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44931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44932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44933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44934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44935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44936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44937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44938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44939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44940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44941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44942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44943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44944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44945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44946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44947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44948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44949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44950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44951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44952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44953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44954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44955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44956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44957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44958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44959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44960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44961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44962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44963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44964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44965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44966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44967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44968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44969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44970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44971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44972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44973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44974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44975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44976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44977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44978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44979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44980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44981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44982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44983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44984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44985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44986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44987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44988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44989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44990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44991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44992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44993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44994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44995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44996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44997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44998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44999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45000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45001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45002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45003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45004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45005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45006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45007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45008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45009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45010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45011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45012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45013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45014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45015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45016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45017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45018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45019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45020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45021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45022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45023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45024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45025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45026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45027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45028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45029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45030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45031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45032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45033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45034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45035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45036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