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<sst xmlns="http://schemas.openxmlformats.org/spreadsheetml/2006/main" count="1383" uniqueCount="138">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</sst>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5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43987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44013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44039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44065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43934</v>
      </c>
      <c r="L19" s="200" t="s">
        <v>76</v>
      </c>
      <c r="M19" s="202">
        <f>K19+6</f>
        <v>43940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43941</v>
      </c>
      <c r="L29" s="200" t="s">
        <v>76</v>
      </c>
      <c r="M29" s="202">
        <f>K29+6</f>
        <v>43947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43948</v>
      </c>
      <c r="L39" s="200" t="s">
        <v>76</v>
      </c>
      <c r="M39" s="202">
        <f>K39+6</f>
        <v>43954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DATE(2019,8,1)</f>
        <v>43678</v>
      </c>
      <c r="L49" s="203" t="s">
        <v>76</v>
      </c>
      <c r="M49" s="205">
        <f>DATE(2019,8,31)</f>
        <v>43708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Aug!M39+1</f>
        <v>43955</v>
      </c>
      <c r="L9" s="203" t="s">
        <v>76</v>
      </c>
      <c r="M9" s="205">
        <f>K9+6</f>
        <v>43961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43962</v>
      </c>
      <c r="L19" s="203" t="s">
        <v>76</v>
      </c>
      <c r="M19" s="205">
        <f>K19+6</f>
        <v>43968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43969</v>
      </c>
      <c r="L29" s="203" t="s">
        <v>76</v>
      </c>
      <c r="M29" s="205">
        <f>K29+6</f>
        <v>43975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43976</v>
      </c>
      <c r="L39" s="203" t="s">
        <v>76</v>
      </c>
      <c r="M39" s="205">
        <f>K39+6</f>
        <v>43982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DATE(2019,9,1)</f>
        <v>43709</v>
      </c>
      <c r="L49" s="203" t="s">
        <v>76</v>
      </c>
      <c r="M49" s="205">
        <f>DATE(2019,9,30)</f>
        <v>43738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Sep!M39+1</f>
        <v>43983</v>
      </c>
      <c r="L9" s="203" t="s">
        <v>76</v>
      </c>
      <c r="M9" s="205">
        <f>K9+6</f>
        <v>43989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43990</v>
      </c>
      <c r="L19" s="203" t="s">
        <v>76</v>
      </c>
      <c r="M19" s="205">
        <f>K19+6</f>
        <v>43996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43997</v>
      </c>
      <c r="L29" s="203" t="s">
        <v>76</v>
      </c>
      <c r="M29" s="205">
        <f>K29+6</f>
        <v>44003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44004</v>
      </c>
      <c r="L39" s="203" t="s">
        <v>76</v>
      </c>
      <c r="M39" s="205">
        <f>K39+6</f>
        <v>44010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44011</v>
      </c>
      <c r="L49" s="203" t="s">
        <v>76</v>
      </c>
      <c r="M49" s="205">
        <f>K49+6</f>
        <v>44017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DATE(2019,10,1)</f>
        <v>43739</v>
      </c>
      <c r="L59" s="203" t="s">
        <v>76</v>
      </c>
      <c r="M59" s="205">
        <f>DATE(2019,10,31)</f>
        <v>43769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44016</v>
      </c>
      <c r="L9" s="203" t="s">
        <v>76</v>
      </c>
      <c r="M9" s="205">
        <f>K9+6</f>
        <v>44022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89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92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92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92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5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44023</v>
      </c>
      <c r="L19" s="203" t="s">
        <v>76</v>
      </c>
      <c r="M19" s="205">
        <f>K19+6</f>
        <v>44029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44030</v>
      </c>
      <c r="L29" s="203" t="s">
        <v>76</v>
      </c>
      <c r="M29" s="205">
        <f>K29+6</f>
        <v>44036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44037</v>
      </c>
      <c r="L39" s="203" t="s">
        <v>76</v>
      </c>
      <c r="M39" s="205">
        <f>K39+6</f>
        <v>44043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DATE(2019,11,1)</f>
        <v>43770</v>
      </c>
      <c r="L49" s="203" t="s">
        <v>76</v>
      </c>
      <c r="M49" s="205">
        <f>DATE(2019,11,30)</f>
        <v>43799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44044</v>
      </c>
      <c r="L9" s="203" t="s">
        <v>76</v>
      </c>
      <c r="M9" s="205">
        <f>K9+6</f>
        <v>44050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IF(T$9="Y",Nov!H41,0)</f>
        <v>0</v>
      </c>
      <c r="I12" s="92">
        <f>IF(T$9="Y",Nov!I41,0)</f>
        <v>0</v>
      </c>
      <c r="J12" s="92">
        <f>IF(T$9="Y",Nov!J41,0)</f>
        <v>0</v>
      </c>
      <c r="K12" s="92">
        <f>IF(T$9="Y",Nov!K41,I12*J12)</f>
        <v>0</v>
      </c>
      <c r="L12" s="111">
        <f>IF(T$9="Y",Nov!L41,0)</f>
        <v>0</v>
      </c>
      <c r="M12" s="111" t="str">
        <f>IF(E12=" "," ",IF(T$9="Y",Nov!M41,IF((H12+K12+L12)&gt;0,H12+K12+L12,"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IF(T$9="Y",Nov!H41,0)</f>
        <v>0</v>
      </c>
      <c r="I13" s="92">
        <f>IF(T$9="Y",Nov!I41,0)</f>
        <v>0</v>
      </c>
      <c r="J13" s="92">
        <f>IF(T$9="Y",Nov!J41,0)</f>
        <v>0</v>
      </c>
      <c r="K13" s="92">
        <f>IF(T$9="Y",Nov!K41,I13*J13)</f>
        <v>0</v>
      </c>
      <c r="L13" s="111">
        <f>IF(T$9="Y",Nov!L41,0)</f>
        <v>0</v>
      </c>
      <c r="M13" s="111" t="str">
        <f>IF(E13=" "," ",IF(T$9="Y",Nov!M41,IF((H13+K13+L13)&gt;0,H13+K13+L13,"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IF(T$9="Y",Nov!H41,0)</f>
        <v>0</v>
      </c>
      <c r="I14" s="92">
        <f>IF(T$9="Y",Nov!I41,0)</f>
        <v>0</v>
      </c>
      <c r="J14" s="92">
        <f>IF(T$9="Y",Nov!J41,0)</f>
        <v>0</v>
      </c>
      <c r="K14" s="92">
        <f>IF(T$9="Y",Nov!K41,I14*J14)</f>
        <v>0</v>
      </c>
      <c r="L14" s="111">
        <f>IF(T$9="Y",Nov!L41,0)</f>
        <v>0</v>
      </c>
      <c r="M14" s="111" t="str">
        <f>IF(E14=" "," ",IF(T$9="Y",Nov!M41,IF((H14+K14+L14)&gt;0,H14+K14+L14,"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IF(T$9="Y",Nov!H41,0)</f>
        <v>0</v>
      </c>
      <c r="I15" s="245">
        <f>IF(T$9="Y",Nov!I41,0)</f>
        <v>0</v>
      </c>
      <c r="J15" s="245">
        <f>IF(T$9="Y",Nov!J41,0)</f>
        <v>0</v>
      </c>
      <c r="K15" s="245">
        <f>IF(T$9="Y",Nov!K41,I15*J15)</f>
        <v>0</v>
      </c>
      <c r="L15" s="246">
        <f>IF(T$9="Y",Nov!L41,0)</f>
        <v>0</v>
      </c>
      <c r="M15" s="246" t="str">
        <f>IF(E15=" "," ",IF(T$9="Y",Nov!M41,IF((H15+K15+L15)&gt;0,H15+K15+L15,"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44051</v>
      </c>
      <c r="L19" s="203" t="s">
        <v>76</v>
      </c>
      <c r="M19" s="205">
        <f>K19+6</f>
        <v>44057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44058</v>
      </c>
      <c r="L29" s="203" t="s">
        <v>76</v>
      </c>
      <c r="M29" s="205">
        <f>K29+6</f>
        <v>44064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44065</v>
      </c>
      <c r="L39" s="203" t="s">
        <v>76</v>
      </c>
      <c r="M39" s="205">
        <f>K39+6</f>
        <v>44071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DATE(2019,12,1)</f>
        <v>43800</v>
      </c>
      <c r="L49" s="203" t="s">
        <v>76</v>
      </c>
      <c r="M49" s="205">
        <f>DATE(2019,12,31)</f>
        <v>43830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89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92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92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92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IF(T$49="Y",Nov!H55,0)</f>
        <v>0</v>
      </c>
      <c r="I55" s="92">
        <f>IF(T$49="Y",Nov!I55,0)</f>
        <v>0</v>
      </c>
      <c r="J55" s="92">
        <f>IF(T$49="Y",Nov!J55,0)</f>
        <v>0</v>
      </c>
      <c r="K55" s="92">
        <f>IF(T$49="Y",Nov!K55,I55*J55)</f>
        <v>0</v>
      </c>
      <c r="L55" s="92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Dec!M39+1</f>
        <v>44072</v>
      </c>
      <c r="L9" s="203" t="s">
        <v>76</v>
      </c>
      <c r="M9" s="205">
        <f>K9+6</f>
        <v>44078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44079</v>
      </c>
      <c r="L19" s="203" t="s">
        <v>76</v>
      </c>
      <c r="M19" s="205">
        <f>K19+6</f>
        <v>44085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44086</v>
      </c>
      <c r="L29" s="203" t="s">
        <v>76</v>
      </c>
      <c r="M29" s="205">
        <f>K29+6</f>
        <v>44092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44093</v>
      </c>
      <c r="L39" s="203" t="s">
        <v>76</v>
      </c>
      <c r="M39" s="205">
        <f>K39+6</f>
        <v>44099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44100</v>
      </c>
      <c r="L49" s="203" t="s">
        <v>76</v>
      </c>
      <c r="M49" s="205">
        <f>K49+6</f>
        <v>44106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DATE(2020,1,1)</f>
        <v>43831</v>
      </c>
      <c r="L59" s="203" t="s">
        <v>76</v>
      </c>
      <c r="M59" s="205">
        <f>DATE(2020,1,31)</f>
        <v>43861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44107</v>
      </c>
      <c r="L9" s="203" t="s">
        <v>76</v>
      </c>
      <c r="M9" s="205">
        <f>Admin!B188</f>
        <v>44113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99" t="str">
        <f>IF(E11=" "," ",IF(T$9="Y",Jan!M51,IF((H11+K11+L11)&gt;0,H11+K11+L11,"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00" t="str">
        <f>IF(E12=" "," ",IF(T$9="Y",Jan!M52,IF((H12+K12+L12)&gt;0,H12+K12+L12,"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00" t="str">
        <f>IF(E13=" "," ",IF(T$9="Y",Jan!M53,IF((H13+K13+L13)&gt;0,H13+K13+L13,"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00" t="str">
        <f>IF(E14=" "," ",IF(T$9="Y",Jan!M54,IF((H14+K14+L14)&gt;0,H14+K14+L14,"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247" t="str">
        <f>IF(E15=" "," ",IF(T$9="Y",Jan!M55,IF((H15+K15+L15)&gt;0,H15+K15+L15,"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44114</v>
      </c>
      <c r="L19" s="203" t="s">
        <v>76</v>
      </c>
      <c r="M19" s="205">
        <f>K19+6</f>
        <v>44120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44121</v>
      </c>
      <c r="L29" s="203" t="s">
        <v>76</v>
      </c>
      <c r="M29" s="205">
        <f>K29+6</f>
        <v>44127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44128</v>
      </c>
      <c r="L39" s="203" t="s">
        <v>76</v>
      </c>
      <c r="M39" s="205">
        <f>K39+6</f>
        <v>44134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DATE(2020,2,1)</f>
        <v>43862</v>
      </c>
      <c r="L49" s="203" t="s">
        <v>76</v>
      </c>
      <c r="M49" s="205">
        <f>DATE(2020,2,29)</f>
        <v>43890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44135</v>
      </c>
      <c r="L9" s="203" t="s">
        <v>76</v>
      </c>
      <c r="M9" s="205">
        <f>K9+6</f>
        <v>44141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44142</v>
      </c>
      <c r="L19" s="203" t="s">
        <v>76</v>
      </c>
      <c r="M19" s="205">
        <f>K19+6</f>
        <v>44148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44149</v>
      </c>
      <c r="L29" s="203" t="s">
        <v>76</v>
      </c>
      <c r="M29" s="205">
        <f>K29+6</f>
        <v>44155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44156</v>
      </c>
      <c r="L39" s="203" t="s">
        <v>76</v>
      </c>
      <c r="M39" s="205">
        <f>K39+6</f>
        <v>44162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DATE(2020,3,1)</f>
        <v>43891</v>
      </c>
      <c r="L49" s="203" t="s">
        <v>76</v>
      </c>
      <c r="M49" s="205">
        <f>DATE(2020,3,31)</f>
        <v>43921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Mar!M39+1</f>
        <v>44163</v>
      </c>
      <c r="L9" s="203" t="s">
        <v>76</v>
      </c>
      <c r="M9" s="205">
        <f>K9+6</f>
        <v>44169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44170</v>
      </c>
      <c r="L19" s="203" t="s">
        <v>76</v>
      </c>
      <c r="M19" s="205">
        <f>K19+6</f>
        <v>44176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44177</v>
      </c>
      <c r="L29" s="203" t="s">
        <v>76</v>
      </c>
      <c r="M29" s="205">
        <f>K29+6</f>
        <v>44183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44184</v>
      </c>
      <c r="L39" s="203" t="s">
        <v>76</v>
      </c>
      <c r="M39" s="205">
        <f>K39+6</f>
        <v>44190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44191</v>
      </c>
      <c r="L49" s="203" t="s">
        <v>76</v>
      </c>
      <c r="M49" s="205">
        <f>K49+6</f>
        <v>44197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DATE(2020,4,1)</f>
        <v>43922</v>
      </c>
      <c r="L59" s="203" t="s">
        <v>76</v>
      </c>
      <c r="M59" s="205">
        <f>DATE(2020,4,30)</f>
        <v>43951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Apr!M49+1</f>
        <v>44198</v>
      </c>
      <c r="L9" s="203" t="s">
        <v>76</v>
      </c>
      <c r="M9" s="205">
        <f>K9+6</f>
        <v>44204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110" t="str">
        <f>IF(E11=" "," ",IF(T$9="Y",Apr!M51,IF((H11+K11+L11)&gt;0,H11+K11+L11,"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11" t="str">
        <f>IF(E12=" "," ",IF(T$9="Y",Apr!M52,IF((H12+K12+L12)&gt;0,H12+K12+L12,"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11" t="str">
        <f>IF(E13=" "," ",IF(T$9="Y",Apr!M53,IF((H13+K13+L13)&gt;0,H13+K13+L13,"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11" t="str">
        <f>IF(E14=" "," ",IF(T$9="Y",Apr!M54,IF((H14+K14+L14)&gt;0,H14+K14+L14,"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111" t="str">
        <f>IF(E15=" "," ",IF(T$9="Y",Apr!M55,IF((H15+K15+L15)&gt;0,H15+K15+L15,"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44205</v>
      </c>
      <c r="L19" s="203" t="s">
        <v>76</v>
      </c>
      <c r="M19" s="205">
        <f>K19+6</f>
        <v>44211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44212</v>
      </c>
      <c r="L29" s="203" t="s">
        <v>76</v>
      </c>
      <c r="M29" s="205">
        <f>K29+6</f>
        <v>44218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44219</v>
      </c>
      <c r="L39" s="203" t="s">
        <v>76</v>
      </c>
      <c r="M39" s="205">
        <f>K39+6</f>
        <v>44225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DATE(2020,5,1)</f>
        <v>43952</v>
      </c>
      <c r="L49" s="203" t="s">
        <v>76</v>
      </c>
      <c r="M49" s="205">
        <f>DATE(2020,5,31)</f>
        <v>43982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May!M39+1</f>
        <v>44226</v>
      </c>
      <c r="L9" s="203" t="s">
        <v>76</v>
      </c>
      <c r="M9" s="205">
        <f>K9+6</f>
        <v>44232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IF(T$19="Y",May!L45,0)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44233</v>
      </c>
      <c r="L19" s="203" t="s">
        <v>76</v>
      </c>
      <c r="M19" s="205">
        <f>K19+6</f>
        <v>44239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44240</v>
      </c>
      <c r="L29" s="203" t="s">
        <v>76</v>
      </c>
      <c r="M29" s="205">
        <f>K29+6</f>
        <v>44246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44247</v>
      </c>
      <c r="L39" s="203" t="s">
        <v>76</v>
      </c>
      <c r="M39" s="205">
        <f>K39+6</f>
        <v>44253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DATE(2020,6,1)</f>
        <v>43983</v>
      </c>
      <c r="L49" s="203" t="s">
        <v>76</v>
      </c>
      <c r="M49" s="205">
        <f>DATE(2020,6,30)</f>
        <v>44012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Jun!M39+1</f>
        <v>44254</v>
      </c>
      <c r="L9" s="203" t="s">
        <v>76</v>
      </c>
      <c r="M9" s="205">
        <f>K9+6</f>
        <v>44260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44261</v>
      </c>
      <c r="L19" s="203" t="s">
        <v>76</v>
      </c>
      <c r="M19" s="205">
        <f>K19+6</f>
        <v>44267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44268</v>
      </c>
      <c r="L29" s="203" t="s">
        <v>76</v>
      </c>
      <c r="M29" s="205">
        <f>K29+6</f>
        <v>44274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44275</v>
      </c>
      <c r="L39" s="203" t="s">
        <v>76</v>
      </c>
      <c r="M39" s="205">
        <f>K39+6</f>
        <v>44281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44282</v>
      </c>
      <c r="L49" s="203" t="s">
        <v>76</v>
      </c>
      <c r="M49" s="205">
        <f>K49+6</f>
        <v>44288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44289</v>
      </c>
      <c r="L59" s="203" t="s">
        <v>76</v>
      </c>
      <c r="M59" s="205">
        <f>K59+4</f>
        <v>44293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DATE(2020,7,1)</f>
        <v>44013</v>
      </c>
      <c r="L69" s="203" t="s">
        <v>76</v>
      </c>
      <c r="M69" s="205">
        <f>DATE(2020,7,31)</f>
        <v>44043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IF(T$69="Y",Jun!H51,0)</f>
        <v>0</v>
      </c>
      <c r="I71" s="89">
        <f>IF(T$69="Y",Jun!I51,0)</f>
        <v>0</v>
      </c>
      <c r="J71" s="89">
        <f>IF(T$69="Y",Jun!J51,0)</f>
        <v>0</v>
      </c>
      <c r="K71" s="89">
        <f>IF(T$69="Y",Jun!K51,I71*J71)</f>
        <v>0</v>
      </c>
      <c r="L71" s="110">
        <f>IF(T$69="Y",Jun!L51,0)</f>
        <v>0</v>
      </c>
      <c r="M71" s="99" t="str">
        <f>IF(E71=" "," ",IF(T$69="Y",Jun!M51,IF((H71+K71+L71)&gt;0,H71+K71+L71,"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IF(Employee!H$35=E$69,Employee!D$34+SUM(M71)+Jun!V51,SUM(M71)+Jun!V51)</f>
        <v>0</v>
      </c>
      <c r="W71" s="49">
        <f>IF(Employee!H$35=E$69,Employee!D$35+SUM(N71)+Jun!W51,SUM(N71)+Jun!W51)</f>
        <v>0</v>
      </c>
      <c r="X71" s="49">
        <f>IF(O71=" ",Jun!X51,O71+Jun!X51)</f>
        <v>0</v>
      </c>
      <c r="Y71" s="49">
        <f>IF(P71=" ",Jun!Y51,P71+Jun!Y51)</f>
        <v>0</v>
      </c>
      <c r="Z71" s="49">
        <f>IF(Q71=" ",Jun!Z51,Q71+Jun!Z51)</f>
        <v>0</v>
      </c>
      <c r="AA71" s="49">
        <f>IF(R71=" ",Jun!AA51,R71+Jun!AA51)</f>
        <v>0</v>
      </c>
      <c r="AC71" s="49">
        <f>IF(T71=" ",Jun!AC51,T71+Jun!AC51)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IF(T$69="Y",Jun!H52,0)</f>
        <v>0</v>
      </c>
      <c r="I72" s="92">
        <f>IF(T$69="Y",Jun!I52,0)</f>
        <v>0</v>
      </c>
      <c r="J72" s="92">
        <f>IF(T$69="Y",Jun!J52,0)</f>
        <v>0</v>
      </c>
      <c r="K72" s="92">
        <f>IF(T$69="Y",Jun!K52,I72*J72)</f>
        <v>0</v>
      </c>
      <c r="L72" s="111">
        <f>IF(T$69="Y",Jun!L52,0)</f>
        <v>0</v>
      </c>
      <c r="M72" s="100" t="str">
        <f>IF(E72=" "," ",IF(T$69="Y",Jun!M52,IF((H72+K72+L72)&gt;0,H72+K72+L72,"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IF(Employee!H$61=E$69,Employee!D$60+SUM(M72)+Jun!V52,SUM(M72)+Jun!V52)</f>
        <v>0</v>
      </c>
      <c r="W72" s="49">
        <f>IF(Employee!H$61=E$69,Employee!D$61+SUM(N72)+Jun!W52,SUM(N72)+Jun!W52)</f>
        <v>0</v>
      </c>
      <c r="X72" s="49">
        <f>IF(O72=" ",Jun!X52,O72+Jun!X52)</f>
        <v>0</v>
      </c>
      <c r="Y72" s="49">
        <f>IF(P72=" ",Jun!Y52,P72+Jun!Y52)</f>
        <v>0</v>
      </c>
      <c r="Z72" s="49">
        <f>IF(Q72=" ",Jun!Z52,Q72+Jun!Z52)</f>
        <v>0</v>
      </c>
      <c r="AA72" s="49">
        <f>IF(R72=" ",Jun!AA52,R72+Jun!AA52)</f>
        <v>0</v>
      </c>
      <c r="AC72" s="49">
        <f>IF(T72=" ",Jun!AC52,T72+Jun!AC52)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IF(T$69="Y",Jun!H53,0)</f>
        <v>0</v>
      </c>
      <c r="I73" s="92">
        <f>IF(T$69="Y",Jun!I53,0)</f>
        <v>0</v>
      </c>
      <c r="J73" s="92">
        <f>IF(T$69="Y",Jun!J53,0)</f>
        <v>0</v>
      </c>
      <c r="K73" s="92">
        <f>IF(T$69="Y",Jun!K53,I73*J73)</f>
        <v>0</v>
      </c>
      <c r="L73" s="111">
        <f>IF(T$69="Y",Jun!L53,0)</f>
        <v>0</v>
      </c>
      <c r="M73" s="100" t="str">
        <f>IF(E73=" "," ",IF(T$69="Y",Jun!M53,IF((H73+K73+L73)&gt;0,H73+K73+L73,"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IF(Employee!H$87=E$69,Employee!D$86+SUM(M73)+Jun!V53,SUM(M73)+Jun!V53)</f>
        <v>0</v>
      </c>
      <c r="W73" s="49">
        <f>IF(Employee!H$87=E$69,Employee!D$87+SUM(N73)+Jun!W53,SUM(N73)+Jun!W53)</f>
        <v>0</v>
      </c>
      <c r="X73" s="49">
        <f>IF(O73=" ",Jun!X53,O73+Jun!X53)</f>
        <v>0</v>
      </c>
      <c r="Y73" s="49">
        <f>IF(P73=" ",Jun!Y53,P73+Jun!Y53)</f>
        <v>0</v>
      </c>
      <c r="Z73" s="49">
        <f>IF(Q73=" ",Jun!Z53,Q73+Jun!Z53)</f>
        <v>0</v>
      </c>
      <c r="AA73" s="49">
        <f>IF(R73=" ",Jun!AA53,R73+Jun!AA53)</f>
        <v>0</v>
      </c>
      <c r="AC73" s="49">
        <f>IF(T73=" ",Jun!AC53,T73+Jun!AC53)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IF(T$69="Y",Jun!H54,0)</f>
        <v>0</v>
      </c>
      <c r="I74" s="92">
        <f>IF(T$69="Y",Jun!I54,0)</f>
        <v>0</v>
      </c>
      <c r="J74" s="92">
        <f>IF(T$69="Y",Jun!J54,0)</f>
        <v>0</v>
      </c>
      <c r="K74" s="92">
        <f>IF(T$69="Y",Jun!K54,I74*J74)</f>
        <v>0</v>
      </c>
      <c r="L74" s="111">
        <f>IF(T$69="Y",Jun!L54,0)</f>
        <v>0</v>
      </c>
      <c r="M74" s="100" t="str">
        <f>IF(E74=" "," ",IF(T$69="Y",Jun!M54,IF((H74+K74+L74)&gt;0,H74+K74+L74,"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IF(Employee!H$113=E$69,Employee!D$112+SUM(M74)+Jun!V54,SUM(M74)+Jun!V54)</f>
        <v>0</v>
      </c>
      <c r="W74" s="49">
        <f>IF(Employee!H$113=E$69,Employee!D$113+SUM(N74)+Jun!W54,SUM(N74)+Jun!W54)</f>
        <v>0</v>
      </c>
      <c r="X74" s="49">
        <f>IF(O74=" ",Jun!X54,O74+Jun!X54)</f>
        <v>0</v>
      </c>
      <c r="Y74" s="49">
        <f>IF(P74=" ",Jun!Y54,P74+Jun!Y54)</f>
        <v>0</v>
      </c>
      <c r="Z74" s="49">
        <f>IF(Q74=" ",Jun!Z54,Q74+Jun!Z54)</f>
        <v>0</v>
      </c>
      <c r="AA74" s="49">
        <f>IF(R74=" ",Jun!AA54,R74+Jun!AA54)</f>
        <v>0</v>
      </c>
      <c r="AC74" s="49">
        <f>IF(T74=" ",Jun!AC54,T74+Jun!AC54)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IF(T$69="Y",Jun!H55,0)</f>
        <v>0</v>
      </c>
      <c r="I75" s="245">
        <f>IF(T$69="Y",Jun!I55,0)</f>
        <v>0</v>
      </c>
      <c r="J75" s="245">
        <f>IF(T$69="Y",Jun!J55,0)</f>
        <v>0</v>
      </c>
      <c r="K75" s="245">
        <f>IF(T$69="Y",Jun!K55,I75*J75)</f>
        <v>0</v>
      </c>
      <c r="L75" s="246">
        <f>IF(T$69="Y",Jun!L55,0)</f>
        <v>0</v>
      </c>
      <c r="M75" s="100" t="str">
        <f>IF(E75=" "," ",IF(T$69="Y",Jun!M55,IF((H75+K75+L75)&gt;0,H75+K75+L75,"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IF(Employee!H$139=E$69,Employee!D$138+SUM(M75)+Jun!V55,SUM(M75)+Jun!V55)</f>
        <v>0</v>
      </c>
      <c r="W75" s="49">
        <f>IF(Employee!H$139=E$69,Employee!D$139+SUM(N75)+Jun!W55,SUM(N75)+Jun!W55)</f>
        <v>0</v>
      </c>
      <c r="X75" s="49">
        <f>IF(O75=" ",Jun!X55,O75+Jun!X55)</f>
        <v>0</v>
      </c>
      <c r="Y75" s="49">
        <f>IF(P75=" ",Jun!Y55,P75+Jun!Y55)</f>
        <v>0</v>
      </c>
      <c r="Z75" s="49">
        <f>IF(Q75=" ",Jun!Z55,Q75+Jun!Z55)</f>
        <v>0</v>
      </c>
      <c r="AA75" s="49">
        <f>IF(R75=" ",Jun!AA55,R75+Jun!AA55)</f>
        <v>0</v>
      </c>
      <c r="AC75" s="49">
        <f>IF(T75=" ",Jun!AC55,T75+Jun!AC55)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AD80+Jun!AD65</f>
        <v>0</v>
      </c>
      <c r="AE85" s="158">
        <f>AE80+Jun!AE65</f>
        <v>0</v>
      </c>
      <c r="AF85" s="158">
        <f>AF80+Jun!AF65</f>
        <v>0</v>
      </c>
      <c r="AG85" s="158">
        <f>AG80+Jun!AG65</f>
        <v>0</v>
      </c>
    </row>
    <row r="86" spans="6:33" ht="14" thickTop="1" x14ac:dyDescent="0.15"/>
    <row r="87" spans="6:33" x14ac:dyDescent="0.15">
      <c r="AD87" s="162"/>
      <c r="AE87" s="158">
        <f>AE82+Jun!AE67</f>
        <v>0</v>
      </c>
      <c r="AF87" s="158">
        <f>AF82+Jun!AF67</f>
        <v>0</v>
      </c>
      <c r="AG87" s="158">
        <f>AG82+Jun!AG67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Aug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Jul!AD80+Jul!AE80+Jul!AF80+Jul!AG80</f>
        <v>0</v>
      </c>
      <c r="G7" s="228">
        <f>Jul!AE82+Jul!AF82+Jul!AG82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TEXT(DATE(YEAR(B$2),MONTH(B$2)+(D2-1)+4,1),"Mmm")</f>
        <v>Aug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TEXT(DATE(YEAR(B$2),MONTH(B$2)+(D3-1)+4,1),"Mmm")</f>
        <v>Aug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Aug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Aug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Aug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Aug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Aug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Aug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Aug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Aug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Aug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Aug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Aug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Aug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Aug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Aug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Aug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Aug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Aug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Aug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Aug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Aug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Aug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Aug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Aug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Aug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Sep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Sep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Sep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Sep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Sep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Sep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Sep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Sep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Sep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Sep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Sep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Sep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Sep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Sep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Sep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Sep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Sep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Sep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Sep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Sep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Sep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Sep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Sep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Sep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Sep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Sep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Sep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Sep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Oct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Oct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Oct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Oct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Oct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Oct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Oct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Oct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Oct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Oct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Oct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TEXT(DATE(YEAR(B$2),MONTH(B$2)+(D67-1)+4,1),"Mmm")</f>
        <v>Oct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Oct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Oct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Oct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Oct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Oct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Oct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Oct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Oct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Oct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Oct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Oct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Oct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Oct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Oct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Oct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Oct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Oct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Oct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Oct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Oct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Oct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Oct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Oct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Nov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Nov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Nov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Nov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Nov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Nov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Nov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Nov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Nov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Nov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Nov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Nov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Nov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Nov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Nov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Nov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Nov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Nov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Nov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Nov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Nov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Nov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Nov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Nov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Nov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Nov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Nov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Nov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Dec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Dec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Dec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Dec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Dec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Dec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Dec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Dec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Dec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Dec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Dec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Dec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TEXT(DATE(YEAR(B$2),MONTH(B$2)+(D131-1)+4,1),"Mmm")</f>
        <v>Dec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Dec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Dec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Dec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Dec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Dec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Dec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Dec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Dec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Dec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Dec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Dec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Dec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Dec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Dec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Dec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Jan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Jan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Jan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Jan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Jan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Jan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Jan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Jan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Jan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Jan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Jan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Jan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Jan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Jan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Jan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Jan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Jan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Jan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Jan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Jan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Jan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Jan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Jan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Jan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Jan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Jan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Jan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Jan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Jan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Jan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Jan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Jan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Jan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Jan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Jan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Feb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Feb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Feb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Feb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Feb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Feb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Feb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Feb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Feb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Feb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Feb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Feb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Feb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TEXT(DATE(YEAR(B$2),MONTH(B$2)+(D195-1)+4,1),"Mmm")</f>
        <v>Feb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Feb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Feb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Feb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Feb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Feb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Feb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Feb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Feb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Feb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Feb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Feb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Feb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Feb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Feb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Mar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Mar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Mar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Mar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Mar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Mar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Mar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Mar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Mar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Mar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Mar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Mar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Mar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Mar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Mar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Mar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Mar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Mar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Mar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Mar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Mar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Mar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Mar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Mar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Mar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Mar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Mar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Mar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Apr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Apr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Apr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Apr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Apr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Apr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Apr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Apr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Apr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Apr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Apr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Apr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Apr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Apr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Apr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Apr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Apr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Apr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Apr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Apr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Apr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TEXT(DATE(YEAR(B$2),MONTH(B$2)+(D259-1)+4,1),"Mmm")</f>
        <v>Apr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Apr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Apr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Apr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Apr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Apr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Apr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Apr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Apr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Apr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Apr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Apr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Apr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Apr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May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May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May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May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May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May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May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May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May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May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May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May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May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May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May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May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May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May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May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May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May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May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May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May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May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May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May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May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Jun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Jun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Jun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Jun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Jun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Jun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Jun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Jun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Jun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Jun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Jun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Jun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Jun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Jun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Jun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Jun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Jun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Jun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Jun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Jun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Jun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Jun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TEXT(DATE(YEAR(B$2),MONTH(B$2)+(D323-1)+4,1),"Mmm")</f>
        <v>Jun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Jun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Jun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Jun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Jun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Jun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Jul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Jul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Jul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Jul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Jul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Jul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Jul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Jul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Jul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Jul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Jul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Jul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Jul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Jul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Jul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Jul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Jul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Jul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Jul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Jul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Jul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Jul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Jul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Jul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Jul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Jul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Jul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Jul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Jul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Jul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Jul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Jul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Jul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Jul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Jul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Jul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Jul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Jul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Jul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Jul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Jul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Jul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Jul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Jul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Jul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Jul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Jul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Jul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Jul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Jul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Jul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Jul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Jul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