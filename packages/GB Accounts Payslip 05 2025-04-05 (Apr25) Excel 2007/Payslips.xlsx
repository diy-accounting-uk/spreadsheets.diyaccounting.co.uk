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<sst xmlns="http://schemas.openxmlformats.org/spreadsheetml/2006/main" count="1383" uniqueCount="138">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</sst>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45813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45839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45865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45891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45753</v>
      </c>
      <c r="L49" s="203" t="s">
        <v>76</v>
      </c>
      <c r="M49" s="205">
        <f>Admin!B26</f>
        <v>45777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45778</v>
      </c>
      <c r="L49" s="203" t="s">
        <v>76</v>
      </c>
      <c r="M49" s="205">
        <f>Admin!B57</f>
        <v>45808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45809</v>
      </c>
      <c r="L59" s="203" t="s">
        <v>76</v>
      </c>
      <c r="M59" s="205">
        <f>Admin!B87</f>
        <v>45838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45842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45839</v>
      </c>
      <c r="L49" s="203" t="s">
        <v>76</v>
      </c>
      <c r="M49" s="205">
        <f>Admin!B118</f>
        <v>45869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45870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45870</v>
      </c>
      <c r="L49" s="203" t="s">
        <v>76</v>
      </c>
      <c r="M49" s="205">
        <f>Admin!B149</f>
        <v>45900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45926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45901</v>
      </c>
      <c r="L59" s="203" t="s">
        <v>76</v>
      </c>
      <c r="M59" s="205">
        <f>Admin!B179</f>
        <v>45930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45933</v>
      </c>
      <c r="L9" s="203" t="s">
        <v>76</v>
      </c>
      <c r="M9" s="205">
        <f>Admin!B188</f>
        <v>45939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45931</v>
      </c>
      <c r="L49" s="203" t="s">
        <v>76</v>
      </c>
      <c r="M49" s="205">
        <f>Admin!B210</f>
        <v>45961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45961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45962</v>
      </c>
      <c r="L49" s="203" t="s">
        <v>76</v>
      </c>
      <c r="M49" s="205">
        <f>Admin!B240</f>
        <v>45991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45992</v>
      </c>
      <c r="L59" s="203" t="s">
        <v>76</v>
      </c>
      <c r="M59" s="205">
        <f>Admin!B271</f>
        <v>46022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46023</v>
      </c>
      <c r="L49" s="203" t="s">
        <v>76</v>
      </c>
      <c r="M49" s="205">
        <f>Admin!B302</f>
        <v>46053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46054</v>
      </c>
      <c r="L49" s="203" t="s">
        <v>76</v>
      </c>
      <c r="M49" s="205">
        <f>Admin!B330</f>
        <v>46081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46082</v>
      </c>
      <c r="L69" s="203" t="s">
        <v>76</v>
      </c>
      <c r="M69" s="205">
        <f>Admin!B361</f>
        <v>46112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INDIRECT($H$3 &amp; "!B" &amp; $H$4)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INDIRECT($H$3 &amp; "!E" &amp; $H$4+1)</f>
        <v>1</v>
      </c>
      <c r="J10" s="467" t="str">
        <f ca="1">IF(M8=" "," ",INDIRECT($H$3 &amp; "!D" &amp; $H$4+2+C10))</f>
        <v xml:space="preserve"> </v>
      </c>
      <c r="K10" s="46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75" t="str">
        <f ca="1">IF(M8=" "," ",INDIRECT($H$3 &amp; "!P" &amp; $H$4+2+C10))</f>
        <v xml:space="preserve"> </v>
      </c>
      <c r="K14" s="475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75" t="str">
        <f ca="1">IF(M8=" "," ",INDIRECT($H$3 &amp; "!Y" &amp; $H$4+2+C10))</f>
        <v xml:space="preserve"> </v>
      </c>
      <c r="K16" s="475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",INDIRECT($H$3 &amp; "!D" &amp; $H$4+2+C24))</f>
        <v xml:space="preserve"> </v>
      </c>
      <c r="K24" s="46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75" t="str">
        <f ca="1">IF(M22=" "," ",INDIRECT($H$3 &amp; "!P" &amp; $H$4+2+C24))</f>
        <v xml:space="preserve"> </v>
      </c>
      <c r="K28" s="475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75" t="str">
        <f ca="1">IF(M22=" "," ",INDIRECT($H$3 &amp; "!Y" &amp; $H$4+2+C24))</f>
        <v xml:space="preserve"> </v>
      </c>
      <c r="K30" s="475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",INDIRECT($H$3 &amp; "!D" &amp; $H$4+2+C39))</f>
        <v xml:space="preserve"> </v>
      </c>
      <c r="K39" s="46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75" t="str">
        <f ca="1">IF(M37=" "," ",INDIRECT($H$3 &amp; "!P" &amp; $H$4+2+C39))</f>
        <v xml:space="preserve"> </v>
      </c>
      <c r="K43" s="475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75" t="str">
        <f ca="1">IF(M37=" "," ",INDIRECT($H$3 &amp; "!Y" &amp; $H$4+2+C39))</f>
        <v xml:space="preserve"> </v>
      </c>
      <c r="K45" s="475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",INDIRECT($H$3 &amp; "!D" &amp; $H$4+2+C53))</f>
        <v xml:space="preserve"> </v>
      </c>
      <c r="K53" s="46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75" t="str">
        <f ca="1">IF(M51=" "," ",INDIRECT($H$3 &amp; "!P" &amp; $H$4+2+C53))</f>
        <v xml:space="preserve"> </v>
      </c>
      <c r="K57" s="475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75" t="str">
        <f ca="1">IF(M51=" "," ",INDIRECT($H$3 &amp; "!Y" &amp; $H$4+2+C53))</f>
        <v xml:space="preserve"> </v>
      </c>
      <c r="K59" s="475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",INDIRECT($H$3 &amp; "!D" &amp; $H$4+2+C68))</f>
        <v xml:space="preserve"> </v>
      </c>
      <c r="K68" s="46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75" t="str">
        <f ca="1">IF(M66=" "," ",INDIRECT($H$3 &amp; "!P" &amp; $H$4+2+C68))</f>
        <v xml:space="preserve"> </v>
      </c>
      <c r="K72" s="475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75" t="str">
        <f ca="1">IF(M66=" "," ",INDIRECT($H$3 &amp; "!Y" &amp; $H$4+2+C68))</f>
        <v xml:space="preserve"> </v>
      </c>
      <c r="K74" s="475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