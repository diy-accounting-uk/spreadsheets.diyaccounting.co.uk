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<sst xmlns="http://schemas.openxmlformats.org/spreadsheetml/2006/main" count="1045" uniqueCount="316">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</sst>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2"/>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SUM(D4:D42)</f>
        <v>0</v>
      </c>
      <c r="E1" s="303">
        <f>SUM(E4:E42)/2</f>
        <v>0</v>
      </c>
      <c r="F1" s="303">
        <f>SUM(F4:F42)/2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45388</v>
      </c>
      <c r="B5" s="297">
        <v>45388</v>
      </c>
      <c r="C5" s="296"/>
      <c r="D5" s="295"/>
      <c r="E5" s="294"/>
      <c r="F5" s="293"/>
    </row>
    <row r="6" spans="1:6" x14ac:dyDescent="0.15">
      <c r="A6" s="292">
        <v>45389</v>
      </c>
      <c r="B6" s="285">
        <v>45389</v>
      </c>
      <c r="F6" s="291"/>
    </row>
    <row r="7" spans="1:6" x14ac:dyDescent="0.15">
      <c r="A7" s="292">
        <v>45389</v>
      </c>
      <c r="B7" s="285" t="s">
        <v>234</v>
      </c>
      <c r="F7" s="291"/>
    </row>
    <row r="8" spans="1:6" x14ac:dyDescent="0.15">
      <c r="A8" s="292">
        <v>45389</v>
      </c>
      <c r="B8" s="285" t="s">
        <v>233</v>
      </c>
      <c r="F8" s="291"/>
    </row>
    <row r="9" spans="1:6" ht="14" thickBot="1" x14ac:dyDescent="0.2">
      <c r="A9" s="290"/>
      <c r="B9" s="289"/>
      <c r="C9" s="287"/>
      <c r="D9" s="288"/>
      <c r="E9" s="300">
        <f>SUM(E5:E8)</f>
        <v>0</v>
      </c>
      <c r="F9" s="299">
        <f>SUM(F5:F8)</f>
        <v>0</v>
      </c>
    </row>
    <row r="10" spans="1:6" ht="14" thickBot="1" x14ac:dyDescent="0.2"/>
    <row r="11" spans="1:6" x14ac:dyDescent="0.15">
      <c r="A11" s="298">
        <v>45390</v>
      </c>
      <c r="B11" s="297">
        <v>45390</v>
      </c>
      <c r="C11" s="296"/>
      <c r="D11" s="295"/>
      <c r="E11" s="294"/>
      <c r="F11" s="293"/>
    </row>
    <row r="12" spans="1:6" x14ac:dyDescent="0.15">
      <c r="A12" s="292">
        <v>45391</v>
      </c>
      <c r="B12" s="285">
        <v>45391</v>
      </c>
      <c r="F12" s="291"/>
    </row>
    <row r="13" spans="1:6" x14ac:dyDescent="0.15">
      <c r="A13" s="292">
        <v>45392</v>
      </c>
      <c r="B13" s="285">
        <v>45392</v>
      </c>
      <c r="F13" s="291"/>
    </row>
    <row r="14" spans="1:6" x14ac:dyDescent="0.15">
      <c r="A14" s="292">
        <v>45393</v>
      </c>
      <c r="B14" s="285">
        <v>45393</v>
      </c>
      <c r="F14" s="291"/>
    </row>
    <row r="15" spans="1:6" x14ac:dyDescent="0.15">
      <c r="A15" s="292">
        <v>45394</v>
      </c>
      <c r="B15" s="285">
        <v>45394</v>
      </c>
      <c r="F15" s="291"/>
    </row>
    <row r="16" spans="1:6" x14ac:dyDescent="0.15">
      <c r="A16" s="292">
        <v>45395</v>
      </c>
      <c r="B16" s="285">
        <v>45395</v>
      </c>
      <c r="F16" s="291"/>
    </row>
    <row r="17" spans="1:6" x14ac:dyDescent="0.15">
      <c r="A17" s="292">
        <v>45396</v>
      </c>
      <c r="B17" s="285">
        <v>45396</v>
      </c>
      <c r="F17" s="291"/>
    </row>
    <row r="18" spans="1:6" x14ac:dyDescent="0.15">
      <c r="A18" s="292">
        <v>45396</v>
      </c>
      <c r="B18" s="285" t="s">
        <v>234</v>
      </c>
      <c r="F18" s="291"/>
    </row>
    <row r="19" spans="1:6" x14ac:dyDescent="0.15">
      <c r="A19" s="292">
        <v>45396</v>
      </c>
      <c r="B19" s="285" t="s">
        <v>233</v>
      </c>
      <c r="F19" s="291"/>
    </row>
    <row r="20" spans="1:6" ht="14" thickBot="1" x14ac:dyDescent="0.2">
      <c r="A20" s="290"/>
      <c r="B20" s="289"/>
      <c r="C20" s="287"/>
      <c r="D20" s="288"/>
      <c r="E20" s="300">
        <f>SUM(E11:E19)</f>
        <v>0</v>
      </c>
      <c r="F20" s="299">
        <f>SUM(F11:F19)</f>
        <v>0</v>
      </c>
    </row>
    <row r="21" spans="1:6" ht="14" thickBot="1" x14ac:dyDescent="0.2"/>
    <row r="22" spans="1:6" x14ac:dyDescent="0.15">
      <c r="A22" s="298">
        <v>45397</v>
      </c>
      <c r="B22" s="297">
        <v>45397</v>
      </c>
      <c r="C22" s="296"/>
      <c r="D22" s="295"/>
      <c r="E22" s="294"/>
      <c r="F22" s="293"/>
    </row>
    <row r="23" spans="1:6" x14ac:dyDescent="0.15">
      <c r="A23" s="292">
        <v>45398</v>
      </c>
      <c r="B23" s="285">
        <v>45398</v>
      </c>
      <c r="F23" s="291"/>
    </row>
    <row r="24" spans="1:6" x14ac:dyDescent="0.15">
      <c r="A24" s="292">
        <v>45399</v>
      </c>
      <c r="B24" s="285">
        <v>45399</v>
      </c>
      <c r="F24" s="291"/>
    </row>
    <row r="25" spans="1:6" x14ac:dyDescent="0.15">
      <c r="A25" s="292">
        <v>45400</v>
      </c>
      <c r="B25" s="285">
        <v>45400</v>
      </c>
      <c r="F25" s="291"/>
    </row>
    <row r="26" spans="1:6" x14ac:dyDescent="0.15">
      <c r="A26" s="292">
        <v>45401</v>
      </c>
      <c r="B26" s="285">
        <v>45401</v>
      </c>
      <c r="F26" s="291"/>
    </row>
    <row r="27" spans="1:6" x14ac:dyDescent="0.15">
      <c r="A27" s="292">
        <v>45402</v>
      </c>
      <c r="B27" s="285">
        <v>45402</v>
      </c>
      <c r="F27" s="291"/>
    </row>
    <row r="28" spans="1:6" x14ac:dyDescent="0.15">
      <c r="A28" s="292">
        <v>45403</v>
      </c>
      <c r="B28" s="285">
        <v>45403</v>
      </c>
      <c r="F28" s="291"/>
    </row>
    <row r="29" spans="1:6" x14ac:dyDescent="0.15">
      <c r="A29" s="292">
        <v>45403</v>
      </c>
      <c r="B29" s="285" t="s">
        <v>234</v>
      </c>
      <c r="F29" s="291"/>
    </row>
    <row r="30" spans="1:6" x14ac:dyDescent="0.15">
      <c r="A30" s="292">
        <v>45403</v>
      </c>
      <c r="B30" s="285" t="s">
        <v>233</v>
      </c>
      <c r="F30" s="291"/>
    </row>
    <row r="31" spans="1:6" ht="14" thickBot="1" x14ac:dyDescent="0.2">
      <c r="A31" s="290"/>
      <c r="B31" s="289"/>
      <c r="C31" s="287"/>
      <c r="D31" s="288"/>
      <c r="E31" s="300">
        <f>SUM(E22:E30)</f>
        <v>0</v>
      </c>
      <c r="F31" s="299">
        <f>SUM(F22:F30)</f>
        <v>0</v>
      </c>
    </row>
    <row r="32" spans="1:6" ht="14" thickBot="1" x14ac:dyDescent="0.2"/>
    <row r="33" spans="1:6" x14ac:dyDescent="0.15">
      <c r="A33" s="298">
        <v>45404</v>
      </c>
      <c r="B33" s="297">
        <v>45404</v>
      </c>
      <c r="C33" s="296"/>
      <c r="D33" s="295"/>
      <c r="E33" s="294"/>
      <c r="F33" s="293"/>
    </row>
    <row r="34" spans="1:6" x14ac:dyDescent="0.15">
      <c r="A34" s="292">
        <v>45405</v>
      </c>
      <c r="B34" s="285">
        <v>45405</v>
      </c>
      <c r="F34" s="291"/>
    </row>
    <row r="35" spans="1:6" x14ac:dyDescent="0.15">
      <c r="A35" s="292">
        <v>45406</v>
      </c>
      <c r="B35" s="285">
        <v>45406</v>
      </c>
      <c r="F35" s="291"/>
    </row>
    <row r="36" spans="1:6" x14ac:dyDescent="0.15">
      <c r="A36" s="292">
        <v>45407</v>
      </c>
      <c r="B36" s="285">
        <v>45407</v>
      </c>
      <c r="F36" s="291"/>
    </row>
    <row r="37" spans="1:6" x14ac:dyDescent="0.15">
      <c r="A37" s="292">
        <v>45408</v>
      </c>
      <c r="B37" s="285">
        <v>45408</v>
      </c>
      <c r="F37" s="291"/>
    </row>
    <row r="38" spans="1:6" x14ac:dyDescent="0.15">
      <c r="A38" s="292">
        <v>45409</v>
      </c>
      <c r="B38" s="285">
        <v>45409</v>
      </c>
      <c r="F38" s="291"/>
    </row>
    <row r="39" spans="1:6" x14ac:dyDescent="0.15">
      <c r="A39" s="292">
        <v>45410</v>
      </c>
      <c r="B39" s="285">
        <v>45410</v>
      </c>
      <c r="F39" s="291"/>
    </row>
    <row r="40" spans="1:6" x14ac:dyDescent="0.15">
      <c r="A40" s="292">
        <v>45410</v>
      </c>
      <c r="B40" s="285" t="s">
        <v>234</v>
      </c>
      <c r="F40" s="291"/>
    </row>
    <row r="41" spans="1:6" x14ac:dyDescent="0.15">
      <c r="A41" s="292">
        <v>45410</v>
      </c>
      <c r="B41" s="285" t="s">
        <v>233</v>
      </c>
      <c r="F41" s="291"/>
    </row>
    <row r="42" spans="1:6" ht="14" thickBot="1" x14ac:dyDescent="0.2">
      <c r="A42" s="290"/>
      <c r="B42" s="289"/>
      <c r="C42" s="287"/>
      <c r="D42" s="288"/>
      <c r="E42" s="300">
        <f>SUM(E33:E41)</f>
        <v>0</v>
      </c>
      <c r="F42" s="299">
        <f>SUM(F33:F41)</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45411</v>
      </c>
      <c r="B5" s="297">
        <v>45411</v>
      </c>
      <c r="C5" s="296"/>
      <c r="D5" s="295"/>
      <c r="E5" s="294"/>
      <c r="F5" s="293"/>
    </row>
    <row r="6" spans="1:6" x14ac:dyDescent="0.15">
      <c r="A6" s="292">
        <v>45412</v>
      </c>
      <c r="B6" s="285">
        <v>45412</v>
      </c>
      <c r="F6" s="291"/>
    </row>
    <row r="7" spans="1:6" x14ac:dyDescent="0.15">
      <c r="A7" s="292">
        <v>45413</v>
      </c>
      <c r="B7" s="285">
        <v>45413</v>
      </c>
      <c r="F7" s="291"/>
    </row>
    <row r="8" spans="1:6" x14ac:dyDescent="0.15">
      <c r="A8" s="292">
        <v>45414</v>
      </c>
      <c r="B8" s="285">
        <v>45414</v>
      </c>
      <c r="F8" s="291"/>
    </row>
    <row r="9" spans="1:6" x14ac:dyDescent="0.15">
      <c r="A9" s="292">
        <v>45415</v>
      </c>
      <c r="B9" s="285">
        <v>45415</v>
      </c>
      <c r="F9" s="291"/>
    </row>
    <row r="10" spans="1:6" x14ac:dyDescent="0.15">
      <c r="A10" s="292">
        <v>45416</v>
      </c>
      <c r="B10" s="285">
        <v>45416</v>
      </c>
      <c r="F10" s="291"/>
    </row>
    <row r="11" spans="1:6" x14ac:dyDescent="0.15">
      <c r="A11" s="292">
        <v>45417</v>
      </c>
      <c r="B11" s="285">
        <v>45417</v>
      </c>
      <c r="F11" s="291"/>
    </row>
    <row r="12" spans="1:6" x14ac:dyDescent="0.15">
      <c r="A12" s="292">
        <v>45417</v>
      </c>
      <c r="B12" s="285" t="s">
        <v>234</v>
      </c>
      <c r="F12" s="291"/>
    </row>
    <row r="13" spans="1:6" x14ac:dyDescent="0.15">
      <c r="A13" s="292">
        <v>45417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45418</v>
      </c>
      <c r="B16" s="297">
        <v>45418</v>
      </c>
      <c r="C16" s="296"/>
      <c r="D16" s="295"/>
      <c r="E16" s="294"/>
      <c r="F16" s="293"/>
    </row>
    <row r="17" spans="1:6" x14ac:dyDescent="0.15">
      <c r="A17" s="292">
        <v>45419</v>
      </c>
      <c r="B17" s="285">
        <v>45419</v>
      </c>
      <c r="F17" s="291"/>
    </row>
    <row r="18" spans="1:6" x14ac:dyDescent="0.15">
      <c r="A18" s="292">
        <v>45420</v>
      </c>
      <c r="B18" s="285">
        <v>45420</v>
      </c>
      <c r="F18" s="291"/>
    </row>
    <row r="19" spans="1:6" x14ac:dyDescent="0.15">
      <c r="A19" s="292">
        <v>45421</v>
      </c>
      <c r="B19" s="285">
        <v>45421</v>
      </c>
      <c r="F19" s="291"/>
    </row>
    <row r="20" spans="1:6" x14ac:dyDescent="0.15">
      <c r="A20" s="292">
        <v>45422</v>
      </c>
      <c r="B20" s="285">
        <v>45422</v>
      </c>
      <c r="F20" s="291"/>
    </row>
    <row r="21" spans="1:6" x14ac:dyDescent="0.15">
      <c r="A21" s="292">
        <v>45423</v>
      </c>
      <c r="B21" s="285">
        <v>45423</v>
      </c>
      <c r="F21" s="291"/>
    </row>
    <row r="22" spans="1:6" x14ac:dyDescent="0.15">
      <c r="A22" s="292">
        <v>45424</v>
      </c>
      <c r="B22" s="285">
        <v>45424</v>
      </c>
      <c r="F22" s="291"/>
    </row>
    <row r="23" spans="1:6" x14ac:dyDescent="0.15">
      <c r="A23" s="292">
        <v>45424</v>
      </c>
      <c r="B23" s="285" t="s">
        <v>234</v>
      </c>
      <c r="F23" s="291"/>
    </row>
    <row r="24" spans="1:6" x14ac:dyDescent="0.15">
      <c r="A24" s="292">
        <v>45424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45425</v>
      </c>
      <c r="B27" s="297">
        <v>45425</v>
      </c>
      <c r="C27" s="296"/>
      <c r="D27" s="295"/>
      <c r="E27" s="294"/>
      <c r="F27" s="293"/>
    </row>
    <row r="28" spans="1:6" x14ac:dyDescent="0.15">
      <c r="A28" s="292">
        <v>45426</v>
      </c>
      <c r="B28" s="285">
        <v>45426</v>
      </c>
      <c r="F28" s="291"/>
    </row>
    <row r="29" spans="1:6" x14ac:dyDescent="0.15">
      <c r="A29" s="292">
        <v>45427</v>
      </c>
      <c r="B29" s="285">
        <v>45427</v>
      </c>
      <c r="F29" s="291"/>
    </row>
    <row r="30" spans="1:6" x14ac:dyDescent="0.15">
      <c r="A30" s="292">
        <v>45428</v>
      </c>
      <c r="B30" s="285">
        <v>45428</v>
      </c>
      <c r="F30" s="291"/>
    </row>
    <row r="31" spans="1:6" x14ac:dyDescent="0.15">
      <c r="A31" s="292">
        <v>45429</v>
      </c>
      <c r="B31" s="285">
        <v>45429</v>
      </c>
      <c r="F31" s="291"/>
    </row>
    <row r="32" spans="1:6" x14ac:dyDescent="0.15">
      <c r="A32" s="292">
        <v>45430</v>
      </c>
      <c r="B32" s="285">
        <v>45430</v>
      </c>
      <c r="F32" s="291"/>
    </row>
    <row r="33" spans="1:6" x14ac:dyDescent="0.15">
      <c r="A33" s="292">
        <v>45431</v>
      </c>
      <c r="B33" s="285">
        <v>45431</v>
      </c>
      <c r="F33" s="291"/>
    </row>
    <row r="34" spans="1:6" x14ac:dyDescent="0.15">
      <c r="A34" s="292">
        <v>45431</v>
      </c>
      <c r="B34" s="285" t="s">
        <v>234</v>
      </c>
      <c r="F34" s="291"/>
    </row>
    <row r="35" spans="1:6" x14ac:dyDescent="0.15">
      <c r="A35" s="292">
        <v>45431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45432</v>
      </c>
      <c r="B38" s="297">
        <v>45432</v>
      </c>
      <c r="C38" s="296"/>
      <c r="D38" s="295"/>
      <c r="E38" s="294"/>
      <c r="F38" s="293"/>
    </row>
    <row r="39" spans="1:6" x14ac:dyDescent="0.15">
      <c r="A39" s="292">
        <v>45433</v>
      </c>
      <c r="B39" s="285">
        <v>45433</v>
      </c>
      <c r="F39" s="291"/>
    </row>
    <row r="40" spans="1:6" x14ac:dyDescent="0.15">
      <c r="A40" s="292">
        <v>45434</v>
      </c>
      <c r="B40" s="285">
        <v>45434</v>
      </c>
      <c r="F40" s="291"/>
    </row>
    <row r="41" spans="1:6" x14ac:dyDescent="0.15">
      <c r="A41" s="292">
        <v>45435</v>
      </c>
      <c r="B41" s="285">
        <v>45435</v>
      </c>
      <c r="F41" s="291"/>
    </row>
    <row r="42" spans="1:6" x14ac:dyDescent="0.15">
      <c r="A42" s="292">
        <v>45436</v>
      </c>
      <c r="B42" s="285">
        <v>45436</v>
      </c>
      <c r="F42" s="291"/>
    </row>
    <row r="43" spans="1:6" x14ac:dyDescent="0.15">
      <c r="A43" s="292">
        <v>45437</v>
      </c>
      <c r="B43" s="285">
        <v>45437</v>
      </c>
      <c r="F43" s="291"/>
    </row>
    <row r="44" spans="1:6" x14ac:dyDescent="0.15">
      <c r="A44" s="292">
        <v>45438</v>
      </c>
      <c r="B44" s="285">
        <v>45438</v>
      </c>
      <c r="F44" s="291"/>
    </row>
    <row r="45" spans="1:6" x14ac:dyDescent="0.15">
      <c r="A45" s="292">
        <v>45438</v>
      </c>
      <c r="B45" s="285" t="s">
        <v>234</v>
      </c>
      <c r="F45" s="291"/>
    </row>
    <row r="46" spans="1:6" x14ac:dyDescent="0.15">
      <c r="A46" s="292">
        <v>45438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45439</v>
      </c>
      <c r="B5" s="297">
        <v>45439</v>
      </c>
      <c r="C5" s="296"/>
      <c r="D5" s="295"/>
      <c r="E5" s="294"/>
      <c r="F5" s="293"/>
    </row>
    <row r="6" spans="1:6" x14ac:dyDescent="0.15">
      <c r="A6" s="292">
        <v>45440</v>
      </c>
      <c r="B6" s="285">
        <v>45440</v>
      </c>
      <c r="F6" s="291"/>
    </row>
    <row r="7" spans="1:6" x14ac:dyDescent="0.15">
      <c r="A7" s="292">
        <v>45441</v>
      </c>
      <c r="B7" s="285">
        <v>45441</v>
      </c>
      <c r="F7" s="291"/>
    </row>
    <row r="8" spans="1:6" x14ac:dyDescent="0.15">
      <c r="A8" s="292">
        <v>45442</v>
      </c>
      <c r="B8" s="285">
        <v>45442</v>
      </c>
      <c r="F8" s="291"/>
    </row>
    <row r="9" spans="1:6" x14ac:dyDescent="0.15">
      <c r="A9" s="292">
        <v>45443</v>
      </c>
      <c r="B9" s="285">
        <v>45443</v>
      </c>
      <c r="F9" s="291"/>
    </row>
    <row r="10" spans="1:6" x14ac:dyDescent="0.15">
      <c r="A10" s="292">
        <v>45444</v>
      </c>
      <c r="B10" s="285">
        <v>45444</v>
      </c>
      <c r="F10" s="291"/>
    </row>
    <row r="11" spans="1:6" x14ac:dyDescent="0.15">
      <c r="A11" s="292">
        <v>45445</v>
      </c>
      <c r="B11" s="285">
        <v>45445</v>
      </c>
      <c r="F11" s="291"/>
    </row>
    <row r="12" spans="1:6" x14ac:dyDescent="0.15">
      <c r="A12" s="292">
        <v>45445</v>
      </c>
      <c r="B12" s="285" t="s">
        <v>234</v>
      </c>
      <c r="F12" s="291"/>
    </row>
    <row r="13" spans="1:6" x14ac:dyDescent="0.15">
      <c r="A13" s="292">
        <v>45445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45446</v>
      </c>
      <c r="B16" s="297">
        <v>45446</v>
      </c>
      <c r="C16" s="296"/>
      <c r="D16" s="295"/>
      <c r="E16" s="294"/>
      <c r="F16" s="293"/>
    </row>
    <row r="17" spans="1:6" x14ac:dyDescent="0.15">
      <c r="A17" s="292">
        <v>45447</v>
      </c>
      <c r="B17" s="285">
        <v>45447</v>
      </c>
      <c r="F17" s="291"/>
    </row>
    <row r="18" spans="1:6" x14ac:dyDescent="0.15">
      <c r="A18" s="292">
        <v>45448</v>
      </c>
      <c r="B18" s="285">
        <v>45448</v>
      </c>
      <c r="F18" s="291"/>
    </row>
    <row r="19" spans="1:6" x14ac:dyDescent="0.15">
      <c r="A19" s="292">
        <v>45449</v>
      </c>
      <c r="B19" s="285">
        <v>45449</v>
      </c>
      <c r="F19" s="291"/>
    </row>
    <row r="20" spans="1:6" x14ac:dyDescent="0.15">
      <c r="A20" s="292">
        <v>45450</v>
      </c>
      <c r="B20" s="285">
        <v>45450</v>
      </c>
      <c r="F20" s="291"/>
    </row>
    <row r="21" spans="1:6" x14ac:dyDescent="0.15">
      <c r="A21" s="292">
        <v>45451</v>
      </c>
      <c r="B21" s="285">
        <v>45451</v>
      </c>
      <c r="F21" s="291"/>
    </row>
    <row r="22" spans="1:6" x14ac:dyDescent="0.15">
      <c r="A22" s="292">
        <v>45452</v>
      </c>
      <c r="B22" s="285">
        <v>45452</v>
      </c>
      <c r="F22" s="291"/>
    </row>
    <row r="23" spans="1:6" x14ac:dyDescent="0.15">
      <c r="A23" s="292">
        <v>45452</v>
      </c>
      <c r="B23" s="285" t="s">
        <v>234</v>
      </c>
      <c r="F23" s="291"/>
    </row>
    <row r="24" spans="1:6" x14ac:dyDescent="0.15">
      <c r="A24" s="292">
        <v>45452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45453</v>
      </c>
      <c r="B27" s="297">
        <v>45453</v>
      </c>
      <c r="C27" s="296"/>
      <c r="D27" s="295"/>
      <c r="E27" s="294"/>
      <c r="F27" s="293"/>
    </row>
    <row r="28" spans="1:6" x14ac:dyDescent="0.15">
      <c r="A28" s="292">
        <v>45454</v>
      </c>
      <c r="B28" s="285">
        <v>45454</v>
      </c>
      <c r="F28" s="291"/>
    </row>
    <row r="29" spans="1:6" x14ac:dyDescent="0.15">
      <c r="A29" s="292">
        <v>45455</v>
      </c>
      <c r="B29" s="285">
        <v>45455</v>
      </c>
      <c r="F29" s="291"/>
    </row>
    <row r="30" spans="1:6" x14ac:dyDescent="0.15">
      <c r="A30" s="292">
        <v>45456</v>
      </c>
      <c r="B30" s="285">
        <v>45456</v>
      </c>
      <c r="F30" s="291"/>
    </row>
    <row r="31" spans="1:6" x14ac:dyDescent="0.15">
      <c r="A31" s="292">
        <v>45457</v>
      </c>
      <c r="B31" s="285">
        <v>45457</v>
      </c>
      <c r="F31" s="291"/>
    </row>
    <row r="32" spans="1:6" x14ac:dyDescent="0.15">
      <c r="A32" s="292">
        <v>45458</v>
      </c>
      <c r="B32" s="285">
        <v>45458</v>
      </c>
      <c r="F32" s="291"/>
    </row>
    <row r="33" spans="1:6" x14ac:dyDescent="0.15">
      <c r="A33" s="292">
        <v>45459</v>
      </c>
      <c r="B33" s="285">
        <v>45459</v>
      </c>
      <c r="F33" s="291"/>
    </row>
    <row r="34" spans="1:6" x14ac:dyDescent="0.15">
      <c r="A34" s="292">
        <v>45459</v>
      </c>
      <c r="B34" s="285" t="s">
        <v>234</v>
      </c>
      <c r="F34" s="291"/>
    </row>
    <row r="35" spans="1:6" x14ac:dyDescent="0.15">
      <c r="A35" s="292">
        <v>45459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45460</v>
      </c>
      <c r="B38" s="297">
        <v>45460</v>
      </c>
      <c r="C38" s="296"/>
      <c r="D38" s="295"/>
      <c r="E38" s="294"/>
      <c r="F38" s="293"/>
    </row>
    <row r="39" spans="1:6" x14ac:dyDescent="0.15">
      <c r="A39" s="292">
        <v>45461</v>
      </c>
      <c r="B39" s="285">
        <v>45461</v>
      </c>
      <c r="F39" s="291"/>
    </row>
    <row r="40" spans="1:6" x14ac:dyDescent="0.15">
      <c r="A40" s="292">
        <v>45462</v>
      </c>
      <c r="B40" s="285">
        <v>45462</v>
      </c>
      <c r="F40" s="291"/>
    </row>
    <row r="41" spans="1:6" x14ac:dyDescent="0.15">
      <c r="A41" s="292">
        <v>45463</v>
      </c>
      <c r="B41" s="285">
        <v>45463</v>
      </c>
      <c r="F41" s="291"/>
    </row>
    <row r="42" spans="1:6" x14ac:dyDescent="0.15">
      <c r="A42" s="292">
        <v>45464</v>
      </c>
      <c r="B42" s="285">
        <v>45464</v>
      </c>
      <c r="F42" s="291"/>
    </row>
    <row r="43" spans="1:6" x14ac:dyDescent="0.15">
      <c r="A43" s="292">
        <v>45465</v>
      </c>
      <c r="B43" s="285">
        <v>45465</v>
      </c>
      <c r="F43" s="291"/>
    </row>
    <row r="44" spans="1:6" x14ac:dyDescent="0.15">
      <c r="A44" s="292">
        <v>45466</v>
      </c>
      <c r="B44" s="285">
        <v>45466</v>
      </c>
      <c r="F44" s="291"/>
    </row>
    <row r="45" spans="1:6" x14ac:dyDescent="0.15">
      <c r="A45" s="292">
        <v>45466</v>
      </c>
      <c r="B45" s="285" t="s">
        <v>234</v>
      </c>
      <c r="F45" s="291"/>
    </row>
    <row r="46" spans="1:6" x14ac:dyDescent="0.15">
      <c r="A46" s="292">
        <v>45466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45467</v>
      </c>
      <c r="B49" s="297">
        <v>45467</v>
      </c>
      <c r="C49" s="296"/>
      <c r="D49" s="295"/>
      <c r="E49" s="294"/>
      <c r="F49" s="293"/>
    </row>
    <row r="50" spans="1:6" x14ac:dyDescent="0.15">
      <c r="A50" s="292">
        <v>45468</v>
      </c>
      <c r="B50" s="285">
        <v>45468</v>
      </c>
      <c r="F50" s="291"/>
    </row>
    <row r="51" spans="1:6" x14ac:dyDescent="0.15">
      <c r="A51" s="292">
        <v>45469</v>
      </c>
      <c r="B51" s="285">
        <v>45469</v>
      </c>
      <c r="F51" s="291"/>
    </row>
    <row r="52" spans="1:6" x14ac:dyDescent="0.15">
      <c r="A52" s="292">
        <v>45470</v>
      </c>
      <c r="B52" s="285">
        <v>45470</v>
      </c>
      <c r="F52" s="291"/>
    </row>
    <row r="53" spans="1:6" x14ac:dyDescent="0.15">
      <c r="A53" s="292">
        <v>45471</v>
      </c>
      <c r="B53" s="285">
        <v>45471</v>
      </c>
      <c r="F53" s="291"/>
    </row>
    <row r="54" spans="1:6" x14ac:dyDescent="0.15">
      <c r="A54" s="292">
        <v>45472</v>
      </c>
      <c r="B54" s="285">
        <v>45472</v>
      </c>
      <c r="F54" s="291"/>
    </row>
    <row r="55" spans="1:6" x14ac:dyDescent="0.15">
      <c r="A55" s="292">
        <v>45473</v>
      </c>
      <c r="B55" s="285">
        <v>45473</v>
      </c>
      <c r="F55" s="291"/>
    </row>
    <row r="56" spans="1:6" x14ac:dyDescent="0.15">
      <c r="A56" s="292">
        <v>45473</v>
      </c>
      <c r="B56" s="285" t="s">
        <v>234</v>
      </c>
      <c r="F56" s="291"/>
    </row>
    <row r="57" spans="1:6" x14ac:dyDescent="0.15">
      <c r="A57" s="292">
        <v>45473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45474</v>
      </c>
      <c r="B5" s="297">
        <v>45474</v>
      </c>
      <c r="C5" s="296"/>
      <c r="D5" s="295"/>
      <c r="E5" s="294"/>
      <c r="F5" s="293"/>
    </row>
    <row r="6" spans="1:6" x14ac:dyDescent="0.15">
      <c r="A6" s="292">
        <v>45475</v>
      </c>
      <c r="B6" s="285">
        <v>45475</v>
      </c>
      <c r="F6" s="291"/>
    </row>
    <row r="7" spans="1:6" x14ac:dyDescent="0.15">
      <c r="A7" s="292">
        <v>45476</v>
      </c>
      <c r="B7" s="285">
        <v>45476</v>
      </c>
      <c r="F7" s="291"/>
    </row>
    <row r="8" spans="1:6" x14ac:dyDescent="0.15">
      <c r="A8" s="292">
        <v>45477</v>
      </c>
      <c r="B8" s="285">
        <v>45477</v>
      </c>
      <c r="F8" s="291"/>
    </row>
    <row r="9" spans="1:6" x14ac:dyDescent="0.15">
      <c r="A9" s="292">
        <v>45478</v>
      </c>
      <c r="B9" s="285">
        <v>45478</v>
      </c>
      <c r="F9" s="291"/>
    </row>
    <row r="10" spans="1:6" x14ac:dyDescent="0.15">
      <c r="A10" s="292">
        <v>45479</v>
      </c>
      <c r="B10" s="285">
        <v>45479</v>
      </c>
      <c r="F10" s="291"/>
    </row>
    <row r="11" spans="1:6" x14ac:dyDescent="0.15">
      <c r="A11" s="292">
        <v>45480</v>
      </c>
      <c r="B11" s="285">
        <v>45480</v>
      </c>
      <c r="F11" s="291"/>
    </row>
    <row r="12" spans="1:6" x14ac:dyDescent="0.15">
      <c r="A12" s="292">
        <v>45480</v>
      </c>
      <c r="B12" s="285" t="s">
        <v>234</v>
      </c>
      <c r="F12" s="291"/>
    </row>
    <row r="13" spans="1:6" x14ac:dyDescent="0.15">
      <c r="A13" s="292">
        <v>45480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45481</v>
      </c>
      <c r="B16" s="297">
        <v>45481</v>
      </c>
      <c r="C16" s="296"/>
      <c r="D16" s="295"/>
      <c r="E16" s="294"/>
      <c r="F16" s="293"/>
    </row>
    <row r="17" spans="1:6" x14ac:dyDescent="0.15">
      <c r="A17" s="292">
        <v>45482</v>
      </c>
      <c r="B17" s="285">
        <v>45482</v>
      </c>
      <c r="F17" s="291"/>
    </row>
    <row r="18" spans="1:6" x14ac:dyDescent="0.15">
      <c r="A18" s="292">
        <v>45483</v>
      </c>
      <c r="B18" s="285">
        <v>45483</v>
      </c>
      <c r="F18" s="291"/>
    </row>
    <row r="19" spans="1:6" x14ac:dyDescent="0.15">
      <c r="A19" s="292">
        <v>45484</v>
      </c>
      <c r="B19" s="285">
        <v>45484</v>
      </c>
      <c r="F19" s="291"/>
    </row>
    <row r="20" spans="1:6" x14ac:dyDescent="0.15">
      <c r="A20" s="292">
        <v>45485</v>
      </c>
      <c r="B20" s="285">
        <v>45485</v>
      </c>
      <c r="F20" s="291"/>
    </row>
    <row r="21" spans="1:6" x14ac:dyDescent="0.15">
      <c r="A21" s="292">
        <v>45486</v>
      </c>
      <c r="B21" s="285">
        <v>45486</v>
      </c>
      <c r="F21" s="291"/>
    </row>
    <row r="22" spans="1:6" x14ac:dyDescent="0.15">
      <c r="A22" s="292">
        <v>45487</v>
      </c>
      <c r="B22" s="285">
        <v>45487</v>
      </c>
      <c r="F22" s="291"/>
    </row>
    <row r="23" spans="1:6" x14ac:dyDescent="0.15">
      <c r="A23" s="292">
        <v>45487</v>
      </c>
      <c r="B23" s="285" t="s">
        <v>234</v>
      </c>
      <c r="F23" s="291"/>
    </row>
    <row r="24" spans="1:6" x14ac:dyDescent="0.15">
      <c r="A24" s="292">
        <v>45487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45488</v>
      </c>
      <c r="B27" s="297">
        <v>45488</v>
      </c>
      <c r="C27" s="296"/>
      <c r="D27" s="295"/>
      <c r="E27" s="294"/>
      <c r="F27" s="293"/>
    </row>
    <row r="28" spans="1:6" x14ac:dyDescent="0.15">
      <c r="A28" s="292">
        <v>45489</v>
      </c>
      <c r="B28" s="285">
        <v>45489</v>
      </c>
      <c r="F28" s="291"/>
    </row>
    <row r="29" spans="1:6" x14ac:dyDescent="0.15">
      <c r="A29" s="292">
        <v>45490</v>
      </c>
      <c r="B29" s="285">
        <v>45490</v>
      </c>
      <c r="F29" s="291"/>
    </row>
    <row r="30" spans="1:6" x14ac:dyDescent="0.15">
      <c r="A30" s="292">
        <v>45491</v>
      </c>
      <c r="B30" s="285">
        <v>45491</v>
      </c>
      <c r="F30" s="291"/>
    </row>
    <row r="31" spans="1:6" x14ac:dyDescent="0.15">
      <c r="A31" s="292">
        <v>45492</v>
      </c>
      <c r="B31" s="285">
        <v>45492</v>
      </c>
      <c r="F31" s="291"/>
    </row>
    <row r="32" spans="1:6" x14ac:dyDescent="0.15">
      <c r="A32" s="292">
        <v>45493</v>
      </c>
      <c r="B32" s="285">
        <v>45493</v>
      </c>
      <c r="F32" s="291"/>
    </row>
    <row r="33" spans="1:6" x14ac:dyDescent="0.15">
      <c r="A33" s="292">
        <v>45494</v>
      </c>
      <c r="B33" s="285">
        <v>45494</v>
      </c>
      <c r="F33" s="291"/>
    </row>
    <row r="34" spans="1:6" x14ac:dyDescent="0.15">
      <c r="A34" s="292">
        <v>45494</v>
      </c>
      <c r="B34" s="285" t="s">
        <v>234</v>
      </c>
      <c r="F34" s="291"/>
    </row>
    <row r="35" spans="1:6" x14ac:dyDescent="0.15">
      <c r="A35" s="292">
        <v>45494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45495</v>
      </c>
      <c r="B38" s="297">
        <v>45495</v>
      </c>
      <c r="C38" s="296"/>
      <c r="D38" s="295"/>
      <c r="E38" s="294"/>
      <c r="F38" s="293"/>
    </row>
    <row r="39" spans="1:6" x14ac:dyDescent="0.15">
      <c r="A39" s="292">
        <v>45496</v>
      </c>
      <c r="B39" s="285">
        <v>45496</v>
      </c>
      <c r="F39" s="291"/>
    </row>
    <row r="40" spans="1:6" x14ac:dyDescent="0.15">
      <c r="A40" s="292">
        <v>45497</v>
      </c>
      <c r="B40" s="285">
        <v>45497</v>
      </c>
      <c r="F40" s="291"/>
    </row>
    <row r="41" spans="1:6" x14ac:dyDescent="0.15">
      <c r="A41" s="292">
        <v>45498</v>
      </c>
      <c r="B41" s="285">
        <v>45498</v>
      </c>
      <c r="F41" s="291"/>
    </row>
    <row r="42" spans="1:6" x14ac:dyDescent="0.15">
      <c r="A42" s="292">
        <v>45499</v>
      </c>
      <c r="B42" s="285">
        <v>45499</v>
      </c>
      <c r="F42" s="291"/>
    </row>
    <row r="43" spans="1:6" x14ac:dyDescent="0.15">
      <c r="A43" s="292">
        <v>45500</v>
      </c>
      <c r="B43" s="285">
        <v>45500</v>
      </c>
      <c r="F43" s="291"/>
    </row>
    <row r="44" spans="1:6" x14ac:dyDescent="0.15">
      <c r="A44" s="292">
        <v>45501</v>
      </c>
      <c r="B44" s="285">
        <v>45501</v>
      </c>
      <c r="F44" s="291"/>
    </row>
    <row r="45" spans="1:6" x14ac:dyDescent="0.15">
      <c r="A45" s="292">
        <v>45501</v>
      </c>
      <c r="B45" s="285" t="s">
        <v>234</v>
      </c>
      <c r="F45" s="291"/>
    </row>
    <row r="46" spans="1:6" x14ac:dyDescent="0.15">
      <c r="A46" s="292">
        <v>45501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45502</v>
      </c>
      <c r="B5" s="297">
        <v>45502</v>
      </c>
      <c r="C5" s="296"/>
      <c r="D5" s="295"/>
      <c r="E5" s="294"/>
      <c r="F5" s="293"/>
    </row>
    <row r="6" spans="1:6" x14ac:dyDescent="0.15">
      <c r="A6" s="292">
        <v>45503</v>
      </c>
      <c r="B6" s="285">
        <v>45503</v>
      </c>
      <c r="F6" s="291"/>
    </row>
    <row r="7" spans="1:6" x14ac:dyDescent="0.15">
      <c r="A7" s="292">
        <v>45504</v>
      </c>
      <c r="B7" s="285">
        <v>45504</v>
      </c>
      <c r="F7" s="291"/>
    </row>
    <row r="8" spans="1:6" x14ac:dyDescent="0.15">
      <c r="A8" s="292">
        <v>45505</v>
      </c>
      <c r="B8" s="285">
        <v>45505</v>
      </c>
      <c r="F8" s="291"/>
    </row>
    <row r="9" spans="1:6" x14ac:dyDescent="0.15">
      <c r="A9" s="292">
        <v>45506</v>
      </c>
      <c r="B9" s="285">
        <v>45506</v>
      </c>
      <c r="F9" s="291"/>
    </row>
    <row r="10" spans="1:6" x14ac:dyDescent="0.15">
      <c r="A10" s="292">
        <v>45507</v>
      </c>
      <c r="B10" s="285">
        <v>45507</v>
      </c>
      <c r="F10" s="291"/>
    </row>
    <row r="11" spans="1:6" x14ac:dyDescent="0.15">
      <c r="A11" s="292">
        <v>45508</v>
      </c>
      <c r="B11" s="285">
        <v>45508</v>
      </c>
      <c r="F11" s="291"/>
    </row>
    <row r="12" spans="1:6" x14ac:dyDescent="0.15">
      <c r="A12" s="292">
        <v>45508</v>
      </c>
      <c r="B12" s="285" t="s">
        <v>234</v>
      </c>
      <c r="F12" s="291"/>
    </row>
    <row r="13" spans="1:6" x14ac:dyDescent="0.15">
      <c r="A13" s="292">
        <v>45508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45509</v>
      </c>
      <c r="B16" s="297">
        <v>45509</v>
      </c>
      <c r="C16" s="296"/>
      <c r="D16" s="295"/>
      <c r="E16" s="294"/>
      <c r="F16" s="293"/>
    </row>
    <row r="17" spans="1:6" x14ac:dyDescent="0.15">
      <c r="A17" s="292">
        <v>45510</v>
      </c>
      <c r="B17" s="285">
        <v>45510</v>
      </c>
      <c r="F17" s="291"/>
    </row>
    <row r="18" spans="1:6" x14ac:dyDescent="0.15">
      <c r="A18" s="292">
        <v>45511</v>
      </c>
      <c r="B18" s="285">
        <v>45511</v>
      </c>
      <c r="F18" s="291"/>
    </row>
    <row r="19" spans="1:6" x14ac:dyDescent="0.15">
      <c r="A19" s="292">
        <v>45512</v>
      </c>
      <c r="B19" s="285">
        <v>45512</v>
      </c>
      <c r="F19" s="291"/>
    </row>
    <row r="20" spans="1:6" x14ac:dyDescent="0.15">
      <c r="A20" s="292">
        <v>45513</v>
      </c>
      <c r="B20" s="285">
        <v>45513</v>
      </c>
      <c r="F20" s="291"/>
    </row>
    <row r="21" spans="1:6" x14ac:dyDescent="0.15">
      <c r="A21" s="292">
        <v>45514</v>
      </c>
      <c r="B21" s="285">
        <v>45514</v>
      </c>
      <c r="F21" s="291"/>
    </row>
    <row r="22" spans="1:6" x14ac:dyDescent="0.15">
      <c r="A22" s="292">
        <v>45515</v>
      </c>
      <c r="B22" s="285">
        <v>45515</v>
      </c>
      <c r="F22" s="291"/>
    </row>
    <row r="23" spans="1:6" x14ac:dyDescent="0.15">
      <c r="A23" s="292">
        <v>45515</v>
      </c>
      <c r="B23" s="285" t="s">
        <v>234</v>
      </c>
      <c r="F23" s="291"/>
    </row>
    <row r="24" spans="1:6" x14ac:dyDescent="0.15">
      <c r="A24" s="292">
        <v>45515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45516</v>
      </c>
      <c r="B27" s="297">
        <v>45516</v>
      </c>
      <c r="C27" s="296"/>
      <c r="D27" s="295"/>
      <c r="E27" s="294"/>
      <c r="F27" s="293"/>
    </row>
    <row r="28" spans="1:6" x14ac:dyDescent="0.15">
      <c r="A28" s="292">
        <v>45517</v>
      </c>
      <c r="B28" s="285">
        <v>45517</v>
      </c>
      <c r="F28" s="291"/>
    </row>
    <row r="29" spans="1:6" x14ac:dyDescent="0.15">
      <c r="A29" s="292">
        <v>45518</v>
      </c>
      <c r="B29" s="285">
        <v>45518</v>
      </c>
      <c r="F29" s="291"/>
    </row>
    <row r="30" spans="1:6" x14ac:dyDescent="0.15">
      <c r="A30" s="292">
        <v>45519</v>
      </c>
      <c r="B30" s="285">
        <v>45519</v>
      </c>
      <c r="F30" s="291"/>
    </row>
    <row r="31" spans="1:6" x14ac:dyDescent="0.15">
      <c r="A31" s="292">
        <v>45520</v>
      </c>
      <c r="B31" s="285">
        <v>45520</v>
      </c>
      <c r="F31" s="291"/>
    </row>
    <row r="32" spans="1:6" x14ac:dyDescent="0.15">
      <c r="A32" s="292">
        <v>45521</v>
      </c>
      <c r="B32" s="285">
        <v>45521</v>
      </c>
      <c r="F32" s="291"/>
    </row>
    <row r="33" spans="1:6" x14ac:dyDescent="0.15">
      <c r="A33" s="292">
        <v>45522</v>
      </c>
      <c r="B33" s="285">
        <v>45522</v>
      </c>
      <c r="F33" s="291"/>
    </row>
    <row r="34" spans="1:6" x14ac:dyDescent="0.15">
      <c r="A34" s="292">
        <v>45522</v>
      </c>
      <c r="B34" s="285" t="s">
        <v>234</v>
      </c>
      <c r="F34" s="291"/>
    </row>
    <row r="35" spans="1:6" x14ac:dyDescent="0.15">
      <c r="A35" s="292">
        <v>45522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45523</v>
      </c>
      <c r="B38" s="297">
        <v>45523</v>
      </c>
      <c r="C38" s="296"/>
      <c r="D38" s="295"/>
      <c r="E38" s="294"/>
      <c r="F38" s="293"/>
    </row>
    <row r="39" spans="1:6" x14ac:dyDescent="0.15">
      <c r="A39" s="292">
        <v>45524</v>
      </c>
      <c r="B39" s="285">
        <v>45524</v>
      </c>
      <c r="F39" s="291"/>
    </row>
    <row r="40" spans="1:6" x14ac:dyDescent="0.15">
      <c r="A40" s="292">
        <v>45525</v>
      </c>
      <c r="B40" s="285">
        <v>45525</v>
      </c>
      <c r="F40" s="291"/>
    </row>
    <row r="41" spans="1:6" x14ac:dyDescent="0.15">
      <c r="A41" s="292">
        <v>45526</v>
      </c>
      <c r="B41" s="285">
        <v>45526</v>
      </c>
      <c r="F41" s="291"/>
    </row>
    <row r="42" spans="1:6" x14ac:dyDescent="0.15">
      <c r="A42" s="292">
        <v>45527</v>
      </c>
      <c r="B42" s="285">
        <v>45527</v>
      </c>
      <c r="F42" s="291"/>
    </row>
    <row r="43" spans="1:6" x14ac:dyDescent="0.15">
      <c r="A43" s="292">
        <v>45528</v>
      </c>
      <c r="B43" s="285">
        <v>45528</v>
      </c>
      <c r="F43" s="291"/>
    </row>
    <row r="44" spans="1:6" x14ac:dyDescent="0.15">
      <c r="A44" s="292">
        <v>45529</v>
      </c>
      <c r="B44" s="285">
        <v>45529</v>
      </c>
      <c r="F44" s="291"/>
    </row>
    <row r="45" spans="1:6" x14ac:dyDescent="0.15">
      <c r="A45" s="292">
        <v>45529</v>
      </c>
      <c r="B45" s="285" t="s">
        <v>234</v>
      </c>
      <c r="F45" s="291"/>
    </row>
    <row r="46" spans="1:6" x14ac:dyDescent="0.15">
      <c r="A46" s="292">
        <v>45529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45530</v>
      </c>
      <c r="B5" s="297">
        <v>45530</v>
      </c>
      <c r="C5" s="296"/>
      <c r="D5" s="295"/>
      <c r="E5" s="294"/>
      <c r="F5" s="293"/>
    </row>
    <row r="6" spans="1:6" x14ac:dyDescent="0.15">
      <c r="A6" s="292">
        <v>45531</v>
      </c>
      <c r="B6" s="285">
        <v>45531</v>
      </c>
      <c r="F6" s="291"/>
    </row>
    <row r="7" spans="1:6" x14ac:dyDescent="0.15">
      <c r="A7" s="292">
        <v>45532</v>
      </c>
      <c r="B7" s="285">
        <v>45532</v>
      </c>
      <c r="F7" s="291"/>
    </row>
    <row r="8" spans="1:6" x14ac:dyDescent="0.15">
      <c r="A8" s="292">
        <v>45533</v>
      </c>
      <c r="B8" s="285">
        <v>45533</v>
      </c>
      <c r="F8" s="291"/>
    </row>
    <row r="9" spans="1:6" x14ac:dyDescent="0.15">
      <c r="A9" s="292">
        <v>45534</v>
      </c>
      <c r="B9" s="285">
        <v>45534</v>
      </c>
      <c r="F9" s="291"/>
    </row>
    <row r="10" spans="1:6" x14ac:dyDescent="0.15">
      <c r="A10" s="292">
        <v>45535</v>
      </c>
      <c r="B10" s="285">
        <v>45535</v>
      </c>
      <c r="F10" s="291"/>
    </row>
    <row r="11" spans="1:6" x14ac:dyDescent="0.15">
      <c r="A11" s="292">
        <v>45536</v>
      </c>
      <c r="B11" s="285">
        <v>45536</v>
      </c>
      <c r="F11" s="291"/>
    </row>
    <row r="12" spans="1:6" x14ac:dyDescent="0.15">
      <c r="A12" s="292">
        <v>45536</v>
      </c>
      <c r="B12" s="285" t="s">
        <v>234</v>
      </c>
      <c r="F12" s="291"/>
    </row>
    <row r="13" spans="1:6" x14ac:dyDescent="0.15">
      <c r="A13" s="292">
        <v>45536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45537</v>
      </c>
      <c r="B16" s="297">
        <v>45537</v>
      </c>
      <c r="C16" s="296"/>
      <c r="D16" s="295"/>
      <c r="E16" s="294"/>
      <c r="F16" s="293"/>
    </row>
    <row r="17" spans="1:6" x14ac:dyDescent="0.15">
      <c r="A17" s="292">
        <v>45538</v>
      </c>
      <c r="B17" s="285">
        <v>45538</v>
      </c>
      <c r="F17" s="291"/>
    </row>
    <row r="18" spans="1:6" x14ac:dyDescent="0.15">
      <c r="A18" s="292">
        <v>45539</v>
      </c>
      <c r="B18" s="285">
        <v>45539</v>
      </c>
      <c r="F18" s="291"/>
    </row>
    <row r="19" spans="1:6" x14ac:dyDescent="0.15">
      <c r="A19" s="292">
        <v>45540</v>
      </c>
      <c r="B19" s="285">
        <v>45540</v>
      </c>
      <c r="F19" s="291"/>
    </row>
    <row r="20" spans="1:6" x14ac:dyDescent="0.15">
      <c r="A20" s="292">
        <v>45541</v>
      </c>
      <c r="B20" s="285">
        <v>45541</v>
      </c>
      <c r="F20" s="291"/>
    </row>
    <row r="21" spans="1:6" x14ac:dyDescent="0.15">
      <c r="A21" s="292">
        <v>45542</v>
      </c>
      <c r="B21" s="285">
        <v>45542</v>
      </c>
      <c r="F21" s="291"/>
    </row>
    <row r="22" spans="1:6" x14ac:dyDescent="0.15">
      <c r="A22" s="292">
        <v>45543</v>
      </c>
      <c r="B22" s="285">
        <v>45543</v>
      </c>
      <c r="F22" s="291"/>
    </row>
    <row r="23" spans="1:6" x14ac:dyDescent="0.15">
      <c r="A23" s="292">
        <v>45543</v>
      </c>
      <c r="B23" s="285" t="s">
        <v>234</v>
      </c>
      <c r="F23" s="291"/>
    </row>
    <row r="24" spans="1:6" x14ac:dyDescent="0.15">
      <c r="A24" s="292">
        <v>45543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45544</v>
      </c>
      <c r="B27" s="297">
        <v>45544</v>
      </c>
      <c r="C27" s="296"/>
      <c r="D27" s="295"/>
      <c r="E27" s="294"/>
      <c r="F27" s="293"/>
    </row>
    <row r="28" spans="1:6" x14ac:dyDescent="0.15">
      <c r="A28" s="292">
        <v>45545</v>
      </c>
      <c r="B28" s="285">
        <v>45545</v>
      </c>
      <c r="F28" s="291"/>
    </row>
    <row r="29" spans="1:6" x14ac:dyDescent="0.15">
      <c r="A29" s="292">
        <v>45546</v>
      </c>
      <c r="B29" s="285">
        <v>45546</v>
      </c>
      <c r="F29" s="291"/>
    </row>
    <row r="30" spans="1:6" x14ac:dyDescent="0.15">
      <c r="A30" s="292">
        <v>45547</v>
      </c>
      <c r="B30" s="285">
        <v>45547</v>
      </c>
      <c r="F30" s="291"/>
    </row>
    <row r="31" spans="1:6" x14ac:dyDescent="0.15">
      <c r="A31" s="292">
        <v>45548</v>
      </c>
      <c r="B31" s="285">
        <v>45548</v>
      </c>
      <c r="F31" s="291"/>
    </row>
    <row r="32" spans="1:6" x14ac:dyDescent="0.15">
      <c r="A32" s="292">
        <v>45549</v>
      </c>
      <c r="B32" s="285">
        <v>45549</v>
      </c>
      <c r="F32" s="291"/>
    </row>
    <row r="33" spans="1:6" x14ac:dyDescent="0.15">
      <c r="A33" s="292">
        <v>45550</v>
      </c>
      <c r="B33" s="285">
        <v>45550</v>
      </c>
      <c r="F33" s="291"/>
    </row>
    <row r="34" spans="1:6" x14ac:dyDescent="0.15">
      <c r="A34" s="292">
        <v>45550</v>
      </c>
      <c r="B34" s="285" t="s">
        <v>234</v>
      </c>
      <c r="F34" s="291"/>
    </row>
    <row r="35" spans="1:6" x14ac:dyDescent="0.15">
      <c r="A35" s="292">
        <v>45550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45551</v>
      </c>
      <c r="B38" s="297">
        <v>45551</v>
      </c>
      <c r="C38" s="296"/>
      <c r="D38" s="295"/>
      <c r="E38" s="294"/>
      <c r="F38" s="293"/>
    </row>
    <row r="39" spans="1:6" x14ac:dyDescent="0.15">
      <c r="A39" s="292">
        <v>45552</v>
      </c>
      <c r="B39" s="285">
        <v>45552</v>
      </c>
      <c r="F39" s="291"/>
    </row>
    <row r="40" spans="1:6" x14ac:dyDescent="0.15">
      <c r="A40" s="292">
        <v>45553</v>
      </c>
      <c r="B40" s="285">
        <v>45553</v>
      </c>
      <c r="F40" s="291"/>
    </row>
    <row r="41" spans="1:6" x14ac:dyDescent="0.15">
      <c r="A41" s="292">
        <v>45554</v>
      </c>
      <c r="B41" s="285">
        <v>45554</v>
      </c>
      <c r="F41" s="291"/>
    </row>
    <row r="42" spans="1:6" x14ac:dyDescent="0.15">
      <c r="A42" s="292">
        <v>45555</v>
      </c>
      <c r="B42" s="285">
        <v>45555</v>
      </c>
      <c r="F42" s="291"/>
    </row>
    <row r="43" spans="1:6" x14ac:dyDescent="0.15">
      <c r="A43" s="292">
        <v>45556</v>
      </c>
      <c r="B43" s="285">
        <v>45556</v>
      </c>
      <c r="F43" s="291"/>
    </row>
    <row r="44" spans="1:6" x14ac:dyDescent="0.15">
      <c r="A44" s="292">
        <v>45557</v>
      </c>
      <c r="B44" s="285">
        <v>45557</v>
      </c>
      <c r="F44" s="291"/>
    </row>
    <row r="45" spans="1:6" x14ac:dyDescent="0.15">
      <c r="A45" s="292">
        <v>45557</v>
      </c>
      <c r="B45" s="285" t="s">
        <v>234</v>
      </c>
      <c r="F45" s="291"/>
    </row>
    <row r="46" spans="1:6" x14ac:dyDescent="0.15">
      <c r="A46" s="292">
        <v>45557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45558</v>
      </c>
      <c r="B49" s="297">
        <v>45558</v>
      </c>
      <c r="C49" s="296"/>
      <c r="D49" s="295"/>
      <c r="E49" s="294"/>
      <c r="F49" s="293"/>
    </row>
    <row r="50" spans="1:6" x14ac:dyDescent="0.15">
      <c r="A50" s="292">
        <v>45559</v>
      </c>
      <c r="B50" s="285">
        <v>45559</v>
      </c>
      <c r="F50" s="291"/>
    </row>
    <row r="51" spans="1:6" x14ac:dyDescent="0.15">
      <c r="A51" s="292">
        <v>45560</v>
      </c>
      <c r="B51" s="285">
        <v>45560</v>
      </c>
      <c r="F51" s="291"/>
    </row>
    <row r="52" spans="1:6" x14ac:dyDescent="0.15">
      <c r="A52" s="292">
        <v>45561</v>
      </c>
      <c r="B52" s="285">
        <v>45561</v>
      </c>
      <c r="F52" s="291"/>
    </row>
    <row r="53" spans="1:6" x14ac:dyDescent="0.15">
      <c r="A53" s="292">
        <v>45562</v>
      </c>
      <c r="B53" s="285">
        <v>45562</v>
      </c>
      <c r="F53" s="291"/>
    </row>
    <row r="54" spans="1:6" x14ac:dyDescent="0.15">
      <c r="A54" s="292">
        <v>45563</v>
      </c>
      <c r="B54" s="285">
        <v>45563</v>
      </c>
      <c r="F54" s="291"/>
    </row>
    <row r="55" spans="1:6" x14ac:dyDescent="0.15">
      <c r="A55" s="292">
        <v>45564</v>
      </c>
      <c r="B55" s="285">
        <v>45564</v>
      </c>
      <c r="F55" s="291"/>
    </row>
    <row r="56" spans="1:6" x14ac:dyDescent="0.15">
      <c r="A56" s="292">
        <v>45564</v>
      </c>
      <c r="B56" s="285" t="s">
        <v>234</v>
      </c>
      <c r="F56" s="291"/>
    </row>
    <row r="57" spans="1:6" x14ac:dyDescent="0.15">
      <c r="A57" s="292">
        <v>45564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45565</v>
      </c>
      <c r="B5" s="297">
        <v>45565</v>
      </c>
      <c r="C5" s="296"/>
      <c r="D5" s="295"/>
      <c r="E5" s="294"/>
      <c r="F5" s="293"/>
    </row>
    <row r="6" spans="1:6" x14ac:dyDescent="0.15">
      <c r="A6" s="292">
        <v>45566</v>
      </c>
      <c r="B6" s="285">
        <v>45566</v>
      </c>
      <c r="F6" s="291"/>
    </row>
    <row r="7" spans="1:6" x14ac:dyDescent="0.15">
      <c r="A7" s="292">
        <v>45567</v>
      </c>
      <c r="B7" s="285">
        <v>45567</v>
      </c>
      <c r="F7" s="291"/>
    </row>
    <row r="8" spans="1:6" x14ac:dyDescent="0.15">
      <c r="A8" s="292">
        <v>45568</v>
      </c>
      <c r="B8" s="285">
        <v>45568</v>
      </c>
      <c r="F8" s="291"/>
    </row>
    <row r="9" spans="1:6" x14ac:dyDescent="0.15">
      <c r="A9" s="292">
        <v>45569</v>
      </c>
      <c r="B9" s="285">
        <v>45569</v>
      </c>
      <c r="F9" s="291"/>
    </row>
    <row r="10" spans="1:6" x14ac:dyDescent="0.15">
      <c r="A10" s="292">
        <v>45570</v>
      </c>
      <c r="B10" s="285">
        <v>45570</v>
      </c>
      <c r="F10" s="291"/>
    </row>
    <row r="11" spans="1:6" x14ac:dyDescent="0.15">
      <c r="A11" s="292">
        <v>45571</v>
      </c>
      <c r="B11" s="285">
        <v>45571</v>
      </c>
      <c r="F11" s="291"/>
    </row>
    <row r="12" spans="1:6" x14ac:dyDescent="0.15">
      <c r="A12" s="292">
        <v>45571</v>
      </c>
      <c r="B12" s="285" t="s">
        <v>234</v>
      </c>
      <c r="F12" s="291"/>
    </row>
    <row r="13" spans="1:6" x14ac:dyDescent="0.15">
      <c r="A13" s="292">
        <v>45571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45572</v>
      </c>
      <c r="B16" s="297">
        <v>45572</v>
      </c>
      <c r="C16" s="296"/>
      <c r="D16" s="295"/>
      <c r="E16" s="294"/>
      <c r="F16" s="293"/>
    </row>
    <row r="17" spans="1:6" x14ac:dyDescent="0.15">
      <c r="A17" s="292">
        <v>45573</v>
      </c>
      <c r="B17" s="285">
        <v>45573</v>
      </c>
      <c r="F17" s="291"/>
    </row>
    <row r="18" spans="1:6" x14ac:dyDescent="0.15">
      <c r="A18" s="292">
        <v>45574</v>
      </c>
      <c r="B18" s="285">
        <v>45574</v>
      </c>
      <c r="F18" s="291"/>
    </row>
    <row r="19" spans="1:6" x14ac:dyDescent="0.15">
      <c r="A19" s="292">
        <v>45575</v>
      </c>
      <c r="B19" s="285">
        <v>45575</v>
      </c>
      <c r="F19" s="291"/>
    </row>
    <row r="20" spans="1:6" x14ac:dyDescent="0.15">
      <c r="A20" s="292">
        <v>45576</v>
      </c>
      <c r="B20" s="285">
        <v>45576</v>
      </c>
      <c r="F20" s="291"/>
    </row>
    <row r="21" spans="1:6" x14ac:dyDescent="0.15">
      <c r="A21" s="292">
        <v>45577</v>
      </c>
      <c r="B21" s="285">
        <v>45577</v>
      </c>
      <c r="F21" s="291"/>
    </row>
    <row r="22" spans="1:6" x14ac:dyDescent="0.15">
      <c r="A22" s="292">
        <v>45578</v>
      </c>
      <c r="B22" s="285">
        <v>45578</v>
      </c>
      <c r="F22" s="291"/>
    </row>
    <row r="23" spans="1:6" x14ac:dyDescent="0.15">
      <c r="A23" s="292">
        <v>45578</v>
      </c>
      <c r="B23" s="285" t="s">
        <v>234</v>
      </c>
      <c r="F23" s="291"/>
    </row>
    <row r="24" spans="1:6" x14ac:dyDescent="0.15">
      <c r="A24" s="292">
        <v>45578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45579</v>
      </c>
      <c r="B27" s="297">
        <v>45579</v>
      </c>
      <c r="C27" s="296"/>
      <c r="D27" s="295"/>
      <c r="E27" s="294"/>
      <c r="F27" s="293"/>
    </row>
    <row r="28" spans="1:6" x14ac:dyDescent="0.15">
      <c r="A28" s="292">
        <v>45580</v>
      </c>
      <c r="B28" s="285">
        <v>45580</v>
      </c>
      <c r="F28" s="291"/>
    </row>
    <row r="29" spans="1:6" x14ac:dyDescent="0.15">
      <c r="A29" s="292">
        <v>45581</v>
      </c>
      <c r="B29" s="285">
        <v>45581</v>
      </c>
      <c r="F29" s="291"/>
    </row>
    <row r="30" spans="1:6" x14ac:dyDescent="0.15">
      <c r="A30" s="292">
        <v>45582</v>
      </c>
      <c r="B30" s="285">
        <v>45582</v>
      </c>
      <c r="F30" s="291"/>
    </row>
    <row r="31" spans="1:6" x14ac:dyDescent="0.15">
      <c r="A31" s="292">
        <v>45583</v>
      </c>
      <c r="B31" s="285">
        <v>45583</v>
      </c>
      <c r="F31" s="291"/>
    </row>
    <row r="32" spans="1:6" x14ac:dyDescent="0.15">
      <c r="A32" s="292">
        <v>45584</v>
      </c>
      <c r="B32" s="285">
        <v>45584</v>
      </c>
      <c r="F32" s="291"/>
    </row>
    <row r="33" spans="1:6" x14ac:dyDescent="0.15">
      <c r="A33" s="292">
        <v>45585</v>
      </c>
      <c r="B33" s="285">
        <v>45585</v>
      </c>
      <c r="F33" s="291"/>
    </row>
    <row r="34" spans="1:6" x14ac:dyDescent="0.15">
      <c r="A34" s="292">
        <v>45585</v>
      </c>
      <c r="B34" s="285" t="s">
        <v>234</v>
      </c>
      <c r="F34" s="291"/>
    </row>
    <row r="35" spans="1:6" x14ac:dyDescent="0.15">
      <c r="A35" s="292">
        <v>45585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45586</v>
      </c>
      <c r="B38" s="297">
        <v>45586</v>
      </c>
      <c r="C38" s="296"/>
      <c r="D38" s="295"/>
      <c r="E38" s="294"/>
      <c r="F38" s="293"/>
    </row>
    <row r="39" spans="1:6" x14ac:dyDescent="0.15">
      <c r="A39" s="292">
        <v>45587</v>
      </c>
      <c r="B39" s="285">
        <v>45587</v>
      </c>
      <c r="F39" s="291"/>
    </row>
    <row r="40" spans="1:6" x14ac:dyDescent="0.15">
      <c r="A40" s="292">
        <v>45588</v>
      </c>
      <c r="B40" s="285">
        <v>45588</v>
      </c>
      <c r="F40" s="291"/>
    </row>
    <row r="41" spans="1:6" x14ac:dyDescent="0.15">
      <c r="A41" s="292">
        <v>45589</v>
      </c>
      <c r="B41" s="285">
        <v>45589</v>
      </c>
      <c r="F41" s="291"/>
    </row>
    <row r="42" spans="1:6" x14ac:dyDescent="0.15">
      <c r="A42" s="292">
        <v>45590</v>
      </c>
      <c r="B42" s="285">
        <v>45590</v>
      </c>
      <c r="F42" s="291"/>
    </row>
    <row r="43" spans="1:6" x14ac:dyDescent="0.15">
      <c r="A43" s="292">
        <v>45591</v>
      </c>
      <c r="B43" s="285">
        <v>45591</v>
      </c>
      <c r="F43" s="291"/>
    </row>
    <row r="44" spans="1:6" x14ac:dyDescent="0.15">
      <c r="A44" s="292">
        <v>45592</v>
      </c>
      <c r="B44" s="285">
        <v>45592</v>
      </c>
      <c r="F44" s="291"/>
    </row>
    <row r="45" spans="1:6" x14ac:dyDescent="0.15">
      <c r="A45" s="292">
        <v>45592</v>
      </c>
      <c r="B45" s="285" t="s">
        <v>234</v>
      </c>
      <c r="F45" s="291"/>
    </row>
    <row r="46" spans="1:6" x14ac:dyDescent="0.15">
      <c r="A46" s="292">
        <v>45592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45593</v>
      </c>
      <c r="B5" s="297">
        <v>45593</v>
      </c>
      <c r="C5" s="296"/>
      <c r="D5" s="295"/>
      <c r="E5" s="294"/>
      <c r="F5" s="293"/>
    </row>
    <row r="6" spans="1:6" x14ac:dyDescent="0.15">
      <c r="A6" s="292">
        <v>45594</v>
      </c>
      <c r="B6" s="285">
        <v>45594</v>
      </c>
      <c r="F6" s="291"/>
    </row>
    <row r="7" spans="1:6" x14ac:dyDescent="0.15">
      <c r="A7" s="292">
        <v>45595</v>
      </c>
      <c r="B7" s="285">
        <v>45595</v>
      </c>
      <c r="F7" s="291"/>
    </row>
    <row r="8" spans="1:6" x14ac:dyDescent="0.15">
      <c r="A8" s="292">
        <v>45596</v>
      </c>
      <c r="B8" s="285">
        <v>45596</v>
      </c>
      <c r="F8" s="291"/>
    </row>
    <row r="9" spans="1:6" x14ac:dyDescent="0.15">
      <c r="A9" s="292">
        <v>45597</v>
      </c>
      <c r="B9" s="285">
        <v>45597</v>
      </c>
      <c r="F9" s="291"/>
    </row>
    <row r="10" spans="1:6" x14ac:dyDescent="0.15">
      <c r="A10" s="292">
        <v>45598</v>
      </c>
      <c r="B10" s="285">
        <v>45598</v>
      </c>
      <c r="F10" s="291"/>
    </row>
    <row r="11" spans="1:6" x14ac:dyDescent="0.15">
      <c r="A11" s="292">
        <v>45599</v>
      </c>
      <c r="B11" s="285">
        <v>45599</v>
      </c>
      <c r="F11" s="291"/>
    </row>
    <row r="12" spans="1:6" x14ac:dyDescent="0.15">
      <c r="A12" s="292">
        <v>45599</v>
      </c>
      <c r="B12" s="285" t="s">
        <v>234</v>
      </c>
      <c r="F12" s="291"/>
    </row>
    <row r="13" spans="1:6" x14ac:dyDescent="0.15">
      <c r="A13" s="292">
        <v>45599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45600</v>
      </c>
      <c r="B16" s="297">
        <v>45600</v>
      </c>
      <c r="C16" s="296"/>
      <c r="D16" s="295"/>
      <c r="E16" s="294"/>
      <c r="F16" s="293"/>
    </row>
    <row r="17" spans="1:6" x14ac:dyDescent="0.15">
      <c r="A17" s="292">
        <v>45601</v>
      </c>
      <c r="B17" s="285">
        <v>45601</v>
      </c>
      <c r="F17" s="291"/>
    </row>
    <row r="18" spans="1:6" x14ac:dyDescent="0.15">
      <c r="A18" s="292">
        <v>45602</v>
      </c>
      <c r="B18" s="285">
        <v>45602</v>
      </c>
      <c r="F18" s="291"/>
    </row>
    <row r="19" spans="1:6" x14ac:dyDescent="0.15">
      <c r="A19" s="292">
        <v>45603</v>
      </c>
      <c r="B19" s="285">
        <v>45603</v>
      </c>
      <c r="F19" s="291"/>
    </row>
    <row r="20" spans="1:6" x14ac:dyDescent="0.15">
      <c r="A20" s="292">
        <v>45604</v>
      </c>
      <c r="B20" s="285">
        <v>45604</v>
      </c>
      <c r="F20" s="291"/>
    </row>
    <row r="21" spans="1:6" x14ac:dyDescent="0.15">
      <c r="A21" s="292">
        <v>45605</v>
      </c>
      <c r="B21" s="285">
        <v>45605</v>
      </c>
      <c r="F21" s="291"/>
    </row>
    <row r="22" spans="1:6" x14ac:dyDescent="0.15">
      <c r="A22" s="292">
        <v>45606</v>
      </c>
      <c r="B22" s="285">
        <v>45606</v>
      </c>
      <c r="F22" s="291"/>
    </row>
    <row r="23" spans="1:6" x14ac:dyDescent="0.15">
      <c r="A23" s="292">
        <v>45606</v>
      </c>
      <c r="B23" s="285" t="s">
        <v>234</v>
      </c>
      <c r="F23" s="291"/>
    </row>
    <row r="24" spans="1:6" x14ac:dyDescent="0.15">
      <c r="A24" s="292">
        <v>45606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45607</v>
      </c>
      <c r="B27" s="297">
        <v>45607</v>
      </c>
      <c r="C27" s="296"/>
      <c r="D27" s="295"/>
      <c r="E27" s="294"/>
      <c r="F27" s="293"/>
    </row>
    <row r="28" spans="1:6" x14ac:dyDescent="0.15">
      <c r="A28" s="292">
        <v>45608</v>
      </c>
      <c r="B28" s="285">
        <v>45608</v>
      </c>
      <c r="F28" s="291"/>
    </row>
    <row r="29" spans="1:6" x14ac:dyDescent="0.15">
      <c r="A29" s="292">
        <v>45609</v>
      </c>
      <c r="B29" s="285">
        <v>45609</v>
      </c>
      <c r="F29" s="291"/>
    </row>
    <row r="30" spans="1:6" x14ac:dyDescent="0.15">
      <c r="A30" s="292">
        <v>45610</v>
      </c>
      <c r="B30" s="285">
        <v>45610</v>
      </c>
      <c r="F30" s="291"/>
    </row>
    <row r="31" spans="1:6" x14ac:dyDescent="0.15">
      <c r="A31" s="292">
        <v>45611</v>
      </c>
      <c r="B31" s="285">
        <v>45611</v>
      </c>
      <c r="F31" s="291"/>
    </row>
    <row r="32" spans="1:6" x14ac:dyDescent="0.15">
      <c r="A32" s="292">
        <v>45612</v>
      </c>
      <c r="B32" s="285">
        <v>45612</v>
      </c>
      <c r="F32" s="291"/>
    </row>
    <row r="33" spans="1:6" x14ac:dyDescent="0.15">
      <c r="A33" s="292">
        <v>45613</v>
      </c>
      <c r="B33" s="285">
        <v>45613</v>
      </c>
      <c r="F33" s="291"/>
    </row>
    <row r="34" spans="1:6" x14ac:dyDescent="0.15">
      <c r="A34" s="292">
        <v>45613</v>
      </c>
      <c r="B34" s="285" t="s">
        <v>234</v>
      </c>
      <c r="F34" s="291"/>
    </row>
    <row r="35" spans="1:6" x14ac:dyDescent="0.15">
      <c r="A35" s="292">
        <v>45613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45614</v>
      </c>
      <c r="B38" s="297">
        <v>45614</v>
      </c>
      <c r="C38" s="296"/>
      <c r="D38" s="295"/>
      <c r="E38" s="294"/>
      <c r="F38" s="293"/>
    </row>
    <row r="39" spans="1:6" x14ac:dyDescent="0.15">
      <c r="A39" s="292">
        <v>45615</v>
      </c>
      <c r="B39" s="285">
        <v>45615</v>
      </c>
      <c r="F39" s="291"/>
    </row>
    <row r="40" spans="1:6" x14ac:dyDescent="0.15">
      <c r="A40" s="292">
        <v>45616</v>
      </c>
      <c r="B40" s="285">
        <v>45616</v>
      </c>
      <c r="F40" s="291"/>
    </row>
    <row r="41" spans="1:6" x14ac:dyDescent="0.15">
      <c r="A41" s="292">
        <v>45617</v>
      </c>
      <c r="B41" s="285">
        <v>45617</v>
      </c>
      <c r="F41" s="291"/>
    </row>
    <row r="42" spans="1:6" x14ac:dyDescent="0.15">
      <c r="A42" s="292">
        <v>45618</v>
      </c>
      <c r="B42" s="285">
        <v>45618</v>
      </c>
      <c r="F42" s="291"/>
    </row>
    <row r="43" spans="1:6" x14ac:dyDescent="0.15">
      <c r="A43" s="292">
        <v>45619</v>
      </c>
      <c r="B43" s="285">
        <v>45619</v>
      </c>
      <c r="F43" s="291"/>
    </row>
    <row r="44" spans="1:6" x14ac:dyDescent="0.15">
      <c r="A44" s="292">
        <v>45620</v>
      </c>
      <c r="B44" s="285">
        <v>45620</v>
      </c>
      <c r="F44" s="291"/>
    </row>
    <row r="45" spans="1:6" x14ac:dyDescent="0.15">
      <c r="A45" s="292">
        <v>45620</v>
      </c>
      <c r="B45" s="285" t="s">
        <v>234</v>
      </c>
      <c r="F45" s="291"/>
    </row>
    <row r="46" spans="1:6" x14ac:dyDescent="0.15">
      <c r="A46" s="292">
        <v>45620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45621</v>
      </c>
      <c r="B5" s="297">
        <v>45621</v>
      </c>
      <c r="C5" s="296"/>
      <c r="D5" s="295"/>
      <c r="E5" s="294"/>
      <c r="F5" s="293"/>
    </row>
    <row r="6" spans="1:6" x14ac:dyDescent="0.15">
      <c r="A6" s="292">
        <v>45622</v>
      </c>
      <c r="B6" s="285">
        <v>45622</v>
      </c>
      <c r="F6" s="291"/>
    </row>
    <row r="7" spans="1:6" x14ac:dyDescent="0.15">
      <c r="A7" s="292">
        <v>45623</v>
      </c>
      <c r="B7" s="285">
        <v>45623</v>
      </c>
      <c r="F7" s="291"/>
    </row>
    <row r="8" spans="1:6" x14ac:dyDescent="0.15">
      <c r="A8" s="292">
        <v>45624</v>
      </c>
      <c r="B8" s="285">
        <v>45624</v>
      </c>
      <c r="F8" s="291"/>
    </row>
    <row r="9" spans="1:6" x14ac:dyDescent="0.15">
      <c r="A9" s="292">
        <v>45625</v>
      </c>
      <c r="B9" s="285">
        <v>45625</v>
      </c>
      <c r="F9" s="291"/>
    </row>
    <row r="10" spans="1:6" x14ac:dyDescent="0.15">
      <c r="A10" s="292">
        <v>45626</v>
      </c>
      <c r="B10" s="285">
        <v>45626</v>
      </c>
      <c r="F10" s="291"/>
    </row>
    <row r="11" spans="1:6" x14ac:dyDescent="0.15">
      <c r="A11" s="292">
        <v>45627</v>
      </c>
      <c r="B11" s="285">
        <v>45627</v>
      </c>
      <c r="F11" s="291"/>
    </row>
    <row r="12" spans="1:6" x14ac:dyDescent="0.15">
      <c r="A12" s="292">
        <v>45627</v>
      </c>
      <c r="B12" s="285" t="s">
        <v>234</v>
      </c>
      <c r="F12" s="291"/>
    </row>
    <row r="13" spans="1:6" x14ac:dyDescent="0.15">
      <c r="A13" s="292">
        <v>45627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45628</v>
      </c>
      <c r="B16" s="297">
        <v>45628</v>
      </c>
      <c r="C16" s="296"/>
      <c r="D16" s="295"/>
      <c r="E16" s="294"/>
      <c r="F16" s="293"/>
    </row>
    <row r="17" spans="1:6" x14ac:dyDescent="0.15">
      <c r="A17" s="292">
        <v>45629</v>
      </c>
      <c r="B17" s="285">
        <v>45629</v>
      </c>
      <c r="F17" s="291"/>
    </row>
    <row r="18" spans="1:6" x14ac:dyDescent="0.15">
      <c r="A18" s="292">
        <v>45630</v>
      </c>
      <c r="B18" s="285">
        <v>45630</v>
      </c>
      <c r="F18" s="291"/>
    </row>
    <row r="19" spans="1:6" x14ac:dyDescent="0.15">
      <c r="A19" s="292">
        <v>45631</v>
      </c>
      <c r="B19" s="285">
        <v>45631</v>
      </c>
      <c r="F19" s="291"/>
    </row>
    <row r="20" spans="1:6" x14ac:dyDescent="0.15">
      <c r="A20" s="292">
        <v>45632</v>
      </c>
      <c r="B20" s="285">
        <v>45632</v>
      </c>
      <c r="F20" s="291"/>
    </row>
    <row r="21" spans="1:6" x14ac:dyDescent="0.15">
      <c r="A21" s="292">
        <v>45633</v>
      </c>
      <c r="B21" s="285">
        <v>45633</v>
      </c>
      <c r="F21" s="291"/>
    </row>
    <row r="22" spans="1:6" x14ac:dyDescent="0.15">
      <c r="A22" s="292">
        <v>45634</v>
      </c>
      <c r="B22" s="285">
        <v>45634</v>
      </c>
      <c r="F22" s="291"/>
    </row>
    <row r="23" spans="1:6" x14ac:dyDescent="0.15">
      <c r="A23" s="292">
        <v>45634</v>
      </c>
      <c r="B23" s="285" t="s">
        <v>234</v>
      </c>
      <c r="F23" s="291"/>
    </row>
    <row r="24" spans="1:6" x14ac:dyDescent="0.15">
      <c r="A24" s="292">
        <v>45634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45635</v>
      </c>
      <c r="B27" s="297">
        <v>45635</v>
      </c>
      <c r="C27" s="296"/>
      <c r="D27" s="295"/>
      <c r="E27" s="294"/>
      <c r="F27" s="293"/>
    </row>
    <row r="28" spans="1:6" x14ac:dyDescent="0.15">
      <c r="A28" s="292">
        <v>45636</v>
      </c>
      <c r="B28" s="285">
        <v>45636</v>
      </c>
      <c r="F28" s="291"/>
    </row>
    <row r="29" spans="1:6" x14ac:dyDescent="0.15">
      <c r="A29" s="292">
        <v>45637</v>
      </c>
      <c r="B29" s="285">
        <v>45637</v>
      </c>
      <c r="F29" s="291"/>
    </row>
    <row r="30" spans="1:6" x14ac:dyDescent="0.15">
      <c r="A30" s="292">
        <v>45638</v>
      </c>
      <c r="B30" s="285">
        <v>45638</v>
      </c>
      <c r="F30" s="291"/>
    </row>
    <row r="31" spans="1:6" x14ac:dyDescent="0.15">
      <c r="A31" s="292">
        <v>45639</v>
      </c>
      <c r="B31" s="285">
        <v>45639</v>
      </c>
      <c r="F31" s="291"/>
    </row>
    <row r="32" spans="1:6" x14ac:dyDescent="0.15">
      <c r="A32" s="292">
        <v>45640</v>
      </c>
      <c r="B32" s="285">
        <v>45640</v>
      </c>
      <c r="F32" s="291"/>
    </row>
    <row r="33" spans="1:6" x14ac:dyDescent="0.15">
      <c r="A33" s="292">
        <v>45641</v>
      </c>
      <c r="B33" s="285">
        <v>45641</v>
      </c>
      <c r="F33" s="291"/>
    </row>
    <row r="34" spans="1:6" x14ac:dyDescent="0.15">
      <c r="A34" s="292">
        <v>45641</v>
      </c>
      <c r="B34" s="285" t="s">
        <v>234</v>
      </c>
      <c r="F34" s="291"/>
    </row>
    <row r="35" spans="1:6" x14ac:dyDescent="0.15">
      <c r="A35" s="292">
        <v>45641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45642</v>
      </c>
      <c r="B38" s="297">
        <v>45642</v>
      </c>
      <c r="C38" s="296"/>
      <c r="D38" s="295"/>
      <c r="E38" s="294"/>
      <c r="F38" s="293"/>
    </row>
    <row r="39" spans="1:6" x14ac:dyDescent="0.15">
      <c r="A39" s="292">
        <v>45643</v>
      </c>
      <c r="B39" s="285">
        <v>45643</v>
      </c>
      <c r="F39" s="291"/>
    </row>
    <row r="40" spans="1:6" x14ac:dyDescent="0.15">
      <c r="A40" s="292">
        <v>45644</v>
      </c>
      <c r="B40" s="285">
        <v>45644</v>
      </c>
      <c r="F40" s="291"/>
    </row>
    <row r="41" spans="1:6" x14ac:dyDescent="0.15">
      <c r="A41" s="292">
        <v>45645</v>
      </c>
      <c r="B41" s="285">
        <v>45645</v>
      </c>
      <c r="F41" s="291"/>
    </row>
    <row r="42" spans="1:6" x14ac:dyDescent="0.15">
      <c r="A42" s="292">
        <v>45646</v>
      </c>
      <c r="B42" s="285">
        <v>45646</v>
      </c>
      <c r="F42" s="291"/>
    </row>
    <row r="43" spans="1:6" x14ac:dyDescent="0.15">
      <c r="A43" s="292">
        <v>45647</v>
      </c>
      <c r="B43" s="285">
        <v>45647</v>
      </c>
      <c r="F43" s="291"/>
    </row>
    <row r="44" spans="1:6" x14ac:dyDescent="0.15">
      <c r="A44" s="292">
        <v>45648</v>
      </c>
      <c r="B44" s="285">
        <v>45648</v>
      </c>
      <c r="F44" s="291"/>
    </row>
    <row r="45" spans="1:6" x14ac:dyDescent="0.15">
      <c r="A45" s="292">
        <v>45648</v>
      </c>
      <c r="B45" s="285" t="s">
        <v>234</v>
      </c>
      <c r="F45" s="291"/>
    </row>
    <row r="46" spans="1:6" x14ac:dyDescent="0.15">
      <c r="A46" s="292">
        <v>45648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45649</v>
      </c>
      <c r="B49" s="297">
        <v>45649</v>
      </c>
      <c r="C49" s="296"/>
      <c r="D49" s="295"/>
      <c r="E49" s="294"/>
      <c r="F49" s="293"/>
    </row>
    <row r="50" spans="1:6" x14ac:dyDescent="0.15">
      <c r="A50" s="292">
        <v>45650</v>
      </c>
      <c r="B50" s="285">
        <v>45650</v>
      </c>
      <c r="F50" s="291"/>
    </row>
    <row r="51" spans="1:6" x14ac:dyDescent="0.15">
      <c r="A51" s="292">
        <v>45651</v>
      </c>
      <c r="B51" s="285">
        <v>45651</v>
      </c>
      <c r="F51" s="291"/>
    </row>
    <row r="52" spans="1:6" x14ac:dyDescent="0.15">
      <c r="A52" s="292">
        <v>45652</v>
      </c>
      <c r="B52" s="285">
        <v>45652</v>
      </c>
      <c r="F52" s="291"/>
    </row>
    <row r="53" spans="1:6" x14ac:dyDescent="0.15">
      <c r="A53" s="292">
        <v>45653</v>
      </c>
      <c r="B53" s="285">
        <v>45653</v>
      </c>
      <c r="F53" s="291"/>
    </row>
    <row r="54" spans="1:6" x14ac:dyDescent="0.15">
      <c r="A54" s="292">
        <v>45654</v>
      </c>
      <c r="B54" s="285">
        <v>45654</v>
      </c>
      <c r="F54" s="291"/>
    </row>
    <row r="55" spans="1:6" x14ac:dyDescent="0.15">
      <c r="A55" s="292">
        <v>45655</v>
      </c>
      <c r="B55" s="285">
        <v>45655</v>
      </c>
      <c r="F55" s="291"/>
    </row>
    <row r="56" spans="1:6" x14ac:dyDescent="0.15">
      <c r="A56" s="292">
        <v>45655</v>
      </c>
      <c r="B56" s="285" t="s">
        <v>234</v>
      </c>
      <c r="F56" s="291"/>
    </row>
    <row r="57" spans="1:6" x14ac:dyDescent="0.15">
      <c r="A57" s="292">
        <v>45655</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45656</v>
      </c>
      <c r="B5" s="297">
        <v>45656</v>
      </c>
      <c r="C5" s="296"/>
      <c r="D5" s="295"/>
      <c r="E5" s="294"/>
      <c r="F5" s="293"/>
    </row>
    <row r="6" spans="1:6" x14ac:dyDescent="0.15">
      <c r="A6" s="292">
        <v>45657</v>
      </c>
      <c r="B6" s="285">
        <v>45657</v>
      </c>
      <c r="F6" s="291"/>
    </row>
    <row r="7" spans="1:6" x14ac:dyDescent="0.15">
      <c r="A7" s="292">
        <v>45658</v>
      </c>
      <c r="B7" s="285">
        <v>45658</v>
      </c>
      <c r="F7" s="291"/>
    </row>
    <row r="8" spans="1:6" x14ac:dyDescent="0.15">
      <c r="A8" s="292">
        <v>45659</v>
      </c>
      <c r="B8" s="285">
        <v>45659</v>
      </c>
      <c r="F8" s="291"/>
    </row>
    <row r="9" spans="1:6" x14ac:dyDescent="0.15">
      <c r="A9" s="292">
        <v>45660</v>
      </c>
      <c r="B9" s="285">
        <v>45660</v>
      </c>
      <c r="F9" s="291"/>
    </row>
    <row r="10" spans="1:6" x14ac:dyDescent="0.15">
      <c r="A10" s="292">
        <v>45661</v>
      </c>
      <c r="B10" s="285">
        <v>45661</v>
      </c>
      <c r="F10" s="291"/>
    </row>
    <row r="11" spans="1:6" x14ac:dyDescent="0.15">
      <c r="A11" s="292">
        <v>45662</v>
      </c>
      <c r="B11" s="285">
        <v>45662</v>
      </c>
      <c r="F11" s="291"/>
    </row>
    <row r="12" spans="1:6" x14ac:dyDescent="0.15">
      <c r="A12" s="292">
        <v>45662</v>
      </c>
      <c r="B12" s="285" t="s">
        <v>234</v>
      </c>
      <c r="F12" s="291"/>
    </row>
    <row r="13" spans="1:6" x14ac:dyDescent="0.15">
      <c r="A13" s="292">
        <v>45662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45663</v>
      </c>
      <c r="B16" s="297">
        <v>45663</v>
      </c>
      <c r="C16" s="296"/>
      <c r="D16" s="295"/>
      <c r="E16" s="294"/>
      <c r="F16" s="293"/>
    </row>
    <row r="17" spans="1:6" x14ac:dyDescent="0.15">
      <c r="A17" s="292">
        <v>45664</v>
      </c>
      <c r="B17" s="285">
        <v>45664</v>
      </c>
      <c r="F17" s="291"/>
    </row>
    <row r="18" spans="1:6" x14ac:dyDescent="0.15">
      <c r="A18" s="292">
        <v>45665</v>
      </c>
      <c r="B18" s="285">
        <v>45665</v>
      </c>
      <c r="F18" s="291"/>
    </row>
    <row r="19" spans="1:6" x14ac:dyDescent="0.15">
      <c r="A19" s="292">
        <v>45666</v>
      </c>
      <c r="B19" s="285">
        <v>45666</v>
      </c>
      <c r="F19" s="291"/>
    </row>
    <row r="20" spans="1:6" x14ac:dyDescent="0.15">
      <c r="A20" s="292">
        <v>45667</v>
      </c>
      <c r="B20" s="285">
        <v>45667</v>
      </c>
      <c r="F20" s="291"/>
    </row>
    <row r="21" spans="1:6" x14ac:dyDescent="0.15">
      <c r="A21" s="292">
        <v>45668</v>
      </c>
      <c r="B21" s="285">
        <v>45668</v>
      </c>
      <c r="F21" s="291"/>
    </row>
    <row r="22" spans="1:6" x14ac:dyDescent="0.15">
      <c r="A22" s="292">
        <v>45669</v>
      </c>
      <c r="B22" s="285">
        <v>45669</v>
      </c>
      <c r="F22" s="291"/>
    </row>
    <row r="23" spans="1:6" x14ac:dyDescent="0.15">
      <c r="A23" s="292">
        <v>45669</v>
      </c>
      <c r="B23" s="285" t="s">
        <v>234</v>
      </c>
      <c r="F23" s="291"/>
    </row>
    <row r="24" spans="1:6" x14ac:dyDescent="0.15">
      <c r="A24" s="292">
        <v>45669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45670</v>
      </c>
      <c r="B27" s="297">
        <v>45670</v>
      </c>
      <c r="C27" s="296"/>
      <c r="D27" s="295"/>
      <c r="E27" s="294"/>
      <c r="F27" s="293"/>
    </row>
    <row r="28" spans="1:6" x14ac:dyDescent="0.15">
      <c r="A28" s="292">
        <v>45671</v>
      </c>
      <c r="B28" s="285">
        <v>45671</v>
      </c>
      <c r="F28" s="291"/>
    </row>
    <row r="29" spans="1:6" x14ac:dyDescent="0.15">
      <c r="A29" s="292">
        <v>45672</v>
      </c>
      <c r="B29" s="285">
        <v>45672</v>
      </c>
      <c r="F29" s="291"/>
    </row>
    <row r="30" spans="1:6" x14ac:dyDescent="0.15">
      <c r="A30" s="292">
        <v>45673</v>
      </c>
      <c r="B30" s="285">
        <v>45673</v>
      </c>
      <c r="F30" s="291"/>
    </row>
    <row r="31" spans="1:6" x14ac:dyDescent="0.15">
      <c r="A31" s="292">
        <v>45674</v>
      </c>
      <c r="B31" s="285">
        <v>45674</v>
      </c>
      <c r="F31" s="291"/>
    </row>
    <row r="32" spans="1:6" x14ac:dyDescent="0.15">
      <c r="A32" s="292">
        <v>45675</v>
      </c>
      <c r="B32" s="285">
        <v>45675</v>
      </c>
      <c r="F32" s="291"/>
    </row>
    <row r="33" spans="1:6" x14ac:dyDescent="0.15">
      <c r="A33" s="292">
        <v>45676</v>
      </c>
      <c r="B33" s="285">
        <v>45676</v>
      </c>
      <c r="F33" s="291"/>
    </row>
    <row r="34" spans="1:6" x14ac:dyDescent="0.15">
      <c r="A34" s="292">
        <v>45676</v>
      </c>
      <c r="B34" s="285" t="s">
        <v>234</v>
      </c>
      <c r="F34" s="291"/>
    </row>
    <row r="35" spans="1:6" x14ac:dyDescent="0.15">
      <c r="A35" s="292">
        <v>45676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45677</v>
      </c>
      <c r="B38" s="297">
        <v>45677</v>
      </c>
      <c r="C38" s="296"/>
      <c r="D38" s="295"/>
      <c r="E38" s="294"/>
      <c r="F38" s="293"/>
    </row>
    <row r="39" spans="1:6" x14ac:dyDescent="0.15">
      <c r="A39" s="292">
        <v>45678</v>
      </c>
      <c r="B39" s="285">
        <v>45678</v>
      </c>
      <c r="F39" s="291"/>
    </row>
    <row r="40" spans="1:6" x14ac:dyDescent="0.15">
      <c r="A40" s="292">
        <v>45679</v>
      </c>
      <c r="B40" s="285">
        <v>45679</v>
      </c>
      <c r="F40" s="291"/>
    </row>
    <row r="41" spans="1:6" x14ac:dyDescent="0.15">
      <c r="A41" s="292">
        <v>45680</v>
      </c>
      <c r="B41" s="285">
        <v>45680</v>
      </c>
      <c r="F41" s="291"/>
    </row>
    <row r="42" spans="1:6" x14ac:dyDescent="0.15">
      <c r="A42" s="292">
        <v>45681</v>
      </c>
      <c r="B42" s="285">
        <v>45681</v>
      </c>
      <c r="F42" s="291"/>
    </row>
    <row r="43" spans="1:6" x14ac:dyDescent="0.15">
      <c r="A43" s="292">
        <v>45682</v>
      </c>
      <c r="B43" s="285">
        <v>45682</v>
      </c>
      <c r="F43" s="291"/>
    </row>
    <row r="44" spans="1:6" x14ac:dyDescent="0.15">
      <c r="A44" s="292">
        <v>45683</v>
      </c>
      <c r="B44" s="285">
        <v>45683</v>
      </c>
      <c r="F44" s="291"/>
    </row>
    <row r="45" spans="1:6" x14ac:dyDescent="0.15">
      <c r="A45" s="292">
        <v>45683</v>
      </c>
      <c r="B45" s="285" t="s">
        <v>234</v>
      </c>
      <c r="F45" s="291"/>
    </row>
    <row r="46" spans="1:6" x14ac:dyDescent="0.15">
      <c r="A46" s="292">
        <v>45683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45684</v>
      </c>
      <c r="B5" s="297">
        <v>45684</v>
      </c>
      <c r="C5" s="296"/>
      <c r="D5" s="295"/>
      <c r="E5" s="294"/>
      <c r="F5" s="293"/>
    </row>
    <row r="6" spans="1:6" x14ac:dyDescent="0.15">
      <c r="A6" s="292">
        <v>45685</v>
      </c>
      <c r="B6" s="285">
        <v>45685</v>
      </c>
      <c r="F6" s="291"/>
    </row>
    <row r="7" spans="1:6" x14ac:dyDescent="0.15">
      <c r="A7" s="292">
        <v>45686</v>
      </c>
      <c r="B7" s="285">
        <v>45686</v>
      </c>
      <c r="F7" s="291"/>
    </row>
    <row r="8" spans="1:6" x14ac:dyDescent="0.15">
      <c r="A8" s="292">
        <v>45687</v>
      </c>
      <c r="B8" s="285">
        <v>45687</v>
      </c>
      <c r="F8" s="291"/>
    </row>
    <row r="9" spans="1:6" x14ac:dyDescent="0.15">
      <c r="A9" s="292">
        <v>45688</v>
      </c>
      <c r="B9" s="285">
        <v>45688</v>
      </c>
      <c r="F9" s="291"/>
    </row>
    <row r="10" spans="1:6" x14ac:dyDescent="0.15">
      <c r="A10" s="292">
        <v>45689</v>
      </c>
      <c r="B10" s="285">
        <v>45689</v>
      </c>
      <c r="F10" s="291"/>
    </row>
    <row r="11" spans="1:6" x14ac:dyDescent="0.15">
      <c r="A11" s="292">
        <v>45690</v>
      </c>
      <c r="B11" s="285">
        <v>45690</v>
      </c>
      <c r="F11" s="291"/>
    </row>
    <row r="12" spans="1:6" x14ac:dyDescent="0.15">
      <c r="A12" s="292">
        <v>45690</v>
      </c>
      <c r="B12" s="285" t="s">
        <v>234</v>
      </c>
      <c r="F12" s="291"/>
    </row>
    <row r="13" spans="1:6" x14ac:dyDescent="0.15">
      <c r="A13" s="292">
        <v>45690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45691</v>
      </c>
      <c r="B16" s="297">
        <v>45691</v>
      </c>
      <c r="C16" s="296"/>
      <c r="D16" s="295"/>
      <c r="E16" s="294"/>
      <c r="F16" s="293"/>
    </row>
    <row r="17" spans="1:6" x14ac:dyDescent="0.15">
      <c r="A17" s="292">
        <v>45692</v>
      </c>
      <c r="B17" s="285">
        <v>45692</v>
      </c>
      <c r="F17" s="291"/>
    </row>
    <row r="18" spans="1:6" x14ac:dyDescent="0.15">
      <c r="A18" s="292">
        <v>45693</v>
      </c>
      <c r="B18" s="285">
        <v>45693</v>
      </c>
      <c r="F18" s="291"/>
    </row>
    <row r="19" spans="1:6" x14ac:dyDescent="0.15">
      <c r="A19" s="292">
        <v>45694</v>
      </c>
      <c r="B19" s="285">
        <v>45694</v>
      </c>
      <c r="F19" s="291"/>
    </row>
    <row r="20" spans="1:6" x14ac:dyDescent="0.15">
      <c r="A20" s="292">
        <v>45695</v>
      </c>
      <c r="B20" s="285">
        <v>45695</v>
      </c>
      <c r="F20" s="291"/>
    </row>
    <row r="21" spans="1:6" x14ac:dyDescent="0.15">
      <c r="A21" s="292">
        <v>45696</v>
      </c>
      <c r="B21" s="285">
        <v>45696</v>
      </c>
      <c r="F21" s="291"/>
    </row>
    <row r="22" spans="1:6" x14ac:dyDescent="0.15">
      <c r="A22" s="292">
        <v>45697</v>
      </c>
      <c r="B22" s="285">
        <v>45697</v>
      </c>
      <c r="F22" s="291"/>
    </row>
    <row r="23" spans="1:6" x14ac:dyDescent="0.15">
      <c r="A23" s="292">
        <v>45697</v>
      </c>
      <c r="B23" s="285" t="s">
        <v>234</v>
      </c>
      <c r="F23" s="291"/>
    </row>
    <row r="24" spans="1:6" x14ac:dyDescent="0.15">
      <c r="A24" s="292">
        <v>45697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45698</v>
      </c>
      <c r="B27" s="297">
        <v>45698</v>
      </c>
      <c r="C27" s="296"/>
      <c r="D27" s="295"/>
      <c r="E27" s="294"/>
      <c r="F27" s="293"/>
    </row>
    <row r="28" spans="1:6" x14ac:dyDescent="0.15">
      <c r="A28" s="292">
        <v>45699</v>
      </c>
      <c r="B28" s="285">
        <v>45699</v>
      </c>
      <c r="F28" s="291"/>
    </row>
    <row r="29" spans="1:6" x14ac:dyDescent="0.15">
      <c r="A29" s="292">
        <v>45700</v>
      </c>
      <c r="B29" s="285">
        <v>45700</v>
      </c>
      <c r="F29" s="291"/>
    </row>
    <row r="30" spans="1:6" x14ac:dyDescent="0.15">
      <c r="A30" s="292">
        <v>45701</v>
      </c>
      <c r="B30" s="285">
        <v>45701</v>
      </c>
      <c r="F30" s="291"/>
    </row>
    <row r="31" spans="1:6" x14ac:dyDescent="0.15">
      <c r="A31" s="292">
        <v>45702</v>
      </c>
      <c r="B31" s="285">
        <v>45702</v>
      </c>
      <c r="F31" s="291"/>
    </row>
    <row r="32" spans="1:6" x14ac:dyDescent="0.15">
      <c r="A32" s="292">
        <v>45703</v>
      </c>
      <c r="B32" s="285">
        <v>45703</v>
      </c>
      <c r="F32" s="291"/>
    </row>
    <row r="33" spans="1:6" x14ac:dyDescent="0.15">
      <c r="A33" s="292">
        <v>45704</v>
      </c>
      <c r="B33" s="285">
        <v>45704</v>
      </c>
      <c r="F33" s="291"/>
    </row>
    <row r="34" spans="1:6" x14ac:dyDescent="0.15">
      <c r="A34" s="292">
        <v>45704</v>
      </c>
      <c r="B34" s="285" t="s">
        <v>234</v>
      </c>
      <c r="F34" s="291"/>
    </row>
    <row r="35" spans="1:6" x14ac:dyDescent="0.15">
      <c r="A35" s="292">
        <v>45704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45705</v>
      </c>
      <c r="B38" s="297">
        <v>45705</v>
      </c>
      <c r="C38" s="296"/>
      <c r="D38" s="295"/>
      <c r="E38" s="294"/>
      <c r="F38" s="293"/>
    </row>
    <row r="39" spans="1:6" x14ac:dyDescent="0.15">
      <c r="A39" s="292">
        <v>45706</v>
      </c>
      <c r="B39" s="285">
        <v>45706</v>
      </c>
      <c r="F39" s="291"/>
    </row>
    <row r="40" spans="1:6" x14ac:dyDescent="0.15">
      <c r="A40" s="292">
        <v>45707</v>
      </c>
      <c r="B40" s="285">
        <v>45707</v>
      </c>
      <c r="F40" s="291"/>
    </row>
    <row r="41" spans="1:6" x14ac:dyDescent="0.15">
      <c r="A41" s="292">
        <v>45708</v>
      </c>
      <c r="B41" s="285">
        <v>45708</v>
      </c>
      <c r="F41" s="291"/>
    </row>
    <row r="42" spans="1:6" x14ac:dyDescent="0.15">
      <c r="A42" s="292">
        <v>45709</v>
      </c>
      <c r="B42" s="285">
        <v>45709</v>
      </c>
      <c r="F42" s="291"/>
    </row>
    <row r="43" spans="1:6" x14ac:dyDescent="0.15">
      <c r="A43" s="292">
        <v>45710</v>
      </c>
      <c r="B43" s="285">
        <v>45710</v>
      </c>
      <c r="F43" s="291"/>
    </row>
    <row r="44" spans="1:6" x14ac:dyDescent="0.15">
      <c r="A44" s="292">
        <v>45711</v>
      </c>
      <c r="B44" s="285">
        <v>45711</v>
      </c>
      <c r="F44" s="291"/>
    </row>
    <row r="45" spans="1:6" x14ac:dyDescent="0.15">
      <c r="A45" s="292">
        <v>45711</v>
      </c>
      <c r="B45" s="285" t="s">
        <v>234</v>
      </c>
      <c r="F45" s="291"/>
    </row>
    <row r="46" spans="1:6" x14ac:dyDescent="0.15">
      <c r="A46" s="292">
        <v>45711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8"/>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SUM(D4:D68)</f>
        <v>0</v>
      </c>
      <c r="E1" s="303">
        <f>SUM(E4:E68)/2</f>
        <v>0</v>
      </c>
      <c r="F1" s="303">
        <f>SUM(F4:F68)/2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45712</v>
      </c>
      <c r="B5" s="297">
        <v>45712</v>
      </c>
      <c r="C5" s="296"/>
      <c r="D5" s="295"/>
      <c r="E5" s="294"/>
      <c r="F5" s="293"/>
    </row>
    <row r="6" spans="1:6" x14ac:dyDescent="0.15">
      <c r="A6" s="292">
        <v>45713</v>
      </c>
      <c r="B6" s="285">
        <v>45713</v>
      </c>
      <c r="F6" s="291"/>
    </row>
    <row r="7" spans="1:6" x14ac:dyDescent="0.15">
      <c r="A7" s="292">
        <v>45714</v>
      </c>
      <c r="B7" s="285">
        <v>45714</v>
      </c>
      <c r="F7" s="291"/>
    </row>
    <row r="8" spans="1:6" x14ac:dyDescent="0.15">
      <c r="A8" s="292">
        <v>45715</v>
      </c>
      <c r="B8" s="285">
        <v>45715</v>
      </c>
      <c r="F8" s="291"/>
    </row>
    <row r="9" spans="1:6" x14ac:dyDescent="0.15">
      <c r="A9" s="292">
        <v>45716</v>
      </c>
      <c r="B9" s="285">
        <v>45716</v>
      </c>
      <c r="F9" s="291"/>
    </row>
    <row r="10" spans="1:6" x14ac:dyDescent="0.15">
      <c r="A10" s="292">
        <v>45717</v>
      </c>
      <c r="B10" s="285">
        <v>45717</v>
      </c>
      <c r="F10" s="291"/>
    </row>
    <row r="11" spans="1:6" x14ac:dyDescent="0.15">
      <c r="A11" s="292">
        <v>45718</v>
      </c>
      <c r="B11" s="285">
        <v>45718</v>
      </c>
      <c r="F11" s="291"/>
    </row>
    <row r="12" spans="1:6" x14ac:dyDescent="0.15">
      <c r="A12" s="292">
        <v>45718</v>
      </c>
      <c r="B12" s="285" t="s">
        <v>234</v>
      </c>
      <c r="F12" s="291"/>
    </row>
    <row r="13" spans="1:6" x14ac:dyDescent="0.15">
      <c r="A13" s="292">
        <v>45718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45719</v>
      </c>
      <c r="B16" s="297">
        <v>45719</v>
      </c>
      <c r="C16" s="296"/>
      <c r="D16" s="295"/>
      <c r="E16" s="294"/>
      <c r="F16" s="293"/>
    </row>
    <row r="17" spans="1:6" x14ac:dyDescent="0.15">
      <c r="A17" s="292">
        <v>45720</v>
      </c>
      <c r="B17" s="285">
        <v>45720</v>
      </c>
      <c r="F17" s="291"/>
    </row>
    <row r="18" spans="1:6" x14ac:dyDescent="0.15">
      <c r="A18" s="292">
        <v>45721</v>
      </c>
      <c r="B18" s="285">
        <v>45721</v>
      </c>
      <c r="F18" s="291"/>
    </row>
    <row r="19" spans="1:6" x14ac:dyDescent="0.15">
      <c r="A19" s="292">
        <v>45722</v>
      </c>
      <c r="B19" s="285">
        <v>45722</v>
      </c>
      <c r="F19" s="291"/>
    </row>
    <row r="20" spans="1:6" x14ac:dyDescent="0.15">
      <c r="A20" s="292">
        <v>45723</v>
      </c>
      <c r="B20" s="285">
        <v>45723</v>
      </c>
      <c r="F20" s="291"/>
    </row>
    <row r="21" spans="1:6" x14ac:dyDescent="0.15">
      <c r="A21" s="292">
        <v>45724</v>
      </c>
      <c r="B21" s="285">
        <v>45724</v>
      </c>
      <c r="F21" s="291"/>
    </row>
    <row r="22" spans="1:6" x14ac:dyDescent="0.15">
      <c r="A22" s="292">
        <v>45725</v>
      </c>
      <c r="B22" s="285">
        <v>45725</v>
      </c>
      <c r="F22" s="291"/>
    </row>
    <row r="23" spans="1:6" x14ac:dyDescent="0.15">
      <c r="A23" s="292">
        <v>45725</v>
      </c>
      <c r="B23" s="285" t="s">
        <v>234</v>
      </c>
      <c r="F23" s="291"/>
    </row>
    <row r="24" spans="1:6" x14ac:dyDescent="0.15">
      <c r="A24" s="292">
        <v>45725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45726</v>
      </c>
      <c r="B27" s="297">
        <v>45726</v>
      </c>
      <c r="C27" s="296"/>
      <c r="D27" s="295"/>
      <c r="E27" s="294"/>
      <c r="F27" s="293"/>
    </row>
    <row r="28" spans="1:6" x14ac:dyDescent="0.15">
      <c r="A28" s="292">
        <v>45727</v>
      </c>
      <c r="B28" s="285">
        <v>45727</v>
      </c>
      <c r="F28" s="291"/>
    </row>
    <row r="29" spans="1:6" x14ac:dyDescent="0.15">
      <c r="A29" s="292">
        <v>45728</v>
      </c>
      <c r="B29" s="285">
        <v>45728</v>
      </c>
      <c r="F29" s="291"/>
    </row>
    <row r="30" spans="1:6" x14ac:dyDescent="0.15">
      <c r="A30" s="292">
        <v>45729</v>
      </c>
      <c r="B30" s="285">
        <v>45729</v>
      </c>
      <c r="F30" s="291"/>
    </row>
    <row r="31" spans="1:6" x14ac:dyDescent="0.15">
      <c r="A31" s="292">
        <v>45730</v>
      </c>
      <c r="B31" s="285">
        <v>45730</v>
      </c>
      <c r="F31" s="291"/>
    </row>
    <row r="32" spans="1:6" x14ac:dyDescent="0.15">
      <c r="A32" s="292">
        <v>45731</v>
      </c>
      <c r="B32" s="285">
        <v>45731</v>
      </c>
      <c r="F32" s="291"/>
    </row>
    <row r="33" spans="1:6" x14ac:dyDescent="0.15">
      <c r="A33" s="292">
        <v>45732</v>
      </c>
      <c r="B33" s="285">
        <v>45732</v>
      </c>
      <c r="F33" s="291"/>
    </row>
    <row r="34" spans="1:6" x14ac:dyDescent="0.15">
      <c r="A34" s="292">
        <v>45732</v>
      </c>
      <c r="B34" s="285" t="s">
        <v>234</v>
      </c>
      <c r="F34" s="291"/>
    </row>
    <row r="35" spans="1:6" x14ac:dyDescent="0.15">
      <c r="A35" s="292">
        <v>45732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45733</v>
      </c>
      <c r="B38" s="297">
        <v>45733</v>
      </c>
      <c r="C38" s="296"/>
      <c r="D38" s="295"/>
      <c r="E38" s="294"/>
      <c r="F38" s="293"/>
    </row>
    <row r="39" spans="1:6" x14ac:dyDescent="0.15">
      <c r="A39" s="292">
        <v>45734</v>
      </c>
      <c r="B39" s="285">
        <v>45734</v>
      </c>
      <c r="F39" s="291"/>
    </row>
    <row r="40" spans="1:6" x14ac:dyDescent="0.15">
      <c r="A40" s="292">
        <v>45735</v>
      </c>
      <c r="B40" s="285">
        <v>45735</v>
      </c>
      <c r="F40" s="291"/>
    </row>
    <row r="41" spans="1:6" x14ac:dyDescent="0.15">
      <c r="A41" s="292">
        <v>45736</v>
      </c>
      <c r="B41" s="285">
        <v>45736</v>
      </c>
      <c r="F41" s="291"/>
    </row>
    <row r="42" spans="1:6" x14ac:dyDescent="0.15">
      <c r="A42" s="292">
        <v>45737</v>
      </c>
      <c r="B42" s="285">
        <v>45737</v>
      </c>
      <c r="F42" s="291"/>
    </row>
    <row r="43" spans="1:6" x14ac:dyDescent="0.15">
      <c r="A43" s="292">
        <v>45738</v>
      </c>
      <c r="B43" s="285">
        <v>45738</v>
      </c>
      <c r="F43" s="291"/>
    </row>
    <row r="44" spans="1:6" x14ac:dyDescent="0.15">
      <c r="A44" s="292">
        <v>45739</v>
      </c>
      <c r="B44" s="285">
        <v>45739</v>
      </c>
      <c r="F44" s="291"/>
    </row>
    <row r="45" spans="1:6" x14ac:dyDescent="0.15">
      <c r="A45" s="292">
        <v>45739</v>
      </c>
      <c r="B45" s="285" t="s">
        <v>234</v>
      </c>
      <c r="F45" s="291"/>
    </row>
    <row r="46" spans="1:6" x14ac:dyDescent="0.15">
      <c r="A46" s="292">
        <v>45739</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45740</v>
      </c>
      <c r="B49" s="297">
        <v>45740</v>
      </c>
      <c r="C49" s="296"/>
      <c r="D49" s="295"/>
      <c r="E49" s="294"/>
      <c r="F49" s="293"/>
    </row>
    <row r="50" spans="1:6" x14ac:dyDescent="0.15">
      <c r="A50" s="292">
        <v>45741</v>
      </c>
      <c r="B50" s="285">
        <v>45741</v>
      </c>
      <c r="F50" s="291"/>
    </row>
    <row r="51" spans="1:6" x14ac:dyDescent="0.15">
      <c r="A51" s="292">
        <v>45742</v>
      </c>
      <c r="B51" s="285">
        <v>45742</v>
      </c>
      <c r="F51" s="291"/>
    </row>
    <row r="52" spans="1:6" x14ac:dyDescent="0.15">
      <c r="A52" s="292">
        <v>45743</v>
      </c>
      <c r="B52" s="285">
        <v>45743</v>
      </c>
      <c r="F52" s="291"/>
    </row>
    <row r="53" spans="1:6" x14ac:dyDescent="0.15">
      <c r="A53" s="292">
        <v>45744</v>
      </c>
      <c r="B53" s="285">
        <v>45744</v>
      </c>
      <c r="F53" s="291"/>
    </row>
    <row r="54" spans="1:6" x14ac:dyDescent="0.15">
      <c r="A54" s="292">
        <v>45745</v>
      </c>
      <c r="B54" s="285">
        <v>45745</v>
      </c>
      <c r="F54" s="291"/>
    </row>
    <row r="55" spans="1:6" x14ac:dyDescent="0.15">
      <c r="A55" s="292">
        <v>45746</v>
      </c>
      <c r="B55" s="285">
        <v>45746</v>
      </c>
      <c r="F55" s="291"/>
    </row>
    <row r="56" spans="1:6" x14ac:dyDescent="0.15">
      <c r="A56" s="292">
        <v>45746</v>
      </c>
      <c r="B56" s="285" t="s">
        <v>234</v>
      </c>
      <c r="F56" s="291"/>
    </row>
    <row r="57" spans="1:6" x14ac:dyDescent="0.15">
      <c r="A57" s="292">
        <v>45746</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45747</v>
      </c>
      <c r="B60" s="297">
        <v>45747</v>
      </c>
      <c r="C60" s="296"/>
      <c r="D60" s="295"/>
      <c r="E60" s="294"/>
      <c r="F60" s="293"/>
    </row>
    <row r="61" spans="1:6" x14ac:dyDescent="0.15">
      <c r="A61" s="292">
        <v>45748</v>
      </c>
      <c r="B61" s="285">
        <v>45748</v>
      </c>
      <c r="F61" s="291"/>
    </row>
    <row r="62" spans="1:6" x14ac:dyDescent="0.15">
      <c r="A62" s="292">
        <v>45749</v>
      </c>
      <c r="B62" s="285">
        <v>45749</v>
      </c>
      <c r="F62" s="291"/>
    </row>
    <row r="63" spans="1:6" x14ac:dyDescent="0.15">
      <c r="A63" s="292">
        <v>45750</v>
      </c>
      <c r="B63" s="285">
        <v>45750</v>
      </c>
      <c r="F63" s="291"/>
    </row>
    <row r="64" spans="1:6" x14ac:dyDescent="0.15">
      <c r="A64" s="292">
        <v>45751</v>
      </c>
      <c r="B64" s="285">
        <v>45751</v>
      </c>
      <c r="F64" s="291"/>
    </row>
    <row r="65" spans="1:6" x14ac:dyDescent="0.15">
      <c r="A65" s="292">
        <v>45752</v>
      </c>
      <c r="B65" s="285">
        <v>45752</v>
      </c>
      <c r="F65" s="291"/>
    </row>
    <row r="66" spans="1:6" x14ac:dyDescent="0.15">
      <c r="A66" s="292">
        <v>45752</v>
      </c>
      <c r="B66" s="285" t="s">
        <v>234</v>
      </c>
      <c r="F66" s="291"/>
    </row>
    <row r="67" spans="1:6" x14ac:dyDescent="0.15">
      <c r="A67" s="292">
        <v>45752</v>
      </c>
      <c r="B67" s="285" t="s">
        <v>233</v>
      </c>
      <c r="F67" s="291"/>
    </row>
    <row r="68" spans="1:6" ht="14" thickBot="1" x14ac:dyDescent="0.2">
      <c r="A68" s="290"/>
      <c r="B68" s="289"/>
      <c r="C68" s="287"/>
      <c r="D68" s="288"/>
      <c r="E68" s="300">
        <f>SUM(E60:E67)</f>
        <v>0</v>
      </c>
      <c r="F68" s="299">
        <f>SUM(F60:F67)</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45351</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45382</v>
      </c>
      <c r="C3" s="119"/>
      <c r="D3" s="119"/>
      <c r="E3" s="119"/>
      <c r="F3" s="119"/>
      <c r="G3" s="125"/>
      <c r="H3" s="119"/>
      <c r="I3" s="119"/>
      <c r="J3" s="126"/>
      <c r="K3" s="126"/>
      <c r="L3" s="121"/>
      <c r="M3" s="119"/>
      <c r="N3" s="119"/>
      <c r="O3" s="119"/>
    </row>
    <row r="4" spans="1:15" ht="12" customHeight="1" thickBot="1" x14ac:dyDescent="0.2">
      <c r="A4" s="119"/>
      <c r="B4" s="127">
        <v>45388</v>
      </c>
      <c r="C4" s="119"/>
      <c r="D4" s="510" t="s">
        <v>132</v>
      </c>
      <c r="E4" s="510"/>
      <c r="F4" s="510"/>
      <c r="G4" s="128">
        <v>1</v>
      </c>
      <c r="H4" s="119"/>
      <c r="I4" s="510" t="s">
        <v>73</v>
      </c>
      <c r="J4" s="510"/>
      <c r="K4" s="510"/>
      <c r="L4" s="510"/>
      <c r="M4" s="510"/>
      <c r="N4" s="129">
        <v>12570</v>
      </c>
      <c r="O4" s="125" t="s">
        <v>50</v>
      </c>
    </row>
    <row r="5" spans="1:15" ht="12" customHeight="1" x14ac:dyDescent="0.15">
      <c r="A5" s="119"/>
      <c r="B5" s="123">
        <v>45412</v>
      </c>
      <c r="C5" s="119"/>
      <c r="D5" s="510" t="s">
        <v>74</v>
      </c>
      <c r="E5" s="510"/>
      <c r="F5" s="510"/>
      <c r="G5" s="128">
        <v>0.18</v>
      </c>
      <c r="H5" s="119"/>
      <c r="I5" s="510" t="inlineStr">
        <is>
          <t>Personal allowance taper threshold</t>
        </is>
      </c>
      <c r="J5" s="119"/>
      <c r="K5" s="119"/>
      <c r="L5" s="119"/>
      <c r="M5" s="119"/>
      <c r="N5" s="130">
        <v>100000</v>
      </c>
      <c r="O5" s="125"/>
    </row>
    <row r="6" spans="1:15" ht="12" customHeight="1" x14ac:dyDescent="0.15">
      <c r="A6" s="119"/>
      <c r="B6" s="123">
        <v>45443</v>
      </c>
      <c r="C6" s="119"/>
      <c r="D6" s="119"/>
      <c r="E6" s="119"/>
      <c r="F6" s="119"/>
      <c r="G6" s="125"/>
      <c r="H6" s="119"/>
      <c r="I6" s="510" t="s">
        <v>75</v>
      </c>
      <c r="J6" s="510"/>
      <c r="K6" s="510"/>
      <c r="L6" s="510"/>
      <c r="M6" s="510"/>
      <c r="N6" s="128">
        <v>0.2</v>
      </c>
      <c r="O6" s="125" t="s">
        <v>76</v>
      </c>
    </row>
    <row r="7" spans="1:15" ht="12" customHeight="1" x14ac:dyDescent="0.15">
      <c r="A7" s="119"/>
      <c r="B7" s="123">
        <v>45473</v>
      </c>
      <c r="C7" s="119"/>
      <c r="D7" s="510" t="s">
        <v>77</v>
      </c>
      <c r="E7" s="510"/>
      <c r="F7" s="510"/>
      <c r="G7" s="125"/>
      <c r="H7" s="119"/>
      <c r="I7" s="510" t="s">
        <v>78</v>
      </c>
      <c r="J7" s="510"/>
      <c r="K7" s="510"/>
      <c r="L7" s="510"/>
      <c r="M7" s="510"/>
      <c r="N7" s="128">
        <v>0.4</v>
      </c>
      <c r="O7" s="125" t="s">
        <v>76</v>
      </c>
    </row>
    <row r="8" spans="1:15" ht="12" customHeight="1" x14ac:dyDescent="0.15">
      <c r="A8" s="119"/>
      <c r="B8" s="123">
        <v>45504</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45535</v>
      </c>
      <c r="C9" s="119"/>
      <c r="D9" s="119"/>
      <c r="E9" s="125"/>
      <c r="F9" s="119"/>
      <c r="G9" s="125"/>
      <c r="H9" s="119"/>
      <c r="I9" s="510" t="s">
        <v>81</v>
      </c>
      <c r="J9" s="517"/>
      <c r="K9" s="517"/>
      <c r="L9" s="131" t="s">
        <v>82</v>
      </c>
      <c r="M9" s="131" t="s">
        <v>83</v>
      </c>
      <c r="N9" s="132" t="s">
        <v>84</v>
      </c>
      <c r="O9" s="125"/>
    </row>
    <row r="10" spans="1:15" ht="12" customHeight="1" x14ac:dyDescent="0.15">
      <c r="A10" s="119"/>
      <c r="B10" s="123">
        <v>45565</v>
      </c>
      <c r="C10" s="119"/>
      <c r="D10" s="119"/>
      <c r="E10" s="125"/>
      <c r="F10" s="119"/>
      <c r="G10" s="125"/>
      <c r="H10" s="119"/>
      <c r="I10" s="119"/>
      <c r="J10" s="119"/>
      <c r="K10" s="119"/>
      <c r="L10" s="119"/>
      <c r="M10" s="119"/>
      <c r="N10" s="125"/>
      <c r="O10" s="125"/>
    </row>
    <row r="11" spans="1:15" ht="12" customHeight="1" x14ac:dyDescent="0.15">
      <c r="A11" s="119"/>
      <c r="B11" s="123">
        <v>45596</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45626</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45657</v>
      </c>
      <c r="C13" s="119"/>
      <c r="D13" s="510" t="s">
        <v>88</v>
      </c>
      <c r="E13" s="510"/>
      <c r="F13" s="510"/>
      <c r="G13" s="128">
        <v>0</v>
      </c>
      <c r="H13" s="119"/>
      <c r="I13" s="119" t="inlineStr">
        <is>
          <t>Additional rate</t>
        </is>
      </c>
      <c r="J13" s="119"/>
      <c r="K13" s="133">
        <v>0.45</v>
      </c>
      <c r="L13" s="125">
        <v>125141</v>
      </c>
      <c r="M13" s="119"/>
      <c r="N13" s="130">
        <v>125140</v>
      </c>
      <c r="O13" s="119"/>
    </row>
    <row r="14" spans="1:15" ht="12" customHeight="1" x14ac:dyDescent="0.15">
      <c r="A14" s="119"/>
      <c r="B14" s="123">
        <v>45688</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45716</v>
      </c>
      <c r="C15" s="119"/>
      <c r="D15" s="510" t="s">
        <v>91</v>
      </c>
      <c r="E15" s="510"/>
      <c r="F15" s="510"/>
      <c r="G15" s="128">
        <v>0.2</v>
      </c>
      <c r="H15" s="119"/>
      <c r="I15" s="119"/>
      <c r="J15" s="119"/>
      <c r="K15" s="119"/>
      <c r="L15" s="119"/>
      <c r="M15" s="119"/>
      <c r="N15" s="119"/>
      <c r="O15" s="119"/>
    </row>
    <row r="16" spans="1:15" ht="12" customHeight="1" thickBot="1" x14ac:dyDescent="0.2">
      <c r="A16" s="119"/>
      <c r="B16" s="123">
        <v>45747</v>
      </c>
      <c r="C16" s="119"/>
      <c r="D16" s="510" t="s">
        <v>92</v>
      </c>
      <c r="E16" s="510"/>
      <c r="F16" s="510"/>
      <c r="G16" s="128">
        <v>0.33</v>
      </c>
      <c r="H16" s="119"/>
      <c r="I16" s="510" t="s">
        <v>93</v>
      </c>
      <c r="J16" s="510"/>
      <c r="K16" s="510"/>
      <c r="L16" s="135">
        <v>0</v>
      </c>
      <c r="M16" s="158" t="s">
        <v>313</v>
      </c>
      <c r="N16" s="119">
        <v>6725</v>
      </c>
      <c r="O16" s="119"/>
    </row>
    <row r="17" spans="1:15" ht="12" customHeight="1" thickBot="1" x14ac:dyDescent="0.2">
      <c r="A17" s="119"/>
      <c r="B17" s="127">
        <v>45752</v>
      </c>
      <c r="C17" s="119"/>
      <c r="D17" s="510" t="s">
        <v>94</v>
      </c>
      <c r="E17" s="510"/>
      <c r="F17" s="510"/>
      <c r="G17" s="128">
        <v>0.25</v>
      </c>
      <c r="H17" s="119"/>
      <c r="I17" s="119"/>
      <c r="J17" s="119"/>
      <c r="K17" s="119"/>
      <c r="L17" s="137"/>
      <c r="M17" s="119"/>
      <c r="N17" s="119"/>
      <c r="O17" s="119"/>
    </row>
    <row r="18" spans="1:15" ht="12" customHeight="1" x14ac:dyDescent="0.15">
      <c r="A18" s="119"/>
      <c r="B18" s="123">
        <v>45777</v>
      </c>
      <c r="C18" s="119"/>
      <c r="D18" s="119"/>
      <c r="E18" s="119"/>
      <c r="F18" s="119"/>
      <c r="G18" s="125"/>
      <c r="H18" s="119"/>
      <c r="I18" s="119"/>
      <c r="J18" s="119"/>
      <c r="K18" s="119"/>
      <c r="L18" s="119"/>
      <c r="M18" s="119"/>
      <c r="N18" s="119"/>
      <c r="O18" s="119"/>
    </row>
    <row r="19" spans="1:15" ht="12" customHeight="1" x14ac:dyDescent="0.15">
      <c r="A19" s="119"/>
      <c r="B19" s="123">
        <v>45808</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45838</v>
      </c>
      <c r="C20" s="119"/>
      <c r="D20" s="121"/>
      <c r="E20" s="121"/>
      <c r="F20" s="125"/>
      <c r="G20" s="125"/>
      <c r="H20" s="119"/>
      <c r="I20" s="522"/>
      <c r="J20" s="522"/>
      <c r="K20" s="522"/>
      <c r="L20" s="328">
        <v>0.06</v>
      </c>
      <c r="M20" s="521"/>
      <c r="N20" s="130">
        <v>12570</v>
      </c>
      <c r="O20" s="125" t="s">
        <v>50</v>
      </c>
    </row>
    <row r="21" spans="1:15" ht="12" customHeight="1" x14ac:dyDescent="0.15">
      <c r="A21" s="119"/>
      <c r="B21" s="123">
        <v>46053</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46234</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2024-25</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2025-26</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