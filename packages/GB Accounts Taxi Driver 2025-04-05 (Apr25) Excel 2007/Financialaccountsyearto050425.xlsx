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<sst xmlns="http://schemas.openxmlformats.org/spreadsheetml/2006/main" count="1048" uniqueCount="315">
  <si>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</si>
  <si>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</si>
  <si>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</si>
  <si>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</si>
  <si>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</si>
  <si>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</si>
  <si>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</si>
  <si>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</si>
  <si>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</si>
  <si>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</si>
  <si>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</si>
  <si>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</si>
  <si>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</si>
  <si>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</si>
  <si>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</si>
  <si>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</si>
  <si>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</si>
  <si>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</si>
  <si>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</si>
  <si>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</si>
  <si>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</si>
  <si>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</si>
  <si>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</si>
  <si>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</si>
  <si>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</si>
  <si>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</si>
  <si>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</si>
  <si>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</si>
  <si>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</si>
  <si>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</si>
  <si>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</si>
  <si>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</si>
  <si>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</si>
  <si>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</si>
  <si>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</si>
  <si>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</si>
  <si>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</si>
  <si>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</si>
  <si>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</si>
  <si>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</si>
  <si>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</si>
  <si>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</si>
  <si>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</si>
  <si>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</si>
  <si>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</si>
  <si>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</si>
  <si>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</si>
  <si>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</si>
  <si>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</si>
  <si>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</si>
  <si>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</si>
  <si>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</si>
  <si>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</si>
  <si>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</si>
  <si>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</si>
  <si>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</si>
  <si>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</si>
  <si>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</si>
  <si>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</si>
  <si>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</si>
  <si>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</si>
  <si>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</si>
  <si>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</si>
  <si>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</si>
  <si>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</si>
  <si>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</si>
  <si>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</si>
  <si>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</si>
  <si>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</si>
  <si>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</si>
  <si>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</si>
  <si>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</si>
  <si>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</si>
  <si>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</si>
  <si>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</si>
  <si>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</si>
  <si>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</si>
  <si>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</si>
  <si>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</si>
  <si>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</si>
  <si>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</si>
  <si>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</si>
  <si>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</si>
  <si>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</si>
  <si>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</si>
  <si>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</si>
  <si>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</si>
  <si>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</si>
  <si>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</si>
  <si>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</si>
  <si>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</si>
  <si>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</si>
  <si>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</si>
  <si>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</si>
  <si>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</si>
  <si>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</si>
  <si>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</si>
  <si>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</si>
  <si>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</si>
  <si>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</si>
  <si>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</si>
  <si>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</si>
  <si>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</si>
  <si>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</si>
  <si>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</si>
  <si>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</si>
  <si>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</si>
  <si>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</si>
  <si>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</si>
  <si>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</si>
  <si>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</si>
  <si>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</si>
  <si>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</si>
  <si>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</si>
  <si>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</si>
  <si>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</si>
  <si>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</si>
  <si>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</si>
  <si>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</si>
  <si>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</si>
  <si>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</si>
  <si>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</si>
  <si>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</si>
  <si>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</si>
  <si>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</si>
  <si>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</si>
  <si>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</si>
  <si>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</si>
  <si>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</si>
  <si>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</si>
  <si>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</si>
  <si>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</si>
  <si>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</si>
  <si>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</si>
  <si>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</si>
  <si>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</si>
  <si>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</si>
  <si>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</si>
  <si>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</si>
  <si>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</si>
  <si>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</si>
  <si>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</si>
  <si>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</si>
  <si>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</si>
  <si>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</si>
  <si>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</si>
  <si>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</si>
  <si>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</si>
  <si>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</si>
  <si>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</si>
  <si>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</si>
  <si>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</si>
  <si>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</si>
  <si>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</si>
  <si>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</si>
  <si>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</si>
  <si>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</si>
  <si>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</si>
  <si>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</si>
  <si>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</si>
  <si>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</si>
  <si>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</si>
  <si>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</si>
  <si>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9</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</si>
  <si>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</si>
  <si>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</si>
  <si>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</si>
  <si>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</si>
  <si>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20,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</si>
  <si>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</si>
  <si>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</si>
  <si>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</si>
  <si>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</si>
  <si>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</si>
  <si>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</si>
  <si>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</si>
  <si>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</si>
  <si>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</si>
  <si>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</si>
  <si>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</si>
  <si>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11 to 19</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</si>
  <si>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</si>
  <si>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</si>
  <si>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</si>
  <si>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9 + box 10 minus box 20)</t>
  </si>
  <si>
    <t>income (box 9 + box 10 minus box 20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</si>
  <si>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</si>
  <si>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</si>
  <si>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</si>
  <si>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</si>
  <si>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</si>
  <si>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</si>
  <si>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</si>
  <si>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</si>
  <si>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</si>
  <si>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</si>
  <si>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9 or 10</t>
  </si>
  <si>
    <t xml:space="preserve"> - for example, Business Start-up Allowance</t>
  </si>
  <si>
    <t>Total taxable profits or net business loss</t>
  </si>
  <si>
    <t>Losses, Class 4 NICs and deductions</t>
  </si>
  <si>
    <r>
      <t xml:space="preserve">If you have made a loss for tax purposes (box 32), read page SESN 7 of the </t>
    </r>
    <r>
      <rPr>
        <i/>
        <sz val="8"/>
        <rFont val="Arial"/>
        <family val="2"/>
      </rPr>
      <t>notes</t>
    </r>
    <r>
      <rPr>
        <sz val="8"/>
        <rFont val="Arial"/>
        <family val="2"/>
      </rPr>
      <t xml:space="preserve"> and fill in boxes 33 to 35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</si>
  <si>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</si>
  <si>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</si>
  <si>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</si>
  <si>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</si>
  <si>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</si>
  <si>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</si>
  <si>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</si>
  <si>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</si>
  <si>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</si>
  <si>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</si>
  <si>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</si>
  <si>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</si>
  <si>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</si>
  <si>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</si>
  <si>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</si>
  <si>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</si>
  <si>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</si>
  <si>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</si>
  <si>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28</t>
    </r>
  </si>
  <si>
    <t>Net business profit for tax purposes (if box 21 + box 26 +</t>
  </si>
  <si>
    <t>box 27 minus boxes 22 to 25) is positive)</t>
  </si>
  <si>
    <t>Total taxable profits from this business</t>
  </si>
  <si>
    <t>Net business loss for tax purposes (if boxes 22 to 25</t>
  </si>
  <si>
    <t>if box 28 + box 30 minus box 29 is positive</t>
  </si>
  <si>
    <t>minus (box 21 + box 26 + box 27)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</si>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</sst>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9</v>
      </c>
      <c r="B35" s="158"/>
      <c r="C35" s="210" t="s">
        <v>162</v>
      </c>
      <c r="D35" s="210"/>
      <c r="E35" s="210"/>
      <c r="F35" s="210"/>
      <c r="G35" s="210"/>
      <c r="H35" s="210"/>
      <c r="I35" s="210"/>
      <c r="J35" s="210"/>
      <c r="K35" s="210"/>
      <c r="L35" s="219">
        <v>10</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11</v>
      </c>
      <c r="B44" s="158"/>
      <c r="C44" s="210" t="s">
        <v>169</v>
      </c>
      <c r="D44" s="210"/>
      <c r="E44" s="210"/>
      <c r="F44" s="210"/>
      <c r="G44" s="210"/>
      <c r="H44" s="210"/>
      <c r="I44" s="210"/>
      <c r="J44" s="210"/>
      <c r="K44" s="210"/>
      <c r="L44" s="219">
        <v>16</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12</v>
      </c>
      <c r="B48" s="158"/>
      <c r="C48" s="210" t="s">
        <v>171</v>
      </c>
      <c r="D48" s="210"/>
      <c r="E48" s="210"/>
      <c r="F48" s="210"/>
      <c r="G48" s="210"/>
      <c r="H48" s="210"/>
      <c r="I48" s="210"/>
      <c r="J48" s="210"/>
      <c r="K48" s="210"/>
      <c r="L48" s="219">
        <v>17</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13</v>
      </c>
      <c r="B53" s="158"/>
      <c r="C53" s="210" t="s">
        <v>174</v>
      </c>
      <c r="D53" s="210"/>
      <c r="E53" s="210"/>
      <c r="F53" s="210"/>
      <c r="G53" s="210"/>
      <c r="H53" s="210"/>
      <c r="I53" s="210"/>
      <c r="J53" s="210"/>
      <c r="K53" s="210"/>
      <c r="L53" s="219">
        <v>18</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14</v>
      </c>
      <c r="B57" s="158"/>
      <c r="C57" s="210" t="s">
        <v>176</v>
      </c>
      <c r="D57" s="210"/>
      <c r="E57" s="210"/>
      <c r="F57" s="210"/>
      <c r="G57" s="210"/>
      <c r="H57" s="210"/>
      <c r="I57" s="210"/>
      <c r="J57" s="210"/>
      <c r="K57" s="210"/>
      <c r="L57" s="219">
        <v>19</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15</v>
      </c>
      <c r="B62" s="158"/>
      <c r="C62" s="210" t="s">
        <v>179</v>
      </c>
      <c r="D62" s="210"/>
      <c r="E62" s="210"/>
      <c r="F62" s="210"/>
      <c r="G62" s="210"/>
      <c r="H62" s="210"/>
      <c r="I62" s="210"/>
      <c r="J62" s="210"/>
      <c r="K62" s="210"/>
      <c r="L62" s="219">
        <v>20</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21</v>
      </c>
      <c r="B68" s="158"/>
      <c r="C68" s="210" t="s">
        <v>182</v>
      </c>
      <c r="D68" s="210"/>
      <c r="E68" s="210"/>
      <c r="F68" s="210"/>
      <c r="G68" s="210"/>
      <c r="H68" s="210"/>
      <c r="I68" s="210"/>
      <c r="J68" s="210"/>
      <c r="K68" s="210"/>
      <c r="L68" s="219">
        <v>22</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23</v>
      </c>
      <c r="B78" s="158"/>
      <c r="C78" s="210" t="s">
        <v>132</v>
      </c>
      <c r="D78" s="210"/>
      <c r="E78" s="210"/>
      <c r="F78" s="210"/>
      <c r="G78" s="210"/>
      <c r="H78" s="210"/>
      <c r="I78" s="210"/>
      <c r="J78" s="210"/>
      <c r="K78" s="210"/>
      <c r="L78" s="219">
        <v>25</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24</v>
      </c>
      <c r="B82" s="158"/>
      <c r="C82" s="210" t="s">
        <v>215</v>
      </c>
      <c r="D82" s="158"/>
      <c r="E82" s="158"/>
      <c r="F82" s="158"/>
      <c r="G82" s="158"/>
      <c r="H82" s="158"/>
      <c r="I82" s="158"/>
      <c r="J82" s="158"/>
      <c r="K82" s="158"/>
      <c r="L82" s="219">
        <v>26</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27</v>
      </c>
      <c r="B91" s="158"/>
      <c r="C91" s="210" t="s">
        <v>194</v>
      </c>
      <c r="D91" s="210"/>
      <c r="E91" s="210"/>
      <c r="F91" s="210"/>
      <c r="G91" s="210"/>
      <c r="H91" s="210"/>
      <c r="I91" s="210"/>
      <c r="J91" s="210"/>
      <c r="K91" s="210"/>
      <c r="L91" s="219">
        <v>29</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28</v>
      </c>
      <c r="B96" s="158"/>
      <c r="C96" s="210" t="s">
        <v>220</v>
      </c>
      <c r="D96" s="210"/>
      <c r="E96" s="210"/>
      <c r="F96" s="210"/>
      <c r="G96" s="210"/>
      <c r="H96" s="210"/>
      <c r="I96" s="210"/>
      <c r="J96" s="210"/>
      <c r="K96" s="210"/>
      <c r="L96" s="219">
        <v>30</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31</v>
      </c>
      <c r="B103" s="158"/>
      <c r="C103" s="210" t="s">
        <v>222</v>
      </c>
      <c r="D103" s="210"/>
      <c r="E103" s="210"/>
      <c r="F103" s="210"/>
      <c r="G103" s="210"/>
      <c r="H103" s="210"/>
      <c r="I103" s="210"/>
      <c r="J103" s="210"/>
      <c r="K103" s="210"/>
      <c r="L103" s="219">
        <v>32</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33</v>
      </c>
      <c r="B111" s="158"/>
      <c r="C111" s="210" t="s">
        <v>201</v>
      </c>
      <c r="D111" s="210"/>
      <c r="E111" s="210"/>
      <c r="F111" s="210"/>
      <c r="G111" s="210"/>
      <c r="H111" s="210"/>
      <c r="I111" s="210"/>
      <c r="J111" s="210"/>
      <c r="K111" s="210"/>
      <c r="L111" s="219">
        <v>36</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34</v>
      </c>
      <c r="B116" s="158"/>
      <c r="C116" s="210" t="s">
        <v>204</v>
      </c>
      <c r="D116" s="210"/>
      <c r="E116" s="210"/>
      <c r="F116" s="210"/>
      <c r="G116" s="210"/>
      <c r="H116" s="210"/>
      <c r="I116" s="210"/>
      <c r="J116" s="210"/>
      <c r="K116" s="210"/>
      <c r="L116" s="219">
        <v>37</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35</v>
      </c>
      <c r="B120" s="158"/>
      <c r="C120" s="210" t="s">
        <v>209</v>
      </c>
      <c r="D120" s="210"/>
      <c r="E120" s="210"/>
      <c r="F120" s="210"/>
      <c r="G120" s="210"/>
      <c r="H120" s="210"/>
      <c r="I120" s="210"/>
      <c r="J120" s="210"/>
      <c r="K120" s="210"/>
      <c r="L120" s="219">
        <v>38</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IF(H18&gt;0,H18*J$4*(1-F18),"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IF(H19&gt;0,H19*J$4*(1-F19),"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IF(H20&gt;0,H20*J$4*(1-F20),"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IF(H21&gt;0,H21*J$4*(1-F21),"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IF(H22&gt;0,H22*J$4*(1-F22),"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IF(H26&gt;0,H26*J$4*(1-F26),"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IF(H27&gt;0,H27*J$4*(1-F27),"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IF(H28&gt;0,H28*J$4*(1-F28),"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IF(H29&gt;0,H29*J$4*(1-F29),"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IF(H30&gt;0,H30*J$4*(1-F30),"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IF(D47&gt;0,D47*J$4*(1-F47),"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IF(D48&gt;0,D48*J$4*(1-F48),"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IF(D49&gt;0,D49*J$4*(1-F49),"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IF(D50&gt;0,D50*J$4*(1-F50),"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IF(D51&gt;0,D51*J$4*(1-F51),"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IF(D55&gt;0,D55*J$4*(1-F55),"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IF(D56&gt;0,D56*J$4*(1-F56),"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IF(D57&gt;0,D57*J$4*(1-F57),"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IF(D58&gt;0,D58*J$4*(1-F58),"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IF(D59&gt;0,D59*J$4*(1-F59),"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IF(E5&lt;=0,0,MAX(0,Admin!N$4-MAX(0,E5-Admin!N$5)/2))</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Admin!M$11</f>
        <v>37700</v>
      </c>
      <c r="D9" s="144">
        <f>Admin!N$7</f>
        <v>0.4</v>
      </c>
      <c r="E9" s="25">
        <f>IF(E7&gt;C9,(MIN(E7,C10)-C9)*D9,0)</f>
        <v>0</v>
      </c>
      <c r="F9" s="26"/>
      <c r="G9" s="27"/>
      <c r="K9" s="324"/>
    </row>
    <row r="10" spans="1:11" ht="14" thickBot="1" x14ac:dyDescent="0.2">
      <c r="A10" s="23"/>
      <c r="B10" s="28" t="inlineStr">
        <is>
          <t>Income Tax third band</t>
        </is>
      </c>
      <c r="C10" s="28">
        <f>Admin!N$13</f>
        <v>125140</v>
      </c>
      <c r="D10" s="144">
        <f>Admin!N$8</f>
        <v>0.45</v>
      </c>
      <c r="E10" s="25">
        <f>IF(E7&gt;C10,(E7-C10)*D10,0)</f>
        <v>0</v>
      </c>
      <c r="F10" s="26"/>
      <c r="G10" s="27"/>
      <c r="K10" s="324"/>
    </row>
    <row r="11" spans="1:11" ht="14" thickBot="1" x14ac:dyDescent="0.2">
      <c r="A11" s="23"/>
      <c r="B11" s="32" t="inlineStr">
        <is>
          <t>Income Tax payable</t>
        </is>
      </c>
      <c r="C11" s="145"/>
      <c r="D11" s="33"/>
      <c r="E11" s="276">
        <f>SUM(E8:E10)</f>
        <v>0</v>
      </c>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SUM(E11:E16)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IF(C34&lt;=0,0,MAX(0,Admin!N$4-MAX(0,C34-Admin!N$5)/2))</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IF((C36&gt;0),(IF((C36&lt;Admin!M$11),C36*Admin!N$6,Admin!M$11*Admin!N$6)),0)</f>
        <v>0</v>
      </c>
      <c r="D37" s="118"/>
      <c r="E37" s="52"/>
      <c r="F37" s="52"/>
      <c r="G37" s="52"/>
      <c r="H37" s="52"/>
      <c r="I37" s="52"/>
      <c r="J37" s="52"/>
      <c r="K37" s="52"/>
      <c r="L37" s="52"/>
      <c r="M37" s="52"/>
      <c r="N37" s="52"/>
      <c r="O37" s="52"/>
      <c r="P37" s="52"/>
    </row>
    <row r="38" spans="1:16" x14ac:dyDescent="0.15">
      <c r="A38" s="52"/>
      <c r="B38" s="68" t="s">
        <v>59</v>
      </c>
      <c r="C38" s="67">
        <f>IF(C36&gt;Admin!M$11,(MIN(C36,Admin!N$13)-Admin!M$11)*Admin!N$7,0)</f>
        <v>0</v>
      </c>
      <c r="D38" s="52"/>
      <c r="E38" s="52"/>
      <c r="F38" s="52"/>
      <c r="G38" s="52"/>
      <c r="H38" s="52"/>
      <c r="I38" s="52"/>
      <c r="J38" s="52"/>
      <c r="K38" s="52"/>
      <c r="L38" s="52"/>
      <c r="M38" s="52"/>
      <c r="N38" s="52"/>
      <c r="O38" s="52"/>
      <c r="P38" s="52"/>
    </row>
    <row r="39" spans="1:16" x14ac:dyDescent="0.15">
      <c r="A39" s="52"/>
      <c r="B39" s="68" t="inlineStr">
        <is>
          <t>Tax at additional rate</t>
        </is>
      </c>
      <c r="C39" s="67">
        <f>IF(C36&gt;Admin!N$13,(C36-Admin!N$13)*Admin!N$8,0)</f>
        <v>0</v>
      </c>
      <c r="D39" s="52"/>
      <c r="E39" s="52"/>
      <c r="F39" s="52"/>
      <c r="G39" s="52"/>
      <c r="H39" s="52"/>
      <c r="I39" s="52"/>
      <c r="J39" s="52"/>
      <c r="K39" s="52"/>
      <c r="L39" s="52"/>
      <c r="M39" s="52"/>
      <c r="N39" s="52"/>
      <c r="O39" s="52"/>
      <c r="P39" s="52"/>
    </row>
    <row r="40" spans="1:16" x14ac:dyDescent="0.15">
      <c r="A40" s="52"/>
      <c r="B40" s="68" t="s">
        <v>60</v>
      </c>
      <c r="C40" s="67">
        <f>IF(C34&gt;Admin!N$20,IF(C34&lt;Admin!N$23,(C34-Admin!N$20)*Admin!L$20,(Admin!N$23-Admin!N$20)*Admin!L$20),0)+IF(C34&gt;Admin!N$23,(C34-Admin!N$23)*Admin!L$23,0)</f>
        <v>0</v>
      </c>
      <c r="D40" s="52"/>
      <c r="E40" s="52"/>
      <c r="F40" s="52"/>
      <c r="G40" s="52"/>
      <c r="H40" s="52"/>
      <c r="I40" s="52"/>
      <c r="J40" s="52"/>
      <c r="K40" s="52"/>
      <c r="L40" s="52"/>
      <c r="M40" s="52"/>
      <c r="N40" s="52"/>
      <c r="O40" s="52"/>
      <c r="P40" s="52"/>
    </row>
    <row r="41" spans="1:16" x14ac:dyDescent="0.15">
      <c r="A41" s="52"/>
      <c r="B41" s="68" t="s">
        <v>61</v>
      </c>
      <c r="C41" s="69">
        <f>C37+C38+C39+C40</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510" t="inlineStr">
        <is>
          <t>Personal allowance taper threshold</t>
        </is>
      </c>
      <c r="J5" s="119"/>
      <c r="K5" s="119"/>
      <c r="L5" s="119"/>
      <c r="M5" s="119"/>
      <c r="N5" s="130">
        <v>100000</v>
      </c>
      <c r="O5" s="125"/>
    </row>
    <row r="6" spans="1:15" ht="12" customHeight="1" x14ac:dyDescent="0.15">
      <c r="A6" s="119"/>
      <c r="B6" s="123">
        <v>45443</v>
      </c>
      <c r="C6" s="119"/>
      <c r="D6" s="119"/>
      <c r="E6" s="119"/>
      <c r="F6" s="119"/>
      <c r="G6" s="125"/>
      <c r="H6" s="119"/>
      <c r="I6" s="510" t="s">
        <v>75</v>
      </c>
      <c r="J6" s="510"/>
      <c r="K6" s="510"/>
      <c r="L6" s="510"/>
      <c r="M6" s="510"/>
      <c r="N6" s="128">
        <v>0.2</v>
      </c>
      <c r="O6" s="125" t="s">
        <v>76</v>
      </c>
    </row>
    <row r="7" spans="1:15" ht="12" customHeight="1" x14ac:dyDescent="0.15">
      <c r="A7" s="119"/>
      <c r="B7" s="123">
        <v>45473</v>
      </c>
      <c r="C7" s="119"/>
      <c r="D7" s="510" t="s">
        <v>77</v>
      </c>
      <c r="E7" s="510"/>
      <c r="F7" s="510"/>
      <c r="G7" s="125"/>
      <c r="H7" s="119"/>
      <c r="I7" s="510" t="s">
        <v>78</v>
      </c>
      <c r="J7" s="510"/>
      <c r="K7" s="510"/>
      <c r="L7" s="510"/>
      <c r="M7" s="510"/>
      <c r="N7" s="128">
        <v>0.4</v>
      </c>
      <c r="O7" s="125" t="s">
        <v>76</v>
      </c>
    </row>
    <row r="8" spans="1:15" ht="12" customHeight="1" x14ac:dyDescent="0.15">
      <c r="A8" s="119"/>
      <c r="B8" s="123">
        <v>45504</v>
      </c>
      <c r="C8" s="119"/>
      <c r="D8" s="119"/>
      <c r="E8" s="130"/>
      <c r="F8" s="119"/>
      <c r="G8" s="130"/>
      <c r="H8" s="119"/>
      <c r="I8" s="510" t="inlineStr">
        <is>
          <t>Additional rate applicable above the higher rate limit</t>
        </is>
      </c>
      <c r="J8" s="119"/>
      <c r="K8" s="119"/>
      <c r="L8" s="119"/>
      <c r="M8" s="119"/>
      <c r="N8" s="128">
        <v>0.45</v>
      </c>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45657</v>
      </c>
      <c r="C13" s="119"/>
      <c r="D13" s="510" t="s">
        <v>88</v>
      </c>
      <c r="E13" s="510"/>
      <c r="F13" s="510"/>
      <c r="G13" s="128">
        <v>0</v>
      </c>
      <c r="H13" s="119"/>
      <c r="I13" s="119" t="inlineStr">
        <is>
          <t>Additional rate</t>
        </is>
      </c>
      <c r="J13" s="119"/>
      <c r="K13" s="133">
        <v>0.45</v>
      </c>
      <c r="L13" s="125">
        <v>125141</v>
      </c>
      <c r="M13" s="119"/>
      <c r="N13" s="130">
        <v>125140</v>
      </c>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45752</v>
      </c>
      <c r="C17" s="119"/>
      <c r="D17" s="510" t="s">
        <v>94</v>
      </c>
      <c r="E17" s="510"/>
      <c r="F17" s="510"/>
      <c r="G17" s="128">
        <v>0.25</v>
      </c>
      <c r="H17" s="119"/>
      <c r="I17" s="119"/>
      <c r="J17" s="119"/>
      <c r="K17" s="119"/>
      <c r="L17" s="137"/>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