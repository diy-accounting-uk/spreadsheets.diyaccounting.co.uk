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22"/>
  <workbookPr showObjects="placeholders" codeName="ThisWorkbook" defaultThemeVersion="124226"/>
  <mc:AlternateContent xmlns:mc="http://schemas.openxmlformats.org/markup-compatibility/2006">
    <mc:Choice Requires="x15">
      <x15ac:absPath xmlns:x15ac="http://schemas.microsoft.com/office/spreadsheetml/2010/11/ac" url="/Users/antony/projects/diy-accounting-limited/diy-accounting/app/templates/taxi/"/>
    </mc:Choice>
  </mc:AlternateContent>
  <xr:revisionPtr revIDLastSave="0" documentId="13_ncr:1_{8DD1CA86-B75E-EF41-803E-07C2737075E8}" xr6:coauthVersionLast="47" xr6:coauthVersionMax="47" xr10:uidLastSave="{00000000-0000-0000-0000-000000000000}"/>
  <bookViews>
    <workbookView xWindow="620" yWindow="700" windowWidth="19680" windowHeight="17100" tabRatio="771" xr2:uid="{00000000-000D-0000-FFFF-FFFF00000000}"/>
  </bookViews>
  <sheets>
    <sheet name="Home" sheetId="22" r:id="rId1"/>
    <sheet name="Business Details" sheetId="20" r:id="rId2"/>
    <sheet name="SE Short" sheetId="19" r:id="rId3"/>
    <sheet name="Profit &amp; Loss Acc" sheetId="6" r:id="rId4"/>
    <sheet name="VitalTax" sheetId="47" r:id="rId5"/>
    <sheet name="Fixed Assets" sheetId="16" r:id="rId6"/>
    <sheet name="Draft Tax calculation" sheetId="8" r:id="rId7"/>
    <sheet name="Wages Forecast" sheetId="17" r:id="rId8"/>
    <sheet name="SalesApr" sheetId="23" r:id="rId9"/>
    <sheet name="PurchasesApr" sheetId="35" r:id="rId10"/>
    <sheet name="SalesMay" sheetId="24" r:id="rId11"/>
    <sheet name="PurchasesMay" sheetId="36" r:id="rId12"/>
    <sheet name="SalesJun" sheetId="25" r:id="rId13"/>
    <sheet name="PurchasesJun" sheetId="37" r:id="rId14"/>
    <sheet name="SalesJul" sheetId="26" r:id="rId15"/>
    <sheet name="PurchasesJul" sheetId="38" r:id="rId16"/>
    <sheet name="SalesAug" sheetId="27" r:id="rId17"/>
    <sheet name="PurchasesAug" sheetId="39" r:id="rId18"/>
    <sheet name="SalesSep" sheetId="28" r:id="rId19"/>
    <sheet name="PurchasesSep" sheetId="40" r:id="rId20"/>
    <sheet name="SalesOct" sheetId="29" r:id="rId21"/>
    <sheet name="PurchasesOct" sheetId="41" r:id="rId22"/>
    <sheet name="SalesNov" sheetId="30" r:id="rId23"/>
    <sheet name="PurchasesNov" sheetId="42" r:id="rId24"/>
    <sheet name="SalesDec" sheetId="31" r:id="rId25"/>
    <sheet name="PurchasesDec" sheetId="43" r:id="rId26"/>
    <sheet name="SalesJan" sheetId="32" r:id="rId27"/>
    <sheet name="PurchasesJan" sheetId="44" r:id="rId28"/>
    <sheet name="SalesFeb" sheetId="33" r:id="rId29"/>
    <sheet name="PurchasesFeb" sheetId="45" r:id="rId30"/>
    <sheet name="SalesMar" sheetId="34" r:id="rId31"/>
    <sheet name="PurchasesMar" sheetId="46" r:id="rId32"/>
    <sheet name="Admin" sheetId="18" r:id="rId33"/>
  </sheets>
  <definedNames>
    <definedName name="_xlnm._FilterDatabase" localSheetId="31" hidden="1">PurchasesMar!$G$2:$W$2</definedName>
    <definedName name="Annual_ConsolidatedExpenses">VitalTax!$G$29</definedName>
    <definedName name="Annual_ExpenseAdminCosts">VitalTax!$G$15</definedName>
    <definedName name="Annual_ExpenseAdminCostsDisallowable">VitalTax!$G$42</definedName>
    <definedName name="Annual_ExpenseAdvertisingCosts">VitalTax!$G$18</definedName>
    <definedName name="Annual_ExpenseAdvertisingCostsDisallowable">VitalTax!$G$43</definedName>
    <definedName name="Annual_ExpenseBadDebt">VitalTax!$G$20</definedName>
    <definedName name="Annual_ExpenseBadDebtDisallowable">VitalTax!$G$47</definedName>
    <definedName name="Annual_ExpenseBusinessEntertainmentCosts">VitalTax!$G$25</definedName>
    <definedName name="Annual_ExpenseBusinessEntertainmentCostsDisallowable">VitalTax!$G$44</definedName>
    <definedName name="Annual_ExpenseCisPaymentsToSubcontractors">VitalTax!$G$24</definedName>
    <definedName name="Annual_ExpenseCisPaymentsToSubcontractorsDisallowable">VitalTax!$G$37</definedName>
    <definedName name="Annual_ExpenseCostOfGoodsBought">VitalTax!$G$7</definedName>
    <definedName name="Annual_ExpenseCostOfGoodsBoughtDisallowable">VitalTax!$G$36</definedName>
    <definedName name="Annual_ExpenseDepreciation">VitalTax!$G$26</definedName>
    <definedName name="Annual_ExpenseDepreciationDisallowable">VitalTax!$G$49</definedName>
    <definedName name="Annual_ExpenseFinancialCharges">VitalTax!$G$16</definedName>
    <definedName name="Annual_ExpenseFinancialChargesDisallowable">VitalTax!$G$46</definedName>
    <definedName name="Annual_ExpenseInterest">VitalTax!$G$21</definedName>
    <definedName name="Annual_ExpenseInterestDisallowable">VitalTax!$G$45</definedName>
    <definedName name="Annual_ExpenseMaintenanceCosts">VitalTax!$G$14</definedName>
    <definedName name="Annual_ExpenseMaintenanceCostsDisallowable">VitalTax!$G$41</definedName>
    <definedName name="Annual_ExpenseOther">VitalTax!$G$22</definedName>
    <definedName name="Annual_ExpenseOtherDisallowable">VitalTax!$G$50</definedName>
    <definedName name="Annual_ExpensePremisesRunningCosts">VitalTax!$G$13</definedName>
    <definedName name="Annual_ExpensePremisesRunningCostsDisallowable">VitalTax!$G$40</definedName>
    <definedName name="Annual_ExpenseProfessionalFees">VitalTax!$G$19</definedName>
    <definedName name="Annual_ExpenseProfessionalFeesDisallowable">VitalTax!$G$48</definedName>
    <definedName name="Annual_ExpenseStaffCosts">VitalTax!$G$12</definedName>
    <definedName name="Annual_ExpenseStaffCostsDisallowable">VitalTax!$G$38</definedName>
    <definedName name="Annual_ExpenseTravelCosts">VitalTax!$G$17</definedName>
    <definedName name="Annual_ExpenseTravelCostsDisallowable">VitalTax!$G$39</definedName>
    <definedName name="Annual_IncomeOther">VitalTax!$G$6</definedName>
    <definedName name="Annual_IncomeTurnover">VitalTax!$G$5</definedName>
    <definedName name="_xlnm.Print_Area" localSheetId="9">PurchasesApr!$A$1:$U$68</definedName>
    <definedName name="_xlnm.Print_Area" localSheetId="17">PurchasesAug!$A$1:$U$68</definedName>
    <definedName name="_xlnm.Print_Area" localSheetId="25">PurchasesDec!$A$1:$U$68</definedName>
    <definedName name="_xlnm.Print_Area" localSheetId="29">PurchasesFeb!$A$1:$U$68</definedName>
    <definedName name="_xlnm.Print_Area" localSheetId="27">PurchasesJan!$A$1:$U$68</definedName>
    <definedName name="_xlnm.Print_Area" localSheetId="15">PurchasesJul!$A$1:$U$68</definedName>
    <definedName name="_xlnm.Print_Area" localSheetId="13">PurchasesJun!$A$1:$U$68</definedName>
    <definedName name="_xlnm.Print_Area" localSheetId="31">PurchasesMar!$A$1:$U$68</definedName>
    <definedName name="_xlnm.Print_Area" localSheetId="11">PurchasesMay!$A$1:$U$67</definedName>
    <definedName name="_xlnm.Print_Area" localSheetId="23">PurchasesNov!$A$1:$U$68</definedName>
    <definedName name="_xlnm.Print_Area" localSheetId="21">PurchasesOct!$A$1:$U$68</definedName>
    <definedName name="_xlnm.Print_Area" localSheetId="19">PurchasesSep!$A$1:$U$68</definedName>
    <definedName name="_xlnm.Print_Titles" localSheetId="5">'Fixed Assets'!$1:$4</definedName>
    <definedName name="_xlnm.Print_Titles" localSheetId="3">'Profit &amp; Loss Acc'!$2:$4</definedName>
    <definedName name="_xlnm.Print_Titles" localSheetId="9">PurchasesApr!$A:$A,PurchasesApr!$1:$4</definedName>
    <definedName name="_xlnm.Print_Titles" localSheetId="17">PurchasesAug!$A:$A,PurchasesAug!$1:$4</definedName>
    <definedName name="_xlnm.Print_Titles" localSheetId="25">PurchasesDec!$A:$A,PurchasesDec!$1:$4</definedName>
    <definedName name="_xlnm.Print_Titles" localSheetId="29">PurchasesFeb!$A:$A,PurchasesFeb!$1:$4</definedName>
    <definedName name="_xlnm.Print_Titles" localSheetId="27">PurchasesJan!$A:$A,PurchasesJan!$1:$4</definedName>
    <definedName name="_xlnm.Print_Titles" localSheetId="15">PurchasesJul!$A:$A,PurchasesJul!$1:$4</definedName>
    <definedName name="_xlnm.Print_Titles" localSheetId="13">PurchasesJun!$A:$A,PurchasesJun!$1:$4</definedName>
    <definedName name="_xlnm.Print_Titles" localSheetId="31">PurchasesMar!$A:$A,PurchasesMar!$1:$4</definedName>
    <definedName name="_xlnm.Print_Titles" localSheetId="11">PurchasesMay!$A:$A,PurchasesMay!$1:$4</definedName>
    <definedName name="_xlnm.Print_Titles" localSheetId="23">PurchasesNov!$A:$A,PurchasesNov!$1:$4</definedName>
    <definedName name="_xlnm.Print_Titles" localSheetId="21">PurchasesOct!$A:$A,PurchasesOct!$1:$4</definedName>
    <definedName name="_xlnm.Print_Titles" localSheetId="19">PurchasesSep!$A:$A,PurchasesSep!$1:$4</definedName>
    <definedName name="_xlnm.Print_Titles" localSheetId="8">SalesApr!$1:$3</definedName>
    <definedName name="_xlnm.Print_Titles" localSheetId="16">SalesAug!$1:$3</definedName>
    <definedName name="_xlnm.Print_Titles" localSheetId="24">SalesDec!$1:$3</definedName>
    <definedName name="_xlnm.Print_Titles" localSheetId="28">SalesFeb!$1:$3</definedName>
    <definedName name="_xlnm.Print_Titles" localSheetId="26">SalesJan!$1:$3</definedName>
    <definedName name="_xlnm.Print_Titles" localSheetId="14">SalesJul!$1:$3</definedName>
    <definedName name="_xlnm.Print_Titles" localSheetId="12">SalesJun!$1:$3</definedName>
    <definedName name="_xlnm.Print_Titles" localSheetId="30">SalesMar!$1:$3</definedName>
    <definedName name="_xlnm.Print_Titles" localSheetId="10">SalesMay!$1:$3</definedName>
    <definedName name="_xlnm.Print_Titles" localSheetId="22">SalesNov!$1:$3</definedName>
    <definedName name="_xlnm.Print_Titles" localSheetId="20">SalesOct!$1:$3</definedName>
    <definedName name="_xlnm.Print_Titles" localSheetId="18">SalesSep!$1:$3</definedName>
    <definedName name="_xlnm.Print_Titles" localSheetId="4">VitalTax!$2:$4</definedName>
    <definedName name="Q1_ConsolidatedExpenses">VitalTax!$C$29</definedName>
    <definedName name="Q1_ExpenseAdminCosts">VitalTax!$C$15</definedName>
    <definedName name="Q1_ExpenseAdminCostsDisallowable">VitalTax!$C$42</definedName>
    <definedName name="Q1_ExpenseAdvertisingCosts">VitalTax!$C$18</definedName>
    <definedName name="Q1_ExpenseAdvertisingCostsDisallowable">VitalTax!$C$43</definedName>
    <definedName name="Q1_ExpenseBadDebt">VitalTax!$C$20</definedName>
    <definedName name="Q1_ExpenseBadDebtDisallowable">VitalTax!$C$47</definedName>
    <definedName name="Q1_ExpenseBusinessEntertainmentCosts">VitalTax!$C$25</definedName>
    <definedName name="Q1_ExpenseBusinessEntertainmentCostsDisallowable">VitalTax!$C$44</definedName>
    <definedName name="Q1_ExpenseCisPaymentsToSubcontractors">VitalTax!$C$24</definedName>
    <definedName name="Q1_ExpenseCisPaymentsToSubcontractorsDisallowable">VitalTax!$C$37</definedName>
    <definedName name="Q1_ExpenseCostOfGoodsBought">VitalTax!$C$7</definedName>
    <definedName name="Q1_ExpenseCostOfGoodsBoughtDisallowable">VitalTax!$C$36</definedName>
    <definedName name="Q1_ExpenseDepreciation">VitalTax!$C$26</definedName>
    <definedName name="Q1_ExpenseDepreciationDisallowable">VitalTax!$C$49</definedName>
    <definedName name="Q1_ExpenseFinancialCharges">VitalTax!$C$16</definedName>
    <definedName name="Q1_ExpenseFinancialChargesDisallowable">VitalTax!$C$46</definedName>
    <definedName name="Q1_ExpenseInterest">VitalTax!$C$21</definedName>
    <definedName name="Q1_ExpenseInterestDisallowable">VitalTax!$C$45</definedName>
    <definedName name="Q1_ExpenseMaintenanceCosts">VitalTax!$C$14</definedName>
    <definedName name="Q1_ExpenseMaintenanceCostsDisallowable">VitalTax!$C$41</definedName>
    <definedName name="Q1_ExpenseOther">VitalTax!$C$22</definedName>
    <definedName name="Q1_ExpenseOtherDisallowable">VitalTax!$C$50</definedName>
    <definedName name="Q1_ExpensePremisesRunningCosts">VitalTax!$C$13</definedName>
    <definedName name="Q1_ExpensePremisesRunningCostsDisallowable">VitalTax!$C$40</definedName>
    <definedName name="Q1_ExpenseProfessionalFees">VitalTax!$C$19</definedName>
    <definedName name="Q1_ExpenseProfessionalFeesDisallowable">VitalTax!$C$48</definedName>
    <definedName name="Q1_ExpenseStaffCosts">VitalTax!$C$12</definedName>
    <definedName name="Q1_ExpenseStaffCostsDisallowable">VitalTax!$C$38</definedName>
    <definedName name="Q1_ExpenseTravelCosts">VitalTax!$C$17</definedName>
    <definedName name="Q1_ExpenseTravelCostsDisallowable">VitalTax!$C$39</definedName>
    <definedName name="Q1_IncomeOther">VitalTax!$C$6</definedName>
    <definedName name="Q1_IncomeTurnover">VitalTax!$C$5</definedName>
    <definedName name="Q2_ConsolidatedExpenses">VitalTax!$D$29</definedName>
    <definedName name="Q2_ExpenseAdminCosts">VitalTax!$D$15</definedName>
    <definedName name="Q2_ExpenseAdminCostsDisallowable">VitalTax!$D$42</definedName>
    <definedName name="Q2_ExpenseAdvertisingCosts">VitalTax!$D$18</definedName>
    <definedName name="Q2_ExpenseAdvertisingCostsDisallowable">VitalTax!$D$43</definedName>
    <definedName name="Q2_ExpenseBadDebt">VitalTax!$D$20</definedName>
    <definedName name="Q2_ExpenseBadDebtDisallowable">VitalTax!$D$47</definedName>
    <definedName name="Q2_ExpenseBusinessEntertainmentCosts">VitalTax!$D$25</definedName>
    <definedName name="Q2_ExpenseBusinessEntertainmentCostsDisallowable">VitalTax!$D$44</definedName>
    <definedName name="Q2_ExpenseCisPaymentsToSubcontractors">VitalTax!$D$24</definedName>
    <definedName name="Q2_ExpenseCisPaymentsToSubcontractorsDisallowable">VitalTax!$D$37</definedName>
    <definedName name="Q2_ExpenseCostOfGoodsBought">VitalTax!$D$7</definedName>
    <definedName name="Q2_ExpenseCostOfGoodsBoughtDisallowable">VitalTax!$D$36</definedName>
    <definedName name="Q2_ExpenseDepreciation">VitalTax!$D$26</definedName>
    <definedName name="Q2_ExpenseDepreciationDisallowable">VitalTax!$D$49</definedName>
    <definedName name="Q2_ExpenseFinancialCharges">VitalTax!$D$16</definedName>
    <definedName name="Q2_ExpenseFinancialChargesDisallowable">VitalTax!$D$46</definedName>
    <definedName name="Q2_ExpenseInterest">VitalTax!$D$21</definedName>
    <definedName name="Q2_ExpenseInterestDisallowable">VitalTax!$D$45</definedName>
    <definedName name="Q2_ExpenseMaintenanceCosts">VitalTax!$D$14</definedName>
    <definedName name="Q2_ExpenseMaintenanceCostsDisallowable">VitalTax!$D$41</definedName>
    <definedName name="Q2_ExpenseOther">VitalTax!$D$22</definedName>
    <definedName name="Q2_ExpenseOtherDisallowable">VitalTax!$D$50</definedName>
    <definedName name="Q2_ExpensePremisesRunningCosts">VitalTax!$D$13</definedName>
    <definedName name="Q2_ExpensePremisesRunningCostsDisallowable">VitalTax!$D$40</definedName>
    <definedName name="Q2_ExpenseProfessionalFees">VitalTax!$D$19</definedName>
    <definedName name="Q2_ExpenseProfessionalFeesDisallowable">VitalTax!$D$48</definedName>
    <definedName name="Q2_ExpenseStaffCosts">VitalTax!$D$12</definedName>
    <definedName name="Q2_ExpenseStaffCostsDisallowable">VitalTax!$D$38</definedName>
    <definedName name="Q2_ExpenseTravelCosts">VitalTax!$D$17</definedName>
    <definedName name="Q2_ExpenseTravelCostsDisallowable">VitalTax!$D$39</definedName>
    <definedName name="Q2_IncomeOther">VitalTax!$D$6</definedName>
    <definedName name="Q2_IncomeTurnover">VitalTax!$D$5</definedName>
    <definedName name="Q3_ConsolidatedExpenses">VitalTax!$E$29</definedName>
    <definedName name="Q3_ExpenseAdminCosts">VitalTax!$E$15</definedName>
    <definedName name="Q3_ExpenseAdminCostsDisallowable">VitalTax!$E$42</definedName>
    <definedName name="Q3_ExpenseAdvertisingCosts">VitalTax!$E$18</definedName>
    <definedName name="Q3_ExpenseAdvertisingCostsDisallowable">VitalTax!$E$43</definedName>
    <definedName name="Q3_ExpenseBadDebt">VitalTax!$E$20</definedName>
    <definedName name="Q3_ExpenseBadDebtDisallowable">VitalTax!$E$47</definedName>
    <definedName name="Q3_ExpenseBusinessEntertainmentCosts">VitalTax!$E$25</definedName>
    <definedName name="Q3_ExpenseBusinessEntertainmentCostsDisallowable">VitalTax!$E$44</definedName>
    <definedName name="Q3_ExpenseCisPaymentsToSubcontractors">VitalTax!$E$24</definedName>
    <definedName name="Q3_ExpenseCisPaymentsToSubcontractorsDisallowable">VitalTax!$E$37</definedName>
    <definedName name="Q3_ExpenseCostOfGoodsBought">VitalTax!$E$7</definedName>
    <definedName name="Q3_ExpenseCostOfGoodsBoughtDisallowable">VitalTax!$E$36</definedName>
    <definedName name="Q3_ExpenseDepreciation">VitalTax!$E$26</definedName>
    <definedName name="Q3_ExpenseDepreciationDisallowable">VitalTax!$E$49</definedName>
    <definedName name="Q3_ExpenseFinancialCharges">VitalTax!$E$16</definedName>
    <definedName name="Q3_ExpenseFinancialChargesDisallowable">VitalTax!$E$46</definedName>
    <definedName name="Q3_ExpenseInterest">VitalTax!$E$21</definedName>
    <definedName name="Q3_ExpenseInterestDisallowable">VitalTax!$E$45</definedName>
    <definedName name="Q3_ExpenseMaintenanceCosts">VitalTax!$E$14</definedName>
    <definedName name="Q3_ExpenseMaintenanceCostsDisallowable">VitalTax!$E$41</definedName>
    <definedName name="Q3_ExpenseOther">VitalTax!$E$22</definedName>
    <definedName name="Q3_ExpenseOtherDisallowable">VitalTax!$E$50</definedName>
    <definedName name="Q3_ExpensePremisesRunningCosts">VitalTax!$E$13</definedName>
    <definedName name="Q3_ExpensePremisesRunningCostsDisallowable">VitalTax!$E$40</definedName>
    <definedName name="Q3_ExpenseProfessionalFees">VitalTax!$E$19</definedName>
    <definedName name="Q3_ExpenseProfessionalFeesDisallowable">VitalTax!$E$48</definedName>
    <definedName name="Q3_ExpenseStaffCosts">VitalTax!$E$12</definedName>
    <definedName name="Q3_ExpenseStaffCostsDisallowable">VitalTax!$E$38</definedName>
    <definedName name="Q3_ExpenseTravelCosts">VitalTax!$E$17</definedName>
    <definedName name="Q3_ExpenseTravelCostsDisallowable">VitalTax!$E$39</definedName>
    <definedName name="Q3_IncomeOther">VitalTax!$E$6</definedName>
    <definedName name="Q3_IncomeTurnover">VitalTax!$E$5</definedName>
    <definedName name="Q4_ConsolidatedExpenses">VitalTax!$F$29</definedName>
    <definedName name="Q4_ExpenseAdminCosts">VitalTax!$F$15</definedName>
    <definedName name="Q4_ExpenseAdminCostsDisallowable">VitalTax!$F$42</definedName>
    <definedName name="Q4_ExpenseAdvertisingCosts">VitalTax!$F$18</definedName>
    <definedName name="Q4_ExpenseAdvertisingCostsDisallowable">VitalTax!$F$43</definedName>
    <definedName name="Q4_ExpenseBadDebt">VitalTax!$F$20</definedName>
    <definedName name="Q4_ExpenseBadDebtDisallowable">VitalTax!$F$47</definedName>
    <definedName name="Q4_ExpenseBusinessEntertainmentCosts">VitalTax!$F$25</definedName>
    <definedName name="Q4_ExpenseBusinessEntertainmentCostsDisallowable">VitalTax!$F$44</definedName>
    <definedName name="Q4_ExpenseCisPaymentsToSubcontractors">VitalTax!$F$24</definedName>
    <definedName name="Q4_ExpenseCisPaymentsToSubcontractorsDisallowable">VitalTax!$F$37</definedName>
    <definedName name="Q4_ExpenseCostOfGoodsBought">VitalTax!$F$7</definedName>
    <definedName name="Q4_ExpenseCostOfGoodsBoughtDisallowable">VitalTax!$F$36</definedName>
    <definedName name="Q4_ExpenseDepreciation">VitalTax!$F$26</definedName>
    <definedName name="Q4_ExpenseDepreciationDisallowable">VitalTax!$F$49</definedName>
    <definedName name="Q4_ExpenseFinancialCharges">VitalTax!$F$16</definedName>
    <definedName name="Q4_ExpenseFinancialChargesDisallowable">VitalTax!$F$46</definedName>
    <definedName name="Q4_ExpenseInterest">VitalTax!$F$21</definedName>
    <definedName name="Q4_ExpenseInterestDisallowable">VitalTax!$F$45</definedName>
    <definedName name="Q4_ExpenseMaintenanceCosts">VitalTax!$F$14</definedName>
    <definedName name="Q4_ExpenseMaintenanceCostsDisallowable">VitalTax!$F$41</definedName>
    <definedName name="Q4_ExpenseOther">VitalTax!$F$22</definedName>
    <definedName name="Q4_ExpenseOtherDisallowable">VitalTax!$F$50</definedName>
    <definedName name="Q4_ExpensePremisesRunningCosts">VitalTax!$F$13</definedName>
    <definedName name="Q4_ExpensePremisesRunningCostsDisallowable">VitalTax!$F$40</definedName>
    <definedName name="Q4_ExpenseProfessionalFees">VitalTax!$F$19</definedName>
    <definedName name="Q4_ExpenseProfessionalFeesDisallowable">VitalTax!$F$48</definedName>
    <definedName name="Q4_ExpenseStaffCosts">VitalTax!$F$12</definedName>
    <definedName name="Q4_ExpenseStaffCostsDisallowable">VitalTax!$F$38</definedName>
    <definedName name="Q4_ExpenseTravelCosts">VitalTax!$F$17</definedName>
    <definedName name="Q4_ExpenseTravelCostsDisallowable">VitalTax!$F$39</definedName>
    <definedName name="Q4_IncomeOther">VitalTax!$F$6</definedName>
    <definedName name="Q4_IncomeTurnover">VitalTax!$F$5</definedName>
  </definedNames>
  <calcPr calcId="191029" fullCalcOnLoad="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sharedStrings.xml><?xml version="1.0" encoding="utf-8"?>
<sst xmlns="http://schemas.openxmlformats.org/spreadsheetml/2006/main" count="1048" uniqueCount="315">
  <si>
    <t>Interest</t>
  </si>
  <si>
    <t>Sales Turnover</t>
  </si>
  <si>
    <t>Gross Profit</t>
  </si>
  <si>
    <t>Advertising &amp; promotion</t>
  </si>
  <si>
    <t>Legal &amp; professional</t>
  </si>
  <si>
    <t>Other finance charges</t>
  </si>
  <si>
    <t>Other expenses</t>
  </si>
  <si>
    <t>Total Expenses</t>
  </si>
  <si>
    <t>Net Profit/Loss</t>
  </si>
  <si>
    <t>Employee costs</t>
  </si>
  <si>
    <t>Premises costs</t>
  </si>
  <si>
    <t>General admin expenses</t>
  </si>
  <si>
    <t>Previous Year</t>
  </si>
  <si>
    <t>Capital Allowances</t>
  </si>
  <si>
    <t>This section for your information only</t>
  </si>
  <si>
    <t>Working Tax Credit</t>
  </si>
  <si>
    <t>Not taxable and not added to self employment income for tax purposes</t>
  </si>
  <si>
    <t>UK residents aged 60 - 65 get 5 years bonus.</t>
  </si>
  <si>
    <t>To confirm current NI / Pension entitlement years the helpline number is 0845 3000 168</t>
  </si>
  <si>
    <t>Profit &amp; Loss Account</t>
  </si>
  <si>
    <t>50% Payable</t>
  </si>
  <si>
    <t>Due Date</t>
  </si>
  <si>
    <t>Amount Payable</t>
  </si>
  <si>
    <t>FUTURE TAX LIABILITY (if over £500)</t>
  </si>
  <si>
    <t>This section an indication and for your information only</t>
  </si>
  <si>
    <t>Any Other Business Income</t>
  </si>
  <si>
    <t>NOTES:</t>
  </si>
  <si>
    <t>Mileage Allowance</t>
  </si>
  <si>
    <t>Fuel &amp; Oil Expenses</t>
  </si>
  <si>
    <t>Car Hire/Vehicle Leasing</t>
  </si>
  <si>
    <t>Repairs, servicing and parts</t>
  </si>
  <si>
    <t>Road tax and insurance</t>
  </si>
  <si>
    <t>Cost of Sales</t>
  </si>
  <si>
    <t>Business details</t>
  </si>
  <si>
    <t>Asset Description</t>
  </si>
  <si>
    <t>Purchase Reference</t>
  </si>
  <si>
    <t>Original Cost</t>
  </si>
  <si>
    <t>W Down Allowance</t>
  </si>
  <si>
    <t>Sales      Value</t>
  </si>
  <si>
    <t>Capital Allowance</t>
  </si>
  <si>
    <t>Balancing Charge</t>
  </si>
  <si>
    <t>Enter % Personal use of vehicles</t>
  </si>
  <si>
    <t>Enter mileage and vehicle expenses on the sales and expenses sheet and the formula will automatically select the best option</t>
  </si>
  <si>
    <t>Profit &amp; Loss account automatically updates with the most tax efficient option</t>
  </si>
  <si>
    <t>Date     Asset Purchased</t>
  </si>
  <si>
    <t>Profit from Self employment</t>
  </si>
  <si>
    <t>Total income on which tax is due</t>
  </si>
  <si>
    <t>Income Tax payable</t>
  </si>
  <si>
    <t>TOTAL Income Tax &amp; NI Liability</t>
  </si>
  <si>
    <t>To receive Full Pension entitlement NI has to be paid 44 years out of 49 years (16 - 65)</t>
  </si>
  <si>
    <t>£</t>
  </si>
  <si>
    <t>Investment Grants</t>
  </si>
  <si>
    <t>General Expenses</t>
  </si>
  <si>
    <t>Profit (Loss) before Tax</t>
  </si>
  <si>
    <t>FORECAST TAX CALCULATION</t>
  </si>
  <si>
    <t>Profit before Tax</t>
  </si>
  <si>
    <t>Personal Allowance</t>
  </si>
  <si>
    <t>Profit after Allowance</t>
  </si>
  <si>
    <t>Tax at standard rate</t>
  </si>
  <si>
    <t>Tax at higher rate</t>
  </si>
  <si>
    <t>National Insurance</t>
  </si>
  <si>
    <t>TAX &amp; NI LIABILITY</t>
  </si>
  <si>
    <t>Financial Business Health Check</t>
  </si>
  <si>
    <t>Income Tax &amp; NI Liability</t>
  </si>
  <si>
    <t>Financial Health Check</t>
  </si>
  <si>
    <t>Forecast Profit</t>
  </si>
  <si>
    <t>Drawings Week 1</t>
  </si>
  <si>
    <t>Drawings Week 2</t>
  </si>
  <si>
    <t>Drawings Week 3</t>
  </si>
  <si>
    <t>Drawings Week 4</t>
  </si>
  <si>
    <t>Dates</t>
  </si>
  <si>
    <t xml:space="preserve">Capital Tax Allowances </t>
  </si>
  <si>
    <t>Income Tax Rates</t>
  </si>
  <si>
    <t>Personal allowance</t>
  </si>
  <si>
    <t>Writing down allowance</t>
  </si>
  <si>
    <t>Basic rate applicable on taxable income up to higher rate</t>
  </si>
  <si>
    <t>%</t>
  </si>
  <si>
    <t>Allowances restricted on Motor vehicles</t>
  </si>
  <si>
    <t>Higher rate applicable on taxable income over higher rate</t>
  </si>
  <si>
    <t xml:space="preserve">Costing over </t>
  </si>
  <si>
    <t>Restricted to</t>
  </si>
  <si>
    <t>Taxable Bands Allowances</t>
  </si>
  <si>
    <t>Start Level</t>
  </si>
  <si>
    <t xml:space="preserve"> End Level</t>
  </si>
  <si>
    <t xml:space="preserve"> Tax Band </t>
  </si>
  <si>
    <t>Depreciation Rates Applied</t>
  </si>
  <si>
    <t>Basic rate</t>
  </si>
  <si>
    <t>Higher rate</t>
  </si>
  <si>
    <t>Land &amp; Property</t>
  </si>
  <si>
    <t>Plant &amp; Machinery</t>
  </si>
  <si>
    <t>National Insurance rates</t>
  </si>
  <si>
    <t>Fixtures &amp; Fittings</t>
  </si>
  <si>
    <t>Computer Equipment</t>
  </si>
  <si>
    <t>NI Class 2 rate</t>
  </si>
  <si>
    <t>Motor Vehicles</t>
  </si>
  <si>
    <t>NI Class 4 rate between lower profits and upper profits limit</t>
  </si>
  <si>
    <t>Mileage Allowances</t>
  </si>
  <si>
    <t>Miles</t>
  </si>
  <si>
    <t>p per mile</t>
  </si>
  <si>
    <t>Higher rate allowance up to</t>
  </si>
  <si>
    <t>NI Class 4 rate above upper profits limit</t>
  </si>
  <si>
    <t>Lower rate allowance over</t>
  </si>
  <si>
    <t xml:space="preserve">TAXATION CALCULATION </t>
  </si>
  <si>
    <t>Minus Personal Allowance</t>
  </si>
  <si>
    <t>Income Tax first band</t>
  </si>
  <si>
    <t>Income Tax second band</t>
  </si>
  <si>
    <t>Amounts Payable by</t>
  </si>
  <si>
    <t>Class 4 NI Contribution Lower - Upper profits</t>
  </si>
  <si>
    <t>Class 4 NI Contribution Upper profits</t>
  </si>
  <si>
    <t>Tax &amp; NI Assessment</t>
  </si>
  <si>
    <t>Pension Entitlement</t>
  </si>
  <si>
    <t>Total Year</t>
  </si>
  <si>
    <t>ACTUAL                          Profit and Loss Account</t>
  </si>
  <si>
    <t>FORECAST                   Profit and Loss Account</t>
  </si>
  <si>
    <t>TOTAL</t>
  </si>
  <si>
    <t>W Down Net Value</t>
  </si>
  <si>
    <t>TOTAL FIXED ASSETS AT</t>
  </si>
  <si>
    <t>Vehicles under £12,000 bought before</t>
  </si>
  <si>
    <t>Sub total Vehicles under £12000 purchased before</t>
  </si>
  <si>
    <t>Vehicles over £12,000 bought before</t>
  </si>
  <si>
    <t>Sub total Vehicles over £12000 purchased before</t>
  </si>
  <si>
    <t>FIXED ASSETS EXISTING at</t>
  </si>
  <si>
    <t>Vehicles under £12,000 bought after</t>
  </si>
  <si>
    <t>Sub total Vehicles under £12000 purchased after</t>
  </si>
  <si>
    <t>Vehicles over £12,000 bought after</t>
  </si>
  <si>
    <t>Sub total Vehicles over £12000 purchased after</t>
  </si>
  <si>
    <t xml:space="preserve">FIXED ASSET ADDITIONS </t>
  </si>
  <si>
    <t>Fixed Assets including Commercial vehicles bought before</t>
  </si>
  <si>
    <t>Fixed Assets including Commercial vehicles bought after</t>
  </si>
  <si>
    <t>Fixed Assets incl Commercial vehicles bght before</t>
  </si>
  <si>
    <t>Fixed Assets incl Commercial vehicles bght after</t>
  </si>
  <si>
    <t>Date     Asset or Vehicle    Sold</t>
  </si>
  <si>
    <t>Annual Investment Allowance</t>
  </si>
  <si>
    <r>
      <t xml:space="preserve">ENTER YOUR BUSINESS DETAILS </t>
    </r>
    <r>
      <rPr>
        <i/>
        <sz val="9"/>
        <rFont val="Arial"/>
        <family val="2"/>
      </rPr>
      <t>- which are then transferred to the Self-employment Tax Return</t>
    </r>
  </si>
  <si>
    <t>Your name</t>
  </si>
  <si>
    <t>Your unique taxpayer reference (UTR)</t>
  </si>
  <si>
    <t>Description of business</t>
  </si>
  <si>
    <t>If you are a foster carer or adult placement carer, put 'X'</t>
  </si>
  <si>
    <r>
      <t xml:space="preserve">in the box - </t>
    </r>
    <r>
      <rPr>
        <i/>
        <sz val="8"/>
        <rFont val="Arial"/>
        <family val="2"/>
      </rPr>
      <t>read page SESN 2 of the notes</t>
    </r>
  </si>
  <si>
    <t xml:space="preserve">If your business started sifter </t>
  </si>
  <si>
    <r>
      <t xml:space="preserve">enter the start date </t>
    </r>
    <r>
      <rPr>
        <i/>
        <sz val="8"/>
        <rFont val="Arial"/>
        <family val="2"/>
      </rPr>
      <t>DD/MM/YYY</t>
    </r>
  </si>
  <si>
    <t>Postcode of your business</t>
  </si>
  <si>
    <t>If your business ceased before</t>
  </si>
  <si>
    <t>If your business name, description, address or postcode</t>
  </si>
  <si>
    <t>enter the final date of trading</t>
  </si>
  <si>
    <t>have changed in the last 12 months, put 'X' in the box</t>
  </si>
  <si>
    <t>and give details in the 'Any other information' box of</t>
  </si>
  <si>
    <t>of your Tax Return</t>
  </si>
  <si>
    <r>
      <t>Date your books or accounts are made up to -</t>
    </r>
    <r>
      <rPr>
        <i/>
        <sz val="8"/>
        <rFont val="Arial"/>
        <family val="2"/>
      </rPr>
      <t xml:space="preserve"> read</t>
    </r>
  </si>
  <si>
    <t>page SESN 2 of the notes</t>
  </si>
  <si>
    <r>
      <t>ENTER</t>
    </r>
    <r>
      <rPr>
        <sz val="8"/>
        <rFont val="Arial"/>
        <family val="2"/>
      </rPr>
      <t>: Total losses brought forward from earlier years</t>
    </r>
  </si>
  <si>
    <r>
      <t>ENTER</t>
    </r>
    <r>
      <rPr>
        <sz val="8"/>
        <rFont val="Arial"/>
        <family val="2"/>
      </rPr>
      <t>: Value of goods and services for your own use</t>
    </r>
  </si>
  <si>
    <t xml:space="preserve"> - read page SESN 7 of the notes</t>
  </si>
  <si>
    <t>.</t>
  </si>
  <si>
    <t>Loss used this year</t>
  </si>
  <si>
    <t>Total loss carried forward to future years</t>
  </si>
  <si>
    <t>Calculated no entry required</t>
  </si>
  <si>
    <t>HM Revenue                  &amp; Customs</t>
  </si>
  <si>
    <t>Self-employment (short)</t>
  </si>
  <si>
    <t xml:space="preserve">Tax year </t>
  </si>
  <si>
    <t>to</t>
  </si>
  <si>
    <r>
      <t xml:space="preserve">enter the start date </t>
    </r>
    <r>
      <rPr>
        <i/>
        <sz val="8"/>
        <rFont val="Arial"/>
        <family val="2"/>
      </rPr>
      <t>DD/MM/YYYY</t>
    </r>
  </si>
  <si>
    <r>
      <t>Your turnover -</t>
    </r>
    <r>
      <rPr>
        <i/>
        <sz val="8"/>
        <rFont val="Arial"/>
        <family val="2"/>
      </rPr>
      <t xml:space="preserve"> the takings, fees, sales or money earned</t>
    </r>
  </si>
  <si>
    <t>Any other business income not included in box 8</t>
  </si>
  <si>
    <t>by your business</t>
  </si>
  <si>
    <t xml:space="preserve"> - excluding Business Start-up Allowance</t>
  </si>
  <si>
    <t>Allowable business expenses</t>
  </si>
  <si>
    <r>
      <t xml:space="preserve">Read pages SESN 3 of the </t>
    </r>
    <r>
      <rPr>
        <i/>
        <sz val="8"/>
        <rFont val="Arial"/>
        <family val="2"/>
      </rPr>
      <t>notes</t>
    </r>
    <r>
      <rPr>
        <sz val="8"/>
        <rFont val="Arial"/>
        <family val="2"/>
      </rPr>
      <t xml:space="preserve"> to see which expenses are allowed for tax purposes. If your annual turnover was below £30,000</t>
    </r>
  </si>
  <si>
    <t>you may just put your total expenses in box 19, rather than filling in the whole section.</t>
  </si>
  <si>
    <t>Cost of goods bought for re-sale or goods used</t>
  </si>
  <si>
    <t>Accountancy, legal and other professional fees</t>
  </si>
  <si>
    <r>
      <t xml:space="preserve">Car, van and other travel expenses - </t>
    </r>
    <r>
      <rPr>
        <i/>
        <sz val="8"/>
        <rFont val="Arial"/>
        <family val="2"/>
      </rPr>
      <t>after private</t>
    </r>
  </si>
  <si>
    <t>Interest and bank and credit card etc. financial charges</t>
  </si>
  <si>
    <t>use proportion</t>
  </si>
  <si>
    <t>Wages, salaries and other staff costs</t>
  </si>
  <si>
    <t>Telephone, fax, stationery and other office costs</t>
  </si>
  <si>
    <t>Rent, rates, power and insurance costs</t>
  </si>
  <si>
    <r>
      <t xml:space="preserve">Other allowable business expenses - </t>
    </r>
    <r>
      <rPr>
        <i/>
        <sz val="8"/>
        <rFont val="Arial"/>
        <family val="2"/>
      </rPr>
      <t>client entertaining</t>
    </r>
  </si>
  <si>
    <t>costs are not an allowable expense</t>
  </si>
  <si>
    <t>Repairs and renewals of property and equipment</t>
  </si>
  <si>
    <r>
      <t xml:space="preserve">Total allowable expenses - </t>
    </r>
    <r>
      <rPr>
        <i/>
        <sz val="8"/>
        <rFont val="Arial"/>
        <family val="2"/>
      </rPr>
      <t>total of boxes 10 to 18</t>
    </r>
  </si>
  <si>
    <t>Net profit or loss</t>
  </si>
  <si>
    <r>
      <t>Net profit -</t>
    </r>
    <r>
      <rPr>
        <i/>
        <sz val="8"/>
        <rFont val="Arial"/>
        <family val="2"/>
      </rPr>
      <t xml:space="preserve"> if your business income is more then your</t>
    </r>
  </si>
  <si>
    <r>
      <t>Or, net loss -</t>
    </r>
    <r>
      <rPr>
        <i/>
        <sz val="8"/>
        <rFont val="Arial"/>
        <family val="2"/>
      </rPr>
      <t xml:space="preserve"> if your expenses exceed your business</t>
    </r>
  </si>
  <si>
    <t>expenses (box 8 + box 9 minus box 19)</t>
  </si>
  <si>
    <t>income (box 8 + box 9 minus box 19 is negative)</t>
  </si>
  <si>
    <t>Tax allowances for vehicles and equipment (capital allowances)</t>
  </si>
  <si>
    <t>There are 'capital' tax allowances for vehicles and equipment used in your business (you should not have included the cost of</t>
  </si>
  <si>
    <r>
      <t xml:space="preserve">these in your business expenses)  Read pages SESN 3 to SEFN 6 of the </t>
    </r>
    <r>
      <rPr>
        <i/>
        <sz val="8"/>
        <rFont val="Arial"/>
        <family val="2"/>
      </rPr>
      <t>notes</t>
    </r>
    <r>
      <rPr>
        <sz val="8"/>
        <rFont val="Arial"/>
        <family val="2"/>
      </rPr>
      <t xml:space="preserve"> and use the example and Working Sheets to work out</t>
    </r>
  </si>
  <si>
    <t>your capital allowances.</t>
  </si>
  <si>
    <t>Total balancing charges - where you have disposed of</t>
  </si>
  <si>
    <t>Calculating your taxable profits</t>
  </si>
  <si>
    <r>
      <t xml:space="preserve">Your taxable profit may not be the same as your net profit. Read page SESN 7 of the </t>
    </r>
    <r>
      <rPr>
        <i/>
        <sz val="8"/>
        <rFont val="Arial"/>
        <family val="2"/>
      </rPr>
      <t>notes</t>
    </r>
    <r>
      <rPr>
        <sz val="8"/>
        <rFont val="Arial"/>
        <family val="2"/>
      </rPr>
      <t xml:space="preserve"> to see if you need to make any</t>
    </r>
  </si>
  <si>
    <t>adjustments and fill in the boxes which apply to arrive at your taxable profit for the year.</t>
  </si>
  <si>
    <r>
      <t xml:space="preserve">Goods and services for your own use - </t>
    </r>
    <r>
      <rPr>
        <i/>
        <sz val="8"/>
        <rFont val="Arial"/>
        <family val="2"/>
      </rPr>
      <t>read page</t>
    </r>
  </si>
  <si>
    <t>Loss brought forward from earlier years set-off against</t>
  </si>
  <si>
    <t>Any other business income not included in boxes 8 or 9</t>
  </si>
  <si>
    <t xml:space="preserve"> - for example, Business Start-up Allowance</t>
  </si>
  <si>
    <t>Total taxable profits or net business loss</t>
  </si>
  <si>
    <t>Losses, Class 4 NICs and deductions</t>
  </si>
  <si>
    <r>
      <t xml:space="preserve">If you have made a loss for tax purposes (box 29), read page SESN 7 of the </t>
    </r>
    <r>
      <rPr>
        <i/>
        <sz val="8"/>
        <rFont val="Arial"/>
        <family val="2"/>
      </rPr>
      <t>notes</t>
    </r>
    <r>
      <rPr>
        <sz val="8"/>
        <rFont val="Arial"/>
        <family val="2"/>
      </rPr>
      <t xml:space="preserve"> and fill in boxes 30 to 32 as appropriate.</t>
    </r>
  </si>
  <si>
    <t>Loss from this tax year set-off against other income</t>
  </si>
  <si>
    <t>If you are exempt from paying Class 4 NICs, put 'X' in the</t>
  </si>
  <si>
    <t xml:space="preserve">for </t>
  </si>
  <si>
    <t>Loss to be carried back to previous year(s) and set-off</t>
  </si>
  <si>
    <t xml:space="preserve">If you have been given a </t>
  </si>
  <si>
    <t>Class 4 NICs</t>
  </si>
  <si>
    <t>against income (or capital gains)</t>
  </si>
  <si>
    <t>of the notes</t>
  </si>
  <si>
    <t>Total loss to carry forward after all other set-offs</t>
  </si>
  <si>
    <t>Deductions on payment and deduction statements from</t>
  </si>
  <si>
    <t xml:space="preserve"> - including unused losses brought forward</t>
  </si>
  <si>
    <r>
      <t>contractors -</t>
    </r>
    <r>
      <rPr>
        <i/>
        <sz val="8"/>
        <rFont val="Arial"/>
        <family val="2"/>
      </rPr>
      <t xml:space="preserve"> construction industry subcontractors only</t>
    </r>
  </si>
  <si>
    <t>Taxi Driver</t>
  </si>
  <si>
    <t>Other Capital Allowances</t>
  </si>
  <si>
    <t>Allowance of small balance of unrelieved</t>
  </si>
  <si>
    <t>expenditure</t>
  </si>
  <si>
    <t>items for more than their value</t>
  </si>
  <si>
    <t>SESN 9 of the notes</t>
  </si>
  <si>
    <r>
      <t xml:space="preserve">this year's profits - </t>
    </r>
    <r>
      <rPr>
        <i/>
        <sz val="8"/>
        <rFont val="Arial"/>
        <family val="2"/>
      </rPr>
      <t>up to the amount in box 27</t>
    </r>
  </si>
  <si>
    <t>Net business profit for tax purposes (if box 20 + box 25 +</t>
  </si>
  <si>
    <t>box 26 minus boxes 21 to 24) is positive)</t>
  </si>
  <si>
    <t>Total taxable profits from this business</t>
  </si>
  <si>
    <t>Net business loss for tax purposes (if boxes 21 to 24</t>
  </si>
  <si>
    <t>if box 27 + box 29 minus box 28 is positive</t>
  </si>
  <si>
    <t>minus (box 20 + box 25 + box 26) is positive)</t>
  </si>
  <si>
    <r>
      <t xml:space="preserve">box - </t>
    </r>
    <r>
      <rPr>
        <i/>
        <sz val="8"/>
        <rFont val="Arial"/>
        <family val="2"/>
      </rPr>
      <t>read page SESN 10 of the notes</t>
    </r>
  </si>
  <si>
    <r>
      <t xml:space="preserve">deferment certificate, put 'X' in the box - </t>
    </r>
    <r>
      <rPr>
        <i/>
        <sz val="8"/>
        <rFont val="Arial"/>
        <family val="2"/>
      </rPr>
      <t>read page SESN 10</t>
    </r>
  </si>
  <si>
    <t>NIC class 4 lower limit</t>
  </si>
  <si>
    <t>NIC class 4 upper limit</t>
  </si>
  <si>
    <r>
      <t xml:space="preserve">Click a link below to navigate to the desired page.
To return to the home page click the Home tab. If you can't see the Home tab, you can scroll to it by clicking the </t>
    </r>
    <r>
      <rPr>
        <b/>
        <i/>
        <sz val="10"/>
        <rFont val="Arial"/>
        <family val="2"/>
      </rPr>
      <t>|&lt;</t>
    </r>
    <r>
      <rPr>
        <i/>
        <sz val="10"/>
        <rFont val="Arial"/>
        <family val="2"/>
      </rPr>
      <t xml:space="preserve"> symbol (bottom left).</t>
    </r>
  </si>
  <si>
    <t>Preparation</t>
  </si>
  <si>
    <t>Results</t>
  </si>
  <si>
    <t>Any other income</t>
  </si>
  <si>
    <t>Rental due</t>
  </si>
  <si>
    <t>Other Income (start up grants)</t>
  </si>
  <si>
    <t>Gross takings including tips</t>
  </si>
  <si>
    <t>Sales Mileage</t>
  </si>
  <si>
    <t>Customer Name (rental/other income)</t>
  </si>
  <si>
    <t>Total for Month</t>
  </si>
  <si>
    <t>Day</t>
  </si>
  <si>
    <t>Sales      Date</t>
  </si>
  <si>
    <t>F</t>
  </si>
  <si>
    <t>O</t>
  </si>
  <si>
    <t>B</t>
  </si>
  <si>
    <t>I</t>
  </si>
  <si>
    <t>L</t>
  </si>
  <si>
    <t>A</t>
  </si>
  <si>
    <t>G</t>
  </si>
  <si>
    <t>P</t>
  </si>
  <si>
    <t>E</t>
  </si>
  <si>
    <t>T</t>
  </si>
  <si>
    <t>R</t>
  </si>
  <si>
    <t>H</t>
  </si>
  <si>
    <t>D</t>
  </si>
  <si>
    <t>Car Hire &amp; Vehicle Leasing costs</t>
  </si>
  <si>
    <t>Supplier</t>
  </si>
  <si>
    <t>Purchase Date</t>
  </si>
  <si>
    <t>Fixed Assets Motor Vehicles</t>
  </si>
  <si>
    <t>Other Expenses incl valet costs</t>
  </si>
  <si>
    <t>Bank Charges &amp; Other Leasing</t>
  </si>
  <si>
    <t>Bank Business Account Interest</t>
  </si>
  <si>
    <t>Legal &amp; Professional incl Council Taxi Licence Costs</t>
  </si>
  <si>
    <t>Advertising &amp;   Promotion</t>
  </si>
  <si>
    <t>General Admin Tel Postage Stationery Radio hire</t>
  </si>
  <si>
    <t>Premises Costs</t>
  </si>
  <si>
    <t>Employee Costs</t>
  </si>
  <si>
    <t>Vehicle expenses to date</t>
  </si>
  <si>
    <t>Total Purchase Value incl Vat</t>
  </si>
  <si>
    <t>Mileage</t>
  </si>
  <si>
    <t xml:space="preserve"> Enter Expense Code Letter</t>
  </si>
  <si>
    <t>Purchase Reference / Invoice Number</t>
  </si>
  <si>
    <t>Mileage expenses to date</t>
  </si>
  <si>
    <t>Mileage to date</t>
  </si>
  <si>
    <t>Advertising &amp; Promotion</t>
  </si>
  <si>
    <t>Taxi Driver Accounts</t>
  </si>
  <si>
    <t>Taxi Receipts</t>
  </si>
  <si>
    <t>Expenses</t>
  </si>
  <si>
    <t>VAT Threshold</t>
  </si>
  <si>
    <t xml:space="preserve"> </t>
  </si>
  <si>
    <t xml:space="preserve">Sunday </t>
  </si>
  <si>
    <t>COPY DETAILS TO HMRC FORM          Submit HMRC ONLINE by               31st January 2022</t>
  </si>
  <si>
    <t>VitalTax summary</t>
  </si>
  <si>
    <t>Q1</t>
  </si>
  <si>
    <t>Q2</t>
  </si>
  <si>
    <t>Q3</t>
  </si>
  <si>
    <t>Q4</t>
  </si>
  <si>
    <t>Annual</t>
  </si>
  <si>
    <t>Notes</t>
  </si>
  <si>
    <t>Turnover</t>
  </si>
  <si>
    <t>Other income</t>
  </si>
  <si>
    <t>Cost of goods bought</t>
  </si>
  <si>
    <t>Allowable expenses</t>
  </si>
  <si>
    <t>Staff costs</t>
  </si>
  <si>
    <t>Premises running costs</t>
  </si>
  <si>
    <t>Maintenance</t>
  </si>
  <si>
    <t>Admin</t>
  </si>
  <si>
    <t>Financial charges</t>
  </si>
  <si>
    <t>Travel</t>
  </si>
  <si>
    <t>Advertising</t>
  </si>
  <si>
    <t>Professional</t>
  </si>
  <si>
    <t>Bad debt</t>
  </si>
  <si>
    <t>Other</t>
  </si>
  <si>
    <t>CIS payment to subcontractors</t>
  </si>
  <si>
    <t>Not captured in DIY Accounting</t>
  </si>
  <si>
    <t>Business entertainment</t>
  </si>
  <si>
    <t>Depreciation</t>
  </si>
  <si>
    <t xml:space="preserve">Total allowable expenses </t>
  </si>
  <si>
    <t>Disallowable expenses</t>
  </si>
  <si>
    <t xml:space="preserve">Travel </t>
  </si>
  <si>
    <t>Financial charges </t>
  </si>
  <si>
    <t>Bad debt </t>
  </si>
  <si>
    <t>2025-26</t>
  </si>
  <si>
    <t>Above Lower Profits Threshold (LPT)</t>
  </si>
  <si>
    <t>2026-27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</si>
</sst>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164" formatCode="0.00_ ;[Red]\-0.00\ "/>
    <numFmt numFmtId="165" formatCode="#,##0.00_ ;[Red]\-#,##0.00\ "/>
    <numFmt numFmtId="166" formatCode="#,##0_ ;[Red]\-#,##0\ "/>
    <numFmt numFmtId="167" formatCode="0_ ;[Red]\-0\ "/>
    <numFmt numFmtId="168" formatCode="[$-F800]dddd\,\ mmmm\ dd\,\ yyyy"/>
    <numFmt numFmtId="169" formatCode="dd/mm/yyyy;@"/>
    <numFmt numFmtId="170" formatCode="dddd"/>
  </numFmts>
  <fonts count="45" x14ac:knownFonts="1">
    <font>
      <sz val="10"/>
      <name val="Arial"/>
    </font>
    <font>
      <sz val="10"/>
      <name val="Arial"/>
      <family val="2"/>
    </font>
    <font>
      <sz val="10"/>
      <name val="Times New Roman"/>
      <family val="1"/>
    </font>
    <font>
      <sz val="8"/>
      <name val="Arial"/>
      <family val="2"/>
    </font>
    <font>
      <b/>
      <sz val="10"/>
      <name val="Times New Roman"/>
      <family val="1"/>
    </font>
    <font>
      <b/>
      <i/>
      <sz val="10"/>
      <name val="Times New Roman"/>
      <family val="1"/>
    </font>
    <font>
      <b/>
      <sz val="10"/>
      <color indexed="12"/>
      <name val="Times New Roman"/>
      <family val="1"/>
    </font>
    <font>
      <sz val="10"/>
      <color indexed="10"/>
      <name val="Times New Roman"/>
      <family val="1"/>
    </font>
    <font>
      <sz val="9"/>
      <name val="Times New Roman"/>
      <family val="1"/>
    </font>
    <font>
      <b/>
      <sz val="9"/>
      <name val="Arial"/>
      <family val="2"/>
    </font>
    <font>
      <b/>
      <sz val="9"/>
      <name val="Times New Roman"/>
      <family val="1"/>
    </font>
    <font>
      <sz val="9"/>
      <name val="Arial"/>
      <family val="2"/>
    </font>
    <font>
      <b/>
      <sz val="9"/>
      <name val="Arial"/>
      <family val="2"/>
    </font>
    <font>
      <b/>
      <i/>
      <sz val="9"/>
      <name val="Times New Roman"/>
      <family val="1"/>
    </font>
    <font>
      <b/>
      <sz val="10"/>
      <color indexed="10"/>
      <name val="Times New Roman"/>
      <family val="1"/>
    </font>
    <font>
      <sz val="9"/>
      <color indexed="18"/>
      <name val="Times New Roman"/>
      <family val="1"/>
    </font>
    <font>
      <sz val="10"/>
      <color indexed="18"/>
      <name val="Arial"/>
      <family val="2"/>
    </font>
    <font>
      <b/>
      <sz val="10"/>
      <color indexed="18"/>
      <name val="Times New Roman"/>
      <family val="1"/>
    </font>
    <font>
      <b/>
      <sz val="10"/>
      <color indexed="18"/>
      <name val="Arial"/>
      <family val="2"/>
    </font>
    <font>
      <b/>
      <sz val="8"/>
      <color indexed="10"/>
      <name val="Arial"/>
      <family val="2"/>
    </font>
    <font>
      <b/>
      <sz val="10"/>
      <name val="Arial"/>
      <family val="2"/>
    </font>
    <font>
      <sz val="10"/>
      <color indexed="12"/>
      <name val="Times New Roman"/>
      <family val="1"/>
    </font>
    <font>
      <sz val="9"/>
      <color indexed="12"/>
      <name val="Times New Roman"/>
      <family val="1"/>
    </font>
    <font>
      <sz val="9"/>
      <name val="Arial"/>
      <family val="2"/>
    </font>
    <font>
      <b/>
      <sz val="10"/>
      <name val="Arial"/>
      <family val="2"/>
    </font>
    <font>
      <i/>
      <sz val="9"/>
      <name val="Arial"/>
      <family val="2"/>
    </font>
    <font>
      <sz val="8"/>
      <name val="Arial"/>
      <family val="2"/>
    </font>
    <font>
      <b/>
      <sz val="11"/>
      <name val="Arial"/>
      <family val="2"/>
    </font>
    <font>
      <i/>
      <sz val="8"/>
      <name val="Arial"/>
      <family val="2"/>
    </font>
    <font>
      <sz val="14"/>
      <name val="Arial"/>
      <family val="2"/>
    </font>
    <font>
      <b/>
      <sz val="8"/>
      <name val="Arial"/>
      <family val="2"/>
    </font>
    <font>
      <sz val="10"/>
      <color indexed="48"/>
      <name val="Arial"/>
      <family val="2"/>
    </font>
    <font>
      <b/>
      <sz val="12"/>
      <name val="Arial"/>
      <family val="2"/>
    </font>
    <font>
      <i/>
      <sz val="8"/>
      <color indexed="12"/>
      <name val="Arial"/>
      <family val="2"/>
    </font>
    <font>
      <b/>
      <sz val="14"/>
      <color indexed="62"/>
      <name val="Arial"/>
      <family val="2"/>
    </font>
    <font>
      <b/>
      <sz val="8"/>
      <color indexed="53"/>
      <name val="Arial"/>
      <family val="2"/>
    </font>
    <font>
      <b/>
      <sz val="16"/>
      <color indexed="62"/>
      <name val="Arial"/>
      <family val="2"/>
    </font>
    <font>
      <b/>
      <sz val="10"/>
      <color indexed="62"/>
      <name val="Arial"/>
      <family val="2"/>
    </font>
    <font>
      <sz val="12"/>
      <name val="Arial"/>
      <family val="2"/>
    </font>
    <font>
      <sz val="11"/>
      <color indexed="48"/>
      <name val="Arial"/>
      <family val="2"/>
    </font>
    <font>
      <sz val="10"/>
      <name val="Arial"/>
      <family val="2"/>
    </font>
    <font>
      <i/>
      <sz val="10"/>
      <name val="Arial"/>
      <family val="2"/>
    </font>
    <font>
      <b/>
      <i/>
      <sz val="10"/>
      <name val="Arial"/>
      <family val="2"/>
    </font>
    <font>
      <b/>
      <sz val="9"/>
      <color indexed="10"/>
      <name val="Arial"/>
      <family val="2"/>
    </font>
    <font>
      <u/>
      <sz val="10"/>
      <color theme="10"/>
      <name val="Arial"/>
      <family val="2"/>
    </font>
  </fonts>
  <fills count="7">
    <fill>
      <patternFill patternType="none"/>
    </fill>
    <fill>
      <patternFill patternType="gray125"/>
    </fill>
    <fill>
      <patternFill patternType="solid">
        <fgColor indexed="42"/>
        <bgColor indexed="64"/>
      </patternFill>
    </fill>
    <fill>
      <patternFill patternType="solid">
        <fgColor indexed="26"/>
        <bgColor indexed="64"/>
      </patternFill>
    </fill>
    <fill>
      <patternFill patternType="solid">
        <fgColor indexed="41"/>
        <bgColor indexed="64"/>
      </patternFill>
    </fill>
    <fill>
      <patternFill patternType="solid">
        <fgColor indexed="52"/>
        <bgColor indexed="64"/>
      </patternFill>
    </fill>
    <fill>
      <patternFill patternType="solid">
        <fgColor rgb="FFFFFF99"/>
        <bgColor indexed="64"/>
      </patternFill>
    </fill>
  </fills>
  <borders count="61">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medium">
        <color indexed="64"/>
      </left>
      <right/>
      <top/>
      <bottom/>
      <diagonal/>
    </border>
    <border>
      <left/>
      <right style="medium">
        <color indexed="64"/>
      </right>
      <top/>
      <bottom/>
      <diagonal/>
    </border>
    <border>
      <left style="thin">
        <color indexed="64"/>
      </left>
      <right style="medium">
        <color indexed="64"/>
      </right>
      <top style="thin">
        <color indexed="64"/>
      </top>
      <bottom style="thin">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bottom style="medium">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indexed="40"/>
      </left>
      <right/>
      <top style="thin">
        <color indexed="40"/>
      </top>
      <bottom/>
      <diagonal/>
    </border>
    <border>
      <left/>
      <right/>
      <top style="thin">
        <color indexed="40"/>
      </top>
      <bottom/>
      <diagonal/>
    </border>
    <border>
      <left/>
      <right style="thin">
        <color indexed="40"/>
      </right>
      <top style="thin">
        <color indexed="40"/>
      </top>
      <bottom/>
      <diagonal/>
    </border>
    <border>
      <left style="thin">
        <color indexed="40"/>
      </left>
      <right/>
      <top/>
      <bottom/>
      <diagonal/>
    </border>
    <border>
      <left/>
      <right style="thin">
        <color indexed="40"/>
      </right>
      <top/>
      <bottom/>
      <diagonal/>
    </border>
    <border>
      <left style="thin">
        <color indexed="44"/>
      </left>
      <right style="thin">
        <color indexed="44"/>
      </right>
      <top style="thin">
        <color indexed="44"/>
      </top>
      <bottom style="thin">
        <color indexed="44"/>
      </bottom>
      <diagonal/>
    </border>
    <border>
      <left/>
      <right style="thin">
        <color indexed="44"/>
      </right>
      <top/>
      <bottom/>
      <diagonal/>
    </border>
    <border>
      <left style="thin">
        <color indexed="44"/>
      </left>
      <right/>
      <top/>
      <bottom/>
      <diagonal/>
    </border>
    <border>
      <left style="thin">
        <color indexed="44"/>
      </left>
      <right/>
      <top/>
      <bottom style="thin">
        <color indexed="44"/>
      </bottom>
      <diagonal/>
    </border>
    <border>
      <left/>
      <right/>
      <top/>
      <bottom style="thin">
        <color indexed="44"/>
      </bottom>
      <diagonal/>
    </border>
    <border>
      <left/>
      <right style="thin">
        <color indexed="44"/>
      </right>
      <top/>
      <bottom style="thin">
        <color indexed="44"/>
      </bottom>
      <diagonal/>
    </border>
    <border>
      <left style="thin">
        <color indexed="40"/>
      </left>
      <right/>
      <top/>
      <bottom style="thin">
        <color indexed="40"/>
      </bottom>
      <diagonal/>
    </border>
    <border>
      <left/>
      <right/>
      <top/>
      <bottom style="thin">
        <color indexed="40"/>
      </bottom>
      <diagonal/>
    </border>
    <border>
      <left/>
      <right style="thin">
        <color indexed="40"/>
      </right>
      <top/>
      <bottom style="thin">
        <color indexed="40"/>
      </bottom>
      <diagonal/>
    </border>
    <border>
      <left style="thin">
        <color indexed="44"/>
      </left>
      <right/>
      <top style="thin">
        <color indexed="44"/>
      </top>
      <bottom/>
      <diagonal/>
    </border>
    <border>
      <left/>
      <right/>
      <top style="thin">
        <color indexed="44"/>
      </top>
      <bottom/>
      <diagonal/>
    </border>
    <border>
      <left/>
      <right style="thin">
        <color indexed="44"/>
      </right>
      <top style="thin">
        <color indexed="44"/>
      </top>
      <bottom/>
      <diagonal/>
    </border>
    <border>
      <left/>
      <right/>
      <top style="medium">
        <color indexed="64"/>
      </top>
      <bottom style="medium">
        <color indexed="64"/>
      </bottom>
      <diagonal/>
    </border>
    <border>
      <left/>
      <right style="medium">
        <color indexed="64"/>
      </right>
      <top style="thin">
        <color indexed="64"/>
      </top>
      <bottom style="medium">
        <color indexed="64"/>
      </bottom>
      <diagonal/>
    </border>
    <border>
      <left/>
      <right/>
      <top style="thin">
        <color indexed="64"/>
      </top>
      <bottom style="medium">
        <color indexed="64"/>
      </bottom>
      <diagonal/>
    </border>
    <border>
      <left style="thin">
        <color indexed="40"/>
      </left>
      <right/>
      <top style="thin">
        <color indexed="40"/>
      </top>
      <bottom style="thin">
        <color indexed="40"/>
      </bottom>
      <diagonal/>
    </border>
    <border>
      <left/>
      <right/>
      <top style="thin">
        <color indexed="40"/>
      </top>
      <bottom style="thin">
        <color indexed="40"/>
      </bottom>
      <diagonal/>
    </border>
    <border>
      <left/>
      <right style="thin">
        <color indexed="40"/>
      </right>
      <top style="thin">
        <color indexed="40"/>
      </top>
      <bottom style="thin">
        <color indexed="40"/>
      </bottom>
      <diagonal/>
    </border>
    <border>
      <left style="thin">
        <color indexed="44"/>
      </left>
      <right/>
      <top style="thin">
        <color indexed="44"/>
      </top>
      <bottom style="thin">
        <color indexed="44"/>
      </bottom>
      <diagonal/>
    </border>
    <border>
      <left/>
      <right/>
      <top style="thin">
        <color indexed="44"/>
      </top>
      <bottom style="thin">
        <color indexed="44"/>
      </bottom>
      <diagonal/>
    </border>
    <border>
      <left/>
      <right style="thin">
        <color indexed="44"/>
      </right>
      <top style="thin">
        <color indexed="44"/>
      </top>
      <bottom style="thin">
        <color indexed="44"/>
      </bottom>
      <diagonal/>
    </border>
    <border>
      <left/>
      <right/>
      <top style="thin">
        <color indexed="40"/>
      </top>
      <bottom style="thin">
        <color indexed="44"/>
      </bottom>
      <diagonal/>
    </border>
    <border>
      <left style="thin">
        <color indexed="64"/>
      </left>
      <right style="thin">
        <color indexed="64"/>
      </right>
      <top style="medium">
        <color indexed="64"/>
      </top>
      <bottom/>
      <diagonal/>
    </border>
    <border>
      <left style="medium">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right style="thin">
        <color indexed="64"/>
      </right>
      <top style="thin">
        <color indexed="64"/>
      </top>
      <bottom/>
      <diagonal/>
    </border>
    <border>
      <left/>
      <right style="thin">
        <color indexed="64"/>
      </right>
      <top/>
      <bottom/>
      <diagonal/>
    </border>
    <border>
      <left style="thin">
        <color indexed="64"/>
      </left>
      <right/>
      <top/>
      <bottom style="thin">
        <color indexed="64"/>
      </bottom>
      <diagonal/>
    </border>
    <border>
      <left style="thin">
        <color indexed="64"/>
      </left>
      <right/>
      <top/>
      <bottom/>
      <diagonal/>
    </border>
  </borders>
  <cellStyleXfs count="4">
    <xf numFmtId="0" fontId="0" fillId="0" borderId="0"/>
    <xf numFmtId="0" fontId="44" fillId="0" borderId="0" applyNumberFormat="0" applyFill="0" applyBorder="0" applyAlignment="0" applyProtection="0"/>
    <xf numFmtId="0" fontId="40" fillId="0" borderId="0"/>
    <xf numFmtId="0" fontId="1" fillId="0" borderId="0"/>
  </cellStyleXfs>
  <cellXfs count="523">
    <xf numFmtId="0" fontId="0" fillId="0" borderId="0" xfId="0"/>
    <xf numFmtId="0" fontId="2" fillId="0" borderId="0" xfId="0" applyFont="1" applyProtection="1">
      <protection hidden="1"/>
    </xf>
    <xf numFmtId="166" fontId="2" fillId="0" borderId="0" xfId="0" applyNumberFormat="1" applyFont="1" applyAlignment="1" applyProtection="1">
      <alignment horizontal="center"/>
      <protection hidden="1"/>
    </xf>
    <xf numFmtId="0" fontId="2" fillId="0" borderId="0" xfId="0" applyFont="1" applyAlignment="1" applyProtection="1">
      <alignment horizontal="center"/>
      <protection hidden="1"/>
    </xf>
    <xf numFmtId="2" fontId="2" fillId="0" borderId="0" xfId="0" applyNumberFormat="1" applyFont="1" applyAlignment="1" applyProtection="1">
      <alignment horizontal="center"/>
      <protection hidden="1"/>
    </xf>
    <xf numFmtId="165" fontId="2" fillId="0" borderId="0" xfId="0" applyNumberFormat="1" applyFont="1" applyAlignment="1" applyProtection="1">
      <alignment horizontal="center"/>
      <protection hidden="1"/>
    </xf>
    <xf numFmtId="0" fontId="2" fillId="0" borderId="0" xfId="0" applyFont="1"/>
    <xf numFmtId="165" fontId="2" fillId="0" borderId="0" xfId="0" applyNumberFormat="1" applyFont="1"/>
    <xf numFmtId="0" fontId="7" fillId="0" borderId="0" xfId="0" applyFont="1" applyAlignment="1" applyProtection="1">
      <alignment horizontal="center"/>
      <protection hidden="1"/>
    </xf>
    <xf numFmtId="166" fontId="2" fillId="0" borderId="1" xfId="0" applyNumberFormat="1" applyFont="1" applyBorder="1" applyAlignment="1" applyProtection="1">
      <alignment horizontal="center"/>
      <protection hidden="1"/>
    </xf>
    <xf numFmtId="165" fontId="8" fillId="0" borderId="0" xfId="0" applyNumberFormat="1" applyFont="1" applyAlignment="1">
      <alignment horizontal="center"/>
    </xf>
    <xf numFmtId="0" fontId="10" fillId="0" borderId="0" xfId="0" applyFont="1"/>
    <xf numFmtId="0" fontId="8" fillId="0" borderId="0" xfId="0" applyFont="1"/>
    <xf numFmtId="14" fontId="8" fillId="0" borderId="0" xfId="0" applyNumberFormat="1" applyFont="1"/>
    <xf numFmtId="9" fontId="8" fillId="0" borderId="0" xfId="0" applyNumberFormat="1" applyFont="1" applyAlignment="1">
      <alignment horizontal="center"/>
    </xf>
    <xf numFmtId="165" fontId="8" fillId="0" borderId="0" xfId="0" applyNumberFormat="1" applyFont="1"/>
    <xf numFmtId="9" fontId="8" fillId="0" borderId="0" xfId="0" applyNumberFormat="1" applyFont="1"/>
    <xf numFmtId="15" fontId="8" fillId="0" borderId="0" xfId="0" applyNumberFormat="1" applyFont="1"/>
    <xf numFmtId="4" fontId="8" fillId="0" borderId="0" xfId="0" applyNumberFormat="1" applyFont="1"/>
    <xf numFmtId="0" fontId="15" fillId="2" borderId="2" xfId="0" applyFont="1" applyFill="1" applyBorder="1" applyAlignment="1" applyProtection="1">
      <alignment horizontal="left" vertical="center" wrapText="1" indent="1"/>
      <protection hidden="1"/>
    </xf>
    <xf numFmtId="166" fontId="7" fillId="3" borderId="3" xfId="0" applyNumberFormat="1" applyFont="1" applyFill="1" applyBorder="1" applyAlignment="1" applyProtection="1">
      <alignment horizontal="center" vertical="center"/>
      <protection hidden="1"/>
    </xf>
    <xf numFmtId="165" fontId="14" fillId="3" borderId="4" xfId="0" applyNumberFormat="1" applyFont="1" applyFill="1" applyBorder="1" applyAlignment="1">
      <alignment horizontal="center" vertical="center" wrapText="1"/>
    </xf>
    <xf numFmtId="165" fontId="19" fillId="3" borderId="4" xfId="0" applyNumberFormat="1" applyFont="1" applyFill="1" applyBorder="1" applyAlignment="1">
      <alignment horizontal="center" vertical="center" wrapText="1"/>
    </xf>
    <xf numFmtId="0" fontId="2" fillId="3" borderId="0" xfId="0" applyFont="1" applyFill="1" applyProtection="1">
      <protection hidden="1"/>
    </xf>
    <xf numFmtId="2" fontId="2" fillId="3" borderId="0" xfId="0" applyNumberFormat="1" applyFont="1" applyFill="1" applyAlignment="1" applyProtection="1">
      <alignment horizontal="center"/>
      <protection hidden="1"/>
    </xf>
    <xf numFmtId="165" fontId="2" fillId="3" borderId="0" xfId="0" applyNumberFormat="1" applyFont="1" applyFill="1" applyAlignment="1" applyProtection="1">
      <alignment horizontal="center"/>
      <protection hidden="1"/>
    </xf>
    <xf numFmtId="1" fontId="2" fillId="3" borderId="0" xfId="0" applyNumberFormat="1" applyFont="1" applyFill="1" applyProtection="1">
      <protection hidden="1"/>
    </xf>
    <xf numFmtId="166"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indent="1"/>
      <protection hidden="1"/>
    </xf>
    <xf numFmtId="164" fontId="2" fillId="3" borderId="0" xfId="0" applyNumberFormat="1" applyFont="1" applyFill="1" applyAlignment="1" applyProtection="1">
      <alignment horizontal="center"/>
      <protection hidden="1"/>
    </xf>
    <xf numFmtId="165" fontId="2" fillId="3" borderId="2" xfId="0" applyNumberFormat="1" applyFont="1" applyFill="1" applyBorder="1" applyAlignment="1" applyProtection="1">
      <alignment horizontal="center"/>
      <protection hidden="1"/>
    </xf>
    <xf numFmtId="167" fontId="2" fillId="3" borderId="0" xfId="0" applyNumberFormat="1" applyFont="1" applyFill="1" applyAlignment="1" applyProtection="1">
      <alignment horizontal="center"/>
      <protection hidden="1"/>
    </xf>
    <xf numFmtId="0" fontId="2" fillId="3" borderId="4" xfId="0" applyFont="1" applyFill="1" applyBorder="1" applyAlignment="1" applyProtection="1">
      <alignment horizontal="left" vertical="center" indent="1"/>
      <protection hidden="1"/>
    </xf>
    <xf numFmtId="0" fontId="20" fillId="3" borderId="0" xfId="0" applyFont="1" applyFill="1" applyAlignment="1">
      <alignment horizontal="left" vertical="center" indent="1"/>
    </xf>
    <xf numFmtId="164" fontId="2" fillId="3" borderId="0" xfId="0" applyNumberFormat="1" applyFont="1" applyFill="1" applyProtection="1">
      <protection hidden="1"/>
    </xf>
    <xf numFmtId="1" fontId="6" fillId="3" borderId="0" xfId="0" applyNumberFormat="1" applyFont="1" applyFill="1" applyAlignment="1" applyProtection="1">
      <alignment horizontal="center"/>
      <protection hidden="1"/>
    </xf>
    <xf numFmtId="166" fontId="4" fillId="3" borderId="0" xfId="0" applyNumberFormat="1" applyFont="1" applyFill="1" applyAlignment="1" applyProtection="1">
      <alignment horizontal="center"/>
      <protection hidden="1"/>
    </xf>
    <xf numFmtId="15" fontId="2" fillId="3" borderId="0" xfId="0" applyNumberFormat="1" applyFont="1" applyFill="1" applyAlignment="1" applyProtection="1">
      <alignment horizontal="center"/>
      <protection hidden="1"/>
    </xf>
    <xf numFmtId="165" fontId="4" fillId="3" borderId="0" xfId="0" applyNumberFormat="1" applyFont="1" applyFill="1" applyAlignment="1" applyProtection="1">
      <alignment horizontal="center"/>
      <protection hidden="1"/>
    </xf>
    <xf numFmtId="0" fontId="4" fillId="3" borderId="0" xfId="0" applyFont="1" applyFill="1" applyAlignment="1" applyProtection="1">
      <alignment horizontal="center"/>
      <protection hidden="1"/>
    </xf>
    <xf numFmtId="0" fontId="2" fillId="3" borderId="0" xfId="0" applyFont="1" applyFill="1" applyAlignment="1" applyProtection="1">
      <alignment horizontal="center"/>
      <protection hidden="1"/>
    </xf>
    <xf numFmtId="1" fontId="2" fillId="3" borderId="0" xfId="0" applyNumberFormat="1" applyFont="1" applyFill="1" applyAlignment="1" applyProtection="1">
      <alignment horizontal="center"/>
      <protection hidden="1"/>
    </xf>
    <xf numFmtId="2" fontId="2" fillId="3" borderId="2" xfId="0" applyNumberFormat="1" applyFont="1" applyFill="1" applyBorder="1" applyAlignment="1" applyProtection="1">
      <alignment horizontal="center"/>
      <protection hidden="1"/>
    </xf>
    <xf numFmtId="15" fontId="2" fillId="3" borderId="2" xfId="0" applyNumberFormat="1" applyFont="1" applyFill="1" applyBorder="1" applyAlignment="1" applyProtection="1">
      <alignment horizontal="center"/>
      <protection hidden="1"/>
    </xf>
    <xf numFmtId="0" fontId="8" fillId="3" borderId="2" xfId="0" applyFont="1" applyFill="1" applyBorder="1" applyAlignment="1" applyProtection="1">
      <alignment horizontal="left" indent="1"/>
      <protection hidden="1"/>
    </xf>
    <xf numFmtId="0" fontId="10" fillId="3" borderId="0" xfId="0" applyFont="1" applyFill="1" applyAlignment="1" applyProtection="1">
      <alignment horizontal="left" indent="1"/>
      <protection hidden="1"/>
    </xf>
    <xf numFmtId="165" fontId="4" fillId="3" borderId="0" xfId="0" applyNumberFormat="1" applyFont="1" applyFill="1" applyProtection="1">
      <protection hidden="1"/>
    </xf>
    <xf numFmtId="166" fontId="2" fillId="3" borderId="0" xfId="0" applyNumberFormat="1" applyFont="1" applyFill="1" applyProtection="1">
      <protection hidden="1"/>
    </xf>
    <xf numFmtId="15" fontId="8" fillId="3" borderId="0" xfId="0" applyNumberFormat="1" applyFont="1" applyFill="1" applyAlignment="1" applyProtection="1">
      <alignment horizontal="left" indent="1"/>
      <protection hidden="1"/>
    </xf>
    <xf numFmtId="15" fontId="2" fillId="3" borderId="0" xfId="0" applyNumberFormat="1" applyFont="1" applyFill="1" applyProtection="1">
      <protection hidden="1"/>
    </xf>
    <xf numFmtId="0" fontId="8" fillId="3" borderId="0" xfId="0" applyFont="1" applyFill="1" applyAlignment="1" applyProtection="1">
      <alignment horizontal="left" indent="1"/>
      <protection hidden="1"/>
    </xf>
    <xf numFmtId="165" fontId="2" fillId="3" borderId="0" xfId="0" applyNumberFormat="1" applyFont="1" applyFill="1" applyProtection="1">
      <protection hidden="1"/>
    </xf>
    <xf numFmtId="0" fontId="8" fillId="3" borderId="0" xfId="0" applyFont="1" applyFill="1"/>
    <xf numFmtId="3" fontId="8" fillId="3" borderId="0" xfId="0" applyNumberFormat="1" applyFont="1" applyFill="1"/>
    <xf numFmtId="3" fontId="8" fillId="3" borderId="5" xfId="0" applyNumberFormat="1" applyFont="1" applyFill="1" applyBorder="1" applyAlignment="1">
      <alignment horizontal="center"/>
    </xf>
    <xf numFmtId="3" fontId="8" fillId="3" borderId="2" xfId="0" applyNumberFormat="1" applyFont="1" applyFill="1" applyBorder="1" applyAlignment="1">
      <alignment horizontal="center"/>
    </xf>
    <xf numFmtId="3" fontId="8" fillId="3" borderId="6" xfId="0" applyNumberFormat="1" applyFont="1" applyFill="1" applyBorder="1" applyAlignment="1">
      <alignment horizontal="center"/>
    </xf>
    <xf numFmtId="0" fontId="10" fillId="3" borderId="0" xfId="0" applyFont="1" applyFill="1"/>
    <xf numFmtId="3" fontId="10" fillId="3" borderId="0" xfId="0" applyNumberFormat="1" applyFont="1" applyFill="1" applyAlignment="1">
      <alignment horizontal="right" indent="1"/>
    </xf>
    <xf numFmtId="166" fontId="8" fillId="0" borderId="2" xfId="0" applyNumberFormat="1" applyFont="1" applyBorder="1"/>
    <xf numFmtId="166" fontId="8" fillId="3" borderId="0" xfId="0" applyNumberFormat="1" applyFont="1" applyFill="1"/>
    <xf numFmtId="3" fontId="8" fillId="3" borderId="0" xfId="0" applyNumberFormat="1" applyFont="1" applyFill="1" applyAlignment="1">
      <alignment horizontal="left" indent="1"/>
    </xf>
    <xf numFmtId="166" fontId="8" fillId="0" borderId="0" xfId="0" applyNumberFormat="1" applyFont="1"/>
    <xf numFmtId="3" fontId="10" fillId="3" borderId="0" xfId="0" applyNumberFormat="1" applyFont="1" applyFill="1" applyAlignment="1">
      <alignment horizontal="left" indent="1"/>
    </xf>
    <xf numFmtId="166" fontId="10" fillId="3" borderId="0" xfId="0" applyNumberFormat="1" applyFont="1" applyFill="1"/>
    <xf numFmtId="3" fontId="10" fillId="3" borderId="0" xfId="0" applyNumberFormat="1" applyFont="1" applyFill="1"/>
    <xf numFmtId="3" fontId="8" fillId="3" borderId="7" xfId="0" applyNumberFormat="1" applyFont="1" applyFill="1" applyBorder="1" applyAlignment="1">
      <alignment horizontal="left" indent="1"/>
    </xf>
    <xf numFmtId="166" fontId="8" fillId="3" borderId="8" xfId="0" applyNumberFormat="1" applyFont="1" applyFill="1" applyBorder="1"/>
    <xf numFmtId="0" fontId="8" fillId="3" borderId="7" xfId="0" applyFont="1" applyFill="1" applyBorder="1" applyAlignment="1">
      <alignment horizontal="left" indent="1"/>
    </xf>
    <xf numFmtId="166" fontId="10" fillId="3" borderId="9" xfId="0" applyNumberFormat="1" applyFont="1" applyFill="1" applyBorder="1"/>
    <xf numFmtId="0" fontId="8" fillId="3" borderId="10" xfId="0" applyFont="1" applyFill="1" applyBorder="1"/>
    <xf numFmtId="0" fontId="8" fillId="3" borderId="11" xfId="0" applyFont="1" applyFill="1" applyBorder="1"/>
    <xf numFmtId="3" fontId="8" fillId="3" borderId="10" xfId="0" applyNumberFormat="1" applyFont="1" applyFill="1" applyBorder="1"/>
    <xf numFmtId="166" fontId="8" fillId="3" borderId="12" xfId="0" applyNumberFormat="1" applyFont="1" applyFill="1" applyBorder="1"/>
    <xf numFmtId="0" fontId="10" fillId="3" borderId="13" xfId="0" applyFont="1" applyFill="1" applyBorder="1" applyAlignment="1">
      <alignment horizontal="left" indent="1"/>
    </xf>
    <xf numFmtId="3" fontId="8" fillId="3" borderId="14" xfId="0" applyNumberFormat="1" applyFont="1" applyFill="1" applyBorder="1"/>
    <xf numFmtId="0" fontId="8" fillId="3" borderId="14" xfId="0" applyFont="1" applyFill="1" applyBorder="1"/>
    <xf numFmtId="0" fontId="8" fillId="3" borderId="15" xfId="0" applyFont="1" applyFill="1" applyBorder="1"/>
    <xf numFmtId="0" fontId="8" fillId="3" borderId="8" xfId="0" applyFont="1" applyFill="1" applyBorder="1"/>
    <xf numFmtId="0" fontId="10" fillId="3" borderId="4" xfId="0" applyFont="1" applyFill="1" applyBorder="1" applyAlignment="1">
      <alignment horizontal="left" indent="1"/>
    </xf>
    <xf numFmtId="166" fontId="10" fillId="3" borderId="4" xfId="0" applyNumberFormat="1" applyFont="1" applyFill="1" applyBorder="1"/>
    <xf numFmtId="166" fontId="8" fillId="3" borderId="5" xfId="0" applyNumberFormat="1" applyFont="1" applyFill="1" applyBorder="1"/>
    <xf numFmtId="3" fontId="8" fillId="3" borderId="12" xfId="0" applyNumberFormat="1" applyFont="1" applyFill="1" applyBorder="1"/>
    <xf numFmtId="0" fontId="8" fillId="3" borderId="12" xfId="0" applyFont="1" applyFill="1" applyBorder="1"/>
    <xf numFmtId="0" fontId="4" fillId="3" borderId="0" xfId="0" applyFont="1" applyFill="1" applyAlignment="1" applyProtection="1">
      <alignment horizontal="right" vertical="center" wrapText="1" indent="1"/>
      <protection hidden="1"/>
    </xf>
    <xf numFmtId="0" fontId="2" fillId="3" borderId="0" xfId="0" applyFont="1" applyFill="1" applyAlignment="1">
      <alignment horizontal="left" indent="1"/>
    </xf>
    <xf numFmtId="0" fontId="4" fillId="3" borderId="0" xfId="0" applyFont="1" applyFill="1" applyAlignment="1" applyProtection="1">
      <alignment horizontal="right" vertical="center" indent="1"/>
      <protection hidden="1"/>
    </xf>
    <xf numFmtId="0" fontId="7" fillId="3" borderId="0" xfId="0" applyFont="1" applyFill="1" applyAlignment="1" applyProtection="1">
      <alignment horizontal="center"/>
      <protection hidden="1"/>
    </xf>
    <xf numFmtId="166" fontId="7" fillId="3" borderId="0" xfId="0" applyNumberFormat="1" applyFont="1" applyFill="1" applyAlignment="1" applyProtection="1">
      <alignment horizontal="center"/>
      <protection hidden="1"/>
    </xf>
    <xf numFmtId="165" fontId="10" fillId="3" borderId="2" xfId="0" applyNumberFormat="1" applyFont="1" applyFill="1" applyBorder="1" applyAlignment="1">
      <alignment horizontal="center"/>
    </xf>
    <xf numFmtId="9" fontId="10" fillId="3" borderId="2" xfId="0" applyNumberFormat="1" applyFont="1" applyFill="1" applyBorder="1" applyAlignment="1">
      <alignment horizontal="center"/>
    </xf>
    <xf numFmtId="15" fontId="8" fillId="3" borderId="0" xfId="0" applyNumberFormat="1" applyFont="1" applyFill="1" applyAlignment="1">
      <alignment horizontal="center"/>
    </xf>
    <xf numFmtId="9" fontId="8" fillId="3" borderId="0" xfId="0" applyNumberFormat="1" applyFont="1" applyFill="1"/>
    <xf numFmtId="9" fontId="8" fillId="3" borderId="0" xfId="0" applyNumberFormat="1" applyFont="1" applyFill="1" applyAlignment="1">
      <alignment horizontal="center"/>
    </xf>
    <xf numFmtId="165" fontId="8" fillId="3" borderId="0" xfId="0" applyNumberFormat="1" applyFont="1" applyFill="1" applyAlignment="1">
      <alignment horizontal="center"/>
    </xf>
    <xf numFmtId="0" fontId="1" fillId="3" borderId="0" xfId="0" applyFont="1" applyFill="1"/>
    <xf numFmtId="165" fontId="8" fillId="3" borderId="0" xfId="0" applyNumberFormat="1" applyFont="1" applyFill="1"/>
    <xf numFmtId="0" fontId="0" fillId="3" borderId="0" xfId="0" applyFill="1" applyAlignment="1">
      <alignment vertical="center"/>
    </xf>
    <xf numFmtId="0" fontId="0" fillId="3" borderId="0" xfId="0" applyFill="1" applyAlignment="1">
      <alignment horizontal="center" vertical="center"/>
    </xf>
    <xf numFmtId="15" fontId="8" fillId="3" borderId="0" xfId="0" applyNumberFormat="1" applyFont="1" applyFill="1"/>
    <xf numFmtId="165" fontId="8" fillId="3" borderId="2" xfId="0" applyNumberFormat="1" applyFont="1" applyFill="1" applyBorder="1"/>
    <xf numFmtId="165" fontId="8" fillId="3" borderId="4" xfId="0" applyNumberFormat="1" applyFont="1" applyFill="1" applyBorder="1"/>
    <xf numFmtId="4" fontId="8" fillId="3" borderId="0" xfId="0" applyNumberFormat="1" applyFont="1" applyFill="1"/>
    <xf numFmtId="166" fontId="8" fillId="3" borderId="2" xfId="0" applyNumberFormat="1" applyFont="1" applyFill="1" applyBorder="1" applyAlignment="1">
      <alignment horizontal="center"/>
    </xf>
    <xf numFmtId="165" fontId="8" fillId="3" borderId="2" xfId="0" applyNumberFormat="1" applyFont="1" applyFill="1" applyBorder="1" applyAlignment="1">
      <alignment horizontal="center"/>
    </xf>
    <xf numFmtId="166" fontId="8" fillId="3" borderId="0" xfId="0" applyNumberFormat="1" applyFont="1" applyFill="1" applyAlignment="1">
      <alignment horizontal="center"/>
    </xf>
    <xf numFmtId="166" fontId="8" fillId="3" borderId="0" xfId="0" applyNumberFormat="1" applyFont="1" applyFill="1" applyAlignment="1">
      <alignment horizontal="center" vertical="center"/>
    </xf>
    <xf numFmtId="166" fontId="8" fillId="3" borderId="4" xfId="0" applyNumberFormat="1" applyFont="1" applyFill="1" applyBorder="1" applyAlignment="1">
      <alignment horizontal="center"/>
    </xf>
    <xf numFmtId="165" fontId="8" fillId="3" borderId="4" xfId="0" applyNumberFormat="1" applyFont="1" applyFill="1" applyBorder="1" applyAlignment="1">
      <alignment horizontal="center"/>
    </xf>
    <xf numFmtId="15" fontId="12" fillId="3" borderId="0" xfId="0" applyNumberFormat="1" applyFont="1" applyFill="1" applyAlignment="1">
      <alignment horizontal="center" wrapText="1"/>
    </xf>
    <xf numFmtId="0" fontId="13" fillId="3" borderId="0" xfId="0" applyFont="1" applyFill="1" applyAlignment="1">
      <alignment horizontal="center" wrapText="1"/>
    </xf>
    <xf numFmtId="0" fontId="12" fillId="3" borderId="0" xfId="0" applyFont="1" applyFill="1" applyAlignment="1">
      <alignment horizontal="center" wrapText="1"/>
    </xf>
    <xf numFmtId="165" fontId="8" fillId="3" borderId="0" xfId="0" applyNumberFormat="1" applyFont="1" applyFill="1" applyAlignment="1">
      <alignment horizontal="center" vertical="center"/>
    </xf>
    <xf numFmtId="165" fontId="8" fillId="3" borderId="6" xfId="0" applyNumberFormat="1" applyFont="1" applyFill="1" applyBorder="1"/>
    <xf numFmtId="166" fontId="2" fillId="0" borderId="16" xfId="0" applyNumberFormat="1" applyFont="1" applyBorder="1" applyAlignment="1" applyProtection="1">
      <alignment horizontal="center"/>
      <protection hidden="1"/>
    </xf>
    <xf numFmtId="166" fontId="2" fillId="3" borderId="2" xfId="0" applyNumberFormat="1" applyFont="1" applyFill="1" applyBorder="1" applyAlignment="1" applyProtection="1">
      <alignment horizontal="center"/>
      <protection hidden="1"/>
    </xf>
    <xf numFmtId="9" fontId="8" fillId="0" borderId="2" xfId="0" applyNumberFormat="1" applyFont="1" applyBorder="1" applyAlignment="1">
      <alignment horizontal="center"/>
    </xf>
    <xf numFmtId="0" fontId="21" fillId="0" borderId="0" xfId="0" applyFont="1" applyProtection="1">
      <protection hidden="1"/>
    </xf>
    <xf numFmtId="0" fontId="22" fillId="3" borderId="0" xfId="0" applyFont="1" applyFill="1"/>
    <xf numFmtId="0" fontId="23" fillId="3" borderId="0" xfId="0" applyFont="1" applyFill="1" applyProtection="1">
      <protection hidden="1"/>
    </xf>
    <xf numFmtId="15" fontId="3" fillId="3" borderId="12" xfId="0" applyNumberFormat="1" applyFont="1" applyFill="1" applyBorder="1" applyAlignment="1" applyProtection="1">
      <alignment horizontal="center"/>
      <protection hidden="1"/>
    </xf>
    <xf numFmtId="0" fontId="12" fillId="3" borderId="0" xfId="0" applyFont="1" applyFill="1" applyAlignment="1" applyProtection="1">
      <alignment horizontal="center"/>
      <protection hidden="1"/>
    </xf>
    <xf numFmtId="0" fontId="23" fillId="0" borderId="0" xfId="0" applyFont="1" applyProtection="1">
      <protection hidden="1"/>
    </xf>
    <xf numFmtId="15" fontId="3" fillId="0" borderId="17" xfId="0" applyNumberFormat="1" applyFont="1" applyBorder="1" applyAlignment="1" applyProtection="1">
      <alignment horizontal="center"/>
      <protection hidden="1"/>
    </xf>
    <xf numFmtId="0" fontId="12" fillId="0" borderId="2" xfId="0" applyFont="1" applyBorder="1" applyAlignment="1" applyProtection="1">
      <alignment horizontal="center"/>
      <protection hidden="1"/>
    </xf>
    <xf numFmtId="0" fontId="23" fillId="3" borderId="0" xfId="0" applyFont="1" applyFill="1" applyAlignment="1" applyProtection="1">
      <alignment horizontal="center"/>
      <protection hidden="1"/>
    </xf>
    <xf numFmtId="0" fontId="12" fillId="3" borderId="0" xfId="0" applyFont="1" applyFill="1" applyAlignment="1" applyProtection="1">
      <alignment horizontal="center" vertical="center"/>
      <protection hidden="1"/>
    </xf>
    <xf numFmtId="15" fontId="3" fillId="0" borderId="4" xfId="0" applyNumberFormat="1" applyFont="1" applyBorder="1" applyAlignment="1" applyProtection="1">
      <alignment horizontal="center"/>
      <protection hidden="1"/>
    </xf>
    <xf numFmtId="9" fontId="23" fillId="0" borderId="2" xfId="0" applyNumberFormat="1" applyFont="1" applyBorder="1" applyAlignment="1" applyProtection="1">
      <alignment horizontal="center"/>
      <protection hidden="1"/>
    </xf>
    <xf numFmtId="1" fontId="23" fillId="0" borderId="2" xfId="0" applyNumberFormat="1" applyFont="1" applyBorder="1" applyAlignment="1" applyProtection="1">
      <alignment horizontal="center"/>
      <protection hidden="1"/>
    </xf>
    <xf numFmtId="0" fontId="23" fillId="0" borderId="2" xfId="0" applyFont="1" applyBorder="1" applyAlignment="1" applyProtection="1">
      <alignment horizontal="center"/>
      <protection hidden="1"/>
    </xf>
    <xf numFmtId="0" fontId="23" fillId="3" borderId="0" xfId="0" applyFont="1" applyFill="1" applyAlignment="1" applyProtection="1">
      <alignment horizontal="center" vertical="center" wrapText="1"/>
      <protection hidden="1"/>
    </xf>
    <xf numFmtId="0" fontId="23" fillId="3" borderId="0" xfId="0" applyFont="1" applyFill="1" applyAlignment="1" applyProtection="1">
      <alignment horizontal="center" wrapText="1"/>
      <protection hidden="1"/>
    </xf>
    <xf numFmtId="9" fontId="23" fillId="3" borderId="0" xfId="0" applyNumberFormat="1" applyFont="1" applyFill="1" applyAlignment="1" applyProtection="1">
      <alignment horizontal="center"/>
      <protection hidden="1"/>
    </xf>
    <xf numFmtId="0" fontId="9" fillId="0" borderId="2" xfId="0" applyFont="1" applyBorder="1" applyAlignment="1" applyProtection="1">
      <alignment horizontal="center"/>
      <protection hidden="1"/>
    </xf>
    <xf numFmtId="2" fontId="23" fillId="0" borderId="2" xfId="0" applyNumberFormat="1" applyFont="1" applyBorder="1" applyAlignment="1" applyProtection="1">
      <alignment horizontal="center"/>
      <protection hidden="1"/>
    </xf>
    <xf numFmtId="0" fontId="23" fillId="3" borderId="0" xfId="0" applyFont="1" applyFill="1" applyAlignment="1" applyProtection="1">
      <alignment wrapText="1"/>
      <protection hidden="1"/>
    </xf>
    <xf numFmtId="2" fontId="23" fillId="3" borderId="0" xfId="0" applyNumberFormat="1" applyFont="1" applyFill="1" applyAlignment="1" applyProtection="1">
      <alignment horizontal="center"/>
      <protection hidden="1"/>
    </xf>
    <xf numFmtId="15" fontId="3" fillId="3" borderId="0" xfId="0" applyNumberFormat="1" applyFont="1" applyFill="1" applyAlignment="1" applyProtection="1">
      <alignment horizontal="center"/>
      <protection hidden="1"/>
    </xf>
    <xf numFmtId="15" fontId="3" fillId="0" borderId="0" xfId="0" applyNumberFormat="1" applyFont="1" applyAlignment="1" applyProtection="1">
      <alignment horizontal="center"/>
      <protection hidden="1"/>
    </xf>
    <xf numFmtId="0" fontId="23" fillId="0" borderId="0" xfId="0" applyFont="1" applyAlignment="1" applyProtection="1">
      <alignment horizontal="center"/>
      <protection hidden="1"/>
    </xf>
    <xf numFmtId="0" fontId="24" fillId="3" borderId="18" xfId="0" applyFont="1" applyFill="1" applyBorder="1" applyAlignment="1" applyProtection="1">
      <alignment horizontal="left" vertical="center" wrapText="1" indent="1"/>
      <protection hidden="1"/>
    </xf>
    <xf numFmtId="0" fontId="24" fillId="3" borderId="19" xfId="0" applyFont="1" applyFill="1" applyBorder="1" applyAlignment="1">
      <alignment horizontal="left" vertical="center" wrapText="1" indent="1"/>
    </xf>
    <xf numFmtId="0" fontId="0" fillId="3" borderId="0" xfId="0" applyFill="1" applyAlignment="1">
      <alignment horizontal="left" vertical="center" wrapText="1" indent="1"/>
    </xf>
    <xf numFmtId="9" fontId="2" fillId="3" borderId="0" xfId="0" applyNumberFormat="1" applyFont="1" applyFill="1" applyAlignment="1" applyProtection="1">
      <alignment horizontal="center"/>
      <protection hidden="1"/>
    </xf>
    <xf numFmtId="0" fontId="2" fillId="3" borderId="0" xfId="0" applyFont="1" applyFill="1" applyAlignment="1" applyProtection="1">
      <alignment horizontal="left" vertical="center" indent="1"/>
      <protection hidden="1"/>
    </xf>
    <xf numFmtId="0" fontId="5" fillId="3" borderId="0" xfId="0" applyFont="1" applyFill="1" applyAlignment="1" applyProtection="1">
      <alignment horizontal="right"/>
      <protection hidden="1"/>
    </xf>
    <xf numFmtId="0" fontId="2" fillId="3" borderId="18" xfId="0" applyFont="1" applyFill="1" applyBorder="1" applyAlignment="1" applyProtection="1">
      <alignment horizontal="left" vertical="center" indent="1"/>
      <protection hidden="1"/>
    </xf>
    <xf numFmtId="15" fontId="2" fillId="3" borderId="0" xfId="0" applyNumberFormat="1" applyFont="1" applyFill="1" applyAlignment="1" applyProtection="1">
      <alignment horizontal="left" indent="1"/>
      <protection hidden="1"/>
    </xf>
    <xf numFmtId="15" fontId="10" fillId="3" borderId="0" xfId="0" applyNumberFormat="1" applyFont="1" applyFill="1" applyAlignment="1" applyProtection="1">
      <alignment horizontal="left" indent="1"/>
      <protection hidden="1"/>
    </xf>
    <xf numFmtId="1" fontId="2" fillId="0" borderId="0" xfId="0" applyNumberFormat="1" applyFont="1" applyProtection="1">
      <protection hidden="1"/>
    </xf>
    <xf numFmtId="3" fontId="8" fillId="3" borderId="20" xfId="0" applyNumberFormat="1" applyFont="1" applyFill="1" applyBorder="1" applyAlignment="1">
      <alignment horizontal="center"/>
    </xf>
    <xf numFmtId="0" fontId="8" fillId="3" borderId="17" xfId="0" applyFont="1" applyFill="1" applyBorder="1" applyAlignment="1">
      <alignment horizontal="center" vertical="center" wrapText="1"/>
    </xf>
    <xf numFmtId="15" fontId="8" fillId="3" borderId="21" xfId="0" applyNumberFormat="1"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17" fontId="11" fillId="3" borderId="0" xfId="0" applyNumberFormat="1" applyFont="1" applyFill="1" applyAlignment="1" applyProtection="1">
      <alignment horizontal="center"/>
      <protection hidden="1"/>
    </xf>
    <xf numFmtId="0" fontId="11" fillId="3" borderId="16" xfId="0" applyFont="1" applyFill="1" applyBorder="1" applyAlignment="1" applyProtection="1">
      <alignment horizontal="center" vertical="center" wrapText="1"/>
      <protection hidden="1"/>
    </xf>
    <xf numFmtId="17" fontId="11" fillId="0" borderId="0" xfId="0" applyNumberFormat="1" applyFont="1" applyAlignment="1" applyProtection="1">
      <alignment horizontal="center"/>
      <protection hidden="1"/>
    </xf>
    <xf numFmtId="0" fontId="11" fillId="3" borderId="0" xfId="0" applyFont="1" applyFill="1" applyProtection="1">
      <protection hidden="1"/>
    </xf>
    <xf numFmtId="0" fontId="11" fillId="0" borderId="0" xfId="0" applyFont="1" applyProtection="1">
      <protection hidden="1"/>
    </xf>
    <xf numFmtId="15" fontId="3" fillId="3" borderId="2" xfId="0" applyNumberFormat="1" applyFont="1" applyFill="1" applyBorder="1" applyAlignment="1">
      <alignment horizontal="center" vertical="center" wrapText="1"/>
    </xf>
    <xf numFmtId="9" fontId="8" fillId="3" borderId="23" xfId="0" applyNumberFormat="1" applyFont="1" applyFill="1" applyBorder="1" applyAlignment="1">
      <alignment horizontal="center"/>
    </xf>
    <xf numFmtId="0" fontId="0" fillId="3" borderId="23" xfId="0" applyFill="1" applyBorder="1"/>
    <xf numFmtId="165" fontId="8" fillId="3" borderId="5" xfId="0" applyNumberFormat="1" applyFont="1" applyFill="1" applyBorder="1"/>
    <xf numFmtId="0" fontId="9" fillId="3" borderId="18" xfId="0" applyFont="1" applyFill="1" applyBorder="1" applyAlignment="1">
      <alignment horizontal="right" vertical="center"/>
    </xf>
    <xf numFmtId="168" fontId="9" fillId="3" borderId="19" xfId="0" applyNumberFormat="1" applyFont="1" applyFill="1" applyBorder="1" applyAlignment="1">
      <alignment horizontal="center" vertical="center"/>
    </xf>
    <xf numFmtId="165" fontId="10" fillId="3" borderId="5" xfId="0" applyNumberFormat="1" applyFont="1" applyFill="1" applyBorder="1" applyAlignment="1">
      <alignment horizontal="center"/>
    </xf>
    <xf numFmtId="15" fontId="8" fillId="0" borderId="2" xfId="0" applyNumberFormat="1" applyFont="1" applyBorder="1"/>
    <xf numFmtId="165" fontId="8" fillId="0" borderId="2" xfId="0" applyNumberFormat="1" applyFont="1" applyBorder="1"/>
    <xf numFmtId="0" fontId="11" fillId="0" borderId="0" xfId="0" applyFont="1"/>
    <xf numFmtId="0" fontId="11" fillId="3" borderId="24" xfId="0" applyFont="1" applyFill="1" applyBorder="1"/>
    <xf numFmtId="0" fontId="11" fillId="3" borderId="25" xfId="0" applyFont="1" applyFill="1" applyBorder="1"/>
    <xf numFmtId="0" fontId="11" fillId="3" borderId="26" xfId="0" applyFont="1" applyFill="1" applyBorder="1"/>
    <xf numFmtId="0" fontId="11" fillId="3" borderId="27" xfId="0" applyFont="1" applyFill="1" applyBorder="1"/>
    <xf numFmtId="0" fontId="11" fillId="3" borderId="0" xfId="0" applyFont="1" applyFill="1"/>
    <xf numFmtId="0" fontId="26" fillId="3" borderId="0" xfId="0" applyFont="1" applyFill="1"/>
    <xf numFmtId="0" fontId="26" fillId="3" borderId="28" xfId="0" applyFont="1" applyFill="1" applyBorder="1"/>
    <xf numFmtId="0" fontId="11" fillId="3" borderId="28" xfId="0" applyFont="1" applyFill="1" applyBorder="1"/>
    <xf numFmtId="0" fontId="26" fillId="0" borderId="29" xfId="0" applyFont="1" applyBorder="1"/>
    <xf numFmtId="168" fontId="26" fillId="3" borderId="0" xfId="0" applyNumberFormat="1" applyFont="1" applyFill="1"/>
    <xf numFmtId="0" fontId="0" fillId="3" borderId="0" xfId="0" applyFill="1"/>
    <xf numFmtId="0" fontId="26" fillId="3" borderId="30" xfId="0" applyFont="1" applyFill="1" applyBorder="1"/>
    <xf numFmtId="0" fontId="11" fillId="3" borderId="31" xfId="0" applyFont="1" applyFill="1" applyBorder="1"/>
    <xf numFmtId="0" fontId="26" fillId="3" borderId="0" xfId="0" applyFont="1" applyFill="1" applyAlignment="1">
      <alignment vertical="center"/>
    </xf>
    <xf numFmtId="0" fontId="11" fillId="3" borderId="0" xfId="0" applyFont="1" applyFill="1" applyAlignment="1">
      <alignment vertical="center"/>
    </xf>
    <xf numFmtId="0" fontId="11" fillId="3" borderId="30" xfId="0" applyFont="1" applyFill="1" applyBorder="1"/>
    <xf numFmtId="0" fontId="0" fillId="0" borderId="29" xfId="0" applyBorder="1" applyAlignment="1">
      <alignment horizontal="center"/>
    </xf>
    <xf numFmtId="0" fontId="26" fillId="3" borderId="30" xfId="0" applyFont="1" applyFill="1" applyBorder="1" applyAlignment="1">
      <alignment vertical="center"/>
    </xf>
    <xf numFmtId="0" fontId="11" fillId="0" borderId="29" xfId="0" applyFont="1" applyBorder="1" applyAlignment="1">
      <alignment horizontal="left"/>
    </xf>
    <xf numFmtId="0" fontId="28" fillId="3" borderId="0" xfId="0" applyFont="1" applyFill="1"/>
    <xf numFmtId="0" fontId="29" fillId="0" borderId="29" xfId="0" applyFont="1" applyBorder="1" applyAlignment="1">
      <alignment horizontal="center"/>
    </xf>
    <xf numFmtId="0" fontId="28" fillId="3" borderId="0" xfId="0" applyFont="1" applyFill="1" applyAlignment="1">
      <alignment vertical="center"/>
    </xf>
    <xf numFmtId="0" fontId="30" fillId="3" borderId="0" xfId="0" applyFont="1" applyFill="1"/>
    <xf numFmtId="0" fontId="31" fillId="3" borderId="29" xfId="0" applyFont="1" applyFill="1" applyBorder="1" applyAlignment="1">
      <alignment horizontal="center" vertical="center"/>
    </xf>
    <xf numFmtId="0" fontId="32" fillId="3" borderId="0" xfId="0" applyFont="1" applyFill="1" applyAlignment="1">
      <alignment horizontal="center" vertical="center"/>
    </xf>
    <xf numFmtId="1" fontId="31" fillId="3" borderId="29" xfId="0" applyNumberFormat="1" applyFont="1" applyFill="1" applyBorder="1" applyAlignment="1">
      <alignment horizontal="center" vertical="center"/>
    </xf>
    <xf numFmtId="0" fontId="31" fillId="3" borderId="0" xfId="0" applyFont="1" applyFill="1" applyAlignment="1">
      <alignment horizontal="center" vertical="center"/>
    </xf>
    <xf numFmtId="3" fontId="27" fillId="3" borderId="0" xfId="0" applyNumberFormat="1" applyFont="1" applyFill="1" applyAlignment="1">
      <alignment vertical="center"/>
    </xf>
    <xf numFmtId="1" fontId="31" fillId="3" borderId="0" xfId="0" applyNumberFormat="1" applyFont="1" applyFill="1" applyAlignment="1">
      <alignment horizontal="center" vertical="center"/>
    </xf>
    <xf numFmtId="0" fontId="11" fillId="3" borderId="30" xfId="0" applyFont="1" applyFill="1" applyBorder="1" applyAlignment="1">
      <alignment vertical="center"/>
    </xf>
    <xf numFmtId="0" fontId="11" fillId="0" borderId="0" xfId="0" applyFont="1" applyAlignment="1">
      <alignment vertical="center"/>
    </xf>
    <xf numFmtId="0" fontId="33" fillId="3" borderId="0" xfId="0" applyFont="1" applyFill="1" applyAlignment="1">
      <alignment vertical="center"/>
    </xf>
    <xf numFmtId="0" fontId="11" fillId="3" borderId="32" xfId="0" applyFont="1" applyFill="1" applyBorder="1"/>
    <xf numFmtId="0" fontId="11" fillId="3" borderId="33" xfId="0" applyFont="1" applyFill="1" applyBorder="1"/>
    <xf numFmtId="0" fontId="11" fillId="3" borderId="34" xfId="0" applyFont="1" applyFill="1" applyBorder="1"/>
    <xf numFmtId="0" fontId="37" fillId="0" borderId="0" xfId="0" applyFont="1" applyAlignment="1" applyProtection="1">
      <alignment horizontal="center" vertical="center"/>
      <protection hidden="1"/>
    </xf>
    <xf numFmtId="0" fontId="11" fillId="3" borderId="24" xfId="0" applyFont="1" applyFill="1" applyBorder="1" applyProtection="1">
      <protection hidden="1"/>
    </xf>
    <xf numFmtId="0" fontId="11" fillId="3" borderId="25" xfId="0" applyFont="1" applyFill="1" applyBorder="1" applyProtection="1">
      <protection hidden="1"/>
    </xf>
    <xf numFmtId="0" fontId="11" fillId="3" borderId="26" xfId="0" applyFont="1" applyFill="1" applyBorder="1" applyProtection="1">
      <protection hidden="1"/>
    </xf>
    <xf numFmtId="0" fontId="11" fillId="3" borderId="27" xfId="0" applyFont="1" applyFill="1" applyBorder="1" applyProtection="1">
      <protection hidden="1"/>
    </xf>
    <xf numFmtId="0" fontId="26" fillId="3" borderId="0" xfId="0" applyFont="1" applyFill="1" applyProtection="1">
      <protection hidden="1"/>
    </xf>
    <xf numFmtId="0" fontId="26" fillId="3" borderId="28" xfId="0" applyFont="1" applyFill="1" applyBorder="1" applyProtection="1">
      <protection hidden="1"/>
    </xf>
    <xf numFmtId="0" fontId="11" fillId="3" borderId="28" xfId="0" applyFont="1" applyFill="1" applyBorder="1" applyProtection="1">
      <protection hidden="1"/>
    </xf>
    <xf numFmtId="0" fontId="11" fillId="3" borderId="35" xfId="0" applyFont="1" applyFill="1" applyBorder="1" applyProtection="1">
      <protection hidden="1"/>
    </xf>
    <xf numFmtId="0" fontId="11" fillId="3" borderId="36" xfId="0" applyFont="1" applyFill="1" applyBorder="1" applyProtection="1">
      <protection hidden="1"/>
    </xf>
    <xf numFmtId="0" fontId="11" fillId="3" borderId="37" xfId="0" applyFont="1" applyFill="1" applyBorder="1" applyProtection="1">
      <protection hidden="1"/>
    </xf>
    <xf numFmtId="0" fontId="11" fillId="3" borderId="38" xfId="0" applyFont="1" applyFill="1" applyBorder="1" applyProtection="1">
      <protection hidden="1"/>
    </xf>
    <xf numFmtId="0" fontId="11" fillId="3" borderId="39" xfId="0" applyFont="1" applyFill="1" applyBorder="1" applyProtection="1">
      <protection hidden="1"/>
    </xf>
    <xf numFmtId="0" fontId="11" fillId="3" borderId="40" xfId="0" applyFont="1" applyFill="1" applyBorder="1" applyProtection="1">
      <protection hidden="1"/>
    </xf>
    <xf numFmtId="0" fontId="26" fillId="0" borderId="29" xfId="0" applyFont="1" applyBorder="1" applyProtection="1">
      <protection hidden="1"/>
    </xf>
    <xf numFmtId="168" fontId="26" fillId="3" borderId="0" xfId="0" applyNumberFormat="1" applyFont="1" applyFill="1" applyProtection="1">
      <protection hidden="1"/>
    </xf>
    <xf numFmtId="0" fontId="0" fillId="3" borderId="0" xfId="0" applyFill="1" applyProtection="1">
      <protection hidden="1"/>
    </xf>
    <xf numFmtId="0" fontId="26" fillId="3" borderId="30" xfId="0" applyFont="1" applyFill="1" applyBorder="1" applyProtection="1">
      <protection hidden="1"/>
    </xf>
    <xf numFmtId="0" fontId="11" fillId="3" borderId="31" xfId="0" applyFont="1" applyFill="1" applyBorder="1" applyProtection="1">
      <protection hidden="1"/>
    </xf>
    <xf numFmtId="0" fontId="26" fillId="3" borderId="0" xfId="0" applyFont="1" applyFill="1" applyAlignment="1" applyProtection="1">
      <alignment vertical="center"/>
      <protection hidden="1"/>
    </xf>
    <xf numFmtId="0" fontId="11" fillId="3" borderId="0" xfId="0" applyFont="1" applyFill="1" applyAlignment="1" applyProtection="1">
      <alignment vertical="center"/>
      <protection hidden="1"/>
    </xf>
    <xf numFmtId="0" fontId="11" fillId="3" borderId="30" xfId="0" applyFont="1" applyFill="1" applyBorder="1" applyProtection="1">
      <protection hidden="1"/>
    </xf>
    <xf numFmtId="0" fontId="26" fillId="3" borderId="30" xfId="0" applyFont="1" applyFill="1" applyBorder="1" applyAlignment="1" applyProtection="1">
      <alignment vertical="center"/>
      <protection hidden="1"/>
    </xf>
    <xf numFmtId="0" fontId="28" fillId="3" borderId="0" xfId="0" applyFont="1" applyFill="1" applyProtection="1">
      <protection hidden="1"/>
    </xf>
    <xf numFmtId="0" fontId="28" fillId="3" borderId="0" xfId="0" applyFont="1" applyFill="1" applyAlignment="1" applyProtection="1">
      <alignment vertical="center"/>
      <protection hidden="1"/>
    </xf>
    <xf numFmtId="0" fontId="11" fillId="3" borderId="32" xfId="0" applyFont="1" applyFill="1" applyBorder="1" applyProtection="1">
      <protection hidden="1"/>
    </xf>
    <xf numFmtId="0" fontId="11" fillId="3" borderId="33" xfId="0" applyFont="1" applyFill="1" applyBorder="1" applyProtection="1">
      <protection hidden="1"/>
    </xf>
    <xf numFmtId="0" fontId="11" fillId="3" borderId="34" xfId="0" applyFont="1" applyFill="1" applyBorder="1" applyProtection="1">
      <protection hidden="1"/>
    </xf>
    <xf numFmtId="0" fontId="31" fillId="3" borderId="29" xfId="0" applyFont="1" applyFill="1" applyBorder="1" applyAlignment="1" applyProtection="1">
      <alignment horizontal="center" vertical="center"/>
      <protection hidden="1"/>
    </xf>
    <xf numFmtId="0" fontId="32" fillId="3" borderId="0" xfId="0" applyFont="1" applyFill="1" applyAlignment="1" applyProtection="1">
      <alignment horizontal="center" vertical="center"/>
      <protection hidden="1"/>
    </xf>
    <xf numFmtId="1" fontId="31" fillId="3" borderId="29" xfId="0" applyNumberFormat="1" applyFont="1" applyFill="1" applyBorder="1" applyAlignment="1" applyProtection="1">
      <alignment horizontal="center" vertical="center"/>
      <protection hidden="1"/>
    </xf>
    <xf numFmtId="1" fontId="39" fillId="3" borderId="31" xfId="0" applyNumberFormat="1" applyFont="1" applyFill="1" applyBorder="1" applyAlignment="1" applyProtection="1">
      <alignment horizontal="center" vertical="center"/>
      <protection hidden="1"/>
    </xf>
    <xf numFmtId="1" fontId="39" fillId="3" borderId="0" xfId="0" applyNumberFormat="1" applyFont="1" applyFill="1" applyAlignment="1" applyProtection="1">
      <alignment horizontal="center" vertical="center"/>
      <protection hidden="1"/>
    </xf>
    <xf numFmtId="0" fontId="40" fillId="0" borderId="0" xfId="0" applyFont="1" applyProtection="1">
      <protection hidden="1"/>
    </xf>
    <xf numFmtId="0" fontId="26" fillId="3" borderId="31" xfId="0" applyFont="1" applyFill="1" applyBorder="1" applyProtection="1">
      <protection hidden="1"/>
    </xf>
    <xf numFmtId="0" fontId="11" fillId="3" borderId="30" xfId="0" applyFont="1" applyFill="1" applyBorder="1" applyAlignment="1" applyProtection="1">
      <alignment horizontal="center"/>
      <protection hidden="1"/>
    </xf>
    <xf numFmtId="3" fontId="11" fillId="0" borderId="0" xfId="0" applyNumberFormat="1" applyFont="1" applyProtection="1">
      <protection hidden="1"/>
    </xf>
    <xf numFmtId="0" fontId="25" fillId="3" borderId="0" xfId="0" applyFont="1" applyFill="1" applyProtection="1">
      <protection hidden="1"/>
    </xf>
    <xf numFmtId="0" fontId="27" fillId="3" borderId="0" xfId="0" applyFont="1" applyFill="1" applyAlignment="1" applyProtection="1">
      <alignment vertical="center"/>
      <protection hidden="1"/>
    </xf>
    <xf numFmtId="0" fontId="26" fillId="3" borderId="33" xfId="0" applyFont="1" applyFill="1" applyBorder="1" applyProtection="1">
      <protection hidden="1"/>
    </xf>
    <xf numFmtId="0" fontId="39" fillId="3" borderId="33" xfId="0" applyFont="1" applyFill="1" applyBorder="1" applyAlignment="1" applyProtection="1">
      <alignment horizontal="center" vertical="center"/>
      <protection hidden="1"/>
    </xf>
    <xf numFmtId="0" fontId="27" fillId="3" borderId="33" xfId="0" applyFont="1" applyFill="1" applyBorder="1" applyAlignment="1" applyProtection="1">
      <alignment vertical="center"/>
      <protection hidden="1"/>
    </xf>
    <xf numFmtId="0" fontId="32" fillId="3" borderId="33" xfId="0" applyFont="1" applyFill="1" applyBorder="1" applyAlignment="1" applyProtection="1">
      <alignment horizontal="center" vertical="center"/>
      <protection hidden="1"/>
    </xf>
    <xf numFmtId="1" fontId="39" fillId="3" borderId="33" xfId="0" applyNumberFormat="1" applyFont="1" applyFill="1" applyBorder="1" applyAlignment="1" applyProtection="1">
      <alignment horizontal="center" vertical="center"/>
      <protection hidden="1"/>
    </xf>
    <xf numFmtId="0" fontId="27" fillId="3" borderId="0" xfId="0" applyFont="1" applyFill="1" applyProtection="1">
      <protection hidden="1"/>
    </xf>
    <xf numFmtId="0" fontId="27" fillId="0" borderId="29" xfId="0" applyFont="1" applyBorder="1" applyAlignment="1" applyProtection="1">
      <alignment horizontal="left"/>
      <protection hidden="1"/>
    </xf>
    <xf numFmtId="0" fontId="27" fillId="0" borderId="29" xfId="0" applyFont="1" applyBorder="1" applyAlignment="1" applyProtection="1">
      <alignment horizontal="center"/>
      <protection hidden="1"/>
    </xf>
    <xf numFmtId="15" fontId="12" fillId="0" borderId="2" xfId="0" applyNumberFormat="1" applyFont="1" applyBorder="1" applyAlignment="1" applyProtection="1">
      <alignment horizontal="center"/>
      <protection hidden="1"/>
    </xf>
    <xf numFmtId="0" fontId="7" fillId="3" borderId="0" xfId="0" applyFont="1" applyFill="1" applyAlignment="1">
      <alignment horizontal="center" vertical="center"/>
    </xf>
    <xf numFmtId="15" fontId="23" fillId="2" borderId="19" xfId="0" applyNumberFormat="1" applyFont="1" applyFill="1" applyBorder="1" applyAlignment="1">
      <alignment horizontal="left"/>
    </xf>
    <xf numFmtId="15" fontId="8" fillId="0" borderId="16" xfId="0" applyNumberFormat="1" applyFont="1" applyBorder="1"/>
    <xf numFmtId="0" fontId="8" fillId="0" borderId="16" xfId="0" applyFont="1" applyBorder="1"/>
    <xf numFmtId="165" fontId="8" fillId="0" borderId="16" xfId="0" applyNumberFormat="1" applyFont="1" applyBorder="1"/>
    <xf numFmtId="0" fontId="8" fillId="0" borderId="2" xfId="0" applyFont="1" applyBorder="1"/>
    <xf numFmtId="15" fontId="8" fillId="0" borderId="22" xfId="0" applyNumberFormat="1" applyFont="1" applyBorder="1"/>
    <xf numFmtId="0" fontId="8" fillId="0" borderId="22" xfId="0" applyFont="1" applyBorder="1"/>
    <xf numFmtId="165" fontId="8" fillId="0" borderId="22" xfId="0" applyNumberFormat="1" applyFont="1" applyBorder="1"/>
    <xf numFmtId="166" fontId="8" fillId="0" borderId="2" xfId="0" applyNumberFormat="1" applyFont="1" applyBorder="1" applyAlignment="1">
      <alignment horizontal="center"/>
    </xf>
    <xf numFmtId="15" fontId="8" fillId="2" borderId="41" xfId="0" applyNumberFormat="1" applyFont="1" applyFill="1" applyBorder="1" applyAlignment="1">
      <alignment horizontal="left"/>
    </xf>
    <xf numFmtId="0" fontId="23" fillId="2" borderId="19" xfId="0" applyFont="1" applyFill="1" applyBorder="1" applyAlignment="1">
      <alignment horizontal="left"/>
    </xf>
    <xf numFmtId="15" fontId="8" fillId="2" borderId="19" xfId="0" applyNumberFormat="1" applyFont="1" applyFill="1" applyBorder="1" applyAlignment="1">
      <alignment horizontal="left"/>
    </xf>
    <xf numFmtId="168" fontId="9" fillId="2" borderId="19" xfId="0" applyNumberFormat="1" applyFont="1" applyFill="1" applyBorder="1" applyAlignment="1">
      <alignment horizontal="center" vertical="center"/>
    </xf>
    <xf numFmtId="15" fontId="23" fillId="4" borderId="19" xfId="0" applyNumberFormat="1" applyFont="1" applyFill="1" applyBorder="1" applyAlignment="1">
      <alignment horizontal="left"/>
    </xf>
    <xf numFmtId="15" fontId="8" fillId="4" borderId="41" xfId="0" applyNumberFormat="1" applyFont="1" applyFill="1" applyBorder="1" applyAlignment="1">
      <alignment horizontal="left"/>
    </xf>
    <xf numFmtId="0" fontId="23" fillId="4" borderId="19" xfId="0" applyFont="1" applyFill="1" applyBorder="1" applyAlignment="1">
      <alignment horizontal="left"/>
    </xf>
    <xf numFmtId="15" fontId="8" fillId="4" borderId="19" xfId="0" applyNumberFormat="1" applyFont="1" applyFill="1" applyBorder="1" applyAlignment="1">
      <alignment horizontal="left"/>
    </xf>
    <xf numFmtId="0" fontId="24" fillId="4" borderId="19" xfId="0" applyFont="1" applyFill="1" applyBorder="1" applyAlignment="1">
      <alignment horizontal="center" vertical="center"/>
    </xf>
    <xf numFmtId="0" fontId="10" fillId="0" borderId="16" xfId="0" applyFont="1" applyBorder="1"/>
    <xf numFmtId="0" fontId="10" fillId="0" borderId="2" xfId="0" applyFont="1" applyBorder="1"/>
    <xf numFmtId="0" fontId="10" fillId="0" borderId="22" xfId="0" applyFont="1" applyBorder="1"/>
    <xf numFmtId="165" fontId="2" fillId="0" borderId="2" xfId="0" applyNumberFormat="1" applyFont="1" applyBorder="1" applyAlignment="1" applyProtection="1">
      <alignment horizontal="center"/>
      <protection hidden="1"/>
    </xf>
    <xf numFmtId="165" fontId="4" fillId="0" borderId="4" xfId="0" applyNumberFormat="1" applyFont="1" applyBorder="1" applyAlignment="1" applyProtection="1">
      <alignment horizontal="center"/>
      <protection hidden="1"/>
    </xf>
    <xf numFmtId="0" fontId="0" fillId="0" borderId="0" xfId="0" applyAlignment="1">
      <alignment horizontal="left"/>
    </xf>
    <xf numFmtId="165" fontId="8" fillId="3" borderId="2" xfId="0" applyNumberFormat="1" applyFont="1" applyFill="1" applyBorder="1" applyAlignment="1">
      <alignment horizontal="center" vertical="center" wrapText="1"/>
    </xf>
    <xf numFmtId="0" fontId="0" fillId="6" borderId="0" xfId="0" applyFill="1"/>
    <xf numFmtId="0" fontId="24" fillId="6" borderId="0" xfId="0" applyFont="1" applyFill="1"/>
    <xf numFmtId="0" fontId="44" fillId="6" borderId="0" xfId="1" applyFill="1"/>
    <xf numFmtId="17" fontId="44" fillId="6" borderId="0" xfId="1" applyNumberFormat="1" applyFill="1"/>
    <xf numFmtId="165" fontId="2" fillId="0" borderId="0" xfId="0" applyNumberFormat="1" applyFont="1" applyAlignment="1">
      <alignment horizontal="center"/>
    </xf>
    <xf numFmtId="166" fontId="2" fillId="0" borderId="0" xfId="0" applyNumberFormat="1" applyFont="1" applyAlignment="1">
      <alignment horizontal="center"/>
    </xf>
    <xf numFmtId="170" fontId="2" fillId="0" borderId="0" xfId="0" applyNumberFormat="1" applyFont="1"/>
    <xf numFmtId="15" fontId="2" fillId="0" borderId="0" xfId="0" applyNumberFormat="1" applyFont="1"/>
    <xf numFmtId="165" fontId="2" fillId="0" borderId="12" xfId="0" applyNumberFormat="1" applyFont="1" applyBorder="1"/>
    <xf numFmtId="166" fontId="2" fillId="0" borderId="12" xfId="0" applyNumberFormat="1" applyFont="1" applyBorder="1" applyAlignment="1">
      <alignment horizontal="center"/>
    </xf>
    <xf numFmtId="170" fontId="2" fillId="0" borderId="12" xfId="0" applyNumberFormat="1" applyFont="1" applyBorder="1"/>
    <xf numFmtId="15" fontId="2" fillId="0" borderId="10" xfId="0" applyNumberFormat="1" applyFont="1" applyBorder="1"/>
    <xf numFmtId="165" fontId="2" fillId="0" borderId="8" xfId="0" applyNumberFormat="1" applyFont="1" applyBorder="1"/>
    <xf numFmtId="15" fontId="2" fillId="0" borderId="7" xfId="0" applyNumberFormat="1" applyFont="1" applyBorder="1"/>
    <xf numFmtId="165" fontId="2" fillId="0" borderId="15" xfId="0" applyNumberFormat="1" applyFont="1" applyBorder="1"/>
    <xf numFmtId="165" fontId="2" fillId="0" borderId="14" xfId="0" applyNumberFormat="1" applyFont="1" applyBorder="1" applyAlignment="1">
      <alignment horizontal="center"/>
    </xf>
    <xf numFmtId="166" fontId="2" fillId="0" borderId="14" xfId="0" applyNumberFormat="1" applyFont="1" applyBorder="1" applyAlignment="1">
      <alignment horizontal="center"/>
    </xf>
    <xf numFmtId="165" fontId="2" fillId="0" borderId="14" xfId="0" applyNumberFormat="1" applyFont="1" applyBorder="1"/>
    <xf numFmtId="170" fontId="2" fillId="0" borderId="14" xfId="0" applyNumberFormat="1" applyFont="1" applyBorder="1"/>
    <xf numFmtId="15" fontId="2" fillId="0" borderId="13" xfId="0" applyNumberFormat="1" applyFont="1" applyBorder="1"/>
    <xf numFmtId="165" fontId="2" fillId="0" borderId="42" xfId="0" applyNumberFormat="1" applyFont="1" applyBorder="1"/>
    <xf numFmtId="165" fontId="2" fillId="0" borderId="43" xfId="0" applyNumberFormat="1" applyFont="1" applyBorder="1"/>
    <xf numFmtId="165" fontId="2" fillId="0" borderId="0" xfId="0" applyNumberFormat="1" applyFont="1" applyAlignment="1">
      <alignment horizontal="center" vertical="center" wrapText="1"/>
    </xf>
    <xf numFmtId="165" fontId="4" fillId="0" borderId="0" xfId="0" applyNumberFormat="1" applyFont="1"/>
    <xf numFmtId="165" fontId="4" fillId="3" borderId="2" xfId="0" applyNumberFormat="1" applyFont="1" applyFill="1" applyBorder="1" applyAlignment="1">
      <alignment horizontal="center"/>
    </xf>
    <xf numFmtId="166" fontId="4" fillId="3" borderId="2" xfId="0" applyNumberFormat="1" applyFont="1" applyFill="1" applyBorder="1" applyAlignment="1">
      <alignment horizontal="center"/>
    </xf>
    <xf numFmtId="165" fontId="2" fillId="0" borderId="0" xfId="0" applyNumberFormat="1" applyFont="1" applyAlignment="1">
      <alignment horizontal="right"/>
    </xf>
    <xf numFmtId="0" fontId="2" fillId="0" borderId="0" xfId="0" applyFont="1" applyAlignment="1">
      <alignment horizontal="center"/>
    </xf>
    <xf numFmtId="15" fontId="2" fillId="0" borderId="0" xfId="0" applyNumberFormat="1" applyFont="1" applyAlignment="1">
      <alignment horizontal="center"/>
    </xf>
    <xf numFmtId="0" fontId="10" fillId="0" borderId="0" xfId="0" applyFont="1" applyAlignment="1">
      <alignment horizontal="center" vertical="center"/>
    </xf>
    <xf numFmtId="165" fontId="8" fillId="2" borderId="2" xfId="0" applyNumberFormat="1" applyFont="1" applyFill="1" applyBorder="1"/>
    <xf numFmtId="165" fontId="10" fillId="2" borderId="2" xfId="0" applyNumberFormat="1" applyFont="1" applyFill="1" applyBorder="1" applyAlignment="1">
      <alignment horizontal="center" vertical="center" wrapText="1"/>
    </xf>
    <xf numFmtId="165" fontId="10"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xf>
    <xf numFmtId="0" fontId="8" fillId="0" borderId="0" xfId="0" applyFont="1" applyAlignment="1">
      <alignment horizontal="center" vertical="center"/>
    </xf>
    <xf numFmtId="15" fontId="8" fillId="3" borderId="22" xfId="0" applyNumberFormat="1" applyFont="1" applyFill="1" applyBorder="1" applyAlignment="1">
      <alignment horizontal="center" vertical="center" wrapText="1"/>
    </xf>
    <xf numFmtId="165" fontId="10" fillId="2" borderId="2" xfId="0" applyNumberFormat="1" applyFont="1" applyFill="1" applyBorder="1" applyAlignment="1">
      <alignment horizontal="center"/>
    </xf>
    <xf numFmtId="0" fontId="43" fillId="3" borderId="2" xfId="0" applyFont="1" applyFill="1" applyBorder="1" applyAlignment="1">
      <alignment horizontal="center" vertical="center" wrapText="1"/>
    </xf>
    <xf numFmtId="165" fontId="8" fillId="3" borderId="2" xfId="0" applyNumberFormat="1" applyFont="1" applyFill="1" applyBorder="1" applyAlignment="1">
      <alignment horizontal="center" vertical="center"/>
    </xf>
    <xf numFmtId="165" fontId="2" fillId="2" borderId="2" xfId="0" applyNumberFormat="1" applyFont="1" applyFill="1" applyBorder="1"/>
    <xf numFmtId="165" fontId="2" fillId="3" borderId="2" xfId="0" applyNumberFormat="1" applyFont="1" applyFill="1" applyBorder="1" applyAlignment="1">
      <alignment horizontal="center"/>
    </xf>
    <xf numFmtId="165" fontId="4" fillId="2" borderId="2" xfId="0" applyNumberFormat="1" applyFont="1" applyFill="1" applyBorder="1" applyAlignment="1">
      <alignment horizontal="center"/>
    </xf>
    <xf numFmtId="165" fontId="4" fillId="3" borderId="2" xfId="0" applyNumberFormat="1" applyFont="1" applyFill="1" applyBorder="1" applyAlignment="1">
      <alignment horizontal="center" vertical="center" wrapText="1"/>
    </xf>
    <xf numFmtId="165" fontId="2" fillId="3" borderId="2" xfId="0" applyNumberFormat="1" applyFont="1" applyFill="1" applyBorder="1" applyAlignment="1">
      <alignment horizontal="center" vertical="center"/>
    </xf>
    <xf numFmtId="166" fontId="2" fillId="3" borderId="2" xfId="0" applyNumberFormat="1" applyFont="1" applyFill="1" applyBorder="1" applyAlignment="1">
      <alignment horizontal="center"/>
    </xf>
    <xf numFmtId="165" fontId="2" fillId="0" borderId="0" xfId="0" applyNumberFormat="1" applyFont="1" applyProtection="1">
      <protection hidden="1"/>
    </xf>
    <xf numFmtId="0" fontId="2" fillId="0" borderId="0" xfId="0" applyFont="1" applyAlignment="1">
      <alignment horizontal="left"/>
    </xf>
    <xf numFmtId="165" fontId="2" fillId="0" borderId="43" xfId="0" applyNumberFormat="1" applyFont="1" applyBorder="1" applyAlignment="1">
      <alignment horizontal="center"/>
    </xf>
    <xf numFmtId="170" fontId="2" fillId="0" borderId="0" xfId="0" applyNumberFormat="1" applyFont="1" applyAlignment="1">
      <alignment horizontal="right"/>
    </xf>
    <xf numFmtId="10" fontId="23" fillId="0" borderId="2" xfId="0" applyNumberFormat="1" applyFont="1" applyBorder="1" applyAlignment="1" applyProtection="1">
      <alignment horizontal="center"/>
      <protection hidden="1"/>
    </xf>
    <xf numFmtId="0" fontId="1" fillId="6" borderId="0" xfId="0" applyFont="1" applyFill="1"/>
    <xf numFmtId="17" fontId="2" fillId="0" borderId="0" xfId="3" applyNumberFormat="1" applyFont="1" applyAlignment="1" applyProtection="1">
      <alignment horizontal="center"/>
      <protection hidden="1"/>
    </xf>
    <xf numFmtId="0" fontId="2" fillId="3" borderId="0" xfId="3" applyFont="1" applyFill="1" applyProtection="1">
      <protection hidden="1"/>
    </xf>
    <xf numFmtId="0" fontId="2" fillId="0" borderId="0" xfId="3" applyFont="1" applyProtection="1">
      <protection hidden="1"/>
    </xf>
    <xf numFmtId="0" fontId="7" fillId="0" borderId="0" xfId="3" applyFont="1" applyAlignment="1" applyProtection="1">
      <alignment horizontal="center"/>
      <protection hidden="1"/>
    </xf>
    <xf numFmtId="166" fontId="2" fillId="0" borderId="0" xfId="3" applyNumberFormat="1" applyFont="1" applyAlignment="1" applyProtection="1">
      <alignment horizontal="center"/>
      <protection hidden="1"/>
    </xf>
    <xf numFmtId="166" fontId="2" fillId="0" borderId="0" xfId="3" applyNumberFormat="1" applyFont="1" applyProtection="1">
      <protection hidden="1"/>
    </xf>
    <xf numFmtId="4" fontId="2" fillId="0" borderId="0" xfId="3" applyNumberFormat="1" applyFont="1" applyProtection="1">
      <protection hidden="1"/>
    </xf>
    <xf numFmtId="2" fontId="2" fillId="0" borderId="0" xfId="3" applyNumberFormat="1" applyFont="1" applyProtection="1">
      <protection hidden="1"/>
    </xf>
    <xf numFmtId="0" fontId="4" fillId="3" borderId="0" xfId="3" applyFont="1" applyFill="1" applyProtection="1">
      <protection hidden="1"/>
    </xf>
    <xf numFmtId="166" fontId="4" fillId="0" borderId="3" xfId="3" applyNumberFormat="1" applyFont="1" applyBorder="1" applyProtection="1">
      <protection hidden="1"/>
    </xf>
    <xf numFmtId="0" fontId="2" fillId="3" borderId="3" xfId="3" applyFont="1" applyFill="1" applyBorder="1" applyProtection="1">
      <protection hidden="1"/>
    </xf>
    <xf numFmtId="166" fontId="2" fillId="3" borderId="5" xfId="0" applyNumberFormat="1" applyFont="1" applyFill="1" applyBorder="1" applyAlignment="1" applyProtection="1">
      <alignment horizontal="center"/>
      <protection hidden="1"/>
    </xf>
    <xf numFmtId="166" fontId="2" fillId="0" borderId="20" xfId="0" applyNumberFormat="1" applyFont="1" applyBorder="1" applyAlignment="1" applyProtection="1">
      <alignment horizontal="center"/>
      <protection hidden="1"/>
    </xf>
    <xf numFmtId="166" fontId="2" fillId="0" borderId="58" xfId="0" applyNumberFormat="1" applyFont="1" applyBorder="1" applyAlignment="1" applyProtection="1">
      <alignment horizontal="center"/>
      <protection hidden="1"/>
    </xf>
    <xf numFmtId="166" fontId="2" fillId="3" borderId="6" xfId="0" applyNumberFormat="1" applyFont="1" applyFill="1" applyBorder="1" applyAlignment="1" applyProtection="1">
      <alignment horizontal="center"/>
      <protection hidden="1"/>
    </xf>
    <xf numFmtId="166" fontId="2" fillId="0" borderId="59" xfId="0" applyNumberFormat="1" applyFont="1" applyBorder="1" applyAlignment="1" applyProtection="1">
      <alignment horizontal="center"/>
      <protection hidden="1"/>
    </xf>
    <xf numFmtId="166" fontId="2" fillId="0" borderId="60" xfId="0" applyNumberFormat="1" applyFont="1" applyBorder="1" applyAlignment="1" applyProtection="1">
      <alignment horizontal="center"/>
      <protection hidden="1"/>
    </xf>
    <xf numFmtId="0" fontId="24" fillId="6" borderId="0" xfId="0" applyFont="1" applyFill="1" applyAlignment="1">
      <alignment horizontal="center"/>
    </xf>
    <xf numFmtId="0" fontId="41" fillId="6" borderId="0" xfId="0" applyFont="1" applyFill="1" applyAlignment="1">
      <alignment horizontal="left" wrapText="1"/>
    </xf>
    <xf numFmtId="0" fontId="41" fillId="6" borderId="0" xfId="0" applyFont="1" applyFill="1" applyAlignment="1">
      <alignment horizontal="left"/>
    </xf>
    <xf numFmtId="0" fontId="11" fillId="0" borderId="47" xfId="0" applyFont="1" applyBorder="1" applyAlignment="1">
      <alignment horizontal="right"/>
    </xf>
    <xf numFmtId="0" fontId="11" fillId="0" borderId="49" xfId="0" applyFont="1" applyBorder="1" applyAlignment="1">
      <alignment horizontal="right"/>
    </xf>
    <xf numFmtId="168" fontId="26" fillId="3" borderId="0" xfId="0" applyNumberFormat="1" applyFont="1" applyFill="1" applyAlignment="1">
      <alignment horizontal="left"/>
    </xf>
    <xf numFmtId="0" fontId="26" fillId="3" borderId="0" xfId="0" applyFont="1" applyFill="1" applyAlignment="1">
      <alignment horizontal="left"/>
    </xf>
    <xf numFmtId="0" fontId="0" fillId="0" borderId="0" xfId="0" applyAlignment="1">
      <alignment horizontal="left"/>
    </xf>
    <xf numFmtId="3" fontId="27" fillId="3" borderId="47" xfId="0" applyNumberFormat="1" applyFont="1" applyFill="1" applyBorder="1" applyAlignment="1">
      <alignment vertical="center"/>
    </xf>
    <xf numFmtId="3" fontId="27" fillId="3" borderId="48" xfId="0" applyNumberFormat="1" applyFont="1" applyFill="1" applyBorder="1" applyAlignment="1">
      <alignment vertical="center"/>
    </xf>
    <xf numFmtId="3" fontId="27" fillId="3" borderId="49" xfId="0" applyNumberFormat="1" applyFont="1" applyFill="1" applyBorder="1" applyAlignment="1">
      <alignment vertical="center"/>
    </xf>
    <xf numFmtId="169" fontId="27" fillId="0" borderId="47" xfId="0" applyNumberFormat="1" applyFont="1" applyBorder="1" applyAlignment="1">
      <alignment horizontal="center" vertical="center"/>
    </xf>
    <xf numFmtId="169" fontId="27" fillId="0" borderId="48" xfId="0" applyNumberFormat="1" applyFont="1" applyBorder="1" applyAlignment="1">
      <alignment horizontal="center" vertical="center"/>
    </xf>
    <xf numFmtId="169" fontId="0" fillId="0" borderId="49" xfId="0" applyNumberFormat="1" applyBorder="1" applyAlignment="1">
      <alignment horizontal="center"/>
    </xf>
    <xf numFmtId="3" fontId="27" fillId="0" borderId="47" xfId="0" applyNumberFormat="1" applyFont="1" applyBorder="1" applyAlignment="1">
      <alignment vertical="center"/>
    </xf>
    <xf numFmtId="3" fontId="27" fillId="0" borderId="48" xfId="0" applyNumberFormat="1" applyFont="1" applyBorder="1" applyAlignment="1">
      <alignment vertical="center"/>
    </xf>
    <xf numFmtId="3" fontId="27" fillId="0" borderId="49" xfId="0" applyNumberFormat="1" applyFont="1" applyBorder="1" applyAlignment="1">
      <alignment vertical="center"/>
    </xf>
    <xf numFmtId="0" fontId="0" fillId="0" borderId="48" xfId="0" applyBorder="1" applyAlignment="1">
      <alignment vertical="center"/>
    </xf>
    <xf numFmtId="0" fontId="0" fillId="0" borderId="49" xfId="0" applyBorder="1" applyAlignment="1">
      <alignment vertical="center"/>
    </xf>
    <xf numFmtId="0" fontId="11" fillId="0" borderId="47" xfId="0" applyFont="1" applyBorder="1" applyAlignment="1">
      <alignment vertical="center"/>
    </xf>
    <xf numFmtId="0" fontId="11" fillId="0" borderId="48" xfId="0" applyFont="1" applyBorder="1" applyAlignment="1">
      <alignment vertical="center"/>
    </xf>
    <xf numFmtId="0" fontId="11" fillId="0" borderId="49" xfId="0" applyFont="1" applyBorder="1" applyAlignment="1">
      <alignment vertical="center"/>
    </xf>
    <xf numFmtId="0" fontId="0" fillId="3" borderId="0" xfId="0" applyFill="1" applyAlignment="1">
      <alignment horizontal="left"/>
    </xf>
    <xf numFmtId="0" fontId="26" fillId="3" borderId="0" xfId="0" applyFont="1" applyFill="1" applyAlignment="1">
      <alignment vertical="center"/>
    </xf>
    <xf numFmtId="169" fontId="27" fillId="0" borderId="49" xfId="0" applyNumberFormat="1" applyFont="1" applyBorder="1" applyAlignment="1">
      <alignment horizontal="center" vertical="center"/>
    </xf>
    <xf numFmtId="0" fontId="9" fillId="0" borderId="44" xfId="0" applyFont="1" applyBorder="1" applyAlignment="1">
      <alignment horizontal="left" vertical="center" indent="1"/>
    </xf>
    <xf numFmtId="0" fontId="9" fillId="0" borderId="45" xfId="0" applyFont="1" applyBorder="1" applyAlignment="1">
      <alignment horizontal="left" vertical="center" indent="1"/>
    </xf>
    <xf numFmtId="0" fontId="9" fillId="0" borderId="46" xfId="0" applyFont="1" applyBorder="1" applyAlignment="1">
      <alignment horizontal="left" vertical="center" indent="1"/>
    </xf>
    <xf numFmtId="0" fontId="27" fillId="0" borderId="47" xfId="0" applyFont="1" applyBorder="1" applyAlignment="1">
      <alignment horizontal="center" vertical="center"/>
    </xf>
    <xf numFmtId="0" fontId="27" fillId="0" borderId="49" xfId="0" applyFont="1" applyBorder="1" applyAlignment="1">
      <alignment horizontal="center" vertical="center"/>
    </xf>
    <xf numFmtId="0" fontId="27" fillId="0" borderId="48" xfId="0" applyFont="1" applyBorder="1" applyAlignment="1">
      <alignment horizontal="center" vertical="center"/>
    </xf>
    <xf numFmtId="0" fontId="38" fillId="0" borderId="39" xfId="0" applyFont="1" applyBorder="1" applyAlignment="1" applyProtection="1">
      <alignment vertical="center"/>
      <protection hidden="1"/>
    </xf>
    <xf numFmtId="3" fontId="27" fillId="0" borderId="47" xfId="0" applyNumberFormat="1" applyFont="1" applyBorder="1" applyAlignment="1" applyProtection="1">
      <alignment vertical="center"/>
      <protection hidden="1"/>
    </xf>
    <xf numFmtId="3" fontId="27" fillId="0" borderId="48" xfId="0" applyNumberFormat="1" applyFont="1" applyBorder="1" applyAlignment="1" applyProtection="1">
      <alignment vertical="center"/>
      <protection hidden="1"/>
    </xf>
    <xf numFmtId="3" fontId="27" fillId="0" borderId="49" xfId="0" applyNumberFormat="1" applyFont="1" applyBorder="1" applyAlignment="1" applyProtection="1">
      <alignment vertical="center"/>
      <protection hidden="1"/>
    </xf>
    <xf numFmtId="0" fontId="26" fillId="0" borderId="0" xfId="0" applyFont="1" applyAlignment="1" applyProtection="1">
      <alignment vertical="center"/>
      <protection hidden="1"/>
    </xf>
    <xf numFmtId="0" fontId="38" fillId="0" borderId="0" xfId="0" applyFont="1" applyAlignment="1" applyProtection="1">
      <alignment vertical="center"/>
      <protection hidden="1"/>
    </xf>
    <xf numFmtId="0" fontId="38" fillId="0" borderId="33" xfId="0" applyFont="1" applyBorder="1" applyAlignment="1" applyProtection="1">
      <alignment vertical="center"/>
      <protection hidden="1"/>
    </xf>
    <xf numFmtId="0" fontId="26" fillId="0" borderId="33" xfId="0" applyFont="1" applyBorder="1" applyAlignment="1" applyProtection="1">
      <alignment vertical="center"/>
      <protection hidden="1"/>
    </xf>
    <xf numFmtId="169" fontId="27" fillId="0" borderId="47" xfId="0" applyNumberFormat="1" applyFont="1" applyBorder="1" applyAlignment="1" applyProtection="1">
      <alignment horizontal="center" vertical="center"/>
      <protection hidden="1"/>
    </xf>
    <xf numFmtId="169" fontId="27" fillId="0" borderId="48" xfId="0" applyNumberFormat="1" applyFont="1" applyBorder="1" applyAlignment="1" applyProtection="1">
      <alignment horizontal="center" vertical="center"/>
      <protection hidden="1"/>
    </xf>
    <xf numFmtId="169" fontId="27" fillId="0" borderId="49" xfId="0" applyNumberFormat="1" applyFont="1" applyBorder="1" applyAlignment="1" applyProtection="1">
      <alignment horizontal="center" vertical="center"/>
      <protection hidden="1"/>
    </xf>
    <xf numFmtId="0" fontId="38" fillId="0" borderId="48" xfId="0" applyFont="1" applyBorder="1" applyAlignment="1" applyProtection="1">
      <alignment vertical="center"/>
      <protection hidden="1"/>
    </xf>
    <xf numFmtId="0" fontId="26" fillId="3" borderId="0" xfId="0" applyFont="1" applyFill="1" applyAlignment="1" applyProtection="1">
      <alignment vertical="center"/>
      <protection hidden="1"/>
    </xf>
    <xf numFmtId="0" fontId="27" fillId="0" borderId="47" xfId="0" applyFont="1" applyBorder="1" applyAlignment="1" applyProtection="1">
      <alignment horizontal="right"/>
      <protection hidden="1"/>
    </xf>
    <xf numFmtId="0" fontId="27" fillId="0" borderId="49" xfId="0" applyFont="1" applyBorder="1" applyAlignment="1" applyProtection="1">
      <alignment horizontal="right"/>
      <protection hidden="1"/>
    </xf>
    <xf numFmtId="168" fontId="26" fillId="3" borderId="0" xfId="0" applyNumberFormat="1" applyFont="1" applyFill="1" applyAlignment="1" applyProtection="1">
      <alignment horizontal="left"/>
      <protection hidden="1"/>
    </xf>
    <xf numFmtId="0" fontId="38" fillId="0" borderId="50" xfId="0" applyFont="1" applyBorder="1" applyAlignment="1" applyProtection="1">
      <alignment vertical="center"/>
      <protection hidden="1"/>
    </xf>
    <xf numFmtId="0" fontId="27" fillId="0" borderId="47" xfId="0" applyFont="1" applyBorder="1" applyAlignment="1" applyProtection="1">
      <alignment vertical="center"/>
      <protection hidden="1"/>
    </xf>
    <xf numFmtId="0" fontId="27" fillId="0" borderId="48" xfId="0" applyFont="1" applyBorder="1" applyAlignment="1" applyProtection="1">
      <alignment vertical="center"/>
      <protection hidden="1"/>
    </xf>
    <xf numFmtId="0" fontId="27" fillId="0" borderId="49" xfId="0" applyFont="1" applyBorder="1" applyAlignment="1" applyProtection="1">
      <alignment vertical="center"/>
      <protection hidden="1"/>
    </xf>
    <xf numFmtId="0" fontId="11" fillId="5" borderId="0" xfId="0" applyFont="1" applyFill="1" applyProtection="1">
      <protection hidden="1"/>
    </xf>
    <xf numFmtId="0" fontId="11" fillId="0" borderId="36" xfId="0" applyFont="1" applyBorder="1" applyProtection="1">
      <protection hidden="1"/>
    </xf>
    <xf numFmtId="0" fontId="27" fillId="0" borderId="47" xfId="0" applyFont="1" applyBorder="1" applyAlignment="1" applyProtection="1">
      <alignment horizontal="center" vertical="center"/>
      <protection hidden="1"/>
    </xf>
    <xf numFmtId="0" fontId="27" fillId="0" borderId="49" xfId="0" applyFont="1" applyBorder="1" applyAlignment="1" applyProtection="1">
      <alignment horizontal="center" vertical="center"/>
      <protection hidden="1"/>
    </xf>
    <xf numFmtId="0" fontId="27" fillId="0" borderId="48" xfId="0" applyFont="1" applyBorder="1" applyAlignment="1" applyProtection="1">
      <alignment horizontal="center" vertical="center"/>
      <protection hidden="1"/>
    </xf>
    <xf numFmtId="0" fontId="34" fillId="0" borderId="0" xfId="0" applyFont="1" applyAlignment="1" applyProtection="1">
      <alignment horizontal="center" vertical="center" wrapText="1"/>
      <protection hidden="1"/>
    </xf>
    <xf numFmtId="0" fontId="35" fillId="0" borderId="0" xfId="0" applyFont="1" applyAlignment="1" applyProtection="1">
      <alignment horizontal="center" vertical="center" wrapText="1"/>
      <protection hidden="1"/>
    </xf>
    <xf numFmtId="0" fontId="36" fillId="0" borderId="0" xfId="0" applyFont="1" applyAlignment="1" applyProtection="1">
      <alignment horizontal="left" vertical="center" wrapText="1" indent="1"/>
      <protection hidden="1"/>
    </xf>
    <xf numFmtId="0" fontId="37" fillId="0" borderId="0" xfId="0" applyFont="1" applyAlignment="1" applyProtection="1">
      <alignment horizontal="right" vertical="center"/>
      <protection hidden="1"/>
    </xf>
    <xf numFmtId="168" fontId="37" fillId="0" borderId="0" xfId="0" applyNumberFormat="1" applyFont="1" applyAlignment="1" applyProtection="1">
      <alignment horizontal="center" vertical="center"/>
      <protection hidden="1"/>
    </xf>
    <xf numFmtId="15" fontId="26" fillId="3" borderId="0" xfId="0" applyNumberFormat="1" applyFont="1" applyFill="1" applyProtection="1">
      <protection hidden="1"/>
    </xf>
    <xf numFmtId="0" fontId="26" fillId="3" borderId="0" xfId="0" applyFont="1" applyFill="1" applyProtection="1">
      <protection hidden="1"/>
    </xf>
    <xf numFmtId="165" fontId="17" fillId="3" borderId="18" xfId="0" applyNumberFormat="1" applyFont="1" applyFill="1" applyBorder="1" applyAlignment="1">
      <alignment horizontal="center" vertical="center" wrapText="1"/>
    </xf>
    <xf numFmtId="0" fontId="18" fillId="3" borderId="41" xfId="0" applyFont="1" applyFill="1" applyBorder="1" applyAlignment="1">
      <alignment horizontal="center" vertical="center" wrapText="1"/>
    </xf>
    <xf numFmtId="0" fontId="18" fillId="3" borderId="19" xfId="0" applyFont="1" applyFill="1" applyBorder="1" applyAlignment="1">
      <alignment horizontal="center" vertical="center" wrapText="1"/>
    </xf>
    <xf numFmtId="17" fontId="11" fillId="3" borderId="22" xfId="0" applyNumberFormat="1" applyFont="1" applyFill="1" applyBorder="1" applyAlignment="1" applyProtection="1">
      <alignment horizontal="center" vertical="center" wrapText="1"/>
      <protection hidden="1"/>
    </xf>
    <xf numFmtId="0" fontId="11" fillId="3" borderId="16" xfId="0" applyFont="1" applyFill="1" applyBorder="1" applyAlignment="1" applyProtection="1">
      <alignment horizontal="center" vertical="center" wrapText="1"/>
      <protection hidden="1"/>
    </xf>
    <xf numFmtId="0" fontId="15" fillId="2" borderId="2" xfId="0" applyFont="1" applyFill="1" applyBorder="1" applyAlignment="1" applyProtection="1">
      <alignment horizontal="left" vertical="center" wrapText="1" indent="1"/>
      <protection hidden="1"/>
    </xf>
    <xf numFmtId="0" fontId="16" fillId="0" borderId="2" xfId="0" applyFont="1" applyBorder="1" applyAlignment="1">
      <alignment horizontal="left" vertical="center" indent="1"/>
    </xf>
    <xf numFmtId="0" fontId="11" fillId="3" borderId="22" xfId="0" applyFont="1" applyFill="1" applyBorder="1" applyAlignment="1" applyProtection="1">
      <alignment horizontal="center" vertical="center" wrapText="1"/>
      <protection hidden="1"/>
    </xf>
    <xf numFmtId="0" fontId="4" fillId="3" borderId="2" xfId="3" applyFont="1" applyFill="1" applyBorder="1" applyAlignment="1" applyProtection="1">
      <alignment horizontal="center" vertical="center"/>
      <protection hidden="1"/>
    </xf>
    <xf numFmtId="15" fontId="8" fillId="3" borderId="6" xfId="0" applyNumberFormat="1" applyFont="1" applyFill="1" applyBorder="1" applyAlignment="1">
      <alignment horizontal="center" vertical="center" wrapText="1"/>
    </xf>
    <xf numFmtId="15" fontId="1" fillId="3" borderId="2" xfId="0" applyNumberFormat="1" applyFont="1" applyFill="1" applyBorder="1" applyAlignment="1">
      <alignment horizontal="center" vertical="center" wrapText="1"/>
    </xf>
    <xf numFmtId="0" fontId="11" fillId="2" borderId="18" xfId="0" applyFont="1" applyFill="1" applyBorder="1" applyAlignment="1">
      <alignment horizontal="right" vertical="center"/>
    </xf>
    <xf numFmtId="0" fontId="0" fillId="2" borderId="41" xfId="0" applyFill="1" applyBorder="1" applyAlignment="1">
      <alignment horizontal="right" vertical="center"/>
    </xf>
    <xf numFmtId="0" fontId="0" fillId="2" borderId="41" xfId="0" applyFill="1" applyBorder="1"/>
    <xf numFmtId="0" fontId="8" fillId="4" borderId="18" xfId="0" applyFont="1" applyFill="1" applyBorder="1" applyAlignment="1">
      <alignment horizontal="right" vertical="center" wrapText="1"/>
    </xf>
    <xf numFmtId="0" fontId="8" fillId="4" borderId="41" xfId="0" applyFont="1" applyFill="1" applyBorder="1" applyAlignment="1">
      <alignment horizontal="right" vertical="center" wrapText="1"/>
    </xf>
    <xf numFmtId="0" fontId="8" fillId="2" borderId="18" xfId="0" applyFont="1" applyFill="1" applyBorder="1" applyAlignment="1">
      <alignment horizontal="right" vertical="center"/>
    </xf>
    <xf numFmtId="0" fontId="2" fillId="2" borderId="41" xfId="0" applyFont="1" applyFill="1" applyBorder="1" applyAlignment="1">
      <alignment horizontal="right" vertical="center"/>
    </xf>
    <xf numFmtId="0" fontId="8" fillId="2" borderId="18" xfId="0" applyFont="1" applyFill="1" applyBorder="1" applyAlignment="1">
      <alignment horizontal="right" vertical="center" wrapText="1"/>
    </xf>
    <xf numFmtId="0" fontId="8" fillId="2" borderId="41" xfId="0" applyFont="1" applyFill="1" applyBorder="1" applyAlignment="1">
      <alignment horizontal="right" vertical="center" wrapText="1"/>
    </xf>
    <xf numFmtId="0" fontId="8" fillId="4" borderId="18" xfId="0" applyFont="1" applyFill="1" applyBorder="1" applyAlignment="1">
      <alignment horizontal="right" vertical="center"/>
    </xf>
    <xf numFmtId="0" fontId="2" fillId="4" borderId="41" xfId="0" applyFont="1" applyFill="1" applyBorder="1" applyAlignment="1">
      <alignment horizontal="right" vertical="center"/>
    </xf>
    <xf numFmtId="0" fontId="9" fillId="4" borderId="18" xfId="0" applyFont="1" applyFill="1" applyBorder="1" applyAlignment="1">
      <alignment horizontal="right" vertical="center"/>
    </xf>
    <xf numFmtId="0" fontId="0" fillId="4" borderId="41" xfId="0" applyFill="1" applyBorder="1" applyAlignment="1">
      <alignment horizontal="right" vertical="center"/>
    </xf>
    <xf numFmtId="0" fontId="9" fillId="2" borderId="18" xfId="0" applyFont="1" applyFill="1" applyBorder="1" applyAlignment="1">
      <alignment horizontal="right" vertical="center"/>
    </xf>
    <xf numFmtId="0" fontId="11" fillId="4" borderId="18" xfId="0" applyFont="1" applyFill="1" applyBorder="1" applyAlignment="1">
      <alignment horizontal="right" vertical="center"/>
    </xf>
    <xf numFmtId="0" fontId="0" fillId="4" borderId="41" xfId="0" applyFill="1" applyBorder="1"/>
    <xf numFmtId="165" fontId="8" fillId="3" borderId="2" xfId="0" applyNumberFormat="1" applyFont="1" applyFill="1" applyBorder="1" applyAlignment="1">
      <alignment horizontal="center" vertical="center" wrapText="1"/>
    </xf>
    <xf numFmtId="165" fontId="1" fillId="3" borderId="2" xfId="0" applyNumberFormat="1" applyFont="1" applyFill="1" applyBorder="1" applyAlignment="1">
      <alignment horizontal="center" vertical="center" wrapText="1"/>
    </xf>
    <xf numFmtId="15" fontId="8" fillId="3" borderId="2" xfId="0" applyNumberFormat="1" applyFont="1" applyFill="1" applyBorder="1" applyAlignment="1">
      <alignment horizontal="center" vertical="center" wrapText="1"/>
    </xf>
    <xf numFmtId="14" fontId="8" fillId="3" borderId="16" xfId="0" applyNumberFormat="1" applyFont="1" applyFill="1" applyBorder="1" applyAlignment="1">
      <alignment horizontal="center" vertical="center" wrapText="1"/>
    </xf>
    <xf numFmtId="0" fontId="1" fillId="3" borderId="2" xfId="0" applyFont="1" applyFill="1" applyBorder="1" applyAlignment="1">
      <alignment horizontal="center" vertical="center" wrapText="1"/>
    </xf>
    <xf numFmtId="0" fontId="8" fillId="3" borderId="16" xfId="0" applyFont="1" applyFill="1" applyBorder="1" applyAlignment="1">
      <alignment horizontal="center" vertical="center" wrapText="1"/>
    </xf>
    <xf numFmtId="4" fontId="10" fillId="3" borderId="51" xfId="0" applyNumberFormat="1" applyFont="1" applyFill="1" applyBorder="1" applyAlignment="1">
      <alignment horizontal="center"/>
    </xf>
    <xf numFmtId="0" fontId="0" fillId="3" borderId="17" xfId="0" applyFill="1" applyBorder="1"/>
    <xf numFmtId="9" fontId="8" fillId="3" borderId="2" xfId="0" applyNumberFormat="1" applyFont="1" applyFill="1" applyBorder="1" applyAlignment="1">
      <alignment horizontal="center" vertical="center" wrapText="1"/>
    </xf>
    <xf numFmtId="9" fontId="1" fillId="3" borderId="2" xfId="0" applyNumberFormat="1" applyFont="1" applyFill="1" applyBorder="1" applyAlignment="1">
      <alignment horizontal="center" vertical="center" wrapText="1"/>
    </xf>
    <xf numFmtId="165" fontId="10" fillId="3" borderId="0" xfId="0" applyNumberFormat="1" applyFont="1" applyFill="1" applyAlignment="1">
      <alignment horizontal="center"/>
    </xf>
    <xf numFmtId="0" fontId="0" fillId="3" borderId="0" xfId="0" applyFill="1" applyAlignment="1">
      <alignment horizontal="center"/>
    </xf>
    <xf numFmtId="165" fontId="8" fillId="3" borderId="22" xfId="0" applyNumberFormat="1" applyFont="1" applyFill="1" applyBorder="1" applyAlignment="1">
      <alignment horizontal="center" vertical="center" wrapText="1"/>
    </xf>
    <xf numFmtId="0" fontId="0" fillId="0" borderId="16" xfId="0" applyBorder="1" applyAlignment="1">
      <alignment horizontal="center" vertical="center" wrapText="1"/>
    </xf>
    <xf numFmtId="2" fontId="2" fillId="3" borderId="5" xfId="0" applyNumberFormat="1" applyFont="1" applyFill="1" applyBorder="1" applyAlignment="1" applyProtection="1">
      <alignment horizontal="center" vertical="center" wrapText="1"/>
      <protection hidden="1"/>
    </xf>
    <xf numFmtId="0" fontId="0" fillId="3" borderId="2" xfId="0" applyFill="1" applyBorder="1" applyAlignment="1" applyProtection="1">
      <alignment horizontal="center" vertical="center" wrapText="1"/>
      <protection hidden="1"/>
    </xf>
    <xf numFmtId="0" fontId="2" fillId="3" borderId="6" xfId="0" applyFont="1" applyFill="1" applyBorder="1" applyAlignment="1" applyProtection="1">
      <alignment horizontal="left" vertical="center" indent="1"/>
      <protection hidden="1"/>
    </xf>
    <xf numFmtId="0" fontId="2" fillId="3" borderId="3" xfId="0" applyFont="1" applyFill="1" applyBorder="1" applyAlignment="1" applyProtection="1">
      <alignment horizontal="left" vertical="center" indent="1"/>
      <protection hidden="1"/>
    </xf>
    <xf numFmtId="0" fontId="0" fillId="0" borderId="5" xfId="0" applyBorder="1" applyAlignment="1">
      <alignment horizontal="left" vertical="center" indent="1"/>
    </xf>
    <xf numFmtId="0" fontId="2" fillId="3" borderId="2" xfId="0" applyFont="1" applyFill="1" applyBorder="1" applyAlignment="1" applyProtection="1">
      <alignment horizontal="left" vertical="center" indent="1"/>
      <protection hidden="1"/>
    </xf>
    <xf numFmtId="0" fontId="0" fillId="0" borderId="2" xfId="0" applyBorder="1" applyAlignment="1">
      <alignment horizontal="left" vertical="center" indent="1"/>
    </xf>
    <xf numFmtId="166" fontId="2" fillId="3" borderId="18" xfId="0" applyNumberFormat="1" applyFont="1" applyFill="1" applyBorder="1" applyAlignment="1" applyProtection="1">
      <alignment horizontal="center" vertical="center" wrapText="1"/>
      <protection hidden="1"/>
    </xf>
    <xf numFmtId="0" fontId="0" fillId="3" borderId="41" xfId="0" applyFill="1" applyBorder="1" applyAlignment="1" applyProtection="1">
      <alignment horizontal="center" vertical="center" wrapText="1"/>
      <protection hidden="1"/>
    </xf>
    <xf numFmtId="0" fontId="0" fillId="3" borderId="19" xfId="0" applyFill="1" applyBorder="1" applyAlignment="1" applyProtection="1">
      <alignment horizontal="center" vertical="center" wrapText="1"/>
      <protection hidden="1"/>
    </xf>
    <xf numFmtId="2" fontId="2" fillId="3" borderId="22" xfId="0" applyNumberFormat="1" applyFont="1" applyFill="1" applyBorder="1" applyAlignment="1" applyProtection="1">
      <alignment horizontal="center" wrapText="1"/>
      <protection hidden="1"/>
    </xf>
    <xf numFmtId="0" fontId="0" fillId="3" borderId="16" xfId="0" applyFill="1" applyBorder="1" applyAlignment="1" applyProtection="1">
      <alignment horizontal="center" wrapText="1"/>
      <protection hidden="1"/>
    </xf>
    <xf numFmtId="165" fontId="2" fillId="3" borderId="22" xfId="0" applyNumberFormat="1" applyFont="1" applyFill="1" applyBorder="1" applyAlignment="1" applyProtection="1">
      <alignment horizontal="center" wrapText="1"/>
      <protection hidden="1"/>
    </xf>
    <xf numFmtId="168" fontId="5" fillId="3" borderId="0" xfId="0" applyNumberFormat="1" applyFont="1" applyFill="1" applyAlignment="1" applyProtection="1">
      <alignment horizontal="left"/>
      <protection hidden="1"/>
    </xf>
    <xf numFmtId="168" fontId="20" fillId="0" borderId="0" xfId="0" applyNumberFormat="1" applyFont="1"/>
    <xf numFmtId="0" fontId="2" fillId="3" borderId="18" xfId="0" applyFont="1" applyFill="1" applyBorder="1" applyAlignment="1" applyProtection="1">
      <alignment horizontal="left" indent="1"/>
      <protection hidden="1"/>
    </xf>
    <xf numFmtId="0" fontId="0" fillId="0" borderId="19" xfId="0" applyBorder="1" applyAlignment="1">
      <alignment horizontal="left" indent="1"/>
    </xf>
    <xf numFmtId="0" fontId="4" fillId="3" borderId="18" xfId="0" applyFont="1" applyFill="1" applyBorder="1" applyAlignment="1" applyProtection="1">
      <alignment horizontal="left" indent="1"/>
      <protection hidden="1"/>
    </xf>
    <xf numFmtId="17" fontId="2" fillId="3" borderId="22" xfId="0" applyNumberFormat="1" applyFont="1" applyFill="1" applyBorder="1" applyAlignment="1" applyProtection="1">
      <alignment horizontal="center" vertical="center" wrapText="1"/>
      <protection hidden="1"/>
    </xf>
    <xf numFmtId="0" fontId="2" fillId="3" borderId="16" xfId="0" applyFont="1" applyFill="1" applyBorder="1" applyAlignment="1" applyProtection="1">
      <alignment horizontal="center" vertical="center" wrapText="1"/>
      <protection hidden="1"/>
    </xf>
    <xf numFmtId="3" fontId="10" fillId="3" borderId="13" xfId="0" applyNumberFormat="1" applyFont="1" applyFill="1" applyBorder="1" applyAlignment="1">
      <alignment horizontal="center" vertical="center" wrapText="1"/>
    </xf>
    <xf numFmtId="0" fontId="8" fillId="0" borderId="7" xfId="0" applyFont="1" applyBorder="1" applyAlignment="1">
      <alignment horizontal="center" vertical="center" wrapText="1"/>
    </xf>
    <xf numFmtId="0" fontId="8" fillId="0" borderId="56" xfId="0" applyFont="1" applyBorder="1" applyAlignment="1">
      <alignment horizontal="center" vertical="center" wrapText="1"/>
    </xf>
    <xf numFmtId="17" fontId="2" fillId="3" borderId="57" xfId="0" applyNumberFormat="1" applyFont="1" applyFill="1" applyBorder="1" applyAlignment="1" applyProtection="1">
      <alignment horizontal="center" vertical="center" wrapText="1"/>
      <protection hidden="1"/>
    </xf>
    <xf numFmtId="0" fontId="2" fillId="3" borderId="20" xfId="0" applyFont="1" applyFill="1" applyBorder="1" applyAlignment="1" applyProtection="1">
      <alignment horizontal="center" vertical="center" wrapText="1"/>
      <protection hidden="1"/>
    </xf>
    <xf numFmtId="3" fontId="10" fillId="3" borderId="54" xfId="0" applyNumberFormat="1" applyFont="1" applyFill="1" applyBorder="1" applyAlignment="1">
      <alignment horizontal="center" vertical="center" wrapText="1"/>
    </xf>
    <xf numFmtId="0" fontId="8" fillId="0" borderId="55" xfId="0" applyFont="1" applyBorder="1" applyAlignment="1">
      <alignment horizontal="center" vertical="center" wrapText="1"/>
    </xf>
    <xf numFmtId="17" fontId="8" fillId="3" borderId="2" xfId="0" applyNumberFormat="1" applyFont="1" applyFill="1" applyBorder="1" applyAlignment="1">
      <alignment horizontal="center" vertical="center" wrapText="1"/>
    </xf>
    <xf numFmtId="0" fontId="8" fillId="3" borderId="2" xfId="0" applyFont="1" applyFill="1" applyBorder="1" applyAlignment="1">
      <alignment horizontal="center" vertical="center" wrapText="1"/>
    </xf>
    <xf numFmtId="0" fontId="8" fillId="3" borderId="52" xfId="0" applyFont="1" applyFill="1" applyBorder="1" applyAlignment="1">
      <alignment horizontal="left" wrapText="1" indent="1"/>
    </xf>
    <xf numFmtId="0" fontId="0" fillId="0" borderId="53" xfId="0" applyBorder="1" applyAlignment="1">
      <alignment horizontal="left" wrapText="1" indent="1"/>
    </xf>
    <xf numFmtId="165" fontId="2" fillId="3" borderId="2" xfId="0" applyNumberFormat="1" applyFont="1" applyFill="1" applyBorder="1" applyAlignment="1">
      <alignment horizontal="center" vertical="center" wrapText="1"/>
    </xf>
    <xf numFmtId="165" fontId="0" fillId="3" borderId="2" xfId="0" applyNumberFormat="1" applyFill="1" applyBorder="1" applyAlignment="1">
      <alignment horizontal="center" vertical="center" wrapText="1"/>
    </xf>
    <xf numFmtId="170" fontId="2" fillId="3" borderId="2" xfId="0" applyNumberFormat="1" applyFont="1" applyFill="1" applyBorder="1" applyAlignment="1">
      <alignment horizontal="center" vertical="center" wrapText="1"/>
    </xf>
    <xf numFmtId="170" fontId="0" fillId="3" borderId="2" xfId="0" applyNumberFormat="1" applyFill="1" applyBorder="1" applyAlignment="1">
      <alignment horizontal="center" vertical="center" wrapText="1"/>
    </xf>
    <xf numFmtId="15" fontId="2" fillId="3" borderId="2" xfId="0" applyNumberFormat="1" applyFont="1" applyFill="1" applyBorder="1" applyAlignment="1">
      <alignment horizontal="center" vertical="center" wrapText="1"/>
    </xf>
    <xf numFmtId="15" fontId="0" fillId="3" borderId="2" xfId="0" applyNumberFormat="1" applyFill="1" applyBorder="1" applyAlignment="1">
      <alignment horizontal="center"/>
    </xf>
    <xf numFmtId="166" fontId="2" fillId="3" borderId="2" xfId="0" applyNumberFormat="1" applyFont="1" applyFill="1" applyBorder="1" applyAlignment="1">
      <alignment horizontal="center" vertical="center" wrapText="1"/>
    </xf>
    <xf numFmtId="166" fontId="0" fillId="3" borderId="2" xfId="0" applyNumberFormat="1" applyFill="1" applyBorder="1" applyAlignment="1">
      <alignment horizontal="center" vertical="center" wrapText="1"/>
    </xf>
    <xf numFmtId="0" fontId="0" fillId="3" borderId="2" xfId="0" applyFill="1" applyBorder="1" applyAlignment="1">
      <alignment horizontal="center" vertical="center" wrapText="1"/>
    </xf>
    <xf numFmtId="0" fontId="0" fillId="0" borderId="16" xfId="0" applyBorder="1" applyAlignment="1">
      <alignment horizontal="center"/>
    </xf>
    <xf numFmtId="0" fontId="8" fillId="3" borderId="22" xfId="0" applyFont="1" applyFill="1" applyBorder="1" applyAlignment="1">
      <alignment horizontal="center" vertical="center" wrapText="1"/>
    </xf>
    <xf numFmtId="0" fontId="23" fillId="3" borderId="17" xfId="0" applyFont="1" applyFill="1" applyBorder="1" applyAlignment="1">
      <alignment horizontal="center" vertical="center" wrapText="1"/>
    </xf>
    <xf numFmtId="0" fontId="8" fillId="3" borderId="22" xfId="0" quotePrefix="1" applyFont="1" applyFill="1" applyBorder="1" applyAlignment="1">
      <alignment horizontal="center" vertical="center" wrapText="1"/>
    </xf>
    <xf numFmtId="0" fontId="23" fillId="3" borderId="16" xfId="0" applyFont="1" applyFill="1" applyBorder="1" applyAlignment="1">
      <alignment horizontal="center" vertical="center" wrapText="1"/>
    </xf>
    <xf numFmtId="165" fontId="10" fillId="3" borderId="6" xfId="0" applyNumberFormat="1" applyFont="1" applyFill="1" applyBorder="1" applyAlignment="1">
      <alignment horizontal="center" vertical="center" wrapText="1"/>
    </xf>
    <xf numFmtId="0" fontId="0" fillId="0" borderId="3" xfId="0" applyBorder="1" applyAlignment="1">
      <alignment horizontal="center" vertical="center" wrapText="1"/>
    </xf>
    <xf numFmtId="165" fontId="10" fillId="3" borderId="3" xfId="0" applyNumberFormat="1" applyFont="1" applyFill="1" applyBorder="1" applyAlignment="1">
      <alignment horizontal="center" vertical="center" wrapText="1"/>
    </xf>
    <xf numFmtId="0" fontId="0" fillId="0" borderId="5" xfId="0" applyBorder="1" applyAlignment="1">
      <alignment horizontal="center" vertical="center" wrapText="1"/>
    </xf>
    <xf numFmtId="165" fontId="8" fillId="2" borderId="2" xfId="0" applyNumberFormat="1" applyFont="1" applyFill="1" applyBorder="1" applyAlignment="1">
      <alignment horizontal="center" vertical="center" wrapText="1"/>
    </xf>
    <xf numFmtId="0" fontId="23" fillId="2" borderId="2" xfId="0" applyFont="1" applyFill="1" applyBorder="1" applyAlignment="1">
      <alignment horizontal="center" vertical="center" wrapText="1"/>
    </xf>
    <xf numFmtId="0" fontId="23" fillId="3" borderId="16" xfId="0" applyFont="1" applyFill="1" applyBorder="1" applyAlignment="1">
      <alignment horizontal="center" wrapText="1"/>
    </xf>
    <xf numFmtId="0" fontId="8" fillId="2" borderId="22" xfId="0" applyFont="1" applyFill="1" applyBorder="1" applyAlignment="1">
      <alignment horizontal="center" vertical="center" wrapText="1"/>
    </xf>
    <xf numFmtId="0" fontId="23" fillId="2" borderId="17" xfId="0" applyFont="1" applyFill="1" applyBorder="1" applyAlignment="1">
      <alignment horizontal="center" vertical="center" wrapText="1"/>
    </xf>
    <xf numFmtId="0" fontId="0" fillId="3" borderId="16" xfId="0" applyFill="1" applyBorder="1" applyAlignment="1">
      <alignment horizontal="center" vertical="center" wrapText="1"/>
    </xf>
    <xf numFmtId="0" fontId="0" fillId="0" borderId="2" xfId="0" applyBorder="1" applyAlignment="1">
      <alignment horizontal="center" vertical="center" wrapText="1"/>
    </xf>
    <xf numFmtId="0" fontId="0" fillId="2" borderId="2" xfId="0" applyFill="1" applyBorder="1" applyAlignment="1">
      <alignment horizontal="center" vertical="center" wrapText="1"/>
    </xf>
    <xf numFmtId="0" fontId="0" fillId="3" borderId="2" xfId="0" applyFill="1" applyBorder="1" applyAlignment="1">
      <alignment horizontal="center" wrapText="1"/>
    </xf>
    <xf numFmtId="0" fontId="0" fillId="3" borderId="16" xfId="0" applyFill="1" applyBorder="1" applyAlignment="1">
      <alignment horizontal="center" wrapText="1"/>
    </xf>
    <xf numFmtId="0" fontId="23" fillId="3" borderId="0" xfId="0" applyFont="1" applyFill="1" applyProtection="1">
      <protection hidden="1"/>
    </xf>
    <xf numFmtId="0" fontId="12" fillId="3" borderId="0" xfId="0" applyFont="1" applyFill="1" applyAlignment="1" applyProtection="1">
      <alignment horizontal="center"/>
      <protection hidden="1"/>
    </xf>
    <xf numFmtId="0" fontId="12" fillId="0" borderId="6" xfId="0" applyFont="1" applyBorder="1" applyAlignment="1" applyProtection="1">
      <alignment horizontal="left" indent="1"/>
      <protection hidden="1"/>
    </xf>
    <xf numFmtId="0" fontId="12" fillId="0" borderId="3" xfId="0" applyFont="1" applyBorder="1" applyAlignment="1" applyProtection="1">
      <alignment horizontal="left" indent="1"/>
      <protection hidden="1"/>
    </xf>
    <xf numFmtId="0" fontId="12" fillId="0" borderId="5" xfId="0" applyFont="1" applyBorder="1" applyAlignment="1" applyProtection="1">
      <alignment horizontal="left" indent="1"/>
      <protection hidden="1"/>
    </xf>
    <xf numFmtId="0" fontId="12" fillId="0" borderId="6" xfId="0" applyFont="1" applyBorder="1" applyAlignment="1" applyProtection="1">
      <alignment horizontal="left" vertical="center" indent="1"/>
      <protection hidden="1"/>
    </xf>
    <xf numFmtId="0" fontId="12" fillId="0" borderId="5" xfId="0" applyFont="1" applyBorder="1" applyAlignment="1" applyProtection="1">
      <alignment horizontal="left" vertical="center" indent="1"/>
      <protection hidden="1"/>
    </xf>
    <xf numFmtId="0" fontId="23" fillId="0" borderId="0" xfId="0" applyFont="1" applyProtection="1">
      <protection hidden="1"/>
    </xf>
    <xf numFmtId="0" fontId="9" fillId="0" borderId="6" xfId="0" applyFont="1" applyBorder="1" applyAlignment="1" applyProtection="1">
      <alignment horizontal="left" indent="1"/>
      <protection hidden="1"/>
    </xf>
    <xf numFmtId="0" fontId="9" fillId="0" borderId="3" xfId="0" applyFont="1" applyBorder="1" applyAlignment="1" applyProtection="1">
      <alignment horizontal="left" indent="1"/>
      <protection hidden="1"/>
    </xf>
    <xf numFmtId="0" fontId="9" fillId="0" borderId="5" xfId="0" applyFont="1" applyBorder="1" applyAlignment="1" applyProtection="1">
      <alignment horizontal="left" indent="1"/>
      <protection hidden="1"/>
    </xf>
    <xf numFmtId="0" fontId="23" fillId="3" borderId="0" xfId="0" applyFont="1" applyFill="1" applyAlignment="1" applyProtection="1">
      <alignment horizontal="left" vertical="center" wrapText="1" indent="1"/>
      <protection hidden="1"/>
    </xf>
    <xf numFmtId="0" fontId="23" fillId="3" borderId="0" xfId="0" applyFont="1" applyFill="1" applyAlignment="1" applyProtection="1">
      <alignment wrapText="1"/>
      <protection hidden="1"/>
    </xf>
  </cellXfs>
  <cellStyles count="4">
    <cellStyle name="Hyperlink" xfId="1" builtinId="8"/>
    <cellStyle name="Normal" xfId="0" builtinId="0"/>
    <cellStyle name="Normal 2" xfId="2" xr:uid="{00000000-0005-0000-0000-000002000000}"/>
    <cellStyle name="Normal 3" xfId="3" xr:uid="{5383C61A-563C-BF43-9D2A-C5675E02DA7A}"/>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21" Type="http://schemas.openxmlformats.org/officeDocument/2006/relationships/worksheet" Target="worksheets/sheet21.xml"/><Relationship Id="rId34" Type="http://schemas.openxmlformats.org/officeDocument/2006/relationships/theme" Target="theme/theme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worksheet" Target="worksheets/sheet29.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sharedStrings" Target="sharedStrings.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worksheet" Target="worksheets/sheet3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styles" Target="styles.xml"/><Relationship Id="rId8" Type="http://schemas.openxmlformats.org/officeDocument/2006/relationships/worksheet" Target="worksheets/sheet8.xml"/><Relationship Id="rId3" Type="http://schemas.openxmlformats.org/officeDocument/2006/relationships/worksheet" Target="worksheets/sheet3.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B2:G20"/>
  <sheetViews>
    <sheetView tabSelected="1" workbookViewId="0">
      <selection activeCell="B3" sqref="B3"/>
    </sheetView>
  </sheetViews>
  <sheetFormatPr baseColWidth="10" defaultColWidth="8.83203125" defaultRowHeight="13" x14ac:dyDescent="0.15"/>
  <cols>
    <col min="1" max="1" width="3.5" customWidth="1"/>
    <col min="2" max="2" width="17" customWidth="1"/>
    <col min="3" max="5" width="23.1640625" customWidth="1"/>
  </cols>
  <sheetData>
    <row r="2" spans="2:7" x14ac:dyDescent="0.15">
      <c r="B2" s="347" t="s">
        <v>275</v>
      </c>
      <c r="C2" s="347"/>
      <c r="D2" s="347"/>
      <c r="E2" s="347"/>
    </row>
    <row r="3" spans="2:7" ht="15" customHeight="1" x14ac:dyDescent="0.15">
      <c r="B3" s="329"/>
      <c r="C3" s="279"/>
      <c r="D3" s="279"/>
      <c r="E3" s="279"/>
    </row>
    <row r="4" spans="2:7" s="277" customFormat="1" ht="54.75" customHeight="1" x14ac:dyDescent="0.15">
      <c r="B4" s="348" t="s">
        <v>230</v>
      </c>
      <c r="C4" s="349"/>
      <c r="D4" s="349"/>
      <c r="E4" s="349"/>
    </row>
    <row r="5" spans="2:7" ht="15" customHeight="1" x14ac:dyDescent="0.15">
      <c r="B5" s="279"/>
      <c r="C5" s="279"/>
      <c r="D5" s="279"/>
      <c r="E5" s="279"/>
    </row>
    <row r="6" spans="2:7" x14ac:dyDescent="0.15">
      <c r="B6" s="280" t="s">
        <v>231</v>
      </c>
      <c r="C6" s="280" t="s">
        <v>276</v>
      </c>
      <c r="D6" s="280" t="s">
        <v>277</v>
      </c>
      <c r="E6" s="280" t="s">
        <v>232</v>
      </c>
    </row>
    <row r="7" spans="2:7" x14ac:dyDescent="0.15">
      <c r="B7" s="279"/>
      <c r="C7" s="279"/>
      <c r="D7" s="279"/>
      <c r="E7" s="279"/>
    </row>
    <row r="8" spans="2:7" x14ac:dyDescent="0.15">
      <c r="B8" s="281" t="str">
        <f>HYPERLINK("#'Business Details'!C5","Business Details")</f>
        <v>Business Details</v>
      </c>
      <c r="C8" s="282" t="str">
        <f>HYPERLINK("#'SalesApr'!E5","SalesApr")</f>
        <v>SalesApr</v>
      </c>
      <c r="D8" s="282" t="str">
        <f>HYPERLINK("#'PurchasesApr'!A5","PurchasesApr")</f>
        <v>PurchasesApr</v>
      </c>
      <c r="E8" s="281" t="str">
        <f>HYPERLINK("#'SE Short'!C8","SE Short")</f>
        <v>SE Short</v>
      </c>
      <c r="G8" t="s">
        <v>279</v>
      </c>
    </row>
    <row r="9" spans="2:7" x14ac:dyDescent="0.15">
      <c r="B9" s="281" t="str">
        <f>HYPERLINK("#'Fixed Assets'!A7","Fixed Assets")</f>
        <v>Fixed Assets</v>
      </c>
      <c r="C9" s="282" t="str">
        <f>HYPERLINK("#'SalesMay'!E5","SalesMay")</f>
        <v>SalesMay</v>
      </c>
      <c r="D9" s="282" t="str">
        <f>HYPERLINK("#'PurchasesMay'!A5","PurchasesMay")</f>
        <v>PurchasesMay</v>
      </c>
      <c r="E9" s="281" t="str">
        <f>HYPERLINK("#'Profit &amp; Loss Acc'!A1","Profit &amp; Loss Acc")</f>
        <v>Profit &amp; Loss Acc</v>
      </c>
    </row>
    <row r="10" spans="2:7" x14ac:dyDescent="0.15">
      <c r="B10" s="281"/>
      <c r="C10" s="282" t="str">
        <f>HYPERLINK("#'SalesJun'!E5","SalesJun")</f>
        <v>SalesJun</v>
      </c>
      <c r="D10" s="282" t="str">
        <f>HYPERLINK("#'PurchasesJun'!A5","PurchasesJun")</f>
        <v>PurchasesJun</v>
      </c>
      <c r="E10" s="281" t="str">
        <f>HYPERLINK("#'Draft Tax Calculation'!D2","Draft Tax Calculation")</f>
        <v>Draft Tax Calculation</v>
      </c>
    </row>
    <row r="11" spans="2:7" x14ac:dyDescent="0.15">
      <c r="B11" s="282"/>
      <c r="C11" s="282" t="str">
        <f>HYPERLINK("#'SalesJul'!E5","SalesJul")</f>
        <v>SalesJul</v>
      </c>
      <c r="D11" s="282" t="str">
        <f>HYPERLINK("#'PurchasesJul'!A5","PurchasesJul")</f>
        <v>PurchasesJul</v>
      </c>
      <c r="E11" s="281"/>
    </row>
    <row r="12" spans="2:7" x14ac:dyDescent="0.15">
      <c r="B12" s="282"/>
      <c r="C12" s="282" t="str">
        <f>HYPERLINK("#'SalesAug'!E5","SalesAug")</f>
        <v>SalesAug</v>
      </c>
      <c r="D12" s="282" t="str">
        <f>HYPERLINK("#'PurchasesAug'!A5","PurchasesAug")</f>
        <v>PurchasesAug</v>
      </c>
      <c r="E12" s="281"/>
    </row>
    <row r="13" spans="2:7" x14ac:dyDescent="0.15">
      <c r="B13" s="282"/>
      <c r="C13" s="282" t="str">
        <f>HYPERLINK("#'SalesSep'!E5","SalesSep")</f>
        <v>SalesSep</v>
      </c>
      <c r="D13" s="282" t="str">
        <f>HYPERLINK("#'PurchasesSep'!A5","PurchasesSep")</f>
        <v>PurchasesSep</v>
      </c>
      <c r="E13" s="281"/>
    </row>
    <row r="14" spans="2:7" x14ac:dyDescent="0.15">
      <c r="B14" s="282"/>
      <c r="C14" s="282" t="str">
        <f>HYPERLINK("#'SalesOct'!E5","SalesOct")</f>
        <v>SalesOct</v>
      </c>
      <c r="D14" s="282" t="str">
        <f>HYPERLINK("#'PurchasesOct'!A5","PurchasesOct")</f>
        <v>PurchasesOct</v>
      </c>
      <c r="E14" s="281"/>
    </row>
    <row r="15" spans="2:7" x14ac:dyDescent="0.15">
      <c r="B15" s="282"/>
      <c r="C15" s="282" t="str">
        <f>HYPERLINK("#'SalesNov'!E5","SalesNov")</f>
        <v>SalesNov</v>
      </c>
      <c r="D15" s="282" t="str">
        <f>HYPERLINK("#'PurchasesNov'!A5","PurchasesNov")</f>
        <v>PurchasesNov</v>
      </c>
      <c r="E15" s="281"/>
    </row>
    <row r="16" spans="2:7" x14ac:dyDescent="0.15">
      <c r="B16" s="282"/>
      <c r="C16" s="282" t="str">
        <f>HYPERLINK("#'SalesDec'!E5","SalesDec")</f>
        <v>SalesDec</v>
      </c>
      <c r="D16" s="282" t="str">
        <f>HYPERLINK("#'PurchasesDec'!A5","PurchasesDec")</f>
        <v>PurchasesDec</v>
      </c>
      <c r="E16" s="281"/>
    </row>
    <row r="17" spans="2:5" x14ac:dyDescent="0.15">
      <c r="B17" s="282"/>
      <c r="C17" s="282" t="str">
        <f>HYPERLINK("#'SalesJan'!E5","SalesJan")</f>
        <v>SalesJan</v>
      </c>
      <c r="D17" s="282" t="str">
        <f>HYPERLINK("#'PurchasesJan'!A5","PurchasesJan")</f>
        <v>PurchasesJan</v>
      </c>
      <c r="E17" s="279"/>
    </row>
    <row r="18" spans="2:5" x14ac:dyDescent="0.15">
      <c r="B18" s="282"/>
      <c r="C18" s="282" t="str">
        <f>HYPERLINK("#'SalesFeb'!E5","SalesFeb")</f>
        <v>SalesFeb</v>
      </c>
      <c r="D18" s="282" t="str">
        <f>HYPERLINK("#'PurchasesFeb'!A5","PurchasesFeb")</f>
        <v>PurchasesFeb</v>
      </c>
      <c r="E18" s="279"/>
    </row>
    <row r="19" spans="2:5" x14ac:dyDescent="0.15">
      <c r="B19" s="282"/>
      <c r="C19" s="282" t="str">
        <f>HYPERLINK("#'SalesMar'!E5","SalesMar")</f>
        <v>SalesMar</v>
      </c>
      <c r="D19" s="282" t="str">
        <f>HYPERLINK("#'PurchasesMar'!A5","PurchasesMar")</f>
        <v>PurchasesMar</v>
      </c>
      <c r="E19" s="279"/>
    </row>
    <row r="20" spans="2:5" x14ac:dyDescent="0.15">
      <c r="B20" s="279"/>
      <c r="C20" s="279"/>
      <c r="D20" s="279"/>
      <c r="E20" s="279"/>
    </row>
  </sheetData>
  <mergeCells count="2">
    <mergeCell ref="B2:E2"/>
    <mergeCell ref="B4:E4"/>
  </mergeCell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1"/>
  <dimension ref="A1:W35"/>
  <sheetViews>
    <sheetView zoomScaleNormal="100" workbookViewId="0">
      <selection activeCell="C5" sqref="C5:J5"/>
    </sheetView>
  </sheetViews>
  <sheetFormatPr baseColWidth="10" defaultColWidth="9.1640625" defaultRowHeight="12" x14ac:dyDescent="0.15"/>
  <cols>
    <col min="1" max="1" width="3.6640625" style="169" customWidth="1"/>
    <col min="2" max="2" width="0.83203125" style="169" customWidth="1"/>
    <col min="3" max="3" width="3.6640625" style="169" customWidth="1"/>
    <col min="4" max="4" width="4.6640625" style="169" customWidth="1"/>
    <col min="5" max="5" width="1.6640625" style="169" customWidth="1"/>
    <col min="6" max="6" width="10.6640625" style="169" customWidth="1"/>
    <col min="7" max="7" width="1.6640625" style="169" customWidth="1"/>
    <col min="8" max="9" width="2.5" style="169" customWidth="1"/>
    <col min="10" max="11" width="6.6640625" style="169" customWidth="1"/>
    <col min="12" max="12" width="3.6640625" style="169" customWidth="1"/>
    <col min="13" max="13" width="0.83203125" style="169" customWidth="1"/>
    <col min="14" max="15" width="3.6640625" style="169" customWidth="1"/>
    <col min="16" max="17" width="6.6640625" style="169" customWidth="1"/>
    <col min="18" max="18" width="1.6640625" style="169" customWidth="1"/>
    <col min="19" max="20" width="2.5" style="169" customWidth="1"/>
    <col min="21" max="21" width="2.6640625" style="169" customWidth="1"/>
    <col min="22" max="22" width="7.6640625" style="169" customWidth="1"/>
    <col min="23" max="23" width="4.6640625" style="169" customWidth="1"/>
    <col min="24" max="16384" width="9.1640625" style="169"/>
  </cols>
  <sheetData>
    <row r="1" spans="1:23" ht="15.75" customHeight="1" x14ac:dyDescent="0.15">
      <c r="A1" s="372" t="s">
        <v>133</v>
      </c>
      <c r="B1" s="373"/>
      <c r="C1" s="373"/>
      <c r="D1" s="373"/>
      <c r="E1" s="373"/>
      <c r="F1" s="373"/>
      <c r="G1" s="373"/>
      <c r="H1" s="373"/>
      <c r="I1" s="373"/>
      <c r="J1" s="373"/>
      <c r="K1" s="373"/>
      <c r="L1" s="373"/>
      <c r="M1" s="373"/>
      <c r="N1" s="373"/>
      <c r="O1" s="373"/>
      <c r="P1" s="373"/>
      <c r="Q1" s="373"/>
      <c r="R1" s="373"/>
      <c r="S1" s="373"/>
      <c r="T1" s="373"/>
      <c r="U1" s="373"/>
      <c r="V1" s="373"/>
      <c r="W1" s="374"/>
    </row>
    <row r="2" spans="1:23" ht="4" customHeight="1" x14ac:dyDescent="0.15">
      <c r="A2" s="170"/>
      <c r="B2" s="171"/>
      <c r="C2" s="171"/>
      <c r="D2" s="171"/>
      <c r="E2" s="171"/>
      <c r="F2" s="171"/>
      <c r="G2" s="171"/>
      <c r="H2" s="171"/>
      <c r="I2" s="171"/>
      <c r="J2" s="171"/>
      <c r="K2" s="171"/>
      <c r="L2" s="171"/>
      <c r="M2" s="171"/>
      <c r="N2" s="171"/>
      <c r="O2" s="171"/>
      <c r="P2" s="171"/>
      <c r="Q2" s="171"/>
      <c r="R2" s="171"/>
      <c r="S2" s="171"/>
      <c r="T2" s="171"/>
      <c r="U2" s="171"/>
      <c r="V2" s="171"/>
      <c r="W2" s="172"/>
    </row>
    <row r="3" spans="1:23" x14ac:dyDescent="0.15">
      <c r="A3" s="173"/>
      <c r="B3" s="174"/>
      <c r="C3" s="175" t="s">
        <v>134</v>
      </c>
      <c r="D3" s="175"/>
      <c r="E3" s="175"/>
      <c r="F3" s="174"/>
      <c r="G3" s="174"/>
      <c r="H3" s="174"/>
      <c r="I3" s="174"/>
      <c r="J3" s="174"/>
      <c r="K3" s="174"/>
      <c r="L3" s="174"/>
      <c r="M3" s="174"/>
      <c r="N3" s="175" t="s">
        <v>135</v>
      </c>
      <c r="O3" s="175"/>
      <c r="P3" s="175"/>
      <c r="Q3" s="175"/>
      <c r="R3" s="175"/>
      <c r="S3" s="175"/>
      <c r="T3" s="175"/>
      <c r="U3" s="175"/>
      <c r="V3" s="175"/>
      <c r="W3" s="176"/>
    </row>
    <row r="4" spans="1:23" ht="8" customHeight="1" x14ac:dyDescent="0.15">
      <c r="A4" s="173"/>
      <c r="B4" s="174"/>
      <c r="C4" s="175"/>
      <c r="D4" s="175"/>
      <c r="E4" s="175"/>
      <c r="F4" s="174"/>
      <c r="G4" s="174"/>
      <c r="H4" s="174"/>
      <c r="I4" s="174"/>
      <c r="J4" s="174"/>
      <c r="K4" s="174"/>
      <c r="L4" s="174"/>
      <c r="M4" s="174"/>
      <c r="N4" s="175"/>
      <c r="O4" s="175"/>
      <c r="P4" s="175"/>
      <c r="Q4" s="175"/>
      <c r="R4" s="175"/>
      <c r="S4" s="175"/>
      <c r="T4" s="175"/>
      <c r="U4" s="175"/>
      <c r="V4" s="175"/>
      <c r="W4" s="176"/>
    </row>
    <row r="5" spans="1:23" ht="15" customHeight="1" x14ac:dyDescent="0.15">
      <c r="A5" s="173"/>
      <c r="B5" s="174"/>
      <c r="C5" s="366"/>
      <c r="D5" s="367"/>
      <c r="E5" s="367"/>
      <c r="F5" s="367"/>
      <c r="G5" s="367"/>
      <c r="H5" s="367"/>
      <c r="I5" s="367"/>
      <c r="J5" s="368"/>
      <c r="K5" s="174"/>
      <c r="L5" s="174"/>
      <c r="M5" s="174"/>
      <c r="N5" s="174"/>
      <c r="O5" s="375"/>
      <c r="P5" s="376"/>
      <c r="Q5" s="174"/>
      <c r="R5" s="375"/>
      <c r="S5" s="377"/>
      <c r="T5" s="377"/>
      <c r="U5" s="376"/>
      <c r="V5" s="174"/>
      <c r="W5" s="177"/>
    </row>
    <row r="6" spans="1:23" ht="6" customHeight="1" x14ac:dyDescent="0.15">
      <c r="A6" s="173"/>
      <c r="B6" s="174"/>
      <c r="C6" s="174"/>
      <c r="D6" s="174"/>
      <c r="E6" s="174"/>
      <c r="F6" s="174"/>
      <c r="G6" s="174"/>
      <c r="H6" s="174"/>
      <c r="I6" s="174"/>
      <c r="J6" s="174"/>
      <c r="K6" s="174"/>
      <c r="L6" s="174"/>
      <c r="M6" s="174"/>
      <c r="N6" s="174"/>
      <c r="O6" s="174"/>
      <c r="P6" s="174"/>
      <c r="Q6" s="174"/>
      <c r="R6" s="174"/>
      <c r="S6" s="174"/>
      <c r="T6" s="174"/>
      <c r="U6" s="174"/>
      <c r="V6" s="174"/>
      <c r="W6" s="177"/>
    </row>
    <row r="7" spans="1:23" ht="13" x14ac:dyDescent="0.15">
      <c r="A7" s="178">
        <v>1</v>
      </c>
      <c r="B7" s="174"/>
      <c r="C7" s="175" t="s">
        <v>136</v>
      </c>
      <c r="D7" s="175"/>
      <c r="E7" s="175"/>
      <c r="F7" s="174"/>
      <c r="G7" s="174"/>
      <c r="H7" s="174"/>
      <c r="I7" s="174"/>
      <c r="J7" s="174"/>
      <c r="K7" s="174"/>
      <c r="L7" s="178">
        <v>4</v>
      </c>
      <c r="M7" s="174"/>
      <c r="N7" s="175" t="s">
        <v>137</v>
      </c>
      <c r="O7" s="175"/>
      <c r="P7" s="175"/>
      <c r="Q7" s="175"/>
      <c r="R7" s="179"/>
      <c r="S7" s="180"/>
      <c r="T7" s="180"/>
      <c r="U7" s="180"/>
      <c r="V7" s="175"/>
      <c r="W7" s="181"/>
    </row>
    <row r="8" spans="1:23" ht="15" customHeight="1" x14ac:dyDescent="0.15">
      <c r="A8" s="182"/>
      <c r="B8" s="174"/>
      <c r="C8" s="366" t="s">
        <v>213</v>
      </c>
      <c r="D8" s="367"/>
      <c r="E8" s="367"/>
      <c r="F8" s="367"/>
      <c r="G8" s="367"/>
      <c r="H8" s="367"/>
      <c r="I8" s="367"/>
      <c r="J8" s="368"/>
      <c r="K8" s="174"/>
      <c r="L8" s="174"/>
      <c r="M8" s="174"/>
      <c r="N8" s="183" t="s">
        <v>138</v>
      </c>
      <c r="O8" s="175"/>
      <c r="P8" s="175"/>
      <c r="Q8" s="175"/>
      <c r="R8" s="175"/>
      <c r="S8" s="175"/>
      <c r="T8" s="175"/>
      <c r="U8" s="175"/>
      <c r="V8" s="175"/>
      <c r="W8" s="181"/>
    </row>
    <row r="9" spans="1:23" ht="8" customHeight="1" x14ac:dyDescent="0.15">
      <c r="A9" s="182"/>
      <c r="B9" s="174"/>
      <c r="C9" s="174"/>
      <c r="D9" s="174"/>
      <c r="E9" s="174"/>
      <c r="F9" s="174"/>
      <c r="G9" s="174"/>
      <c r="H9" s="174"/>
      <c r="I9" s="174"/>
      <c r="J9" s="174"/>
      <c r="K9" s="174"/>
      <c r="L9" s="174"/>
      <c r="M9" s="174"/>
      <c r="N9" s="184"/>
      <c r="O9" s="184"/>
      <c r="P9" s="184"/>
      <c r="Q9" s="184"/>
      <c r="R9" s="174"/>
      <c r="S9" s="174"/>
      <c r="T9" s="174"/>
      <c r="U9" s="174"/>
      <c r="V9" s="174"/>
      <c r="W9" s="185"/>
    </row>
    <row r="10" spans="1:23" ht="15" customHeight="1" x14ac:dyDescent="0.15">
      <c r="A10" s="182"/>
      <c r="B10" s="174"/>
      <c r="C10" s="366"/>
      <c r="D10" s="367"/>
      <c r="E10" s="367"/>
      <c r="F10" s="367"/>
      <c r="G10" s="367"/>
      <c r="H10" s="367"/>
      <c r="I10" s="367"/>
      <c r="J10" s="368"/>
      <c r="K10" s="174"/>
      <c r="L10" s="174"/>
      <c r="M10" s="174"/>
      <c r="N10" s="186"/>
      <c r="O10" s="184"/>
      <c r="P10" s="184"/>
      <c r="Q10" s="184"/>
      <c r="R10" s="174"/>
      <c r="S10" s="174"/>
      <c r="T10" s="174"/>
      <c r="U10" s="174"/>
      <c r="V10" s="174"/>
      <c r="W10" s="185"/>
    </row>
    <row r="11" spans="1:23" ht="8" customHeight="1" x14ac:dyDescent="0.15">
      <c r="A11" s="182"/>
      <c r="B11" s="174"/>
      <c r="C11" s="174"/>
      <c r="D11" s="174"/>
      <c r="E11" s="174"/>
      <c r="F11" s="174"/>
      <c r="G11" s="174"/>
      <c r="H11" s="174"/>
      <c r="I11" s="174"/>
      <c r="J11" s="174"/>
      <c r="K11" s="174"/>
      <c r="L11" s="174"/>
      <c r="M11" s="174"/>
      <c r="N11" s="174"/>
      <c r="O11" s="174"/>
      <c r="P11" s="174"/>
      <c r="Q11" s="174"/>
      <c r="R11" s="174"/>
      <c r="S11" s="174"/>
      <c r="T11" s="174"/>
      <c r="U11" s="174"/>
      <c r="V11" s="174"/>
      <c r="W11" s="185"/>
    </row>
    <row r="12" spans="1:23" ht="15" customHeight="1" x14ac:dyDescent="0.15">
      <c r="A12" s="182"/>
      <c r="B12" s="174"/>
      <c r="C12" s="366"/>
      <c r="D12" s="367"/>
      <c r="E12" s="367"/>
      <c r="F12" s="367"/>
      <c r="G12" s="367"/>
      <c r="H12" s="367"/>
      <c r="I12" s="367"/>
      <c r="J12" s="368"/>
      <c r="K12" s="174"/>
      <c r="L12" s="178">
        <v>5</v>
      </c>
      <c r="M12" s="174"/>
      <c r="N12" s="175" t="s">
        <v>139</v>
      </c>
      <c r="O12" s="175"/>
      <c r="P12" s="175"/>
      <c r="Q12" s="175"/>
      <c r="R12" s="179"/>
      <c r="S12" s="352">
        <f>Admin!B4</f>
        <v>45753</v>
      </c>
      <c r="T12" s="369"/>
      <c r="U12" s="369"/>
      <c r="V12" s="369"/>
      <c r="W12" s="181"/>
    </row>
    <row r="13" spans="1:23" ht="11.25" customHeight="1" x14ac:dyDescent="0.15">
      <c r="A13" s="182"/>
      <c r="B13" s="174"/>
      <c r="C13" s="174"/>
      <c r="D13" s="174"/>
      <c r="E13" s="174"/>
      <c r="F13" s="174"/>
      <c r="G13" s="174"/>
      <c r="H13" s="174"/>
      <c r="I13" s="174"/>
      <c r="J13" s="174"/>
      <c r="K13" s="174"/>
      <c r="L13" s="174"/>
      <c r="M13" s="174"/>
      <c r="N13" s="370" t="s">
        <v>140</v>
      </c>
      <c r="O13" s="370"/>
      <c r="P13" s="370"/>
      <c r="Q13" s="370"/>
      <c r="R13" s="370"/>
      <c r="S13" s="370"/>
      <c r="T13" s="370"/>
      <c r="U13" s="370"/>
      <c r="V13" s="370"/>
      <c r="W13" s="187"/>
    </row>
    <row r="14" spans="1:23" ht="8" customHeight="1" x14ac:dyDescent="0.15">
      <c r="A14" s="182"/>
      <c r="B14" s="174"/>
      <c r="C14" s="174"/>
      <c r="D14" s="174"/>
      <c r="E14" s="174"/>
      <c r="F14" s="174"/>
      <c r="G14" s="174"/>
      <c r="H14" s="174"/>
      <c r="I14" s="174"/>
      <c r="J14" s="174"/>
      <c r="K14" s="174"/>
      <c r="L14" s="174"/>
      <c r="M14" s="174"/>
      <c r="N14" s="174"/>
      <c r="O14" s="174"/>
      <c r="P14" s="174"/>
      <c r="Q14" s="174"/>
      <c r="R14" s="174"/>
      <c r="S14" s="174"/>
      <c r="T14" s="174"/>
      <c r="U14" s="174"/>
      <c r="V14" s="174"/>
      <c r="W14" s="185"/>
    </row>
    <row r="15" spans="1:23" ht="14" x14ac:dyDescent="0.15">
      <c r="A15" s="178">
        <v>2</v>
      </c>
      <c r="B15" s="174"/>
      <c r="C15" s="175" t="s">
        <v>141</v>
      </c>
      <c r="D15" s="175"/>
      <c r="E15" s="175"/>
      <c r="F15" s="174"/>
      <c r="G15" s="174"/>
      <c r="H15" s="174"/>
      <c r="I15" s="174"/>
      <c r="J15" s="174"/>
      <c r="K15" s="174"/>
      <c r="L15" s="174"/>
      <c r="M15" s="174"/>
      <c r="N15" s="358"/>
      <c r="O15" s="359"/>
      <c r="P15" s="359"/>
      <c r="Q15" s="371"/>
      <c r="R15" s="175"/>
      <c r="S15" s="175"/>
      <c r="T15" s="175"/>
      <c r="U15" s="175"/>
      <c r="V15" s="175"/>
      <c r="W15" s="181"/>
    </row>
    <row r="16" spans="1:23" ht="6" customHeight="1" x14ac:dyDescent="0.15">
      <c r="A16" s="182"/>
      <c r="B16" s="174"/>
      <c r="C16" s="174"/>
      <c r="D16" s="174"/>
      <c r="E16" s="174"/>
      <c r="F16" s="174"/>
      <c r="G16" s="174"/>
      <c r="H16" s="174"/>
      <c r="I16" s="174"/>
      <c r="J16" s="174"/>
      <c r="K16" s="174"/>
      <c r="L16" s="174"/>
      <c r="M16" s="174"/>
      <c r="N16" s="174"/>
      <c r="O16" s="174"/>
      <c r="P16" s="174"/>
      <c r="Q16" s="174"/>
      <c r="R16" s="174"/>
      <c r="S16" s="174"/>
      <c r="T16" s="174"/>
      <c r="U16" s="174"/>
      <c r="V16" s="174"/>
      <c r="W16" s="185"/>
    </row>
    <row r="17" spans="1:23" ht="15" customHeight="1" x14ac:dyDescent="0.15">
      <c r="A17" s="182"/>
      <c r="B17" s="174"/>
      <c r="C17" s="350"/>
      <c r="D17" s="351"/>
      <c r="E17" s="174"/>
      <c r="F17" s="188"/>
      <c r="G17" s="174"/>
      <c r="H17" s="174"/>
      <c r="I17" s="174"/>
      <c r="J17" s="174"/>
      <c r="K17" s="174"/>
      <c r="L17" s="174"/>
      <c r="M17" s="174"/>
      <c r="N17" s="175"/>
      <c r="O17" s="175"/>
      <c r="P17" s="175"/>
      <c r="Q17" s="175"/>
      <c r="R17" s="175"/>
      <c r="S17" s="175"/>
      <c r="T17" s="175"/>
      <c r="U17" s="175"/>
      <c r="V17" s="175"/>
      <c r="W17" s="181"/>
    </row>
    <row r="18" spans="1:23" ht="13" x14ac:dyDescent="0.15">
      <c r="A18" s="182"/>
      <c r="B18" s="174"/>
      <c r="C18" s="174"/>
      <c r="D18" s="174"/>
      <c r="E18" s="174"/>
      <c r="F18" s="174"/>
      <c r="G18" s="174"/>
      <c r="H18" s="174"/>
      <c r="I18" s="174"/>
      <c r="J18" s="174"/>
      <c r="K18" s="174"/>
      <c r="L18" s="178">
        <v>6</v>
      </c>
      <c r="M18" s="175"/>
      <c r="N18" s="175" t="s">
        <v>142</v>
      </c>
      <c r="O18" s="189"/>
      <c r="P18" s="175"/>
      <c r="Q18" s="175"/>
      <c r="R18" s="175"/>
      <c r="S18" s="352">
        <f>Admin!B17</f>
        <v>46117</v>
      </c>
      <c r="T18" s="353"/>
      <c r="U18" s="354"/>
      <c r="V18" s="354"/>
      <c r="W18" s="181"/>
    </row>
    <row r="19" spans="1:23" x14ac:dyDescent="0.15">
      <c r="A19" s="178">
        <v>3</v>
      </c>
      <c r="B19" s="174"/>
      <c r="C19" s="175" t="s">
        <v>143</v>
      </c>
      <c r="D19" s="174"/>
      <c r="E19" s="174"/>
      <c r="F19" s="174"/>
      <c r="G19" s="174"/>
      <c r="H19" s="174"/>
      <c r="I19" s="174"/>
      <c r="J19" s="174"/>
      <c r="K19" s="174"/>
      <c r="L19" s="174"/>
      <c r="M19" s="175"/>
      <c r="N19" s="183" t="s">
        <v>144</v>
      </c>
      <c r="O19" s="184"/>
      <c r="P19" s="184"/>
      <c r="Q19" s="184"/>
      <c r="R19" s="174"/>
      <c r="S19" s="174"/>
      <c r="T19" s="174"/>
      <c r="U19" s="174"/>
      <c r="V19" s="174"/>
      <c r="W19" s="185"/>
    </row>
    <row r="20" spans="1:23" x14ac:dyDescent="0.15">
      <c r="A20" s="182"/>
      <c r="B20" s="174"/>
      <c r="C20" s="175" t="s">
        <v>145</v>
      </c>
      <c r="D20" s="174"/>
      <c r="E20" s="174"/>
      <c r="F20" s="174"/>
      <c r="G20" s="174"/>
      <c r="H20" s="174"/>
      <c r="I20" s="174"/>
      <c r="J20" s="174"/>
      <c r="K20" s="174"/>
      <c r="L20" s="174"/>
      <c r="M20" s="174"/>
      <c r="N20" s="184"/>
      <c r="O20" s="184"/>
      <c r="P20" s="184"/>
      <c r="Q20" s="184"/>
      <c r="R20" s="174"/>
      <c r="S20" s="174"/>
      <c r="T20" s="174"/>
      <c r="U20" s="174"/>
      <c r="V20" s="174"/>
      <c r="W20" s="185"/>
    </row>
    <row r="21" spans="1:23" ht="14" x14ac:dyDescent="0.15">
      <c r="A21" s="182"/>
      <c r="B21" s="174"/>
      <c r="C21" s="183" t="s">
        <v>146</v>
      </c>
      <c r="D21" s="184"/>
      <c r="E21" s="184"/>
      <c r="F21" s="184"/>
      <c r="G21" s="184"/>
      <c r="H21" s="184"/>
      <c r="I21" s="184"/>
      <c r="J21" s="184"/>
      <c r="K21" s="184"/>
      <c r="L21" s="174"/>
      <c r="M21" s="174"/>
      <c r="N21" s="358"/>
      <c r="O21" s="359"/>
      <c r="P21" s="359"/>
      <c r="Q21" s="360"/>
      <c r="R21" s="174"/>
      <c r="S21" s="174"/>
      <c r="T21" s="174"/>
      <c r="U21" s="174"/>
      <c r="V21" s="174"/>
      <c r="W21" s="185"/>
    </row>
    <row r="22" spans="1:23" ht="10" customHeight="1" x14ac:dyDescent="0.15">
      <c r="A22" s="182"/>
      <c r="B22" s="174"/>
      <c r="C22" s="183" t="s">
        <v>147</v>
      </c>
      <c r="D22" s="174"/>
      <c r="E22" s="174"/>
      <c r="F22" s="174"/>
      <c r="G22" s="174"/>
      <c r="H22" s="174"/>
      <c r="I22" s="174"/>
      <c r="J22" s="174"/>
      <c r="K22" s="174"/>
      <c r="L22" s="174"/>
      <c r="M22" s="174"/>
      <c r="N22" s="184"/>
      <c r="O22" s="184"/>
      <c r="P22" s="184"/>
      <c r="Q22" s="184"/>
      <c r="R22" s="174"/>
      <c r="S22" s="174"/>
      <c r="T22" s="174"/>
      <c r="U22" s="174"/>
      <c r="V22" s="174"/>
      <c r="W22" s="185"/>
    </row>
    <row r="23" spans="1:23" x14ac:dyDescent="0.15">
      <c r="A23" s="182"/>
      <c r="B23" s="174"/>
      <c r="C23" s="184"/>
      <c r="D23" s="174"/>
      <c r="E23" s="174"/>
      <c r="F23" s="174"/>
      <c r="G23" s="174"/>
      <c r="H23" s="174"/>
      <c r="I23" s="174"/>
      <c r="J23" s="174"/>
      <c r="K23" s="174"/>
      <c r="L23" s="178">
        <v>7</v>
      </c>
      <c r="M23" s="174"/>
      <c r="N23" s="183" t="s">
        <v>148</v>
      </c>
      <c r="O23" s="184"/>
      <c r="P23" s="184"/>
      <c r="Q23" s="184"/>
      <c r="R23" s="174"/>
      <c r="S23" s="174"/>
      <c r="T23" s="174"/>
      <c r="U23" s="174"/>
      <c r="V23" s="174"/>
      <c r="W23" s="185"/>
    </row>
    <row r="24" spans="1:23" ht="15" customHeight="1" x14ac:dyDescent="0.2">
      <c r="A24" s="182"/>
      <c r="B24" s="174"/>
      <c r="C24" s="190"/>
      <c r="D24" s="174"/>
      <c r="E24" s="174"/>
      <c r="F24" s="174"/>
      <c r="G24" s="174"/>
      <c r="H24" s="174"/>
      <c r="I24" s="174"/>
      <c r="J24" s="174"/>
      <c r="K24" s="174"/>
      <c r="L24" s="174"/>
      <c r="M24" s="174"/>
      <c r="N24" s="191" t="s">
        <v>149</v>
      </c>
      <c r="O24" s="184"/>
      <c r="P24" s="184"/>
      <c r="Q24" s="184"/>
      <c r="R24" s="174"/>
      <c r="S24" s="174"/>
      <c r="T24" s="174"/>
      <c r="U24" s="174"/>
      <c r="V24" s="174"/>
      <c r="W24" s="185"/>
    </row>
    <row r="25" spans="1:23" ht="15" customHeight="1" x14ac:dyDescent="0.15">
      <c r="A25" s="182"/>
      <c r="B25" s="174"/>
      <c r="C25" s="174"/>
      <c r="D25" s="174"/>
      <c r="E25" s="174"/>
      <c r="F25" s="174"/>
      <c r="G25" s="174"/>
      <c r="H25" s="174"/>
      <c r="I25" s="174"/>
      <c r="J25" s="174"/>
      <c r="K25" s="174"/>
      <c r="L25" s="174"/>
      <c r="M25" s="174"/>
      <c r="N25" s="358">
        <f>Admin!B17</f>
        <v>46117</v>
      </c>
      <c r="O25" s="359"/>
      <c r="P25" s="359"/>
      <c r="Q25" s="360"/>
      <c r="R25" s="174"/>
      <c r="S25" s="174"/>
      <c r="T25" s="174"/>
      <c r="U25" s="174"/>
      <c r="V25" s="174"/>
      <c r="W25" s="185"/>
    </row>
    <row r="26" spans="1:23" ht="12" customHeight="1" x14ac:dyDescent="0.15">
      <c r="A26" s="182"/>
      <c r="B26" s="174"/>
      <c r="C26" s="174"/>
      <c r="D26" s="174"/>
      <c r="E26" s="174"/>
      <c r="F26" s="174"/>
      <c r="G26" s="174"/>
      <c r="H26" s="174"/>
      <c r="I26" s="174"/>
      <c r="J26" s="174"/>
      <c r="K26" s="174"/>
      <c r="L26" s="174"/>
      <c r="M26" s="174"/>
      <c r="N26" s="191"/>
      <c r="O26" s="184"/>
      <c r="P26" s="184"/>
      <c r="Q26" s="184"/>
      <c r="R26" s="174"/>
      <c r="S26" s="174"/>
      <c r="T26" s="174"/>
      <c r="U26" s="174"/>
      <c r="V26" s="174"/>
      <c r="W26" s="185"/>
    </row>
    <row r="27" spans="1:23" x14ac:dyDescent="0.15">
      <c r="A27" s="178">
        <v>26</v>
      </c>
      <c r="B27" s="174"/>
      <c r="C27" s="192" t="s">
        <v>150</v>
      </c>
      <c r="D27" s="174"/>
      <c r="E27" s="174"/>
      <c r="F27" s="174"/>
      <c r="G27" s="174"/>
      <c r="H27" s="174"/>
      <c r="I27" s="174"/>
      <c r="J27" s="174"/>
      <c r="K27" s="174"/>
      <c r="L27" s="178">
        <v>24</v>
      </c>
      <c r="M27" s="174"/>
      <c r="N27" s="192" t="s">
        <v>151</v>
      </c>
      <c r="O27" s="175"/>
      <c r="P27" s="175"/>
      <c r="Q27" s="175"/>
      <c r="R27" s="175"/>
      <c r="S27" s="175"/>
      <c r="T27" s="175"/>
      <c r="U27" s="175"/>
      <c r="V27" s="175"/>
      <c r="W27" s="185"/>
    </row>
    <row r="28" spans="1:23" ht="12" customHeight="1" x14ac:dyDescent="0.15">
      <c r="A28" s="175"/>
      <c r="B28" s="174"/>
      <c r="C28" s="174"/>
      <c r="D28" s="174"/>
      <c r="E28" s="174"/>
      <c r="F28" s="174"/>
      <c r="G28" s="174"/>
      <c r="H28" s="174"/>
      <c r="I28" s="174"/>
      <c r="J28" s="174"/>
      <c r="K28" s="174"/>
      <c r="L28" s="175"/>
      <c r="M28" s="174"/>
      <c r="N28" s="189" t="s">
        <v>152</v>
      </c>
      <c r="O28" s="175"/>
      <c r="P28" s="175"/>
      <c r="Q28" s="175"/>
      <c r="R28" s="175"/>
      <c r="S28" s="175"/>
      <c r="T28" s="175"/>
      <c r="U28" s="175"/>
      <c r="V28" s="175"/>
      <c r="W28" s="185"/>
    </row>
    <row r="29" spans="1:23" ht="15" customHeight="1" x14ac:dyDescent="0.15">
      <c r="A29" s="174"/>
      <c r="B29" s="174"/>
      <c r="C29" s="193" t="s">
        <v>50</v>
      </c>
      <c r="D29" s="361"/>
      <c r="E29" s="362"/>
      <c r="F29" s="363"/>
      <c r="G29" s="194" t="s">
        <v>153</v>
      </c>
      <c r="H29" s="195">
        <v>0</v>
      </c>
      <c r="I29" s="195">
        <v>0</v>
      </c>
      <c r="J29" s="174"/>
      <c r="K29" s="174"/>
      <c r="L29" s="175"/>
      <c r="M29" s="174"/>
      <c r="N29" s="193" t="s">
        <v>50</v>
      </c>
      <c r="O29" s="361"/>
      <c r="P29" s="364"/>
      <c r="Q29" s="365"/>
      <c r="R29" s="194" t="s">
        <v>153</v>
      </c>
      <c r="S29" s="195">
        <v>0</v>
      </c>
      <c r="T29" s="195">
        <v>0</v>
      </c>
      <c r="U29" s="175"/>
      <c r="V29" s="175"/>
      <c r="W29" s="185"/>
    </row>
    <row r="30" spans="1:23" ht="8" customHeight="1" x14ac:dyDescent="0.15">
      <c r="A30" s="174"/>
      <c r="B30" s="174"/>
      <c r="C30" s="196"/>
      <c r="D30" s="197"/>
      <c r="E30" s="197"/>
      <c r="F30" s="197"/>
      <c r="G30" s="194"/>
      <c r="H30" s="198"/>
      <c r="I30" s="198"/>
      <c r="J30" s="174"/>
      <c r="K30" s="174"/>
      <c r="L30" s="174"/>
      <c r="M30" s="174"/>
      <c r="N30" s="174"/>
      <c r="O30" s="174"/>
      <c r="P30" s="174"/>
      <c r="Q30" s="174"/>
      <c r="R30" s="174"/>
      <c r="S30" s="174"/>
      <c r="T30" s="174"/>
      <c r="U30" s="174"/>
      <c r="V30" s="174"/>
      <c r="W30" s="185"/>
    </row>
    <row r="31" spans="1:23" s="200" customFormat="1" ht="12" customHeight="1" x14ac:dyDescent="0.15">
      <c r="A31" s="184"/>
      <c r="B31" s="184"/>
      <c r="C31" s="183" t="s">
        <v>154</v>
      </c>
      <c r="D31" s="197"/>
      <c r="E31" s="197"/>
      <c r="F31" s="197"/>
      <c r="G31" s="194"/>
      <c r="H31" s="198"/>
      <c r="I31" s="198"/>
      <c r="J31" s="184"/>
      <c r="K31" s="184"/>
      <c r="L31" s="184"/>
      <c r="M31" s="184"/>
      <c r="N31" s="183" t="s">
        <v>155</v>
      </c>
      <c r="O31" s="184"/>
      <c r="P31" s="184"/>
      <c r="Q31" s="184"/>
      <c r="R31" s="184"/>
      <c r="S31" s="184"/>
      <c r="T31" s="184"/>
      <c r="U31" s="184"/>
      <c r="V31" s="184"/>
      <c r="W31" s="199"/>
    </row>
    <row r="32" spans="1:23" s="200" customFormat="1" ht="12" customHeight="1" x14ac:dyDescent="0.15">
      <c r="A32" s="184"/>
      <c r="B32" s="184"/>
      <c r="C32" s="201" t="s">
        <v>156</v>
      </c>
      <c r="D32" s="197"/>
      <c r="E32" s="197"/>
      <c r="F32" s="197"/>
      <c r="G32" s="194"/>
      <c r="H32" s="198"/>
      <c r="I32" s="198"/>
      <c r="J32" s="184"/>
      <c r="K32" s="184"/>
      <c r="L32" s="184"/>
      <c r="M32" s="184"/>
      <c r="N32" s="201" t="s">
        <v>156</v>
      </c>
      <c r="O32" s="197"/>
      <c r="P32" s="197"/>
      <c r="Q32" s="197"/>
      <c r="R32" s="194"/>
      <c r="S32" s="198"/>
      <c r="T32" s="198"/>
      <c r="U32" s="184"/>
      <c r="V32" s="184"/>
      <c r="W32" s="199"/>
    </row>
    <row r="33" spans="1:23" ht="4" customHeight="1" x14ac:dyDescent="0.15">
      <c r="A33" s="182"/>
      <c r="B33" s="174"/>
      <c r="C33" s="174"/>
      <c r="D33" s="174"/>
      <c r="E33" s="174"/>
      <c r="F33" s="174"/>
      <c r="G33" s="174"/>
      <c r="H33" s="174"/>
      <c r="I33" s="174"/>
      <c r="J33" s="174"/>
      <c r="K33" s="174"/>
      <c r="L33" s="174"/>
      <c r="M33" s="174"/>
      <c r="N33" s="184"/>
      <c r="O33" s="184"/>
      <c r="P33" s="184"/>
      <c r="Q33" s="184"/>
      <c r="R33" s="174"/>
      <c r="S33" s="174"/>
      <c r="T33" s="174"/>
      <c r="U33" s="174"/>
      <c r="V33" s="174"/>
      <c r="W33" s="185"/>
    </row>
    <row r="34" spans="1:23" ht="15" customHeight="1" x14ac:dyDescent="0.15">
      <c r="A34" s="174"/>
      <c r="B34" s="174"/>
      <c r="C34" s="193" t="s">
        <v>50</v>
      </c>
      <c r="D34" s="355">
        <f>'SE Short'!O94</f>
        <v>0</v>
      </c>
      <c r="E34" s="356"/>
      <c r="F34" s="357"/>
      <c r="G34" s="194" t="s">
        <v>153</v>
      </c>
      <c r="H34" s="195">
        <v>0</v>
      </c>
      <c r="I34" s="195">
        <v>0</v>
      </c>
      <c r="J34" s="174"/>
      <c r="K34" s="174"/>
      <c r="L34" s="174"/>
      <c r="M34" s="174"/>
      <c r="N34" s="193" t="s">
        <v>50</v>
      </c>
      <c r="O34" s="355">
        <f>D29-D34+'SE Short'!O106</f>
        <v>0</v>
      </c>
      <c r="P34" s="356"/>
      <c r="Q34" s="357"/>
      <c r="R34" s="194" t="s">
        <v>153</v>
      </c>
      <c r="S34" s="195">
        <v>0</v>
      </c>
      <c r="T34" s="195">
        <v>0</v>
      </c>
      <c r="U34" s="174"/>
      <c r="V34" s="174"/>
      <c r="W34" s="185"/>
    </row>
    <row r="35" spans="1:23" ht="8" customHeight="1" x14ac:dyDescent="0.15">
      <c r="A35" s="202"/>
      <c r="B35" s="203"/>
      <c r="C35" s="203"/>
      <c r="D35" s="203"/>
      <c r="E35" s="203"/>
      <c r="F35" s="203"/>
      <c r="G35" s="203"/>
      <c r="H35" s="203"/>
      <c r="I35" s="203"/>
      <c r="J35" s="203"/>
      <c r="K35" s="203"/>
      <c r="L35" s="203"/>
      <c r="M35" s="203"/>
      <c r="N35" s="203"/>
      <c r="O35" s="203"/>
      <c r="P35" s="203"/>
      <c r="Q35" s="203"/>
      <c r="R35" s="203"/>
      <c r="S35" s="203"/>
      <c r="T35" s="203"/>
      <c r="U35" s="203"/>
      <c r="V35" s="203"/>
      <c r="W35" s="204"/>
    </row>
  </sheetData>
  <mergeCells count="18">
    <mergeCell ref="A1:W1"/>
    <mergeCell ref="C5:J5"/>
    <mergeCell ref="O5:P5"/>
    <mergeCell ref="R5:U5"/>
    <mergeCell ref="C8:J8"/>
    <mergeCell ref="C10:J10"/>
    <mergeCell ref="C12:J12"/>
    <mergeCell ref="S12:V12"/>
    <mergeCell ref="N13:V13"/>
    <mergeCell ref="N15:Q15"/>
    <mergeCell ref="C17:D17"/>
    <mergeCell ref="S18:V18"/>
    <mergeCell ref="D34:F34"/>
    <mergeCell ref="O34:Q34"/>
    <mergeCell ref="N21:Q21"/>
    <mergeCell ref="N25:Q25"/>
    <mergeCell ref="D29:F29"/>
    <mergeCell ref="O29:Q29"/>
  </mergeCells>
  <phoneticPr fontId="3" type="noConversion"/>
  <pageMargins left="0.75" right="0.75" top="1" bottom="1" header="0.5" footer="0.5"/>
  <pageSetup paperSize="9" orientation="portrait" r:id="rId1"/>
  <headerFooter alignWithMargins="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dimension ref="A1:Z124"/>
  <sheetViews>
    <sheetView workbookViewId="0">
      <selection activeCell="C8" sqref="C8:J8"/>
    </sheetView>
  </sheetViews>
  <sheetFormatPr baseColWidth="10" defaultColWidth="9.1640625" defaultRowHeight="12" x14ac:dyDescent="0.15"/>
  <cols>
    <col min="1" max="1" width="3.6640625" style="159" customWidth="1"/>
    <col min="2" max="2" width="0.83203125" style="159" customWidth="1"/>
    <col min="3" max="3" width="3.6640625" style="159" customWidth="1"/>
    <col min="4" max="4" width="4.6640625" style="159" customWidth="1"/>
    <col min="5" max="5" width="1.6640625" style="159" customWidth="1"/>
    <col min="6" max="6" width="10.6640625" style="159" customWidth="1"/>
    <col min="7" max="7" width="1.6640625" style="159" customWidth="1"/>
    <col min="8" max="9" width="2.5" style="159" customWidth="1"/>
    <col min="10" max="11" width="6.6640625" style="159" customWidth="1"/>
    <col min="12" max="12" width="3.6640625" style="159" customWidth="1"/>
    <col min="13" max="13" width="0.83203125" style="159" customWidth="1"/>
    <col min="14" max="15" width="3.6640625" style="159" customWidth="1"/>
    <col min="16" max="17" width="6.6640625" style="159" customWidth="1"/>
    <col min="18" max="18" width="1.6640625" style="159" customWidth="1"/>
    <col min="19" max="19" width="2.5" style="159" customWidth="1"/>
    <col min="20" max="20" width="12.1640625" style="159" customWidth="1"/>
    <col min="21" max="21" width="2.6640625" style="159" customWidth="1"/>
    <col min="22" max="22" width="7.6640625" style="159" customWidth="1"/>
    <col min="23" max="23" width="14.83203125" style="159" customWidth="1"/>
    <col min="24" max="16384" width="9.1640625" style="159"/>
  </cols>
  <sheetData>
    <row r="1" spans="1:23" ht="30" customHeight="1" x14ac:dyDescent="0.15">
      <c r="A1" s="403" t="s">
        <v>157</v>
      </c>
      <c r="B1" s="403"/>
      <c r="C1" s="403"/>
      <c r="D1" s="403"/>
      <c r="E1" s="403"/>
      <c r="F1" s="403"/>
      <c r="G1" s="404" t="s">
        <v>281</v>
      </c>
      <c r="H1" s="404"/>
      <c r="I1" s="404"/>
      <c r="J1" s="404"/>
      <c r="K1" s="404"/>
      <c r="L1" s="404"/>
      <c r="M1" s="404"/>
      <c r="N1" s="404"/>
      <c r="O1" s="405" t="s">
        <v>158</v>
      </c>
      <c r="P1" s="405"/>
      <c r="Q1" s="405"/>
      <c r="R1" s="405"/>
      <c r="S1" s="405"/>
      <c r="T1" s="405"/>
      <c r="U1" s="405"/>
      <c r="V1" s="405"/>
      <c r="W1" s="405"/>
    </row>
    <row r="2" spans="1:23" ht="30" customHeight="1" x14ac:dyDescent="0.15">
      <c r="A2" s="403"/>
      <c r="B2" s="403"/>
      <c r="C2" s="403"/>
      <c r="D2" s="403"/>
      <c r="E2" s="403"/>
      <c r="F2" s="403"/>
      <c r="G2" s="404"/>
      <c r="H2" s="404"/>
      <c r="I2" s="404"/>
      <c r="J2" s="404"/>
      <c r="K2" s="404"/>
      <c r="L2" s="404"/>
      <c r="M2" s="404"/>
      <c r="N2" s="404"/>
      <c r="O2" s="406" t="s">
        <v>159</v>
      </c>
      <c r="P2" s="406"/>
      <c r="Q2" s="407">
        <f>Admin!B4</f>
        <v>45753</v>
      </c>
      <c r="R2" s="407"/>
      <c r="S2" s="407"/>
      <c r="T2" s="407"/>
      <c r="U2" s="205" t="s">
        <v>160</v>
      </c>
      <c r="V2" s="407">
        <f>Admin!B17</f>
        <v>46117</v>
      </c>
      <c r="W2" s="407"/>
    </row>
    <row r="3" spans="1:23" ht="8.25" customHeight="1" x14ac:dyDescent="0.15">
      <c r="A3" s="398"/>
      <c r="B3" s="398"/>
      <c r="C3" s="398"/>
      <c r="D3" s="398"/>
      <c r="E3" s="398"/>
      <c r="F3" s="398"/>
      <c r="G3" s="398"/>
      <c r="H3" s="398"/>
      <c r="I3" s="398"/>
      <c r="J3" s="398"/>
      <c r="K3" s="398"/>
      <c r="L3" s="398"/>
      <c r="M3" s="398"/>
      <c r="N3" s="398"/>
      <c r="O3" s="398"/>
      <c r="P3" s="398"/>
      <c r="Q3" s="398"/>
      <c r="R3" s="398"/>
      <c r="S3" s="398"/>
      <c r="T3" s="398"/>
      <c r="U3" s="398"/>
      <c r="V3" s="398"/>
      <c r="W3" s="398"/>
    </row>
    <row r="4" spans="1:23" ht="10" customHeight="1" x14ac:dyDescent="0.15">
      <c r="A4" s="399"/>
      <c r="B4" s="399"/>
      <c r="C4" s="399"/>
      <c r="D4" s="399"/>
      <c r="E4" s="399"/>
      <c r="F4" s="399"/>
      <c r="G4" s="399"/>
      <c r="H4" s="399"/>
      <c r="I4" s="399"/>
      <c r="J4" s="399"/>
      <c r="K4" s="399"/>
      <c r="L4" s="399"/>
      <c r="M4" s="399"/>
      <c r="N4" s="399"/>
      <c r="O4" s="399"/>
      <c r="P4" s="399"/>
      <c r="Q4" s="399"/>
      <c r="R4" s="399"/>
      <c r="S4" s="399"/>
      <c r="T4" s="399"/>
      <c r="U4" s="399"/>
      <c r="V4" s="399"/>
      <c r="W4" s="399"/>
    </row>
    <row r="5" spans="1:23" ht="6" customHeight="1" x14ac:dyDescent="0.15">
      <c r="A5" s="206"/>
      <c r="B5" s="207"/>
      <c r="C5" s="207"/>
      <c r="D5" s="207"/>
      <c r="E5" s="207"/>
      <c r="F5" s="207"/>
      <c r="G5" s="207"/>
      <c r="H5" s="207"/>
      <c r="I5" s="207"/>
      <c r="J5" s="207"/>
      <c r="K5" s="207"/>
      <c r="L5" s="207"/>
      <c r="M5" s="207"/>
      <c r="N5" s="207"/>
      <c r="O5" s="207"/>
      <c r="P5" s="207"/>
      <c r="Q5" s="207"/>
      <c r="R5" s="207"/>
      <c r="S5" s="207"/>
      <c r="T5" s="207"/>
      <c r="U5" s="207"/>
      <c r="V5" s="207"/>
      <c r="W5" s="208"/>
    </row>
    <row r="6" spans="1:23" x14ac:dyDescent="0.15">
      <c r="A6" s="209"/>
      <c r="B6" s="158"/>
      <c r="C6" s="210" t="s">
        <v>134</v>
      </c>
      <c r="D6" s="210"/>
      <c r="E6" s="210"/>
      <c r="F6" s="158"/>
      <c r="G6" s="158"/>
      <c r="H6" s="158"/>
      <c r="I6" s="158"/>
      <c r="J6" s="158"/>
      <c r="K6" s="158"/>
      <c r="L6" s="158"/>
      <c r="M6" s="158"/>
      <c r="N6" s="210" t="s">
        <v>135</v>
      </c>
      <c r="O6" s="210"/>
      <c r="P6" s="210"/>
      <c r="Q6" s="210"/>
      <c r="R6" s="210"/>
      <c r="S6" s="210"/>
      <c r="T6" s="210"/>
      <c r="U6" s="210"/>
      <c r="V6" s="210"/>
      <c r="W6" s="211"/>
    </row>
    <row r="7" spans="1:23" ht="8" customHeight="1" x14ac:dyDescent="0.15">
      <c r="A7" s="209"/>
      <c r="B7" s="158"/>
      <c r="C7" s="210"/>
      <c r="D7" s="210"/>
      <c r="E7" s="210"/>
      <c r="F7" s="158"/>
      <c r="G7" s="158"/>
      <c r="H7" s="158"/>
      <c r="I7" s="158"/>
      <c r="J7" s="158"/>
      <c r="K7" s="158"/>
      <c r="L7" s="158"/>
      <c r="M7" s="158"/>
      <c r="N7" s="210"/>
      <c r="O7" s="210"/>
      <c r="P7" s="210"/>
      <c r="Q7" s="210"/>
      <c r="R7" s="210"/>
      <c r="S7" s="210"/>
      <c r="T7" s="210"/>
      <c r="U7" s="210"/>
      <c r="V7" s="210"/>
      <c r="W7" s="211"/>
    </row>
    <row r="8" spans="1:23" ht="15" customHeight="1" x14ac:dyDescent="0.15">
      <c r="A8" s="209"/>
      <c r="B8" s="158"/>
      <c r="C8" s="395" t="str">
        <f>IF('Business Details'!C5&gt;0,'Business Details'!C5," ")</f>
        <v xml:space="preserve"> </v>
      </c>
      <c r="D8" s="396"/>
      <c r="E8" s="396"/>
      <c r="F8" s="396"/>
      <c r="G8" s="396"/>
      <c r="H8" s="396"/>
      <c r="I8" s="396"/>
      <c r="J8" s="397"/>
      <c r="K8" s="249"/>
      <c r="L8" s="249"/>
      <c r="M8" s="249"/>
      <c r="N8" s="249"/>
      <c r="O8" s="400" t="str">
        <f>IF('Business Details'!O5&gt;0,'Business Details'!O5," ")</f>
        <v xml:space="preserve"> </v>
      </c>
      <c r="P8" s="401"/>
      <c r="Q8" s="249"/>
      <c r="R8" s="400" t="str">
        <f>IF('Business Details'!R5&gt;0,'Business Details'!R5," ")</f>
        <v xml:space="preserve"> </v>
      </c>
      <c r="S8" s="402"/>
      <c r="T8" s="402"/>
      <c r="U8" s="401"/>
      <c r="V8" s="158"/>
      <c r="W8" s="212"/>
    </row>
    <row r="9" spans="1:23" ht="6" customHeight="1" x14ac:dyDescent="0.15">
      <c r="A9" s="213"/>
      <c r="B9" s="214"/>
      <c r="C9" s="214"/>
      <c r="D9" s="214"/>
      <c r="E9" s="214"/>
      <c r="F9" s="214"/>
      <c r="G9" s="214"/>
      <c r="H9" s="214"/>
      <c r="I9" s="214"/>
      <c r="J9" s="214"/>
      <c r="K9" s="214"/>
      <c r="L9" s="214"/>
      <c r="M9" s="214"/>
      <c r="N9" s="214"/>
      <c r="O9" s="214"/>
      <c r="P9" s="214"/>
      <c r="Q9" s="214"/>
      <c r="R9" s="214"/>
      <c r="S9" s="214"/>
      <c r="T9" s="214"/>
      <c r="U9" s="214"/>
      <c r="V9" s="214"/>
      <c r="W9" s="215"/>
    </row>
    <row r="10" spans="1:23" ht="25" customHeight="1" x14ac:dyDescent="0.15">
      <c r="A10" s="394" t="s">
        <v>33</v>
      </c>
      <c r="B10" s="394"/>
      <c r="C10" s="394"/>
      <c r="D10" s="394"/>
      <c r="E10" s="394"/>
      <c r="F10" s="394"/>
      <c r="G10" s="394"/>
      <c r="H10" s="394"/>
      <c r="I10" s="394"/>
      <c r="J10" s="394"/>
      <c r="K10" s="394"/>
      <c r="L10" s="394"/>
      <c r="M10" s="394"/>
      <c r="N10" s="394"/>
      <c r="O10" s="394"/>
      <c r="P10" s="394"/>
      <c r="Q10" s="394"/>
      <c r="R10" s="394"/>
      <c r="S10" s="394"/>
      <c r="T10" s="394"/>
      <c r="U10" s="394"/>
      <c r="V10" s="394"/>
      <c r="W10" s="394"/>
    </row>
    <row r="11" spans="1:23" ht="8" customHeight="1" x14ac:dyDescent="0.15">
      <c r="A11" s="216"/>
      <c r="B11" s="217"/>
      <c r="C11" s="217"/>
      <c r="D11" s="217"/>
      <c r="E11" s="217"/>
      <c r="F11" s="217"/>
      <c r="G11" s="217"/>
      <c r="H11" s="217"/>
      <c r="I11" s="217"/>
      <c r="J11" s="217"/>
      <c r="K11" s="217"/>
      <c r="L11" s="217"/>
      <c r="M11" s="217"/>
      <c r="N11" s="217"/>
      <c r="O11" s="217"/>
      <c r="P11" s="217"/>
      <c r="Q11" s="217"/>
      <c r="R11" s="217"/>
      <c r="S11" s="217"/>
      <c r="T11" s="217"/>
      <c r="U11" s="217"/>
      <c r="V11" s="217"/>
      <c r="W11" s="218"/>
    </row>
    <row r="12" spans="1:23" ht="13" x14ac:dyDescent="0.15">
      <c r="A12" s="219">
        <v>1</v>
      </c>
      <c r="B12" s="158"/>
      <c r="C12" s="210" t="s">
        <v>136</v>
      </c>
      <c r="D12" s="210"/>
      <c r="E12" s="210"/>
      <c r="F12" s="158"/>
      <c r="G12" s="158"/>
      <c r="H12" s="158"/>
      <c r="I12" s="158"/>
      <c r="J12" s="158"/>
      <c r="K12" s="158"/>
      <c r="L12" s="219">
        <v>4</v>
      </c>
      <c r="M12" s="158"/>
      <c r="N12" s="210" t="s">
        <v>137</v>
      </c>
      <c r="O12" s="210"/>
      <c r="P12" s="210"/>
      <c r="Q12" s="210"/>
      <c r="R12" s="220"/>
      <c r="S12" s="221"/>
      <c r="T12" s="221"/>
      <c r="U12" s="221"/>
      <c r="V12" s="210"/>
      <c r="W12" s="222"/>
    </row>
    <row r="13" spans="1:23" ht="15" customHeight="1" x14ac:dyDescent="0.15">
      <c r="A13" s="223"/>
      <c r="B13" s="158"/>
      <c r="C13" s="395" t="str">
        <f>IF('Business Details'!C8&gt;0,'Business Details'!C8," ")</f>
        <v>Taxi Driver</v>
      </c>
      <c r="D13" s="396"/>
      <c r="E13" s="396"/>
      <c r="F13" s="396"/>
      <c r="G13" s="396"/>
      <c r="H13" s="396"/>
      <c r="I13" s="396"/>
      <c r="J13" s="397"/>
      <c r="K13" s="158"/>
      <c r="L13" s="158"/>
      <c r="M13" s="158"/>
      <c r="N13" s="224" t="s">
        <v>138</v>
      </c>
      <c r="O13" s="210"/>
      <c r="P13" s="210"/>
      <c r="Q13" s="210"/>
      <c r="R13" s="210"/>
      <c r="S13" s="210"/>
      <c r="T13" s="210"/>
      <c r="U13" s="210"/>
      <c r="V13" s="210"/>
      <c r="W13" s="222"/>
    </row>
    <row r="14" spans="1:23" ht="8" customHeight="1" x14ac:dyDescent="0.15">
      <c r="A14" s="223"/>
      <c r="B14" s="158"/>
      <c r="C14" s="249"/>
      <c r="D14" s="249"/>
      <c r="E14" s="249"/>
      <c r="F14" s="249"/>
      <c r="G14" s="249"/>
      <c r="H14" s="249"/>
      <c r="I14" s="249"/>
      <c r="J14" s="249"/>
      <c r="K14" s="158"/>
      <c r="L14" s="158"/>
      <c r="M14" s="158"/>
      <c r="N14" s="225"/>
      <c r="O14" s="225"/>
      <c r="P14" s="225"/>
      <c r="Q14" s="225"/>
      <c r="R14" s="158"/>
      <c r="S14" s="158"/>
      <c r="T14" s="158"/>
      <c r="U14" s="158"/>
      <c r="V14" s="158"/>
      <c r="W14" s="226"/>
    </row>
    <row r="15" spans="1:23" ht="15" customHeight="1" x14ac:dyDescent="0.15">
      <c r="A15" s="223"/>
      <c r="B15" s="158"/>
      <c r="C15" s="395" t="str">
        <f>IF('Business Details'!C10&gt;0,'Business Details'!C10," ")</f>
        <v xml:space="preserve"> </v>
      </c>
      <c r="D15" s="396"/>
      <c r="E15" s="396"/>
      <c r="F15" s="396"/>
      <c r="G15" s="396"/>
      <c r="H15" s="396"/>
      <c r="I15" s="396"/>
      <c r="J15" s="397"/>
      <c r="K15" s="158"/>
      <c r="L15" s="158"/>
      <c r="M15" s="158"/>
      <c r="N15" s="251"/>
      <c r="O15" s="225"/>
      <c r="P15" s="225"/>
      <c r="Q15" s="225"/>
      <c r="R15" s="158"/>
      <c r="S15" s="158"/>
      <c r="T15" s="158"/>
      <c r="U15" s="158"/>
      <c r="V15" s="158"/>
      <c r="W15" s="226"/>
    </row>
    <row r="16" spans="1:23" ht="8" customHeight="1" x14ac:dyDescent="0.15">
      <c r="A16" s="223"/>
      <c r="B16" s="158"/>
      <c r="C16" s="249"/>
      <c r="D16" s="249"/>
      <c r="E16" s="249"/>
      <c r="F16" s="249"/>
      <c r="G16" s="249"/>
      <c r="H16" s="249"/>
      <c r="I16" s="249"/>
      <c r="J16" s="249"/>
      <c r="K16" s="158"/>
      <c r="L16" s="158"/>
      <c r="M16" s="158"/>
      <c r="N16" s="158"/>
      <c r="O16" s="158"/>
      <c r="P16" s="158"/>
      <c r="Q16" s="158"/>
      <c r="R16" s="158"/>
      <c r="S16" s="158"/>
      <c r="T16" s="158"/>
      <c r="U16" s="158"/>
      <c r="V16" s="158"/>
      <c r="W16" s="226"/>
    </row>
    <row r="17" spans="1:23" ht="15" customHeight="1" x14ac:dyDescent="0.15">
      <c r="A17" s="223"/>
      <c r="B17" s="158"/>
      <c r="C17" s="395" t="str">
        <f>IF('Business Details'!C12&gt;0,'Business Details'!C12," ")</f>
        <v xml:space="preserve"> </v>
      </c>
      <c r="D17" s="396"/>
      <c r="E17" s="396"/>
      <c r="F17" s="396"/>
      <c r="G17" s="396"/>
      <c r="H17" s="396"/>
      <c r="I17" s="396"/>
      <c r="J17" s="397"/>
      <c r="K17" s="158"/>
      <c r="L17" s="219">
        <v>5</v>
      </c>
      <c r="M17" s="158"/>
      <c r="N17" s="210" t="s">
        <v>139</v>
      </c>
      <c r="O17" s="210"/>
      <c r="P17" s="210"/>
      <c r="Q17" s="210"/>
      <c r="R17" s="220"/>
      <c r="S17" s="393">
        <f>Admin!B4</f>
        <v>45753</v>
      </c>
      <c r="T17" s="393"/>
      <c r="U17" s="393"/>
      <c r="V17" s="393"/>
      <c r="W17" s="222"/>
    </row>
    <row r="18" spans="1:23" ht="12" customHeight="1" x14ac:dyDescent="0.15">
      <c r="A18" s="223"/>
      <c r="B18" s="158"/>
      <c r="C18" s="158"/>
      <c r="D18" s="158"/>
      <c r="E18" s="158"/>
      <c r="F18" s="158"/>
      <c r="G18" s="158"/>
      <c r="H18" s="158"/>
      <c r="I18" s="158"/>
      <c r="J18" s="158"/>
      <c r="K18" s="158"/>
      <c r="L18" s="158"/>
      <c r="M18" s="158"/>
      <c r="N18" s="390" t="s">
        <v>161</v>
      </c>
      <c r="O18" s="390"/>
      <c r="P18" s="390"/>
      <c r="Q18" s="390"/>
      <c r="R18" s="390"/>
      <c r="S18" s="390"/>
      <c r="T18" s="390"/>
      <c r="U18" s="390"/>
      <c r="V18" s="390"/>
      <c r="W18" s="227"/>
    </row>
    <row r="19" spans="1:23" ht="8" customHeight="1" x14ac:dyDescent="0.15">
      <c r="A19" s="223"/>
      <c r="B19" s="158"/>
      <c r="C19" s="158"/>
      <c r="D19" s="158"/>
      <c r="E19" s="158"/>
      <c r="F19" s="158"/>
      <c r="G19" s="158"/>
      <c r="H19" s="158"/>
      <c r="I19" s="158"/>
      <c r="J19" s="158"/>
      <c r="K19" s="158"/>
      <c r="L19" s="158"/>
      <c r="M19" s="158"/>
      <c r="N19" s="158"/>
      <c r="O19" s="158"/>
      <c r="P19" s="158"/>
      <c r="Q19" s="158"/>
      <c r="R19" s="158"/>
      <c r="S19" s="158"/>
      <c r="T19" s="158"/>
      <c r="U19" s="158"/>
      <c r="V19" s="158"/>
      <c r="W19" s="226"/>
    </row>
    <row r="20" spans="1:23" ht="14" x14ac:dyDescent="0.15">
      <c r="A20" s="219">
        <v>2</v>
      </c>
      <c r="B20" s="158"/>
      <c r="C20" s="210" t="s">
        <v>141</v>
      </c>
      <c r="D20" s="210"/>
      <c r="E20" s="210"/>
      <c r="F20" s="158"/>
      <c r="G20" s="158"/>
      <c r="H20" s="158"/>
      <c r="I20" s="158"/>
      <c r="J20" s="158"/>
      <c r="K20" s="158"/>
      <c r="L20" s="158"/>
      <c r="M20" s="158"/>
      <c r="N20" s="386" t="str">
        <f>IF('Business Details'!N15&gt;0,'Business Details'!N15," ")</f>
        <v xml:space="preserve"> </v>
      </c>
      <c r="O20" s="387"/>
      <c r="P20" s="387"/>
      <c r="Q20" s="388"/>
      <c r="R20" s="210"/>
      <c r="S20" s="210"/>
      <c r="T20" s="210"/>
      <c r="U20" s="210"/>
      <c r="V20" s="210"/>
      <c r="W20" s="222"/>
    </row>
    <row r="21" spans="1:23" ht="8" customHeight="1" x14ac:dyDescent="0.15">
      <c r="A21" s="223"/>
      <c r="B21" s="158"/>
      <c r="C21" s="158"/>
      <c r="D21" s="158"/>
      <c r="E21" s="158"/>
      <c r="F21" s="158"/>
      <c r="G21" s="158"/>
      <c r="H21" s="158"/>
      <c r="I21" s="158"/>
      <c r="J21" s="158"/>
      <c r="K21" s="158"/>
      <c r="L21" s="158"/>
      <c r="M21" s="158"/>
      <c r="N21" s="158"/>
      <c r="O21" s="158"/>
      <c r="P21" s="158"/>
      <c r="Q21" s="158"/>
      <c r="R21" s="158"/>
      <c r="S21" s="158"/>
      <c r="T21" s="158"/>
      <c r="U21" s="158"/>
      <c r="V21" s="158"/>
      <c r="W21" s="226"/>
    </row>
    <row r="22" spans="1:23" ht="15" customHeight="1" x14ac:dyDescent="0.15">
      <c r="A22" s="223"/>
      <c r="B22" s="158"/>
      <c r="C22" s="391" t="str">
        <f>IF('Business Details'!C17&gt;0,'Business Details'!C17," ")</f>
        <v xml:space="preserve"> </v>
      </c>
      <c r="D22" s="392"/>
      <c r="E22" s="249"/>
      <c r="F22" s="250" t="str">
        <f>IF('Business Details'!F17&gt;0,'Business Details'!F17," ")</f>
        <v xml:space="preserve"> </v>
      </c>
      <c r="G22" s="158"/>
      <c r="H22" s="158"/>
      <c r="I22" s="158"/>
      <c r="J22" s="158"/>
      <c r="K22" s="158"/>
      <c r="L22" s="158"/>
      <c r="M22" s="158"/>
      <c r="N22" s="210"/>
      <c r="O22" s="210"/>
      <c r="P22" s="210"/>
      <c r="Q22" s="210"/>
      <c r="R22" s="210"/>
      <c r="S22" s="210"/>
      <c r="T22" s="210"/>
      <c r="U22" s="210"/>
      <c r="V22" s="210"/>
      <c r="W22" s="222"/>
    </row>
    <row r="23" spans="1:23" x14ac:dyDescent="0.15">
      <c r="A23" s="223"/>
      <c r="B23" s="158"/>
      <c r="C23" s="158"/>
      <c r="D23" s="158"/>
      <c r="E23" s="158"/>
      <c r="F23" s="158"/>
      <c r="G23" s="158"/>
      <c r="H23" s="158"/>
      <c r="I23" s="158"/>
      <c r="J23" s="158"/>
      <c r="K23" s="158"/>
      <c r="L23" s="219">
        <v>6</v>
      </c>
      <c r="M23" s="210"/>
      <c r="N23" s="210" t="s">
        <v>142</v>
      </c>
      <c r="O23" s="228"/>
      <c r="P23" s="210"/>
      <c r="Q23" s="210"/>
      <c r="R23" s="210"/>
      <c r="S23" s="393">
        <f>Admin!B17</f>
        <v>46117</v>
      </c>
      <c r="T23" s="393"/>
      <c r="U23" s="393"/>
      <c r="V23" s="393"/>
      <c r="W23" s="222"/>
    </row>
    <row r="24" spans="1:23" x14ac:dyDescent="0.15">
      <c r="A24" s="219">
        <v>3</v>
      </c>
      <c r="B24" s="158"/>
      <c r="C24" s="210" t="s">
        <v>143</v>
      </c>
      <c r="D24" s="158"/>
      <c r="E24" s="158"/>
      <c r="F24" s="158"/>
      <c r="G24" s="158"/>
      <c r="H24" s="158"/>
      <c r="I24" s="158"/>
      <c r="J24" s="158"/>
      <c r="K24" s="158"/>
      <c r="L24" s="158"/>
      <c r="M24" s="210"/>
      <c r="N24" s="224" t="s">
        <v>144</v>
      </c>
      <c r="O24" s="225"/>
      <c r="P24" s="225"/>
      <c r="Q24" s="225"/>
      <c r="R24" s="158"/>
      <c r="S24" s="158"/>
      <c r="T24" s="158"/>
      <c r="U24" s="158"/>
      <c r="V24" s="158"/>
      <c r="W24" s="226"/>
    </row>
    <row r="25" spans="1:23" x14ac:dyDescent="0.15">
      <c r="A25" s="223"/>
      <c r="B25" s="158"/>
      <c r="C25" s="210" t="s">
        <v>145</v>
      </c>
      <c r="D25" s="158"/>
      <c r="E25" s="158"/>
      <c r="F25" s="158"/>
      <c r="G25" s="158"/>
      <c r="H25" s="158"/>
      <c r="I25" s="158"/>
      <c r="J25" s="158"/>
      <c r="K25" s="158"/>
      <c r="L25" s="158"/>
      <c r="M25" s="158"/>
      <c r="N25" s="225"/>
      <c r="O25" s="225"/>
      <c r="P25" s="225"/>
      <c r="Q25" s="225"/>
      <c r="R25" s="158"/>
      <c r="S25" s="158"/>
      <c r="T25" s="158"/>
      <c r="U25" s="158"/>
      <c r="V25" s="158"/>
      <c r="W25" s="226"/>
    </row>
    <row r="26" spans="1:23" ht="14" x14ac:dyDescent="0.15">
      <c r="A26" s="223"/>
      <c r="B26" s="158"/>
      <c r="C26" s="224" t="s">
        <v>146</v>
      </c>
      <c r="D26" s="225"/>
      <c r="E26" s="225"/>
      <c r="F26" s="225"/>
      <c r="G26" s="225"/>
      <c r="H26" s="225"/>
      <c r="I26" s="225"/>
      <c r="J26" s="225"/>
      <c r="K26" s="225"/>
      <c r="L26" s="158"/>
      <c r="M26" s="158"/>
      <c r="N26" s="386" t="str">
        <f>IF('Business Details'!N21&gt;0,'Business Details'!N21," ")</f>
        <v xml:space="preserve"> </v>
      </c>
      <c r="O26" s="387"/>
      <c r="P26" s="387"/>
      <c r="Q26" s="388"/>
      <c r="R26" s="158"/>
      <c r="S26" s="158"/>
      <c r="T26" s="158"/>
      <c r="U26" s="158"/>
      <c r="V26" s="158"/>
      <c r="W26" s="226"/>
    </row>
    <row r="27" spans="1:23" x14ac:dyDescent="0.15">
      <c r="A27" s="223"/>
      <c r="B27" s="158"/>
      <c r="C27" s="224" t="s">
        <v>147</v>
      </c>
      <c r="D27" s="158"/>
      <c r="E27" s="158"/>
      <c r="F27" s="158"/>
      <c r="G27" s="158"/>
      <c r="H27" s="158"/>
      <c r="I27" s="158"/>
      <c r="J27" s="158"/>
      <c r="K27" s="158"/>
      <c r="L27" s="158"/>
      <c r="M27" s="158"/>
      <c r="N27" s="225"/>
      <c r="O27" s="225"/>
      <c r="P27" s="225"/>
      <c r="Q27" s="225"/>
      <c r="R27" s="158"/>
      <c r="S27" s="158"/>
      <c r="T27" s="158"/>
      <c r="U27" s="158"/>
      <c r="V27" s="158"/>
      <c r="W27" s="226"/>
    </row>
    <row r="28" spans="1:23" x14ac:dyDescent="0.15">
      <c r="A28" s="223"/>
      <c r="B28" s="158"/>
      <c r="C28" s="225"/>
      <c r="D28" s="158"/>
      <c r="E28" s="158"/>
      <c r="F28" s="158"/>
      <c r="G28" s="158"/>
      <c r="H28" s="158"/>
      <c r="I28" s="158"/>
      <c r="J28" s="158"/>
      <c r="K28" s="158"/>
      <c r="L28" s="219">
        <v>7</v>
      </c>
      <c r="M28" s="158"/>
      <c r="N28" s="224" t="s">
        <v>148</v>
      </c>
      <c r="O28" s="225"/>
      <c r="P28" s="225"/>
      <c r="Q28" s="225"/>
      <c r="R28" s="158"/>
      <c r="S28" s="158"/>
      <c r="T28" s="158"/>
      <c r="U28" s="158"/>
      <c r="V28" s="158"/>
      <c r="W28" s="226"/>
    </row>
    <row r="29" spans="1:23" ht="15" customHeight="1" x14ac:dyDescent="0.15">
      <c r="A29" s="223"/>
      <c r="B29" s="158"/>
      <c r="C29" s="251" t="str">
        <f>IF('Business Details'!C24="x","x"," ")</f>
        <v xml:space="preserve"> </v>
      </c>
      <c r="D29" s="158"/>
      <c r="E29" s="158"/>
      <c r="F29" s="158"/>
      <c r="G29" s="158"/>
      <c r="H29" s="158"/>
      <c r="I29" s="158"/>
      <c r="J29" s="158"/>
      <c r="K29" s="158"/>
      <c r="L29" s="158"/>
      <c r="M29" s="158"/>
      <c r="N29" s="229" t="s">
        <v>149</v>
      </c>
      <c r="O29" s="225"/>
      <c r="P29" s="225"/>
      <c r="Q29" s="225"/>
      <c r="R29" s="158"/>
      <c r="S29" s="158"/>
      <c r="T29" s="158"/>
      <c r="U29" s="158"/>
      <c r="V29" s="158"/>
      <c r="W29" s="226"/>
    </row>
    <row r="30" spans="1:23" ht="8" customHeight="1" x14ac:dyDescent="0.15">
      <c r="A30" s="223"/>
      <c r="B30" s="158"/>
      <c r="C30" s="158"/>
      <c r="D30" s="158"/>
      <c r="E30" s="158"/>
      <c r="F30" s="158"/>
      <c r="G30" s="158"/>
      <c r="H30" s="158"/>
      <c r="I30" s="158"/>
      <c r="J30" s="158"/>
      <c r="K30" s="158"/>
      <c r="L30" s="158"/>
      <c r="M30" s="158"/>
      <c r="N30" s="229"/>
      <c r="O30" s="225"/>
      <c r="P30" s="225"/>
      <c r="Q30" s="225"/>
      <c r="R30" s="158"/>
      <c r="S30" s="158"/>
      <c r="T30" s="158"/>
      <c r="U30" s="158"/>
      <c r="V30" s="158"/>
      <c r="W30" s="226"/>
    </row>
    <row r="31" spans="1:23" ht="14" x14ac:dyDescent="0.15">
      <c r="A31" s="223"/>
      <c r="B31" s="158"/>
      <c r="C31" s="158"/>
      <c r="D31" s="158"/>
      <c r="E31" s="158"/>
      <c r="F31" s="158"/>
      <c r="G31" s="158"/>
      <c r="H31" s="158"/>
      <c r="I31" s="158"/>
      <c r="J31" s="158"/>
      <c r="K31" s="158"/>
      <c r="L31" s="158"/>
      <c r="M31" s="158"/>
      <c r="N31" s="386">
        <f>Admin!B17</f>
        <v>46117</v>
      </c>
      <c r="O31" s="387"/>
      <c r="P31" s="387"/>
      <c r="Q31" s="388"/>
      <c r="R31" s="158"/>
      <c r="S31" s="158"/>
      <c r="T31" s="158"/>
      <c r="U31" s="158"/>
      <c r="V31" s="158"/>
      <c r="W31" s="226"/>
    </row>
    <row r="32" spans="1:23" ht="8" customHeight="1" x14ac:dyDescent="0.15">
      <c r="A32" s="230"/>
      <c r="B32" s="231"/>
      <c r="C32" s="231"/>
      <c r="D32" s="231"/>
      <c r="E32" s="231"/>
      <c r="F32" s="231"/>
      <c r="G32" s="231"/>
      <c r="H32" s="231"/>
      <c r="I32" s="231"/>
      <c r="J32" s="231"/>
      <c r="K32" s="231"/>
      <c r="L32" s="231"/>
      <c r="M32" s="231"/>
      <c r="N32" s="231"/>
      <c r="O32" s="231"/>
      <c r="P32" s="231"/>
      <c r="Q32" s="231"/>
      <c r="R32" s="231"/>
      <c r="S32" s="231"/>
      <c r="T32" s="231"/>
      <c r="U32" s="231"/>
      <c r="V32" s="231"/>
      <c r="W32" s="232"/>
    </row>
    <row r="33" spans="1:23" ht="25" customHeight="1" x14ac:dyDescent="0.15">
      <c r="A33" s="389" t="str">
        <f>"Business income - if your annual turnover was below £"&amp;Admin!F26&amp;" VAT threshold"</f>
        <v>Business income - if your annual turnover was below £90000 VAT threshold</v>
      </c>
      <c r="B33" s="389"/>
      <c r="C33" s="389"/>
      <c r="D33" s="389"/>
      <c r="E33" s="389"/>
      <c r="F33" s="389"/>
      <c r="G33" s="389"/>
      <c r="H33" s="389"/>
      <c r="I33" s="389"/>
      <c r="J33" s="389"/>
      <c r="K33" s="389"/>
      <c r="L33" s="389"/>
      <c r="M33" s="389"/>
      <c r="N33" s="389"/>
      <c r="O33" s="389"/>
      <c r="P33" s="389"/>
      <c r="Q33" s="389"/>
      <c r="R33" s="389"/>
      <c r="S33" s="389"/>
      <c r="T33" s="389"/>
      <c r="U33" s="389"/>
      <c r="V33" s="389"/>
      <c r="W33" s="389"/>
    </row>
    <row r="34" spans="1:23" ht="8" customHeight="1" x14ac:dyDescent="0.15">
      <c r="A34" s="216"/>
      <c r="B34" s="217"/>
      <c r="C34" s="217"/>
      <c r="D34" s="217"/>
      <c r="E34" s="217"/>
      <c r="F34" s="217"/>
      <c r="G34" s="217"/>
      <c r="H34" s="217"/>
      <c r="I34" s="217"/>
      <c r="J34" s="217"/>
      <c r="K34" s="217"/>
      <c r="L34" s="217"/>
      <c r="M34" s="217"/>
      <c r="N34" s="217"/>
      <c r="O34" s="217"/>
      <c r="P34" s="217"/>
      <c r="Q34" s="217"/>
      <c r="R34" s="217"/>
      <c r="S34" s="217"/>
      <c r="T34" s="217"/>
      <c r="U34" s="217"/>
      <c r="V34" s="217"/>
      <c r="W34" s="218"/>
    </row>
    <row r="35" spans="1:23" x14ac:dyDescent="0.15">
      <c r="A35" s="219">
        <v>8</v>
      </c>
      <c r="B35" s="158"/>
      <c r="C35" s="210" t="s">
        <v>162</v>
      </c>
      <c r="D35" s="210"/>
      <c r="E35" s="210"/>
      <c r="F35" s="210"/>
      <c r="G35" s="210"/>
      <c r="H35" s="210"/>
      <c r="I35" s="210"/>
      <c r="J35" s="210"/>
      <c r="K35" s="210"/>
      <c r="L35" s="219">
        <v>9</v>
      </c>
      <c r="M35" s="158"/>
      <c r="N35" s="210" t="s">
        <v>163</v>
      </c>
      <c r="O35" s="210"/>
      <c r="P35" s="210"/>
      <c r="Q35" s="210"/>
      <c r="R35" s="210"/>
      <c r="S35" s="210"/>
      <c r="T35" s="210"/>
      <c r="U35" s="210"/>
      <c r="V35" s="210"/>
      <c r="W35" s="222"/>
    </row>
    <row r="36" spans="1:23" x14ac:dyDescent="0.15">
      <c r="A36" s="223"/>
      <c r="B36" s="158"/>
      <c r="C36" s="228" t="s">
        <v>164</v>
      </c>
      <c r="D36" s="158"/>
      <c r="E36" s="158"/>
      <c r="F36" s="158"/>
      <c r="G36" s="158"/>
      <c r="H36" s="158"/>
      <c r="I36" s="158"/>
      <c r="J36" s="158"/>
      <c r="K36" s="158"/>
      <c r="L36" s="158"/>
      <c r="M36" s="158"/>
      <c r="N36" s="228" t="s">
        <v>165</v>
      </c>
      <c r="O36" s="158"/>
      <c r="P36" s="158"/>
      <c r="Q36" s="158"/>
      <c r="R36" s="158"/>
      <c r="S36" s="158"/>
      <c r="T36" s="158"/>
      <c r="U36" s="158"/>
      <c r="V36" s="158"/>
      <c r="W36" s="226"/>
    </row>
    <row r="37" spans="1:23" ht="6" customHeight="1" x14ac:dyDescent="0.15">
      <c r="A37" s="223"/>
      <c r="B37" s="158"/>
      <c r="C37" s="158"/>
      <c r="D37" s="158"/>
      <c r="E37" s="158"/>
      <c r="F37" s="158"/>
      <c r="G37" s="158"/>
      <c r="H37" s="158"/>
      <c r="I37" s="158"/>
      <c r="J37" s="158"/>
      <c r="K37" s="158"/>
      <c r="L37" s="158"/>
      <c r="M37" s="158"/>
      <c r="N37" s="158"/>
      <c r="O37" s="158"/>
      <c r="P37" s="158"/>
      <c r="Q37" s="158"/>
      <c r="R37" s="158"/>
      <c r="S37" s="158"/>
      <c r="T37" s="158"/>
      <c r="U37" s="158"/>
      <c r="V37" s="158"/>
      <c r="W37" s="226"/>
    </row>
    <row r="38" spans="1:23" ht="16" x14ac:dyDescent="0.15">
      <c r="A38" s="223"/>
      <c r="B38" s="158"/>
      <c r="C38" s="233" t="s">
        <v>50</v>
      </c>
      <c r="D38" s="379">
        <f>'Profit &amp; Loss Acc'!B5</f>
        <v>0</v>
      </c>
      <c r="E38" s="380"/>
      <c r="F38" s="381"/>
      <c r="G38" s="234" t="s">
        <v>153</v>
      </c>
      <c r="H38" s="235">
        <v>0</v>
      </c>
      <c r="I38" s="235">
        <v>0</v>
      </c>
      <c r="J38" s="158"/>
      <c r="K38" s="158"/>
      <c r="L38" s="158"/>
      <c r="M38" s="158"/>
      <c r="N38" s="233" t="s">
        <v>50</v>
      </c>
      <c r="O38" s="379"/>
      <c r="P38" s="380"/>
      <c r="Q38" s="381"/>
      <c r="R38" s="234" t="s">
        <v>153</v>
      </c>
      <c r="S38" s="235">
        <v>0</v>
      </c>
      <c r="T38" s="235">
        <v>0</v>
      </c>
      <c r="U38" s="236"/>
      <c r="V38" s="237"/>
      <c r="W38" s="226"/>
    </row>
    <row r="39" spans="1:23" ht="8" customHeight="1" x14ac:dyDescent="0.15">
      <c r="A39" s="230"/>
      <c r="B39" s="231"/>
      <c r="C39" s="231"/>
      <c r="D39" s="231"/>
      <c r="E39" s="231"/>
      <c r="F39" s="231"/>
      <c r="G39" s="231"/>
      <c r="H39" s="231"/>
      <c r="I39" s="231"/>
      <c r="J39" s="231"/>
      <c r="K39" s="231"/>
      <c r="L39" s="231"/>
      <c r="M39" s="231"/>
      <c r="N39" s="231"/>
      <c r="O39" s="231"/>
      <c r="P39" s="231"/>
      <c r="Q39" s="231"/>
      <c r="R39" s="231"/>
      <c r="S39" s="231"/>
      <c r="T39" s="231"/>
      <c r="U39" s="231"/>
      <c r="V39" s="231"/>
      <c r="W39" s="232"/>
    </row>
    <row r="40" spans="1:23" ht="25" customHeight="1" x14ac:dyDescent="0.15">
      <c r="A40" s="378" t="s">
        <v>166</v>
      </c>
      <c r="B40" s="378"/>
      <c r="C40" s="378"/>
      <c r="D40" s="378"/>
      <c r="E40" s="378"/>
      <c r="F40" s="378"/>
      <c r="G40" s="378"/>
      <c r="H40" s="378"/>
      <c r="I40" s="378"/>
      <c r="J40" s="378"/>
      <c r="K40" s="378"/>
      <c r="L40" s="378"/>
      <c r="M40" s="378"/>
      <c r="N40" s="378"/>
      <c r="O40" s="378"/>
      <c r="P40" s="378"/>
      <c r="Q40" s="378"/>
      <c r="R40" s="378"/>
      <c r="S40" s="378"/>
      <c r="T40" s="378"/>
      <c r="U40" s="378"/>
      <c r="V40" s="378"/>
      <c r="W40" s="378"/>
    </row>
    <row r="41" spans="1:23" s="238" customFormat="1" ht="14" customHeight="1" x14ac:dyDescent="0.15">
      <c r="A41" s="382" t="s">
        <v>167</v>
      </c>
      <c r="B41" s="382"/>
      <c r="C41" s="382"/>
      <c r="D41" s="382"/>
      <c r="E41" s="382"/>
      <c r="F41" s="382"/>
      <c r="G41" s="382"/>
      <c r="H41" s="382"/>
      <c r="I41" s="382"/>
      <c r="J41" s="382"/>
      <c r="K41" s="382"/>
      <c r="L41" s="382"/>
      <c r="M41" s="382"/>
      <c r="N41" s="382"/>
      <c r="O41" s="382"/>
      <c r="P41" s="382"/>
      <c r="Q41" s="382"/>
      <c r="R41" s="382"/>
      <c r="S41" s="382"/>
      <c r="T41" s="382"/>
      <c r="U41" s="382"/>
      <c r="V41" s="382"/>
      <c r="W41" s="382"/>
    </row>
    <row r="42" spans="1:23" s="238" customFormat="1" ht="14" customHeight="1" x14ac:dyDescent="0.15">
      <c r="A42" s="385" t="s">
        <v>168</v>
      </c>
      <c r="B42" s="385"/>
      <c r="C42" s="385"/>
      <c r="D42" s="385"/>
      <c r="E42" s="385"/>
      <c r="F42" s="385"/>
      <c r="G42" s="385"/>
      <c r="H42" s="385"/>
      <c r="I42" s="385"/>
      <c r="J42" s="385"/>
      <c r="K42" s="385"/>
      <c r="L42" s="385"/>
      <c r="M42" s="385"/>
      <c r="N42" s="385"/>
      <c r="O42" s="385"/>
      <c r="P42" s="385"/>
      <c r="Q42" s="385"/>
      <c r="R42" s="385"/>
      <c r="S42" s="385"/>
      <c r="T42" s="385"/>
      <c r="U42" s="385"/>
      <c r="V42" s="385"/>
      <c r="W42" s="385"/>
    </row>
    <row r="43" spans="1:23" ht="8" customHeight="1" x14ac:dyDescent="0.15">
      <c r="A43" s="216"/>
      <c r="B43" s="217"/>
      <c r="C43" s="217"/>
      <c r="D43" s="217"/>
      <c r="E43" s="217"/>
      <c r="F43" s="217"/>
      <c r="G43" s="217"/>
      <c r="H43" s="217"/>
      <c r="I43" s="217"/>
      <c r="J43" s="217"/>
      <c r="K43" s="217"/>
      <c r="L43" s="217"/>
      <c r="M43" s="217"/>
      <c r="N43" s="217"/>
      <c r="O43" s="217"/>
      <c r="P43" s="217"/>
      <c r="Q43" s="217"/>
      <c r="R43" s="217"/>
      <c r="S43" s="217"/>
      <c r="T43" s="217"/>
      <c r="U43" s="217"/>
      <c r="V43" s="217"/>
      <c r="W43" s="218"/>
    </row>
    <row r="44" spans="1:23" x14ac:dyDescent="0.15">
      <c r="A44" s="219">
        <v>10</v>
      </c>
      <c r="B44" s="158"/>
      <c r="C44" s="210" t="s">
        <v>169</v>
      </c>
      <c r="D44" s="210"/>
      <c r="E44" s="210"/>
      <c r="F44" s="210"/>
      <c r="G44" s="210"/>
      <c r="H44" s="210"/>
      <c r="I44" s="210"/>
      <c r="J44" s="210"/>
      <c r="K44" s="210"/>
      <c r="L44" s="219">
        <v>15</v>
      </c>
      <c r="M44" s="158"/>
      <c r="N44" s="210" t="s">
        <v>170</v>
      </c>
      <c r="O44" s="158"/>
      <c r="P44" s="158"/>
      <c r="Q44" s="158"/>
      <c r="R44" s="158"/>
      <c r="S44" s="158"/>
      <c r="T44" s="158"/>
      <c r="U44" s="158"/>
      <c r="V44" s="158"/>
      <c r="W44" s="226"/>
    </row>
    <row r="45" spans="1:23" ht="6" customHeight="1" x14ac:dyDescent="0.15">
      <c r="A45" s="239"/>
      <c r="B45" s="158"/>
      <c r="C45" s="210"/>
      <c r="D45" s="210"/>
      <c r="E45" s="210"/>
      <c r="F45" s="210"/>
      <c r="G45" s="210"/>
      <c r="H45" s="210"/>
      <c r="I45" s="210"/>
      <c r="J45" s="210"/>
      <c r="K45" s="210"/>
      <c r="L45" s="210"/>
      <c r="M45" s="158"/>
      <c r="N45" s="158"/>
      <c r="O45" s="158"/>
      <c r="P45" s="158"/>
      <c r="Q45" s="158"/>
      <c r="R45" s="158"/>
      <c r="S45" s="158"/>
      <c r="T45" s="158"/>
      <c r="U45" s="158"/>
      <c r="V45" s="158"/>
      <c r="W45" s="226"/>
    </row>
    <row r="46" spans="1:23" ht="16" x14ac:dyDescent="0.15">
      <c r="A46" s="223"/>
      <c r="B46" s="158"/>
      <c r="C46" s="233" t="s">
        <v>50</v>
      </c>
      <c r="D46" s="379" t="str">
        <f>IF(('Profit &amp; Loss Acc'!B5&lt;30000)," ",'Profit &amp; Loss Acc'!B12-'Profit &amp; Loss Acc'!B10)</f>
        <v xml:space="preserve"> </v>
      </c>
      <c r="E46" s="380"/>
      <c r="F46" s="381"/>
      <c r="G46" s="234" t="s">
        <v>153</v>
      </c>
      <c r="H46" s="235">
        <v>0</v>
      </c>
      <c r="I46" s="235">
        <v>0</v>
      </c>
      <c r="J46" s="158"/>
      <c r="K46" s="158"/>
      <c r="L46" s="158"/>
      <c r="M46" s="158"/>
      <c r="N46" s="233" t="s">
        <v>50</v>
      </c>
      <c r="O46" s="379" t="str">
        <f>IF(('Profit &amp; Loss Acc'!B5&lt;30000)," ",'Profit &amp; Loss Acc'!B18)</f>
        <v xml:space="preserve"> </v>
      </c>
      <c r="P46" s="380"/>
      <c r="Q46" s="381"/>
      <c r="R46" s="234" t="s">
        <v>153</v>
      </c>
      <c r="S46" s="235">
        <v>0</v>
      </c>
      <c r="T46" s="235">
        <v>0</v>
      </c>
      <c r="U46" s="158"/>
      <c r="V46" s="158"/>
      <c r="W46" s="226"/>
    </row>
    <row r="47" spans="1:23" x14ac:dyDescent="0.15">
      <c r="A47" s="223"/>
      <c r="B47" s="158"/>
      <c r="C47" s="158"/>
      <c r="D47" s="158"/>
      <c r="E47" s="158"/>
      <c r="F47" s="158"/>
      <c r="G47" s="158"/>
      <c r="H47" s="158"/>
      <c r="I47" s="158"/>
      <c r="J47" s="158"/>
      <c r="K47" s="158"/>
      <c r="L47" s="158"/>
      <c r="M47" s="158"/>
      <c r="N47" s="158"/>
      <c r="O47" s="158"/>
      <c r="P47" s="158"/>
      <c r="Q47" s="158"/>
      <c r="R47" s="158"/>
      <c r="S47" s="158"/>
      <c r="T47" s="158"/>
      <c r="U47" s="158"/>
      <c r="V47" s="158"/>
      <c r="W47" s="226"/>
    </row>
    <row r="48" spans="1:23" x14ac:dyDescent="0.15">
      <c r="A48" s="219">
        <v>11</v>
      </c>
      <c r="B48" s="158"/>
      <c r="C48" s="210" t="s">
        <v>171</v>
      </c>
      <c r="D48" s="210"/>
      <c r="E48" s="210"/>
      <c r="F48" s="210"/>
      <c r="G48" s="210"/>
      <c r="H48" s="210"/>
      <c r="I48" s="210"/>
      <c r="J48" s="210"/>
      <c r="K48" s="210"/>
      <c r="L48" s="219">
        <v>16</v>
      </c>
      <c r="M48" s="158"/>
      <c r="N48" s="210" t="s">
        <v>172</v>
      </c>
      <c r="O48" s="158"/>
      <c r="P48" s="158"/>
      <c r="Q48" s="158"/>
      <c r="R48" s="158"/>
      <c r="S48" s="158"/>
      <c r="T48" s="158"/>
      <c r="U48" s="158"/>
      <c r="V48" s="158"/>
      <c r="W48" s="226"/>
    </row>
    <row r="49" spans="1:23" ht="12.75" customHeight="1" x14ac:dyDescent="0.15">
      <c r="A49" s="223"/>
      <c r="B49" s="158"/>
      <c r="C49" s="228" t="s">
        <v>173</v>
      </c>
      <c r="D49" s="158"/>
      <c r="E49" s="158"/>
      <c r="F49" s="158"/>
      <c r="G49" s="158"/>
      <c r="H49" s="158"/>
      <c r="I49" s="158"/>
      <c r="J49" s="158"/>
      <c r="K49" s="158"/>
      <c r="L49" s="158"/>
      <c r="M49" s="158"/>
      <c r="N49" s="158"/>
      <c r="O49" s="158"/>
      <c r="P49" s="158"/>
      <c r="Q49" s="158"/>
      <c r="R49" s="158"/>
      <c r="S49" s="158"/>
      <c r="T49" s="158"/>
      <c r="U49" s="158"/>
      <c r="V49" s="158"/>
      <c r="W49" s="226"/>
    </row>
    <row r="50" spans="1:23" ht="6" customHeight="1" x14ac:dyDescent="0.15">
      <c r="A50" s="239"/>
      <c r="B50" s="158"/>
      <c r="C50" s="210"/>
      <c r="D50" s="210"/>
      <c r="E50" s="210"/>
      <c r="F50" s="210"/>
      <c r="G50" s="210"/>
      <c r="H50" s="210"/>
      <c r="I50" s="210"/>
      <c r="J50" s="210"/>
      <c r="K50" s="210"/>
      <c r="L50" s="210"/>
      <c r="M50" s="158"/>
      <c r="N50" s="158"/>
      <c r="O50" s="158"/>
      <c r="P50" s="158"/>
      <c r="Q50" s="158"/>
      <c r="R50" s="158"/>
      <c r="S50" s="158"/>
      <c r="T50" s="158"/>
      <c r="U50" s="158"/>
      <c r="V50" s="158"/>
      <c r="W50" s="226"/>
    </row>
    <row r="51" spans="1:23" ht="16" x14ac:dyDescent="0.15">
      <c r="A51" s="223"/>
      <c r="B51" s="158"/>
      <c r="C51" s="233" t="s">
        <v>50</v>
      </c>
      <c r="D51" s="379"/>
      <c r="E51" s="380"/>
      <c r="F51" s="381"/>
      <c r="G51" s="234" t="s">
        <v>153</v>
      </c>
      <c r="H51" s="235">
        <v>0</v>
      </c>
      <c r="I51" s="235">
        <v>0</v>
      </c>
      <c r="J51" s="158"/>
      <c r="K51" s="158"/>
      <c r="L51" s="158"/>
      <c r="M51" s="158"/>
      <c r="N51" s="233" t="s">
        <v>50</v>
      </c>
      <c r="O51" s="379" t="str">
        <f>IF(('Profit &amp; Loss Acc'!B5&lt;30000)," ",'Profit &amp; Loss Acc'!B19+'Profit &amp; Loss Acc'!B20)</f>
        <v xml:space="preserve"> </v>
      </c>
      <c r="P51" s="380"/>
      <c r="Q51" s="381"/>
      <c r="R51" s="234" t="s">
        <v>153</v>
      </c>
      <c r="S51" s="235">
        <v>0</v>
      </c>
      <c r="T51" s="235">
        <v>0</v>
      </c>
      <c r="U51" s="158"/>
      <c r="V51" s="158"/>
      <c r="W51" s="226"/>
    </row>
    <row r="52" spans="1:23" ht="12.75" customHeight="1" x14ac:dyDescent="0.15">
      <c r="A52" s="223"/>
      <c r="B52" s="158"/>
      <c r="C52" s="158"/>
      <c r="D52" s="158"/>
      <c r="E52" s="158"/>
      <c r="F52" s="158"/>
      <c r="G52" s="158"/>
      <c r="H52" s="158"/>
      <c r="I52" s="158"/>
      <c r="J52" s="158"/>
      <c r="K52" s="158"/>
      <c r="L52" s="158"/>
      <c r="M52" s="158"/>
      <c r="N52" s="158"/>
      <c r="O52" s="158"/>
      <c r="P52" s="158"/>
      <c r="Q52" s="158"/>
      <c r="R52" s="158"/>
      <c r="S52" s="158"/>
      <c r="T52" s="158"/>
      <c r="U52" s="158"/>
      <c r="V52" s="158"/>
      <c r="W52" s="226"/>
    </row>
    <row r="53" spans="1:23" x14ac:dyDescent="0.15">
      <c r="A53" s="219">
        <v>12</v>
      </c>
      <c r="B53" s="158"/>
      <c r="C53" s="210" t="s">
        <v>174</v>
      </c>
      <c r="D53" s="210"/>
      <c r="E53" s="210"/>
      <c r="F53" s="210"/>
      <c r="G53" s="210"/>
      <c r="H53" s="210"/>
      <c r="I53" s="210"/>
      <c r="J53" s="210"/>
      <c r="K53" s="210"/>
      <c r="L53" s="219">
        <v>17</v>
      </c>
      <c r="M53" s="158"/>
      <c r="N53" s="210" t="s">
        <v>175</v>
      </c>
      <c r="O53" s="158"/>
      <c r="P53" s="158"/>
      <c r="Q53" s="158"/>
      <c r="R53" s="158"/>
      <c r="S53" s="158"/>
      <c r="T53" s="158"/>
      <c r="U53" s="158"/>
      <c r="V53" s="158"/>
      <c r="W53" s="226"/>
    </row>
    <row r="54" spans="1:23" ht="6" customHeight="1" x14ac:dyDescent="0.15">
      <c r="A54" s="239"/>
      <c r="B54" s="158"/>
      <c r="C54" s="210"/>
      <c r="D54" s="210"/>
      <c r="E54" s="210"/>
      <c r="F54" s="210"/>
      <c r="G54" s="210"/>
      <c r="H54" s="210"/>
      <c r="I54" s="210"/>
      <c r="J54" s="210"/>
      <c r="K54" s="210"/>
      <c r="L54" s="210"/>
      <c r="M54" s="158"/>
      <c r="N54" s="158"/>
      <c r="O54" s="158"/>
      <c r="P54" s="158"/>
      <c r="Q54" s="158"/>
      <c r="R54" s="158"/>
      <c r="S54" s="158"/>
      <c r="T54" s="158"/>
      <c r="U54" s="158"/>
      <c r="V54" s="158"/>
      <c r="W54" s="226"/>
    </row>
    <row r="55" spans="1:23" ht="16" x14ac:dyDescent="0.15">
      <c r="A55" s="223"/>
      <c r="B55" s="158"/>
      <c r="C55" s="233" t="s">
        <v>50</v>
      </c>
      <c r="D55" s="379" t="str">
        <f>IF(('Profit &amp; Loss Acc'!B5&lt;30000)," ",'Profit &amp; Loss Acc'!B14)</f>
        <v xml:space="preserve"> </v>
      </c>
      <c r="E55" s="380"/>
      <c r="F55" s="381"/>
      <c r="G55" s="234" t="s">
        <v>153</v>
      </c>
      <c r="H55" s="235">
        <v>0</v>
      </c>
      <c r="I55" s="235">
        <v>0</v>
      </c>
      <c r="J55" s="158"/>
      <c r="K55" s="158"/>
      <c r="L55" s="158"/>
      <c r="M55" s="158"/>
      <c r="N55" s="233" t="s">
        <v>50</v>
      </c>
      <c r="O55" s="379" t="str">
        <f>IF(('Profit &amp; Loss Acc'!B5&lt;30000)," ",'Profit &amp; Loss Acc'!B16)</f>
        <v xml:space="preserve"> </v>
      </c>
      <c r="P55" s="380"/>
      <c r="Q55" s="381"/>
      <c r="R55" s="234" t="s">
        <v>153</v>
      </c>
      <c r="S55" s="235">
        <v>0</v>
      </c>
      <c r="T55" s="235">
        <v>0</v>
      </c>
      <c r="U55" s="158"/>
      <c r="V55" s="158"/>
      <c r="W55" s="226"/>
    </row>
    <row r="56" spans="1:23" x14ac:dyDescent="0.15">
      <c r="A56" s="223"/>
      <c r="B56" s="158"/>
      <c r="C56" s="158"/>
      <c r="D56" s="158"/>
      <c r="E56" s="158"/>
      <c r="F56" s="158"/>
      <c r="G56" s="158"/>
      <c r="H56" s="158"/>
      <c r="I56" s="158"/>
      <c r="J56" s="158"/>
      <c r="K56" s="158"/>
      <c r="L56" s="158"/>
      <c r="M56" s="158"/>
      <c r="N56" s="158"/>
      <c r="O56" s="158"/>
      <c r="P56" s="158"/>
      <c r="Q56" s="158"/>
      <c r="R56" s="158"/>
      <c r="S56" s="158"/>
      <c r="T56" s="158"/>
      <c r="U56" s="158"/>
      <c r="V56" s="158"/>
      <c r="W56" s="226"/>
    </row>
    <row r="57" spans="1:23" x14ac:dyDescent="0.15">
      <c r="A57" s="219">
        <v>13</v>
      </c>
      <c r="B57" s="158"/>
      <c r="C57" s="210" t="s">
        <v>176</v>
      </c>
      <c r="D57" s="210"/>
      <c r="E57" s="210"/>
      <c r="F57" s="210"/>
      <c r="G57" s="210"/>
      <c r="H57" s="210"/>
      <c r="I57" s="210"/>
      <c r="J57" s="210"/>
      <c r="K57" s="210"/>
      <c r="L57" s="219">
        <v>18</v>
      </c>
      <c r="M57" s="158"/>
      <c r="N57" s="210" t="s">
        <v>177</v>
      </c>
      <c r="O57" s="158"/>
      <c r="P57" s="158"/>
      <c r="Q57" s="158"/>
      <c r="R57" s="158"/>
      <c r="S57" s="158"/>
      <c r="T57" s="158"/>
      <c r="U57" s="158"/>
      <c r="V57" s="158"/>
      <c r="W57" s="226"/>
    </row>
    <row r="58" spans="1:23" x14ac:dyDescent="0.15">
      <c r="A58" s="223"/>
      <c r="B58" s="158"/>
      <c r="C58" s="158"/>
      <c r="D58" s="158"/>
      <c r="E58" s="158"/>
      <c r="F58" s="158"/>
      <c r="G58" s="158"/>
      <c r="H58" s="158"/>
      <c r="I58" s="158"/>
      <c r="J58" s="158"/>
      <c r="K58" s="158"/>
      <c r="L58" s="158"/>
      <c r="M58" s="158"/>
      <c r="N58" s="228" t="s">
        <v>178</v>
      </c>
      <c r="O58" s="158"/>
      <c r="P58" s="158"/>
      <c r="Q58" s="158"/>
      <c r="R58" s="158"/>
      <c r="S58" s="158"/>
      <c r="T58" s="158"/>
      <c r="U58" s="158"/>
      <c r="V58" s="158"/>
      <c r="W58" s="226"/>
    </row>
    <row r="59" spans="1:23" ht="6" customHeight="1" x14ac:dyDescent="0.15">
      <c r="A59" s="239"/>
      <c r="B59" s="158"/>
      <c r="C59" s="210"/>
      <c r="D59" s="210"/>
      <c r="E59" s="210"/>
      <c r="F59" s="210"/>
      <c r="G59" s="210"/>
      <c r="H59" s="210"/>
      <c r="I59" s="210"/>
      <c r="J59" s="210"/>
      <c r="K59" s="210"/>
      <c r="L59" s="210"/>
      <c r="M59" s="158"/>
      <c r="N59" s="158"/>
      <c r="O59" s="158"/>
      <c r="P59" s="158"/>
      <c r="Q59" s="158"/>
      <c r="R59" s="158"/>
      <c r="S59" s="158"/>
      <c r="T59" s="158"/>
      <c r="U59" s="158"/>
      <c r="V59" s="158"/>
      <c r="W59" s="226"/>
    </row>
    <row r="60" spans="1:23" ht="16" x14ac:dyDescent="0.15">
      <c r="A60" s="223"/>
      <c r="B60" s="158"/>
      <c r="C60" s="233" t="s">
        <v>50</v>
      </c>
      <c r="D60" s="379" t="str">
        <f>IF(('Profit &amp; Loss Acc'!B5&lt;30000)," ",'Profit &amp; Loss Acc'!B15)</f>
        <v xml:space="preserve"> </v>
      </c>
      <c r="E60" s="380"/>
      <c r="F60" s="381"/>
      <c r="G60" s="234" t="s">
        <v>153</v>
      </c>
      <c r="H60" s="235">
        <v>0</v>
      </c>
      <c r="I60" s="235">
        <v>0</v>
      </c>
      <c r="J60" s="158"/>
      <c r="K60" s="158"/>
      <c r="L60" s="158"/>
      <c r="M60" s="158"/>
      <c r="N60" s="233" t="s">
        <v>50</v>
      </c>
      <c r="O60" s="379" t="str">
        <f>IF(('Profit &amp; Loss Acc'!B5&lt;30000)," ",'Profit &amp; Loss Acc'!B17+'Profit &amp; Loss Acc'!B21)</f>
        <v xml:space="preserve"> </v>
      </c>
      <c r="P60" s="380"/>
      <c r="Q60" s="381"/>
      <c r="R60" s="234" t="s">
        <v>153</v>
      </c>
      <c r="S60" s="235">
        <v>0</v>
      </c>
      <c r="T60" s="235">
        <v>0</v>
      </c>
      <c r="U60" s="158"/>
      <c r="V60" s="158"/>
      <c r="W60" s="226"/>
    </row>
    <row r="61" spans="1:23" x14ac:dyDescent="0.15">
      <c r="A61" s="223"/>
      <c r="B61" s="158"/>
      <c r="C61" s="158"/>
      <c r="D61" s="158"/>
      <c r="E61" s="158"/>
      <c r="F61" s="158"/>
      <c r="G61" s="158"/>
      <c r="H61" s="158"/>
      <c r="I61" s="158"/>
      <c r="J61" s="158"/>
      <c r="K61" s="158"/>
      <c r="L61" s="158"/>
      <c r="M61" s="158"/>
      <c r="N61" s="158"/>
      <c r="O61" s="158"/>
      <c r="P61" s="158"/>
      <c r="Q61" s="158"/>
      <c r="R61" s="158"/>
      <c r="S61" s="158"/>
      <c r="T61" s="158"/>
      <c r="U61" s="158"/>
      <c r="V61" s="158"/>
      <c r="W61" s="226"/>
    </row>
    <row r="62" spans="1:23" x14ac:dyDescent="0.15">
      <c r="A62" s="219">
        <v>14</v>
      </c>
      <c r="B62" s="158"/>
      <c r="C62" s="210" t="s">
        <v>179</v>
      </c>
      <c r="D62" s="210"/>
      <c r="E62" s="210"/>
      <c r="F62" s="210"/>
      <c r="G62" s="210"/>
      <c r="H62" s="210"/>
      <c r="I62" s="210"/>
      <c r="J62" s="210"/>
      <c r="K62" s="210"/>
      <c r="L62" s="219">
        <v>19</v>
      </c>
      <c r="M62" s="158"/>
      <c r="N62" s="210" t="s">
        <v>180</v>
      </c>
      <c r="O62" s="158"/>
      <c r="P62" s="158"/>
      <c r="Q62" s="158"/>
      <c r="R62" s="158"/>
      <c r="S62" s="158"/>
      <c r="T62" s="158"/>
      <c r="U62" s="158"/>
      <c r="V62" s="158"/>
      <c r="W62" s="226"/>
    </row>
    <row r="63" spans="1:23" ht="6" customHeight="1" x14ac:dyDescent="0.15">
      <c r="A63" s="239"/>
      <c r="B63" s="158"/>
      <c r="C63" s="210"/>
      <c r="D63" s="210"/>
      <c r="E63" s="210"/>
      <c r="F63" s="210"/>
      <c r="G63" s="210"/>
      <c r="H63" s="210"/>
      <c r="I63" s="210"/>
      <c r="J63" s="210"/>
      <c r="K63" s="210"/>
      <c r="L63" s="210"/>
      <c r="M63" s="158"/>
      <c r="N63" s="158"/>
      <c r="O63" s="158"/>
      <c r="P63" s="158"/>
      <c r="Q63" s="158"/>
      <c r="R63" s="158"/>
      <c r="S63" s="158"/>
      <c r="T63" s="158"/>
      <c r="U63" s="158"/>
      <c r="V63" s="158"/>
      <c r="W63" s="226"/>
    </row>
    <row r="64" spans="1:23" ht="16" x14ac:dyDescent="0.15">
      <c r="A64" s="223"/>
      <c r="B64" s="158"/>
      <c r="C64" s="233" t="s">
        <v>50</v>
      </c>
      <c r="D64" s="379"/>
      <c r="E64" s="380"/>
      <c r="F64" s="381"/>
      <c r="G64" s="234" t="s">
        <v>153</v>
      </c>
      <c r="H64" s="235">
        <v>0</v>
      </c>
      <c r="I64" s="235">
        <v>0</v>
      </c>
      <c r="J64" s="158"/>
      <c r="K64" s="158"/>
      <c r="L64" s="158"/>
      <c r="M64" s="158"/>
      <c r="N64" s="233" t="s">
        <v>50</v>
      </c>
      <c r="O64" s="379">
        <f>'Profit &amp; Loss Acc'!B12+'Profit &amp; Loss Acc'!B22-'Profit &amp; Loss Acc'!B10</f>
        <v>0</v>
      </c>
      <c r="P64" s="380"/>
      <c r="Q64" s="381"/>
      <c r="R64" s="234" t="s">
        <v>153</v>
      </c>
      <c r="S64" s="235">
        <v>0</v>
      </c>
      <c r="T64" s="235">
        <v>0</v>
      </c>
      <c r="U64" s="158"/>
      <c r="V64" s="158"/>
      <c r="W64" s="226"/>
    </row>
    <row r="65" spans="1:26" ht="8" customHeight="1" x14ac:dyDescent="0.15">
      <c r="A65" s="230"/>
      <c r="B65" s="231"/>
      <c r="C65" s="231"/>
      <c r="D65" s="231"/>
      <c r="E65" s="231"/>
      <c r="F65" s="231"/>
      <c r="G65" s="231"/>
      <c r="H65" s="231"/>
      <c r="I65" s="231"/>
      <c r="J65" s="231"/>
      <c r="K65" s="231"/>
      <c r="L65" s="231"/>
      <c r="M65" s="231"/>
      <c r="N65" s="231"/>
      <c r="O65" s="231"/>
      <c r="P65" s="231"/>
      <c r="Q65" s="231"/>
      <c r="R65" s="231"/>
      <c r="S65" s="231"/>
      <c r="T65" s="231"/>
      <c r="U65" s="231"/>
      <c r="V65" s="231"/>
      <c r="W65" s="232"/>
    </row>
    <row r="66" spans="1:26" ht="25" customHeight="1" x14ac:dyDescent="0.15">
      <c r="A66" s="384" t="s">
        <v>181</v>
      </c>
      <c r="B66" s="384"/>
      <c r="C66" s="384"/>
      <c r="D66" s="384"/>
      <c r="E66" s="384"/>
      <c r="F66" s="384"/>
      <c r="G66" s="384"/>
      <c r="H66" s="384"/>
      <c r="I66" s="384"/>
      <c r="J66" s="384"/>
      <c r="K66" s="384"/>
      <c r="L66" s="384"/>
      <c r="M66" s="384"/>
      <c r="N66" s="384"/>
      <c r="O66" s="384"/>
      <c r="P66" s="384"/>
      <c r="Q66" s="384"/>
      <c r="R66" s="384"/>
      <c r="S66" s="384"/>
      <c r="T66" s="384"/>
      <c r="U66" s="384"/>
      <c r="V66" s="384"/>
      <c r="W66" s="384"/>
    </row>
    <row r="67" spans="1:26" ht="8" customHeight="1" x14ac:dyDescent="0.15">
      <c r="A67" s="216"/>
      <c r="B67" s="217"/>
      <c r="C67" s="217"/>
      <c r="D67" s="217"/>
      <c r="E67" s="217"/>
      <c r="F67" s="217"/>
      <c r="G67" s="217"/>
      <c r="H67" s="217"/>
      <c r="I67" s="217"/>
      <c r="J67" s="217"/>
      <c r="K67" s="217"/>
      <c r="L67" s="217"/>
      <c r="M67" s="217"/>
      <c r="N67" s="217"/>
      <c r="O67" s="217"/>
      <c r="P67" s="217"/>
      <c r="Q67" s="217"/>
      <c r="R67" s="217"/>
      <c r="S67" s="217"/>
      <c r="T67" s="217"/>
      <c r="U67" s="217"/>
      <c r="V67" s="217"/>
      <c r="W67" s="218"/>
    </row>
    <row r="68" spans="1:26" x14ac:dyDescent="0.15">
      <c r="A68" s="219">
        <v>20</v>
      </c>
      <c r="B68" s="158"/>
      <c r="C68" s="210" t="s">
        <v>182</v>
      </c>
      <c r="D68" s="210"/>
      <c r="E68" s="210"/>
      <c r="F68" s="210"/>
      <c r="G68" s="210"/>
      <c r="H68" s="210"/>
      <c r="I68" s="210"/>
      <c r="J68" s="210"/>
      <c r="K68" s="210"/>
      <c r="L68" s="219">
        <v>21</v>
      </c>
      <c r="M68" s="158"/>
      <c r="N68" s="210" t="s">
        <v>183</v>
      </c>
      <c r="O68" s="158"/>
      <c r="P68" s="158"/>
      <c r="Q68" s="158"/>
      <c r="R68" s="158"/>
      <c r="S68" s="158"/>
      <c r="T68" s="158"/>
      <c r="U68" s="158"/>
      <c r="V68" s="158"/>
      <c r="W68" s="226"/>
    </row>
    <row r="69" spans="1:26" x14ac:dyDescent="0.15">
      <c r="A69" s="223"/>
      <c r="B69" s="158"/>
      <c r="C69" s="228" t="s">
        <v>184</v>
      </c>
      <c r="D69" s="210"/>
      <c r="E69" s="210"/>
      <c r="F69" s="210"/>
      <c r="G69" s="210"/>
      <c r="H69" s="210"/>
      <c r="I69" s="210"/>
      <c r="J69" s="210"/>
      <c r="K69" s="210"/>
      <c r="L69" s="158"/>
      <c r="M69" s="158"/>
      <c r="N69" s="228" t="s">
        <v>185</v>
      </c>
      <c r="O69" s="158"/>
      <c r="P69" s="158"/>
      <c r="Q69" s="158"/>
      <c r="R69" s="158"/>
      <c r="S69" s="158"/>
      <c r="T69" s="158"/>
      <c r="U69" s="158"/>
      <c r="V69" s="158"/>
      <c r="W69" s="226"/>
    </row>
    <row r="70" spans="1:26" ht="6" customHeight="1" x14ac:dyDescent="0.15">
      <c r="A70" s="239"/>
      <c r="B70" s="158"/>
      <c r="C70" s="210"/>
      <c r="D70" s="210"/>
      <c r="E70" s="210"/>
      <c r="F70" s="210"/>
      <c r="G70" s="210"/>
      <c r="H70" s="210"/>
      <c r="I70" s="210"/>
      <c r="J70" s="210"/>
      <c r="K70" s="210"/>
      <c r="L70" s="210"/>
      <c r="M70" s="158"/>
      <c r="N70" s="158"/>
      <c r="O70" s="158"/>
      <c r="P70" s="158"/>
      <c r="Q70" s="158"/>
      <c r="R70" s="158"/>
      <c r="S70" s="158"/>
      <c r="T70" s="158"/>
      <c r="U70" s="158"/>
      <c r="V70" s="158"/>
      <c r="W70" s="226"/>
    </row>
    <row r="71" spans="1:26" ht="16" x14ac:dyDescent="0.15">
      <c r="A71" s="223"/>
      <c r="B71" s="158"/>
      <c r="C71" s="233" t="s">
        <v>50</v>
      </c>
      <c r="D71" s="379">
        <f>IF((D38+O38-O64)&gt;=0,D38+O38-O64,0)</f>
        <v>0</v>
      </c>
      <c r="E71" s="380"/>
      <c r="F71" s="381"/>
      <c r="G71" s="234" t="s">
        <v>153</v>
      </c>
      <c r="H71" s="235">
        <v>0</v>
      </c>
      <c r="I71" s="235">
        <v>0</v>
      </c>
      <c r="J71" s="158"/>
      <c r="K71" s="158"/>
      <c r="L71" s="158"/>
      <c r="M71" s="158"/>
      <c r="N71" s="233" t="s">
        <v>50</v>
      </c>
      <c r="O71" s="379">
        <f>IF((D38+O38-O64)&lt;0,-D38-O38+O64,0)</f>
        <v>0</v>
      </c>
      <c r="P71" s="380"/>
      <c r="Q71" s="381"/>
      <c r="R71" s="234" t="s">
        <v>153</v>
      </c>
      <c r="S71" s="235">
        <v>0</v>
      </c>
      <c r="T71" s="235">
        <v>0</v>
      </c>
      <c r="U71" s="158"/>
      <c r="V71" s="158"/>
      <c r="W71" s="240"/>
      <c r="Y71" s="241"/>
      <c r="Z71" s="241"/>
    </row>
    <row r="72" spans="1:26" ht="8" customHeight="1" x14ac:dyDescent="0.15">
      <c r="A72" s="230"/>
      <c r="B72" s="231"/>
      <c r="C72" s="231"/>
      <c r="D72" s="231"/>
      <c r="E72" s="231"/>
      <c r="F72" s="231"/>
      <c r="G72" s="231"/>
      <c r="H72" s="231"/>
      <c r="I72" s="231"/>
      <c r="J72" s="231"/>
      <c r="K72" s="231"/>
      <c r="L72" s="231"/>
      <c r="M72" s="231"/>
      <c r="N72" s="231"/>
      <c r="O72" s="231"/>
      <c r="P72" s="231"/>
      <c r="Q72" s="231"/>
      <c r="R72" s="231"/>
      <c r="S72" s="231"/>
      <c r="T72" s="231"/>
      <c r="U72" s="231"/>
      <c r="V72" s="231"/>
      <c r="W72" s="232"/>
    </row>
    <row r="73" spans="1:26" ht="25" customHeight="1" x14ac:dyDescent="0.15">
      <c r="A73" s="383" t="s">
        <v>186</v>
      </c>
      <c r="B73" s="383"/>
      <c r="C73" s="383"/>
      <c r="D73" s="383"/>
      <c r="E73" s="383"/>
      <c r="F73" s="383"/>
      <c r="G73" s="383"/>
      <c r="H73" s="383"/>
      <c r="I73" s="383"/>
      <c r="J73" s="383"/>
      <c r="K73" s="383"/>
      <c r="L73" s="383"/>
      <c r="M73" s="383"/>
      <c r="N73" s="383"/>
      <c r="O73" s="383"/>
      <c r="P73" s="383"/>
      <c r="Q73" s="383"/>
      <c r="R73" s="383"/>
      <c r="S73" s="383"/>
      <c r="T73" s="383"/>
      <c r="U73" s="383"/>
      <c r="V73" s="383"/>
      <c r="W73" s="383"/>
      <c r="Y73" s="241"/>
      <c r="Z73" s="241"/>
    </row>
    <row r="74" spans="1:26" ht="14" customHeight="1" x14ac:dyDescent="0.15">
      <c r="A74" s="382" t="s">
        <v>187</v>
      </c>
      <c r="B74" s="382"/>
      <c r="C74" s="382"/>
      <c r="D74" s="382"/>
      <c r="E74" s="382"/>
      <c r="F74" s="382"/>
      <c r="G74" s="382"/>
      <c r="H74" s="382"/>
      <c r="I74" s="382"/>
      <c r="J74" s="382"/>
      <c r="K74" s="382"/>
      <c r="L74" s="382"/>
      <c r="M74" s="382"/>
      <c r="N74" s="382"/>
      <c r="O74" s="382"/>
      <c r="P74" s="382"/>
      <c r="Q74" s="382"/>
      <c r="R74" s="382"/>
      <c r="S74" s="382"/>
      <c r="T74" s="382"/>
      <c r="U74" s="382"/>
      <c r="V74" s="382"/>
      <c r="W74" s="382"/>
    </row>
    <row r="75" spans="1:26" ht="14" customHeight="1" x14ac:dyDescent="0.15">
      <c r="A75" s="382" t="s">
        <v>188</v>
      </c>
      <c r="B75" s="382"/>
      <c r="C75" s="382"/>
      <c r="D75" s="382"/>
      <c r="E75" s="382"/>
      <c r="F75" s="382"/>
      <c r="G75" s="382"/>
      <c r="H75" s="382"/>
      <c r="I75" s="382"/>
      <c r="J75" s="382"/>
      <c r="K75" s="382"/>
      <c r="L75" s="382"/>
      <c r="M75" s="382"/>
      <c r="N75" s="382"/>
      <c r="O75" s="382"/>
      <c r="P75" s="382"/>
      <c r="Q75" s="382"/>
      <c r="R75" s="382"/>
      <c r="S75" s="382"/>
      <c r="T75" s="382"/>
      <c r="U75" s="382"/>
      <c r="V75" s="382"/>
      <c r="W75" s="382"/>
      <c r="Y75" s="241"/>
      <c r="Z75" s="241"/>
    </row>
    <row r="76" spans="1:26" ht="13.5" customHeight="1" x14ac:dyDescent="0.15">
      <c r="A76" s="382" t="s">
        <v>189</v>
      </c>
      <c r="B76" s="382"/>
      <c r="C76" s="382"/>
      <c r="D76" s="382"/>
      <c r="E76" s="382"/>
      <c r="F76" s="382"/>
      <c r="G76" s="382"/>
      <c r="H76" s="382"/>
      <c r="I76" s="382"/>
      <c r="J76" s="382"/>
      <c r="K76" s="382"/>
      <c r="L76" s="382"/>
      <c r="M76" s="382"/>
      <c r="N76" s="382"/>
      <c r="O76" s="382"/>
      <c r="P76" s="382"/>
      <c r="Q76" s="382"/>
      <c r="R76" s="382"/>
      <c r="S76" s="382"/>
      <c r="T76" s="382"/>
      <c r="U76" s="382"/>
      <c r="V76" s="382"/>
      <c r="W76" s="382"/>
    </row>
    <row r="77" spans="1:26" ht="8" customHeight="1" x14ac:dyDescent="0.15">
      <c r="A77" s="216"/>
      <c r="B77" s="217"/>
      <c r="C77" s="217"/>
      <c r="D77" s="217"/>
      <c r="E77" s="217"/>
      <c r="F77" s="217"/>
      <c r="G77" s="217"/>
      <c r="H77" s="217"/>
      <c r="I77" s="217"/>
      <c r="J77" s="217"/>
      <c r="K77" s="217"/>
      <c r="L77" s="217"/>
      <c r="M77" s="217"/>
      <c r="N77" s="217"/>
      <c r="O77" s="217"/>
      <c r="P77" s="217"/>
      <c r="Q77" s="217"/>
      <c r="R77" s="217"/>
      <c r="S77" s="217"/>
      <c r="T77" s="217"/>
      <c r="U77" s="217"/>
      <c r="V77" s="217"/>
      <c r="W77" s="218"/>
    </row>
    <row r="78" spans="1:26" x14ac:dyDescent="0.15">
      <c r="A78" s="219">
        <v>22</v>
      </c>
      <c r="B78" s="158"/>
      <c r="C78" s="210" t="s">
        <v>132</v>
      </c>
      <c r="D78" s="210"/>
      <c r="E78" s="210"/>
      <c r="F78" s="210"/>
      <c r="G78" s="210"/>
      <c r="H78" s="210"/>
      <c r="I78" s="210"/>
      <c r="J78" s="210"/>
      <c r="K78" s="210"/>
      <c r="L78" s="219">
        <v>24</v>
      </c>
      <c r="M78" s="158"/>
      <c r="N78" s="210" t="s">
        <v>214</v>
      </c>
      <c r="O78" s="158"/>
      <c r="P78" s="158"/>
      <c r="Q78" s="158"/>
      <c r="R78" s="158"/>
      <c r="S78" s="158"/>
      <c r="T78" s="158"/>
      <c r="U78" s="158"/>
      <c r="V78" s="158"/>
      <c r="W78" s="226"/>
    </row>
    <row r="79" spans="1:26" x14ac:dyDescent="0.15">
      <c r="A79" s="239"/>
      <c r="B79" s="158"/>
      <c r="C79" s="210"/>
      <c r="D79" s="210"/>
      <c r="E79" s="210"/>
      <c r="F79" s="210"/>
      <c r="G79" s="210"/>
      <c r="H79" s="210"/>
      <c r="I79" s="210"/>
      <c r="J79" s="210"/>
      <c r="K79" s="210"/>
      <c r="L79" s="158"/>
      <c r="M79" s="158"/>
      <c r="N79" s="158"/>
      <c r="O79" s="158"/>
      <c r="P79" s="158"/>
      <c r="Q79" s="158"/>
      <c r="R79" s="158"/>
      <c r="S79" s="242"/>
      <c r="T79" s="242"/>
      <c r="U79" s="242"/>
      <c r="V79" s="242"/>
      <c r="W79" s="226"/>
    </row>
    <row r="80" spans="1:26" ht="15" customHeight="1" x14ac:dyDescent="0.15">
      <c r="A80" s="239"/>
      <c r="B80" s="158"/>
      <c r="C80" s="233" t="s">
        <v>50</v>
      </c>
      <c r="D80" s="379">
        <f>IF(('Fixed Assets'!I1)&gt;0,'Fixed Assets'!I1,0)</f>
        <v>0</v>
      </c>
      <c r="E80" s="380"/>
      <c r="F80" s="381"/>
      <c r="G80" s="234" t="s">
        <v>153</v>
      </c>
      <c r="H80" s="235">
        <v>0</v>
      </c>
      <c r="I80" s="235">
        <v>0</v>
      </c>
      <c r="J80" s="210"/>
      <c r="K80" s="210"/>
      <c r="L80" s="210"/>
      <c r="M80" s="158"/>
      <c r="N80" s="233" t="s">
        <v>50</v>
      </c>
      <c r="O80" s="379">
        <f>IF(('Fixed Assets'!J1+'Fixed Assets'!P1)&gt;0,'Fixed Assets'!J1+'Fixed Assets'!P1,0)</f>
        <v>0</v>
      </c>
      <c r="P80" s="380"/>
      <c r="Q80" s="381"/>
      <c r="R80" s="234" t="s">
        <v>153</v>
      </c>
      <c r="S80" s="235">
        <v>0</v>
      </c>
      <c r="T80" s="235">
        <v>0</v>
      </c>
      <c r="U80" s="158"/>
      <c r="V80" s="158"/>
      <c r="W80" s="226"/>
    </row>
    <row r="81" spans="1:23" ht="6" customHeight="1" x14ac:dyDescent="0.15">
      <c r="A81" s="239"/>
      <c r="B81" s="158"/>
      <c r="C81" s="210"/>
      <c r="D81" s="210"/>
      <c r="E81" s="210"/>
      <c r="F81" s="210"/>
      <c r="G81" s="210"/>
      <c r="H81" s="210"/>
      <c r="I81" s="210"/>
      <c r="J81" s="210"/>
      <c r="K81" s="210"/>
      <c r="L81" s="210"/>
      <c r="M81" s="158"/>
      <c r="N81" s="158"/>
      <c r="O81" s="158"/>
      <c r="P81" s="158"/>
      <c r="Q81" s="158"/>
      <c r="R81" s="158"/>
      <c r="S81" s="158"/>
      <c r="T81" s="158"/>
      <c r="U81" s="158"/>
      <c r="V81" s="158"/>
      <c r="W81" s="226"/>
    </row>
    <row r="82" spans="1:23" x14ac:dyDescent="0.15">
      <c r="A82" s="219">
        <v>23</v>
      </c>
      <c r="B82" s="158"/>
      <c r="C82" s="210" t="s">
        <v>215</v>
      </c>
      <c r="D82" s="158"/>
      <c r="E82" s="158"/>
      <c r="F82" s="158"/>
      <c r="G82" s="158"/>
      <c r="H82" s="158"/>
      <c r="I82" s="158"/>
      <c r="J82" s="158"/>
      <c r="K82" s="158"/>
      <c r="L82" s="219">
        <v>25</v>
      </c>
      <c r="M82" s="158"/>
      <c r="N82" s="210" t="s">
        <v>190</v>
      </c>
      <c r="O82" s="158"/>
      <c r="P82" s="158"/>
      <c r="Q82" s="158"/>
      <c r="R82" s="158"/>
      <c r="S82" s="158"/>
      <c r="T82" s="158"/>
      <c r="U82" s="158"/>
      <c r="V82" s="158"/>
      <c r="W82" s="226"/>
    </row>
    <row r="83" spans="1:23" ht="11.25" customHeight="1" x14ac:dyDescent="0.15">
      <c r="A83" s="223"/>
      <c r="B83" s="158"/>
      <c r="C83" s="210" t="s">
        <v>216</v>
      </c>
      <c r="D83" s="158"/>
      <c r="E83" s="158"/>
      <c r="F83" s="158"/>
      <c r="G83" s="158"/>
      <c r="H83" s="158"/>
      <c r="I83" s="158"/>
      <c r="J83" s="158"/>
      <c r="K83" s="158"/>
      <c r="L83" s="210"/>
      <c r="M83" s="158"/>
      <c r="N83" s="210" t="s">
        <v>217</v>
      </c>
      <c r="O83" s="242"/>
      <c r="P83" s="242"/>
      <c r="Q83" s="242"/>
      <c r="R83" s="242"/>
      <c r="S83" s="231"/>
      <c r="T83" s="231"/>
      <c r="U83" s="231"/>
      <c r="V83" s="231"/>
      <c r="W83" s="232"/>
    </row>
    <row r="84" spans="1:23" ht="6" customHeight="1" x14ac:dyDescent="0.15">
      <c r="A84" s="239"/>
      <c r="B84" s="158"/>
      <c r="C84" s="210"/>
      <c r="D84" s="210"/>
      <c r="E84" s="210"/>
      <c r="F84" s="210"/>
      <c r="G84" s="210"/>
      <c r="H84" s="210"/>
      <c r="I84" s="210"/>
      <c r="J84" s="210"/>
      <c r="K84" s="210"/>
      <c r="L84" s="210"/>
      <c r="M84" s="158"/>
      <c r="N84" s="158"/>
      <c r="O84" s="158"/>
      <c r="P84" s="158"/>
      <c r="Q84" s="158"/>
      <c r="R84" s="158"/>
      <c r="S84" s="158"/>
      <c r="T84" s="158"/>
      <c r="U84" s="158"/>
      <c r="V84" s="158"/>
      <c r="W84" s="226"/>
    </row>
    <row r="85" spans="1:23" ht="16" x14ac:dyDescent="0.15">
      <c r="A85" s="239"/>
      <c r="B85" s="158"/>
      <c r="C85" s="233" t="s">
        <v>50</v>
      </c>
      <c r="D85" s="379">
        <f>IF(('Fixed Assets'!K1+'Fixed Assets'!J1)&lt;1000,'Fixed Assets'!K1,0)</f>
        <v>0</v>
      </c>
      <c r="E85" s="380"/>
      <c r="F85" s="381"/>
      <c r="G85" s="234" t="s">
        <v>153</v>
      </c>
      <c r="H85" s="235">
        <v>0</v>
      </c>
      <c r="I85" s="235">
        <v>0</v>
      </c>
      <c r="J85" s="210"/>
      <c r="K85" s="210"/>
      <c r="L85" s="158"/>
      <c r="M85" s="158"/>
      <c r="N85" s="233" t="s">
        <v>50</v>
      </c>
      <c r="O85" s="379">
        <f>IF('Fixed Assets'!Q1&gt;0,'Fixed Assets'!Q1,0)</f>
        <v>0</v>
      </c>
      <c r="P85" s="380"/>
      <c r="Q85" s="381"/>
      <c r="R85" s="234" t="s">
        <v>153</v>
      </c>
      <c r="S85" s="235">
        <v>0</v>
      </c>
      <c r="T85" s="235">
        <v>0</v>
      </c>
      <c r="U85" s="158"/>
      <c r="V85" s="158"/>
      <c r="W85" s="226"/>
    </row>
    <row r="86" spans="1:23" ht="8" customHeight="1" x14ac:dyDescent="0.15">
      <c r="A86" s="230"/>
      <c r="B86" s="231"/>
      <c r="C86" s="231"/>
      <c r="D86" s="231"/>
      <c r="E86" s="231"/>
      <c r="F86" s="231"/>
      <c r="G86" s="231"/>
      <c r="H86" s="231"/>
      <c r="I86" s="231"/>
      <c r="J86" s="231"/>
      <c r="K86" s="231"/>
      <c r="L86" s="231"/>
      <c r="M86" s="231"/>
      <c r="N86" s="231"/>
      <c r="O86" s="231"/>
      <c r="P86" s="231"/>
      <c r="Q86" s="231"/>
      <c r="R86" s="231"/>
      <c r="S86" s="231"/>
      <c r="T86" s="231"/>
      <c r="U86" s="231"/>
      <c r="V86" s="231"/>
      <c r="W86" s="232"/>
    </row>
    <row r="87" spans="1:23" ht="25" customHeight="1" x14ac:dyDescent="0.15">
      <c r="A87" s="378" t="s">
        <v>191</v>
      </c>
      <c r="B87" s="378"/>
      <c r="C87" s="378"/>
      <c r="D87" s="378"/>
      <c r="E87" s="378"/>
      <c r="F87" s="378"/>
      <c r="G87" s="378"/>
      <c r="H87" s="378"/>
      <c r="I87" s="378"/>
      <c r="J87" s="378"/>
      <c r="K87" s="378"/>
      <c r="L87" s="378"/>
      <c r="M87" s="378"/>
      <c r="N87" s="378"/>
      <c r="O87" s="378"/>
      <c r="P87" s="378"/>
      <c r="Q87" s="378"/>
      <c r="R87" s="378"/>
      <c r="S87" s="378"/>
      <c r="T87" s="378"/>
      <c r="U87" s="378"/>
      <c r="V87" s="378"/>
      <c r="W87" s="378"/>
    </row>
    <row r="88" spans="1:23" ht="16" customHeight="1" x14ac:dyDescent="0.15">
      <c r="A88" s="382" t="s">
        <v>192</v>
      </c>
      <c r="B88" s="382"/>
      <c r="C88" s="382"/>
      <c r="D88" s="382"/>
      <c r="E88" s="382"/>
      <c r="F88" s="382"/>
      <c r="G88" s="382"/>
      <c r="H88" s="382"/>
      <c r="I88" s="382"/>
      <c r="J88" s="382"/>
      <c r="K88" s="382"/>
      <c r="L88" s="382"/>
      <c r="M88" s="382"/>
      <c r="N88" s="382"/>
      <c r="O88" s="382"/>
      <c r="P88" s="382"/>
      <c r="Q88" s="382"/>
      <c r="R88" s="382"/>
      <c r="S88" s="382"/>
      <c r="T88" s="382"/>
      <c r="U88" s="382"/>
      <c r="V88" s="382"/>
      <c r="W88" s="382"/>
    </row>
    <row r="89" spans="1:23" ht="15.75" customHeight="1" x14ac:dyDescent="0.15">
      <c r="A89" s="382" t="s">
        <v>193</v>
      </c>
      <c r="B89" s="382"/>
      <c r="C89" s="382"/>
      <c r="D89" s="382"/>
      <c r="E89" s="382"/>
      <c r="F89" s="382"/>
      <c r="G89" s="382"/>
      <c r="H89" s="382"/>
      <c r="I89" s="382"/>
      <c r="J89" s="382"/>
      <c r="K89" s="382"/>
      <c r="L89" s="382"/>
      <c r="M89" s="382"/>
      <c r="N89" s="382"/>
      <c r="O89" s="382"/>
      <c r="P89" s="382"/>
      <c r="Q89" s="382"/>
      <c r="R89" s="382"/>
      <c r="S89" s="382"/>
      <c r="T89" s="382"/>
      <c r="U89" s="382"/>
      <c r="V89" s="382"/>
      <c r="W89" s="382"/>
    </row>
    <row r="90" spans="1:23" ht="8" customHeight="1" x14ac:dyDescent="0.15">
      <c r="A90" s="216"/>
      <c r="B90" s="217"/>
      <c r="C90" s="217"/>
      <c r="D90" s="217"/>
      <c r="E90" s="217"/>
      <c r="F90" s="217"/>
      <c r="G90" s="217"/>
      <c r="H90" s="217"/>
      <c r="I90" s="217"/>
      <c r="J90" s="217"/>
      <c r="K90" s="217"/>
      <c r="L90" s="217"/>
      <c r="M90" s="217"/>
      <c r="N90" s="217"/>
      <c r="O90" s="217"/>
      <c r="P90" s="217"/>
      <c r="Q90" s="217"/>
      <c r="R90" s="217"/>
      <c r="S90" s="217"/>
      <c r="T90" s="217"/>
      <c r="U90" s="217"/>
      <c r="V90" s="217"/>
      <c r="W90" s="218"/>
    </row>
    <row r="91" spans="1:23" x14ac:dyDescent="0.15">
      <c r="A91" s="219">
        <v>26</v>
      </c>
      <c r="B91" s="158"/>
      <c r="C91" s="210" t="s">
        <v>194</v>
      </c>
      <c r="D91" s="210"/>
      <c r="E91" s="210"/>
      <c r="F91" s="210"/>
      <c r="G91" s="210"/>
      <c r="H91" s="210"/>
      <c r="I91" s="210"/>
      <c r="J91" s="210"/>
      <c r="K91" s="210"/>
      <c r="L91" s="219">
        <v>28</v>
      </c>
      <c r="M91" s="158"/>
      <c r="N91" s="210" t="s">
        <v>195</v>
      </c>
      <c r="O91" s="158"/>
      <c r="P91" s="158"/>
      <c r="Q91" s="158"/>
      <c r="R91" s="158"/>
      <c r="S91" s="158"/>
      <c r="T91" s="158"/>
      <c r="U91" s="158"/>
      <c r="V91" s="158"/>
      <c r="W91" s="226"/>
    </row>
    <row r="92" spans="1:23" x14ac:dyDescent="0.15">
      <c r="A92" s="210"/>
      <c r="B92" s="158"/>
      <c r="C92" s="228" t="s">
        <v>218</v>
      </c>
      <c r="D92" s="210"/>
      <c r="E92" s="210"/>
      <c r="F92" s="210"/>
      <c r="G92" s="210"/>
      <c r="H92" s="210"/>
      <c r="I92" s="210"/>
      <c r="J92" s="210"/>
      <c r="K92" s="210"/>
      <c r="L92" s="210"/>
      <c r="M92" s="158"/>
      <c r="N92" s="210" t="s">
        <v>219</v>
      </c>
      <c r="O92" s="242"/>
      <c r="P92" s="242"/>
      <c r="Q92" s="242"/>
      <c r="R92" s="242"/>
      <c r="S92" s="242"/>
      <c r="T92" s="242"/>
      <c r="U92" s="242"/>
      <c r="V92" s="242"/>
      <c r="W92" s="226"/>
    </row>
    <row r="93" spans="1:23" ht="6" customHeight="1" x14ac:dyDescent="0.15">
      <c r="A93" s="210"/>
      <c r="B93" s="158"/>
      <c r="C93" s="210"/>
      <c r="D93" s="210"/>
      <c r="E93" s="210"/>
      <c r="F93" s="210"/>
      <c r="G93" s="210"/>
      <c r="H93" s="210"/>
      <c r="I93" s="210"/>
      <c r="J93" s="210"/>
      <c r="K93" s="210"/>
      <c r="L93" s="210"/>
      <c r="M93" s="158"/>
      <c r="N93" s="158"/>
      <c r="O93" s="158"/>
      <c r="P93" s="158"/>
      <c r="Q93" s="158"/>
      <c r="R93" s="158"/>
      <c r="S93" s="158"/>
      <c r="T93" s="158"/>
      <c r="U93" s="158"/>
      <c r="V93" s="158"/>
      <c r="W93" s="226"/>
    </row>
    <row r="94" spans="1:23" ht="16" x14ac:dyDescent="0.15">
      <c r="A94" s="158"/>
      <c r="B94" s="158"/>
      <c r="C94" s="233" t="s">
        <v>50</v>
      </c>
      <c r="D94" s="379">
        <f>'Business Details'!O29</f>
        <v>0</v>
      </c>
      <c r="E94" s="380"/>
      <c r="F94" s="381"/>
      <c r="G94" s="234" t="s">
        <v>153</v>
      </c>
      <c r="H94" s="235">
        <v>0</v>
      </c>
      <c r="I94" s="235">
        <v>0</v>
      </c>
      <c r="J94" s="158"/>
      <c r="K94" s="158"/>
      <c r="L94" s="158"/>
      <c r="M94" s="158"/>
      <c r="N94" s="233" t="s">
        <v>50</v>
      </c>
      <c r="O94" s="379">
        <f>IF(O106&gt;0,0,IF('Business Details'!D29=0,0,IF(D99&gt;'Business Details'!D29,'Business Details'!D29,D99)))</f>
        <v>0</v>
      </c>
      <c r="P94" s="380"/>
      <c r="Q94" s="381"/>
      <c r="R94" s="234" t="s">
        <v>153</v>
      </c>
      <c r="S94" s="235">
        <v>0</v>
      </c>
      <c r="T94" s="235">
        <v>0</v>
      </c>
      <c r="U94" s="158"/>
      <c r="V94" s="158"/>
      <c r="W94" s="226"/>
    </row>
    <row r="95" spans="1:23" x14ac:dyDescent="0.15">
      <c r="A95" s="158"/>
      <c r="B95" s="158"/>
      <c r="C95" s="158"/>
      <c r="D95" s="158"/>
      <c r="E95" s="158"/>
      <c r="F95" s="158"/>
      <c r="G95" s="158"/>
      <c r="H95" s="158"/>
      <c r="I95" s="158"/>
      <c r="J95" s="158"/>
      <c r="K95" s="158"/>
      <c r="L95" s="158"/>
      <c r="M95" s="158"/>
      <c r="N95" s="158"/>
      <c r="O95" s="158"/>
      <c r="P95" s="158"/>
      <c r="Q95" s="158"/>
      <c r="R95" s="158"/>
      <c r="S95" s="158"/>
      <c r="T95" s="158"/>
      <c r="U95" s="158"/>
      <c r="V95" s="158"/>
      <c r="W95" s="226"/>
    </row>
    <row r="96" spans="1:23" x14ac:dyDescent="0.15">
      <c r="A96" s="219">
        <v>27</v>
      </c>
      <c r="B96" s="158"/>
      <c r="C96" s="210" t="s">
        <v>220</v>
      </c>
      <c r="D96" s="210"/>
      <c r="E96" s="210"/>
      <c r="F96" s="210"/>
      <c r="G96" s="210"/>
      <c r="H96" s="210"/>
      <c r="I96" s="210"/>
      <c r="J96" s="210"/>
      <c r="K96" s="210"/>
      <c r="L96" s="219">
        <v>29</v>
      </c>
      <c r="M96" s="158"/>
      <c r="N96" s="210" t="s">
        <v>196</v>
      </c>
      <c r="O96" s="158"/>
      <c r="P96" s="158"/>
      <c r="Q96" s="158"/>
      <c r="R96" s="158"/>
      <c r="S96" s="158"/>
      <c r="T96" s="158"/>
      <c r="U96" s="158"/>
      <c r="V96" s="158"/>
      <c r="W96" s="226"/>
    </row>
    <row r="97" spans="1:26" ht="12" customHeight="1" x14ac:dyDescent="0.15">
      <c r="A97" s="239"/>
      <c r="B97" s="158"/>
      <c r="C97" s="210" t="s">
        <v>221</v>
      </c>
      <c r="D97" s="210"/>
      <c r="E97" s="210"/>
      <c r="F97" s="210"/>
      <c r="G97" s="210"/>
      <c r="H97" s="210"/>
      <c r="I97" s="210"/>
      <c r="J97" s="210"/>
      <c r="K97" s="210"/>
      <c r="L97" s="210"/>
      <c r="M97" s="158"/>
      <c r="N97" s="228" t="s">
        <v>197</v>
      </c>
      <c r="O97" s="158"/>
      <c r="P97" s="158"/>
      <c r="Q97" s="158"/>
      <c r="R97" s="158"/>
      <c r="S97" s="158"/>
      <c r="T97" s="158"/>
      <c r="U97" s="158"/>
      <c r="V97" s="158"/>
      <c r="W97" s="226"/>
    </row>
    <row r="98" spans="1:26" ht="6" customHeight="1" x14ac:dyDescent="0.15">
      <c r="A98" s="239"/>
      <c r="B98" s="158"/>
      <c r="C98" s="210"/>
      <c r="D98" s="210"/>
      <c r="E98" s="210"/>
      <c r="F98" s="210"/>
      <c r="G98" s="210"/>
      <c r="H98" s="210"/>
      <c r="I98" s="210"/>
      <c r="J98" s="210"/>
      <c r="K98" s="210"/>
      <c r="L98" s="210"/>
      <c r="M98" s="158"/>
      <c r="N98" s="158"/>
      <c r="O98" s="158"/>
      <c r="P98" s="158"/>
      <c r="Q98" s="158"/>
      <c r="R98" s="158"/>
      <c r="S98" s="158"/>
      <c r="T98" s="158"/>
      <c r="U98" s="158"/>
      <c r="V98" s="158"/>
      <c r="W98" s="226"/>
    </row>
    <row r="99" spans="1:26" ht="16" x14ac:dyDescent="0.15">
      <c r="A99" s="223"/>
      <c r="B99" s="158"/>
      <c r="C99" s="233" t="s">
        <v>50</v>
      </c>
      <c r="D99" s="379">
        <f>IF((D71+O85+D94-O71-D80-D85-O80)&gt;0,D71+O85+D94-O71-D80-D85-O80,0)</f>
        <v>0</v>
      </c>
      <c r="E99" s="380"/>
      <c r="F99" s="381"/>
      <c r="G99" s="234" t="s">
        <v>153</v>
      </c>
      <c r="H99" s="235">
        <v>0</v>
      </c>
      <c r="I99" s="235">
        <v>0</v>
      </c>
      <c r="J99" s="158"/>
      <c r="K99" s="158"/>
      <c r="L99" s="210"/>
      <c r="M99" s="158"/>
      <c r="N99" s="233" t="s">
        <v>50</v>
      </c>
      <c r="O99" s="379">
        <f>'Profit &amp; Loss Acc'!B24</f>
        <v>0</v>
      </c>
      <c r="P99" s="380"/>
      <c r="Q99" s="381"/>
      <c r="R99" s="234" t="s">
        <v>153</v>
      </c>
      <c r="S99" s="235">
        <v>0</v>
      </c>
      <c r="T99" s="235">
        <v>0</v>
      </c>
      <c r="U99" s="158"/>
      <c r="V99" s="158"/>
      <c r="W99" s="226"/>
      <c r="Y99" s="241"/>
      <c r="Z99" s="241"/>
    </row>
    <row r="100" spans="1:26" ht="12" customHeight="1" x14ac:dyDescent="0.15">
      <c r="A100" s="230"/>
      <c r="B100" s="231"/>
      <c r="C100" s="231"/>
      <c r="D100" s="231"/>
      <c r="E100" s="231"/>
      <c r="F100" s="231"/>
      <c r="G100" s="231"/>
      <c r="H100" s="231"/>
      <c r="I100" s="231"/>
      <c r="J100" s="231"/>
      <c r="K100" s="231"/>
      <c r="L100" s="231"/>
      <c r="M100" s="231"/>
      <c r="N100" s="231"/>
      <c r="O100" s="231"/>
      <c r="P100" s="231"/>
      <c r="Q100" s="231"/>
      <c r="R100" s="231"/>
      <c r="S100" s="231"/>
      <c r="T100" s="231"/>
      <c r="U100" s="231"/>
      <c r="V100" s="231"/>
      <c r="W100" s="232"/>
    </row>
    <row r="101" spans="1:26" ht="25" customHeight="1" x14ac:dyDescent="0.15">
      <c r="A101" s="383" t="s">
        <v>198</v>
      </c>
      <c r="B101" s="383"/>
      <c r="C101" s="383"/>
      <c r="D101" s="383"/>
      <c r="E101" s="383"/>
      <c r="F101" s="383"/>
      <c r="G101" s="383"/>
      <c r="H101" s="383"/>
      <c r="I101" s="383"/>
      <c r="J101" s="383"/>
      <c r="K101" s="383"/>
      <c r="L101" s="383"/>
      <c r="M101" s="383"/>
      <c r="N101" s="383"/>
      <c r="O101" s="383"/>
      <c r="P101" s="383"/>
      <c r="Q101" s="383"/>
      <c r="R101" s="383"/>
      <c r="S101" s="383"/>
      <c r="T101" s="383"/>
      <c r="U101" s="383"/>
      <c r="V101" s="383"/>
      <c r="W101" s="383"/>
    </row>
    <row r="102" spans="1:26" ht="8" customHeight="1" x14ac:dyDescent="0.15">
      <c r="A102" s="216"/>
      <c r="B102" s="217"/>
      <c r="C102" s="217"/>
      <c r="D102" s="217"/>
      <c r="E102" s="217"/>
      <c r="F102" s="217"/>
      <c r="G102" s="217"/>
      <c r="H102" s="217"/>
      <c r="I102" s="217"/>
      <c r="J102" s="217"/>
      <c r="K102" s="217"/>
      <c r="L102" s="217"/>
      <c r="M102" s="217"/>
      <c r="N102" s="217"/>
      <c r="O102" s="217"/>
      <c r="P102" s="217"/>
      <c r="Q102" s="217"/>
      <c r="R102" s="217"/>
      <c r="S102" s="217"/>
      <c r="T102" s="217"/>
      <c r="U102" s="217"/>
      <c r="V102" s="217"/>
      <c r="W102" s="218"/>
    </row>
    <row r="103" spans="1:26" x14ac:dyDescent="0.15">
      <c r="A103" s="219">
        <v>30</v>
      </c>
      <c r="B103" s="158"/>
      <c r="C103" s="210" t="s">
        <v>222</v>
      </c>
      <c r="D103" s="210"/>
      <c r="E103" s="210"/>
      <c r="F103" s="210"/>
      <c r="G103" s="210"/>
      <c r="H103" s="210"/>
      <c r="I103" s="210"/>
      <c r="J103" s="210"/>
      <c r="K103" s="210"/>
      <c r="L103" s="219">
        <v>31</v>
      </c>
      <c r="M103" s="158"/>
      <c r="N103" s="210" t="s">
        <v>223</v>
      </c>
      <c r="O103" s="158"/>
      <c r="P103" s="158"/>
      <c r="Q103" s="158"/>
      <c r="R103" s="158"/>
      <c r="S103" s="158"/>
      <c r="T103" s="158"/>
      <c r="U103" s="158"/>
      <c r="V103" s="158"/>
      <c r="W103" s="226"/>
    </row>
    <row r="104" spans="1:26" ht="12" customHeight="1" x14ac:dyDescent="0.15">
      <c r="A104" s="223"/>
      <c r="B104" s="158"/>
      <c r="C104" s="224" t="s">
        <v>224</v>
      </c>
      <c r="D104" s="243"/>
      <c r="E104" s="243"/>
      <c r="F104" s="243"/>
      <c r="G104" s="234"/>
      <c r="H104" s="237"/>
      <c r="I104" s="237"/>
      <c r="J104" s="158"/>
      <c r="K104" s="158"/>
      <c r="L104" s="210"/>
      <c r="M104" s="158"/>
      <c r="N104" s="210" t="s">
        <v>225</v>
      </c>
      <c r="O104" s="158"/>
      <c r="P104" s="158"/>
      <c r="Q104" s="158"/>
      <c r="R104" s="158"/>
      <c r="S104" s="158"/>
      <c r="T104" s="158"/>
      <c r="U104" s="158"/>
      <c r="V104" s="158"/>
      <c r="W104" s="226"/>
    </row>
    <row r="105" spans="1:26" ht="6" customHeight="1" x14ac:dyDescent="0.15">
      <c r="A105" s="239"/>
      <c r="B105" s="158"/>
      <c r="C105" s="210"/>
      <c r="D105" s="210"/>
      <c r="E105" s="210"/>
      <c r="F105" s="210"/>
      <c r="G105" s="210"/>
      <c r="H105" s="210"/>
      <c r="I105" s="210"/>
      <c r="J105" s="210"/>
      <c r="K105" s="210"/>
      <c r="L105" s="210"/>
      <c r="M105" s="158"/>
      <c r="N105" s="158"/>
      <c r="O105" s="158"/>
      <c r="P105" s="158"/>
      <c r="Q105" s="158"/>
      <c r="R105" s="158"/>
      <c r="S105" s="158"/>
      <c r="T105" s="158"/>
      <c r="U105" s="158"/>
      <c r="V105" s="158"/>
      <c r="W105" s="226"/>
    </row>
    <row r="106" spans="1:26" ht="16" x14ac:dyDescent="0.15">
      <c r="A106" s="239"/>
      <c r="B106" s="158"/>
      <c r="C106" s="233" t="s">
        <v>50</v>
      </c>
      <c r="D106" s="379">
        <f>IF((D99+O99-O94)&gt;0,D99+O99-O94,0)</f>
        <v>0</v>
      </c>
      <c r="E106" s="380"/>
      <c r="F106" s="381"/>
      <c r="G106" s="234" t="s">
        <v>153</v>
      </c>
      <c r="H106" s="235">
        <v>0</v>
      </c>
      <c r="I106" s="235">
        <v>0</v>
      </c>
      <c r="J106" s="210"/>
      <c r="K106" s="210"/>
      <c r="L106" s="210"/>
      <c r="M106" s="158"/>
      <c r="N106" s="233" t="s">
        <v>50</v>
      </c>
      <c r="O106" s="379">
        <f>IF((O71+D80+D85+O80-D71-O85-D94)&gt;=0,O71+D80+D85+O80-D71-O85-D94,0)</f>
        <v>0</v>
      </c>
      <c r="P106" s="380"/>
      <c r="Q106" s="381"/>
      <c r="R106" s="234" t="s">
        <v>153</v>
      </c>
      <c r="S106" s="235">
        <v>0</v>
      </c>
      <c r="T106" s="235">
        <v>0</v>
      </c>
      <c r="U106" s="158"/>
      <c r="V106" s="158"/>
      <c r="W106" s="226"/>
    </row>
    <row r="107" spans="1:26" ht="6" customHeight="1" x14ac:dyDescent="0.15">
      <c r="A107" s="230"/>
      <c r="B107" s="231"/>
      <c r="C107" s="231"/>
      <c r="D107" s="231"/>
      <c r="E107" s="231"/>
      <c r="F107" s="231"/>
      <c r="G107" s="231"/>
      <c r="H107" s="231"/>
      <c r="I107" s="231"/>
      <c r="J107" s="231"/>
      <c r="K107" s="231"/>
      <c r="L107" s="231"/>
      <c r="M107" s="231"/>
      <c r="N107" s="244"/>
      <c r="O107" s="231"/>
      <c r="P107" s="231"/>
      <c r="Q107" s="231"/>
      <c r="R107" s="231"/>
      <c r="S107" s="231"/>
      <c r="T107" s="231"/>
      <c r="U107" s="231"/>
      <c r="V107" s="231"/>
      <c r="W107" s="232"/>
    </row>
    <row r="108" spans="1:26" ht="25" customHeight="1" x14ac:dyDescent="0.15">
      <c r="A108" s="378" t="s">
        <v>199</v>
      </c>
      <c r="B108" s="378"/>
      <c r="C108" s="378"/>
      <c r="D108" s="378"/>
      <c r="E108" s="378"/>
      <c r="F108" s="378"/>
      <c r="G108" s="378"/>
      <c r="H108" s="378"/>
      <c r="I108" s="378"/>
      <c r="J108" s="378"/>
      <c r="K108" s="378"/>
      <c r="L108" s="378"/>
      <c r="M108" s="378"/>
      <c r="N108" s="378"/>
      <c r="O108" s="378"/>
      <c r="P108" s="378"/>
      <c r="Q108" s="378"/>
      <c r="R108" s="378"/>
      <c r="S108" s="378"/>
      <c r="T108" s="378"/>
      <c r="U108" s="378"/>
      <c r="V108" s="378"/>
      <c r="W108" s="378"/>
    </row>
    <row r="109" spans="1:26" ht="16" customHeight="1" x14ac:dyDescent="0.15">
      <c r="A109" s="382" t="s">
        <v>200</v>
      </c>
      <c r="B109" s="382"/>
      <c r="C109" s="382"/>
      <c r="D109" s="382"/>
      <c r="E109" s="382"/>
      <c r="F109" s="382"/>
      <c r="G109" s="382"/>
      <c r="H109" s="382"/>
      <c r="I109" s="382"/>
      <c r="J109" s="382"/>
      <c r="K109" s="382"/>
      <c r="L109" s="382"/>
      <c r="M109" s="382"/>
      <c r="N109" s="382"/>
      <c r="O109" s="382"/>
      <c r="P109" s="382"/>
      <c r="Q109" s="382"/>
      <c r="R109" s="382"/>
      <c r="S109" s="382"/>
      <c r="T109" s="382"/>
      <c r="U109" s="382"/>
      <c r="V109" s="382"/>
      <c r="W109" s="382"/>
    </row>
    <row r="110" spans="1:26" ht="8" customHeight="1" x14ac:dyDescent="0.15">
      <c r="A110" s="216"/>
      <c r="B110" s="217"/>
      <c r="C110" s="217"/>
      <c r="D110" s="217"/>
      <c r="E110" s="217"/>
      <c r="F110" s="217"/>
      <c r="G110" s="217"/>
      <c r="H110" s="217"/>
      <c r="I110" s="217"/>
      <c r="J110" s="217"/>
      <c r="K110" s="217"/>
      <c r="L110" s="217"/>
      <c r="M110" s="217"/>
      <c r="N110" s="217"/>
      <c r="O110" s="217"/>
      <c r="P110" s="217"/>
      <c r="Q110" s="217"/>
      <c r="R110" s="217"/>
      <c r="S110" s="217"/>
      <c r="T110" s="217"/>
      <c r="U110" s="217"/>
      <c r="V110" s="217"/>
      <c r="W110" s="218"/>
    </row>
    <row r="111" spans="1:26" x14ac:dyDescent="0.15">
      <c r="A111" s="219">
        <v>32</v>
      </c>
      <c r="B111" s="158"/>
      <c r="C111" s="210" t="s">
        <v>201</v>
      </c>
      <c r="D111" s="210"/>
      <c r="E111" s="210"/>
      <c r="F111" s="210"/>
      <c r="G111" s="210"/>
      <c r="H111" s="210"/>
      <c r="I111" s="210"/>
      <c r="J111" s="210"/>
      <c r="K111" s="210"/>
      <c r="L111" s="219">
        <v>35</v>
      </c>
      <c r="M111" s="158"/>
      <c r="N111" s="210" t="s">
        <v>202</v>
      </c>
      <c r="O111" s="158"/>
      <c r="P111" s="158"/>
      <c r="Q111" s="158"/>
      <c r="R111" s="158"/>
      <c r="S111" s="158"/>
      <c r="T111" s="158"/>
      <c r="U111" s="158"/>
      <c r="V111" s="158"/>
      <c r="W111" s="226"/>
    </row>
    <row r="112" spans="1:26" x14ac:dyDescent="0.15">
      <c r="A112" s="239"/>
      <c r="B112" s="158"/>
      <c r="C112" s="210" t="s">
        <v>203</v>
      </c>
      <c r="D112" s="408" t="str">
        <f>Admin!G$2</f>
        <v>2025-26</v>
      </c>
      <c r="E112" s="409"/>
      <c r="F112" s="409"/>
      <c r="G112" s="210"/>
      <c r="H112" s="210"/>
      <c r="I112" s="210"/>
      <c r="J112" s="210"/>
      <c r="K112" s="210"/>
      <c r="L112" s="210"/>
      <c r="M112" s="158"/>
      <c r="N112" s="210" t="s">
        <v>226</v>
      </c>
      <c r="O112" s="242"/>
      <c r="P112" s="242"/>
      <c r="Q112" s="242"/>
      <c r="R112" s="242"/>
      <c r="S112" s="242"/>
      <c r="T112" s="242"/>
      <c r="U112" s="242"/>
      <c r="V112" s="242"/>
      <c r="W112" s="226"/>
    </row>
    <row r="113" spans="1:23" ht="6" customHeight="1" x14ac:dyDescent="0.15">
      <c r="A113" s="239"/>
      <c r="B113" s="158"/>
      <c r="C113" s="210"/>
      <c r="D113" s="210"/>
      <c r="E113" s="210"/>
      <c r="F113" s="210"/>
      <c r="G113" s="210"/>
      <c r="H113" s="210"/>
      <c r="I113" s="210"/>
      <c r="J113" s="210"/>
      <c r="K113" s="210"/>
      <c r="L113" s="210"/>
      <c r="M113" s="158"/>
      <c r="N113" s="158"/>
      <c r="O113" s="158"/>
      <c r="P113" s="158"/>
      <c r="Q113" s="158"/>
      <c r="R113" s="158"/>
      <c r="S113" s="158"/>
      <c r="T113" s="158"/>
      <c r="U113" s="158"/>
      <c r="V113" s="158"/>
      <c r="W113" s="226"/>
    </row>
    <row r="114" spans="1:23" ht="16" x14ac:dyDescent="0.15">
      <c r="A114" s="223"/>
      <c r="B114" s="158"/>
      <c r="C114" s="233" t="s">
        <v>50</v>
      </c>
      <c r="D114" s="379"/>
      <c r="E114" s="380"/>
      <c r="F114" s="381"/>
      <c r="G114" s="234" t="s">
        <v>153</v>
      </c>
      <c r="H114" s="235">
        <v>0</v>
      </c>
      <c r="I114" s="235">
        <v>0</v>
      </c>
      <c r="J114" s="158"/>
      <c r="K114" s="158"/>
      <c r="L114" s="158"/>
      <c r="M114" s="158"/>
      <c r="N114" s="219"/>
      <c r="O114" s="243"/>
      <c r="P114" s="243"/>
      <c r="Q114" s="243"/>
      <c r="R114" s="234"/>
      <c r="S114" s="237"/>
      <c r="T114" s="237"/>
      <c r="U114" s="158"/>
      <c r="V114" s="158"/>
      <c r="W114" s="226"/>
    </row>
    <row r="115" spans="1:23" x14ac:dyDescent="0.15">
      <c r="A115" s="223"/>
      <c r="B115" s="158"/>
      <c r="C115" s="158"/>
      <c r="D115" s="158"/>
      <c r="E115" s="158"/>
      <c r="F115" s="158"/>
      <c r="G115" s="158"/>
      <c r="H115" s="158"/>
      <c r="I115" s="158"/>
      <c r="J115" s="158"/>
      <c r="K115" s="158"/>
      <c r="L115" s="158"/>
      <c r="M115" s="158"/>
      <c r="N115" s="158"/>
      <c r="O115" s="158"/>
      <c r="P115" s="158"/>
      <c r="Q115" s="158"/>
      <c r="R115" s="158"/>
      <c r="S115" s="158"/>
      <c r="T115" s="158"/>
      <c r="U115" s="158"/>
      <c r="V115" s="158"/>
      <c r="W115" s="226"/>
    </row>
    <row r="116" spans="1:23" x14ac:dyDescent="0.15">
      <c r="A116" s="219">
        <v>33</v>
      </c>
      <c r="B116" s="158"/>
      <c r="C116" s="210" t="s">
        <v>204</v>
      </c>
      <c r="D116" s="210"/>
      <c r="E116" s="210"/>
      <c r="F116" s="210"/>
      <c r="G116" s="210"/>
      <c r="H116" s="210"/>
      <c r="I116" s="210"/>
      <c r="J116" s="210"/>
      <c r="K116" s="210"/>
      <c r="L116" s="219">
        <v>36</v>
      </c>
      <c r="M116" s="158"/>
      <c r="N116" s="210" t="s">
        <v>205</v>
      </c>
      <c r="O116" s="158"/>
      <c r="P116" s="158"/>
      <c r="Q116" s="158"/>
      <c r="R116" s="408" t="str">
        <f>Admin!G$2</f>
        <v>2025-26</v>
      </c>
      <c r="S116" s="409"/>
      <c r="T116" s="409"/>
      <c r="U116" s="210" t="s">
        <v>206</v>
      </c>
      <c r="V116" s="158"/>
      <c r="W116" s="226"/>
    </row>
    <row r="117" spans="1:23" ht="12" customHeight="1" x14ac:dyDescent="0.15">
      <c r="A117" s="239"/>
      <c r="B117" s="158"/>
      <c r="C117" s="210" t="s">
        <v>207</v>
      </c>
      <c r="D117" s="210"/>
      <c r="E117" s="210"/>
      <c r="F117" s="210"/>
      <c r="G117" s="210"/>
      <c r="H117" s="210"/>
      <c r="I117" s="210"/>
      <c r="J117" s="210"/>
      <c r="K117" s="210"/>
      <c r="L117" s="210"/>
      <c r="M117" s="158"/>
      <c r="N117" s="210" t="s">
        <v>227</v>
      </c>
      <c r="O117" s="158"/>
      <c r="P117" s="158"/>
      <c r="Q117" s="158"/>
      <c r="R117" s="158"/>
      <c r="S117" s="158"/>
      <c r="T117" s="158"/>
      <c r="U117" s="158"/>
      <c r="V117" s="158"/>
      <c r="W117" s="226"/>
    </row>
    <row r="118" spans="1:23" ht="12" customHeight="1" x14ac:dyDescent="0.15">
      <c r="A118" s="239"/>
      <c r="B118" s="158"/>
      <c r="C118" s="210"/>
      <c r="D118" s="210"/>
      <c r="E118" s="210"/>
      <c r="F118" s="210"/>
      <c r="G118" s="210"/>
      <c r="H118" s="210"/>
      <c r="I118" s="210"/>
      <c r="J118" s="210"/>
      <c r="K118" s="210"/>
      <c r="L118" s="210"/>
      <c r="M118" s="158"/>
      <c r="N118" s="229" t="s">
        <v>208</v>
      </c>
      <c r="O118" s="158"/>
      <c r="P118" s="158"/>
      <c r="Q118" s="158"/>
      <c r="R118" s="158"/>
      <c r="S118" s="158"/>
      <c r="T118" s="158"/>
      <c r="U118" s="158"/>
      <c r="V118" s="158"/>
      <c r="W118" s="226"/>
    </row>
    <row r="119" spans="1:23" ht="16" x14ac:dyDescent="0.15">
      <c r="A119" s="223"/>
      <c r="B119" s="158"/>
      <c r="C119" s="233" t="s">
        <v>50</v>
      </c>
      <c r="D119" s="379"/>
      <c r="E119" s="380"/>
      <c r="F119" s="381"/>
      <c r="G119" s="234" t="s">
        <v>153</v>
      </c>
      <c r="H119" s="235">
        <v>0</v>
      </c>
      <c r="I119" s="235">
        <v>0</v>
      </c>
      <c r="J119" s="158"/>
      <c r="K119" s="158"/>
      <c r="L119" s="210"/>
      <c r="M119" s="158"/>
      <c r="N119" s="219"/>
      <c r="O119" s="158"/>
      <c r="P119" s="158"/>
      <c r="Q119" s="158"/>
      <c r="R119" s="158"/>
      <c r="S119" s="158"/>
      <c r="T119" s="158"/>
      <c r="U119" s="158"/>
      <c r="V119" s="158"/>
      <c r="W119" s="226"/>
    </row>
    <row r="120" spans="1:23" x14ac:dyDescent="0.15">
      <c r="A120" s="219">
        <v>34</v>
      </c>
      <c r="B120" s="158"/>
      <c r="C120" s="210" t="s">
        <v>209</v>
      </c>
      <c r="D120" s="210"/>
      <c r="E120" s="210"/>
      <c r="F120" s="210"/>
      <c r="G120" s="210"/>
      <c r="H120" s="210"/>
      <c r="I120" s="210"/>
      <c r="J120" s="210"/>
      <c r="K120" s="210"/>
      <c r="L120" s="219">
        <v>37</v>
      </c>
      <c r="M120" s="158"/>
      <c r="N120" s="210" t="s">
        <v>210</v>
      </c>
      <c r="O120" s="158"/>
      <c r="P120" s="158"/>
      <c r="Q120" s="158"/>
      <c r="R120" s="158"/>
      <c r="S120" s="158"/>
      <c r="T120" s="158"/>
      <c r="U120" s="158"/>
      <c r="V120" s="158"/>
      <c r="W120" s="226"/>
    </row>
    <row r="121" spans="1:23" ht="12" customHeight="1" x14ac:dyDescent="0.15">
      <c r="A121" s="239"/>
      <c r="B121" s="158"/>
      <c r="C121" s="228" t="s">
        <v>211</v>
      </c>
      <c r="D121" s="210"/>
      <c r="E121" s="210"/>
      <c r="F121" s="210"/>
      <c r="G121" s="210"/>
      <c r="H121" s="210"/>
      <c r="I121" s="210"/>
      <c r="J121" s="210"/>
      <c r="K121" s="210"/>
      <c r="L121" s="210"/>
      <c r="M121" s="158"/>
      <c r="N121" s="210" t="s">
        <v>212</v>
      </c>
      <c r="O121" s="158"/>
      <c r="P121" s="158"/>
      <c r="Q121" s="158"/>
      <c r="R121" s="158"/>
      <c r="S121" s="158"/>
      <c r="T121" s="158"/>
      <c r="U121" s="158"/>
      <c r="V121" s="158"/>
      <c r="W121" s="226"/>
    </row>
    <row r="122" spans="1:23" ht="6" customHeight="1" x14ac:dyDescent="0.15">
      <c r="A122" s="239"/>
      <c r="B122" s="158"/>
      <c r="C122" s="210"/>
      <c r="D122" s="210"/>
      <c r="E122" s="210"/>
      <c r="F122" s="210"/>
      <c r="G122" s="210"/>
      <c r="H122" s="210"/>
      <c r="I122" s="210"/>
      <c r="J122" s="210"/>
      <c r="K122" s="210"/>
      <c r="L122" s="210"/>
      <c r="M122" s="158"/>
      <c r="N122" s="158"/>
      <c r="O122" s="158"/>
      <c r="P122" s="158"/>
      <c r="Q122" s="158"/>
      <c r="R122" s="158"/>
      <c r="S122" s="158"/>
      <c r="T122" s="158"/>
      <c r="U122" s="158"/>
      <c r="V122" s="158"/>
      <c r="W122" s="226"/>
    </row>
    <row r="123" spans="1:23" ht="16" x14ac:dyDescent="0.15">
      <c r="A123" s="223"/>
      <c r="B123" s="158"/>
      <c r="C123" s="233" t="s">
        <v>50</v>
      </c>
      <c r="D123" s="379">
        <f>'Business Details'!O34</f>
        <v>0</v>
      </c>
      <c r="E123" s="380"/>
      <c r="F123" s="381"/>
      <c r="G123" s="234" t="s">
        <v>153</v>
      </c>
      <c r="H123" s="235">
        <v>0</v>
      </c>
      <c r="I123" s="235">
        <v>0</v>
      </c>
      <c r="J123" s="158"/>
      <c r="K123" s="158"/>
      <c r="L123" s="210"/>
      <c r="M123" s="158"/>
      <c r="N123" s="233" t="s">
        <v>50</v>
      </c>
      <c r="O123" s="379">
        <v>0</v>
      </c>
      <c r="P123" s="380"/>
      <c r="Q123" s="381"/>
      <c r="R123" s="234" t="s">
        <v>153</v>
      </c>
      <c r="S123" s="235">
        <v>0</v>
      </c>
      <c r="T123" s="235">
        <v>0</v>
      </c>
      <c r="U123" s="158"/>
      <c r="V123" s="158"/>
      <c r="W123" s="226"/>
    </row>
    <row r="124" spans="1:23" ht="12" customHeight="1" x14ac:dyDescent="0.15">
      <c r="A124" s="230"/>
      <c r="B124" s="231"/>
      <c r="C124" s="231"/>
      <c r="D124" s="231"/>
      <c r="E124" s="231"/>
      <c r="F124" s="231"/>
      <c r="G124" s="231"/>
      <c r="H124" s="231"/>
      <c r="I124" s="231"/>
      <c r="J124" s="231"/>
      <c r="K124" s="231"/>
      <c r="L124" s="244"/>
      <c r="M124" s="231"/>
      <c r="N124" s="245"/>
      <c r="O124" s="246"/>
      <c r="P124" s="246"/>
      <c r="Q124" s="246"/>
      <c r="R124" s="247"/>
      <c r="S124" s="248"/>
      <c r="T124" s="248"/>
      <c r="U124" s="231"/>
      <c r="V124" s="231"/>
      <c r="W124" s="232"/>
    </row>
  </sheetData>
  <mergeCells count="67">
    <mergeCell ref="D119:F119"/>
    <mergeCell ref="D123:F123"/>
    <mergeCell ref="O123:Q123"/>
    <mergeCell ref="A109:W109"/>
    <mergeCell ref="D112:F112"/>
    <mergeCell ref="D114:F114"/>
    <mergeCell ref="R116:T116"/>
    <mergeCell ref="A1:F2"/>
    <mergeCell ref="G1:N2"/>
    <mergeCell ref="O1:W1"/>
    <mergeCell ref="O2:P2"/>
    <mergeCell ref="Q2:T2"/>
    <mergeCell ref="V2:W2"/>
    <mergeCell ref="A3:W3"/>
    <mergeCell ref="A4:W4"/>
    <mergeCell ref="C8:J8"/>
    <mergeCell ref="O8:P8"/>
    <mergeCell ref="R8:U8"/>
    <mergeCell ref="A10:W10"/>
    <mergeCell ref="C13:J13"/>
    <mergeCell ref="C15:J15"/>
    <mergeCell ref="C17:J17"/>
    <mergeCell ref="S17:V17"/>
    <mergeCell ref="N18:V18"/>
    <mergeCell ref="N20:Q20"/>
    <mergeCell ref="C22:D22"/>
    <mergeCell ref="S23:V23"/>
    <mergeCell ref="N26:Q26"/>
    <mergeCell ref="N31:Q31"/>
    <mergeCell ref="A33:W33"/>
    <mergeCell ref="D38:F38"/>
    <mergeCell ref="O38:Q38"/>
    <mergeCell ref="A40:W40"/>
    <mergeCell ref="A41:W41"/>
    <mergeCell ref="A42:W42"/>
    <mergeCell ref="D46:F46"/>
    <mergeCell ref="O46:Q46"/>
    <mergeCell ref="D51:F51"/>
    <mergeCell ref="O51:Q51"/>
    <mergeCell ref="D55:F55"/>
    <mergeCell ref="O55:Q55"/>
    <mergeCell ref="D60:F60"/>
    <mergeCell ref="O60:Q60"/>
    <mergeCell ref="D64:F64"/>
    <mergeCell ref="O64:Q64"/>
    <mergeCell ref="A66:W66"/>
    <mergeCell ref="D71:F71"/>
    <mergeCell ref="O71:Q71"/>
    <mergeCell ref="A73:W73"/>
    <mergeCell ref="A74:W74"/>
    <mergeCell ref="A75:W75"/>
    <mergeCell ref="A76:W76"/>
    <mergeCell ref="D80:F80"/>
    <mergeCell ref="O80:Q80"/>
    <mergeCell ref="D85:F85"/>
    <mergeCell ref="O85:Q85"/>
    <mergeCell ref="A87:W87"/>
    <mergeCell ref="A108:W108"/>
    <mergeCell ref="D99:F99"/>
    <mergeCell ref="O99:Q99"/>
    <mergeCell ref="A88:W88"/>
    <mergeCell ref="A89:W89"/>
    <mergeCell ref="D94:F94"/>
    <mergeCell ref="O94:Q94"/>
    <mergeCell ref="A101:W101"/>
    <mergeCell ref="D106:F106"/>
    <mergeCell ref="O106:Q106"/>
  </mergeCells>
  <phoneticPr fontId="3" type="noConversion"/>
  <printOptions horizontalCentered="1" verticalCentered="1"/>
  <pageMargins left="0.39370078740157483" right="0.39370078740157483" top="0.19685039370078741" bottom="0.19685039370078741" header="7.874015748031496E-2" footer="7.874015748031496E-2"/>
  <pageSetup paperSize="9" orientation="portrait" r:id="rId1"/>
  <headerFooter alignWithMargins="0"/>
  <rowBreaks count="1" manualBreakCount="1">
    <brk id="65" max="16383" man="1"/>
  </rowBreak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3"/>
  <dimension ref="A1:AA35"/>
  <sheetViews>
    <sheetView zoomScaleNormal="100" workbookViewId="0">
      <selection activeCell="I42" sqref="I42"/>
    </sheetView>
  </sheetViews>
  <sheetFormatPr baseColWidth="10" defaultColWidth="9.1640625" defaultRowHeight="13" x14ac:dyDescent="0.15"/>
  <cols>
    <col min="1" max="1" width="24.5" style="1" customWidth="1"/>
    <col min="2" max="2" width="8.6640625" style="2" customWidth="1"/>
    <col min="3" max="3" width="10.83203125" style="2" customWidth="1"/>
    <col min="4" max="8" width="8.33203125" style="2" customWidth="1"/>
    <col min="9" max="9" width="11.33203125" style="2" customWidth="1"/>
    <col min="10" max="10" width="8.6640625" style="2" customWidth="1"/>
    <col min="11" max="14" width="8.33203125" style="2" customWidth="1"/>
    <col min="15" max="15" width="1.6640625" style="1" customWidth="1"/>
    <col min="16" max="16" width="9.1640625" style="1"/>
    <col min="17" max="17" width="9.1640625" style="332"/>
    <col min="27" max="27" width="9.1640625" style="332"/>
    <col min="28" max="16384" width="9.1640625" style="1"/>
  </cols>
  <sheetData>
    <row r="1" spans="1:27" ht="42" customHeight="1" thickBot="1" x14ac:dyDescent="0.2">
      <c r="A1" s="19" t="s">
        <v>43</v>
      </c>
      <c r="B1" s="20">
        <f>ROUND(PurchasesMar!$A$2,0)</f>
        <v>0</v>
      </c>
      <c r="C1" s="22" t="str">
        <f>IF(B1&gt;J1,"MILEAGE ALLOWANCE"," ")</f>
        <v xml:space="preserve"> </v>
      </c>
      <c r="D1" s="410" t="str">
        <f>IF(J1&gt;=B1,"CABSMART                                                                          MOST TAX EFFICIENT OPTION IS  &gt; &gt; &gt; &gt;","CABSMART                                                                            &lt; &lt; &lt; &lt;  MOST TAX EFFICIENT OPTION IS")</f>
        <v>CABSMART                                                                          MOST TAX EFFICIENT OPTION IS  &gt; &gt; &gt; &gt;</v>
      </c>
      <c r="E1" s="411"/>
      <c r="F1" s="411"/>
      <c r="G1" s="411"/>
      <c r="H1" s="412"/>
      <c r="I1" s="21" t="str">
        <f>IF(J1&gt;=B1,"VEHICLE EXPENSES"," ")</f>
        <v>VEHICLE EXPENSES</v>
      </c>
      <c r="J1" s="253">
        <f>ROUND(PurchasesMar!$I$2+'Fixed Assets'!I1-'Fixed Assets'!I15-'Fixed Assets'!I44+'Fixed Assets'!J1-'Fixed Assets'!J15-'Fixed Assets'!J44+'Fixed Assets'!P1-'Fixed Assets'!P15-'Fixed Assets'!P44-'Fixed Assets'!Q1+'Fixed Assets'!Q15+'Fixed Assets'!Q44,0)</f>
        <v>0</v>
      </c>
      <c r="K1" s="415" t="s">
        <v>42</v>
      </c>
      <c r="L1" s="416"/>
      <c r="M1" s="416"/>
      <c r="N1" s="416"/>
      <c r="O1" s="23"/>
      <c r="Q1" s="330"/>
      <c r="AA1" s="330"/>
    </row>
    <row r="2" spans="1:27" s="157" customFormat="1" x14ac:dyDescent="0.15">
      <c r="A2" s="417" t="s">
        <v>19</v>
      </c>
      <c r="B2" s="154" t="s">
        <v>114</v>
      </c>
      <c r="C2" s="413">
        <f>Admin!B$5</f>
        <v>45777</v>
      </c>
      <c r="D2" s="413">
        <f>Admin!B$6</f>
        <v>45808</v>
      </c>
      <c r="E2" s="413">
        <f>Admin!B$7</f>
        <v>45838</v>
      </c>
      <c r="F2" s="413">
        <f>Admin!B$8</f>
        <v>45869</v>
      </c>
      <c r="G2" s="413">
        <f>Admin!B$9</f>
        <v>45900</v>
      </c>
      <c r="H2" s="413">
        <f>Admin!B$10</f>
        <v>45930</v>
      </c>
      <c r="I2" s="413">
        <f>Admin!B$11</f>
        <v>45961</v>
      </c>
      <c r="J2" s="413">
        <f>Admin!B$12</f>
        <v>45991</v>
      </c>
      <c r="K2" s="413">
        <f>Admin!B$13</f>
        <v>46022</v>
      </c>
      <c r="L2" s="413">
        <f>Admin!B$14</f>
        <v>46053</v>
      </c>
      <c r="M2" s="413">
        <f>Admin!B$15</f>
        <v>46081</v>
      </c>
      <c r="N2" s="413">
        <f>Admin!B$16</f>
        <v>46112</v>
      </c>
      <c r="O2" s="155"/>
      <c r="Q2" s="332"/>
      <c r="AA2" s="332"/>
    </row>
    <row r="3" spans="1:27" s="159" customFormat="1" x14ac:dyDescent="0.15">
      <c r="A3" s="414"/>
      <c r="B3" s="156" t="str">
        <f>Admin!G$2</f>
        <v>2025-26</v>
      </c>
      <c r="C3" s="414"/>
      <c r="D3" s="414"/>
      <c r="E3" s="414"/>
      <c r="F3" s="414"/>
      <c r="G3" s="414"/>
      <c r="H3" s="414"/>
      <c r="I3" s="414"/>
      <c r="J3" s="414"/>
      <c r="K3" s="414"/>
      <c r="L3" s="414"/>
      <c r="M3" s="414"/>
      <c r="N3" s="414"/>
      <c r="O3" s="158"/>
      <c r="Q3" s="333"/>
      <c r="AA3" s="333"/>
    </row>
    <row r="4" spans="1:27" s="8" customFormat="1" ht="13.5" customHeight="1" x14ac:dyDescent="0.15">
      <c r="A4" s="28" t="str">
        <f>IF(B4=" "," ","Purchase analysis errors")</f>
        <v xml:space="preserve"> </v>
      </c>
      <c r="B4" s="88" t="str">
        <f>IF((SUM(C4:N4)&gt;1),ROUND(SUM(C4:N4),0)," ")</f>
        <v xml:space="preserve"> </v>
      </c>
      <c r="C4" s="88" t="str">
        <f>IF((PurchasesApr!$D$1&lt;&gt;0),PurchasesApr!$D$1," ")</f>
        <v xml:space="preserve"> </v>
      </c>
      <c r="D4" s="88" t="str">
        <f>IF((PurchasesMay!$D$1&lt;&gt;0),PurchasesMay!$D$1," ")</f>
        <v xml:space="preserve"> </v>
      </c>
      <c r="E4" s="88" t="str">
        <f>IF((PurchasesJun!$D$1&lt;&gt;0),PurchasesJun!$D$1," ")</f>
        <v xml:space="preserve"> </v>
      </c>
      <c r="F4" s="88" t="str">
        <f>IF((PurchasesJul!$D$1&lt;&gt;0),PurchasesJul!$D$1," ")</f>
        <v xml:space="preserve"> </v>
      </c>
      <c r="G4" s="88" t="str">
        <f>IF((PurchasesAug!$D$1&lt;&gt;0),PurchasesAug!$D$1," ")</f>
        <v xml:space="preserve"> </v>
      </c>
      <c r="H4" s="88" t="str">
        <f>IF((PurchasesSep!$D$1&lt;&gt;0),PurchasesSep!$D$1," ")</f>
        <v xml:space="preserve"> </v>
      </c>
      <c r="I4" s="88" t="str">
        <f>IF((PurchasesOct!$D$1&lt;&gt;0),PurchasesOct!$D$1," ")</f>
        <v xml:space="preserve"> </v>
      </c>
      <c r="J4" s="88" t="str">
        <f>IF((PurchasesNov!$D$1&lt;&gt;0),PurchasesNov!$D$1," ")</f>
        <v xml:space="preserve"> </v>
      </c>
      <c r="K4" s="88" t="str">
        <f>IF((PurchasesDec!$D$1&lt;&gt;0),PurchasesDec!$D$1," ")</f>
        <v xml:space="preserve"> </v>
      </c>
      <c r="L4" s="88" t="str">
        <f>IF((PurchasesJan!$D$1&lt;&gt;0),PurchasesJan!$D$1," ")</f>
        <v xml:space="preserve"> </v>
      </c>
      <c r="M4" s="88" t="str">
        <f>IF((PurchasesFeb!$D$1&lt;&gt;0),PurchasesFeb!$D$1," ")</f>
        <v xml:space="preserve"> </v>
      </c>
      <c r="N4" s="88" t="str">
        <f>IF((PurchasesMar!$D$1&lt;&gt;0),PurchasesMar!$D$1," ")</f>
        <v xml:space="preserve"> </v>
      </c>
      <c r="O4" s="87"/>
      <c r="Q4" s="332"/>
      <c r="AA4" s="332"/>
    </row>
    <row r="5" spans="1:27" ht="14" x14ac:dyDescent="0.15">
      <c r="A5" s="84" t="s">
        <v>1</v>
      </c>
      <c r="B5" s="344">
        <f>ROUNDDOWN(SUM(C5:N5),0)</f>
        <v>0</v>
      </c>
      <c r="C5" s="115">
        <f>SalesApr!$E$1</f>
        <v>0</v>
      </c>
      <c r="D5" s="115">
        <f>SalesMay!$E$1</f>
        <v>0</v>
      </c>
      <c r="E5" s="115">
        <f>SalesJun!$E$1</f>
        <v>0</v>
      </c>
      <c r="F5" s="341">
        <f>SalesJul!$E$1</f>
        <v>0</v>
      </c>
      <c r="G5" s="115">
        <f>SalesAug!$E$1</f>
        <v>0</v>
      </c>
      <c r="H5" s="115">
        <f>SalesSep!$E$1</f>
        <v>0</v>
      </c>
      <c r="I5" s="341">
        <f>SalesOct!$E$1</f>
        <v>0</v>
      </c>
      <c r="J5" s="115">
        <f>SalesNov!$E$1</f>
        <v>0</v>
      </c>
      <c r="K5" s="115">
        <f>SalesDec!$E$1</f>
        <v>0</v>
      </c>
      <c r="L5" s="341">
        <f>SalesJan!$E$1</f>
        <v>0</v>
      </c>
      <c r="M5" s="115">
        <f>SalesFeb!$E$1</f>
        <v>0</v>
      </c>
      <c r="N5" s="115">
        <f>SalesMar!$E$1</f>
        <v>0</v>
      </c>
      <c r="O5" s="23"/>
    </row>
    <row r="6" spans="1:27" x14ac:dyDescent="0.15">
      <c r="A6" s="28" t="s">
        <v>28</v>
      </c>
      <c r="B6" s="2">
        <f>ROUNDUP(SUM(C6:N6),0)</f>
        <v>0</v>
      </c>
      <c r="C6" s="346">
        <f>IF((C1="mileage allowance"),0,(PurchasesApr!$G$1))</f>
        <v>0</v>
      </c>
      <c r="D6" s="2">
        <f>IF((C1="mileage allowance"),0,(PurchasesMay!$G$1))</f>
        <v>0</v>
      </c>
      <c r="E6" s="343">
        <f>IF((C1="mileage allowance"),0,(PurchasesJun!$G$1))</f>
        <v>0</v>
      </c>
      <c r="F6" s="2">
        <f>IF((C1="mileage allowance"),0,(PurchasesJul!$G$1))</f>
        <v>0</v>
      </c>
      <c r="G6" s="2">
        <f>IF((C1="mileage allowance"),0,(PurchasesAug!$G$1))</f>
        <v>0</v>
      </c>
      <c r="H6" s="343">
        <f>IF((C1="mileage allowance"),0,(PurchasesSep!$G$1))</f>
        <v>0</v>
      </c>
      <c r="I6" s="2">
        <f>IF((C1="mileage allowance"),0,(PurchasesOct!$G$1))</f>
        <v>0</v>
      </c>
      <c r="J6" s="2">
        <f>IF((C1="mileage allowance"),0,(PurchasesNov!$G$1))</f>
        <v>0</v>
      </c>
      <c r="K6" s="343">
        <f>IF((C1="mileage allowance"),0,(PurchasesDec!$G$1))</f>
        <v>0</v>
      </c>
      <c r="L6" s="2">
        <f>IF((C1="mileage allowance"),0,(PurchasesJan!$G$1))</f>
        <v>0</v>
      </c>
      <c r="M6" s="2">
        <f>IF((C1="mileage allowance"),0,(PurchasesFeb!$G$1))</f>
        <v>0</v>
      </c>
      <c r="N6" s="343">
        <f>IF((C1="mileage allowance"),0,(PurchasesMar!$G$1))</f>
        <v>0</v>
      </c>
      <c r="O6" s="23"/>
    </row>
    <row r="7" spans="1:27" x14ac:dyDescent="0.15">
      <c r="A7" s="28" t="s">
        <v>29</v>
      </c>
      <c r="B7" s="2">
        <f>ROUNDUP(SUM(C7:N7),0)</f>
        <v>0</v>
      </c>
      <c r="C7" s="346">
        <f>IF((C1="mileage allowance"),0,(PurchasesApr!$H$1))</f>
        <v>0</v>
      </c>
      <c r="D7" s="2">
        <f>IF((C1="mileage allowance"),0,(PurchasesMay!$H$1))</f>
        <v>0</v>
      </c>
      <c r="E7" s="343">
        <f>IF((C1="mileage allowance"),0,(PurchasesJun!$H$1))</f>
        <v>0</v>
      </c>
      <c r="F7" s="2">
        <f>IF((C1="mileage allowance"),0,(PurchasesJul!$H$1))</f>
        <v>0</v>
      </c>
      <c r="G7" s="2">
        <f>IF((C1="mileage allowance"),0,(PurchasesAug!$H$1))</f>
        <v>0</v>
      </c>
      <c r="H7" s="343">
        <f>IF((C1="mileage allowance"),0,(PurchasesSep!$H$1))</f>
        <v>0</v>
      </c>
      <c r="I7" s="2">
        <f>IF((C1="mileage allowance"),0,(PurchasesOct!$H$1))</f>
        <v>0</v>
      </c>
      <c r="J7" s="2">
        <f>IF((C1="mileage allowance"),0,(PurchasesNov!$H$1))</f>
        <v>0</v>
      </c>
      <c r="K7" s="343">
        <f>IF((C1="mileage allowance"),0,(PurchasesDec!$H$1))</f>
        <v>0</v>
      </c>
      <c r="L7" s="2">
        <f>IF((C1="mileage allowance"),0,(PurchasesJan!$H$1))</f>
        <v>0</v>
      </c>
      <c r="M7" s="2">
        <f>IF((C1="mileage allowance"),0,(PurchasesFeb!$H$1))</f>
        <v>0</v>
      </c>
      <c r="N7" s="343">
        <f>IF((C1="mileage allowance"),0,(PurchasesMar!$H$1))</f>
        <v>0</v>
      </c>
      <c r="O7" s="23"/>
      <c r="Q7" s="337"/>
      <c r="AA7" s="337"/>
    </row>
    <row r="8" spans="1:27" x14ac:dyDescent="0.15">
      <c r="A8" s="28" t="s">
        <v>30</v>
      </c>
      <c r="B8" s="2">
        <f>ROUNDUP(SUM(C8:N8),0)</f>
        <v>0</v>
      </c>
      <c r="C8" s="346">
        <f>IF((C1="mileage allowance"),0,(PurchasesApr!$I$1))</f>
        <v>0</v>
      </c>
      <c r="D8" s="2">
        <f>IF((C1="mileage allowance"),0,(PurchasesMay!$I$1))</f>
        <v>0</v>
      </c>
      <c r="E8" s="343">
        <f>IF((C1="mileage allowance"),0,(PurchasesJun!$I$1))</f>
        <v>0</v>
      </c>
      <c r="F8" s="2">
        <f>IF((C1="mileage allowance"),0,(PurchasesJul!$I$1))</f>
        <v>0</v>
      </c>
      <c r="G8" s="2">
        <f>IF((C1="mileage allowance"),0,(PurchasesAug!$I$1))</f>
        <v>0</v>
      </c>
      <c r="H8" s="343">
        <f>IF((C1="mileage allowance"),0,(PurchasesSep!$I$1))</f>
        <v>0</v>
      </c>
      <c r="I8" s="2">
        <f>IF((C1="mileage allowance"),0,(PurchasesOct!$I$1))</f>
        <v>0</v>
      </c>
      <c r="J8" s="2">
        <f>IF((C1="mileage allowance"),0,(PurchasesNov!$I$1))</f>
        <v>0</v>
      </c>
      <c r="K8" s="343">
        <f>IF((C1="mileage allowance"),0,(PurchasesDec!$I$1))</f>
        <v>0</v>
      </c>
      <c r="L8" s="2">
        <f>IF((C1="mileage allowance"),0,(PurchasesJan!$I$1))</f>
        <v>0</v>
      </c>
      <c r="M8" s="2">
        <f>IF((C1="mileage allowance"),0,(PurchasesFeb!$I$1))</f>
        <v>0</v>
      </c>
      <c r="N8" s="343">
        <f>IF((C1="mileage allowance"),0,(PurchasesMar!$I$1))</f>
        <v>0</v>
      </c>
      <c r="O8" s="23"/>
    </row>
    <row r="9" spans="1:27" x14ac:dyDescent="0.15">
      <c r="A9" s="28" t="s">
        <v>31</v>
      </c>
      <c r="B9" s="2">
        <f>ROUNDUP(SUM(C9:N9),0)</f>
        <v>0</v>
      </c>
      <c r="C9" s="346">
        <f>IF((C1="mileage allowance"),0,(PurchasesApr!$J$1))</f>
        <v>0</v>
      </c>
      <c r="D9" s="2">
        <f>IF((C1="mileage allowance"),0,(PurchasesMay!$J$1))</f>
        <v>0</v>
      </c>
      <c r="E9" s="343">
        <f>IF((C1="mileage allowance"),0,(PurchasesJun!$J$1))</f>
        <v>0</v>
      </c>
      <c r="F9" s="2">
        <f>IF((C1="mileage allowance"),0,(PurchasesJul!$J$1))</f>
        <v>0</v>
      </c>
      <c r="G9" s="2">
        <f>IF((C1="mileage allowance"),0,(PurchasesAug!$J$1))</f>
        <v>0</v>
      </c>
      <c r="H9" s="343">
        <f>IF((C1="mileage allowance"),0,(PurchasesSep!$J$1))</f>
        <v>0</v>
      </c>
      <c r="I9" s="2">
        <f>IF((C1="mileage allowance"),0,(PurchasesOct!$J$1))</f>
        <v>0</v>
      </c>
      <c r="J9" s="2">
        <f>IF((C1="mileage allowance"),0,(PurchasesNov!$J$1))</f>
        <v>0</v>
      </c>
      <c r="K9" s="343">
        <f>IF((C1="mileage allowance"),0,(PurchasesDec!$J$1))</f>
        <v>0</v>
      </c>
      <c r="L9" s="2">
        <f>IF((C1="mileage allowance"),0,(PurchasesJan!$J$1))</f>
        <v>0</v>
      </c>
      <c r="M9" s="2">
        <f>IF((C1="mileage allowance"),0,(PurchasesFeb!$J$1))</f>
        <v>0</v>
      </c>
      <c r="N9" s="343">
        <f>IF((C1="mileage allowance"),0,(PurchasesMar!$J$1))</f>
        <v>0</v>
      </c>
      <c r="O9" s="23"/>
    </row>
    <row r="10" spans="1:27" x14ac:dyDescent="0.15">
      <c r="A10" s="85" t="s">
        <v>13</v>
      </c>
      <c r="B10" s="2">
        <f>IF((C1="mileage allowance"),0,('Fixed Assets'!I1+'Fixed Assets'!J1+'Fixed Assets'!P1-'Fixed Assets'!Q1))</f>
        <v>0</v>
      </c>
      <c r="C10" s="346">
        <f>B10/12</f>
        <v>0</v>
      </c>
      <c r="D10" s="2">
        <f>B10/12</f>
        <v>0</v>
      </c>
      <c r="E10" s="343">
        <f>B10/12</f>
        <v>0</v>
      </c>
      <c r="F10" s="2">
        <f>B10/12</f>
        <v>0</v>
      </c>
      <c r="G10" s="2">
        <f>B10/12</f>
        <v>0</v>
      </c>
      <c r="H10" s="343">
        <f>B10/12</f>
        <v>0</v>
      </c>
      <c r="I10" s="2">
        <f>B10/12</f>
        <v>0</v>
      </c>
      <c r="J10" s="2">
        <f>B10/12</f>
        <v>0</v>
      </c>
      <c r="K10" s="343">
        <f>B10/12</f>
        <v>0</v>
      </c>
      <c r="L10" s="2">
        <f>B10/12</f>
        <v>0</v>
      </c>
      <c r="M10" s="2">
        <f>B10/12</f>
        <v>0</v>
      </c>
      <c r="N10" s="343">
        <f>B10/12</f>
        <v>0</v>
      </c>
      <c r="O10" s="23"/>
    </row>
    <row r="11" spans="1:27" x14ac:dyDescent="0.15">
      <c r="A11" s="28" t="s">
        <v>27</v>
      </c>
      <c r="B11" s="9">
        <f>ROUNDUP(SUM(C11:N11),0)</f>
        <v>0</v>
      </c>
      <c r="C11" s="345">
        <f>IF((C1="mileage allowance"),(PurchasesApr!$U$1),0)</f>
        <v>0</v>
      </c>
      <c r="D11" s="9">
        <f>IF((C1="mileage allowance"),(PurchasesMay!$U$1),0)</f>
        <v>0</v>
      </c>
      <c r="E11" s="342">
        <f>IF((C1="mileage allowance"),(PurchasesJun!$U$1),0)</f>
        <v>0</v>
      </c>
      <c r="F11" s="9">
        <f>IF((C1="mileage allowance"),(PurchasesJul!$U$1),0)</f>
        <v>0</v>
      </c>
      <c r="G11" s="9">
        <f>IF((C1="mileage allowance"),(PurchasesAug!$U$1),0)</f>
        <v>0</v>
      </c>
      <c r="H11" s="342">
        <f>IF((C1="mileage allowance"),(PurchasesSep!$U$1),0)</f>
        <v>0</v>
      </c>
      <c r="I11" s="9">
        <f>IF((C1="mileage allowance"),(PurchasesOct!$U$1),0)</f>
        <v>0</v>
      </c>
      <c r="J11" s="9">
        <f>IF((C1="mileage allowance"),(PurchasesNov!$U$1),0)</f>
        <v>0</v>
      </c>
      <c r="K11" s="342">
        <f>IF((C1="mileage allowance"),(PurchasesDec!$U$1),0)</f>
        <v>0</v>
      </c>
      <c r="L11" s="9">
        <f>IF((C1="mileage allowance"),(PurchasesJan!$U$1),0)</f>
        <v>0</v>
      </c>
      <c r="M11" s="9">
        <f>IF((C1="mileage allowance"),(PurchasesFeb!$U$1),0)</f>
        <v>0</v>
      </c>
      <c r="N11" s="342">
        <f>IF((C1="mileage allowance"),(PurchasesMar!$U$1),0)</f>
        <v>0</v>
      </c>
      <c r="O11" s="23"/>
    </row>
    <row r="12" spans="1:27" x14ac:dyDescent="0.15">
      <c r="A12" s="86" t="s">
        <v>32</v>
      </c>
      <c r="B12" s="344">
        <f>ROUNDUP(SUM(B6:B11),0)</f>
        <v>0</v>
      </c>
      <c r="C12" s="115">
        <f t="shared" ref="C12:N12" si="0">SUM(C6:C11)</f>
        <v>0</v>
      </c>
      <c r="D12" s="115">
        <f t="shared" si="0"/>
        <v>0</v>
      </c>
      <c r="E12" s="115">
        <f t="shared" si="0"/>
        <v>0</v>
      </c>
      <c r="F12" s="341">
        <f t="shared" si="0"/>
        <v>0</v>
      </c>
      <c r="G12" s="115">
        <f t="shared" si="0"/>
        <v>0</v>
      </c>
      <c r="H12" s="115">
        <f t="shared" si="0"/>
        <v>0</v>
      </c>
      <c r="I12" s="341">
        <f t="shared" si="0"/>
        <v>0</v>
      </c>
      <c r="J12" s="115">
        <f t="shared" si="0"/>
        <v>0</v>
      </c>
      <c r="K12" s="115">
        <f t="shared" si="0"/>
        <v>0</v>
      </c>
      <c r="L12" s="341">
        <f t="shared" si="0"/>
        <v>0</v>
      </c>
      <c r="M12" s="115">
        <f t="shared" si="0"/>
        <v>0</v>
      </c>
      <c r="N12" s="115">
        <f t="shared" si="0"/>
        <v>0</v>
      </c>
      <c r="O12" s="23"/>
    </row>
    <row r="13" spans="1:27" x14ac:dyDescent="0.15">
      <c r="A13" s="86" t="s">
        <v>2</v>
      </c>
      <c r="B13" s="344">
        <f>ROUNDUP(B5-B12,0)</f>
        <v>0</v>
      </c>
      <c r="C13" s="115">
        <f t="shared" ref="C13:N13" si="1">C5-C12</f>
        <v>0</v>
      </c>
      <c r="D13" s="115">
        <f t="shared" si="1"/>
        <v>0</v>
      </c>
      <c r="E13" s="115">
        <f t="shared" si="1"/>
        <v>0</v>
      </c>
      <c r="F13" s="341">
        <f t="shared" si="1"/>
        <v>0</v>
      </c>
      <c r="G13" s="115">
        <f t="shared" si="1"/>
        <v>0</v>
      </c>
      <c r="H13" s="115">
        <f t="shared" si="1"/>
        <v>0</v>
      </c>
      <c r="I13" s="341">
        <f t="shared" si="1"/>
        <v>0</v>
      </c>
      <c r="J13" s="115">
        <f t="shared" si="1"/>
        <v>0</v>
      </c>
      <c r="K13" s="115">
        <f t="shared" si="1"/>
        <v>0</v>
      </c>
      <c r="L13" s="341">
        <f t="shared" si="1"/>
        <v>0</v>
      </c>
      <c r="M13" s="115">
        <f t="shared" si="1"/>
        <v>0</v>
      </c>
      <c r="N13" s="115">
        <f t="shared" si="1"/>
        <v>0</v>
      </c>
      <c r="O13" s="23"/>
    </row>
    <row r="14" spans="1:27" x14ac:dyDescent="0.15">
      <c r="A14" s="28" t="s">
        <v>9</v>
      </c>
      <c r="B14" s="2">
        <f t="shared" ref="B14:B21" si="2">ROUNDUP(SUM(C14:N14),0)</f>
        <v>0</v>
      </c>
      <c r="C14" s="346">
        <f>PurchasesApr!$K$1</f>
        <v>0</v>
      </c>
      <c r="D14" s="2">
        <f>PurchasesMay!$K$1</f>
        <v>0</v>
      </c>
      <c r="E14" s="343">
        <f>PurchasesJun!$K$1</f>
        <v>0</v>
      </c>
      <c r="F14" s="2">
        <f>PurchasesJul!$K$1</f>
        <v>0</v>
      </c>
      <c r="G14" s="2">
        <f>PurchasesAug!$K$1</f>
        <v>0</v>
      </c>
      <c r="H14" s="343">
        <f>PurchasesSep!$K$1</f>
        <v>0</v>
      </c>
      <c r="I14" s="2">
        <f>PurchasesOct!$K$1</f>
        <v>0</v>
      </c>
      <c r="J14" s="2">
        <f>PurchasesNov!$K$1</f>
        <v>0</v>
      </c>
      <c r="K14" s="343">
        <f>PurchasesDec!$K$1</f>
        <v>0</v>
      </c>
      <c r="L14" s="2">
        <f>PurchasesJan!$K$1</f>
        <v>0</v>
      </c>
      <c r="M14" s="2">
        <f>PurchasesFeb!$K$1</f>
        <v>0</v>
      </c>
      <c r="N14" s="343">
        <f>PurchasesMar!$K$1</f>
        <v>0</v>
      </c>
      <c r="O14" s="23"/>
    </row>
    <row r="15" spans="1:27" x14ac:dyDescent="0.15">
      <c r="A15" s="28" t="s">
        <v>10</v>
      </c>
      <c r="B15" s="2">
        <f t="shared" si="2"/>
        <v>0</v>
      </c>
      <c r="C15" s="346">
        <f>PurchasesApr!$L$1</f>
        <v>0</v>
      </c>
      <c r="D15" s="2">
        <f>PurchasesMay!$L$1</f>
        <v>0</v>
      </c>
      <c r="E15" s="343">
        <f>PurchasesJun!$L$1</f>
        <v>0</v>
      </c>
      <c r="F15" s="2">
        <f>PurchasesJul!$L$1</f>
        <v>0</v>
      </c>
      <c r="G15" s="2">
        <f>PurchasesAug!$L$1</f>
        <v>0</v>
      </c>
      <c r="H15" s="343">
        <f>PurchasesSep!$L$1</f>
        <v>0</v>
      </c>
      <c r="I15" s="2">
        <f>PurchasesOct!$L$1</f>
        <v>0</v>
      </c>
      <c r="J15" s="2">
        <f>PurchasesNov!$L$1</f>
        <v>0</v>
      </c>
      <c r="K15" s="343">
        <f>PurchasesDec!$L$1</f>
        <v>0</v>
      </c>
      <c r="L15" s="2">
        <f>PurchasesJan!$L$1</f>
        <v>0</v>
      </c>
      <c r="M15" s="2">
        <f>PurchasesFeb!$L$1</f>
        <v>0</v>
      </c>
      <c r="N15" s="343">
        <f>PurchasesMar!$L$1</f>
        <v>0</v>
      </c>
      <c r="O15" s="23"/>
    </row>
    <row r="16" spans="1:27" x14ac:dyDescent="0.15">
      <c r="A16" s="28" t="s">
        <v>11</v>
      </c>
      <c r="B16" s="2">
        <f t="shared" si="2"/>
        <v>0</v>
      </c>
      <c r="C16" s="346">
        <f>PurchasesApr!$M$1</f>
        <v>0</v>
      </c>
      <c r="D16" s="2">
        <f>PurchasesMay!$M$1</f>
        <v>0</v>
      </c>
      <c r="E16" s="343">
        <f>PurchasesJun!$M$1</f>
        <v>0</v>
      </c>
      <c r="F16" s="2">
        <f>PurchasesJul!$M$1</f>
        <v>0</v>
      </c>
      <c r="G16" s="2">
        <f>PurchasesAug!$M$1</f>
        <v>0</v>
      </c>
      <c r="H16" s="343">
        <f>PurchasesSep!$M$1</f>
        <v>0</v>
      </c>
      <c r="I16" s="2">
        <f>PurchasesOct!$M$1</f>
        <v>0</v>
      </c>
      <c r="J16" s="2">
        <f>PurchasesNov!$M$1</f>
        <v>0</v>
      </c>
      <c r="K16" s="343">
        <f>PurchasesDec!$M$1</f>
        <v>0</v>
      </c>
      <c r="L16" s="2">
        <f>PurchasesJan!$M$1</f>
        <v>0</v>
      </c>
      <c r="M16" s="2">
        <f>PurchasesFeb!$M$1</f>
        <v>0</v>
      </c>
      <c r="N16" s="343">
        <f>PurchasesMar!$M$1</f>
        <v>0</v>
      </c>
      <c r="O16" s="23"/>
    </row>
    <row r="17" spans="1:27" x14ac:dyDescent="0.15">
      <c r="A17" s="28" t="s">
        <v>3</v>
      </c>
      <c r="B17" s="2">
        <f t="shared" si="2"/>
        <v>0</v>
      </c>
      <c r="C17" s="346">
        <f>PurchasesApr!$N$1</f>
        <v>0</v>
      </c>
      <c r="D17" s="2">
        <f>PurchasesMay!$N$1</f>
        <v>0</v>
      </c>
      <c r="E17" s="343">
        <f>PurchasesJun!$N$1</f>
        <v>0</v>
      </c>
      <c r="F17" s="2">
        <f>PurchasesJul!$N$1</f>
        <v>0</v>
      </c>
      <c r="G17" s="2">
        <f>PurchasesAug!$N$1</f>
        <v>0</v>
      </c>
      <c r="H17" s="343">
        <f>PurchasesSep!$N$1</f>
        <v>0</v>
      </c>
      <c r="I17" s="2">
        <f>PurchasesOct!$N$1</f>
        <v>0</v>
      </c>
      <c r="J17" s="2">
        <f>PurchasesNov!$N$1</f>
        <v>0</v>
      </c>
      <c r="K17" s="343">
        <f>PurchasesDec!$N$1</f>
        <v>0</v>
      </c>
      <c r="L17" s="2">
        <f>PurchasesJan!$N$1</f>
        <v>0</v>
      </c>
      <c r="M17" s="2">
        <f>PurchasesFeb!$N$1</f>
        <v>0</v>
      </c>
      <c r="N17" s="343">
        <f>PurchasesMar!$N$1</f>
        <v>0</v>
      </c>
      <c r="O17" s="23"/>
    </row>
    <row r="18" spans="1:27" x14ac:dyDescent="0.15">
      <c r="A18" s="28" t="s">
        <v>4</v>
      </c>
      <c r="B18" s="2">
        <f t="shared" si="2"/>
        <v>0</v>
      </c>
      <c r="C18" s="346">
        <f>PurchasesApr!$O$1</f>
        <v>0</v>
      </c>
      <c r="D18" s="2">
        <f>PurchasesMay!$O$1</f>
        <v>0</v>
      </c>
      <c r="E18" s="343">
        <f>PurchasesJun!$O$1</f>
        <v>0</v>
      </c>
      <c r="F18" s="2">
        <f>PurchasesJul!$O$1</f>
        <v>0</v>
      </c>
      <c r="G18" s="2">
        <f>PurchasesAug!$O$1</f>
        <v>0</v>
      </c>
      <c r="H18" s="343">
        <f>PurchasesSep!$O$1</f>
        <v>0</v>
      </c>
      <c r="I18" s="2">
        <f>PurchasesOct!$O$1</f>
        <v>0</v>
      </c>
      <c r="J18" s="2">
        <f>PurchasesNov!$O$1</f>
        <v>0</v>
      </c>
      <c r="K18" s="343">
        <f>PurchasesDec!$O$1</f>
        <v>0</v>
      </c>
      <c r="L18" s="2">
        <f>PurchasesJan!$O$1</f>
        <v>0</v>
      </c>
      <c r="M18" s="2">
        <f>PurchasesFeb!$O$1</f>
        <v>0</v>
      </c>
      <c r="N18" s="343">
        <f>PurchasesMar!$O$1</f>
        <v>0</v>
      </c>
      <c r="O18" s="23"/>
    </row>
    <row r="19" spans="1:27" x14ac:dyDescent="0.15">
      <c r="A19" s="28" t="s">
        <v>0</v>
      </c>
      <c r="B19" s="2">
        <f t="shared" si="2"/>
        <v>0</v>
      </c>
      <c r="C19" s="346">
        <f>PurchasesApr!$P$1</f>
        <v>0</v>
      </c>
      <c r="D19" s="2">
        <f>PurchasesMay!$P$1</f>
        <v>0</v>
      </c>
      <c r="E19" s="343">
        <f>PurchasesJun!$P$1</f>
        <v>0</v>
      </c>
      <c r="F19" s="2">
        <f>PurchasesJul!$P$1</f>
        <v>0</v>
      </c>
      <c r="G19" s="2">
        <f>PurchasesAug!$P$1</f>
        <v>0</v>
      </c>
      <c r="H19" s="343">
        <f>PurchasesSep!$P$1</f>
        <v>0</v>
      </c>
      <c r="I19" s="2">
        <f>PurchasesOct!$P$1</f>
        <v>0</v>
      </c>
      <c r="J19" s="2">
        <f>PurchasesNov!$P$1</f>
        <v>0</v>
      </c>
      <c r="K19" s="343">
        <f>PurchasesDec!$P$1</f>
        <v>0</v>
      </c>
      <c r="L19" s="2">
        <f>PurchasesJan!$P$1</f>
        <v>0</v>
      </c>
      <c r="M19" s="2">
        <f>PurchasesFeb!$P$1</f>
        <v>0</v>
      </c>
      <c r="N19" s="343">
        <f>PurchasesMar!$P$1</f>
        <v>0</v>
      </c>
      <c r="O19" s="23"/>
    </row>
    <row r="20" spans="1:27" x14ac:dyDescent="0.15">
      <c r="A20" s="28" t="s">
        <v>5</v>
      </c>
      <c r="B20" s="2">
        <f t="shared" si="2"/>
        <v>0</v>
      </c>
      <c r="C20" s="346">
        <f>PurchasesApr!$Q$1</f>
        <v>0</v>
      </c>
      <c r="D20" s="2">
        <f>PurchasesMay!$Q$1</f>
        <v>0</v>
      </c>
      <c r="E20" s="343">
        <f>PurchasesJun!$Q$1</f>
        <v>0</v>
      </c>
      <c r="F20" s="2">
        <f>PurchasesJul!$Q$1</f>
        <v>0</v>
      </c>
      <c r="G20" s="2">
        <f>PurchasesAug!$Q$1</f>
        <v>0</v>
      </c>
      <c r="H20" s="343">
        <f>PurchasesSep!$Q$1</f>
        <v>0</v>
      </c>
      <c r="I20" s="2">
        <f>PurchasesOct!$Q$1</f>
        <v>0</v>
      </c>
      <c r="J20" s="2">
        <f>PurchasesNov!$Q$1</f>
        <v>0</v>
      </c>
      <c r="K20" s="343">
        <f>PurchasesDec!$Q$1</f>
        <v>0</v>
      </c>
      <c r="L20" s="2">
        <f>PurchasesJan!$Q$1</f>
        <v>0</v>
      </c>
      <c r="M20" s="2">
        <f>PurchasesFeb!$Q$1</f>
        <v>0</v>
      </c>
      <c r="N20" s="343">
        <f>PurchasesMar!$Q$1</f>
        <v>0</v>
      </c>
      <c r="O20" s="23"/>
    </row>
    <row r="21" spans="1:27" x14ac:dyDescent="0.15">
      <c r="A21" s="28" t="s">
        <v>6</v>
      </c>
      <c r="B21" s="2">
        <f t="shared" si="2"/>
        <v>0</v>
      </c>
      <c r="C21" s="346">
        <f>PurchasesApr!$R$1</f>
        <v>0</v>
      </c>
      <c r="D21" s="2">
        <f>PurchasesMay!$R$1</f>
        <v>0</v>
      </c>
      <c r="E21" s="343">
        <f>PurchasesJun!$R$1</f>
        <v>0</v>
      </c>
      <c r="F21" s="2">
        <f>PurchasesJul!$R$1</f>
        <v>0</v>
      </c>
      <c r="G21" s="2">
        <f>PurchasesAug!$R$1</f>
        <v>0</v>
      </c>
      <c r="H21" s="343">
        <f>PurchasesSep!$R$1</f>
        <v>0</v>
      </c>
      <c r="I21" s="2">
        <f>PurchasesOct!$R$1</f>
        <v>0</v>
      </c>
      <c r="J21" s="2">
        <f>PurchasesNov!$R$1</f>
        <v>0</v>
      </c>
      <c r="K21" s="343">
        <f>PurchasesDec!$R$1</f>
        <v>0</v>
      </c>
      <c r="L21" s="2">
        <f>PurchasesJan!$R$1</f>
        <v>0</v>
      </c>
      <c r="M21" s="2">
        <f>PurchasesFeb!$R$1</f>
        <v>0</v>
      </c>
      <c r="N21" s="343">
        <f>PurchasesMar!$R$1</f>
        <v>0</v>
      </c>
      <c r="O21" s="23"/>
    </row>
    <row r="22" spans="1:27" x14ac:dyDescent="0.15">
      <c r="A22" s="86" t="s">
        <v>7</v>
      </c>
      <c r="B22" s="344">
        <f>ROUNDUP(SUM(B14:B21),0)</f>
        <v>0</v>
      </c>
      <c r="C22" s="115">
        <f t="shared" ref="C22:N22" si="3">SUM(C14:C21)</f>
        <v>0</v>
      </c>
      <c r="D22" s="115">
        <f t="shared" si="3"/>
        <v>0</v>
      </c>
      <c r="E22" s="115">
        <f t="shared" si="3"/>
        <v>0</v>
      </c>
      <c r="F22" s="341">
        <f t="shared" si="3"/>
        <v>0</v>
      </c>
      <c r="G22" s="115">
        <f t="shared" si="3"/>
        <v>0</v>
      </c>
      <c r="H22" s="115">
        <f t="shared" si="3"/>
        <v>0</v>
      </c>
      <c r="I22" s="341">
        <f t="shared" si="3"/>
        <v>0</v>
      </c>
      <c r="J22" s="115">
        <f t="shared" si="3"/>
        <v>0</v>
      </c>
      <c r="K22" s="115">
        <f t="shared" si="3"/>
        <v>0</v>
      </c>
      <c r="L22" s="341">
        <f t="shared" si="3"/>
        <v>0</v>
      </c>
      <c r="M22" s="115">
        <f t="shared" si="3"/>
        <v>0</v>
      </c>
      <c r="N22" s="115">
        <f t="shared" si="3"/>
        <v>0</v>
      </c>
      <c r="O22" s="23"/>
    </row>
    <row r="23" spans="1:27" x14ac:dyDescent="0.15">
      <c r="A23" s="86" t="s">
        <v>8</v>
      </c>
      <c r="B23" s="344">
        <f>ROUNDDOWN((B13-B22),0)</f>
        <v>0</v>
      </c>
      <c r="C23" s="115">
        <f t="shared" ref="C23:N23" si="4">C13-C22</f>
        <v>0</v>
      </c>
      <c r="D23" s="115">
        <f t="shared" si="4"/>
        <v>0</v>
      </c>
      <c r="E23" s="115">
        <f t="shared" si="4"/>
        <v>0</v>
      </c>
      <c r="F23" s="341">
        <f t="shared" si="4"/>
        <v>0</v>
      </c>
      <c r="G23" s="115">
        <f t="shared" si="4"/>
        <v>0</v>
      </c>
      <c r="H23" s="115">
        <f t="shared" si="4"/>
        <v>0</v>
      </c>
      <c r="I23" s="341">
        <f t="shared" si="4"/>
        <v>0</v>
      </c>
      <c r="J23" s="115">
        <f t="shared" si="4"/>
        <v>0</v>
      </c>
      <c r="K23" s="115">
        <f t="shared" si="4"/>
        <v>0</v>
      </c>
      <c r="L23" s="341">
        <f t="shared" si="4"/>
        <v>0</v>
      </c>
      <c r="M23" s="115">
        <f t="shared" si="4"/>
        <v>0</v>
      </c>
      <c r="N23" s="115">
        <f t="shared" si="4"/>
        <v>0</v>
      </c>
      <c r="O23" s="23"/>
    </row>
    <row r="24" spans="1:27" x14ac:dyDescent="0.15">
      <c r="A24" s="50" t="s">
        <v>25</v>
      </c>
      <c r="B24" s="345">
        <f>ROUNDDOWN(SUM(C24:N24),0)</f>
        <v>0</v>
      </c>
      <c r="C24" s="114">
        <f>SalesApr!$F$1</f>
        <v>0</v>
      </c>
      <c r="D24" s="114">
        <f>SalesMay!$F$1</f>
        <v>0</v>
      </c>
      <c r="E24" s="114">
        <f>SalesJun!$F$1</f>
        <v>0</v>
      </c>
      <c r="F24" s="342">
        <f>SalesJul!$F$1</f>
        <v>0</v>
      </c>
      <c r="G24" s="114">
        <f>SalesAug!$F$1</f>
        <v>0</v>
      </c>
      <c r="H24" s="114">
        <f>SalesSep!$F$1</f>
        <v>0</v>
      </c>
      <c r="I24" s="342">
        <f>SalesOct!$F$1</f>
        <v>0</v>
      </c>
      <c r="J24" s="114">
        <f>SalesNov!$F$1</f>
        <v>0</v>
      </c>
      <c r="K24" s="114">
        <f>SalesDec!$F$1</f>
        <v>0</v>
      </c>
      <c r="L24" s="342">
        <f>SalesJan!$F$1</f>
        <v>0</v>
      </c>
      <c r="M24" s="114">
        <f>SalesFeb!$F$1</f>
        <v>0</v>
      </c>
      <c r="N24" s="114">
        <f>SalesMar!$F$1</f>
        <v>0</v>
      </c>
      <c r="O24" s="23"/>
    </row>
    <row r="25" spans="1:27" s="12" customFormat="1" ht="13" customHeight="1" thickBot="1" x14ac:dyDescent="0.2">
      <c r="A25" s="72"/>
      <c r="B25" s="73"/>
      <c r="C25" s="73"/>
      <c r="D25" s="73"/>
      <c r="E25" s="73"/>
      <c r="F25" s="73"/>
      <c r="G25" s="73"/>
      <c r="H25" s="73"/>
      <c r="I25" s="73"/>
      <c r="J25" s="73"/>
      <c r="K25" s="73"/>
      <c r="L25" s="73"/>
      <c r="M25" s="73"/>
      <c r="N25" s="73"/>
      <c r="O25" s="71"/>
      <c r="Q25" s="332"/>
      <c r="AA25" s="332"/>
    </row>
    <row r="26" spans="1:27" s="12" customFormat="1" ht="14" thickBot="1" x14ac:dyDescent="0.2">
      <c r="A26" s="74" t="s">
        <v>62</v>
      </c>
      <c r="B26" s="75"/>
      <c r="C26" s="76"/>
      <c r="D26" s="76"/>
      <c r="E26" s="76"/>
      <c r="F26" s="76"/>
      <c r="G26" s="76"/>
      <c r="H26" s="76"/>
      <c r="I26" s="76"/>
      <c r="J26" s="76"/>
      <c r="K26" s="76"/>
      <c r="L26" s="76"/>
      <c r="M26" s="76"/>
      <c r="N26" s="76"/>
      <c r="O26" s="77"/>
      <c r="Q26" s="332"/>
      <c r="AA26" s="332"/>
    </row>
    <row r="27" spans="1:27" s="12" customFormat="1" ht="14" thickBot="1" x14ac:dyDescent="0.2">
      <c r="A27" s="79" t="s">
        <v>65</v>
      </c>
      <c r="B27" s="80">
        <f t="shared" ref="B27:B33" si="5">SUM(C27:N27)</f>
        <v>0</v>
      </c>
      <c r="C27" s="60">
        <f>'Wages Forecast'!D30</f>
        <v>0</v>
      </c>
      <c r="D27" s="60">
        <f>'Wages Forecast'!E30</f>
        <v>0</v>
      </c>
      <c r="E27" s="60">
        <f>'Wages Forecast'!F30</f>
        <v>0</v>
      </c>
      <c r="F27" s="60">
        <f>'Wages Forecast'!G30</f>
        <v>0</v>
      </c>
      <c r="G27" s="60">
        <f>'Wages Forecast'!H30</f>
        <v>0</v>
      </c>
      <c r="H27" s="60">
        <f>'Wages Forecast'!I30</f>
        <v>0</v>
      </c>
      <c r="I27" s="60">
        <f>'Wages Forecast'!J30</f>
        <v>0</v>
      </c>
      <c r="J27" s="60">
        <f>'Wages Forecast'!K30</f>
        <v>0</v>
      </c>
      <c r="K27" s="60">
        <f>'Wages Forecast'!L30</f>
        <v>0</v>
      </c>
      <c r="L27" s="60">
        <f>'Wages Forecast'!M30</f>
        <v>0</v>
      </c>
      <c r="M27" s="60">
        <f>'Wages Forecast'!N30</f>
        <v>0</v>
      </c>
      <c r="N27" s="60">
        <f>'Wages Forecast'!O30</f>
        <v>0</v>
      </c>
      <c r="O27" s="78"/>
      <c r="Q27" s="332"/>
      <c r="AA27" s="332"/>
    </row>
    <row r="28" spans="1:27" s="12" customFormat="1" x14ac:dyDescent="0.15">
      <c r="A28" s="68" t="s">
        <v>66</v>
      </c>
      <c r="B28" s="105">
        <f t="shared" si="5"/>
        <v>0</v>
      </c>
      <c r="C28" s="59"/>
      <c r="D28" s="59"/>
      <c r="E28" s="59"/>
      <c r="F28" s="59"/>
      <c r="G28" s="59"/>
      <c r="H28" s="59"/>
      <c r="I28" s="59"/>
      <c r="J28" s="59"/>
      <c r="K28" s="59"/>
      <c r="L28" s="59"/>
      <c r="M28" s="59"/>
      <c r="N28" s="59"/>
      <c r="O28" s="78"/>
      <c r="Q28" s="332"/>
      <c r="AA28" s="332"/>
    </row>
    <row r="29" spans="1:27" s="12" customFormat="1" x14ac:dyDescent="0.15">
      <c r="A29" s="68" t="s">
        <v>67</v>
      </c>
      <c r="B29" s="105">
        <f t="shared" si="5"/>
        <v>0</v>
      </c>
      <c r="C29" s="59"/>
      <c r="D29" s="59"/>
      <c r="E29" s="59"/>
      <c r="F29" s="59"/>
      <c r="G29" s="59"/>
      <c r="H29" s="59"/>
      <c r="I29" s="59"/>
      <c r="J29" s="59"/>
      <c r="K29" s="59"/>
      <c r="L29" s="59"/>
      <c r="M29" s="59"/>
      <c r="N29" s="59"/>
      <c r="O29" s="78"/>
      <c r="Q29" s="332"/>
      <c r="AA29" s="332"/>
    </row>
    <row r="30" spans="1:27" s="12" customFormat="1" x14ac:dyDescent="0.15">
      <c r="A30" s="68" t="s">
        <v>68</v>
      </c>
      <c r="B30" s="105">
        <f t="shared" si="5"/>
        <v>0</v>
      </c>
      <c r="C30" s="59"/>
      <c r="D30" s="59"/>
      <c r="E30" s="59"/>
      <c r="F30" s="59"/>
      <c r="G30" s="59"/>
      <c r="H30" s="59"/>
      <c r="I30" s="59"/>
      <c r="J30" s="59"/>
      <c r="K30" s="59"/>
      <c r="L30" s="59"/>
      <c r="M30" s="59"/>
      <c r="N30" s="59"/>
      <c r="O30" s="78"/>
      <c r="Q30" s="332"/>
      <c r="AA30" s="332"/>
    </row>
    <row r="31" spans="1:27" s="12" customFormat="1" x14ac:dyDescent="0.15">
      <c r="A31" s="68" t="s">
        <v>69</v>
      </c>
      <c r="B31" s="105">
        <f t="shared" si="5"/>
        <v>0</v>
      </c>
      <c r="C31" s="59"/>
      <c r="D31" s="59"/>
      <c r="E31" s="59"/>
      <c r="F31" s="59"/>
      <c r="G31" s="59"/>
      <c r="H31" s="59"/>
      <c r="I31" s="59"/>
      <c r="J31" s="59"/>
      <c r="K31" s="59"/>
      <c r="L31" s="59"/>
      <c r="M31" s="59"/>
      <c r="N31" s="59"/>
      <c r="O31" s="78"/>
      <c r="Q31" s="332"/>
      <c r="AA31" s="332"/>
    </row>
    <row r="32" spans="1:27" s="12" customFormat="1" ht="14" thickBot="1" x14ac:dyDescent="0.2">
      <c r="A32" s="68" t="s">
        <v>63</v>
      </c>
      <c r="B32" s="105">
        <f t="shared" si="5"/>
        <v>0</v>
      </c>
      <c r="C32" s="60">
        <f>'Wages Forecast'!C$41/12</f>
        <v>0</v>
      </c>
      <c r="D32" s="60">
        <f>'Wages Forecast'!C$41/12</f>
        <v>0</v>
      </c>
      <c r="E32" s="60">
        <f>'Wages Forecast'!C$41/12</f>
        <v>0</v>
      </c>
      <c r="F32" s="60">
        <f>'Wages Forecast'!C$41/12</f>
        <v>0</v>
      </c>
      <c r="G32" s="60">
        <f>'Wages Forecast'!C$41/12</f>
        <v>0</v>
      </c>
      <c r="H32" s="60">
        <f>'Wages Forecast'!C$41/12</f>
        <v>0</v>
      </c>
      <c r="I32" s="60">
        <f>'Wages Forecast'!C$41/12</f>
        <v>0</v>
      </c>
      <c r="J32" s="60">
        <f>'Wages Forecast'!C$41/12</f>
        <v>0</v>
      </c>
      <c r="K32" s="60">
        <f>'Wages Forecast'!C$41/12</f>
        <v>0</v>
      </c>
      <c r="L32" s="60">
        <f>'Wages Forecast'!C$41/12</f>
        <v>0</v>
      </c>
      <c r="M32" s="60">
        <f>'Wages Forecast'!C$41/12</f>
        <v>0</v>
      </c>
      <c r="N32" s="60">
        <f>'Wages Forecast'!C$41/12</f>
        <v>0</v>
      </c>
      <c r="O32" s="78"/>
      <c r="Q32" s="332"/>
      <c r="AA32" s="332"/>
    </row>
    <row r="33" spans="1:27" s="12" customFormat="1" ht="14" thickBot="1" x14ac:dyDescent="0.2">
      <c r="A33" s="79" t="s">
        <v>64</v>
      </c>
      <c r="B33" s="80">
        <f t="shared" si="5"/>
        <v>0</v>
      </c>
      <c r="C33" s="81">
        <f t="shared" ref="C33:N33" si="6">C27-SUM(C28:C31)-C32</f>
        <v>0</v>
      </c>
      <c r="D33" s="81">
        <f t="shared" si="6"/>
        <v>0</v>
      </c>
      <c r="E33" s="81">
        <f t="shared" si="6"/>
        <v>0</v>
      </c>
      <c r="F33" s="81">
        <f t="shared" si="6"/>
        <v>0</v>
      </c>
      <c r="G33" s="81">
        <f t="shared" si="6"/>
        <v>0</v>
      </c>
      <c r="H33" s="81">
        <f t="shared" si="6"/>
        <v>0</v>
      </c>
      <c r="I33" s="81">
        <f t="shared" si="6"/>
        <v>0</v>
      </c>
      <c r="J33" s="81">
        <f t="shared" si="6"/>
        <v>0</v>
      </c>
      <c r="K33" s="81">
        <f t="shared" si="6"/>
        <v>0</v>
      </c>
      <c r="L33" s="81">
        <f t="shared" si="6"/>
        <v>0</v>
      </c>
      <c r="M33" s="81">
        <f t="shared" si="6"/>
        <v>0</v>
      </c>
      <c r="N33" s="81">
        <f t="shared" si="6"/>
        <v>0</v>
      </c>
      <c r="O33" s="78"/>
      <c r="Q33" s="332"/>
      <c r="AA33" s="332"/>
    </row>
    <row r="34" spans="1:27" s="12" customFormat="1" ht="6" customHeight="1" thickBot="1" x14ac:dyDescent="0.2">
      <c r="A34" s="72"/>
      <c r="B34" s="82"/>
      <c r="C34" s="83"/>
      <c r="D34" s="83"/>
      <c r="E34" s="83"/>
      <c r="F34" s="83"/>
      <c r="G34" s="83"/>
      <c r="H34" s="83"/>
      <c r="I34" s="83"/>
      <c r="J34" s="83"/>
      <c r="K34" s="83"/>
      <c r="L34" s="83"/>
      <c r="M34" s="83"/>
      <c r="N34" s="83"/>
      <c r="O34" s="71"/>
      <c r="Q34" s="332"/>
      <c r="AA34" s="332"/>
    </row>
    <row r="35" spans="1:27" s="6" customFormat="1" x14ac:dyDescent="0.15">
      <c r="B35" s="7"/>
      <c r="C35" s="7"/>
      <c r="D35" s="7"/>
      <c r="E35" s="7"/>
      <c r="F35" s="7"/>
      <c r="G35" s="7"/>
      <c r="H35" s="7"/>
      <c r="I35" s="7"/>
      <c r="J35" s="7"/>
      <c r="K35" s="7"/>
      <c r="L35" s="7"/>
      <c r="M35" s="7"/>
      <c r="N35" s="7"/>
      <c r="O35" s="7"/>
      <c r="Q35" s="332"/>
      <c r="AA35" s="332"/>
    </row>
  </sheetData>
  <mergeCells count="15">
    <mergeCell ref="A2:A3"/>
    <mergeCell ref="E2:E3"/>
    <mergeCell ref="D2:D3"/>
    <mergeCell ref="C2:C3"/>
    <mergeCell ref="H2:H3"/>
    <mergeCell ref="G2:G3"/>
    <mergeCell ref="D1:H1"/>
    <mergeCell ref="N2:N3"/>
    <mergeCell ref="M2:M3"/>
    <mergeCell ref="L2:L3"/>
    <mergeCell ref="K2:K3"/>
    <mergeCell ref="K1:N1"/>
    <mergeCell ref="F2:F3"/>
    <mergeCell ref="J2:J3"/>
    <mergeCell ref="I2:I3"/>
  </mergeCells>
  <phoneticPr fontId="0" type="noConversion"/>
  <printOptions horizontalCentered="1" verticalCentered="1" gridLines="1"/>
  <pageMargins left="0.19685039370078741" right="0.19685039370078741" top="0.62992125984251968" bottom="0.74803149606299213" header="0.19685039370078741" footer="0.35433070866141736"/>
  <pageSetup paperSize="9" orientation="landscape" horizontalDpi="4294967293" r:id="rId1"/>
  <headerFooter alignWithMargins="0">
    <oddHeader>&amp;C&amp;"Arial,Bold"&amp;11Financial accounts for the period
6 April 2017 to 5 April 2018</oddHeader>
    <oddFooter>&amp;L&amp;D  &amp;T&amp;C
&amp;P  of  &amp;N&amp;R&amp;F  &amp;A</oddFooter>
  </headerFooter>
  <ignoredErrors>
    <ignoredError sqref="B10" formula="1"/>
  </ignoredError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90AE0-DCC3-DC4F-8A93-36DA1CCF6D77}">
  <dimension ref="A1:R52"/>
  <sheetViews>
    <sheetView zoomScaleNormal="100" workbookViewId="0">
      <selection activeCell="H20" sqref="H20"/>
    </sheetView>
  </sheetViews>
  <sheetFormatPr baseColWidth="10" defaultColWidth="9.1640625" defaultRowHeight="13" x14ac:dyDescent="0.15"/>
  <cols>
    <col min="1" max="1" width="1.6640625" style="332" customWidth="1"/>
    <col min="2" max="2" width="22.33203125" style="332" customWidth="1"/>
    <col min="3" max="3" width="9.1640625" style="332"/>
    <col min="4" max="4" width="10.1640625" style="332" customWidth="1"/>
    <col min="5" max="7" width="9.1640625" style="332"/>
    <col min="8" max="8" width="23.6640625" style="332" customWidth="1"/>
    <col min="9" max="9" width="1.6640625" style="332" customWidth="1"/>
    <col min="19" max="16384" width="9.1640625" style="332"/>
  </cols>
  <sheetData>
    <row r="1" spans="1:9" ht="5" customHeight="1" x14ac:dyDescent="0.15">
      <c r="A1" s="331"/>
      <c r="B1" s="331"/>
      <c r="C1" s="331"/>
      <c r="D1" s="331"/>
      <c r="E1" s="331"/>
      <c r="F1" s="331"/>
      <c r="G1" s="331"/>
      <c r="H1" s="331"/>
      <c r="I1" s="331"/>
    </row>
    <row r="2" spans="1:9" s="330" customFormat="1" x14ac:dyDescent="0.15">
      <c r="A2" s="331"/>
      <c r="B2" s="418" t="s">
        <v>282</v>
      </c>
      <c r="C2" s="418" t="s">
        <v>283</v>
      </c>
      <c r="D2" s="418" t="s">
        <v>284</v>
      </c>
      <c r="E2" s="418" t="s">
        <v>285</v>
      </c>
      <c r="F2" s="418" t="s">
        <v>286</v>
      </c>
      <c r="G2" s="418" t="s">
        <v>287</v>
      </c>
      <c r="H2" s="418" t="s">
        <v>288</v>
      </c>
      <c r="I2" s="331"/>
    </row>
    <row r="3" spans="1:9" x14ac:dyDescent="0.15">
      <c r="A3" s="331"/>
      <c r="B3" s="418"/>
      <c r="C3" s="418"/>
      <c r="D3" s="418"/>
      <c r="E3" s="418"/>
      <c r="F3" s="418"/>
      <c r="G3" s="418"/>
      <c r="H3" s="418"/>
      <c r="I3" s="331"/>
    </row>
    <row r="4" spans="1:9" s="333" customFormat="1" x14ac:dyDescent="0.15">
      <c r="A4" s="331"/>
      <c r="B4" s="331"/>
      <c r="C4" s="331"/>
      <c r="D4" s="331"/>
      <c r="E4" s="331"/>
      <c r="F4" s="331"/>
      <c r="G4" s="331"/>
      <c r="H4" s="331"/>
      <c r="I4" s="331"/>
    </row>
    <row r="5" spans="1:9" x14ac:dyDescent="0.15">
      <c r="A5" s="331"/>
      <c r="B5" s="331" t="s">
        <v>289</v>
      </c>
      <c r="C5" s="335">
        <f>SUM('Profit &amp; Loss Acc'!C5:E5)</f>
        <v>0</v>
      </c>
      <c r="D5" s="335">
        <f>SUM('Profit &amp; Loss Acc'!F5:H5)</f>
        <v>0</v>
      </c>
      <c r="E5" s="335">
        <f>SUM('Profit &amp; Loss Acc'!I5:K5)</f>
        <v>0</v>
      </c>
      <c r="F5" s="335">
        <f>SUM('Profit &amp; Loss Acc'!L5:N5)</f>
        <v>0</v>
      </c>
      <c r="G5" s="336">
        <f>SUM(C5:F5)</f>
        <v>0</v>
      </c>
      <c r="H5" s="331"/>
      <c r="I5" s="331"/>
    </row>
    <row r="6" spans="1:9" x14ac:dyDescent="0.15">
      <c r="A6" s="331"/>
      <c r="B6" s="331" t="s">
        <v>290</v>
      </c>
      <c r="C6" s="335">
        <f>SUM('Profit &amp; Loss Acc'!C24:E24)</f>
        <v>0</v>
      </c>
      <c r="D6" s="335">
        <f>SUM('Profit &amp; Loss Acc'!F24:H24)</f>
        <v>0</v>
      </c>
      <c r="E6" s="335">
        <f>SUM('Profit &amp; Loss Acc'!I24:K24)</f>
        <v>0</v>
      </c>
      <c r="F6" s="335">
        <f>SUM('Profit &amp; Loss Acc'!L24:N24)</f>
        <v>0</v>
      </c>
      <c r="G6" s="336">
        <f>SUM(C6:F6)</f>
        <v>0</v>
      </c>
      <c r="H6" s="331"/>
      <c r="I6" s="331"/>
    </row>
    <row r="7" spans="1:9" x14ac:dyDescent="0.15">
      <c r="A7" s="331"/>
      <c r="B7" s="331" t="s">
        <v>291</v>
      </c>
      <c r="C7" s="335">
        <f>SUM('Profit &amp; Loss Acc'!C11:E11)</f>
        <v>0</v>
      </c>
      <c r="D7" s="335">
        <f>SUM('Profit &amp; Loss Acc'!F11:H11)</f>
        <v>0</v>
      </c>
      <c r="E7" s="335">
        <f>SUM('Profit &amp; Loss Acc'!I11:K11)</f>
        <v>0</v>
      </c>
      <c r="F7" s="335">
        <f>SUM('Profit &amp; Loss Acc'!L11:N11)</f>
        <v>0</v>
      </c>
      <c r="G7" s="336">
        <f>SUM(C7:F7)</f>
        <v>0</v>
      </c>
      <c r="H7" s="331"/>
      <c r="I7" s="331"/>
    </row>
    <row r="8" spans="1:9" s="337" customFormat="1" x14ac:dyDescent="0.15">
      <c r="A8" s="331"/>
      <c r="B8" s="331"/>
      <c r="C8" s="331"/>
      <c r="D8" s="331"/>
      <c r="E8" s="331"/>
      <c r="F8" s="331"/>
      <c r="G8" s="331"/>
      <c r="H8" s="331"/>
      <c r="I8" s="331"/>
    </row>
    <row r="9" spans="1:9" x14ac:dyDescent="0.15">
      <c r="A9" s="331"/>
      <c r="B9" s="331"/>
      <c r="C9" s="331"/>
      <c r="D9" s="331"/>
      <c r="E9" s="331"/>
      <c r="F9" s="331"/>
      <c r="G9" s="331"/>
      <c r="H9" s="331"/>
      <c r="I9" s="331"/>
    </row>
    <row r="10" spans="1:9" x14ac:dyDescent="0.15">
      <c r="A10" s="331"/>
      <c r="B10" s="338" t="s">
        <v>292</v>
      </c>
      <c r="C10" s="331"/>
      <c r="D10" s="331"/>
      <c r="E10" s="331"/>
      <c r="F10" s="331"/>
      <c r="G10" s="331"/>
      <c r="H10" s="331"/>
      <c r="I10" s="331"/>
    </row>
    <row r="11" spans="1:9" x14ac:dyDescent="0.15">
      <c r="A11" s="331"/>
      <c r="B11" s="331"/>
      <c r="C11" s="331"/>
      <c r="D11" s="331"/>
      <c r="E11" s="331"/>
      <c r="F11" s="331"/>
      <c r="G11" s="331"/>
      <c r="H11" s="331"/>
      <c r="I11" s="331"/>
    </row>
    <row r="12" spans="1:9" x14ac:dyDescent="0.15">
      <c r="A12" s="331"/>
      <c r="B12" s="331" t="s">
        <v>293</v>
      </c>
      <c r="C12" s="336">
        <f>SUM('Profit &amp; Loss Acc'!C14:E14)</f>
        <v>0</v>
      </c>
      <c r="D12" s="336">
        <f>SUM('Profit &amp; Loss Acc'!F14:H14)</f>
        <v>0</v>
      </c>
      <c r="E12" s="336">
        <f>SUM('Profit &amp; Loss Acc'!I14:K14)</f>
        <v>0</v>
      </c>
      <c r="F12" s="336">
        <f>SUM('Profit &amp; Loss Acc'!L14:N14)</f>
        <v>0</v>
      </c>
      <c r="G12" s="336">
        <f t="shared" ref="G12:G22" si="0">SUM(C12:F12)</f>
        <v>0</v>
      </c>
      <c r="H12" s="331"/>
      <c r="I12" s="331"/>
    </row>
    <row r="13" spans="1:9" x14ac:dyDescent="0.15">
      <c r="A13" s="331"/>
      <c r="B13" s="331" t="s">
        <v>294</v>
      </c>
      <c r="C13" s="336">
        <f>SUM('Profit &amp; Loss Acc'!C15:E15)</f>
        <v>0</v>
      </c>
      <c r="D13" s="336">
        <f>SUM('Profit &amp; Loss Acc'!F15:H15)</f>
        <v>0</v>
      </c>
      <c r="E13" s="336">
        <f>SUM('Profit &amp; Loss Acc'!I15:K15)</f>
        <v>0</v>
      </c>
      <c r="F13" s="336">
        <f>SUM('Profit &amp; Loss Acc'!L15:N15)</f>
        <v>0</v>
      </c>
      <c r="G13" s="336">
        <f t="shared" si="0"/>
        <v>0</v>
      </c>
      <c r="H13" s="331"/>
      <c r="I13" s="331"/>
    </row>
    <row r="14" spans="1:9" x14ac:dyDescent="0.15">
      <c r="A14" s="331"/>
      <c r="B14" s="331" t="s">
        <v>295</v>
      </c>
      <c r="C14" s="336">
        <f>SUM('Profit &amp; Loss Acc'!C8:E9)</f>
        <v>0</v>
      </c>
      <c r="D14" s="336">
        <f>SUM('Profit &amp; Loss Acc'!F8:H9)</f>
        <v>0</v>
      </c>
      <c r="E14" s="336">
        <f>SUM('Profit &amp; Loss Acc'!I8:K9)</f>
        <v>0</v>
      </c>
      <c r="F14" s="336">
        <f>SUM('Profit &amp; Loss Acc'!L8:N9)</f>
        <v>0</v>
      </c>
      <c r="G14" s="336">
        <f t="shared" si="0"/>
        <v>0</v>
      </c>
      <c r="H14" s="331"/>
      <c r="I14" s="331"/>
    </row>
    <row r="15" spans="1:9" x14ac:dyDescent="0.15">
      <c r="A15" s="331"/>
      <c r="B15" s="331" t="s">
        <v>296</v>
      </c>
      <c r="C15" s="336">
        <f>SUM('Profit &amp; Loss Acc'!C16:E16)</f>
        <v>0</v>
      </c>
      <c r="D15" s="336">
        <f>SUM('Profit &amp; Loss Acc'!F16:H16)</f>
        <v>0</v>
      </c>
      <c r="E15" s="336">
        <f>SUM('Profit &amp; Loss Acc'!I16:K16)</f>
        <v>0</v>
      </c>
      <c r="F15" s="336">
        <f>SUM('Profit &amp; Loss Acc'!L16:N16)</f>
        <v>0</v>
      </c>
      <c r="G15" s="336">
        <f t="shared" si="0"/>
        <v>0</v>
      </c>
      <c r="H15" s="331"/>
      <c r="I15" s="331"/>
    </row>
    <row r="16" spans="1:9" x14ac:dyDescent="0.15">
      <c r="A16" s="331"/>
      <c r="B16" s="331" t="s">
        <v>297</v>
      </c>
      <c r="C16" s="336">
        <f>SUM('Profit &amp; Loss Acc'!C20:E20)</f>
        <v>0</v>
      </c>
      <c r="D16" s="336">
        <f>SUM('Profit &amp; Loss Acc'!F20:H20)</f>
        <v>0</v>
      </c>
      <c r="E16" s="336">
        <f>SUM('Profit &amp; Loss Acc'!I20:K20)</f>
        <v>0</v>
      </c>
      <c r="F16" s="336">
        <f>SUM('Profit &amp; Loss Acc'!L20:N20)</f>
        <v>0</v>
      </c>
      <c r="G16" s="336">
        <f t="shared" si="0"/>
        <v>0</v>
      </c>
      <c r="H16" s="331"/>
      <c r="I16" s="331"/>
    </row>
    <row r="17" spans="1:9" x14ac:dyDescent="0.15">
      <c r="A17" s="331"/>
      <c r="B17" s="331" t="s">
        <v>298</v>
      </c>
      <c r="C17" s="336">
        <f>SUM('Profit &amp; Loss Acc'!C6:E7)</f>
        <v>0</v>
      </c>
      <c r="D17" s="336">
        <f>SUM('Profit &amp; Loss Acc'!F6:H7)</f>
        <v>0</v>
      </c>
      <c r="E17" s="336">
        <f>SUM('Profit &amp; Loss Acc'!I6:K7)</f>
        <v>0</v>
      </c>
      <c r="F17" s="336">
        <f>SUM('Profit &amp; Loss Acc'!L6:N7)</f>
        <v>0</v>
      </c>
      <c r="G17" s="336">
        <f t="shared" si="0"/>
        <v>0</v>
      </c>
      <c r="H17" s="331"/>
      <c r="I17" s="331"/>
    </row>
    <row r="18" spans="1:9" x14ac:dyDescent="0.15">
      <c r="A18" s="331"/>
      <c r="B18" s="331" t="s">
        <v>299</v>
      </c>
      <c r="C18" s="336">
        <f>SUM('Profit &amp; Loss Acc'!C17:E17)</f>
        <v>0</v>
      </c>
      <c r="D18" s="336">
        <f>SUM('Profit &amp; Loss Acc'!F17:H17)</f>
        <v>0</v>
      </c>
      <c r="E18" s="336">
        <f>SUM('Profit &amp; Loss Acc'!I17:K17)</f>
        <v>0</v>
      </c>
      <c r="F18" s="336">
        <f>SUM('Profit &amp; Loss Acc'!L17:N17)</f>
        <v>0</v>
      </c>
      <c r="G18" s="336">
        <f t="shared" si="0"/>
        <v>0</v>
      </c>
      <c r="H18" s="331"/>
      <c r="I18" s="331"/>
    </row>
    <row r="19" spans="1:9" x14ac:dyDescent="0.15">
      <c r="A19" s="331"/>
      <c r="B19" s="331" t="s">
        <v>300</v>
      </c>
      <c r="C19" s="336">
        <f>SUM('Profit &amp; Loss Acc'!C18:E18)</f>
        <v>0</v>
      </c>
      <c r="D19" s="336">
        <f>SUM('Profit &amp; Loss Acc'!F18:H18)</f>
        <v>0</v>
      </c>
      <c r="E19" s="336">
        <f>SUM('Profit &amp; Loss Acc'!I18:K18)</f>
        <v>0</v>
      </c>
      <c r="F19" s="336">
        <f>SUM('Profit &amp; Loss Acc'!L18:N18)</f>
        <v>0</v>
      </c>
      <c r="G19" s="336">
        <f t="shared" si="0"/>
        <v>0</v>
      </c>
      <c r="H19" s="331"/>
      <c r="I19" s="331"/>
    </row>
    <row r="20" spans="1:9" x14ac:dyDescent="0.15">
      <c r="A20" s="331"/>
      <c r="B20" s="331" t="s">
        <v>301</v>
      </c>
      <c r="C20" s="336">
        <v>0</v>
      </c>
      <c r="D20" s="336">
        <v>0</v>
      </c>
      <c r="E20" s="336">
        <v>0</v>
      </c>
      <c r="F20" s="336">
        <v>0</v>
      </c>
      <c r="G20" s="336">
        <f t="shared" si="0"/>
        <v>0</v>
      </c>
      <c r="H20" s="331" t="s">
        <v>304</v>
      </c>
      <c r="I20" s="331"/>
    </row>
    <row r="21" spans="1:9" x14ac:dyDescent="0.15">
      <c r="A21" s="331"/>
      <c r="B21" s="331" t="s">
        <v>0</v>
      </c>
      <c r="C21" s="336">
        <f>SUM('Profit &amp; Loss Acc'!C19:E19)</f>
        <v>0</v>
      </c>
      <c r="D21" s="336">
        <f>SUM('Profit &amp; Loss Acc'!F19:H19)</f>
        <v>0</v>
      </c>
      <c r="E21" s="336">
        <f>SUM('Profit &amp; Loss Acc'!I19:K19)</f>
        <v>0</v>
      </c>
      <c r="F21" s="336">
        <f>SUM('Profit &amp; Loss Acc'!L19:N19)</f>
        <v>0</v>
      </c>
      <c r="G21" s="336">
        <f t="shared" si="0"/>
        <v>0</v>
      </c>
      <c r="H21" s="331"/>
      <c r="I21" s="331"/>
    </row>
    <row r="22" spans="1:9" x14ac:dyDescent="0.15">
      <c r="A22" s="331"/>
      <c r="B22" s="331" t="s">
        <v>302</v>
      </c>
      <c r="C22" s="336">
        <f>SUM('Profit &amp; Loss Acc'!C21:E21)</f>
        <v>0</v>
      </c>
      <c r="D22" s="336">
        <f>SUM('Profit &amp; Loss Acc'!F21:H21)</f>
        <v>0</v>
      </c>
      <c r="E22" s="336">
        <f>SUM('Profit &amp; Loss Acc'!I21:K21)</f>
        <v>0</v>
      </c>
      <c r="F22" s="336">
        <f>SUM('Profit &amp; Loss Acc'!L21:N21)</f>
        <v>0</v>
      </c>
      <c r="G22" s="336">
        <f t="shared" si="0"/>
        <v>0</v>
      </c>
      <c r="H22" s="331"/>
      <c r="I22" s="331"/>
    </row>
    <row r="23" spans="1:9" x14ac:dyDescent="0.15">
      <c r="A23" s="331"/>
      <c r="B23" s="331"/>
      <c r="C23" s="331"/>
      <c r="D23" s="331"/>
      <c r="E23" s="331"/>
      <c r="F23" s="331"/>
      <c r="G23" s="331"/>
      <c r="H23" s="331"/>
      <c r="I23" s="331"/>
    </row>
    <row r="24" spans="1:9" x14ac:dyDescent="0.15">
      <c r="A24" s="331"/>
      <c r="B24" s="331" t="s">
        <v>303</v>
      </c>
      <c r="C24" s="336">
        <v>0</v>
      </c>
      <c r="D24" s="336">
        <v>0</v>
      </c>
      <c r="E24" s="336">
        <v>0</v>
      </c>
      <c r="F24" s="336">
        <v>0</v>
      </c>
      <c r="G24" s="336">
        <f>SUM(C24:F24)</f>
        <v>0</v>
      </c>
      <c r="H24" s="331" t="s">
        <v>304</v>
      </c>
      <c r="I24" s="331"/>
    </row>
    <row r="25" spans="1:9" x14ac:dyDescent="0.15">
      <c r="A25" s="331"/>
      <c r="B25" s="331" t="s">
        <v>305</v>
      </c>
      <c r="C25" s="336">
        <v>0</v>
      </c>
      <c r="D25" s="336">
        <v>0</v>
      </c>
      <c r="E25" s="336">
        <v>0</v>
      </c>
      <c r="F25" s="336">
        <v>0</v>
      </c>
      <c r="G25" s="336">
        <f>SUM(C25:F25)</f>
        <v>0</v>
      </c>
      <c r="H25" s="331" t="s">
        <v>304</v>
      </c>
      <c r="I25" s="331"/>
    </row>
    <row r="26" spans="1:9" x14ac:dyDescent="0.15">
      <c r="A26" s="331"/>
      <c r="B26" s="331" t="s">
        <v>306</v>
      </c>
      <c r="C26" s="336">
        <f>SUM('Profit &amp; Loss Acc'!C10:E10)</f>
        <v>0</v>
      </c>
      <c r="D26" s="336">
        <f>SUM('Profit &amp; Loss Acc'!F10:H10)</f>
        <v>0</v>
      </c>
      <c r="E26" s="336">
        <f>SUM('Profit &amp; Loss Acc'!I10:K10)</f>
        <v>0</v>
      </c>
      <c r="F26" s="336">
        <f>SUM('Profit &amp; Loss Acc'!L10:N10)</f>
        <v>0</v>
      </c>
      <c r="G26" s="336">
        <f>SUM(C26:F26)</f>
        <v>0</v>
      </c>
      <c r="H26" s="331"/>
      <c r="I26" s="331"/>
    </row>
    <row r="27" spans="1:9" x14ac:dyDescent="0.15">
      <c r="A27" s="331"/>
      <c r="B27" s="331"/>
      <c r="C27" s="331"/>
      <c r="D27" s="331"/>
      <c r="E27" s="331"/>
      <c r="F27" s="331"/>
      <c r="G27" s="331"/>
      <c r="H27" s="331"/>
      <c r="I27" s="331"/>
    </row>
    <row r="28" spans="1:9" x14ac:dyDescent="0.15">
      <c r="A28" s="331"/>
      <c r="B28" s="331"/>
      <c r="C28" s="331"/>
      <c r="D28" s="331"/>
      <c r="E28" s="331"/>
      <c r="F28" s="331"/>
      <c r="G28" s="331"/>
      <c r="H28" s="331"/>
      <c r="I28" s="331"/>
    </row>
    <row r="29" spans="1:9" x14ac:dyDescent="0.15">
      <c r="A29" s="331"/>
      <c r="B29" s="338" t="s">
        <v>307</v>
      </c>
      <c r="C29" s="339">
        <f>SUM(C7,C12,C13,C14,C15,C16,C17,C18,C19,C20,C21,C22,C24,C25,C26)</f>
        <v>0</v>
      </c>
      <c r="D29" s="339">
        <f>SUM(D7,D12,D13,D14,D15,D16,D17,D18,D19,D20,D21,D22,D24,D25,D26)</f>
        <v>0</v>
      </c>
      <c r="E29" s="339">
        <f>SUM(E7,E12,E13,E14,E15,E16,E17,E18,E19,E20,E21,E22,E24,E25,E26)</f>
        <v>0</v>
      </c>
      <c r="F29" s="339">
        <f>SUM(F7,F12,F13,F14,F15,F16,F17,F18,F19,F20,F21,F22,F24,F25,F26)</f>
        <v>0</v>
      </c>
      <c r="G29" s="339">
        <f>SUM(G7,G12,G13,G14,G15,G16,G17,G18,G19,G20,G21,G22,G24,G25,G26)</f>
        <v>0</v>
      </c>
      <c r="H29" s="340"/>
      <c r="I29" s="331"/>
    </row>
    <row r="30" spans="1:9" x14ac:dyDescent="0.15">
      <c r="A30" s="331"/>
      <c r="B30" s="331"/>
      <c r="C30" s="331"/>
      <c r="D30" s="331"/>
      <c r="E30" s="331"/>
      <c r="F30" s="331"/>
      <c r="G30" s="331"/>
      <c r="H30" s="331"/>
      <c r="I30" s="331"/>
    </row>
    <row r="31" spans="1:9" x14ac:dyDescent="0.15">
      <c r="A31" s="331"/>
      <c r="B31" s="331"/>
      <c r="C31" s="331"/>
      <c r="D31" s="331"/>
      <c r="E31" s="331"/>
      <c r="F31" s="331"/>
      <c r="G31" s="331"/>
      <c r="H31" s="331"/>
      <c r="I31" s="331"/>
    </row>
    <row r="32" spans="1:9" x14ac:dyDescent="0.15">
      <c r="A32" s="331"/>
      <c r="B32" s="331"/>
      <c r="C32" s="331"/>
      <c r="D32" s="331"/>
      <c r="E32" s="331"/>
      <c r="F32" s="331"/>
      <c r="G32" s="331"/>
      <c r="H32" s="331"/>
      <c r="I32" s="331"/>
    </row>
    <row r="33" spans="1:9" x14ac:dyDescent="0.15">
      <c r="A33" s="331"/>
      <c r="B33" s="331"/>
      <c r="C33" s="331"/>
      <c r="D33" s="331"/>
      <c r="E33" s="331"/>
      <c r="F33" s="331"/>
      <c r="G33" s="331"/>
      <c r="H33" s="331"/>
      <c r="I33" s="331"/>
    </row>
    <row r="34" spans="1:9" x14ac:dyDescent="0.15">
      <c r="A34" s="331"/>
      <c r="B34" s="338" t="s">
        <v>308</v>
      </c>
      <c r="C34" s="331"/>
      <c r="D34" s="331"/>
      <c r="E34" s="331"/>
      <c r="F34" s="331"/>
      <c r="G34" s="331"/>
      <c r="H34" s="331"/>
      <c r="I34" s="331"/>
    </row>
    <row r="35" spans="1:9" x14ac:dyDescent="0.15">
      <c r="A35" s="331"/>
      <c r="B35" s="331"/>
      <c r="C35" s="331"/>
      <c r="D35" s="331"/>
      <c r="E35" s="331"/>
      <c r="F35" s="331"/>
      <c r="G35" s="331"/>
      <c r="H35" s="331"/>
      <c r="I35" s="331"/>
    </row>
    <row r="36" spans="1:9" x14ac:dyDescent="0.15">
      <c r="A36" s="331"/>
      <c r="B36" s="331" t="s">
        <v>291</v>
      </c>
      <c r="C36" s="336">
        <v>0</v>
      </c>
      <c r="D36" s="336">
        <v>0</v>
      </c>
      <c r="E36" s="336">
        <v>0</v>
      </c>
      <c r="F36" s="336">
        <v>0</v>
      </c>
      <c r="G36" s="336">
        <f t="shared" ref="G36:G50" si="1">SUM(C36:F36)</f>
        <v>0</v>
      </c>
      <c r="H36" s="331" t="s">
        <v>304</v>
      </c>
      <c r="I36" s="331"/>
    </row>
    <row r="37" spans="1:9" x14ac:dyDescent="0.15">
      <c r="A37" s="331"/>
      <c r="B37" s="331" t="s">
        <v>303</v>
      </c>
      <c r="C37" s="336">
        <v>0</v>
      </c>
      <c r="D37" s="336">
        <v>0</v>
      </c>
      <c r="E37" s="336">
        <v>0</v>
      </c>
      <c r="F37" s="336">
        <v>0</v>
      </c>
      <c r="G37" s="336">
        <f t="shared" si="1"/>
        <v>0</v>
      </c>
      <c r="H37" s="331" t="s">
        <v>304</v>
      </c>
      <c r="I37" s="331"/>
    </row>
    <row r="38" spans="1:9" x14ac:dyDescent="0.15">
      <c r="A38" s="331"/>
      <c r="B38" s="331" t="s">
        <v>293</v>
      </c>
      <c r="C38" s="336">
        <v>0</v>
      </c>
      <c r="D38" s="336">
        <v>0</v>
      </c>
      <c r="E38" s="336">
        <v>0</v>
      </c>
      <c r="F38" s="336">
        <v>0</v>
      </c>
      <c r="G38" s="336">
        <f t="shared" si="1"/>
        <v>0</v>
      </c>
      <c r="H38" s="331" t="s">
        <v>304</v>
      </c>
      <c r="I38" s="331"/>
    </row>
    <row r="39" spans="1:9" x14ac:dyDescent="0.15">
      <c r="A39" s="331"/>
      <c r="B39" s="331" t="s">
        <v>309</v>
      </c>
      <c r="C39" s="336">
        <v>0</v>
      </c>
      <c r="D39" s="336">
        <v>0</v>
      </c>
      <c r="E39" s="336">
        <v>0</v>
      </c>
      <c r="F39" s="336">
        <v>0</v>
      </c>
      <c r="G39" s="336">
        <f t="shared" si="1"/>
        <v>0</v>
      </c>
      <c r="H39" s="331" t="s">
        <v>304</v>
      </c>
      <c r="I39" s="331"/>
    </row>
    <row r="40" spans="1:9" x14ac:dyDescent="0.15">
      <c r="A40" s="331"/>
      <c r="B40" s="331" t="s">
        <v>294</v>
      </c>
      <c r="C40" s="336">
        <v>0</v>
      </c>
      <c r="D40" s="336">
        <v>0</v>
      </c>
      <c r="E40" s="336">
        <v>0</v>
      </c>
      <c r="F40" s="336">
        <v>0</v>
      </c>
      <c r="G40" s="336">
        <f t="shared" si="1"/>
        <v>0</v>
      </c>
      <c r="H40" s="331" t="s">
        <v>304</v>
      </c>
      <c r="I40" s="331"/>
    </row>
    <row r="41" spans="1:9" x14ac:dyDescent="0.15">
      <c r="A41" s="331"/>
      <c r="B41" s="331" t="s">
        <v>295</v>
      </c>
      <c r="C41" s="336">
        <v>0</v>
      </c>
      <c r="D41" s="336">
        <v>0</v>
      </c>
      <c r="E41" s="336">
        <v>0</v>
      </c>
      <c r="F41" s="336">
        <v>0</v>
      </c>
      <c r="G41" s="336">
        <f t="shared" si="1"/>
        <v>0</v>
      </c>
      <c r="H41" s="331" t="s">
        <v>304</v>
      </c>
      <c r="I41" s="331"/>
    </row>
    <row r="42" spans="1:9" x14ac:dyDescent="0.15">
      <c r="A42" s="331"/>
      <c r="B42" s="331" t="s">
        <v>296</v>
      </c>
      <c r="C42" s="336">
        <v>0</v>
      </c>
      <c r="D42" s="336">
        <v>0</v>
      </c>
      <c r="E42" s="336">
        <v>0</v>
      </c>
      <c r="F42" s="336">
        <v>0</v>
      </c>
      <c r="G42" s="336">
        <f t="shared" si="1"/>
        <v>0</v>
      </c>
      <c r="H42" s="331" t="s">
        <v>304</v>
      </c>
      <c r="I42" s="331"/>
    </row>
    <row r="43" spans="1:9" x14ac:dyDescent="0.15">
      <c r="A43" s="331"/>
      <c r="B43" s="331" t="s">
        <v>299</v>
      </c>
      <c r="C43" s="336">
        <v>0</v>
      </c>
      <c r="D43" s="336">
        <v>0</v>
      </c>
      <c r="E43" s="336">
        <v>0</v>
      </c>
      <c r="F43" s="336">
        <v>0</v>
      </c>
      <c r="G43" s="336">
        <f t="shared" si="1"/>
        <v>0</v>
      </c>
      <c r="H43" s="331" t="s">
        <v>304</v>
      </c>
      <c r="I43" s="331"/>
    </row>
    <row r="44" spans="1:9" x14ac:dyDescent="0.15">
      <c r="A44" s="331"/>
      <c r="B44" s="331" t="s">
        <v>305</v>
      </c>
      <c r="C44" s="336">
        <v>0</v>
      </c>
      <c r="D44" s="336">
        <v>0</v>
      </c>
      <c r="E44" s="336">
        <v>0</v>
      </c>
      <c r="F44" s="336">
        <v>0</v>
      </c>
      <c r="G44" s="336">
        <f t="shared" si="1"/>
        <v>0</v>
      </c>
      <c r="H44" s="331" t="s">
        <v>304</v>
      </c>
      <c r="I44" s="331"/>
    </row>
    <row r="45" spans="1:9" x14ac:dyDescent="0.15">
      <c r="A45" s="331"/>
      <c r="B45" s="331" t="s">
        <v>0</v>
      </c>
      <c r="C45" s="336">
        <v>0</v>
      </c>
      <c r="D45" s="336">
        <v>0</v>
      </c>
      <c r="E45" s="336">
        <v>0</v>
      </c>
      <c r="F45" s="336">
        <v>0</v>
      </c>
      <c r="G45" s="336">
        <f t="shared" si="1"/>
        <v>0</v>
      </c>
      <c r="H45" s="331" t="s">
        <v>304</v>
      </c>
      <c r="I45" s="331"/>
    </row>
    <row r="46" spans="1:9" x14ac:dyDescent="0.15">
      <c r="A46" s="331"/>
      <c r="B46" s="331" t="s">
        <v>310</v>
      </c>
      <c r="C46" s="336">
        <v>0</v>
      </c>
      <c r="D46" s="336">
        <v>0</v>
      </c>
      <c r="E46" s="336">
        <v>0</v>
      </c>
      <c r="F46" s="336">
        <v>0</v>
      </c>
      <c r="G46" s="336">
        <f t="shared" si="1"/>
        <v>0</v>
      </c>
      <c r="H46" s="331" t="s">
        <v>304</v>
      </c>
      <c r="I46" s="331"/>
    </row>
    <row r="47" spans="1:9" x14ac:dyDescent="0.15">
      <c r="A47" s="331"/>
      <c r="B47" s="331" t="s">
        <v>311</v>
      </c>
      <c r="C47" s="336">
        <v>0</v>
      </c>
      <c r="D47" s="336">
        <v>0</v>
      </c>
      <c r="E47" s="336">
        <v>0</v>
      </c>
      <c r="F47" s="336">
        <v>0</v>
      </c>
      <c r="G47" s="336">
        <f t="shared" si="1"/>
        <v>0</v>
      </c>
      <c r="H47" s="331" t="s">
        <v>304</v>
      </c>
      <c r="I47" s="331"/>
    </row>
    <row r="48" spans="1:9" x14ac:dyDescent="0.15">
      <c r="A48" s="331"/>
      <c r="B48" s="331" t="s">
        <v>300</v>
      </c>
      <c r="C48" s="336">
        <v>0</v>
      </c>
      <c r="D48" s="336">
        <v>0</v>
      </c>
      <c r="E48" s="336">
        <v>0</v>
      </c>
      <c r="F48" s="336">
        <v>0</v>
      </c>
      <c r="G48" s="336">
        <f t="shared" si="1"/>
        <v>0</v>
      </c>
      <c r="H48" s="331" t="s">
        <v>304</v>
      </c>
      <c r="I48" s="331"/>
    </row>
    <row r="49" spans="1:9" x14ac:dyDescent="0.15">
      <c r="A49" s="331"/>
      <c r="B49" s="331" t="s">
        <v>306</v>
      </c>
      <c r="C49" s="336">
        <v>0</v>
      </c>
      <c r="D49" s="336">
        <v>0</v>
      </c>
      <c r="E49" s="336">
        <v>0</v>
      </c>
      <c r="F49" s="336">
        <v>0</v>
      </c>
      <c r="G49" s="336">
        <f t="shared" si="1"/>
        <v>0</v>
      </c>
      <c r="H49" s="331" t="s">
        <v>304</v>
      </c>
      <c r="I49" s="331"/>
    </row>
    <row r="50" spans="1:9" x14ac:dyDescent="0.15">
      <c r="A50" s="331"/>
      <c r="B50" s="331" t="s">
        <v>302</v>
      </c>
      <c r="C50" s="336">
        <v>0</v>
      </c>
      <c r="D50" s="336">
        <v>0</v>
      </c>
      <c r="E50" s="336">
        <v>0</v>
      </c>
      <c r="F50" s="336">
        <v>0</v>
      </c>
      <c r="G50" s="336">
        <f t="shared" si="1"/>
        <v>0</v>
      </c>
      <c r="H50" s="331" t="s">
        <v>304</v>
      </c>
      <c r="I50" s="331"/>
    </row>
    <row r="51" spans="1:9" x14ac:dyDescent="0.15">
      <c r="A51" s="331"/>
      <c r="B51" s="331"/>
      <c r="C51" s="331"/>
      <c r="D51" s="331"/>
      <c r="E51" s="331"/>
      <c r="F51" s="331"/>
      <c r="G51" s="331"/>
      <c r="H51" s="331"/>
      <c r="I51" s="331"/>
    </row>
    <row r="52" spans="1:9" x14ac:dyDescent="0.15">
      <c r="A52" s="334"/>
    </row>
  </sheetData>
  <mergeCells count="7">
    <mergeCell ref="G2:G3"/>
    <mergeCell ref="H2:H3"/>
    <mergeCell ref="B2:B3"/>
    <mergeCell ref="C2:C3"/>
    <mergeCell ref="D2:D3"/>
    <mergeCell ref="E2:E3"/>
    <mergeCell ref="F2:F3"/>
  </mergeCells>
  <printOptions gridLines="1"/>
  <pageMargins left="0.27559055118110237" right="0.47244094488188981" top="0.74803149606299213" bottom="0.78740157480314965" header="0.27559055118110237" footer="0.35433070866141736"/>
  <pageSetup paperSize="9" orientation="landscape" horizontalDpi="4294967293" r:id="rId1"/>
  <headerFooter alignWithMargins="0">
    <oddHeader>&amp;C&amp;"Arial,Bold"&amp;11Financial accounts for the period
6 April 2020 to 5 April 2021</oddHeader>
    <oddFooter>&amp;L&amp;D  &amp;T&amp;C
&amp;P  of  &amp;N&amp;R&amp;F  &amp;A</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4"/>
  <dimension ref="A1:Q63"/>
  <sheetViews>
    <sheetView workbookViewId="0">
      <pane ySplit="5" topLeftCell="A6" activePane="bottomLeft" state="frozen"/>
      <selection pane="bottomLeft" activeCell="A7" sqref="A7"/>
    </sheetView>
  </sheetViews>
  <sheetFormatPr baseColWidth="10" defaultColWidth="9.1640625" defaultRowHeight="12" x14ac:dyDescent="0.15"/>
  <cols>
    <col min="1" max="1" width="8.5" style="17" customWidth="1"/>
    <col min="2" max="2" width="26.83203125" style="12" customWidth="1"/>
    <col min="3" max="3" width="19.6640625" style="12" customWidth="1"/>
    <col min="4" max="4" width="10.83203125" style="15" customWidth="1"/>
    <col min="5" max="5" width="1.33203125" style="15" customWidth="1"/>
    <col min="6" max="6" width="7" style="14" customWidth="1"/>
    <col min="7" max="7" width="1.33203125" style="18" customWidth="1"/>
    <col min="8" max="8" width="8.5" style="15" customWidth="1"/>
    <col min="9" max="9" width="8.6640625" style="10" bestFit="1" customWidth="1"/>
    <col min="10" max="10" width="9.1640625" style="10"/>
    <col min="11" max="11" width="8.5" style="10" customWidth="1"/>
    <col min="12" max="12" width="1.33203125" style="18" customWidth="1"/>
    <col min="13" max="13" width="8.6640625" style="17" customWidth="1"/>
    <col min="14" max="14" width="8.6640625" style="15" customWidth="1"/>
    <col min="15" max="15" width="1.33203125" style="18" customWidth="1"/>
    <col min="16" max="17" width="8.6640625" style="10" customWidth="1"/>
    <col min="18" max="16384" width="9.1640625" style="12"/>
  </cols>
  <sheetData>
    <row r="1" spans="1:17" s="11" customFormat="1" ht="13.5" customHeight="1" thickBot="1" x14ac:dyDescent="0.2">
      <c r="A1" s="419" t="s">
        <v>44</v>
      </c>
      <c r="B1" s="164" t="s">
        <v>116</v>
      </c>
      <c r="C1" s="165">
        <f>Admin!B17</f>
        <v>46117</v>
      </c>
      <c r="D1" s="166">
        <f>D33+D62</f>
        <v>0</v>
      </c>
      <c r="E1" s="447"/>
      <c r="F1" s="445" t="s">
        <v>41</v>
      </c>
      <c r="G1" s="443"/>
      <c r="H1" s="89">
        <f>H33+H62</f>
        <v>0</v>
      </c>
      <c r="I1" s="89">
        <f>I33+I62</f>
        <v>0</v>
      </c>
      <c r="J1" s="89">
        <f>J33+J62</f>
        <v>0</v>
      </c>
      <c r="K1" s="89">
        <f>K33+K62</f>
        <v>0</v>
      </c>
      <c r="L1" s="443"/>
      <c r="M1" s="439" t="s">
        <v>131</v>
      </c>
      <c r="N1" s="89">
        <f>N33+N62</f>
        <v>0</v>
      </c>
      <c r="O1" s="443"/>
      <c r="P1" s="89">
        <f>P33+P62</f>
        <v>0</v>
      </c>
      <c r="Q1" s="89">
        <f>Q33+Q62</f>
        <v>0</v>
      </c>
    </row>
    <row r="2" spans="1:17" ht="12" customHeight="1" x14ac:dyDescent="0.15">
      <c r="A2" s="420"/>
      <c r="B2" s="440" t="s">
        <v>34</v>
      </c>
      <c r="C2" s="442" t="s">
        <v>35</v>
      </c>
      <c r="D2" s="437" t="s">
        <v>36</v>
      </c>
      <c r="E2" s="448"/>
      <c r="F2" s="446"/>
      <c r="G2" s="444"/>
      <c r="H2" s="449" t="s">
        <v>115</v>
      </c>
      <c r="I2" s="437" t="s">
        <v>132</v>
      </c>
      <c r="J2" s="437" t="s">
        <v>37</v>
      </c>
      <c r="K2" s="449" t="s">
        <v>115</v>
      </c>
      <c r="L2" s="444"/>
      <c r="M2" s="420"/>
      <c r="N2" s="437" t="s">
        <v>38</v>
      </c>
      <c r="O2" s="444"/>
      <c r="P2" s="437" t="s">
        <v>39</v>
      </c>
      <c r="Q2" s="437" t="s">
        <v>40</v>
      </c>
    </row>
    <row r="3" spans="1:17" ht="24.75" customHeight="1" x14ac:dyDescent="0.15">
      <c r="A3" s="420"/>
      <c r="B3" s="441"/>
      <c r="C3" s="441"/>
      <c r="D3" s="438"/>
      <c r="E3" s="448"/>
      <c r="F3" s="446"/>
      <c r="G3" s="444"/>
      <c r="H3" s="450"/>
      <c r="I3" s="438"/>
      <c r="J3" s="438"/>
      <c r="K3" s="450"/>
      <c r="L3" s="444"/>
      <c r="M3" s="420"/>
      <c r="N3" s="438"/>
      <c r="O3" s="444"/>
      <c r="P3" s="438"/>
      <c r="Q3" s="438"/>
    </row>
    <row r="4" spans="1:17" s="13" customFormat="1" ht="12" customHeight="1" x14ac:dyDescent="0.15">
      <c r="A4" s="420"/>
      <c r="B4" s="441"/>
      <c r="C4" s="441"/>
      <c r="D4" s="438"/>
      <c r="E4" s="448"/>
      <c r="F4" s="446"/>
      <c r="G4" s="444"/>
      <c r="H4" s="160">
        <f>Admin!B$4</f>
        <v>45753</v>
      </c>
      <c r="I4" s="90">
        <f>Admin!G$4</f>
        <v>1</v>
      </c>
      <c r="J4" s="90">
        <f>Admin!G$5</f>
        <v>0.18</v>
      </c>
      <c r="K4" s="160">
        <f>Admin!B$17</f>
        <v>46117</v>
      </c>
      <c r="L4" s="444"/>
      <c r="M4" s="420"/>
      <c r="N4" s="438"/>
      <c r="O4" s="444"/>
      <c r="P4" s="438"/>
      <c r="Q4" s="438"/>
    </row>
    <row r="5" spans="1:17" s="16" customFormat="1" ht="12.75" customHeight="1" thickBot="1" x14ac:dyDescent="0.2">
      <c r="A5" s="91"/>
      <c r="B5" s="92"/>
      <c r="C5" s="161"/>
      <c r="D5" s="162"/>
      <c r="E5" s="94"/>
      <c r="F5" s="93"/>
      <c r="G5" s="95"/>
      <c r="H5" s="96"/>
      <c r="I5" s="94"/>
      <c r="J5" s="94"/>
      <c r="K5" s="94"/>
      <c r="L5" s="95"/>
      <c r="M5" s="91"/>
      <c r="N5" s="96"/>
      <c r="O5" s="95"/>
      <c r="P5" s="94"/>
      <c r="Q5" s="94"/>
    </row>
    <row r="6" spans="1:17" ht="13.5" customHeight="1" thickBot="1" x14ac:dyDescent="0.2">
      <c r="A6" s="421" t="s">
        <v>127</v>
      </c>
      <c r="B6" s="422"/>
      <c r="C6" s="423"/>
      <c r="D6" s="254">
        <f>Admin!B$4</f>
        <v>45753</v>
      </c>
      <c r="E6" s="97"/>
      <c r="F6" s="98"/>
      <c r="G6" s="95"/>
      <c r="H6" s="96"/>
      <c r="I6" s="94"/>
      <c r="J6" s="94"/>
      <c r="K6" s="94"/>
      <c r="L6" s="95"/>
      <c r="M6" s="99"/>
      <c r="N6" s="96"/>
      <c r="O6" s="95"/>
      <c r="P6" s="94"/>
      <c r="Q6" s="94"/>
    </row>
    <row r="7" spans="1:17" ht="13" x14ac:dyDescent="0.15">
      <c r="A7" s="255"/>
      <c r="B7" s="256"/>
      <c r="C7" s="256"/>
      <c r="D7" s="257"/>
      <c r="E7" s="96"/>
      <c r="F7" s="93"/>
      <c r="G7" s="95"/>
      <c r="H7" s="262"/>
      <c r="I7" s="105">
        <v>0</v>
      </c>
      <c r="J7" s="106" t="str">
        <f>IF((H7&gt;0),H7*J$4," ")</f>
        <v xml:space="preserve"> </v>
      </c>
      <c r="K7" s="94" t="str">
        <f>IF(H7&gt;0,H7-H7*J$4," ")</f>
        <v xml:space="preserve"> </v>
      </c>
      <c r="L7" s="95"/>
      <c r="M7" s="167"/>
      <c r="N7" s="168"/>
      <c r="O7" s="95"/>
      <c r="P7" s="94" t="str">
        <f>IF((M7+N7)&gt;0,IF(N7&lt;K7,(K7-N7)," ")," ")</f>
        <v xml:space="preserve"> </v>
      </c>
      <c r="Q7" s="94" t="str">
        <f>IF((M7+N7)&gt;0,IF(N7&gt;K7,(N7-K7)," ")," ")</f>
        <v xml:space="preserve"> </v>
      </c>
    </row>
    <row r="8" spans="1:17" ht="13" x14ac:dyDescent="0.15">
      <c r="A8" s="167"/>
      <c r="B8" s="258"/>
      <c r="C8" s="258"/>
      <c r="D8" s="168"/>
      <c r="E8" s="96"/>
      <c r="F8" s="93"/>
      <c r="G8" s="95"/>
      <c r="H8" s="262"/>
      <c r="I8" s="105">
        <v>0</v>
      </c>
      <c r="J8" s="106" t="str">
        <f t="shared" ref="J8:J14" si="0">IF((H8&gt;0),H8*J$4," ")</f>
        <v xml:space="preserve"> </v>
      </c>
      <c r="K8" s="94" t="str">
        <f>IF(H8&gt;0,H8-H8*J$4," ")</f>
        <v xml:space="preserve"> </v>
      </c>
      <c r="L8" s="95"/>
      <c r="M8" s="167"/>
      <c r="N8" s="168"/>
      <c r="O8" s="95"/>
      <c r="P8" s="94" t="str">
        <f t="shared" ref="P8:P14" si="1">IF((M8+N8)&gt;0,IF(N8&lt;K8,(K8-N8)," ")," ")</f>
        <v xml:space="preserve"> </v>
      </c>
      <c r="Q8" s="94" t="str">
        <f t="shared" ref="Q8:Q14" si="2">IF((M8+N8)&gt;0,IF(N8&gt;K8,(N8-K8)," ")," ")</f>
        <v xml:space="preserve"> </v>
      </c>
    </row>
    <row r="9" spans="1:17" ht="13" x14ac:dyDescent="0.15">
      <c r="A9" s="167"/>
      <c r="B9" s="258"/>
      <c r="C9" s="258"/>
      <c r="D9" s="168"/>
      <c r="E9" s="96"/>
      <c r="F9" s="93"/>
      <c r="G9" s="95"/>
      <c r="H9" s="262"/>
      <c r="I9" s="105">
        <v>0</v>
      </c>
      <c r="J9" s="106" t="str">
        <f t="shared" si="0"/>
        <v xml:space="preserve"> </v>
      </c>
      <c r="K9" s="94" t="str">
        <f t="shared" ref="K9:K14" si="3">IF(H9&gt;0,H9-H9*J$4," ")</f>
        <v xml:space="preserve"> </v>
      </c>
      <c r="L9" s="95"/>
      <c r="M9" s="167"/>
      <c r="N9" s="168"/>
      <c r="O9" s="95"/>
      <c r="P9" s="94" t="str">
        <f t="shared" si="1"/>
        <v xml:space="preserve"> </v>
      </c>
      <c r="Q9" s="94" t="str">
        <f t="shared" si="2"/>
        <v xml:space="preserve"> </v>
      </c>
    </row>
    <row r="10" spans="1:17" ht="13" x14ac:dyDescent="0.15">
      <c r="A10" s="167"/>
      <c r="B10" s="258"/>
      <c r="C10" s="258"/>
      <c r="D10" s="168"/>
      <c r="E10" s="96"/>
      <c r="F10" s="93"/>
      <c r="G10" s="95"/>
      <c r="H10" s="262"/>
      <c r="I10" s="105">
        <v>0</v>
      </c>
      <c r="J10" s="106" t="str">
        <f t="shared" si="0"/>
        <v xml:space="preserve"> </v>
      </c>
      <c r="K10" s="94" t="str">
        <f t="shared" si="3"/>
        <v xml:space="preserve"> </v>
      </c>
      <c r="L10" s="95"/>
      <c r="M10" s="167"/>
      <c r="N10" s="168"/>
      <c r="O10" s="95"/>
      <c r="P10" s="94" t="str">
        <f t="shared" si="1"/>
        <v xml:space="preserve"> </v>
      </c>
      <c r="Q10" s="94" t="str">
        <f t="shared" si="2"/>
        <v xml:space="preserve"> </v>
      </c>
    </row>
    <row r="11" spans="1:17" ht="13" x14ac:dyDescent="0.15">
      <c r="A11" s="167"/>
      <c r="B11" s="258"/>
      <c r="C11" s="258"/>
      <c r="D11" s="168"/>
      <c r="E11" s="96"/>
      <c r="F11" s="93"/>
      <c r="G11" s="95"/>
      <c r="H11" s="262"/>
      <c r="I11" s="105">
        <v>0</v>
      </c>
      <c r="J11" s="106" t="str">
        <f t="shared" si="0"/>
        <v xml:space="preserve"> </v>
      </c>
      <c r="K11" s="94" t="str">
        <f t="shared" si="3"/>
        <v xml:space="preserve"> </v>
      </c>
      <c r="L11" s="95"/>
      <c r="M11" s="167"/>
      <c r="N11" s="168"/>
      <c r="O11" s="95"/>
      <c r="P11" s="94" t="str">
        <f t="shared" si="1"/>
        <v xml:space="preserve"> </v>
      </c>
      <c r="Q11" s="94" t="str">
        <f t="shared" si="2"/>
        <v xml:space="preserve"> </v>
      </c>
    </row>
    <row r="12" spans="1:17" ht="13" x14ac:dyDescent="0.15">
      <c r="A12" s="167"/>
      <c r="B12" s="258"/>
      <c r="C12" s="258"/>
      <c r="D12" s="168"/>
      <c r="E12" s="96"/>
      <c r="F12" s="93"/>
      <c r="G12" s="95"/>
      <c r="H12" s="262"/>
      <c r="I12" s="105">
        <v>0</v>
      </c>
      <c r="J12" s="106" t="str">
        <f t="shared" si="0"/>
        <v xml:space="preserve"> </v>
      </c>
      <c r="K12" s="94" t="str">
        <f t="shared" si="3"/>
        <v xml:space="preserve"> </v>
      </c>
      <c r="L12" s="95"/>
      <c r="M12" s="167"/>
      <c r="N12" s="168"/>
      <c r="O12" s="95"/>
      <c r="P12" s="94" t="str">
        <f t="shared" si="1"/>
        <v xml:space="preserve"> </v>
      </c>
      <c r="Q12" s="94" t="str">
        <f t="shared" si="2"/>
        <v xml:space="preserve"> </v>
      </c>
    </row>
    <row r="13" spans="1:17" ht="13" x14ac:dyDescent="0.15">
      <c r="A13" s="167"/>
      <c r="B13" s="258"/>
      <c r="C13" s="258"/>
      <c r="D13" s="168"/>
      <c r="E13" s="96"/>
      <c r="F13" s="93"/>
      <c r="G13" s="95"/>
      <c r="H13" s="262"/>
      <c r="I13" s="105">
        <v>0</v>
      </c>
      <c r="J13" s="106" t="str">
        <f t="shared" si="0"/>
        <v xml:space="preserve"> </v>
      </c>
      <c r="K13" s="94" t="str">
        <f t="shared" si="3"/>
        <v xml:space="preserve"> </v>
      </c>
      <c r="L13" s="95"/>
      <c r="M13" s="167"/>
      <c r="N13" s="168"/>
      <c r="O13" s="95"/>
      <c r="P13" s="94" t="str">
        <f t="shared" si="1"/>
        <v xml:space="preserve"> </v>
      </c>
      <c r="Q13" s="94" t="str">
        <f t="shared" si="2"/>
        <v xml:space="preserve"> </v>
      </c>
    </row>
    <row r="14" spans="1:17" ht="14" thickBot="1" x14ac:dyDescent="0.2">
      <c r="A14" s="259"/>
      <c r="B14" s="260"/>
      <c r="C14" s="260"/>
      <c r="D14" s="261"/>
      <c r="E14" s="96"/>
      <c r="F14" s="93"/>
      <c r="G14" s="95"/>
      <c r="H14" s="262"/>
      <c r="I14" s="105">
        <v>0</v>
      </c>
      <c r="J14" s="106" t="str">
        <f t="shared" si="0"/>
        <v xml:space="preserve"> </v>
      </c>
      <c r="K14" s="94" t="str">
        <f t="shared" si="3"/>
        <v xml:space="preserve"> </v>
      </c>
      <c r="L14" s="95"/>
      <c r="M14" s="167"/>
      <c r="N14" s="168"/>
      <c r="O14" s="95"/>
      <c r="P14" s="94" t="str">
        <f t="shared" si="1"/>
        <v xml:space="preserve"> </v>
      </c>
      <c r="Q14" s="94" t="str">
        <f t="shared" si="2"/>
        <v xml:space="preserve"> </v>
      </c>
    </row>
    <row r="15" spans="1:17" ht="14" thickBot="1" x14ac:dyDescent="0.2">
      <c r="A15" s="426" t="s">
        <v>129</v>
      </c>
      <c r="B15" s="427"/>
      <c r="C15" s="263">
        <f>Admin!B$4</f>
        <v>45753</v>
      </c>
      <c r="D15" s="100">
        <f>SUM(D7:D14)</f>
        <v>0</v>
      </c>
      <c r="E15" s="96"/>
      <c r="F15" s="93"/>
      <c r="G15" s="95"/>
      <c r="H15" s="103">
        <f>SUM(H7:H14)</f>
        <v>0</v>
      </c>
      <c r="I15" s="104">
        <f>SUM(I7:I14)</f>
        <v>0</v>
      </c>
      <c r="J15" s="103">
        <f>SUM(J7:J14)</f>
        <v>0</v>
      </c>
      <c r="K15" s="100">
        <f>SUM(K7:K14)</f>
        <v>0</v>
      </c>
      <c r="L15" s="95"/>
      <c r="M15" s="99"/>
      <c r="N15" s="100">
        <f>SUM(N7:N14)</f>
        <v>0</v>
      </c>
      <c r="O15" s="95"/>
      <c r="P15" s="100">
        <f>SUM(P7:P14)</f>
        <v>0</v>
      </c>
      <c r="Q15" s="100">
        <f>SUM(Q7:Q14)</f>
        <v>0</v>
      </c>
    </row>
    <row r="16" spans="1:17" ht="14" thickBot="1" x14ac:dyDescent="0.2">
      <c r="A16" s="99"/>
      <c r="B16" s="52"/>
      <c r="C16" s="52"/>
      <c r="D16" s="96"/>
      <c r="E16" s="96"/>
      <c r="F16" s="93"/>
      <c r="G16" s="95"/>
      <c r="H16" s="105"/>
      <c r="I16" s="94"/>
      <c r="J16" s="106"/>
      <c r="K16" s="94"/>
      <c r="L16" s="95"/>
      <c r="M16" s="99"/>
      <c r="N16" s="96"/>
      <c r="O16" s="95"/>
      <c r="P16" s="94"/>
      <c r="Q16" s="94"/>
    </row>
    <row r="17" spans="1:17" ht="14" thickBot="1" x14ac:dyDescent="0.2">
      <c r="A17" s="426" t="s">
        <v>117</v>
      </c>
      <c r="B17" s="427"/>
      <c r="C17" s="263">
        <f>Admin!B$4</f>
        <v>45753</v>
      </c>
      <c r="D17" s="264"/>
      <c r="E17" s="97"/>
      <c r="F17" s="98"/>
      <c r="G17" s="95"/>
      <c r="H17" s="105"/>
      <c r="I17" s="94"/>
      <c r="J17" s="106"/>
      <c r="K17" s="94"/>
      <c r="L17" s="95"/>
      <c r="M17" s="99"/>
      <c r="N17" s="96"/>
      <c r="O17" s="95"/>
      <c r="P17" s="94"/>
      <c r="Q17" s="94"/>
    </row>
    <row r="18" spans="1:17" ht="13" x14ac:dyDescent="0.15">
      <c r="A18" s="255"/>
      <c r="B18" s="256"/>
      <c r="C18" s="256"/>
      <c r="D18" s="257"/>
      <c r="E18" s="96"/>
      <c r="F18" s="116"/>
      <c r="G18" s="95"/>
      <c r="H18" s="262"/>
      <c r="I18" s="105">
        <v>0</v>
      </c>
      <c r="J18" s="94" t="str">
        <f>IF(H18&gt;0,MIN(H18*J$4*(1-F18),Admin!G$8*(1-F18))," ")</f>
        <v xml:space="preserve"> </v>
      </c>
      <c r="K18" s="94" t="str">
        <f>IF(H18&gt;0,H18-J18," ")</f>
        <v xml:space="preserve"> </v>
      </c>
      <c r="L18" s="95"/>
      <c r="M18" s="167"/>
      <c r="N18" s="168"/>
      <c r="O18" s="95"/>
      <c r="P18" s="94" t="str">
        <f>IF((M18+N18)&gt;0,IF(N18&lt;K18,(K18-N18)*(1-F18)," ")," ")</f>
        <v xml:space="preserve"> </v>
      </c>
      <c r="Q18" s="94" t="str">
        <f>IF((M18+N18)&gt;0,IF(N18&gt;K18,(N18-K18)*(1-F18)," ")," ")</f>
        <v xml:space="preserve"> </v>
      </c>
    </row>
    <row r="19" spans="1:17" ht="13" x14ac:dyDescent="0.15">
      <c r="A19" s="167"/>
      <c r="B19" s="258"/>
      <c r="C19" s="258"/>
      <c r="D19" s="168"/>
      <c r="E19" s="96"/>
      <c r="F19" s="116"/>
      <c r="G19" s="95"/>
      <c r="H19" s="262"/>
      <c r="I19" s="105">
        <v>0</v>
      </c>
      <c r="J19" s="94" t="str">
        <f>IF(H19&gt;0,MIN(H19*J$4*(1-F19),Admin!G$8*(1-F19))," ")</f>
        <v xml:space="preserve"> </v>
      </c>
      <c r="K19" s="94" t="str">
        <f>IF(H19&gt;0,H19-J19," ")</f>
        <v xml:space="preserve"> </v>
      </c>
      <c r="L19" s="95"/>
      <c r="M19" s="167"/>
      <c r="N19" s="168"/>
      <c r="O19" s="95"/>
      <c r="P19" s="94" t="str">
        <f>IF((M19+N19)&gt;0,IF(N19&lt;K19,(K19-N19)*(1-F19)," ")," ")</f>
        <v xml:space="preserve"> </v>
      </c>
      <c r="Q19" s="94" t="str">
        <f>IF((M19+N19)&gt;0,IF(N19&gt;K19,(N19-K19)*(1-F19)," ")," ")</f>
        <v xml:space="preserve"> </v>
      </c>
    </row>
    <row r="20" spans="1:17" ht="13" x14ac:dyDescent="0.15">
      <c r="A20" s="167"/>
      <c r="B20" s="258"/>
      <c r="C20" s="258"/>
      <c r="D20" s="168"/>
      <c r="E20" s="96"/>
      <c r="F20" s="116"/>
      <c r="G20" s="95"/>
      <c r="H20" s="262"/>
      <c r="I20" s="105">
        <v>0</v>
      </c>
      <c r="J20" s="94" t="str">
        <f>IF(H20&gt;0,MIN(H20*J$4*(1-F20),Admin!G$8*(1-F20))," ")</f>
        <v xml:space="preserve"> </v>
      </c>
      <c r="K20" s="94" t="str">
        <f>IF(H20&gt;0,H20-J20," ")</f>
        <v xml:space="preserve"> </v>
      </c>
      <c r="L20" s="95"/>
      <c r="M20" s="167"/>
      <c r="N20" s="168"/>
      <c r="O20" s="95"/>
      <c r="P20" s="94" t="str">
        <f>IF((M20+N20)&gt;0,IF(N20&lt;K20,(K20-N20)*(1-F20)," ")," ")</f>
        <v xml:space="preserve"> </v>
      </c>
      <c r="Q20" s="94" t="str">
        <f>IF((M20+N20)&gt;0,IF(N20&gt;K20,(N20-K20)*(1-F20)," ")," ")</f>
        <v xml:space="preserve"> </v>
      </c>
    </row>
    <row r="21" spans="1:17" ht="13" x14ac:dyDescent="0.15">
      <c r="A21" s="167"/>
      <c r="B21" s="258"/>
      <c r="C21" s="258"/>
      <c r="D21" s="168"/>
      <c r="E21" s="96"/>
      <c r="F21" s="116"/>
      <c r="G21" s="95"/>
      <c r="H21" s="262"/>
      <c r="I21" s="105">
        <v>0</v>
      </c>
      <c r="J21" s="94" t="str">
        <f>IF(H21&gt;0,MIN(H21*J$4*(1-F21),Admin!G$8*(1-F21))," ")</f>
        <v xml:space="preserve"> </v>
      </c>
      <c r="K21" s="94" t="str">
        <f>IF(H21&gt;0,H21-J21," ")</f>
        <v xml:space="preserve"> </v>
      </c>
      <c r="L21" s="95"/>
      <c r="M21" s="167"/>
      <c r="N21" s="168"/>
      <c r="O21" s="95"/>
      <c r="P21" s="94" t="str">
        <f>IF((M21+N21)&gt;0,IF(N21&lt;K21,(K21-N21)*(1-F21)," ")," ")</f>
        <v xml:space="preserve"> </v>
      </c>
      <c r="Q21" s="94" t="str">
        <f>IF((M21+N21)&gt;0,IF(N21&gt;K21,(N21-K21)*(1-F21)," ")," ")</f>
        <v xml:space="preserve"> </v>
      </c>
    </row>
    <row r="22" spans="1:17" ht="14" thickBot="1" x14ac:dyDescent="0.2">
      <c r="A22" s="259"/>
      <c r="B22" s="260"/>
      <c r="C22" s="260"/>
      <c r="D22" s="168"/>
      <c r="E22" s="96"/>
      <c r="F22" s="116"/>
      <c r="G22" s="95"/>
      <c r="H22" s="262"/>
      <c r="I22" s="105">
        <v>0</v>
      </c>
      <c r="J22" s="94" t="str">
        <f>IF(H22&gt;0,MIN(H22*J$4*(1-F22),Admin!G$8*(1-F22))," ")</f>
        <v xml:space="preserve"> </v>
      </c>
      <c r="K22" s="94" t="str">
        <f>IF(H22&gt;0,H22-J22," ")</f>
        <v xml:space="preserve"> </v>
      </c>
      <c r="L22" s="95"/>
      <c r="M22" s="167"/>
      <c r="N22" s="168"/>
      <c r="O22" s="95"/>
      <c r="P22" s="94" t="str">
        <f>IF((M22+N22)&gt;0,IF(N22&lt;K22,(K22-N22)*(1-F22)," ")," ")</f>
        <v xml:space="preserve"> </v>
      </c>
      <c r="Q22" s="94" t="str">
        <f>IF((M22+N22)&gt;0,IF(N22&gt;K22,(N22-K22)*(1-F22)," ")," ")</f>
        <v xml:space="preserve"> </v>
      </c>
    </row>
    <row r="23" spans="1:17" ht="14" thickBot="1" x14ac:dyDescent="0.2">
      <c r="A23" s="428" t="s">
        <v>118</v>
      </c>
      <c r="B23" s="429"/>
      <c r="C23" s="265">
        <f>Admin!B$4</f>
        <v>45753</v>
      </c>
      <c r="D23" s="163">
        <f>SUM(D18:D22)</f>
        <v>0</v>
      </c>
      <c r="E23" s="96"/>
      <c r="F23" s="93"/>
      <c r="G23" s="95"/>
      <c r="H23" s="103">
        <f>SUM(H18:H22)</f>
        <v>0</v>
      </c>
      <c r="I23" s="104">
        <f>SUM(I18:I22)</f>
        <v>0</v>
      </c>
      <c r="J23" s="103">
        <f>SUM(J18:J22)</f>
        <v>0</v>
      </c>
      <c r="K23" s="100">
        <f>SUM(K18:K22)</f>
        <v>0</v>
      </c>
      <c r="L23" s="95"/>
      <c r="M23" s="99"/>
      <c r="N23" s="100">
        <f>SUM(N18:N22)</f>
        <v>0</v>
      </c>
      <c r="O23" s="95"/>
      <c r="P23" s="100">
        <f>SUM(P18:P22)</f>
        <v>0</v>
      </c>
      <c r="Q23" s="100">
        <f>SUM(Q18:Q22)</f>
        <v>0</v>
      </c>
    </row>
    <row r="24" spans="1:17" ht="14" thickBot="1" x14ac:dyDescent="0.2">
      <c r="A24" s="99"/>
      <c r="B24" s="52"/>
      <c r="C24" s="52"/>
      <c r="D24" s="96"/>
      <c r="E24" s="96"/>
      <c r="F24" s="93"/>
      <c r="G24" s="95"/>
      <c r="H24" s="105"/>
      <c r="I24" s="105"/>
      <c r="J24" s="105"/>
      <c r="K24" s="94"/>
      <c r="L24" s="95"/>
      <c r="M24" s="99"/>
      <c r="N24" s="96"/>
      <c r="O24" s="95"/>
      <c r="P24" s="94"/>
      <c r="Q24" s="94"/>
    </row>
    <row r="25" spans="1:17" ht="14" thickBot="1" x14ac:dyDescent="0.2">
      <c r="A25" s="426" t="s">
        <v>119</v>
      </c>
      <c r="B25" s="427"/>
      <c r="C25" s="263">
        <f>Admin!B$4</f>
        <v>45753</v>
      </c>
      <c r="D25" s="264"/>
      <c r="E25" s="97"/>
      <c r="F25" s="98"/>
      <c r="G25" s="95"/>
      <c r="H25" s="105"/>
      <c r="I25" s="105"/>
      <c r="J25" s="105"/>
      <c r="K25" s="94"/>
      <c r="L25" s="95"/>
      <c r="M25" s="99"/>
      <c r="N25" s="96"/>
      <c r="O25" s="95"/>
      <c r="P25" s="94"/>
      <c r="Q25" s="94"/>
    </row>
    <row r="26" spans="1:17" ht="13" x14ac:dyDescent="0.15">
      <c r="A26" s="255"/>
      <c r="B26" s="256"/>
      <c r="C26" s="256"/>
      <c r="D26" s="257"/>
      <c r="E26" s="96"/>
      <c r="F26" s="116"/>
      <c r="G26" s="95"/>
      <c r="H26" s="262"/>
      <c r="I26" s="105">
        <v>0</v>
      </c>
      <c r="J26" s="94" t="str">
        <f>IF(H26&gt;0,MIN(H26*J$4*(1-F26),Admin!G$8*(1-F26))," ")</f>
        <v xml:space="preserve"> </v>
      </c>
      <c r="K26" s="94" t="str">
        <f>IF(H26&gt;0,H26-J26," ")</f>
        <v xml:space="preserve"> </v>
      </c>
      <c r="L26" s="95"/>
      <c r="M26" s="167"/>
      <c r="N26" s="168"/>
      <c r="O26" s="95"/>
      <c r="P26" s="94" t="str">
        <f>IF((M26+N26)&gt;0,IF(N26&lt;K26,(K26-N26)*(1-F26)," ")," ")</f>
        <v xml:space="preserve"> </v>
      </c>
      <c r="Q26" s="94" t="str">
        <f>IF((M26+N26)&gt;0,IF(N26&gt;K26,(N26-K26)*(1-F26)," ")," ")</f>
        <v xml:space="preserve"> </v>
      </c>
    </row>
    <row r="27" spans="1:17" ht="13" x14ac:dyDescent="0.15">
      <c r="A27" s="167"/>
      <c r="B27" s="258"/>
      <c r="C27" s="258"/>
      <c r="D27" s="168"/>
      <c r="E27" s="96"/>
      <c r="F27" s="116"/>
      <c r="G27" s="95"/>
      <c r="H27" s="262"/>
      <c r="I27" s="105">
        <v>0</v>
      </c>
      <c r="J27" s="94" t="str">
        <f>IF(H27&gt;0,MIN(H27*J$4*(1-F27),Admin!G$8*(1-F27))," ")</f>
        <v xml:space="preserve"> </v>
      </c>
      <c r="K27" s="94" t="str">
        <f>IF(H27&gt;0,H27-J27," ")</f>
        <v xml:space="preserve"> </v>
      </c>
      <c r="L27" s="95"/>
      <c r="M27" s="167"/>
      <c r="N27" s="168"/>
      <c r="O27" s="95"/>
      <c r="P27" s="94" t="str">
        <f>IF((M27+N27)&gt;0,IF(N27&lt;K27,(K27-N27)*(1-F27)," ")," ")</f>
        <v xml:space="preserve"> </v>
      </c>
      <c r="Q27" s="94" t="str">
        <f>IF((M27+N27)&gt;0,IF(N27&gt;K27,(N27-K27)*(1-F27)," ")," ")</f>
        <v xml:space="preserve"> </v>
      </c>
    </row>
    <row r="28" spans="1:17" ht="13" x14ac:dyDescent="0.15">
      <c r="A28" s="167"/>
      <c r="B28" s="258"/>
      <c r="C28" s="258"/>
      <c r="D28" s="168"/>
      <c r="E28" s="96"/>
      <c r="F28" s="116"/>
      <c r="G28" s="95"/>
      <c r="H28" s="262"/>
      <c r="I28" s="105">
        <v>0</v>
      </c>
      <c r="J28" s="94" t="str">
        <f>IF(H28&gt;0,MIN(H28*J$4*(1-F28),Admin!G$8*(1-F28))," ")</f>
        <v xml:space="preserve"> </v>
      </c>
      <c r="K28" s="94" t="str">
        <f>IF(H28&gt;0,H28-J28," ")</f>
        <v xml:space="preserve"> </v>
      </c>
      <c r="L28" s="95"/>
      <c r="M28" s="167"/>
      <c r="N28" s="168"/>
      <c r="O28" s="95"/>
      <c r="P28" s="94" t="str">
        <f>IF((M28+N28)&gt;0,IF(N28&lt;K28,(K28-N28)*(1-F28)," ")," ")</f>
        <v xml:space="preserve"> </v>
      </c>
      <c r="Q28" s="94" t="str">
        <f>IF((M28+N28)&gt;0,IF(N28&gt;K28,(N28-K28)*(1-F28)," ")," ")</f>
        <v xml:space="preserve"> </v>
      </c>
    </row>
    <row r="29" spans="1:17" ht="13" x14ac:dyDescent="0.15">
      <c r="A29" s="167"/>
      <c r="B29" s="258"/>
      <c r="C29" s="258"/>
      <c r="D29" s="168"/>
      <c r="E29" s="96"/>
      <c r="F29" s="116"/>
      <c r="G29" s="95"/>
      <c r="H29" s="262"/>
      <c r="I29" s="105">
        <v>0</v>
      </c>
      <c r="J29" s="94" t="str">
        <f>IF(H29&gt;0,MIN(H29*J$4*(1-F29),Admin!G$8*(1-F29))," ")</f>
        <v xml:space="preserve"> </v>
      </c>
      <c r="K29" s="94" t="str">
        <f>IF(H29&gt;0,H29-J29," ")</f>
        <v xml:space="preserve"> </v>
      </c>
      <c r="L29" s="95"/>
      <c r="M29" s="167"/>
      <c r="N29" s="168"/>
      <c r="O29" s="95"/>
      <c r="P29" s="94" t="str">
        <f>IF((M29+N29)&gt;0,IF(N29&lt;K29,(K29-N29)*(1-F29)," ")," ")</f>
        <v xml:space="preserve"> </v>
      </c>
      <c r="Q29" s="94" t="str">
        <f>IF((M29+N29)&gt;0,IF(N29&gt;K29,(N29-K29)*(1-F29)," ")," ")</f>
        <v xml:space="preserve"> </v>
      </c>
    </row>
    <row r="30" spans="1:17" ht="14" thickBot="1" x14ac:dyDescent="0.2">
      <c r="A30" s="167"/>
      <c r="B30" s="258"/>
      <c r="C30" s="258"/>
      <c r="D30" s="168"/>
      <c r="E30" s="96"/>
      <c r="F30" s="116"/>
      <c r="G30" s="95"/>
      <c r="H30" s="262"/>
      <c r="I30" s="105">
        <v>0</v>
      </c>
      <c r="J30" s="94" t="str">
        <f>IF(H30&gt;0,MIN(H30*J$4*(1-F30),Admin!G$8*(1-F30))," ")</f>
        <v xml:space="preserve"> </v>
      </c>
      <c r="K30" s="94" t="str">
        <f>IF(H30&gt;0,H30-J30," ")</f>
        <v xml:space="preserve"> </v>
      </c>
      <c r="L30" s="95"/>
      <c r="M30" s="167"/>
      <c r="N30" s="168"/>
      <c r="O30" s="95"/>
      <c r="P30" s="94" t="str">
        <f>IF((M30+N30)&gt;0,IF(N30&lt;K30,(K30-N30)*(1-F30)," ")," ")</f>
        <v xml:space="preserve"> </v>
      </c>
      <c r="Q30" s="94" t="str">
        <f>IF((M30+N30)&gt;0,IF(N30&gt;K30,(N30-K30)*(1-F30)," ")," ")</f>
        <v xml:space="preserve"> </v>
      </c>
    </row>
    <row r="31" spans="1:17" ht="14" thickBot="1" x14ac:dyDescent="0.2">
      <c r="A31" s="428" t="s">
        <v>120</v>
      </c>
      <c r="B31" s="429"/>
      <c r="C31" s="265">
        <f>Admin!B$4</f>
        <v>45753</v>
      </c>
      <c r="D31" s="100">
        <f>SUM(D26:D30)</f>
        <v>0</v>
      </c>
      <c r="E31" s="96"/>
      <c r="F31" s="93"/>
      <c r="G31" s="95"/>
      <c r="H31" s="103">
        <f>SUM(H26:H30)</f>
        <v>0</v>
      </c>
      <c r="I31" s="104">
        <f>SUM(I26:I30)</f>
        <v>0</v>
      </c>
      <c r="J31" s="103">
        <f>SUM(J26:J30)</f>
        <v>0</v>
      </c>
      <c r="K31" s="100">
        <f>SUM(K26:K30)</f>
        <v>0</v>
      </c>
      <c r="L31" s="95"/>
      <c r="M31" s="99"/>
      <c r="N31" s="100">
        <f>SUM(N26:N30)</f>
        <v>0</v>
      </c>
      <c r="O31" s="95"/>
      <c r="P31" s="100">
        <f>SUM(P26:P30)</f>
        <v>0</v>
      </c>
      <c r="Q31" s="100">
        <f>SUM(Q26:Q30)</f>
        <v>0</v>
      </c>
    </row>
    <row r="32" spans="1:17" ht="14" thickBot="1" x14ac:dyDescent="0.2">
      <c r="A32" s="99"/>
      <c r="B32" s="52"/>
      <c r="C32" s="52"/>
      <c r="D32" s="96"/>
      <c r="E32" s="96"/>
      <c r="F32" s="93"/>
      <c r="G32" s="95"/>
      <c r="H32" s="105"/>
      <c r="I32" s="105"/>
      <c r="J32" s="105"/>
      <c r="K32" s="94"/>
      <c r="L32" s="95"/>
      <c r="M32" s="99"/>
      <c r="N32" s="96"/>
      <c r="O32" s="95"/>
      <c r="P32" s="94"/>
      <c r="Q32" s="94"/>
    </row>
    <row r="33" spans="1:17" ht="14" thickBot="1" x14ac:dyDescent="0.2">
      <c r="A33" s="434" t="s">
        <v>121</v>
      </c>
      <c r="B33" s="422"/>
      <c r="C33" s="266">
        <f>Admin!B4</f>
        <v>45753</v>
      </c>
      <c r="D33" s="101">
        <f>D15+D23+D31</f>
        <v>0</v>
      </c>
      <c r="E33" s="96"/>
      <c r="F33" s="93"/>
      <c r="G33" s="95"/>
      <c r="H33" s="107">
        <f>H15+H23+H31</f>
        <v>0</v>
      </c>
      <c r="I33" s="108">
        <f>I15+I23+I31</f>
        <v>0</v>
      </c>
      <c r="J33" s="107">
        <f>J15+J23+J31</f>
        <v>0</v>
      </c>
      <c r="K33" s="101">
        <f>K15+K23+K31</f>
        <v>0</v>
      </c>
      <c r="L33" s="95"/>
      <c r="M33" s="99"/>
      <c r="N33" s="101">
        <f>N15+N23+N31</f>
        <v>0</v>
      </c>
      <c r="O33" s="95"/>
      <c r="P33" s="101">
        <f>P15+P23+P31</f>
        <v>0</v>
      </c>
      <c r="Q33" s="101">
        <f>Q15+Q23+Q31</f>
        <v>0</v>
      </c>
    </row>
    <row r="34" spans="1:17" ht="14" thickBot="1" x14ac:dyDescent="0.2">
      <c r="A34" s="109"/>
      <c r="B34" s="110"/>
      <c r="C34" s="111"/>
      <c r="D34" s="96"/>
      <c r="E34" s="96"/>
      <c r="F34" s="93"/>
      <c r="G34" s="95"/>
      <c r="H34" s="96"/>
      <c r="I34" s="94"/>
      <c r="J34" s="94"/>
      <c r="K34" s="94"/>
      <c r="L34" s="95"/>
      <c r="M34" s="99"/>
      <c r="N34" s="96"/>
      <c r="O34" s="95"/>
      <c r="P34" s="94"/>
      <c r="Q34" s="94"/>
    </row>
    <row r="35" spans="1:17" ht="14" thickBot="1" x14ac:dyDescent="0.2">
      <c r="A35" s="435" t="s">
        <v>128</v>
      </c>
      <c r="B35" s="433"/>
      <c r="C35" s="436"/>
      <c r="D35" s="267">
        <f>Admin!B$4</f>
        <v>45753</v>
      </c>
      <c r="E35" s="97"/>
      <c r="F35" s="98"/>
      <c r="G35" s="95"/>
      <c r="H35" s="96"/>
      <c r="I35" s="94"/>
      <c r="J35" s="94"/>
      <c r="K35" s="94"/>
      <c r="L35" s="95"/>
      <c r="M35" s="99"/>
      <c r="N35" s="96"/>
      <c r="O35" s="95"/>
      <c r="P35" s="94"/>
      <c r="Q35" s="94"/>
    </row>
    <row r="36" spans="1:17" ht="13" x14ac:dyDescent="0.15">
      <c r="A36" s="255"/>
      <c r="B36" s="256"/>
      <c r="C36" s="272"/>
      <c r="D36" s="257"/>
      <c r="E36" s="96"/>
      <c r="F36" s="93"/>
      <c r="G36" s="95"/>
      <c r="H36" s="105">
        <v>0</v>
      </c>
      <c r="I36" s="112" t="str">
        <f>IF((D36&gt;0),D36*I$4," ")</f>
        <v xml:space="preserve"> </v>
      </c>
      <c r="J36" s="105">
        <v>0</v>
      </c>
      <c r="K36" s="94" t="str">
        <f>IF(D36&gt;0,D36-D36*I$4," ")</f>
        <v xml:space="preserve"> </v>
      </c>
      <c r="L36" s="95"/>
      <c r="M36" s="167"/>
      <c r="N36" s="168"/>
      <c r="O36" s="95"/>
      <c r="P36" s="94" t="str">
        <f>IF((M36+N36)&gt;0,IF(N36&lt;K36,(K36-N36)," ")," ")</f>
        <v xml:space="preserve"> </v>
      </c>
      <c r="Q36" s="94" t="str">
        <f>IF((M36+N36)&gt;0,IF(N36&gt;K36,(N36-K36)," ")," ")</f>
        <v xml:space="preserve"> </v>
      </c>
    </row>
    <row r="37" spans="1:17" ht="13" x14ac:dyDescent="0.15">
      <c r="A37" s="167"/>
      <c r="B37" s="258"/>
      <c r="C37" s="273"/>
      <c r="D37" s="168"/>
      <c r="E37" s="96"/>
      <c r="F37" s="93"/>
      <c r="G37" s="95"/>
      <c r="H37" s="105">
        <v>0</v>
      </c>
      <c r="I37" s="112" t="str">
        <f t="shared" ref="I37:I43" si="4">IF((D37&gt;0),D37*I$4," ")</f>
        <v xml:space="preserve"> </v>
      </c>
      <c r="J37" s="105">
        <v>0</v>
      </c>
      <c r="K37" s="94" t="str">
        <f t="shared" ref="K37:K43" si="5">IF(D37&gt;0,D37-D37*I$4," ")</f>
        <v xml:space="preserve"> </v>
      </c>
      <c r="L37" s="95"/>
      <c r="M37" s="167"/>
      <c r="N37" s="168"/>
      <c r="O37" s="95"/>
      <c r="P37" s="94" t="str">
        <f t="shared" ref="P37:P43" si="6">IF((M37+N37)&gt;0,IF(N37&lt;K37,(K37-N37)," ")," ")</f>
        <v xml:space="preserve"> </v>
      </c>
      <c r="Q37" s="94" t="str">
        <f t="shared" ref="Q37:Q43" si="7">IF((M37+N37)&gt;0,IF(N37&gt;K37,(N37-K37)," ")," ")</f>
        <v xml:space="preserve"> </v>
      </c>
    </row>
    <row r="38" spans="1:17" ht="13" x14ac:dyDescent="0.15">
      <c r="A38" s="167"/>
      <c r="B38" s="258"/>
      <c r="C38" s="273"/>
      <c r="D38" s="168"/>
      <c r="E38" s="96"/>
      <c r="F38" s="93"/>
      <c r="G38" s="95"/>
      <c r="H38" s="105">
        <v>0</v>
      </c>
      <c r="I38" s="112" t="str">
        <f t="shared" si="4"/>
        <v xml:space="preserve"> </v>
      </c>
      <c r="J38" s="105">
        <v>0</v>
      </c>
      <c r="K38" s="94" t="str">
        <f t="shared" si="5"/>
        <v xml:space="preserve"> </v>
      </c>
      <c r="L38" s="95"/>
      <c r="M38" s="167"/>
      <c r="N38" s="168"/>
      <c r="O38" s="95"/>
      <c r="P38" s="94" t="str">
        <f t="shared" si="6"/>
        <v xml:space="preserve"> </v>
      </c>
      <c r="Q38" s="94" t="str">
        <f t="shared" si="7"/>
        <v xml:space="preserve"> </v>
      </c>
    </row>
    <row r="39" spans="1:17" ht="13" x14ac:dyDescent="0.15">
      <c r="A39" s="167"/>
      <c r="B39" s="258"/>
      <c r="C39" s="273"/>
      <c r="D39" s="168"/>
      <c r="E39" s="96"/>
      <c r="F39" s="93"/>
      <c r="G39" s="95"/>
      <c r="H39" s="105">
        <v>0</v>
      </c>
      <c r="I39" s="112" t="str">
        <f t="shared" si="4"/>
        <v xml:space="preserve"> </v>
      </c>
      <c r="J39" s="105">
        <v>0</v>
      </c>
      <c r="K39" s="94" t="str">
        <f t="shared" si="5"/>
        <v xml:space="preserve"> </v>
      </c>
      <c r="L39" s="95"/>
      <c r="M39" s="167"/>
      <c r="N39" s="168"/>
      <c r="O39" s="95"/>
      <c r="P39" s="94" t="str">
        <f t="shared" si="6"/>
        <v xml:space="preserve"> </v>
      </c>
      <c r="Q39" s="94" t="str">
        <f t="shared" si="7"/>
        <v xml:space="preserve"> </v>
      </c>
    </row>
    <row r="40" spans="1:17" ht="13" x14ac:dyDescent="0.15">
      <c r="A40" s="167"/>
      <c r="B40" s="258"/>
      <c r="C40" s="273"/>
      <c r="D40" s="168"/>
      <c r="E40" s="96"/>
      <c r="F40" s="93"/>
      <c r="G40" s="95"/>
      <c r="H40" s="105">
        <v>0</v>
      </c>
      <c r="I40" s="112" t="str">
        <f t="shared" si="4"/>
        <v xml:space="preserve"> </v>
      </c>
      <c r="J40" s="105">
        <v>0</v>
      </c>
      <c r="K40" s="94" t="str">
        <f t="shared" si="5"/>
        <v xml:space="preserve"> </v>
      </c>
      <c r="L40" s="95"/>
      <c r="M40" s="167"/>
      <c r="N40" s="168"/>
      <c r="O40" s="95"/>
      <c r="P40" s="94" t="str">
        <f t="shared" si="6"/>
        <v xml:space="preserve"> </v>
      </c>
      <c r="Q40" s="94" t="str">
        <f t="shared" si="7"/>
        <v xml:space="preserve"> </v>
      </c>
    </row>
    <row r="41" spans="1:17" ht="13" x14ac:dyDescent="0.15">
      <c r="A41" s="167"/>
      <c r="B41" s="258"/>
      <c r="C41" s="273"/>
      <c r="D41" s="168"/>
      <c r="E41" s="96"/>
      <c r="F41" s="93"/>
      <c r="G41" s="95"/>
      <c r="H41" s="105">
        <v>0</v>
      </c>
      <c r="I41" s="112" t="str">
        <f t="shared" si="4"/>
        <v xml:space="preserve"> </v>
      </c>
      <c r="J41" s="105">
        <v>0</v>
      </c>
      <c r="K41" s="94" t="str">
        <f t="shared" si="5"/>
        <v xml:space="preserve"> </v>
      </c>
      <c r="L41" s="95"/>
      <c r="M41" s="167"/>
      <c r="N41" s="168"/>
      <c r="O41" s="95"/>
      <c r="P41" s="94" t="str">
        <f t="shared" si="6"/>
        <v xml:space="preserve"> </v>
      </c>
      <c r="Q41" s="94" t="str">
        <f t="shared" si="7"/>
        <v xml:space="preserve"> </v>
      </c>
    </row>
    <row r="42" spans="1:17" ht="13" x14ac:dyDescent="0.15">
      <c r="A42" s="167"/>
      <c r="B42" s="258"/>
      <c r="C42" s="273"/>
      <c r="D42" s="168"/>
      <c r="E42" s="96"/>
      <c r="F42" s="93"/>
      <c r="G42" s="95"/>
      <c r="H42" s="105">
        <v>0</v>
      </c>
      <c r="I42" s="112" t="str">
        <f t="shared" si="4"/>
        <v xml:space="preserve"> </v>
      </c>
      <c r="J42" s="105">
        <v>0</v>
      </c>
      <c r="K42" s="94" t="str">
        <f t="shared" si="5"/>
        <v xml:space="preserve"> </v>
      </c>
      <c r="L42" s="95"/>
      <c r="M42" s="167"/>
      <c r="N42" s="168"/>
      <c r="O42" s="95"/>
      <c r="P42" s="94" t="str">
        <f t="shared" si="6"/>
        <v xml:space="preserve"> </v>
      </c>
      <c r="Q42" s="94" t="str">
        <f t="shared" si="7"/>
        <v xml:space="preserve"> </v>
      </c>
    </row>
    <row r="43" spans="1:17" ht="14" thickBot="1" x14ac:dyDescent="0.2">
      <c r="A43" s="259"/>
      <c r="B43" s="260"/>
      <c r="C43" s="274"/>
      <c r="D43" s="261"/>
      <c r="E43" s="96"/>
      <c r="F43" s="93"/>
      <c r="G43" s="95"/>
      <c r="H43" s="105">
        <v>0</v>
      </c>
      <c r="I43" s="112" t="str">
        <f t="shared" si="4"/>
        <v xml:space="preserve"> </v>
      </c>
      <c r="J43" s="105">
        <v>0</v>
      </c>
      <c r="K43" s="94" t="str">
        <f t="shared" si="5"/>
        <v xml:space="preserve"> </v>
      </c>
      <c r="L43" s="95"/>
      <c r="M43" s="167"/>
      <c r="N43" s="168"/>
      <c r="O43" s="95"/>
      <c r="P43" s="94" t="str">
        <f t="shared" si="6"/>
        <v xml:space="preserve"> </v>
      </c>
      <c r="Q43" s="94" t="str">
        <f t="shared" si="7"/>
        <v xml:space="preserve"> </v>
      </c>
    </row>
    <row r="44" spans="1:17" ht="12.75" customHeight="1" thickBot="1" x14ac:dyDescent="0.2">
      <c r="A44" s="430" t="s">
        <v>130</v>
      </c>
      <c r="B44" s="431"/>
      <c r="C44" s="268">
        <f>Admin!B$4</f>
        <v>45753</v>
      </c>
      <c r="D44" s="100">
        <f>SUM(D36:D43)</f>
        <v>0</v>
      </c>
      <c r="E44" s="96"/>
      <c r="F44" s="93"/>
      <c r="G44" s="95"/>
      <c r="H44" s="103">
        <f>SUM(H36:H43)</f>
        <v>0</v>
      </c>
      <c r="I44" s="104">
        <f>SUM(I36:I43)</f>
        <v>0</v>
      </c>
      <c r="J44" s="103">
        <f>SUM(J36:J43)</f>
        <v>0</v>
      </c>
      <c r="K44" s="100">
        <f>SUM(K36:K43)</f>
        <v>0</v>
      </c>
      <c r="L44" s="95"/>
      <c r="M44" s="99"/>
      <c r="N44" s="100">
        <f>SUM(N36:N43)</f>
        <v>0</v>
      </c>
      <c r="O44" s="95"/>
      <c r="P44" s="100">
        <f>SUM(P36:P43)</f>
        <v>0</v>
      </c>
      <c r="Q44" s="100">
        <f>SUM(Q36:Q43)</f>
        <v>0</v>
      </c>
    </row>
    <row r="45" spans="1:17" ht="14" thickBot="1" x14ac:dyDescent="0.2">
      <c r="A45" s="99"/>
      <c r="B45" s="52"/>
      <c r="C45" s="57"/>
      <c r="D45" s="96"/>
      <c r="E45" s="96"/>
      <c r="F45" s="93"/>
      <c r="G45" s="95"/>
      <c r="H45" s="105"/>
      <c r="I45" s="112"/>
      <c r="J45" s="105"/>
      <c r="K45" s="94"/>
      <c r="L45" s="95"/>
      <c r="M45" s="99"/>
      <c r="N45" s="96"/>
      <c r="O45" s="95"/>
      <c r="P45" s="94"/>
      <c r="Q45" s="94"/>
    </row>
    <row r="46" spans="1:17" ht="14" thickBot="1" x14ac:dyDescent="0.2">
      <c r="A46" s="430" t="s">
        <v>122</v>
      </c>
      <c r="B46" s="431"/>
      <c r="C46" s="268">
        <f>Admin!B$4</f>
        <v>45753</v>
      </c>
      <c r="D46" s="269"/>
      <c r="E46" s="97"/>
      <c r="F46" s="98"/>
      <c r="G46" s="95"/>
      <c r="H46" s="105"/>
      <c r="I46" s="112"/>
      <c r="J46" s="105"/>
      <c r="K46" s="94"/>
      <c r="L46" s="95"/>
      <c r="M46" s="99"/>
      <c r="N46" s="96"/>
      <c r="O46" s="95"/>
      <c r="P46" s="94"/>
      <c r="Q46" s="94"/>
    </row>
    <row r="47" spans="1:17" ht="13" x14ac:dyDescent="0.15">
      <c r="A47" s="255"/>
      <c r="B47" s="256"/>
      <c r="C47" s="272"/>
      <c r="D47" s="257"/>
      <c r="E47" s="96"/>
      <c r="F47" s="116"/>
      <c r="G47" s="95"/>
      <c r="H47" s="105">
        <v>0</v>
      </c>
      <c r="I47" s="105">
        <v>0</v>
      </c>
      <c r="J47" s="94" t="str">
        <f>IF(D47&gt;0,MIN(D47*J$4*(1-F47),Admin!G$8*(1-F47))," ")</f>
        <v xml:space="preserve"> </v>
      </c>
      <c r="K47" s="94" t="str">
        <f>IF(D47&gt;0,D47-J47," ")</f>
        <v xml:space="preserve"> </v>
      </c>
      <c r="L47" s="95"/>
      <c r="M47" s="167"/>
      <c r="N47" s="168"/>
      <c r="O47" s="95"/>
      <c r="P47" s="94" t="str">
        <f>IF((M47+N47)&gt;0,IF(N47&lt;K47,(K47-N47)*(1-F47)," ")," ")</f>
        <v xml:space="preserve"> </v>
      </c>
      <c r="Q47" s="94" t="str">
        <f>IF((M47+N47)&gt;0,IF(N47&gt;K47,(N47-K47)*(1-F47)," ")," ")</f>
        <v xml:space="preserve"> </v>
      </c>
    </row>
    <row r="48" spans="1:17" ht="13" x14ac:dyDescent="0.15">
      <c r="A48" s="167"/>
      <c r="B48" s="258"/>
      <c r="C48" s="273"/>
      <c r="D48" s="168"/>
      <c r="E48" s="96"/>
      <c r="F48" s="116"/>
      <c r="G48" s="95"/>
      <c r="H48" s="105">
        <v>0</v>
      </c>
      <c r="I48" s="105">
        <v>0</v>
      </c>
      <c r="J48" s="94" t="str">
        <f>IF(D48&gt;0,MIN(D48*J$4*(1-F48),Admin!G$8*(1-F48))," ")</f>
        <v xml:space="preserve"> </v>
      </c>
      <c r="K48" s="94" t="str">
        <f>IF(D48&gt;0,D48-J48," ")</f>
        <v xml:space="preserve"> </v>
      </c>
      <c r="L48" s="95"/>
      <c r="M48" s="167"/>
      <c r="N48" s="168"/>
      <c r="O48" s="95"/>
      <c r="P48" s="94" t="str">
        <f>IF((M48+N48)&gt;0,IF(N48&lt;K48,(K48-N48)*(1-F48)," ")," ")</f>
        <v xml:space="preserve"> </v>
      </c>
      <c r="Q48" s="94" t="str">
        <f>IF((M48+N48)&gt;0,IF(N48&gt;K48,(N48-K48)*(1-F48)," ")," ")</f>
        <v xml:space="preserve"> </v>
      </c>
    </row>
    <row r="49" spans="1:17" ht="13" x14ac:dyDescent="0.15">
      <c r="A49" s="167"/>
      <c r="B49" s="258"/>
      <c r="C49" s="273"/>
      <c r="D49" s="168"/>
      <c r="E49" s="96"/>
      <c r="F49" s="116"/>
      <c r="G49" s="95"/>
      <c r="H49" s="105">
        <v>0</v>
      </c>
      <c r="I49" s="105">
        <v>0</v>
      </c>
      <c r="J49" s="94" t="str">
        <f>IF(D49&gt;0,MIN(D49*J$4*(1-F49),Admin!G$8*(1-F49))," ")</f>
        <v xml:space="preserve"> </v>
      </c>
      <c r="K49" s="94" t="str">
        <f>IF(D49&gt;0,D49-J49," ")</f>
        <v xml:space="preserve"> </v>
      </c>
      <c r="L49" s="95"/>
      <c r="M49" s="167"/>
      <c r="N49" s="168"/>
      <c r="O49" s="95"/>
      <c r="P49" s="94" t="str">
        <f>IF((M49+N49)&gt;0,IF(N49&lt;K49,(K49-N49)*(1-F49)," ")," ")</f>
        <v xml:space="preserve"> </v>
      </c>
      <c r="Q49" s="94" t="str">
        <f>IF((M49+N49)&gt;0,IF(N49&gt;K49,(N49-K49)*(1-F49)," ")," ")</f>
        <v xml:space="preserve"> </v>
      </c>
    </row>
    <row r="50" spans="1:17" ht="13" x14ac:dyDescent="0.15">
      <c r="A50" s="167"/>
      <c r="B50" s="258"/>
      <c r="C50" s="273"/>
      <c r="D50" s="168"/>
      <c r="E50" s="96"/>
      <c r="F50" s="116"/>
      <c r="G50" s="95"/>
      <c r="H50" s="105">
        <v>0</v>
      </c>
      <c r="I50" s="105">
        <v>0</v>
      </c>
      <c r="J50" s="94" t="str">
        <f>IF(D50&gt;0,MIN(D50*J$4*(1-F50),Admin!G$8*(1-F50))," ")</f>
        <v xml:space="preserve"> </v>
      </c>
      <c r="K50" s="94" t="str">
        <f>IF(D50&gt;0,D50-J50," ")</f>
        <v xml:space="preserve"> </v>
      </c>
      <c r="L50" s="95"/>
      <c r="M50" s="167"/>
      <c r="N50" s="168"/>
      <c r="O50" s="95"/>
      <c r="P50" s="94" t="str">
        <f>IF((M50+N50)&gt;0,IF(N50&lt;K50,(K50-N50)*(1-F50)," ")," ")</f>
        <v xml:space="preserve"> </v>
      </c>
      <c r="Q50" s="94" t="str">
        <f>IF((M50+N50)&gt;0,IF(N50&gt;K50,(N50-K50)*(1-F50)," ")," ")</f>
        <v xml:space="preserve"> </v>
      </c>
    </row>
    <row r="51" spans="1:17" ht="14" thickBot="1" x14ac:dyDescent="0.2">
      <c r="A51" s="167"/>
      <c r="B51" s="258"/>
      <c r="C51" s="273"/>
      <c r="D51" s="168"/>
      <c r="E51" s="96"/>
      <c r="F51" s="116"/>
      <c r="G51" s="95"/>
      <c r="H51" s="105">
        <v>0</v>
      </c>
      <c r="I51" s="105">
        <v>0</v>
      </c>
      <c r="J51" s="94" t="str">
        <f>IF(D51&gt;0,MIN(D51*J$4*(1-F51),Admin!G$8*(1-F51))," ")</f>
        <v xml:space="preserve"> </v>
      </c>
      <c r="K51" s="94" t="str">
        <f>IF(D51&gt;0,D51-J51," ")</f>
        <v xml:space="preserve"> </v>
      </c>
      <c r="L51" s="95"/>
      <c r="M51" s="167"/>
      <c r="N51" s="168"/>
      <c r="O51" s="95"/>
      <c r="P51" s="94" t="str">
        <f>IF((M51+N51)&gt;0,IF(N51&lt;K51,(K51-N51)*(1-F51)," ")," ")</f>
        <v xml:space="preserve"> </v>
      </c>
      <c r="Q51" s="94" t="str">
        <f>IF((M51+N51)&gt;0,IF(N51&gt;K51,(N51-K51)*(1-F51)," ")," ")</f>
        <v xml:space="preserve"> </v>
      </c>
    </row>
    <row r="52" spans="1:17" ht="12.75" customHeight="1" thickBot="1" x14ac:dyDescent="0.2">
      <c r="A52" s="424" t="s">
        <v>123</v>
      </c>
      <c r="B52" s="425"/>
      <c r="C52" s="270">
        <f>Admin!B$4</f>
        <v>45753</v>
      </c>
      <c r="D52" s="100">
        <f>SUM(D47:D51)</f>
        <v>0</v>
      </c>
      <c r="E52" s="96"/>
      <c r="F52" s="93"/>
      <c r="G52" s="95"/>
      <c r="H52" s="103">
        <f>SUM(H47:H51)</f>
        <v>0</v>
      </c>
      <c r="I52" s="104">
        <f>SUM(I47:I51)</f>
        <v>0</v>
      </c>
      <c r="J52" s="103">
        <f>SUM(J47:J51)</f>
        <v>0</v>
      </c>
      <c r="K52" s="100">
        <f>SUM(K47:K51)</f>
        <v>0</v>
      </c>
      <c r="L52" s="95"/>
      <c r="M52" s="99"/>
      <c r="N52" s="100">
        <f>SUM(N47:N51)</f>
        <v>0</v>
      </c>
      <c r="O52" s="95"/>
      <c r="P52" s="100">
        <f>SUM(P47:P51)</f>
        <v>0</v>
      </c>
      <c r="Q52" s="100">
        <f>SUM(Q47:Q51)</f>
        <v>0</v>
      </c>
    </row>
    <row r="53" spans="1:17" ht="14" thickBot="1" x14ac:dyDescent="0.2">
      <c r="A53" s="99"/>
      <c r="B53" s="52"/>
      <c r="C53" s="52"/>
      <c r="D53" s="96"/>
      <c r="E53" s="96"/>
      <c r="F53" s="93"/>
      <c r="G53" s="95"/>
      <c r="H53" s="96"/>
      <c r="I53" s="105"/>
      <c r="J53" s="94"/>
      <c r="K53" s="94"/>
      <c r="L53" s="95"/>
      <c r="M53" s="99"/>
      <c r="N53" s="96"/>
      <c r="O53" s="95"/>
      <c r="P53" s="94"/>
      <c r="Q53" s="94"/>
    </row>
    <row r="54" spans="1:17" ht="14" thickBot="1" x14ac:dyDescent="0.2">
      <c r="A54" s="430" t="s">
        <v>124</v>
      </c>
      <c r="B54" s="431"/>
      <c r="C54" s="268">
        <f>Admin!B$4</f>
        <v>45753</v>
      </c>
      <c r="D54" s="269"/>
      <c r="E54" s="97"/>
      <c r="F54" s="98"/>
      <c r="G54" s="95"/>
      <c r="H54" s="105"/>
      <c r="I54" s="94"/>
      <c r="J54" s="105"/>
      <c r="K54" s="94"/>
      <c r="L54" s="95"/>
      <c r="M54" s="99"/>
      <c r="N54" s="96"/>
      <c r="O54" s="95"/>
      <c r="P54" s="94"/>
      <c r="Q54" s="94"/>
    </row>
    <row r="55" spans="1:17" ht="13" x14ac:dyDescent="0.15">
      <c r="A55" s="255"/>
      <c r="B55" s="256"/>
      <c r="C55" s="272"/>
      <c r="D55" s="257"/>
      <c r="E55" s="96"/>
      <c r="F55" s="116"/>
      <c r="G55" s="95"/>
      <c r="H55" s="105">
        <v>0</v>
      </c>
      <c r="I55" s="105">
        <v>0</v>
      </c>
      <c r="J55" s="94" t="str">
        <f>IF(D55&gt;0,MIN(D55*J$4*(1-F55),Admin!G$8*(1-F55))," ")</f>
        <v xml:space="preserve"> </v>
      </c>
      <c r="K55" s="94" t="str">
        <f>IF(D55&gt;0,D55-J55," ")</f>
        <v xml:space="preserve"> </v>
      </c>
      <c r="L55" s="95"/>
      <c r="M55" s="167"/>
      <c r="N55" s="168"/>
      <c r="O55" s="95"/>
      <c r="P55" s="94" t="str">
        <f>IF((M55+N55)&gt;0,IF(N55&lt;K55,(K55-N55)*(1-F55)," ")," ")</f>
        <v xml:space="preserve"> </v>
      </c>
      <c r="Q55" s="94" t="str">
        <f>IF((M55+N55)&gt;0,IF(N55&gt;K55,(N55-K55)*(1-F55)," ")," ")</f>
        <v xml:space="preserve"> </v>
      </c>
    </row>
    <row r="56" spans="1:17" ht="13" x14ac:dyDescent="0.15">
      <c r="A56" s="167"/>
      <c r="B56" s="258"/>
      <c r="C56" s="273"/>
      <c r="D56" s="168"/>
      <c r="E56" s="96"/>
      <c r="F56" s="116"/>
      <c r="G56" s="95"/>
      <c r="H56" s="105">
        <v>0</v>
      </c>
      <c r="I56" s="105">
        <v>0</v>
      </c>
      <c r="J56" s="94" t="str">
        <f>IF(D56&gt;0,MIN(D56*J$4*(1-F56),Admin!G$8*(1-F56))," ")</f>
        <v xml:space="preserve"> </v>
      </c>
      <c r="K56" s="94" t="str">
        <f>IF(D56&gt;0,D56-J56," ")</f>
        <v xml:space="preserve"> </v>
      </c>
      <c r="L56" s="95"/>
      <c r="M56" s="167"/>
      <c r="N56" s="168"/>
      <c r="O56" s="95"/>
      <c r="P56" s="94" t="str">
        <f>IF((M56+N56)&gt;0,IF(N56&lt;K56,(K56-N56)*(1-F56)," ")," ")</f>
        <v xml:space="preserve"> </v>
      </c>
      <c r="Q56" s="94" t="str">
        <f>IF((M56+N56)&gt;0,IF(N56&gt;K56,(N56-K56)*(1-F56)," ")," ")</f>
        <v xml:space="preserve"> </v>
      </c>
    </row>
    <row r="57" spans="1:17" ht="13" x14ac:dyDescent="0.15">
      <c r="A57" s="167"/>
      <c r="B57" s="258"/>
      <c r="C57" s="273"/>
      <c r="D57" s="168"/>
      <c r="E57" s="96"/>
      <c r="F57" s="116"/>
      <c r="G57" s="95"/>
      <c r="H57" s="105">
        <v>0</v>
      </c>
      <c r="I57" s="105">
        <v>0</v>
      </c>
      <c r="J57" s="94" t="str">
        <f>IF(D57&gt;0,MIN(D57*J$4*(1-F57),Admin!G$8*(1-F57))," ")</f>
        <v xml:space="preserve"> </v>
      </c>
      <c r="K57" s="94" t="str">
        <f>IF(D57&gt;0,D57-J57," ")</f>
        <v xml:space="preserve"> </v>
      </c>
      <c r="L57" s="95"/>
      <c r="M57" s="167"/>
      <c r="N57" s="168"/>
      <c r="O57" s="95"/>
      <c r="P57" s="94" t="str">
        <f>IF((M57+N57)&gt;0,IF(N57&lt;K57,(K57-N57)*(1-F57)," ")," ")</f>
        <v xml:space="preserve"> </v>
      </c>
      <c r="Q57" s="94" t="str">
        <f>IF((M57+N57)&gt;0,IF(N57&gt;K57,(N57-K57)*(1-F57)," ")," ")</f>
        <v xml:space="preserve"> </v>
      </c>
    </row>
    <row r="58" spans="1:17" ht="13" x14ac:dyDescent="0.15">
      <c r="A58" s="167"/>
      <c r="B58" s="258"/>
      <c r="C58" s="273"/>
      <c r="D58" s="168"/>
      <c r="E58" s="96"/>
      <c r="F58" s="116"/>
      <c r="G58" s="95"/>
      <c r="H58" s="105">
        <v>0</v>
      </c>
      <c r="I58" s="105">
        <v>0</v>
      </c>
      <c r="J58" s="94" t="str">
        <f>IF(D58&gt;0,MIN(D58*J$4*(1-F58),Admin!G$8*(1-F58))," ")</f>
        <v xml:space="preserve"> </v>
      </c>
      <c r="K58" s="94" t="str">
        <f>IF(D58&gt;0,D58-J58," ")</f>
        <v xml:space="preserve"> </v>
      </c>
      <c r="L58" s="95"/>
      <c r="M58" s="167"/>
      <c r="N58" s="168"/>
      <c r="O58" s="95"/>
      <c r="P58" s="94" t="str">
        <f>IF((M58+N58)&gt;0,IF(N58&lt;K58,(K58-N58)*(1-F58)," ")," ")</f>
        <v xml:space="preserve"> </v>
      </c>
      <c r="Q58" s="94" t="str">
        <f>IF((M58+N58)&gt;0,IF(N58&gt;K58,(N58-K58)*(1-F58)," ")," ")</f>
        <v xml:space="preserve"> </v>
      </c>
    </row>
    <row r="59" spans="1:17" ht="14" thickBot="1" x14ac:dyDescent="0.2">
      <c r="A59" s="167"/>
      <c r="B59" s="258"/>
      <c r="C59" s="273"/>
      <c r="D59" s="168"/>
      <c r="E59" s="96"/>
      <c r="F59" s="116"/>
      <c r="G59" s="95"/>
      <c r="H59" s="105">
        <v>0</v>
      </c>
      <c r="I59" s="105">
        <v>0</v>
      </c>
      <c r="J59" s="94" t="str">
        <f>IF(D59&gt;0,MIN(D59*J$4*(1-F59),Admin!G$8*(1-F59))," ")</f>
        <v xml:space="preserve"> </v>
      </c>
      <c r="K59" s="94" t="str">
        <f>IF(D59&gt;0,D59-J59," ")</f>
        <v xml:space="preserve"> </v>
      </c>
      <c r="L59" s="95"/>
      <c r="M59" s="167"/>
      <c r="N59" s="168"/>
      <c r="O59" s="95"/>
      <c r="P59" s="94" t="str">
        <f>IF((M59+N59)&gt;0,IF(N59&lt;K59,(K59-N59)*(1-F59)," ")," ")</f>
        <v xml:space="preserve"> </v>
      </c>
      <c r="Q59" s="94" t="str">
        <f>IF((M59+N59)&gt;0,IF(N59&gt;K59,(N59-K59)*(1-F59)," ")," ")</f>
        <v xml:space="preserve"> </v>
      </c>
    </row>
    <row r="60" spans="1:17" ht="14" thickBot="1" x14ac:dyDescent="0.2">
      <c r="A60" s="424" t="s">
        <v>125</v>
      </c>
      <c r="B60" s="425"/>
      <c r="C60" s="270">
        <f>Admin!B$4</f>
        <v>45753</v>
      </c>
      <c r="D60" s="113">
        <f>SUM(D55:D59)</f>
        <v>0</v>
      </c>
      <c r="E60" s="96"/>
      <c r="F60" s="93"/>
      <c r="G60" s="95"/>
      <c r="H60" s="103">
        <f>SUM(H55:H59)</f>
        <v>0</v>
      </c>
      <c r="I60" s="104">
        <f>SUM(I55:I59)</f>
        <v>0</v>
      </c>
      <c r="J60" s="103">
        <f>SUM(J55:J59)</f>
        <v>0</v>
      </c>
      <c r="K60" s="100">
        <f>SUM(K55:K59)</f>
        <v>0</v>
      </c>
      <c r="L60" s="95"/>
      <c r="M60" s="99"/>
      <c r="N60" s="100">
        <f>SUM(N55:N59)</f>
        <v>0</v>
      </c>
      <c r="O60" s="95"/>
      <c r="P60" s="100">
        <f>SUM(P55:P59)</f>
        <v>0</v>
      </c>
      <c r="Q60" s="100">
        <f>SUM(Q55:Q59)</f>
        <v>0</v>
      </c>
    </row>
    <row r="61" spans="1:17" ht="14" thickBot="1" x14ac:dyDescent="0.2">
      <c r="A61" s="99"/>
      <c r="B61" s="52"/>
      <c r="C61" s="57"/>
      <c r="D61" s="96"/>
      <c r="E61" s="96"/>
      <c r="F61" s="93"/>
      <c r="G61" s="95"/>
      <c r="H61" s="105"/>
      <c r="I61" s="94"/>
      <c r="J61" s="105"/>
      <c r="K61" s="94"/>
      <c r="L61" s="95"/>
      <c r="M61" s="99"/>
      <c r="N61" s="96"/>
      <c r="O61" s="95"/>
      <c r="P61" s="94"/>
      <c r="Q61" s="94"/>
    </row>
    <row r="62" spans="1:17" ht="14" thickBot="1" x14ac:dyDescent="0.2">
      <c r="A62" s="432" t="s">
        <v>126</v>
      </c>
      <c r="B62" s="433"/>
      <c r="C62" s="271" t="str">
        <f>Admin!G$2</f>
        <v>2025-26</v>
      </c>
      <c r="D62" s="101">
        <f>D44+D52+D60</f>
        <v>0</v>
      </c>
      <c r="E62" s="96"/>
      <c r="F62" s="93"/>
      <c r="G62" s="95"/>
      <c r="H62" s="107">
        <f>H44+H52+H60</f>
        <v>0</v>
      </c>
      <c r="I62" s="108">
        <f>I44+I52+I60</f>
        <v>0</v>
      </c>
      <c r="J62" s="107">
        <f>J44+J52+J60</f>
        <v>0</v>
      </c>
      <c r="K62" s="101">
        <f>K44+K52+K60</f>
        <v>0</v>
      </c>
      <c r="L62" s="95"/>
      <c r="M62" s="99"/>
      <c r="N62" s="101">
        <f>N44+N52+N60</f>
        <v>0</v>
      </c>
      <c r="O62" s="95"/>
      <c r="P62" s="101">
        <f>P44+P52+P60</f>
        <v>0</v>
      </c>
      <c r="Q62" s="101">
        <f>Q44+Q52+Q60</f>
        <v>0</v>
      </c>
    </row>
    <row r="63" spans="1:17" x14ac:dyDescent="0.15">
      <c r="A63" s="99"/>
      <c r="B63" s="52"/>
      <c r="C63" s="52"/>
      <c r="D63" s="96"/>
      <c r="E63" s="96"/>
      <c r="F63" s="93"/>
      <c r="G63" s="102"/>
      <c r="H63" s="96"/>
      <c r="I63" s="94"/>
      <c r="J63" s="94"/>
      <c r="K63" s="94"/>
      <c r="L63" s="102"/>
      <c r="M63" s="99"/>
      <c r="N63" s="96"/>
      <c r="O63" s="102"/>
      <c r="P63" s="94"/>
      <c r="Q63" s="94"/>
    </row>
  </sheetData>
  <mergeCells count="31">
    <mergeCell ref="Q2:Q4"/>
    <mergeCell ref="P2:P4"/>
    <mergeCell ref="M1:M4"/>
    <mergeCell ref="B2:B4"/>
    <mergeCell ref="C2:C4"/>
    <mergeCell ref="D2:D4"/>
    <mergeCell ref="L1:L4"/>
    <mergeCell ref="O1:O4"/>
    <mergeCell ref="G1:G4"/>
    <mergeCell ref="F1:F4"/>
    <mergeCell ref="E1:E4"/>
    <mergeCell ref="N2:N4"/>
    <mergeCell ref="I2:I3"/>
    <mergeCell ref="J2:J3"/>
    <mergeCell ref="H2:H3"/>
    <mergeCell ref="K2:K3"/>
    <mergeCell ref="A54:B54"/>
    <mergeCell ref="A60:B60"/>
    <mergeCell ref="A62:B62"/>
    <mergeCell ref="A33:B33"/>
    <mergeCell ref="A44:B44"/>
    <mergeCell ref="A46:B46"/>
    <mergeCell ref="A35:C35"/>
    <mergeCell ref="A1:A4"/>
    <mergeCell ref="A6:C6"/>
    <mergeCell ref="A52:B52"/>
    <mergeCell ref="A15:B15"/>
    <mergeCell ref="A17:B17"/>
    <mergeCell ref="A23:B23"/>
    <mergeCell ref="A25:B25"/>
    <mergeCell ref="A31:B31"/>
  </mergeCells>
  <phoneticPr fontId="3" type="noConversion"/>
  <printOptions horizontalCentered="1" verticalCentered="1"/>
  <pageMargins left="0.15748031496062992" right="0.15748031496062992" top="0.55118110236220474" bottom="0.43307086614173229" header="0.19685039370078741" footer="0.11811023622047245"/>
  <pageSetup paperSize="9" orientation="landscape" r:id="rId1"/>
  <headerFooter alignWithMargins="0">
    <oddHeader>&amp;C&amp;"Arial,Bold"&amp;11Fixed Assets Capital Allowances&amp;"Arial,Regular"&amp;10
6 April 2015 - 5 April 216</oddHeader>
    <oddFooter>&amp;L&amp;D  &amp;T&amp;C&amp;P  of  &amp;N&amp;R&amp;F  &amp;A</oddFooter>
  </headerFooter>
  <rowBreaks count="1" manualBreakCount="1">
    <brk id="31" max="16383" man="1"/>
  </rowBreak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dimension ref="A1:K35"/>
  <sheetViews>
    <sheetView workbookViewId="0">
      <selection activeCell="E14" sqref="E14"/>
    </sheetView>
  </sheetViews>
  <sheetFormatPr baseColWidth="10" defaultColWidth="9.1640625" defaultRowHeight="13" x14ac:dyDescent="0.15"/>
  <cols>
    <col min="1" max="1" width="2.6640625" style="1" customWidth="1"/>
    <col min="2" max="2" width="26" style="1" customWidth="1"/>
    <col min="3" max="3" width="11.33203125" style="1" customWidth="1"/>
    <col min="4" max="4" width="13.5" style="4" customWidth="1"/>
    <col min="5" max="5" width="12.6640625" style="5" customWidth="1"/>
    <col min="6" max="6" width="4.1640625" style="150" customWidth="1"/>
    <col min="7" max="7" width="2.6640625" style="2" customWidth="1"/>
    <col min="8" max="16384" width="9.1640625" style="1"/>
  </cols>
  <sheetData>
    <row r="1" spans="1:11" ht="14" thickBot="1" x14ac:dyDescent="0.2">
      <c r="A1" s="23"/>
      <c r="B1" s="23"/>
      <c r="C1" s="23"/>
      <c r="D1" s="24"/>
      <c r="E1" s="25"/>
      <c r="F1" s="26"/>
      <c r="G1" s="23"/>
    </row>
    <row r="2" spans="1:11" ht="18" customHeight="1" thickBot="1" x14ac:dyDescent="0.2">
      <c r="A2" s="23"/>
      <c r="B2" s="141" t="s">
        <v>102</v>
      </c>
      <c r="C2" s="142" t="str">
        <f>Admin!K$2</f>
        <v>2025-26</v>
      </c>
      <c r="D2" s="451" t="s">
        <v>24</v>
      </c>
      <c r="E2" s="452"/>
      <c r="F2" s="452"/>
      <c r="G2" s="27"/>
    </row>
    <row r="3" spans="1:11" ht="18.75" customHeight="1" x14ac:dyDescent="0.15">
      <c r="A3" s="23"/>
      <c r="B3" s="143"/>
      <c r="C3" s="143"/>
      <c r="D3" s="452"/>
      <c r="E3" s="452"/>
      <c r="F3" s="452"/>
      <c r="G3" s="27"/>
    </row>
    <row r="4" spans="1:11" x14ac:dyDescent="0.15">
      <c r="A4" s="23"/>
      <c r="B4" s="28"/>
      <c r="C4" s="28"/>
      <c r="D4" s="29"/>
      <c r="E4" s="25"/>
      <c r="F4" s="26"/>
      <c r="G4" s="27"/>
    </row>
    <row r="5" spans="1:11" x14ac:dyDescent="0.15">
      <c r="A5" s="23"/>
      <c r="B5" s="453" t="s">
        <v>45</v>
      </c>
      <c r="C5" s="454"/>
      <c r="D5" s="455"/>
      <c r="E5" s="275">
        <f>'SE Short'!D106</f>
        <v>0</v>
      </c>
      <c r="F5" s="26"/>
      <c r="G5" s="27"/>
      <c r="K5" s="324"/>
    </row>
    <row r="6" spans="1:11" x14ac:dyDescent="0.15">
      <c r="A6" s="23"/>
      <c r="B6" s="28" t="s">
        <v>103</v>
      </c>
      <c r="C6" s="28" t="str">
        <f>C2</f>
        <v>2025-26</v>
      </c>
      <c r="D6" s="31"/>
      <c r="E6" s="27">
        <f>IF((E5&gt;0),Admin!N$4,0)</f>
        <v>0</v>
      </c>
      <c r="F6" s="26"/>
      <c r="G6" s="27"/>
      <c r="K6" s="324"/>
    </row>
    <row r="7" spans="1:11" x14ac:dyDescent="0.15">
      <c r="A7" s="23"/>
      <c r="B7" s="456" t="s">
        <v>46</v>
      </c>
      <c r="C7" s="456"/>
      <c r="D7" s="457"/>
      <c r="E7" s="275">
        <f>IF((E5&gt;E6),(E5-E6),0)</f>
        <v>0</v>
      </c>
      <c r="F7" s="26"/>
      <c r="G7" s="27"/>
      <c r="K7" s="324"/>
    </row>
    <row r="8" spans="1:11" x14ac:dyDescent="0.15">
      <c r="A8" s="23"/>
      <c r="B8" s="28" t="s">
        <v>104</v>
      </c>
      <c r="C8" s="28">
        <f>Admin!N$11</f>
        <v>0</v>
      </c>
      <c r="D8" s="144">
        <f>Admin!N$6</f>
        <v>0.2</v>
      </c>
      <c r="E8" s="25">
        <f>IF((E7&gt;0),(IF((E7&lt;C9),E7*D8,C9*D8)),0)</f>
        <v>0</v>
      </c>
      <c r="F8" s="26"/>
      <c r="G8" s="27"/>
      <c r="H8" s="117"/>
      <c r="K8" s="324"/>
    </row>
    <row r="9" spans="1:11" ht="14" thickBot="1" x14ac:dyDescent="0.2">
      <c r="A9" s="23"/>
      <c r="B9" s="28" t="s">
        <v>105</v>
      </c>
      <c r="C9" s="28">
        <f>Admin!N$12</f>
        <v>37701</v>
      </c>
      <c r="D9" s="144">
        <f>Admin!N$7</f>
        <v>0.4</v>
      </c>
      <c r="E9" s="25">
        <f>IF((E7&gt;C9),((E7-C9)*D9),0)</f>
        <v>0</v>
      </c>
      <c r="F9" s="26"/>
      <c r="G9" s="27"/>
      <c r="K9" s="324"/>
    </row>
    <row r="10" spans="1:11" ht="14" thickBot="1" x14ac:dyDescent="0.2">
      <c r="A10" s="23"/>
      <c r="B10" s="32" t="s">
        <v>47</v>
      </c>
      <c r="C10" s="145"/>
      <c r="D10" s="33"/>
      <c r="E10" s="276">
        <f>SUM(E8:E9)</f>
        <v>0</v>
      </c>
      <c r="F10" s="26"/>
      <c r="G10" s="27"/>
      <c r="K10" s="324"/>
    </row>
    <row r="11" spans="1:11" x14ac:dyDescent="0.15">
      <c r="A11" s="23"/>
      <c r="B11" s="28"/>
      <c r="C11" s="28"/>
      <c r="D11" s="34"/>
      <c r="E11" s="25"/>
      <c r="F11" s="35"/>
      <c r="G11" s="36"/>
      <c r="K11" s="324"/>
    </row>
    <row r="12" spans="1:11" x14ac:dyDescent="0.15">
      <c r="A12" s="23"/>
      <c r="B12" s="146" t="s">
        <v>106</v>
      </c>
      <c r="C12" s="464">
        <f>Admin!B$21</f>
        <v>46418</v>
      </c>
      <c r="D12" s="465"/>
      <c r="E12" s="25"/>
      <c r="F12" s="35"/>
      <c r="G12" s="36"/>
      <c r="K12" s="324"/>
    </row>
    <row r="13" spans="1:11" ht="10" customHeight="1" thickBot="1" x14ac:dyDescent="0.2">
      <c r="A13" s="23"/>
      <c r="B13" s="28"/>
      <c r="C13" s="28"/>
      <c r="D13" s="37"/>
      <c r="E13" s="38"/>
      <c r="F13" s="26"/>
      <c r="G13" s="36"/>
      <c r="K13" s="324"/>
    </row>
    <row r="14" spans="1:11" ht="14" thickBot="1" x14ac:dyDescent="0.2">
      <c r="A14" s="23"/>
      <c r="B14" s="466" t="s">
        <v>107</v>
      </c>
      <c r="C14" s="467"/>
      <c r="D14" s="144">
        <f>Admin!L$20</f>
        <v>0.06</v>
      </c>
      <c r="E14" s="30">
        <f>IF(E5&gt;Admin!N20,IF(E5&lt;Admin!N$23,(E5-Admin!N20)*D14,(Admin!N$23-Admin!N20)*D14),0)</f>
        <v>0</v>
      </c>
      <c r="F14" s="26"/>
      <c r="G14" s="36"/>
      <c r="K14" s="324"/>
    </row>
    <row r="15" spans="1:11" ht="14" thickBot="1" x14ac:dyDescent="0.2">
      <c r="A15" s="23"/>
      <c r="B15" s="466" t="s">
        <v>108</v>
      </c>
      <c r="C15" s="467"/>
      <c r="D15" s="144">
        <f>Admin!L$23</f>
        <v>0.02</v>
      </c>
      <c r="E15" s="30">
        <f>IF((E5&gt;Admin!N$23),((E5-Admin!N$23)*D15),0)</f>
        <v>0</v>
      </c>
      <c r="F15" s="26"/>
      <c r="G15" s="36"/>
      <c r="K15" s="324"/>
    </row>
    <row r="16" spans="1:11" ht="14" thickBot="1" x14ac:dyDescent="0.2">
      <c r="A16" s="23"/>
      <c r="B16" s="28"/>
      <c r="C16" s="28"/>
      <c r="D16" s="37"/>
      <c r="E16" s="38"/>
      <c r="F16" s="26"/>
      <c r="G16" s="36"/>
      <c r="K16" s="324"/>
    </row>
    <row r="17" spans="1:11" ht="14" thickBot="1" x14ac:dyDescent="0.2">
      <c r="A17" s="23"/>
      <c r="B17" s="468" t="s">
        <v>48</v>
      </c>
      <c r="C17" s="467"/>
      <c r="D17" s="37"/>
      <c r="E17" s="276">
        <f>SUM(E10:E16)</f>
        <v>0</v>
      </c>
      <c r="F17" s="26"/>
      <c r="G17" s="27"/>
      <c r="K17" s="324"/>
    </row>
    <row r="18" spans="1:11" x14ac:dyDescent="0.15">
      <c r="A18" s="23"/>
      <c r="B18" s="39"/>
      <c r="C18" s="39"/>
      <c r="D18" s="37"/>
      <c r="E18" s="38"/>
      <c r="F18" s="26"/>
      <c r="G18" s="27"/>
    </row>
    <row r="19" spans="1:11" ht="14" thickBot="1" x14ac:dyDescent="0.2">
      <c r="A19" s="23"/>
      <c r="B19" s="39"/>
      <c r="C19" s="39"/>
      <c r="D19" s="37"/>
      <c r="E19" s="38"/>
      <c r="F19" s="26"/>
      <c r="G19" s="27"/>
    </row>
    <row r="20" spans="1:11" ht="18" customHeight="1" thickBot="1" x14ac:dyDescent="0.2">
      <c r="A20" s="23"/>
      <c r="B20" s="32" t="s">
        <v>23</v>
      </c>
      <c r="C20" s="147"/>
      <c r="D20" s="458" t="s">
        <v>14</v>
      </c>
      <c r="E20" s="459"/>
      <c r="F20" s="460"/>
      <c r="G20" s="23"/>
    </row>
    <row r="21" spans="1:11" ht="12.75" customHeight="1" x14ac:dyDescent="0.15">
      <c r="A21" s="23"/>
      <c r="B21" s="28"/>
      <c r="C21" s="28"/>
      <c r="D21" s="37"/>
      <c r="E21" s="38"/>
      <c r="F21" s="26"/>
      <c r="G21" s="36"/>
    </row>
    <row r="22" spans="1:11" s="3" customFormat="1" x14ac:dyDescent="0.15">
      <c r="A22" s="40"/>
      <c r="B22" s="28"/>
      <c r="C22" s="28"/>
      <c r="D22" s="461" t="s">
        <v>21</v>
      </c>
      <c r="E22" s="463" t="s">
        <v>22</v>
      </c>
      <c r="F22" s="41"/>
      <c r="G22" s="27"/>
    </row>
    <row r="23" spans="1:11" s="3" customFormat="1" x14ac:dyDescent="0.15">
      <c r="A23" s="40"/>
      <c r="B23" s="28"/>
      <c r="C23" s="28"/>
      <c r="D23" s="462"/>
      <c r="E23" s="462"/>
      <c r="F23" s="41"/>
      <c r="G23" s="27"/>
    </row>
    <row r="24" spans="1:11" x14ac:dyDescent="0.15">
      <c r="A24" s="23"/>
      <c r="B24" s="28" t="s">
        <v>109</v>
      </c>
      <c r="C24" s="148" t="str">
        <f>Admin!B$24</f>
        <v>2026-27</v>
      </c>
      <c r="D24" s="42" t="s">
        <v>12</v>
      </c>
      <c r="E24" s="30">
        <f>E17</f>
        <v>0</v>
      </c>
      <c r="F24" s="26"/>
      <c r="G24" s="27"/>
    </row>
    <row r="25" spans="1:11" x14ac:dyDescent="0.15">
      <c r="A25" s="23"/>
      <c r="B25" s="28" t="s">
        <v>20</v>
      </c>
      <c r="C25" s="28"/>
      <c r="D25" s="43">
        <f>Admin!B$21</f>
        <v>46418</v>
      </c>
      <c r="E25" s="275">
        <f>E24/2</f>
        <v>0</v>
      </c>
      <c r="F25" s="26"/>
      <c r="G25" s="27"/>
    </row>
    <row r="26" spans="1:11" x14ac:dyDescent="0.15">
      <c r="A26" s="23"/>
      <c r="B26" s="28" t="s">
        <v>20</v>
      </c>
      <c r="C26" s="28"/>
      <c r="D26" s="43">
        <f>Admin!B$22</f>
        <v>46599</v>
      </c>
      <c r="E26" s="275">
        <f>E24/2</f>
        <v>0</v>
      </c>
      <c r="F26" s="26"/>
      <c r="G26" s="27"/>
    </row>
    <row r="27" spans="1:11" x14ac:dyDescent="0.15">
      <c r="A27" s="23"/>
      <c r="B27" s="23"/>
      <c r="C27" s="23"/>
      <c r="D27" s="37"/>
      <c r="E27" s="25"/>
      <c r="F27" s="26"/>
      <c r="G27" s="27"/>
    </row>
    <row r="28" spans="1:11" x14ac:dyDescent="0.15">
      <c r="A28" s="23"/>
      <c r="B28" s="44" t="s">
        <v>26</v>
      </c>
      <c r="C28" s="50"/>
      <c r="D28" s="37"/>
      <c r="E28" s="25"/>
      <c r="F28" s="26"/>
      <c r="G28" s="27"/>
    </row>
    <row r="29" spans="1:11" x14ac:dyDescent="0.15">
      <c r="A29" s="23"/>
      <c r="B29" s="45" t="s">
        <v>15</v>
      </c>
      <c r="C29" s="45"/>
      <c r="D29" s="23"/>
      <c r="E29" s="46"/>
      <c r="F29" s="26"/>
      <c r="G29" s="47"/>
    </row>
    <row r="30" spans="1:11" x14ac:dyDescent="0.15">
      <c r="A30" s="23"/>
      <c r="B30" s="48" t="s">
        <v>16</v>
      </c>
      <c r="C30" s="48"/>
      <c r="D30" s="49"/>
      <c r="E30" s="46"/>
      <c r="F30" s="26"/>
      <c r="G30" s="47"/>
    </row>
    <row r="31" spans="1:11" x14ac:dyDescent="0.15">
      <c r="A31" s="23"/>
      <c r="B31" s="149" t="s">
        <v>110</v>
      </c>
      <c r="C31" s="48"/>
      <c r="D31" s="49"/>
      <c r="E31" s="46"/>
      <c r="F31" s="26"/>
      <c r="G31" s="47"/>
    </row>
    <row r="32" spans="1:11" x14ac:dyDescent="0.15">
      <c r="A32" s="23"/>
      <c r="B32" s="50" t="s">
        <v>49</v>
      </c>
      <c r="C32" s="50"/>
      <c r="D32" s="49"/>
      <c r="E32" s="51"/>
      <c r="F32" s="26"/>
      <c r="G32" s="47"/>
    </row>
    <row r="33" spans="1:7" x14ac:dyDescent="0.15">
      <c r="A33" s="23"/>
      <c r="B33" s="50" t="s">
        <v>17</v>
      </c>
      <c r="C33" s="50"/>
      <c r="D33" s="49"/>
      <c r="E33" s="51"/>
      <c r="F33" s="26"/>
      <c r="G33" s="47"/>
    </row>
    <row r="34" spans="1:7" x14ac:dyDescent="0.15">
      <c r="A34" s="23"/>
      <c r="B34" s="50" t="s">
        <v>18</v>
      </c>
      <c r="C34" s="50"/>
      <c r="D34" s="49"/>
      <c r="E34" s="51"/>
      <c r="F34" s="26"/>
      <c r="G34" s="47"/>
    </row>
    <row r="35" spans="1:7" x14ac:dyDescent="0.15">
      <c r="A35" s="23"/>
      <c r="B35" s="23"/>
      <c r="C35" s="23"/>
      <c r="D35" s="49"/>
      <c r="E35" s="51"/>
      <c r="F35" s="26"/>
      <c r="G35" s="47"/>
    </row>
  </sheetData>
  <mergeCells count="10">
    <mergeCell ref="D2:F3"/>
    <mergeCell ref="B5:D5"/>
    <mergeCell ref="B7:D7"/>
    <mergeCell ref="D20:F20"/>
    <mergeCell ref="D22:D23"/>
    <mergeCell ref="E22:E23"/>
    <mergeCell ref="C12:D12"/>
    <mergeCell ref="B14:C14"/>
    <mergeCell ref="B15:C15"/>
    <mergeCell ref="B17:C17"/>
  </mergeCells>
  <phoneticPr fontId="0" type="noConversion"/>
  <pageMargins left="0.74803149606299213" right="0.74803149606299213" top="0.98425196850393704" bottom="0.98425196850393704" header="0.51181102362204722" footer="0.51181102362204722"/>
  <pageSetup paperSize="9" orientation="portrait" r:id="rId1"/>
  <headerFooter alignWithMargins="0">
    <oddHeader>&amp;C&amp;"Arial,Bold"&amp;11Provisional tax calculation&amp;"Arial,Regular"&amp;10
precise figures will depend upon personal circumstances</oddHeader>
    <oddFooter>&amp;L&amp;D  &amp;T&amp;C&amp;P  of  &amp;N&amp;R&amp;F  &amp;A</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dimension ref="A1:P42"/>
  <sheetViews>
    <sheetView zoomScaleNormal="100" workbookViewId="0">
      <selection activeCell="B9" sqref="B9"/>
    </sheetView>
  </sheetViews>
  <sheetFormatPr baseColWidth="10" defaultColWidth="9.1640625" defaultRowHeight="12" x14ac:dyDescent="0.15"/>
  <cols>
    <col min="1" max="1" width="1.6640625" style="12" customWidth="1"/>
    <col min="2" max="2" width="19.6640625" style="12" customWidth="1"/>
    <col min="3" max="15" width="8.6640625" style="12" customWidth="1"/>
    <col min="16" max="16" width="1.6640625" style="12" customWidth="1"/>
    <col min="17" max="16384" width="9.1640625" style="12"/>
  </cols>
  <sheetData>
    <row r="1" spans="1:16" ht="6" customHeight="1" thickBot="1" x14ac:dyDescent="0.2">
      <c r="A1" s="52"/>
      <c r="B1" s="53"/>
      <c r="C1" s="82"/>
      <c r="D1" s="52"/>
      <c r="E1" s="52"/>
      <c r="F1" s="52"/>
      <c r="G1" s="52"/>
      <c r="H1" s="52"/>
      <c r="I1" s="52"/>
      <c r="J1" s="52"/>
      <c r="K1" s="52"/>
      <c r="L1" s="52"/>
      <c r="M1" s="52"/>
      <c r="N1" s="52"/>
      <c r="O1" s="52"/>
      <c r="P1" s="52"/>
    </row>
    <row r="2" spans="1:16" ht="12" customHeight="1" x14ac:dyDescent="0.15">
      <c r="A2" s="52"/>
      <c r="B2" s="471" t="s">
        <v>112</v>
      </c>
      <c r="C2" s="152" t="s">
        <v>111</v>
      </c>
      <c r="D2" s="474">
        <f>Admin!B$5</f>
        <v>45777</v>
      </c>
      <c r="E2" s="469">
        <f>Admin!B$6</f>
        <v>45808</v>
      </c>
      <c r="F2" s="469">
        <f>Admin!B$7</f>
        <v>45838</v>
      </c>
      <c r="G2" s="469">
        <f>Admin!B$8</f>
        <v>45869</v>
      </c>
      <c r="H2" s="469">
        <f>Admin!B$9</f>
        <v>45900</v>
      </c>
      <c r="I2" s="469">
        <f>Admin!B$10</f>
        <v>45930</v>
      </c>
      <c r="J2" s="469">
        <f>Admin!B$11</f>
        <v>45961</v>
      </c>
      <c r="K2" s="469">
        <f>Admin!B$12</f>
        <v>45991</v>
      </c>
      <c r="L2" s="469">
        <f>Admin!B$13</f>
        <v>46022</v>
      </c>
      <c r="M2" s="469">
        <f>Admin!B$14</f>
        <v>46053</v>
      </c>
      <c r="N2" s="469">
        <f>Admin!B$15</f>
        <v>46081</v>
      </c>
      <c r="O2" s="469">
        <f>Admin!B$16</f>
        <v>46112</v>
      </c>
      <c r="P2" s="52"/>
    </row>
    <row r="3" spans="1:16" ht="12" customHeight="1" thickBot="1" x14ac:dyDescent="0.2">
      <c r="A3" s="52"/>
      <c r="B3" s="472"/>
      <c r="C3" s="153">
        <f>Admin!B$17</f>
        <v>46117</v>
      </c>
      <c r="D3" s="475"/>
      <c r="E3" s="470"/>
      <c r="F3" s="470"/>
      <c r="G3" s="470"/>
      <c r="H3" s="470"/>
      <c r="I3" s="470"/>
      <c r="J3" s="470"/>
      <c r="K3" s="470"/>
      <c r="L3" s="470"/>
      <c r="M3" s="470"/>
      <c r="N3" s="470"/>
      <c r="O3" s="470"/>
      <c r="P3" s="52"/>
    </row>
    <row r="4" spans="1:16" ht="13" thickBot="1" x14ac:dyDescent="0.2">
      <c r="A4" s="52"/>
      <c r="B4" s="473"/>
      <c r="C4" s="151" t="s">
        <v>50</v>
      </c>
      <c r="D4" s="55" t="s">
        <v>50</v>
      </c>
      <c r="E4" s="55" t="s">
        <v>50</v>
      </c>
      <c r="F4" s="55" t="s">
        <v>50</v>
      </c>
      <c r="G4" s="55" t="s">
        <v>50</v>
      </c>
      <c r="H4" s="55" t="s">
        <v>50</v>
      </c>
      <c r="I4" s="55" t="s">
        <v>50</v>
      </c>
      <c r="J4" s="55" t="s">
        <v>50</v>
      </c>
      <c r="K4" s="55" t="s">
        <v>50</v>
      </c>
      <c r="L4" s="55" t="s">
        <v>50</v>
      </c>
      <c r="M4" s="55" t="s">
        <v>50</v>
      </c>
      <c r="N4" s="56" t="s">
        <v>50</v>
      </c>
      <c r="O4" s="55" t="s">
        <v>50</v>
      </c>
      <c r="P4" s="52"/>
    </row>
    <row r="5" spans="1:16" s="11" customFormat="1" x14ac:dyDescent="0.15">
      <c r="A5" s="57"/>
      <c r="B5" s="58" t="s">
        <v>1</v>
      </c>
      <c r="C5" s="59">
        <f>SUM(D5:O5)</f>
        <v>0</v>
      </c>
      <c r="D5" s="59">
        <f>'Profit &amp; Loss Acc'!C5</f>
        <v>0</v>
      </c>
      <c r="E5" s="59">
        <f>'Profit &amp; Loss Acc'!D5</f>
        <v>0</v>
      </c>
      <c r="F5" s="59">
        <f>'Profit &amp; Loss Acc'!E5</f>
        <v>0</v>
      </c>
      <c r="G5" s="59">
        <f>'Profit &amp; Loss Acc'!F5</f>
        <v>0</v>
      </c>
      <c r="H5" s="59">
        <f>'Profit &amp; Loss Acc'!G5</f>
        <v>0</v>
      </c>
      <c r="I5" s="59">
        <f>'Profit &amp; Loss Acc'!H5</f>
        <v>0</v>
      </c>
      <c r="J5" s="59">
        <f>'Profit &amp; Loss Acc'!I5</f>
        <v>0</v>
      </c>
      <c r="K5" s="59">
        <f>'Profit &amp; Loss Acc'!J5</f>
        <v>0</v>
      </c>
      <c r="L5" s="59">
        <f>'Profit &amp; Loss Acc'!K5</f>
        <v>0</v>
      </c>
      <c r="M5" s="59">
        <f>'Profit &amp; Loss Acc'!L5</f>
        <v>0</v>
      </c>
      <c r="N5" s="59">
        <f>'Profit &amp; Loss Acc'!M5</f>
        <v>0</v>
      </c>
      <c r="O5" s="59">
        <f>'Profit &amp; Loss Acc'!N5</f>
        <v>0</v>
      </c>
      <c r="P5" s="57"/>
    </row>
    <row r="6" spans="1:16" s="11" customFormat="1" ht="6" customHeight="1" x14ac:dyDescent="0.15">
      <c r="A6" s="57"/>
      <c r="B6" s="58"/>
      <c r="C6" s="60"/>
      <c r="D6" s="60"/>
      <c r="E6" s="60"/>
      <c r="F6" s="60"/>
      <c r="G6" s="60"/>
      <c r="H6" s="60"/>
      <c r="I6" s="60"/>
      <c r="J6" s="60"/>
      <c r="K6" s="60"/>
      <c r="L6" s="60"/>
      <c r="M6" s="60"/>
      <c r="N6" s="60"/>
      <c r="O6" s="60"/>
      <c r="P6" s="57"/>
    </row>
    <row r="7" spans="1:16" x14ac:dyDescent="0.15">
      <c r="A7" s="52"/>
      <c r="B7" s="61" t="s">
        <v>51</v>
      </c>
      <c r="C7" s="59">
        <f>SUM(D7:O7)</f>
        <v>0</v>
      </c>
      <c r="D7" s="62">
        <f>'Profit &amp; Loss Acc'!C24</f>
        <v>0</v>
      </c>
      <c r="E7" s="62">
        <f>'Profit &amp; Loss Acc'!D24</f>
        <v>0</v>
      </c>
      <c r="F7" s="62">
        <f>'Profit &amp; Loss Acc'!E24</f>
        <v>0</v>
      </c>
      <c r="G7" s="62">
        <f>'Profit &amp; Loss Acc'!F24</f>
        <v>0</v>
      </c>
      <c r="H7" s="62">
        <f>'Profit &amp; Loss Acc'!G24</f>
        <v>0</v>
      </c>
      <c r="I7" s="62">
        <f>'Profit &amp; Loss Acc'!H24</f>
        <v>0</v>
      </c>
      <c r="J7" s="62">
        <f>'Profit &amp; Loss Acc'!I24</f>
        <v>0</v>
      </c>
      <c r="K7" s="62">
        <f>'Profit &amp; Loss Acc'!J24</f>
        <v>0</v>
      </c>
      <c r="L7" s="62">
        <f>'Profit &amp; Loss Acc'!K24</f>
        <v>0</v>
      </c>
      <c r="M7" s="62">
        <f>'Profit &amp; Loss Acc'!L24</f>
        <v>0</v>
      </c>
      <c r="N7" s="62">
        <f>'Profit &amp; Loss Acc'!M24</f>
        <v>0</v>
      </c>
      <c r="O7" s="62">
        <f>'Profit &amp; Loss Acc'!N24</f>
        <v>0</v>
      </c>
      <c r="P7" s="52"/>
    </row>
    <row r="8" spans="1:16" ht="6" customHeight="1" x14ac:dyDescent="0.15">
      <c r="A8" s="52"/>
      <c r="B8" s="61"/>
      <c r="C8" s="60"/>
      <c r="D8" s="60"/>
      <c r="E8" s="60"/>
      <c r="F8" s="60"/>
      <c r="G8" s="60"/>
      <c r="H8" s="60"/>
      <c r="I8" s="60"/>
      <c r="J8" s="60"/>
      <c r="K8" s="60"/>
      <c r="L8" s="60"/>
      <c r="M8" s="60"/>
      <c r="N8" s="60"/>
      <c r="O8" s="60"/>
      <c r="P8" s="52"/>
    </row>
    <row r="9" spans="1:16" s="11" customFormat="1" x14ac:dyDescent="0.15">
      <c r="A9" s="57"/>
      <c r="B9" s="58" t="s">
        <v>32</v>
      </c>
      <c r="C9" s="59">
        <f>SUM(D9:O9)</f>
        <v>0</v>
      </c>
      <c r="D9" s="59">
        <f>'Profit &amp; Loss Acc'!C12</f>
        <v>0</v>
      </c>
      <c r="E9" s="59">
        <f>'Profit &amp; Loss Acc'!D12</f>
        <v>0</v>
      </c>
      <c r="F9" s="59">
        <f>'Profit &amp; Loss Acc'!E12</f>
        <v>0</v>
      </c>
      <c r="G9" s="59">
        <f>'Profit &amp; Loss Acc'!F12</f>
        <v>0</v>
      </c>
      <c r="H9" s="59">
        <f>'Profit &amp; Loss Acc'!G12</f>
        <v>0</v>
      </c>
      <c r="I9" s="59">
        <f>'Profit &amp; Loss Acc'!H12</f>
        <v>0</v>
      </c>
      <c r="J9" s="59">
        <f>'Profit &amp; Loss Acc'!I12</f>
        <v>0</v>
      </c>
      <c r="K9" s="59">
        <f>'Profit &amp; Loss Acc'!J12</f>
        <v>0</v>
      </c>
      <c r="L9" s="59">
        <f>'Profit &amp; Loss Acc'!K12</f>
        <v>0</v>
      </c>
      <c r="M9" s="59">
        <f>'Profit &amp; Loss Acc'!L12</f>
        <v>0</v>
      </c>
      <c r="N9" s="59">
        <f>'Profit &amp; Loss Acc'!M12</f>
        <v>0</v>
      </c>
      <c r="O9" s="59">
        <f>'Profit &amp; Loss Acc'!N12</f>
        <v>0</v>
      </c>
      <c r="P9" s="57"/>
    </row>
    <row r="10" spans="1:16" s="11" customFormat="1" ht="6" customHeight="1" x14ac:dyDescent="0.15">
      <c r="A10" s="57"/>
      <c r="B10" s="58"/>
      <c r="C10" s="60"/>
      <c r="D10" s="60"/>
      <c r="E10" s="60"/>
      <c r="F10" s="60"/>
      <c r="G10" s="60"/>
      <c r="H10" s="60"/>
      <c r="I10" s="60"/>
      <c r="J10" s="60"/>
      <c r="K10" s="60"/>
      <c r="L10" s="60"/>
      <c r="M10" s="60"/>
      <c r="N10" s="60"/>
      <c r="O10" s="60"/>
      <c r="P10" s="57"/>
    </row>
    <row r="11" spans="1:16" s="11" customFormat="1" x14ac:dyDescent="0.15">
      <c r="A11" s="57"/>
      <c r="B11" s="58" t="s">
        <v>2</v>
      </c>
      <c r="C11" s="59">
        <f>SUM(D11:O11)</f>
        <v>0</v>
      </c>
      <c r="D11" s="59">
        <f>D5+D7-D9</f>
        <v>0</v>
      </c>
      <c r="E11" s="59">
        <f t="shared" ref="E11:O11" si="0">E5+E7-E9</f>
        <v>0</v>
      </c>
      <c r="F11" s="59">
        <f t="shared" si="0"/>
        <v>0</v>
      </c>
      <c r="G11" s="59">
        <f t="shared" si="0"/>
        <v>0</v>
      </c>
      <c r="H11" s="59">
        <f t="shared" si="0"/>
        <v>0</v>
      </c>
      <c r="I11" s="59">
        <f t="shared" si="0"/>
        <v>0</v>
      </c>
      <c r="J11" s="59">
        <f t="shared" si="0"/>
        <v>0</v>
      </c>
      <c r="K11" s="59">
        <f t="shared" si="0"/>
        <v>0</v>
      </c>
      <c r="L11" s="59">
        <f t="shared" si="0"/>
        <v>0</v>
      </c>
      <c r="M11" s="59">
        <f t="shared" si="0"/>
        <v>0</v>
      </c>
      <c r="N11" s="59">
        <f t="shared" si="0"/>
        <v>0</v>
      </c>
      <c r="O11" s="59">
        <f t="shared" si="0"/>
        <v>0</v>
      </c>
      <c r="P11" s="57"/>
    </row>
    <row r="12" spans="1:16" s="11" customFormat="1" ht="6" customHeight="1" x14ac:dyDescent="0.15">
      <c r="A12" s="57"/>
      <c r="B12" s="63"/>
      <c r="C12" s="60"/>
      <c r="D12" s="64"/>
      <c r="E12" s="64"/>
      <c r="F12" s="64"/>
      <c r="G12" s="64"/>
      <c r="H12" s="64"/>
      <c r="I12" s="64"/>
      <c r="J12" s="64"/>
      <c r="K12" s="64"/>
      <c r="L12" s="64"/>
      <c r="M12" s="64"/>
      <c r="N12" s="64"/>
      <c r="O12" s="64"/>
      <c r="P12" s="57"/>
    </row>
    <row r="13" spans="1:16" x14ac:dyDescent="0.15">
      <c r="A13" s="52"/>
      <c r="B13" s="58" t="s">
        <v>52</v>
      </c>
      <c r="C13" s="59">
        <f>SUM(D13:O13)</f>
        <v>0</v>
      </c>
      <c r="D13" s="59">
        <f>'Profit &amp; Loss Acc'!C22</f>
        <v>0</v>
      </c>
      <c r="E13" s="59">
        <f>'Profit &amp; Loss Acc'!D22</f>
        <v>0</v>
      </c>
      <c r="F13" s="59">
        <f>'Profit &amp; Loss Acc'!E22</f>
        <v>0</v>
      </c>
      <c r="G13" s="59">
        <f>'Profit &amp; Loss Acc'!F22</f>
        <v>0</v>
      </c>
      <c r="H13" s="59">
        <f>'Profit &amp; Loss Acc'!G22</f>
        <v>0</v>
      </c>
      <c r="I13" s="59">
        <f>'Profit &amp; Loss Acc'!H22</f>
        <v>0</v>
      </c>
      <c r="J13" s="59">
        <f>'Profit &amp; Loss Acc'!I22</f>
        <v>0</v>
      </c>
      <c r="K13" s="59">
        <f>'Profit &amp; Loss Acc'!J22</f>
        <v>0</v>
      </c>
      <c r="L13" s="59">
        <f>'Profit &amp; Loss Acc'!K22</f>
        <v>0</v>
      </c>
      <c r="M13" s="59">
        <f>'Profit &amp; Loss Acc'!L22</f>
        <v>0</v>
      </c>
      <c r="N13" s="59">
        <f>'Profit &amp; Loss Acc'!M22</f>
        <v>0</v>
      </c>
      <c r="O13" s="59">
        <f>'Profit &amp; Loss Acc'!N22</f>
        <v>0</v>
      </c>
      <c r="P13" s="52"/>
    </row>
    <row r="14" spans="1:16" ht="6" customHeight="1" x14ac:dyDescent="0.15">
      <c r="A14" s="52"/>
      <c r="B14" s="58"/>
      <c r="C14" s="60"/>
      <c r="D14" s="60"/>
      <c r="E14" s="60"/>
      <c r="F14" s="60"/>
      <c r="G14" s="60"/>
      <c r="H14" s="60"/>
      <c r="I14" s="60"/>
      <c r="J14" s="60"/>
      <c r="K14" s="60"/>
      <c r="L14" s="60"/>
      <c r="M14" s="60"/>
      <c r="N14" s="60"/>
      <c r="O14" s="60"/>
      <c r="P14" s="52"/>
    </row>
    <row r="15" spans="1:16" x14ac:dyDescent="0.15">
      <c r="A15" s="52"/>
      <c r="B15" s="65" t="s">
        <v>53</v>
      </c>
      <c r="C15" s="59">
        <f>SUM(D15:O15)</f>
        <v>0</v>
      </c>
      <c r="D15" s="59">
        <f>D11-D13</f>
        <v>0</v>
      </c>
      <c r="E15" s="59">
        <f t="shared" ref="E15:O15" si="1">E11-E13</f>
        <v>0</v>
      </c>
      <c r="F15" s="59">
        <f t="shared" si="1"/>
        <v>0</v>
      </c>
      <c r="G15" s="59">
        <f t="shared" si="1"/>
        <v>0</v>
      </c>
      <c r="H15" s="59">
        <f t="shared" si="1"/>
        <v>0</v>
      </c>
      <c r="I15" s="59">
        <f t="shared" si="1"/>
        <v>0</v>
      </c>
      <c r="J15" s="59">
        <f t="shared" si="1"/>
        <v>0</v>
      </c>
      <c r="K15" s="59">
        <f t="shared" si="1"/>
        <v>0</v>
      </c>
      <c r="L15" s="59">
        <f t="shared" si="1"/>
        <v>0</v>
      </c>
      <c r="M15" s="59">
        <f t="shared" si="1"/>
        <v>0</v>
      </c>
      <c r="N15" s="59">
        <f t="shared" si="1"/>
        <v>0</v>
      </c>
      <c r="O15" s="59">
        <f t="shared" si="1"/>
        <v>0</v>
      </c>
      <c r="P15" s="52"/>
    </row>
    <row r="16" spans="1:16" ht="13" thickBot="1" x14ac:dyDescent="0.2">
      <c r="A16" s="52"/>
      <c r="B16" s="52"/>
      <c r="C16" s="52"/>
      <c r="D16" s="52"/>
      <c r="E16" s="52"/>
      <c r="F16" s="52"/>
      <c r="G16" s="52"/>
      <c r="H16" s="52"/>
      <c r="I16" s="52"/>
      <c r="J16" s="52"/>
      <c r="K16" s="52"/>
      <c r="L16" s="52"/>
      <c r="M16" s="52"/>
      <c r="N16" s="52"/>
      <c r="O16" s="52"/>
      <c r="P16" s="52"/>
    </row>
    <row r="17" spans="1:16" ht="13" x14ac:dyDescent="0.15">
      <c r="A17" s="52"/>
      <c r="B17" s="476" t="s">
        <v>113</v>
      </c>
      <c r="C17" s="152" t="s">
        <v>111</v>
      </c>
      <c r="D17" s="478">
        <f>D2</f>
        <v>45777</v>
      </c>
      <c r="E17" s="478">
        <f t="shared" ref="E17:O17" si="2">E2</f>
        <v>45808</v>
      </c>
      <c r="F17" s="478">
        <f t="shared" si="2"/>
        <v>45838</v>
      </c>
      <c r="G17" s="478">
        <f t="shared" si="2"/>
        <v>45869</v>
      </c>
      <c r="H17" s="478">
        <f t="shared" si="2"/>
        <v>45900</v>
      </c>
      <c r="I17" s="478">
        <f t="shared" si="2"/>
        <v>45930</v>
      </c>
      <c r="J17" s="478">
        <f t="shared" si="2"/>
        <v>45961</v>
      </c>
      <c r="K17" s="478">
        <f t="shared" si="2"/>
        <v>45991</v>
      </c>
      <c r="L17" s="478">
        <f t="shared" si="2"/>
        <v>46022</v>
      </c>
      <c r="M17" s="478">
        <f t="shared" si="2"/>
        <v>46053</v>
      </c>
      <c r="N17" s="478">
        <f t="shared" si="2"/>
        <v>46081</v>
      </c>
      <c r="O17" s="478">
        <f t="shared" si="2"/>
        <v>46112</v>
      </c>
      <c r="P17" s="52"/>
    </row>
    <row r="18" spans="1:16" ht="12" customHeight="1" thickBot="1" x14ac:dyDescent="0.2">
      <c r="A18" s="52"/>
      <c r="B18" s="477"/>
      <c r="C18" s="153">
        <f>C3</f>
        <v>46117</v>
      </c>
      <c r="D18" s="479"/>
      <c r="E18" s="479"/>
      <c r="F18" s="479"/>
      <c r="G18" s="479"/>
      <c r="H18" s="479"/>
      <c r="I18" s="479"/>
      <c r="J18" s="479"/>
      <c r="K18" s="479"/>
      <c r="L18" s="479"/>
      <c r="M18" s="479"/>
      <c r="N18" s="479"/>
      <c r="O18" s="479"/>
      <c r="P18" s="52"/>
    </row>
    <row r="19" spans="1:16" ht="13" thickBot="1" x14ac:dyDescent="0.2">
      <c r="A19" s="52"/>
      <c r="B19" s="473"/>
      <c r="C19" s="54">
        <f>SUM(D19:O19)</f>
        <v>0</v>
      </c>
      <c r="D19" s="55" t="str">
        <f>IF(D5&gt;0,1," ")</f>
        <v xml:space="preserve"> </v>
      </c>
      <c r="E19" s="55" t="str">
        <f t="shared" ref="E19:O19" si="3">IF(E5&gt;0,1," ")</f>
        <v xml:space="preserve"> </v>
      </c>
      <c r="F19" s="55" t="str">
        <f t="shared" si="3"/>
        <v xml:space="preserve"> </v>
      </c>
      <c r="G19" s="55" t="str">
        <f t="shared" si="3"/>
        <v xml:space="preserve"> </v>
      </c>
      <c r="H19" s="55" t="str">
        <f t="shared" si="3"/>
        <v xml:space="preserve"> </v>
      </c>
      <c r="I19" s="55" t="str">
        <f t="shared" si="3"/>
        <v xml:space="preserve"> </v>
      </c>
      <c r="J19" s="55" t="str">
        <f t="shared" si="3"/>
        <v xml:space="preserve"> </v>
      </c>
      <c r="K19" s="55" t="str">
        <f t="shared" si="3"/>
        <v xml:space="preserve"> </v>
      </c>
      <c r="L19" s="55" t="str">
        <f t="shared" si="3"/>
        <v xml:space="preserve"> </v>
      </c>
      <c r="M19" s="55" t="str">
        <f t="shared" si="3"/>
        <v xml:space="preserve"> </v>
      </c>
      <c r="N19" s="55" t="str">
        <f t="shared" si="3"/>
        <v xml:space="preserve"> </v>
      </c>
      <c r="O19" s="55" t="str">
        <f t="shared" si="3"/>
        <v xml:space="preserve"> </v>
      </c>
      <c r="P19" s="52"/>
    </row>
    <row r="20" spans="1:16" s="11" customFormat="1" x14ac:dyDescent="0.15">
      <c r="A20" s="57"/>
      <c r="B20" s="58" t="s">
        <v>1</v>
      </c>
      <c r="C20" s="59">
        <f>SUM(D20:O20)</f>
        <v>0</v>
      </c>
      <c r="D20" s="59">
        <f>IF(C5&gt;0,IF(D5&gt;0,D5,C5/C19),0)</f>
        <v>0</v>
      </c>
      <c r="E20" s="59">
        <f>IF(C5&gt;0,IF(E5&gt;0,E5,C5/C19),0)</f>
        <v>0</v>
      </c>
      <c r="F20" s="59">
        <f>IF(C5&gt;0,IF(F5&gt;0,F5,C5/C19),0)</f>
        <v>0</v>
      </c>
      <c r="G20" s="59">
        <f>IF(C5&gt;0,IF(G5&gt;0,G5,C5/C19),0)</f>
        <v>0</v>
      </c>
      <c r="H20" s="59">
        <f>IF(C5&gt;0,IF(H5&gt;0,H5,C5/C19),0)</f>
        <v>0</v>
      </c>
      <c r="I20" s="59">
        <f>IF(C5&gt;0,IF(I5&gt;0,I5,C5/C19),0)</f>
        <v>0</v>
      </c>
      <c r="J20" s="59">
        <f>IF(C5&gt;0,IF(J5&gt;0,J5,C5/C19),0)</f>
        <v>0</v>
      </c>
      <c r="K20" s="59">
        <f>IF(C5&gt;0,IF(K5&gt;0,K5,C5/C19),0)</f>
        <v>0</v>
      </c>
      <c r="L20" s="59">
        <f>IF(C5&gt;0,IF(L5&gt;0,L5,C5/C19),0)</f>
        <v>0</v>
      </c>
      <c r="M20" s="59">
        <f>IF(C5&gt;0,IF(M5&gt;0,M5,C5/C19),0)</f>
        <v>0</v>
      </c>
      <c r="N20" s="59">
        <f>IF(C5&gt;0,IF(N5&gt;0,N5,C5/C19),0)</f>
        <v>0</v>
      </c>
      <c r="O20" s="59">
        <f>IF(C5&gt;0,IF(O5&gt;0,O5,C5/C19),0)</f>
        <v>0</v>
      </c>
      <c r="P20" s="57"/>
    </row>
    <row r="21" spans="1:16" s="11" customFormat="1" ht="6" customHeight="1" x14ac:dyDescent="0.15">
      <c r="A21" s="57"/>
      <c r="B21" s="58"/>
      <c r="C21" s="60"/>
      <c r="D21" s="60"/>
      <c r="E21" s="60"/>
      <c r="F21" s="60"/>
      <c r="G21" s="60"/>
      <c r="H21" s="60"/>
      <c r="I21" s="60"/>
      <c r="J21" s="60"/>
      <c r="K21" s="60"/>
      <c r="L21" s="60"/>
      <c r="M21" s="60"/>
      <c r="N21" s="60"/>
      <c r="O21" s="60"/>
      <c r="P21" s="57"/>
    </row>
    <row r="22" spans="1:16" x14ac:dyDescent="0.15">
      <c r="A22" s="52"/>
      <c r="B22" s="61" t="s">
        <v>51</v>
      </c>
      <c r="C22" s="59">
        <f>SUM(D22:O22)</f>
        <v>0</v>
      </c>
      <c r="D22" s="62">
        <f>D7</f>
        <v>0</v>
      </c>
      <c r="E22" s="62">
        <f t="shared" ref="E22:O22" si="4">E7</f>
        <v>0</v>
      </c>
      <c r="F22" s="62">
        <f t="shared" si="4"/>
        <v>0</v>
      </c>
      <c r="G22" s="62">
        <f t="shared" si="4"/>
        <v>0</v>
      </c>
      <c r="H22" s="62">
        <f t="shared" si="4"/>
        <v>0</v>
      </c>
      <c r="I22" s="62">
        <f t="shared" si="4"/>
        <v>0</v>
      </c>
      <c r="J22" s="62">
        <f t="shared" si="4"/>
        <v>0</v>
      </c>
      <c r="K22" s="62">
        <f t="shared" si="4"/>
        <v>0</v>
      </c>
      <c r="L22" s="62">
        <f t="shared" si="4"/>
        <v>0</v>
      </c>
      <c r="M22" s="62">
        <f t="shared" si="4"/>
        <v>0</v>
      </c>
      <c r="N22" s="62">
        <f t="shared" si="4"/>
        <v>0</v>
      </c>
      <c r="O22" s="62">
        <f t="shared" si="4"/>
        <v>0</v>
      </c>
      <c r="P22" s="52"/>
    </row>
    <row r="23" spans="1:16" ht="6" customHeight="1" x14ac:dyDescent="0.15">
      <c r="A23" s="52"/>
      <c r="B23" s="61"/>
      <c r="C23" s="60"/>
      <c r="D23" s="60"/>
      <c r="E23" s="60"/>
      <c r="F23" s="60"/>
      <c r="G23" s="60"/>
      <c r="H23" s="60"/>
      <c r="I23" s="60"/>
      <c r="J23" s="60"/>
      <c r="K23" s="60"/>
      <c r="L23" s="60"/>
      <c r="M23" s="60"/>
      <c r="N23" s="60"/>
      <c r="O23" s="60"/>
      <c r="P23" s="52"/>
    </row>
    <row r="24" spans="1:16" s="11" customFormat="1" x14ac:dyDescent="0.15">
      <c r="A24" s="57"/>
      <c r="B24" s="58" t="s">
        <v>32</v>
      </c>
      <c r="C24" s="59">
        <f>SUM(D24:O24)</f>
        <v>0</v>
      </c>
      <c r="D24" s="59">
        <f>IF($C5&gt;0,IF(D5&gt;0,D9,($C9-'Profit &amp; Loss Acc'!$B10)/$C19+'Profit &amp; Loss Acc'!$B10/12),0)</f>
        <v>0</v>
      </c>
      <c r="E24" s="59">
        <f>IF($C5&gt;0,IF(E5&gt;0,E9,($C9-'Profit &amp; Loss Acc'!$B10)/$C19+'Profit &amp; Loss Acc'!$B10/12),0)</f>
        <v>0</v>
      </c>
      <c r="F24" s="59">
        <f>IF($C5&gt;0,IF(F5&gt;0,F9,($C9-'Profit &amp; Loss Acc'!$B10)/$C19+'Profit &amp; Loss Acc'!$B10/12),0)</f>
        <v>0</v>
      </c>
      <c r="G24" s="59">
        <f>IF($C5&gt;0,IF(G5&gt;0,G9,($C9-'Profit &amp; Loss Acc'!$B10)/$C19+'Profit &amp; Loss Acc'!$B10/12),0)</f>
        <v>0</v>
      </c>
      <c r="H24" s="59">
        <f>IF($C5&gt;0,IF(H5&gt;0,H9,($C9-'Profit &amp; Loss Acc'!$B10)/$C19+'Profit &amp; Loss Acc'!$B10/12),0)</f>
        <v>0</v>
      </c>
      <c r="I24" s="59">
        <f>IF($C5&gt;0,IF(I5&gt;0,I9,($C9-'Profit &amp; Loss Acc'!$B10)/$C19+'Profit &amp; Loss Acc'!$B10/12),0)</f>
        <v>0</v>
      </c>
      <c r="J24" s="59">
        <f>IF($C5&gt;0,IF(J5&gt;0,J9,($C9-'Profit &amp; Loss Acc'!$B10)/$C19+'Profit &amp; Loss Acc'!$B10/12),0)</f>
        <v>0</v>
      </c>
      <c r="K24" s="59">
        <f>IF($C5&gt;0,IF(K5&gt;0,K9,($C9-'Profit &amp; Loss Acc'!$B10)/$C19+'Profit &amp; Loss Acc'!$B10/12),0)</f>
        <v>0</v>
      </c>
      <c r="L24" s="59">
        <f>IF($C5&gt;0,IF(L5&gt;0,L9,($C9-'Profit &amp; Loss Acc'!$B10)/$C19+'Profit &amp; Loss Acc'!$B10/12),0)</f>
        <v>0</v>
      </c>
      <c r="M24" s="59">
        <f>IF($C5&gt;0,IF(M5&gt;0,M9,($C9-'Profit &amp; Loss Acc'!$B10)/$C19+'Profit &amp; Loss Acc'!$B10/12),0)</f>
        <v>0</v>
      </c>
      <c r="N24" s="59">
        <f>IF($C5&gt;0,IF(N5&gt;0,N9,($C9-'Profit &amp; Loss Acc'!$B10)/$C19+'Profit &amp; Loss Acc'!$B10/12),0)</f>
        <v>0</v>
      </c>
      <c r="O24" s="59">
        <f>IF($C5&gt;0,IF(O5&gt;0,O9,($C9-'Profit &amp; Loss Acc'!$B10)/$C19+'Profit &amp; Loss Acc'!$B10/12),0)</f>
        <v>0</v>
      </c>
      <c r="P24" s="57"/>
    </row>
    <row r="25" spans="1:16" s="11" customFormat="1" ht="7.5" customHeight="1" x14ac:dyDescent="0.15">
      <c r="A25" s="57"/>
      <c r="B25" s="58"/>
      <c r="C25" s="60"/>
      <c r="D25" s="60"/>
      <c r="E25" s="60"/>
      <c r="F25" s="60"/>
      <c r="G25" s="60"/>
      <c r="H25" s="60"/>
      <c r="I25" s="60"/>
      <c r="J25" s="60"/>
      <c r="K25" s="60"/>
      <c r="L25" s="60"/>
      <c r="M25" s="60"/>
      <c r="N25" s="60"/>
      <c r="O25" s="60"/>
      <c r="P25" s="57"/>
    </row>
    <row r="26" spans="1:16" s="11" customFormat="1" x14ac:dyDescent="0.15">
      <c r="A26" s="57"/>
      <c r="B26" s="58" t="s">
        <v>2</v>
      </c>
      <c r="C26" s="59">
        <f>SUM(D26:O26)</f>
        <v>0</v>
      </c>
      <c r="D26" s="59">
        <f>D20+D22-D24</f>
        <v>0</v>
      </c>
      <c r="E26" s="59">
        <f t="shared" ref="E26:O26" si="5">E20+E22-E24</f>
        <v>0</v>
      </c>
      <c r="F26" s="59">
        <f t="shared" si="5"/>
        <v>0</v>
      </c>
      <c r="G26" s="59">
        <f t="shared" si="5"/>
        <v>0</v>
      </c>
      <c r="H26" s="59">
        <f t="shared" si="5"/>
        <v>0</v>
      </c>
      <c r="I26" s="59">
        <f t="shared" si="5"/>
        <v>0</v>
      </c>
      <c r="J26" s="59">
        <f t="shared" si="5"/>
        <v>0</v>
      </c>
      <c r="K26" s="59">
        <f t="shared" si="5"/>
        <v>0</v>
      </c>
      <c r="L26" s="59">
        <f t="shared" si="5"/>
        <v>0</v>
      </c>
      <c r="M26" s="59">
        <f t="shared" si="5"/>
        <v>0</v>
      </c>
      <c r="N26" s="59">
        <f t="shared" si="5"/>
        <v>0</v>
      </c>
      <c r="O26" s="59">
        <f t="shared" si="5"/>
        <v>0</v>
      </c>
      <c r="P26" s="57"/>
    </row>
    <row r="27" spans="1:16" s="11" customFormat="1" ht="6" customHeight="1" x14ac:dyDescent="0.15">
      <c r="A27" s="57"/>
      <c r="B27" s="63"/>
      <c r="C27" s="60"/>
      <c r="D27" s="64"/>
      <c r="E27" s="64"/>
      <c r="F27" s="64"/>
      <c r="G27" s="64"/>
      <c r="H27" s="64"/>
      <c r="I27" s="64"/>
      <c r="J27" s="64"/>
      <c r="K27" s="64"/>
      <c r="L27" s="64"/>
      <c r="M27" s="64"/>
      <c r="N27" s="64"/>
      <c r="O27" s="64"/>
      <c r="P27" s="57"/>
    </row>
    <row r="28" spans="1:16" x14ac:dyDescent="0.15">
      <c r="A28" s="52"/>
      <c r="B28" s="58" t="s">
        <v>52</v>
      </c>
      <c r="C28" s="59">
        <f>SUM(D28:O28)</f>
        <v>0</v>
      </c>
      <c r="D28" s="59">
        <f>IF($C5&gt;0,IF(D5&gt;0,D13,$C13/$C19),0)</f>
        <v>0</v>
      </c>
      <c r="E28" s="59">
        <f t="shared" ref="E28:O28" si="6">IF($C5&gt;0,IF(E5&gt;0,E13,$C13/$C19),0)</f>
        <v>0</v>
      </c>
      <c r="F28" s="59">
        <f t="shared" si="6"/>
        <v>0</v>
      </c>
      <c r="G28" s="59">
        <f t="shared" si="6"/>
        <v>0</v>
      </c>
      <c r="H28" s="59">
        <f t="shared" si="6"/>
        <v>0</v>
      </c>
      <c r="I28" s="59">
        <f t="shared" si="6"/>
        <v>0</v>
      </c>
      <c r="J28" s="59">
        <f t="shared" si="6"/>
        <v>0</v>
      </c>
      <c r="K28" s="59">
        <f t="shared" si="6"/>
        <v>0</v>
      </c>
      <c r="L28" s="59">
        <f t="shared" si="6"/>
        <v>0</v>
      </c>
      <c r="M28" s="59">
        <f t="shared" si="6"/>
        <v>0</v>
      </c>
      <c r="N28" s="59">
        <f t="shared" si="6"/>
        <v>0</v>
      </c>
      <c r="O28" s="59">
        <f t="shared" si="6"/>
        <v>0</v>
      </c>
      <c r="P28" s="52"/>
    </row>
    <row r="29" spans="1:16" ht="6" customHeight="1" x14ac:dyDescent="0.15">
      <c r="A29" s="52"/>
      <c r="B29" s="58"/>
      <c r="C29" s="60"/>
      <c r="D29" s="60"/>
      <c r="E29" s="60"/>
      <c r="F29" s="60"/>
      <c r="G29" s="60"/>
      <c r="H29" s="60"/>
      <c r="I29" s="60"/>
      <c r="J29" s="60"/>
      <c r="K29" s="60"/>
      <c r="L29" s="60"/>
      <c r="M29" s="60"/>
      <c r="N29" s="60"/>
      <c r="O29" s="60"/>
      <c r="P29" s="52"/>
    </row>
    <row r="30" spans="1:16" x14ac:dyDescent="0.15">
      <c r="A30" s="52"/>
      <c r="B30" s="65" t="s">
        <v>53</v>
      </c>
      <c r="C30" s="59">
        <f>SUM(D30:O30)</f>
        <v>0</v>
      </c>
      <c r="D30" s="59">
        <f>D26-D28</f>
        <v>0</v>
      </c>
      <c r="E30" s="59">
        <f t="shared" ref="E30:O30" si="7">E26-E28</f>
        <v>0</v>
      </c>
      <c r="F30" s="59">
        <f t="shared" si="7"/>
        <v>0</v>
      </c>
      <c r="G30" s="59">
        <f t="shared" si="7"/>
        <v>0</v>
      </c>
      <c r="H30" s="59">
        <f t="shared" si="7"/>
        <v>0</v>
      </c>
      <c r="I30" s="59">
        <f t="shared" si="7"/>
        <v>0</v>
      </c>
      <c r="J30" s="59">
        <f t="shared" si="7"/>
        <v>0</v>
      </c>
      <c r="K30" s="59">
        <f t="shared" si="7"/>
        <v>0</v>
      </c>
      <c r="L30" s="59">
        <f t="shared" si="7"/>
        <v>0</v>
      </c>
      <c r="M30" s="59">
        <f t="shared" si="7"/>
        <v>0</v>
      </c>
      <c r="N30" s="59">
        <f t="shared" si="7"/>
        <v>0</v>
      </c>
      <c r="O30" s="59">
        <f t="shared" si="7"/>
        <v>0</v>
      </c>
      <c r="P30" s="52"/>
    </row>
    <row r="31" spans="1:16" ht="6" customHeight="1" thickBot="1" x14ac:dyDescent="0.2">
      <c r="A31" s="52"/>
      <c r="B31" s="58"/>
      <c r="C31" s="60"/>
      <c r="D31" s="60"/>
      <c r="E31" s="60"/>
      <c r="F31" s="60"/>
      <c r="G31" s="60"/>
      <c r="H31" s="60"/>
      <c r="I31" s="60"/>
      <c r="J31" s="60"/>
      <c r="K31" s="60"/>
      <c r="L31" s="60"/>
      <c r="M31" s="60"/>
      <c r="N31" s="60"/>
      <c r="O31" s="60"/>
      <c r="P31" s="52"/>
    </row>
    <row r="32" spans="1:16" ht="14" thickBot="1" x14ac:dyDescent="0.2">
      <c r="A32" s="52"/>
      <c r="B32" s="480" t="s">
        <v>54</v>
      </c>
      <c r="C32" s="481"/>
      <c r="D32" s="52"/>
      <c r="E32" s="52"/>
      <c r="F32" s="52"/>
      <c r="G32" s="52"/>
      <c r="H32" s="52"/>
      <c r="I32" s="52"/>
      <c r="J32" s="52"/>
      <c r="K32" s="52"/>
      <c r="L32" s="52"/>
      <c r="M32" s="52"/>
      <c r="N32" s="52"/>
      <c r="O32" s="52"/>
      <c r="P32" s="52"/>
    </row>
    <row r="33" spans="1:16" x14ac:dyDescent="0.15">
      <c r="A33" s="52"/>
      <c r="B33" s="66"/>
      <c r="C33" s="67"/>
      <c r="D33" s="52"/>
      <c r="E33" s="52"/>
      <c r="F33" s="52"/>
      <c r="G33" s="52"/>
      <c r="H33" s="52"/>
      <c r="I33" s="52"/>
      <c r="J33" s="52"/>
      <c r="K33" s="52"/>
      <c r="L33" s="52"/>
      <c r="M33" s="52"/>
      <c r="N33" s="52"/>
      <c r="O33" s="52"/>
      <c r="P33" s="52"/>
    </row>
    <row r="34" spans="1:16" x14ac:dyDescent="0.15">
      <c r="A34" s="52"/>
      <c r="B34" s="66" t="s">
        <v>55</v>
      </c>
      <c r="C34" s="67">
        <f>C30-C33</f>
        <v>0</v>
      </c>
      <c r="D34" s="118"/>
      <c r="E34" s="52"/>
      <c r="F34" s="52"/>
      <c r="G34" s="52"/>
      <c r="H34" s="52"/>
      <c r="I34" s="52"/>
      <c r="J34" s="52"/>
      <c r="K34" s="52"/>
      <c r="L34" s="52"/>
      <c r="M34" s="52"/>
      <c r="N34" s="52"/>
      <c r="O34" s="52"/>
      <c r="P34" s="52"/>
    </row>
    <row r="35" spans="1:16" x14ac:dyDescent="0.15">
      <c r="A35" s="52"/>
      <c r="B35" s="68" t="s">
        <v>56</v>
      </c>
      <c r="C35" s="67">
        <f>IF(C34&gt;0,Admin!N$4,0)</f>
        <v>0</v>
      </c>
      <c r="D35" s="52"/>
      <c r="E35" s="52"/>
      <c r="F35" s="52"/>
      <c r="G35" s="52"/>
      <c r="H35" s="52"/>
      <c r="I35" s="52"/>
      <c r="J35" s="52"/>
      <c r="K35" s="52"/>
      <c r="L35" s="52"/>
      <c r="M35" s="52"/>
      <c r="N35" s="52"/>
      <c r="O35" s="52"/>
      <c r="P35" s="52"/>
    </row>
    <row r="36" spans="1:16" x14ac:dyDescent="0.15">
      <c r="A36" s="52"/>
      <c r="B36" s="68" t="s">
        <v>57</v>
      </c>
      <c r="C36" s="67">
        <f>IF((C34&gt;C35),(C34-C35),0)</f>
        <v>0</v>
      </c>
      <c r="D36" s="52"/>
      <c r="E36" s="52"/>
      <c r="F36" s="52"/>
      <c r="G36" s="52"/>
      <c r="H36" s="52"/>
      <c r="I36" s="52"/>
      <c r="J36" s="52"/>
      <c r="K36" s="52"/>
      <c r="L36" s="52"/>
      <c r="M36" s="52"/>
      <c r="N36" s="52"/>
      <c r="O36" s="52"/>
      <c r="P36" s="52"/>
    </row>
    <row r="37" spans="1:16" x14ac:dyDescent="0.15">
      <c r="A37" s="52"/>
      <c r="B37" s="68" t="s">
        <v>58</v>
      </c>
      <c r="C37" s="67">
        <f>IF((C36&gt;0),(IF((C36&lt;Admin!N$12),C36*Admin!N$6,Admin!N$12*Admin!N$6)),0)</f>
        <v>0</v>
      </c>
      <c r="D37" s="118"/>
      <c r="E37" s="52"/>
      <c r="F37" s="52"/>
      <c r="G37" s="52"/>
      <c r="H37" s="52"/>
      <c r="I37" s="52"/>
      <c r="J37" s="52"/>
      <c r="K37" s="52"/>
      <c r="L37" s="52"/>
      <c r="M37" s="52"/>
      <c r="N37" s="52"/>
      <c r="O37" s="52"/>
      <c r="P37" s="52"/>
    </row>
    <row r="38" spans="1:16" x14ac:dyDescent="0.15">
      <c r="A38" s="52"/>
      <c r="B38" s="68" t="s">
        <v>59</v>
      </c>
      <c r="C38" s="67">
        <f>IF((C36&gt;Admin!N$12),((C36-Admin!N$12)*Admin!N$7),0)</f>
        <v>0</v>
      </c>
      <c r="D38" s="52"/>
      <c r="E38" s="52"/>
      <c r="F38" s="52"/>
      <c r="G38" s="52"/>
      <c r="H38" s="52"/>
      <c r="I38" s="52"/>
      <c r="J38" s="52"/>
      <c r="K38" s="52"/>
      <c r="L38" s="52"/>
      <c r="M38" s="52"/>
      <c r="N38" s="52"/>
      <c r="O38" s="52"/>
      <c r="P38" s="52"/>
    </row>
    <row r="39" spans="1:16" x14ac:dyDescent="0.15">
      <c r="A39" s="52"/>
      <c r="B39" s="68" t="s">
        <v>60</v>
      </c>
      <c r="C39" s="67">
        <f>IF((C36&gt;0),C36*Admin!L$20,0)</f>
        <v>0</v>
      </c>
      <c r="D39" s="52"/>
      <c r="E39" s="52"/>
      <c r="F39" s="52"/>
      <c r="G39" s="52"/>
      <c r="H39" s="52"/>
      <c r="I39" s="52"/>
      <c r="J39" s="52"/>
      <c r="K39" s="52"/>
      <c r="L39" s="52"/>
      <c r="M39" s="52"/>
      <c r="N39" s="52"/>
      <c r="O39" s="52"/>
      <c r="P39" s="52"/>
    </row>
    <row r="40" spans="1:16" ht="6" customHeight="1" x14ac:dyDescent="0.15">
      <c r="A40" s="52"/>
      <c r="B40" s="68"/>
      <c r="C40" s="67"/>
      <c r="D40" s="52"/>
      <c r="E40" s="52"/>
      <c r="F40" s="52"/>
      <c r="G40" s="52"/>
      <c r="H40" s="52"/>
      <c r="I40" s="52"/>
      <c r="J40" s="52"/>
      <c r="K40" s="52"/>
      <c r="L40" s="52"/>
      <c r="M40" s="52"/>
      <c r="N40" s="52"/>
      <c r="O40" s="52"/>
      <c r="P40" s="52"/>
    </row>
    <row r="41" spans="1:16" x14ac:dyDescent="0.15">
      <c r="A41" s="52"/>
      <c r="B41" s="68" t="s">
        <v>61</v>
      </c>
      <c r="C41" s="69">
        <f>C37+C38+C39</f>
        <v>0</v>
      </c>
      <c r="D41" s="52"/>
      <c r="E41" s="52"/>
      <c r="F41" s="52"/>
      <c r="G41" s="52"/>
      <c r="H41" s="52"/>
      <c r="I41" s="52"/>
      <c r="J41" s="52"/>
      <c r="K41" s="52"/>
      <c r="L41" s="52"/>
      <c r="M41" s="52"/>
      <c r="N41" s="52"/>
      <c r="O41" s="52"/>
      <c r="P41" s="52"/>
    </row>
    <row r="42" spans="1:16" ht="13" thickBot="1" x14ac:dyDescent="0.2">
      <c r="A42" s="52"/>
      <c r="B42" s="70"/>
      <c r="C42" s="71"/>
      <c r="D42" s="52"/>
      <c r="E42" s="52"/>
      <c r="F42" s="52"/>
      <c r="G42" s="52"/>
      <c r="H42" s="52"/>
      <c r="I42" s="52"/>
      <c r="J42" s="52"/>
      <c r="K42" s="52"/>
      <c r="L42" s="52"/>
      <c r="M42" s="52"/>
      <c r="N42" s="52"/>
      <c r="O42" s="52"/>
      <c r="P42" s="52"/>
    </row>
  </sheetData>
  <mergeCells count="27">
    <mergeCell ref="M17:M18"/>
    <mergeCell ref="B32:C32"/>
    <mergeCell ref="J17:J18"/>
    <mergeCell ref="K17:K18"/>
    <mergeCell ref="L17:L18"/>
    <mergeCell ref="O2:O3"/>
    <mergeCell ref="B17:B19"/>
    <mergeCell ref="D17:D18"/>
    <mergeCell ref="E17:E18"/>
    <mergeCell ref="F17:F18"/>
    <mergeCell ref="G17:G18"/>
    <mergeCell ref="H17:H18"/>
    <mergeCell ref="I17:I18"/>
    <mergeCell ref="N17:N18"/>
    <mergeCell ref="O17:O18"/>
    <mergeCell ref="K2:K3"/>
    <mergeCell ref="L2:L3"/>
    <mergeCell ref="M2:M3"/>
    <mergeCell ref="N2:N3"/>
    <mergeCell ref="G2:G3"/>
    <mergeCell ref="H2:H3"/>
    <mergeCell ref="I2:I3"/>
    <mergeCell ref="J2:J3"/>
    <mergeCell ref="B2:B4"/>
    <mergeCell ref="D2:D3"/>
    <mergeCell ref="E2:E3"/>
    <mergeCell ref="F2:F3"/>
  </mergeCells>
  <phoneticPr fontId="3" type="noConversion"/>
  <pageMargins left="0.74803149606299213" right="0.74803149606299213" top="0.98425196850393704" bottom="0.98425196850393704" header="0.51181102362204722" footer="0.51181102362204722"/>
  <pageSetup paperSize="9" orientation="portrait" r:id="rId1"/>
  <headerFooter alignWithMargins="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F42"/>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SUM(D4:D42)</f>
        <v>0</v>
      </c>
      <c r="E1" s="303">
        <f>SUM(E4:E42)/2</f>
        <v>0</v>
      </c>
      <c r="F1" s="303">
        <f>SUM(F4:F42)/2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45388</v>
      </c>
      <c r="B5" s="297">
        <v>45388</v>
      </c>
      <c r="C5" s="296"/>
      <c r="D5" s="295"/>
      <c r="E5" s="294"/>
      <c r="F5" s="293"/>
    </row>
    <row r="6" spans="1:6" x14ac:dyDescent="0.15">
      <c r="A6" s="292">
        <v>45389</v>
      </c>
      <c r="B6" s="285">
        <v>45389</v>
      </c>
      <c r="F6" s="291"/>
    </row>
    <row r="7" spans="1:6" x14ac:dyDescent="0.15">
      <c r="A7" s="292">
        <v>45389</v>
      </c>
      <c r="B7" s="285" t="s">
        <v>234</v>
      </c>
      <c r="F7" s="291"/>
    </row>
    <row r="8" spans="1:6" x14ac:dyDescent="0.15">
      <c r="A8" s="292">
        <v>45389</v>
      </c>
      <c r="B8" s="285" t="s">
        <v>233</v>
      </c>
      <c r="F8" s="291"/>
    </row>
    <row r="9" spans="1:6" ht="14" thickBot="1" x14ac:dyDescent="0.2">
      <c r="A9" s="290"/>
      <c r="B9" s="289"/>
      <c r="C9" s="287"/>
      <c r="D9" s="288"/>
      <c r="E9" s="300">
        <f>SUM(E5:E8)</f>
        <v>0</v>
      </c>
      <c r="F9" s="299">
        <f>SUM(F5:F8)</f>
        <v>0</v>
      </c>
    </row>
    <row r="10" spans="1:6" ht="14" thickBot="1" x14ac:dyDescent="0.2"/>
    <row r="11" spans="1:6" x14ac:dyDescent="0.15">
      <c r="A11" s="298">
        <v>45390</v>
      </c>
      <c r="B11" s="297">
        <v>45390</v>
      </c>
      <c r="C11" s="296"/>
      <c r="D11" s="295"/>
      <c r="E11" s="294"/>
      <c r="F11" s="293"/>
    </row>
    <row r="12" spans="1:6" x14ac:dyDescent="0.15">
      <c r="A12" s="292">
        <v>45391</v>
      </c>
      <c r="B12" s="285">
        <v>45391</v>
      </c>
      <c r="F12" s="291"/>
    </row>
    <row r="13" spans="1:6" x14ac:dyDescent="0.15">
      <c r="A13" s="292">
        <v>45392</v>
      </c>
      <c r="B13" s="285">
        <v>45392</v>
      </c>
      <c r="F13" s="291"/>
    </row>
    <row r="14" spans="1:6" x14ac:dyDescent="0.15">
      <c r="A14" s="292">
        <v>45393</v>
      </c>
      <c r="B14" s="285">
        <v>45393</v>
      </c>
      <c r="F14" s="291"/>
    </row>
    <row r="15" spans="1:6" x14ac:dyDescent="0.15">
      <c r="A15" s="292">
        <v>45394</v>
      </c>
      <c r="B15" s="285">
        <v>45394</v>
      </c>
      <c r="F15" s="291"/>
    </row>
    <row r="16" spans="1:6" x14ac:dyDescent="0.15">
      <c r="A16" s="292">
        <v>45395</v>
      </c>
      <c r="B16" s="285">
        <v>45395</v>
      </c>
      <c r="F16" s="291"/>
    </row>
    <row r="17" spans="1:6" x14ac:dyDescent="0.15">
      <c r="A17" s="292">
        <v>45396</v>
      </c>
      <c r="B17" s="285">
        <v>45396</v>
      </c>
      <c r="F17" s="291"/>
    </row>
    <row r="18" spans="1:6" x14ac:dyDescent="0.15">
      <c r="A18" s="292">
        <v>45396</v>
      </c>
      <c r="B18" s="285" t="s">
        <v>234</v>
      </c>
      <c r="F18" s="291"/>
    </row>
    <row r="19" spans="1:6" x14ac:dyDescent="0.15">
      <c r="A19" s="292">
        <v>45396</v>
      </c>
      <c r="B19" s="285" t="s">
        <v>233</v>
      </c>
      <c r="F19" s="291"/>
    </row>
    <row r="20" spans="1:6" ht="14" thickBot="1" x14ac:dyDescent="0.2">
      <c r="A20" s="290"/>
      <c r="B20" s="289"/>
      <c r="C20" s="287"/>
      <c r="D20" s="288"/>
      <c r="E20" s="300">
        <f>SUM(E11:E19)</f>
        <v>0</v>
      </c>
      <c r="F20" s="299">
        <f>SUM(F11:F19)</f>
        <v>0</v>
      </c>
    </row>
    <row r="21" spans="1:6" ht="14" thickBot="1" x14ac:dyDescent="0.2"/>
    <row r="22" spans="1:6" x14ac:dyDescent="0.15">
      <c r="A22" s="298">
        <v>45397</v>
      </c>
      <c r="B22" s="297">
        <v>45397</v>
      </c>
      <c r="C22" s="296"/>
      <c r="D22" s="295"/>
      <c r="E22" s="294"/>
      <c r="F22" s="293"/>
    </row>
    <row r="23" spans="1:6" x14ac:dyDescent="0.15">
      <c r="A23" s="292">
        <v>45398</v>
      </c>
      <c r="B23" s="285">
        <v>45398</v>
      </c>
      <c r="F23" s="291"/>
    </row>
    <row r="24" spans="1:6" x14ac:dyDescent="0.15">
      <c r="A24" s="292">
        <v>45399</v>
      </c>
      <c r="B24" s="285">
        <v>45399</v>
      </c>
      <c r="F24" s="291"/>
    </row>
    <row r="25" spans="1:6" x14ac:dyDescent="0.15">
      <c r="A25" s="292">
        <v>45400</v>
      </c>
      <c r="B25" s="285">
        <v>45400</v>
      </c>
      <c r="F25" s="291"/>
    </row>
    <row r="26" spans="1:6" x14ac:dyDescent="0.15">
      <c r="A26" s="292">
        <v>45401</v>
      </c>
      <c r="B26" s="285">
        <v>45401</v>
      </c>
      <c r="F26" s="291"/>
    </row>
    <row r="27" spans="1:6" x14ac:dyDescent="0.15">
      <c r="A27" s="292">
        <v>45402</v>
      </c>
      <c r="B27" s="285">
        <v>45402</v>
      </c>
      <c r="F27" s="291"/>
    </row>
    <row r="28" spans="1:6" x14ac:dyDescent="0.15">
      <c r="A28" s="292">
        <v>45403</v>
      </c>
      <c r="B28" s="285">
        <v>45403</v>
      </c>
      <c r="F28" s="291"/>
    </row>
    <row r="29" spans="1:6" x14ac:dyDescent="0.15">
      <c r="A29" s="292">
        <v>45403</v>
      </c>
      <c r="B29" s="285" t="s">
        <v>234</v>
      </c>
      <c r="F29" s="291"/>
    </row>
    <row r="30" spans="1:6" x14ac:dyDescent="0.15">
      <c r="A30" s="292">
        <v>45403</v>
      </c>
      <c r="B30" s="285" t="s">
        <v>233</v>
      </c>
      <c r="F30" s="291"/>
    </row>
    <row r="31" spans="1:6" ht="14" thickBot="1" x14ac:dyDescent="0.2">
      <c r="A31" s="290"/>
      <c r="B31" s="289"/>
      <c r="C31" s="287"/>
      <c r="D31" s="288"/>
      <c r="E31" s="300">
        <f>SUM(E22:E30)</f>
        <v>0</v>
      </c>
      <c r="F31" s="299">
        <f>SUM(F22:F30)</f>
        <v>0</v>
      </c>
    </row>
    <row r="32" spans="1:6" ht="14" thickBot="1" x14ac:dyDescent="0.2"/>
    <row r="33" spans="1:6" x14ac:dyDescent="0.15">
      <c r="A33" s="298">
        <v>45404</v>
      </c>
      <c r="B33" s="297">
        <v>45404</v>
      </c>
      <c r="C33" s="296"/>
      <c r="D33" s="295"/>
      <c r="E33" s="294"/>
      <c r="F33" s="293"/>
    </row>
    <row r="34" spans="1:6" x14ac:dyDescent="0.15">
      <c r="A34" s="292">
        <v>45405</v>
      </c>
      <c r="B34" s="285">
        <v>45405</v>
      </c>
      <c r="F34" s="291"/>
    </row>
    <row r="35" spans="1:6" x14ac:dyDescent="0.15">
      <c r="A35" s="292">
        <v>45406</v>
      </c>
      <c r="B35" s="285">
        <v>45406</v>
      </c>
      <c r="F35" s="291"/>
    </row>
    <row r="36" spans="1:6" x14ac:dyDescent="0.15">
      <c r="A36" s="292">
        <v>45407</v>
      </c>
      <c r="B36" s="285">
        <v>45407</v>
      </c>
      <c r="F36" s="291"/>
    </row>
    <row r="37" spans="1:6" x14ac:dyDescent="0.15">
      <c r="A37" s="292">
        <v>45408</v>
      </c>
      <c r="B37" s="285">
        <v>45408</v>
      </c>
      <c r="F37" s="291"/>
    </row>
    <row r="38" spans="1:6" x14ac:dyDescent="0.15">
      <c r="A38" s="292">
        <v>45409</v>
      </c>
      <c r="B38" s="285">
        <v>45409</v>
      </c>
      <c r="F38" s="291"/>
    </row>
    <row r="39" spans="1:6" x14ac:dyDescent="0.15">
      <c r="A39" s="292">
        <v>45410</v>
      </c>
      <c r="B39" s="285">
        <v>45410</v>
      </c>
      <c r="F39" s="291"/>
    </row>
    <row r="40" spans="1:6" x14ac:dyDescent="0.15">
      <c r="A40" s="292">
        <v>45410</v>
      </c>
      <c r="B40" s="285" t="s">
        <v>234</v>
      </c>
      <c r="F40" s="291"/>
    </row>
    <row r="41" spans="1:6" x14ac:dyDescent="0.15">
      <c r="A41" s="292">
        <v>45410</v>
      </c>
      <c r="B41" s="285" t="s">
        <v>233</v>
      </c>
      <c r="F41" s="291"/>
    </row>
    <row r="42" spans="1:6" ht="14" thickBot="1" x14ac:dyDescent="0.2">
      <c r="A42" s="290"/>
      <c r="B42" s="289"/>
      <c r="C42" s="287"/>
      <c r="D42" s="288"/>
      <c r="E42" s="300">
        <f>SUM(E33:E41)</f>
        <v>0</v>
      </c>
      <c r="F42" s="299">
        <f>SUM(F33:F41)</f>
        <v>0</v>
      </c>
    </row>
  </sheetData>
  <mergeCells count="6">
    <mergeCell ref="F2:F3"/>
    <mergeCell ref="B1:B3"/>
    <mergeCell ref="A1:A3"/>
    <mergeCell ref="D2:D3"/>
    <mergeCell ref="E2:E3"/>
    <mergeCell ref="C2:C3"/>
  </mergeCells>
  <printOptions horizontalCentered="1" gridLines="1"/>
  <pageMargins left="0.27559055118110237" right="0.19685039370078741" top="0.47244094488188981" bottom="0.47244094488188981" header="0.19685039370078741" footer="0.31496062992125984"/>
  <pageSetup paperSize="9" orientation="portrait" r:id="rId1"/>
  <headerFooter alignWithMargins="0">
    <oddHeader>&amp;C&amp;"Arial,Bold"&amp;11Sales Receipts</oddHeader>
    <oddFooter>&amp;L&amp;D  &amp;T&amp;C&amp;P  of  &amp;N&amp;R&amp;F  &amp;A</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33203125" style="307" customWidth="1"/>
    <col min="2" max="2" width="22" style="6" customWidth="1"/>
    <col min="3" max="3" width="15.5" style="6" customWidth="1"/>
    <col min="4" max="4" width="9.1640625" style="306"/>
    <col min="5" max="5" width="8.5" style="306" customWidth="1"/>
    <col min="6" max="6" width="12.6640625" style="305" customWidth="1"/>
    <col min="7" max="7" width="9.5" style="7" customWidth="1"/>
    <col min="8" max="8" width="10.1640625" style="7" customWidth="1"/>
    <col min="9" max="10" width="8.6640625" style="7" customWidth="1"/>
    <col min="11" max="12" width="7.6640625" style="7" customWidth="1"/>
    <col min="13" max="13" width="11.6640625" style="7" customWidth="1"/>
    <col min="14" max="14" width="8.6640625" style="7" customWidth="1"/>
    <col min="15" max="15" width="12" style="7" customWidth="1"/>
    <col min="16" max="18" width="7.6640625" style="7" customWidth="1"/>
    <col min="19" max="19" width="8.5" style="7" customWidth="1"/>
    <col min="20" max="20" width="13.83203125" style="6" customWidth="1"/>
    <col min="21" max="21" width="8.6640625" style="7" customWidth="1"/>
    <col min="22" max="16384" width="9.1640625" style="6"/>
  </cols>
  <sheetData>
    <row r="1" spans="1:21" s="15" customFormat="1" ht="13.5" customHeight="1" x14ac:dyDescent="0.15">
      <c r="A1" s="103">
        <f>E1+SalesApr!$D$1</f>
        <v>0</v>
      </c>
      <c r="B1" s="317" t="s">
        <v>273</v>
      </c>
      <c r="C1" s="31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15">
        <f t="shared" si="0"/>
        <v>0</v>
      </c>
      <c r="T1" s="309">
        <f>S1</f>
        <v>0</v>
      </c>
      <c r="U1" s="315">
        <f>SUM(U4:U199)</f>
        <v>0</v>
      </c>
    </row>
    <row r="2" spans="1:21" s="15" customFormat="1" ht="13.5" customHeight="1" x14ac:dyDescent="0.15">
      <c r="A2" s="104">
        <f>U1</f>
        <v>0</v>
      </c>
      <c r="B2" s="104" t="s">
        <v>272</v>
      </c>
      <c r="C2" s="492" t="s">
        <v>271</v>
      </c>
      <c r="D2" s="494" t="s">
        <v>270</v>
      </c>
      <c r="E2" s="492" t="s">
        <v>269</v>
      </c>
      <c r="F2" s="449" t="s">
        <v>268</v>
      </c>
      <c r="G2" s="496" t="s">
        <v>267</v>
      </c>
      <c r="H2" s="497"/>
      <c r="I2" s="498">
        <f>G1+H1+I1+J1</f>
        <v>0</v>
      </c>
      <c r="J2" s="499"/>
      <c r="K2" s="449" t="s">
        <v>266</v>
      </c>
      <c r="L2" s="449" t="s">
        <v>265</v>
      </c>
      <c r="M2" s="449" t="s">
        <v>264</v>
      </c>
      <c r="N2" s="449" t="s">
        <v>263</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2"/>
      <c r="L3" s="502"/>
      <c r="M3" s="495"/>
      <c r="N3" s="495"/>
      <c r="O3" s="495"/>
      <c r="P3" s="495"/>
      <c r="Q3" s="495"/>
      <c r="R3" s="495"/>
      <c r="S3" s="501"/>
      <c r="T3" s="504"/>
      <c r="U3" s="501"/>
    </row>
    <row r="4" spans="1:21" s="308" customFormat="1" x14ac:dyDescent="0.15">
      <c r="A4" s="312" t="str">
        <f>IF((E1&lt;&gt;0),Admin!$B$5,"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09">
        <f>IF((A1&lt;Admin!$F$22),((A1)*Admin!$G$21),(A1*Admin!$G$21-(A1-Admin!$F$21)*(Admin!$G$21-Admin!$G$22)))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N2:N3"/>
    <mergeCell ref="U2:U3"/>
    <mergeCell ref="S2:S3"/>
    <mergeCell ref="K2:K3"/>
    <mergeCell ref="O2:O3"/>
    <mergeCell ref="P2:P3"/>
    <mergeCell ref="Q2:Q3"/>
    <mergeCell ref="R2:R3"/>
    <mergeCell ref="T2:T4"/>
    <mergeCell ref="L2:L3"/>
    <mergeCell ref="B3:B4"/>
    <mergeCell ref="C2:C4"/>
    <mergeCell ref="D2:D4"/>
    <mergeCell ref="E2:E4"/>
    <mergeCell ref="M2:M3"/>
    <mergeCell ref="F2:F4"/>
    <mergeCell ref="G2:H2"/>
    <mergeCell ref="I2:J2"/>
  </mergeCells>
  <dataValidations count="1">
    <dataValidation type="list" allowBlank="1" showInputMessage="1" showErrorMessage="1" sqref="D5:D200" xr:uid="{00000000-0002-0000-0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45411</v>
      </c>
      <c r="B5" s="297">
        <v>45411</v>
      </c>
      <c r="C5" s="296"/>
      <c r="D5" s="295"/>
      <c r="E5" s="294"/>
      <c r="F5" s="293"/>
    </row>
    <row r="6" spans="1:6" x14ac:dyDescent="0.15">
      <c r="A6" s="292">
        <v>45412</v>
      </c>
      <c r="B6" s="285">
        <v>45412</v>
      </c>
      <c r="F6" s="291"/>
    </row>
    <row r="7" spans="1:6" x14ac:dyDescent="0.15">
      <c r="A7" s="292">
        <v>45413</v>
      </c>
      <c r="B7" s="285">
        <v>45413</v>
      </c>
      <c r="F7" s="291"/>
    </row>
    <row r="8" spans="1:6" x14ac:dyDescent="0.15">
      <c r="A8" s="292">
        <v>45414</v>
      </c>
      <c r="B8" s="285">
        <v>45414</v>
      </c>
      <c r="F8" s="291"/>
    </row>
    <row r="9" spans="1:6" x14ac:dyDescent="0.15">
      <c r="A9" s="292">
        <v>45415</v>
      </c>
      <c r="B9" s="285">
        <v>45415</v>
      </c>
      <c r="F9" s="291"/>
    </row>
    <row r="10" spans="1:6" x14ac:dyDescent="0.15">
      <c r="A10" s="292">
        <v>45416</v>
      </c>
      <c r="B10" s="285">
        <v>45416</v>
      </c>
      <c r="F10" s="291"/>
    </row>
    <row r="11" spans="1:6" x14ac:dyDescent="0.15">
      <c r="A11" s="292">
        <v>45417</v>
      </c>
      <c r="B11" s="285">
        <v>45417</v>
      </c>
      <c r="F11" s="291"/>
    </row>
    <row r="12" spans="1:6" x14ac:dyDescent="0.15">
      <c r="A12" s="292">
        <v>45417</v>
      </c>
      <c r="B12" s="285" t="s">
        <v>234</v>
      </c>
      <c r="F12" s="291"/>
    </row>
    <row r="13" spans="1:6" x14ac:dyDescent="0.15">
      <c r="A13" s="292">
        <v>45417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45418</v>
      </c>
      <c r="B16" s="297">
        <v>45418</v>
      </c>
      <c r="C16" s="296"/>
      <c r="D16" s="295"/>
      <c r="E16" s="294"/>
      <c r="F16" s="293"/>
    </row>
    <row r="17" spans="1:6" x14ac:dyDescent="0.15">
      <c r="A17" s="292">
        <v>45419</v>
      </c>
      <c r="B17" s="285">
        <v>45419</v>
      </c>
      <c r="F17" s="291"/>
    </row>
    <row r="18" spans="1:6" x14ac:dyDescent="0.15">
      <c r="A18" s="292">
        <v>45420</v>
      </c>
      <c r="B18" s="285">
        <v>45420</v>
      </c>
      <c r="F18" s="291"/>
    </row>
    <row r="19" spans="1:6" x14ac:dyDescent="0.15">
      <c r="A19" s="292">
        <v>45421</v>
      </c>
      <c r="B19" s="285">
        <v>45421</v>
      </c>
      <c r="F19" s="291"/>
    </row>
    <row r="20" spans="1:6" x14ac:dyDescent="0.15">
      <c r="A20" s="292">
        <v>45422</v>
      </c>
      <c r="B20" s="285">
        <v>45422</v>
      </c>
      <c r="F20" s="291"/>
    </row>
    <row r="21" spans="1:6" x14ac:dyDescent="0.15">
      <c r="A21" s="292">
        <v>45423</v>
      </c>
      <c r="B21" s="285">
        <v>45423</v>
      </c>
      <c r="F21" s="291"/>
    </row>
    <row r="22" spans="1:6" x14ac:dyDescent="0.15">
      <c r="A22" s="292">
        <v>45424</v>
      </c>
      <c r="B22" s="285">
        <v>45424</v>
      </c>
      <c r="F22" s="291"/>
    </row>
    <row r="23" spans="1:6" x14ac:dyDescent="0.15">
      <c r="A23" s="292">
        <v>45424</v>
      </c>
      <c r="B23" s="285" t="s">
        <v>234</v>
      </c>
      <c r="F23" s="291"/>
    </row>
    <row r="24" spans="1:6" x14ac:dyDescent="0.15">
      <c r="A24" s="292">
        <v>45424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45425</v>
      </c>
      <c r="B27" s="297">
        <v>45425</v>
      </c>
      <c r="C27" s="296"/>
      <c r="D27" s="295"/>
      <c r="E27" s="294"/>
      <c r="F27" s="293"/>
    </row>
    <row r="28" spans="1:6" x14ac:dyDescent="0.15">
      <c r="A28" s="292">
        <v>45426</v>
      </c>
      <c r="B28" s="285">
        <v>45426</v>
      </c>
      <c r="F28" s="291"/>
    </row>
    <row r="29" spans="1:6" x14ac:dyDescent="0.15">
      <c r="A29" s="292">
        <v>45427</v>
      </c>
      <c r="B29" s="285">
        <v>45427</v>
      </c>
      <c r="F29" s="291"/>
    </row>
    <row r="30" spans="1:6" x14ac:dyDescent="0.15">
      <c r="A30" s="292">
        <v>45428</v>
      </c>
      <c r="B30" s="285">
        <v>45428</v>
      </c>
      <c r="F30" s="291"/>
    </row>
    <row r="31" spans="1:6" x14ac:dyDescent="0.15">
      <c r="A31" s="292">
        <v>45429</v>
      </c>
      <c r="B31" s="285">
        <v>45429</v>
      </c>
      <c r="F31" s="291"/>
    </row>
    <row r="32" spans="1:6" x14ac:dyDescent="0.15">
      <c r="A32" s="292">
        <v>45430</v>
      </c>
      <c r="B32" s="285">
        <v>45430</v>
      </c>
      <c r="F32" s="291"/>
    </row>
    <row r="33" spans="1:6" x14ac:dyDescent="0.15">
      <c r="A33" s="292">
        <v>45431</v>
      </c>
      <c r="B33" s="285">
        <v>45431</v>
      </c>
      <c r="F33" s="291"/>
    </row>
    <row r="34" spans="1:6" x14ac:dyDescent="0.15">
      <c r="A34" s="292">
        <v>45431</v>
      </c>
      <c r="B34" s="285" t="s">
        <v>234</v>
      </c>
      <c r="F34" s="291"/>
    </row>
    <row r="35" spans="1:6" x14ac:dyDescent="0.15">
      <c r="A35" s="292">
        <v>45431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45432</v>
      </c>
      <c r="B38" s="297">
        <v>45432</v>
      </c>
      <c r="C38" s="296"/>
      <c r="D38" s="295"/>
      <c r="E38" s="294"/>
      <c r="F38" s="293"/>
    </row>
    <row r="39" spans="1:6" x14ac:dyDescent="0.15">
      <c r="A39" s="292">
        <v>45433</v>
      </c>
      <c r="B39" s="285">
        <v>45433</v>
      </c>
      <c r="F39" s="291"/>
    </row>
    <row r="40" spans="1:6" x14ac:dyDescent="0.15">
      <c r="A40" s="292">
        <v>45434</v>
      </c>
      <c r="B40" s="285">
        <v>45434</v>
      </c>
      <c r="F40" s="291"/>
    </row>
    <row r="41" spans="1:6" x14ac:dyDescent="0.15">
      <c r="A41" s="292">
        <v>45435</v>
      </c>
      <c r="B41" s="285">
        <v>45435</v>
      </c>
      <c r="F41" s="291"/>
    </row>
    <row r="42" spans="1:6" x14ac:dyDescent="0.15">
      <c r="A42" s="292">
        <v>45436</v>
      </c>
      <c r="B42" s="285">
        <v>45436</v>
      </c>
      <c r="F42" s="291"/>
    </row>
    <row r="43" spans="1:6" x14ac:dyDescent="0.15">
      <c r="A43" s="292">
        <v>45437</v>
      </c>
      <c r="B43" s="285">
        <v>45437</v>
      </c>
      <c r="F43" s="291"/>
    </row>
    <row r="44" spans="1:6" x14ac:dyDescent="0.15">
      <c r="A44" s="292">
        <v>45438</v>
      </c>
      <c r="B44" s="285">
        <v>45438</v>
      </c>
      <c r="F44" s="291"/>
    </row>
    <row r="45" spans="1:6" x14ac:dyDescent="0.15">
      <c r="A45" s="292">
        <v>45438</v>
      </c>
      <c r="B45" s="285" t="s">
        <v>234</v>
      </c>
      <c r="F45" s="291"/>
    </row>
    <row r="46" spans="1:6" x14ac:dyDescent="0.15">
      <c r="A46" s="292">
        <v>45438</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U235"/>
  <sheetViews>
    <sheetView zoomScaleNormal="100" workbookViewId="0">
      <pane ySplit="4" topLeftCell="A5" activePane="bottomLeft" state="frozen"/>
      <selection pane="bottomLeft" activeCell="A5" sqref="A5"/>
    </sheetView>
  </sheetViews>
  <sheetFormatPr baseColWidth="10" defaultColWidth="9.1640625" defaultRowHeight="13" x14ac:dyDescent="0.15"/>
  <cols>
    <col min="1" max="1" width="9.1640625" style="307"/>
    <col min="2" max="2" width="24" style="6" customWidth="1"/>
    <col min="3" max="3" width="16" style="6" customWidth="1"/>
    <col min="4" max="5" width="9.1640625" style="306"/>
    <col min="6" max="6" width="12.6640625" style="305" customWidth="1"/>
    <col min="7" max="7" width="10" style="7" customWidth="1"/>
    <col min="8" max="8" width="9.5" style="7" customWidth="1"/>
    <col min="9" max="10" width="8.6640625" style="7" customWidth="1"/>
    <col min="11" max="11" width="8" style="7" customWidth="1"/>
    <col min="12" max="12" width="7.6640625" style="7" customWidth="1"/>
    <col min="13" max="13" width="8.6640625" style="7" customWidth="1"/>
    <col min="14" max="14" width="8.83203125" style="7" customWidth="1"/>
    <col min="15" max="15" width="9.5" style="7" customWidth="1"/>
    <col min="16" max="18" width="7.6640625" style="7" customWidth="1"/>
    <col min="19" max="19" width="8.1640625" style="7" customWidth="1"/>
    <col min="20" max="20" width="12.83203125" style="6" customWidth="1"/>
    <col min="21" max="21" width="8.5" style="7" customWidth="1"/>
    <col min="22" max="16384" width="9.1640625" style="6"/>
  </cols>
  <sheetData>
    <row r="1" spans="1:21" s="7" customFormat="1" ht="13.5" customHeight="1" x14ac:dyDescent="0.15">
      <c r="A1" s="323">
        <f>E1+SalesMay!$D$1+PurchasesApr!A1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S1+PurchasesApr!T1</f>
        <v>0</v>
      </c>
      <c r="U1" s="320">
        <f>SUM(U4:U199)</f>
        <v>0</v>
      </c>
    </row>
    <row r="2" spans="1:21" s="7" customFormat="1" ht="13.5" customHeight="1" x14ac:dyDescent="0.15">
      <c r="A2" s="319">
        <f>U1+PurchasesApr!A2</f>
        <v>0</v>
      </c>
      <c r="B2" s="104" t="s">
        <v>272</v>
      </c>
      <c r="C2" s="492" t="s">
        <v>271</v>
      </c>
      <c r="D2" s="494" t="s">
        <v>270</v>
      </c>
      <c r="E2" s="492" t="s">
        <v>269</v>
      </c>
      <c r="F2" s="449" t="s">
        <v>268</v>
      </c>
      <c r="G2" s="496" t="s">
        <v>267</v>
      </c>
      <c r="H2" s="497"/>
      <c r="I2" s="498">
        <f>G1+H1+I1+J1+PurchasesApr!I2</f>
        <v>0</v>
      </c>
      <c r="J2" s="499"/>
      <c r="K2" s="449" t="s">
        <v>266</v>
      </c>
      <c r="L2" s="437" t="s">
        <v>265</v>
      </c>
      <c r="M2" s="437" t="s">
        <v>264</v>
      </c>
      <c r="N2" s="437" t="s">
        <v>274</v>
      </c>
      <c r="O2" s="437" t="s">
        <v>262</v>
      </c>
      <c r="P2" s="437" t="s">
        <v>261</v>
      </c>
      <c r="Q2" s="437"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8"/>
      <c r="M3" s="490"/>
      <c r="N3" s="490"/>
      <c r="O3" s="490"/>
      <c r="P3" s="490"/>
      <c r="Q3" s="490"/>
      <c r="R3" s="505"/>
      <c r="S3" s="507"/>
      <c r="T3" s="504"/>
      <c r="U3" s="506"/>
    </row>
    <row r="4" spans="1:21" s="308" customFormat="1" x14ac:dyDescent="0.15">
      <c r="A4" s="312" t="str">
        <f>IF((E1&lt;&gt;0),Admin!$B$6,"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IF((A1&lt;Admin!$F$22),((A1-PurchasesApr!A1)*Admin!$G$21),(A1*Admin!$G$21-(A1-Admin!$F$21)*(Admin!$G$21-Admin!$G$22)-PurchasesApr!A2))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&amp;C&amp;"Arial,Bold"&amp;12Costs and Expenses</oddHeader>
    <oddFooter>&amp;L&amp;D  &amp;T&amp;C&amp;P  of  &amp;N&amp;R&amp;F  &amp;A</oddFooter>
  </headerFooter>
  <colBreaks count="1" manualBreakCount="1">
    <brk id="6" max="1048575" man="1"/>
  </colBreak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45439</v>
      </c>
      <c r="B5" s="297">
        <v>45439</v>
      </c>
      <c r="C5" s="296"/>
      <c r="D5" s="295"/>
      <c r="E5" s="294"/>
      <c r="F5" s="293"/>
    </row>
    <row r="6" spans="1:6" x14ac:dyDescent="0.15">
      <c r="A6" s="292">
        <v>45440</v>
      </c>
      <c r="B6" s="285">
        <v>45440</v>
      </c>
      <c r="F6" s="291"/>
    </row>
    <row r="7" spans="1:6" x14ac:dyDescent="0.15">
      <c r="A7" s="292">
        <v>45441</v>
      </c>
      <c r="B7" s="285">
        <v>45441</v>
      </c>
      <c r="F7" s="291"/>
    </row>
    <row r="8" spans="1:6" x14ac:dyDescent="0.15">
      <c r="A8" s="292">
        <v>45442</v>
      </c>
      <c r="B8" s="285">
        <v>45442</v>
      </c>
      <c r="F8" s="291"/>
    </row>
    <row r="9" spans="1:6" x14ac:dyDescent="0.15">
      <c r="A9" s="292">
        <v>45443</v>
      </c>
      <c r="B9" s="285">
        <v>45443</v>
      </c>
      <c r="F9" s="291"/>
    </row>
    <row r="10" spans="1:6" x14ac:dyDescent="0.15">
      <c r="A10" s="292">
        <v>45444</v>
      </c>
      <c r="B10" s="285">
        <v>45444</v>
      </c>
      <c r="F10" s="291"/>
    </row>
    <row r="11" spans="1:6" x14ac:dyDescent="0.15">
      <c r="A11" s="292">
        <v>45445</v>
      </c>
      <c r="B11" s="285">
        <v>45445</v>
      </c>
      <c r="F11" s="291"/>
    </row>
    <row r="12" spans="1:6" x14ac:dyDescent="0.15">
      <c r="A12" s="292">
        <v>45445</v>
      </c>
      <c r="B12" s="285" t="s">
        <v>234</v>
      </c>
      <c r="F12" s="291"/>
    </row>
    <row r="13" spans="1:6" x14ac:dyDescent="0.15">
      <c r="A13" s="292">
        <v>45445</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45446</v>
      </c>
      <c r="B16" s="297">
        <v>45446</v>
      </c>
      <c r="C16" s="296"/>
      <c r="D16" s="295"/>
      <c r="E16" s="294"/>
      <c r="F16" s="293"/>
    </row>
    <row r="17" spans="1:6" x14ac:dyDescent="0.15">
      <c r="A17" s="292">
        <v>45447</v>
      </c>
      <c r="B17" s="285">
        <v>45447</v>
      </c>
      <c r="F17" s="291"/>
    </row>
    <row r="18" spans="1:6" x14ac:dyDescent="0.15">
      <c r="A18" s="292">
        <v>45448</v>
      </c>
      <c r="B18" s="285">
        <v>45448</v>
      </c>
      <c r="F18" s="291"/>
    </row>
    <row r="19" spans="1:6" x14ac:dyDescent="0.15">
      <c r="A19" s="292">
        <v>45449</v>
      </c>
      <c r="B19" s="285">
        <v>45449</v>
      </c>
      <c r="F19" s="291"/>
    </row>
    <row r="20" spans="1:6" x14ac:dyDescent="0.15">
      <c r="A20" s="292">
        <v>45450</v>
      </c>
      <c r="B20" s="285">
        <v>45450</v>
      </c>
      <c r="F20" s="291"/>
    </row>
    <row r="21" spans="1:6" x14ac:dyDescent="0.15">
      <c r="A21" s="292">
        <v>45451</v>
      </c>
      <c r="B21" s="285">
        <v>45451</v>
      </c>
      <c r="F21" s="291"/>
    </row>
    <row r="22" spans="1:6" x14ac:dyDescent="0.15">
      <c r="A22" s="292">
        <v>45452</v>
      </c>
      <c r="B22" s="285">
        <v>45452</v>
      </c>
      <c r="F22" s="291"/>
    </row>
    <row r="23" spans="1:6" x14ac:dyDescent="0.15">
      <c r="A23" s="292">
        <v>45452</v>
      </c>
      <c r="B23" s="285" t="s">
        <v>234</v>
      </c>
      <c r="F23" s="291"/>
    </row>
    <row r="24" spans="1:6" x14ac:dyDescent="0.15">
      <c r="A24" s="292">
        <v>45452</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45453</v>
      </c>
      <c r="B27" s="297">
        <v>45453</v>
      </c>
      <c r="C27" s="296"/>
      <c r="D27" s="295"/>
      <c r="E27" s="294"/>
      <c r="F27" s="293"/>
    </row>
    <row r="28" spans="1:6" x14ac:dyDescent="0.15">
      <c r="A28" s="292">
        <v>45454</v>
      </c>
      <c r="B28" s="285">
        <v>45454</v>
      </c>
      <c r="F28" s="291"/>
    </row>
    <row r="29" spans="1:6" x14ac:dyDescent="0.15">
      <c r="A29" s="292">
        <v>45455</v>
      </c>
      <c r="B29" s="285">
        <v>45455</v>
      </c>
      <c r="F29" s="291"/>
    </row>
    <row r="30" spans="1:6" x14ac:dyDescent="0.15">
      <c r="A30" s="292">
        <v>45456</v>
      </c>
      <c r="B30" s="285">
        <v>45456</v>
      </c>
      <c r="F30" s="291"/>
    </row>
    <row r="31" spans="1:6" x14ac:dyDescent="0.15">
      <c r="A31" s="292">
        <v>45457</v>
      </c>
      <c r="B31" s="285">
        <v>45457</v>
      </c>
      <c r="F31" s="291"/>
    </row>
    <row r="32" spans="1:6" x14ac:dyDescent="0.15">
      <c r="A32" s="292">
        <v>45458</v>
      </c>
      <c r="B32" s="285">
        <v>45458</v>
      </c>
      <c r="F32" s="291"/>
    </row>
    <row r="33" spans="1:6" x14ac:dyDescent="0.15">
      <c r="A33" s="292">
        <v>45459</v>
      </c>
      <c r="B33" s="285">
        <v>45459</v>
      </c>
      <c r="F33" s="291"/>
    </row>
    <row r="34" spans="1:6" x14ac:dyDescent="0.15">
      <c r="A34" s="292">
        <v>45459</v>
      </c>
      <c r="B34" s="285" t="s">
        <v>234</v>
      </c>
      <c r="F34" s="291"/>
    </row>
    <row r="35" spans="1:6" x14ac:dyDescent="0.15">
      <c r="A35" s="292">
        <v>45459</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45460</v>
      </c>
      <c r="B38" s="297">
        <v>45460</v>
      </c>
      <c r="C38" s="296"/>
      <c r="D38" s="295"/>
      <c r="E38" s="294"/>
      <c r="F38" s="293"/>
    </row>
    <row r="39" spans="1:6" x14ac:dyDescent="0.15">
      <c r="A39" s="292">
        <v>45461</v>
      </c>
      <c r="B39" s="285">
        <v>45461</v>
      </c>
      <c r="F39" s="291"/>
    </row>
    <row r="40" spans="1:6" x14ac:dyDescent="0.15">
      <c r="A40" s="292">
        <v>45462</v>
      </c>
      <c r="B40" s="285">
        <v>45462</v>
      </c>
      <c r="F40" s="291"/>
    </row>
    <row r="41" spans="1:6" x14ac:dyDescent="0.15">
      <c r="A41" s="292">
        <v>45463</v>
      </c>
      <c r="B41" s="285">
        <v>45463</v>
      </c>
      <c r="F41" s="291"/>
    </row>
    <row r="42" spans="1:6" x14ac:dyDescent="0.15">
      <c r="A42" s="292">
        <v>45464</v>
      </c>
      <c r="B42" s="285">
        <v>45464</v>
      </c>
      <c r="F42" s="291"/>
    </row>
    <row r="43" spans="1:6" x14ac:dyDescent="0.15">
      <c r="A43" s="292">
        <v>45465</v>
      </c>
      <c r="B43" s="285">
        <v>45465</v>
      </c>
      <c r="F43" s="291"/>
    </row>
    <row r="44" spans="1:6" x14ac:dyDescent="0.15">
      <c r="A44" s="292">
        <v>45466</v>
      </c>
      <c r="B44" s="285">
        <v>45466</v>
      </c>
      <c r="F44" s="291"/>
    </row>
    <row r="45" spans="1:6" x14ac:dyDescent="0.15">
      <c r="A45" s="292">
        <v>45466</v>
      </c>
      <c r="B45" s="285" t="s">
        <v>234</v>
      </c>
      <c r="F45" s="291"/>
    </row>
    <row r="46" spans="1:6" x14ac:dyDescent="0.15">
      <c r="A46" s="292">
        <v>45466</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45467</v>
      </c>
      <c r="B49" s="297">
        <v>45467</v>
      </c>
      <c r="C49" s="296"/>
      <c r="D49" s="295"/>
      <c r="E49" s="294"/>
      <c r="F49" s="293"/>
    </row>
    <row r="50" spans="1:6" x14ac:dyDescent="0.15">
      <c r="A50" s="292">
        <v>45468</v>
      </c>
      <c r="B50" s="285">
        <v>45468</v>
      </c>
      <c r="F50" s="291"/>
    </row>
    <row r="51" spans="1:6" x14ac:dyDescent="0.15">
      <c r="A51" s="292">
        <v>45469</v>
      </c>
      <c r="B51" s="285">
        <v>45469</v>
      </c>
      <c r="F51" s="291"/>
    </row>
    <row r="52" spans="1:6" x14ac:dyDescent="0.15">
      <c r="A52" s="292">
        <v>45470</v>
      </c>
      <c r="B52" s="285">
        <v>45470</v>
      </c>
      <c r="F52" s="291"/>
    </row>
    <row r="53" spans="1:6" x14ac:dyDescent="0.15">
      <c r="A53" s="292">
        <v>45471</v>
      </c>
      <c r="B53" s="285">
        <v>45471</v>
      </c>
      <c r="F53" s="291"/>
    </row>
    <row r="54" spans="1:6" x14ac:dyDescent="0.15">
      <c r="A54" s="292">
        <v>45472</v>
      </c>
      <c r="B54" s="285">
        <v>45472</v>
      </c>
      <c r="F54" s="291"/>
    </row>
    <row r="55" spans="1:6" x14ac:dyDescent="0.15">
      <c r="A55" s="292">
        <v>45473</v>
      </c>
      <c r="B55" s="285">
        <v>45473</v>
      </c>
      <c r="F55" s="291"/>
    </row>
    <row r="56" spans="1:6" x14ac:dyDescent="0.15">
      <c r="A56" s="292">
        <v>45473</v>
      </c>
      <c r="B56" s="285" t="s">
        <v>234</v>
      </c>
      <c r="F56" s="291"/>
    </row>
    <row r="57" spans="1:6" x14ac:dyDescent="0.15">
      <c r="A57" s="292">
        <v>45473</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5" style="307" customWidth="1"/>
    <col min="2" max="2" width="24" style="6" customWidth="1"/>
    <col min="3" max="3" width="16" style="6" customWidth="1"/>
    <col min="4" max="5" width="9.1640625" style="306"/>
    <col min="6" max="6" width="12.6640625" style="305" customWidth="1"/>
    <col min="7" max="8" width="9.83203125" style="7" customWidth="1"/>
    <col min="9" max="10" width="8.6640625" style="7" customWidth="1"/>
    <col min="11" max="12" width="7.6640625" style="7" customWidth="1"/>
    <col min="13" max="14" width="9.33203125" style="7" customWidth="1"/>
    <col min="15" max="15" width="9.5" style="7" customWidth="1"/>
    <col min="16" max="18" width="7.6640625" style="7" customWidth="1"/>
    <col min="19" max="19" width="8.6640625" style="7" customWidth="1"/>
    <col min="20" max="20" width="13" style="6" customWidth="1"/>
    <col min="21" max="21" width="8.33203125" style="7" customWidth="1"/>
    <col min="22" max="16384" width="9.1640625" style="6"/>
  </cols>
  <sheetData>
    <row r="1" spans="1:21" s="7" customFormat="1" ht="13.5" customHeight="1" x14ac:dyDescent="0.15">
      <c r="A1" s="323">
        <f>E1+SalesJun!$D$1+PurchasesMay!A1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S1+PurchasesMay!T1</f>
        <v>0</v>
      </c>
      <c r="U1" s="320">
        <f>SUM(U4:U199)</f>
        <v>0</v>
      </c>
    </row>
    <row r="2" spans="1:21" s="7" customFormat="1" ht="13.5" customHeight="1" x14ac:dyDescent="0.15">
      <c r="A2" s="319">
        <f>U1+PurchasesMay!A2</f>
        <v>0</v>
      </c>
      <c r="B2" s="104" t="s">
        <v>272</v>
      </c>
      <c r="C2" s="492" t="s">
        <v>271</v>
      </c>
      <c r="D2" s="494" t="s">
        <v>270</v>
      </c>
      <c r="E2" s="492" t="s">
        <v>269</v>
      </c>
      <c r="F2" s="449" t="s">
        <v>268</v>
      </c>
      <c r="G2" s="496" t="s">
        <v>267</v>
      </c>
      <c r="H2" s="497"/>
      <c r="I2" s="498">
        <f>G1+H1+I1+J1+PurchasesMay!I2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IF((E1&lt;&gt;0),Admin!$B$7,"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IF((A1&lt;Admin!$F$22),((A1-PurchasesMay!A1)*Admin!$G$21),(A1*Admin!$G$21-(A1-Admin!$F$21)*(Admin!$G$21-Admin!$G$22)-PurchasesMay!A2))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45474</v>
      </c>
      <c r="B5" s="297">
        <v>45474</v>
      </c>
      <c r="C5" s="296"/>
      <c r="D5" s="295"/>
      <c r="E5" s="294"/>
      <c r="F5" s="293"/>
    </row>
    <row r="6" spans="1:6" x14ac:dyDescent="0.15">
      <c r="A6" s="292">
        <v>45475</v>
      </c>
      <c r="B6" s="285">
        <v>45475</v>
      </c>
      <c r="F6" s="291"/>
    </row>
    <row r="7" spans="1:6" x14ac:dyDescent="0.15">
      <c r="A7" s="292">
        <v>45476</v>
      </c>
      <c r="B7" s="285">
        <v>45476</v>
      </c>
      <c r="F7" s="291"/>
    </row>
    <row r="8" spans="1:6" x14ac:dyDescent="0.15">
      <c r="A8" s="292">
        <v>45477</v>
      </c>
      <c r="B8" s="285">
        <v>45477</v>
      </c>
      <c r="F8" s="291"/>
    </row>
    <row r="9" spans="1:6" x14ac:dyDescent="0.15">
      <c r="A9" s="292">
        <v>45478</v>
      </c>
      <c r="B9" s="285">
        <v>45478</v>
      </c>
      <c r="F9" s="291"/>
    </row>
    <row r="10" spans="1:6" x14ac:dyDescent="0.15">
      <c r="A10" s="292">
        <v>45479</v>
      </c>
      <c r="B10" s="285">
        <v>45479</v>
      </c>
      <c r="F10" s="291"/>
    </row>
    <row r="11" spans="1:6" x14ac:dyDescent="0.15">
      <c r="A11" s="292">
        <v>45480</v>
      </c>
      <c r="B11" s="285">
        <v>45480</v>
      </c>
      <c r="F11" s="291"/>
    </row>
    <row r="12" spans="1:6" x14ac:dyDescent="0.15">
      <c r="A12" s="292">
        <v>45480</v>
      </c>
      <c r="B12" s="285" t="s">
        <v>234</v>
      </c>
      <c r="F12" s="291"/>
    </row>
    <row r="13" spans="1:6" x14ac:dyDescent="0.15">
      <c r="A13" s="292">
        <v>45480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45481</v>
      </c>
      <c r="B16" s="297">
        <v>45481</v>
      </c>
      <c r="C16" s="296"/>
      <c r="D16" s="295"/>
      <c r="E16" s="294"/>
      <c r="F16" s="293"/>
    </row>
    <row r="17" spans="1:6" x14ac:dyDescent="0.15">
      <c r="A17" s="292">
        <v>45482</v>
      </c>
      <c r="B17" s="285">
        <v>45482</v>
      </c>
      <c r="F17" s="291"/>
    </row>
    <row r="18" spans="1:6" x14ac:dyDescent="0.15">
      <c r="A18" s="292">
        <v>45483</v>
      </c>
      <c r="B18" s="285">
        <v>45483</v>
      </c>
      <c r="F18" s="291"/>
    </row>
    <row r="19" spans="1:6" x14ac:dyDescent="0.15">
      <c r="A19" s="292">
        <v>45484</v>
      </c>
      <c r="B19" s="285">
        <v>45484</v>
      </c>
      <c r="F19" s="291"/>
    </row>
    <row r="20" spans="1:6" x14ac:dyDescent="0.15">
      <c r="A20" s="292">
        <v>45485</v>
      </c>
      <c r="B20" s="285">
        <v>45485</v>
      </c>
      <c r="F20" s="291"/>
    </row>
    <row r="21" spans="1:6" x14ac:dyDescent="0.15">
      <c r="A21" s="292">
        <v>45486</v>
      </c>
      <c r="B21" s="285">
        <v>45486</v>
      </c>
      <c r="F21" s="291"/>
    </row>
    <row r="22" spans="1:6" x14ac:dyDescent="0.15">
      <c r="A22" s="292">
        <v>45487</v>
      </c>
      <c r="B22" s="285">
        <v>45487</v>
      </c>
      <c r="F22" s="291"/>
    </row>
    <row r="23" spans="1:6" x14ac:dyDescent="0.15">
      <c r="A23" s="292">
        <v>45487</v>
      </c>
      <c r="B23" s="285" t="s">
        <v>234</v>
      </c>
      <c r="F23" s="291"/>
    </row>
    <row r="24" spans="1:6" x14ac:dyDescent="0.15">
      <c r="A24" s="292">
        <v>45487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45488</v>
      </c>
      <c r="B27" s="297">
        <v>45488</v>
      </c>
      <c r="C27" s="296"/>
      <c r="D27" s="295"/>
      <c r="E27" s="294"/>
      <c r="F27" s="293"/>
    </row>
    <row r="28" spans="1:6" x14ac:dyDescent="0.15">
      <c r="A28" s="292">
        <v>45489</v>
      </c>
      <c r="B28" s="285">
        <v>45489</v>
      </c>
      <c r="F28" s="291"/>
    </row>
    <row r="29" spans="1:6" x14ac:dyDescent="0.15">
      <c r="A29" s="292">
        <v>45490</v>
      </c>
      <c r="B29" s="285">
        <v>45490</v>
      </c>
      <c r="F29" s="291"/>
    </row>
    <row r="30" spans="1:6" x14ac:dyDescent="0.15">
      <c r="A30" s="292">
        <v>45491</v>
      </c>
      <c r="B30" s="285">
        <v>45491</v>
      </c>
      <c r="F30" s="291"/>
    </row>
    <row r="31" spans="1:6" x14ac:dyDescent="0.15">
      <c r="A31" s="292">
        <v>45492</v>
      </c>
      <c r="B31" s="285">
        <v>45492</v>
      </c>
      <c r="F31" s="291"/>
    </row>
    <row r="32" spans="1:6" x14ac:dyDescent="0.15">
      <c r="A32" s="292">
        <v>45493</v>
      </c>
      <c r="B32" s="285">
        <v>45493</v>
      </c>
      <c r="F32" s="291"/>
    </row>
    <row r="33" spans="1:6" x14ac:dyDescent="0.15">
      <c r="A33" s="292">
        <v>45494</v>
      </c>
      <c r="B33" s="285">
        <v>45494</v>
      </c>
      <c r="F33" s="291"/>
    </row>
    <row r="34" spans="1:6" x14ac:dyDescent="0.15">
      <c r="A34" s="292">
        <v>45494</v>
      </c>
      <c r="B34" s="285" t="s">
        <v>234</v>
      </c>
      <c r="F34" s="291"/>
    </row>
    <row r="35" spans="1:6" x14ac:dyDescent="0.15">
      <c r="A35" s="292">
        <v>45494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45495</v>
      </c>
      <c r="B38" s="297">
        <v>45495</v>
      </c>
      <c r="C38" s="296"/>
      <c r="D38" s="295"/>
      <c r="E38" s="294"/>
      <c r="F38" s="293"/>
    </row>
    <row r="39" spans="1:6" x14ac:dyDescent="0.15">
      <c r="A39" s="292">
        <v>45496</v>
      </c>
      <c r="B39" s="285">
        <v>45496</v>
      </c>
      <c r="F39" s="291"/>
    </row>
    <row r="40" spans="1:6" x14ac:dyDescent="0.15">
      <c r="A40" s="292">
        <v>45497</v>
      </c>
      <c r="B40" s="285">
        <v>45497</v>
      </c>
      <c r="F40" s="291"/>
    </row>
    <row r="41" spans="1:6" x14ac:dyDescent="0.15">
      <c r="A41" s="292">
        <v>45498</v>
      </c>
      <c r="B41" s="285">
        <v>45498</v>
      </c>
      <c r="F41" s="291"/>
    </row>
    <row r="42" spans="1:6" x14ac:dyDescent="0.15">
      <c r="A42" s="292">
        <v>45499</v>
      </c>
      <c r="B42" s="285">
        <v>45499</v>
      </c>
      <c r="F42" s="291"/>
    </row>
    <row r="43" spans="1:6" x14ac:dyDescent="0.15">
      <c r="A43" s="292">
        <v>45500</v>
      </c>
      <c r="B43" s="285">
        <v>45500</v>
      </c>
      <c r="F43" s="291"/>
    </row>
    <row r="44" spans="1:6" x14ac:dyDescent="0.15">
      <c r="A44" s="292">
        <v>45501</v>
      </c>
      <c r="B44" s="285">
        <v>45501</v>
      </c>
      <c r="F44" s="291"/>
    </row>
    <row r="45" spans="1:6" x14ac:dyDescent="0.15">
      <c r="A45" s="292">
        <v>45501</v>
      </c>
      <c r="B45" s="285" t="s">
        <v>234</v>
      </c>
      <c r="F45" s="291"/>
    </row>
    <row r="46" spans="1:6" x14ac:dyDescent="0.15">
      <c r="A46" s="292">
        <v>45501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5" width="9.5" style="7" customWidth="1"/>
    <col min="16" max="18" width="7.6640625" style="7" customWidth="1"/>
    <col min="19" max="19" width="8.1640625" style="7" customWidth="1"/>
    <col min="20" max="20" width="13.1640625" style="6" customWidth="1"/>
    <col min="21" max="21" width="8.33203125" style="7" customWidth="1"/>
    <col min="22" max="16384" width="9.1640625" style="6"/>
  </cols>
  <sheetData>
    <row r="1" spans="1:21" s="7" customFormat="1" ht="13.5" customHeight="1" x14ac:dyDescent="0.15">
      <c r="A1" s="323">
        <f>E1+SalesJul!$D$1+PurchasesJun!A1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S1+PurchasesJun!T1</f>
        <v>0</v>
      </c>
      <c r="U1" s="320">
        <f>SUM(U4:U199)</f>
        <v>0</v>
      </c>
    </row>
    <row r="2" spans="1:21" s="7" customFormat="1" ht="13.5" customHeight="1" x14ac:dyDescent="0.15">
      <c r="A2" s="319">
        <f>U1+PurchasesJun!A2</f>
        <v>0</v>
      </c>
      <c r="B2" s="104" t="s">
        <v>272</v>
      </c>
      <c r="C2" s="492" t="s">
        <v>271</v>
      </c>
      <c r="D2" s="494" t="s">
        <v>270</v>
      </c>
      <c r="E2" s="492" t="s">
        <v>269</v>
      </c>
      <c r="F2" s="449" t="s">
        <v>268</v>
      </c>
      <c r="G2" s="496" t="s">
        <v>267</v>
      </c>
      <c r="H2" s="497"/>
      <c r="I2" s="498">
        <f>G1+H1+I1+J1+PurchasesJun!I2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IF((E1&lt;&gt;0),Admin!$B$8,"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IF((A1&lt;Admin!$F$22),((A1-PurchasesJun!A1)*Admin!$G$21),(A1*Admin!$G$21-(A1-Admin!$F$21)*(Admin!$G$21-Admin!$G$22)-PurchasesJun!A2))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B6" s="32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0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45502</v>
      </c>
      <c r="B5" s="297">
        <v>45502</v>
      </c>
      <c r="C5" s="296"/>
      <c r="D5" s="295"/>
      <c r="E5" s="294"/>
      <c r="F5" s="293"/>
    </row>
    <row r="6" spans="1:6" x14ac:dyDescent="0.15">
      <c r="A6" s="292">
        <v>45503</v>
      </c>
      <c r="B6" s="285">
        <v>45503</v>
      </c>
      <c r="F6" s="291"/>
    </row>
    <row r="7" spans="1:6" x14ac:dyDescent="0.15">
      <c r="A7" s="292">
        <v>45504</v>
      </c>
      <c r="B7" s="285">
        <v>45504</v>
      </c>
      <c r="F7" s="291"/>
    </row>
    <row r="8" spans="1:6" x14ac:dyDescent="0.15">
      <c r="A8" s="292">
        <v>45505</v>
      </c>
      <c r="B8" s="285">
        <v>45505</v>
      </c>
      <c r="F8" s="291"/>
    </row>
    <row r="9" spans="1:6" x14ac:dyDescent="0.15">
      <c r="A9" s="292">
        <v>45506</v>
      </c>
      <c r="B9" s="285">
        <v>45506</v>
      </c>
      <c r="F9" s="291"/>
    </row>
    <row r="10" spans="1:6" x14ac:dyDescent="0.15">
      <c r="A10" s="292">
        <v>45507</v>
      </c>
      <c r="B10" s="285">
        <v>45507</v>
      </c>
      <c r="F10" s="291"/>
    </row>
    <row r="11" spans="1:6" x14ac:dyDescent="0.15">
      <c r="A11" s="292">
        <v>45508</v>
      </c>
      <c r="B11" s="285">
        <v>45508</v>
      </c>
      <c r="F11" s="291"/>
    </row>
    <row r="12" spans="1:6" x14ac:dyDescent="0.15">
      <c r="A12" s="292">
        <v>45508</v>
      </c>
      <c r="B12" s="285" t="s">
        <v>234</v>
      </c>
      <c r="F12" s="291"/>
    </row>
    <row r="13" spans="1:6" x14ac:dyDescent="0.15">
      <c r="A13" s="292">
        <v>45508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45509</v>
      </c>
      <c r="B16" s="297">
        <v>45509</v>
      </c>
      <c r="C16" s="296"/>
      <c r="D16" s="295"/>
      <c r="E16" s="294"/>
      <c r="F16" s="293"/>
    </row>
    <row r="17" spans="1:6" x14ac:dyDescent="0.15">
      <c r="A17" s="292">
        <v>45510</v>
      </c>
      <c r="B17" s="285">
        <v>45510</v>
      </c>
      <c r="F17" s="291"/>
    </row>
    <row r="18" spans="1:6" x14ac:dyDescent="0.15">
      <c r="A18" s="292">
        <v>45511</v>
      </c>
      <c r="B18" s="285">
        <v>45511</v>
      </c>
      <c r="F18" s="291"/>
    </row>
    <row r="19" spans="1:6" x14ac:dyDescent="0.15">
      <c r="A19" s="292">
        <v>45512</v>
      </c>
      <c r="B19" s="285">
        <v>45512</v>
      </c>
      <c r="F19" s="291"/>
    </row>
    <row r="20" spans="1:6" x14ac:dyDescent="0.15">
      <c r="A20" s="292">
        <v>45513</v>
      </c>
      <c r="B20" s="285">
        <v>45513</v>
      </c>
      <c r="F20" s="291"/>
    </row>
    <row r="21" spans="1:6" x14ac:dyDescent="0.15">
      <c r="A21" s="292">
        <v>45514</v>
      </c>
      <c r="B21" s="285">
        <v>45514</v>
      </c>
      <c r="F21" s="291"/>
    </row>
    <row r="22" spans="1:6" x14ac:dyDescent="0.15">
      <c r="A22" s="292">
        <v>45515</v>
      </c>
      <c r="B22" s="285">
        <v>45515</v>
      </c>
      <c r="F22" s="291"/>
    </row>
    <row r="23" spans="1:6" x14ac:dyDescent="0.15">
      <c r="A23" s="292">
        <v>45515</v>
      </c>
      <c r="B23" s="285" t="s">
        <v>234</v>
      </c>
      <c r="F23" s="291"/>
    </row>
    <row r="24" spans="1:6" x14ac:dyDescent="0.15">
      <c r="A24" s="292">
        <v>45515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45516</v>
      </c>
      <c r="B27" s="297">
        <v>45516</v>
      </c>
      <c r="C27" s="296"/>
      <c r="D27" s="295"/>
      <c r="E27" s="294"/>
      <c r="F27" s="293"/>
    </row>
    <row r="28" spans="1:6" x14ac:dyDescent="0.15">
      <c r="A28" s="292">
        <v>45517</v>
      </c>
      <c r="B28" s="285">
        <v>45517</v>
      </c>
      <c r="F28" s="291"/>
    </row>
    <row r="29" spans="1:6" x14ac:dyDescent="0.15">
      <c r="A29" s="292">
        <v>45518</v>
      </c>
      <c r="B29" s="285">
        <v>45518</v>
      </c>
      <c r="F29" s="291"/>
    </row>
    <row r="30" spans="1:6" x14ac:dyDescent="0.15">
      <c r="A30" s="292">
        <v>45519</v>
      </c>
      <c r="B30" s="285">
        <v>45519</v>
      </c>
      <c r="F30" s="291"/>
    </row>
    <row r="31" spans="1:6" x14ac:dyDescent="0.15">
      <c r="A31" s="292">
        <v>45520</v>
      </c>
      <c r="B31" s="285">
        <v>45520</v>
      </c>
      <c r="F31" s="291"/>
    </row>
    <row r="32" spans="1:6" x14ac:dyDescent="0.15">
      <c r="A32" s="292">
        <v>45521</v>
      </c>
      <c r="B32" s="285">
        <v>45521</v>
      </c>
      <c r="F32" s="291"/>
    </row>
    <row r="33" spans="1:6" x14ac:dyDescent="0.15">
      <c r="A33" s="292">
        <v>45522</v>
      </c>
      <c r="B33" s="285">
        <v>45522</v>
      </c>
      <c r="F33" s="291"/>
    </row>
    <row r="34" spans="1:6" x14ac:dyDescent="0.15">
      <c r="A34" s="292">
        <v>45522</v>
      </c>
      <c r="B34" s="285" t="s">
        <v>234</v>
      </c>
      <c r="F34" s="291"/>
    </row>
    <row r="35" spans="1:6" x14ac:dyDescent="0.15">
      <c r="A35" s="292">
        <v>45522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45523</v>
      </c>
      <c r="B38" s="297">
        <v>45523</v>
      </c>
      <c r="C38" s="296"/>
      <c r="D38" s="295"/>
      <c r="E38" s="294"/>
      <c r="F38" s="293"/>
    </row>
    <row r="39" spans="1:6" x14ac:dyDescent="0.15">
      <c r="A39" s="292">
        <v>45524</v>
      </c>
      <c r="B39" s="285">
        <v>45524</v>
      </c>
      <c r="F39" s="291"/>
    </row>
    <row r="40" spans="1:6" x14ac:dyDescent="0.15">
      <c r="A40" s="292">
        <v>45525</v>
      </c>
      <c r="B40" s="285">
        <v>45525</v>
      </c>
      <c r="F40" s="291"/>
    </row>
    <row r="41" spans="1:6" x14ac:dyDescent="0.15">
      <c r="A41" s="292">
        <v>45526</v>
      </c>
      <c r="B41" s="285">
        <v>45526</v>
      </c>
      <c r="F41" s="291"/>
    </row>
    <row r="42" spans="1:6" x14ac:dyDescent="0.15">
      <c r="A42" s="292">
        <v>45527</v>
      </c>
      <c r="B42" s="285">
        <v>45527</v>
      </c>
      <c r="F42" s="291"/>
    </row>
    <row r="43" spans="1:6" x14ac:dyDescent="0.15">
      <c r="A43" s="292">
        <v>45528</v>
      </c>
      <c r="B43" s="285">
        <v>45528</v>
      </c>
      <c r="F43" s="291"/>
    </row>
    <row r="44" spans="1:6" x14ac:dyDescent="0.15">
      <c r="A44" s="292">
        <v>45529</v>
      </c>
      <c r="B44" s="285">
        <v>45529</v>
      </c>
      <c r="F44" s="291"/>
    </row>
    <row r="45" spans="1:6" x14ac:dyDescent="0.15">
      <c r="A45" s="292">
        <v>45529</v>
      </c>
      <c r="B45" s="285" t="s">
        <v>234</v>
      </c>
      <c r="F45" s="291"/>
    </row>
    <row r="46" spans="1:6" x14ac:dyDescent="0.15">
      <c r="A46" s="292">
        <v>45529</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 style="7" customWidth="1"/>
    <col min="15" max="15" width="9.33203125" style="7" customWidth="1"/>
    <col min="16" max="18" width="7.6640625" style="7" customWidth="1"/>
    <col min="19" max="19" width="8.5" style="7" customWidth="1"/>
    <col min="20" max="20" width="13.33203125" style="6" customWidth="1"/>
    <col min="21" max="21" width="8.33203125" style="7" customWidth="1"/>
    <col min="22" max="16384" width="9.1640625" style="6"/>
  </cols>
  <sheetData>
    <row r="1" spans="1:21" s="7" customFormat="1" ht="13.5" customHeight="1" x14ac:dyDescent="0.15">
      <c r="A1" s="323">
        <f>E1+SalesAug!$D$1+PurchasesJul!A1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S1+PurchasesJul!T1</f>
        <v>0</v>
      </c>
      <c r="U1" s="320">
        <f>SUM(U4:U199)</f>
        <v>0</v>
      </c>
    </row>
    <row r="2" spans="1:21" s="7" customFormat="1" ht="13.5" customHeight="1" x14ac:dyDescent="0.15">
      <c r="A2" s="319">
        <f>U1+PurchasesJul!A2</f>
        <v>0</v>
      </c>
      <c r="B2" s="104" t="s">
        <v>272</v>
      </c>
      <c r="C2" s="492" t="s">
        <v>271</v>
      </c>
      <c r="D2" s="494" t="s">
        <v>270</v>
      </c>
      <c r="E2" s="492" t="s">
        <v>269</v>
      </c>
      <c r="F2" s="449" t="s">
        <v>268</v>
      </c>
      <c r="G2" s="496" t="s">
        <v>267</v>
      </c>
      <c r="H2" s="497"/>
      <c r="I2" s="498">
        <f>G1+H1+I1+J1+PurchasesJul!I2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IF((E1&lt;&gt;0),Admin!$B$9,"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IF((A1&lt;Admin!$F$22),((A1-PurchasesJul!A1)*Admin!$G$21),(A1*Admin!$G$21-(A1-Admin!$F$21)*(Admin!$G$21-Admin!$G$22)-PurchasesJul!A2))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0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45530</v>
      </c>
      <c r="B5" s="297">
        <v>45530</v>
      </c>
      <c r="C5" s="296"/>
      <c r="D5" s="295"/>
      <c r="E5" s="294"/>
      <c r="F5" s="293"/>
    </row>
    <row r="6" spans="1:6" x14ac:dyDescent="0.15">
      <c r="A6" s="292">
        <v>45531</v>
      </c>
      <c r="B6" s="285">
        <v>45531</v>
      </c>
      <c r="F6" s="291"/>
    </row>
    <row r="7" spans="1:6" x14ac:dyDescent="0.15">
      <c r="A7" s="292">
        <v>45532</v>
      </c>
      <c r="B7" s="285">
        <v>45532</v>
      </c>
      <c r="F7" s="291"/>
    </row>
    <row r="8" spans="1:6" x14ac:dyDescent="0.15">
      <c r="A8" s="292">
        <v>45533</v>
      </c>
      <c r="B8" s="285">
        <v>45533</v>
      </c>
      <c r="F8" s="291"/>
    </row>
    <row r="9" spans="1:6" x14ac:dyDescent="0.15">
      <c r="A9" s="292">
        <v>45534</v>
      </c>
      <c r="B9" s="285">
        <v>45534</v>
      </c>
      <c r="F9" s="291"/>
    </row>
    <row r="10" spans="1:6" x14ac:dyDescent="0.15">
      <c r="A10" s="292">
        <v>45535</v>
      </c>
      <c r="B10" s="285">
        <v>45535</v>
      </c>
      <c r="F10" s="291"/>
    </row>
    <row r="11" spans="1:6" x14ac:dyDescent="0.15">
      <c r="A11" s="292">
        <v>45536</v>
      </c>
      <c r="B11" s="285">
        <v>45536</v>
      </c>
      <c r="F11" s="291"/>
    </row>
    <row r="12" spans="1:6" x14ac:dyDescent="0.15">
      <c r="A12" s="292">
        <v>45536</v>
      </c>
      <c r="B12" s="285" t="s">
        <v>234</v>
      </c>
      <c r="F12" s="291"/>
    </row>
    <row r="13" spans="1:6" x14ac:dyDescent="0.15">
      <c r="A13" s="292">
        <v>45536</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45537</v>
      </c>
      <c r="B16" s="297">
        <v>45537</v>
      </c>
      <c r="C16" s="296"/>
      <c r="D16" s="295"/>
      <c r="E16" s="294"/>
      <c r="F16" s="293"/>
    </row>
    <row r="17" spans="1:6" x14ac:dyDescent="0.15">
      <c r="A17" s="292">
        <v>45538</v>
      </c>
      <c r="B17" s="285">
        <v>45538</v>
      </c>
      <c r="F17" s="291"/>
    </row>
    <row r="18" spans="1:6" x14ac:dyDescent="0.15">
      <c r="A18" s="292">
        <v>45539</v>
      </c>
      <c r="B18" s="285">
        <v>45539</v>
      </c>
      <c r="F18" s="291"/>
    </row>
    <row r="19" spans="1:6" x14ac:dyDescent="0.15">
      <c r="A19" s="292">
        <v>45540</v>
      </c>
      <c r="B19" s="285">
        <v>45540</v>
      </c>
      <c r="F19" s="291"/>
    </row>
    <row r="20" spans="1:6" x14ac:dyDescent="0.15">
      <c r="A20" s="292">
        <v>45541</v>
      </c>
      <c r="B20" s="285">
        <v>45541</v>
      </c>
      <c r="F20" s="291"/>
    </row>
    <row r="21" spans="1:6" x14ac:dyDescent="0.15">
      <c r="A21" s="292">
        <v>45542</v>
      </c>
      <c r="B21" s="285">
        <v>45542</v>
      </c>
      <c r="F21" s="291"/>
    </row>
    <row r="22" spans="1:6" x14ac:dyDescent="0.15">
      <c r="A22" s="292">
        <v>45543</v>
      </c>
      <c r="B22" s="285">
        <v>45543</v>
      </c>
      <c r="F22" s="291"/>
    </row>
    <row r="23" spans="1:6" x14ac:dyDescent="0.15">
      <c r="A23" s="292">
        <v>45543</v>
      </c>
      <c r="B23" s="285" t="s">
        <v>234</v>
      </c>
      <c r="F23" s="291"/>
    </row>
    <row r="24" spans="1:6" x14ac:dyDescent="0.15">
      <c r="A24" s="292">
        <v>45543</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45544</v>
      </c>
      <c r="B27" s="297">
        <v>45544</v>
      </c>
      <c r="C27" s="296"/>
      <c r="D27" s="295"/>
      <c r="E27" s="294"/>
      <c r="F27" s="293"/>
    </row>
    <row r="28" spans="1:6" x14ac:dyDescent="0.15">
      <c r="A28" s="292">
        <v>45545</v>
      </c>
      <c r="B28" s="285">
        <v>45545</v>
      </c>
      <c r="F28" s="291"/>
    </row>
    <row r="29" spans="1:6" x14ac:dyDescent="0.15">
      <c r="A29" s="292">
        <v>45546</v>
      </c>
      <c r="B29" s="285">
        <v>45546</v>
      </c>
      <c r="F29" s="291"/>
    </row>
    <row r="30" spans="1:6" x14ac:dyDescent="0.15">
      <c r="A30" s="292">
        <v>45547</v>
      </c>
      <c r="B30" s="285">
        <v>45547</v>
      </c>
      <c r="F30" s="291"/>
    </row>
    <row r="31" spans="1:6" x14ac:dyDescent="0.15">
      <c r="A31" s="292">
        <v>45548</v>
      </c>
      <c r="B31" s="285">
        <v>45548</v>
      </c>
      <c r="F31" s="291"/>
    </row>
    <row r="32" spans="1:6" x14ac:dyDescent="0.15">
      <c r="A32" s="292">
        <v>45549</v>
      </c>
      <c r="B32" s="285">
        <v>45549</v>
      </c>
      <c r="F32" s="291"/>
    </row>
    <row r="33" spans="1:6" x14ac:dyDescent="0.15">
      <c r="A33" s="292">
        <v>45550</v>
      </c>
      <c r="B33" s="285">
        <v>45550</v>
      </c>
      <c r="F33" s="291"/>
    </row>
    <row r="34" spans="1:6" x14ac:dyDescent="0.15">
      <c r="A34" s="292">
        <v>45550</v>
      </c>
      <c r="B34" s="285" t="s">
        <v>234</v>
      </c>
      <c r="F34" s="291"/>
    </row>
    <row r="35" spans="1:6" x14ac:dyDescent="0.15">
      <c r="A35" s="292">
        <v>45550</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45551</v>
      </c>
      <c r="B38" s="297">
        <v>45551</v>
      </c>
      <c r="C38" s="296"/>
      <c r="D38" s="295"/>
      <c r="E38" s="294"/>
      <c r="F38" s="293"/>
    </row>
    <row r="39" spans="1:6" x14ac:dyDescent="0.15">
      <c r="A39" s="292">
        <v>45552</v>
      </c>
      <c r="B39" s="285">
        <v>45552</v>
      </c>
      <c r="F39" s="291"/>
    </row>
    <row r="40" spans="1:6" x14ac:dyDescent="0.15">
      <c r="A40" s="292">
        <v>45553</v>
      </c>
      <c r="B40" s="285">
        <v>45553</v>
      </c>
      <c r="F40" s="291"/>
    </row>
    <row r="41" spans="1:6" x14ac:dyDescent="0.15">
      <c r="A41" s="292">
        <v>45554</v>
      </c>
      <c r="B41" s="285">
        <v>45554</v>
      </c>
      <c r="F41" s="291"/>
    </row>
    <row r="42" spans="1:6" x14ac:dyDescent="0.15">
      <c r="A42" s="292">
        <v>45555</v>
      </c>
      <c r="B42" s="285">
        <v>45555</v>
      </c>
      <c r="F42" s="291"/>
    </row>
    <row r="43" spans="1:6" x14ac:dyDescent="0.15">
      <c r="A43" s="292">
        <v>45556</v>
      </c>
      <c r="B43" s="285">
        <v>45556</v>
      </c>
      <c r="F43" s="291"/>
    </row>
    <row r="44" spans="1:6" x14ac:dyDescent="0.15">
      <c r="A44" s="292">
        <v>45557</v>
      </c>
      <c r="B44" s="285">
        <v>45557</v>
      </c>
      <c r="F44" s="291"/>
    </row>
    <row r="45" spans="1:6" x14ac:dyDescent="0.15">
      <c r="A45" s="292">
        <v>45557</v>
      </c>
      <c r="B45" s="285" t="s">
        <v>234</v>
      </c>
      <c r="F45" s="291"/>
    </row>
    <row r="46" spans="1:6" x14ac:dyDescent="0.15">
      <c r="A46" s="292">
        <v>45557</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45558</v>
      </c>
      <c r="B49" s="297">
        <v>45558</v>
      </c>
      <c r="C49" s="296"/>
      <c r="D49" s="295"/>
      <c r="E49" s="294"/>
      <c r="F49" s="293"/>
    </row>
    <row r="50" spans="1:6" x14ac:dyDescent="0.15">
      <c r="A50" s="292">
        <v>45559</v>
      </c>
      <c r="B50" s="285">
        <v>45559</v>
      </c>
      <c r="F50" s="291"/>
    </row>
    <row r="51" spans="1:6" x14ac:dyDescent="0.15">
      <c r="A51" s="292">
        <v>45560</v>
      </c>
      <c r="B51" s="285">
        <v>45560</v>
      </c>
      <c r="F51" s="291"/>
    </row>
    <row r="52" spans="1:6" x14ac:dyDescent="0.15">
      <c r="A52" s="292">
        <v>45561</v>
      </c>
      <c r="B52" s="285">
        <v>45561</v>
      </c>
      <c r="F52" s="291"/>
    </row>
    <row r="53" spans="1:6" x14ac:dyDescent="0.15">
      <c r="A53" s="292">
        <v>45562</v>
      </c>
      <c r="B53" s="285">
        <v>45562</v>
      </c>
      <c r="F53" s="291"/>
    </row>
    <row r="54" spans="1:6" x14ac:dyDescent="0.15">
      <c r="A54" s="292">
        <v>45563</v>
      </c>
      <c r="B54" s="285">
        <v>45563</v>
      </c>
      <c r="F54" s="291"/>
    </row>
    <row r="55" spans="1:6" x14ac:dyDescent="0.15">
      <c r="A55" s="292">
        <v>45564</v>
      </c>
      <c r="B55" s="285">
        <v>45564</v>
      </c>
      <c r="F55" s="291"/>
    </row>
    <row r="56" spans="1:6" x14ac:dyDescent="0.15">
      <c r="A56" s="292">
        <v>45564</v>
      </c>
      <c r="B56" s="285" t="s">
        <v>234</v>
      </c>
      <c r="F56" s="291"/>
    </row>
    <row r="57" spans="1:6" x14ac:dyDescent="0.15">
      <c r="A57" s="292">
        <v>45564</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5" style="7" customWidth="1"/>
    <col min="16" max="18" width="7.6640625" style="7" customWidth="1"/>
    <col min="19" max="19" width="8.5" style="7" customWidth="1"/>
    <col min="20" max="20" width="12.83203125" style="6" customWidth="1"/>
    <col min="21" max="21" width="8" style="7" customWidth="1"/>
    <col min="22" max="16384" width="9.1640625" style="6"/>
  </cols>
  <sheetData>
    <row r="1" spans="1:21" s="7" customFormat="1" ht="13.5" customHeight="1" x14ac:dyDescent="0.15">
      <c r="A1" s="323">
        <f>E1+SalesSep!$D$1+PurchasesAug!A1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S1+PurchasesAug!T1</f>
        <v>0</v>
      </c>
      <c r="U1" s="320">
        <f>SUM(U4:U199)</f>
        <v>0</v>
      </c>
    </row>
    <row r="2" spans="1:21" s="7" customFormat="1" ht="13.5" customHeight="1" x14ac:dyDescent="0.15">
      <c r="A2" s="319">
        <f>U1+PurchasesAug!A2</f>
        <v>0</v>
      </c>
      <c r="B2" s="104" t="s">
        <v>272</v>
      </c>
      <c r="C2" s="492" t="s">
        <v>271</v>
      </c>
      <c r="D2" s="494" t="s">
        <v>270</v>
      </c>
      <c r="E2" s="492" t="s">
        <v>269</v>
      </c>
      <c r="F2" s="449" t="s">
        <v>268</v>
      </c>
      <c r="G2" s="496" t="s">
        <v>267</v>
      </c>
      <c r="H2" s="497"/>
      <c r="I2" s="498">
        <f>G1+H1+I1+J1+PurchasesAug!I2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IF((E1&lt;&gt;0),Admin!$B$10,"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IF((A1&lt;Admin!$F$22),((A1-PurchasesAug!A1)*Admin!$G$21),(A1*Admin!$G$21-(A1-Admin!$F$21)*(Admin!$G$21-Admin!$G$22)-PurchasesAug!A2))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2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F47"/>
  <sheetViews>
    <sheetView workbookViewId="0">
      <pane ySplit="3" topLeftCell="A4" activePane="bottomLeft" state="frozen"/>
      <selection pane="bottomLeft" activeCell="E6" sqref="E6"/>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45565</v>
      </c>
      <c r="B5" s="297">
        <v>45565</v>
      </c>
      <c r="C5" s="296"/>
      <c r="D5" s="295"/>
      <c r="E5" s="294"/>
      <c r="F5" s="293"/>
    </row>
    <row r="6" spans="1:6" x14ac:dyDescent="0.15">
      <c r="A6" s="292">
        <v>45566</v>
      </c>
      <c r="B6" s="285">
        <v>45566</v>
      </c>
      <c r="F6" s="291"/>
    </row>
    <row r="7" spans="1:6" x14ac:dyDescent="0.15">
      <c r="A7" s="292">
        <v>45567</v>
      </c>
      <c r="B7" s="285">
        <v>45567</v>
      </c>
      <c r="F7" s="291"/>
    </row>
    <row r="8" spans="1:6" x14ac:dyDescent="0.15">
      <c r="A8" s="292">
        <v>45568</v>
      </c>
      <c r="B8" s="285">
        <v>45568</v>
      </c>
      <c r="F8" s="291"/>
    </row>
    <row r="9" spans="1:6" x14ac:dyDescent="0.15">
      <c r="A9" s="292">
        <v>45569</v>
      </c>
      <c r="B9" s="285">
        <v>45569</v>
      </c>
      <c r="F9" s="291"/>
    </row>
    <row r="10" spans="1:6" x14ac:dyDescent="0.15">
      <c r="A10" s="292">
        <v>45570</v>
      </c>
      <c r="B10" s="285">
        <v>45570</v>
      </c>
      <c r="F10" s="291"/>
    </row>
    <row r="11" spans="1:6" x14ac:dyDescent="0.15">
      <c r="A11" s="292">
        <v>45571</v>
      </c>
      <c r="B11" s="285">
        <v>45571</v>
      </c>
      <c r="F11" s="291"/>
    </row>
    <row r="12" spans="1:6" x14ac:dyDescent="0.15">
      <c r="A12" s="292">
        <v>45571</v>
      </c>
      <c r="B12" s="285" t="s">
        <v>234</v>
      </c>
      <c r="F12" s="291"/>
    </row>
    <row r="13" spans="1:6" x14ac:dyDescent="0.15">
      <c r="A13" s="292">
        <v>45571</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45572</v>
      </c>
      <c r="B16" s="297">
        <v>45572</v>
      </c>
      <c r="C16" s="296"/>
      <c r="D16" s="295"/>
      <c r="E16" s="294"/>
      <c r="F16" s="293"/>
    </row>
    <row r="17" spans="1:6" x14ac:dyDescent="0.15">
      <c r="A17" s="292">
        <v>45573</v>
      </c>
      <c r="B17" s="285">
        <v>45573</v>
      </c>
      <c r="F17" s="291"/>
    </row>
    <row r="18" spans="1:6" x14ac:dyDescent="0.15">
      <c r="A18" s="292">
        <v>45574</v>
      </c>
      <c r="B18" s="285">
        <v>45574</v>
      </c>
      <c r="F18" s="291"/>
    </row>
    <row r="19" spans="1:6" x14ac:dyDescent="0.15">
      <c r="A19" s="292">
        <v>45575</v>
      </c>
      <c r="B19" s="285">
        <v>45575</v>
      </c>
      <c r="F19" s="291"/>
    </row>
    <row r="20" spans="1:6" x14ac:dyDescent="0.15">
      <c r="A20" s="292">
        <v>45576</v>
      </c>
      <c r="B20" s="285">
        <v>45576</v>
      </c>
      <c r="F20" s="291"/>
    </row>
    <row r="21" spans="1:6" x14ac:dyDescent="0.15">
      <c r="A21" s="292">
        <v>45577</v>
      </c>
      <c r="B21" s="285">
        <v>45577</v>
      </c>
      <c r="F21" s="291"/>
    </row>
    <row r="22" spans="1:6" x14ac:dyDescent="0.15">
      <c r="A22" s="292">
        <v>45578</v>
      </c>
      <c r="B22" s="285">
        <v>45578</v>
      </c>
      <c r="F22" s="291"/>
    </row>
    <row r="23" spans="1:6" x14ac:dyDescent="0.15">
      <c r="A23" s="292">
        <v>45578</v>
      </c>
      <c r="B23" s="285" t="s">
        <v>234</v>
      </c>
      <c r="F23" s="291"/>
    </row>
    <row r="24" spans="1:6" x14ac:dyDescent="0.15">
      <c r="A24" s="292">
        <v>45578</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45579</v>
      </c>
      <c r="B27" s="297">
        <v>45579</v>
      </c>
      <c r="C27" s="296"/>
      <c r="D27" s="295"/>
      <c r="E27" s="294"/>
      <c r="F27" s="293"/>
    </row>
    <row r="28" spans="1:6" x14ac:dyDescent="0.15">
      <c r="A28" s="292">
        <v>45580</v>
      </c>
      <c r="B28" s="285">
        <v>45580</v>
      </c>
      <c r="F28" s="291"/>
    </row>
    <row r="29" spans="1:6" x14ac:dyDescent="0.15">
      <c r="A29" s="292">
        <v>45581</v>
      </c>
      <c r="B29" s="285">
        <v>45581</v>
      </c>
      <c r="F29" s="291"/>
    </row>
    <row r="30" spans="1:6" x14ac:dyDescent="0.15">
      <c r="A30" s="292">
        <v>45582</v>
      </c>
      <c r="B30" s="285">
        <v>45582</v>
      </c>
      <c r="F30" s="291"/>
    </row>
    <row r="31" spans="1:6" x14ac:dyDescent="0.15">
      <c r="A31" s="292">
        <v>45583</v>
      </c>
      <c r="B31" s="285">
        <v>45583</v>
      </c>
      <c r="F31" s="291"/>
    </row>
    <row r="32" spans="1:6" x14ac:dyDescent="0.15">
      <c r="A32" s="292">
        <v>45584</v>
      </c>
      <c r="B32" s="285">
        <v>45584</v>
      </c>
      <c r="F32" s="291"/>
    </row>
    <row r="33" spans="1:6" x14ac:dyDescent="0.15">
      <c r="A33" s="292">
        <v>45585</v>
      </c>
      <c r="B33" s="285">
        <v>45585</v>
      </c>
      <c r="F33" s="291"/>
    </row>
    <row r="34" spans="1:6" x14ac:dyDescent="0.15">
      <c r="A34" s="292">
        <v>45585</v>
      </c>
      <c r="B34" s="285" t="s">
        <v>234</v>
      </c>
      <c r="F34" s="291"/>
    </row>
    <row r="35" spans="1:6" x14ac:dyDescent="0.15">
      <c r="A35" s="292">
        <v>45585</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45586</v>
      </c>
      <c r="B38" s="297">
        <v>45586</v>
      </c>
      <c r="C38" s="296"/>
      <c r="D38" s="295"/>
      <c r="E38" s="294"/>
      <c r="F38" s="293"/>
    </row>
    <row r="39" spans="1:6" x14ac:dyDescent="0.15">
      <c r="A39" s="292">
        <v>45587</v>
      </c>
      <c r="B39" s="285">
        <v>45587</v>
      </c>
      <c r="F39" s="291"/>
    </row>
    <row r="40" spans="1:6" x14ac:dyDescent="0.15">
      <c r="A40" s="292">
        <v>45588</v>
      </c>
      <c r="B40" s="285">
        <v>45588</v>
      </c>
      <c r="F40" s="291"/>
    </row>
    <row r="41" spans="1:6" x14ac:dyDescent="0.15">
      <c r="A41" s="292">
        <v>45589</v>
      </c>
      <c r="B41" s="285">
        <v>45589</v>
      </c>
      <c r="F41" s="291"/>
    </row>
    <row r="42" spans="1:6" x14ac:dyDescent="0.15">
      <c r="A42" s="292">
        <v>45590</v>
      </c>
      <c r="B42" s="285">
        <v>45590</v>
      </c>
      <c r="F42" s="291"/>
    </row>
    <row r="43" spans="1:6" x14ac:dyDescent="0.15">
      <c r="A43" s="292">
        <v>45591</v>
      </c>
      <c r="B43" s="285">
        <v>45591</v>
      </c>
      <c r="F43" s="291"/>
    </row>
    <row r="44" spans="1:6" x14ac:dyDescent="0.15">
      <c r="A44" s="292">
        <v>45592</v>
      </c>
      <c r="B44" s="285">
        <v>45592</v>
      </c>
      <c r="F44" s="291"/>
    </row>
    <row r="45" spans="1:6" x14ac:dyDescent="0.15">
      <c r="A45" s="292">
        <v>45592</v>
      </c>
      <c r="B45" s="285" t="s">
        <v>234</v>
      </c>
      <c r="F45" s="291"/>
    </row>
    <row r="46" spans="1:6" x14ac:dyDescent="0.15">
      <c r="A46" s="292">
        <v>45592</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3" style="6" customWidth="1"/>
    <col min="21" max="21" width="8.1640625" style="7" customWidth="1"/>
    <col min="22" max="16384" width="9.1640625" style="6"/>
  </cols>
  <sheetData>
    <row r="1" spans="1:21" s="7" customFormat="1" ht="13.5" customHeight="1" x14ac:dyDescent="0.15">
      <c r="A1" s="323">
        <f>E1+SalesOct!$D$1+PurchasesSep!A1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S1+PurchasesSep!T1</f>
        <v>0</v>
      </c>
      <c r="U1" s="320">
        <f>SUM(U4:U199)</f>
        <v>0</v>
      </c>
    </row>
    <row r="2" spans="1:21" s="7" customFormat="1" ht="13.5" customHeight="1" x14ac:dyDescent="0.15">
      <c r="A2" s="319">
        <f>U1+PurchasesSep!A2</f>
        <v>0</v>
      </c>
      <c r="B2" s="104" t="s">
        <v>272</v>
      </c>
      <c r="C2" s="492" t="s">
        <v>271</v>
      </c>
      <c r="D2" s="494" t="s">
        <v>270</v>
      </c>
      <c r="E2" s="492" t="s">
        <v>269</v>
      </c>
      <c r="F2" s="449" t="s">
        <v>268</v>
      </c>
      <c r="G2" s="496" t="s">
        <v>267</v>
      </c>
      <c r="H2" s="497"/>
      <c r="I2" s="498">
        <f>G1+H1+I1+J1+PurchasesSep!I2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IF((E1&lt;&gt;0),Admin!$B$11,"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IF((A1&lt;Admin!$F$22),((A1-PurchasesSep!A1)*Admin!$G$21),(A1*Admin!$G$21-(A1-Admin!$F$21)*(Admin!$G$21-Admin!$G$22)-PurchasesSep!A2))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4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500-000000000000}">
  <dimension ref="A1:F47"/>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45593</v>
      </c>
      <c r="B5" s="297">
        <v>45593</v>
      </c>
      <c r="C5" s="296"/>
      <c r="D5" s="295"/>
      <c r="E5" s="294"/>
      <c r="F5" s="293"/>
    </row>
    <row r="6" spans="1:6" x14ac:dyDescent="0.15">
      <c r="A6" s="292">
        <v>45594</v>
      </c>
      <c r="B6" s="285">
        <v>45594</v>
      </c>
      <c r="F6" s="291"/>
    </row>
    <row r="7" spans="1:6" x14ac:dyDescent="0.15">
      <c r="A7" s="292">
        <v>45595</v>
      </c>
      <c r="B7" s="285">
        <v>45595</v>
      </c>
      <c r="F7" s="291"/>
    </row>
    <row r="8" spans="1:6" x14ac:dyDescent="0.15">
      <c r="A8" s="292">
        <v>45596</v>
      </c>
      <c r="B8" s="285">
        <v>45596</v>
      </c>
      <c r="F8" s="291"/>
    </row>
    <row r="9" spans="1:6" x14ac:dyDescent="0.15">
      <c r="A9" s="292">
        <v>45597</v>
      </c>
      <c r="B9" s="285">
        <v>45597</v>
      </c>
      <c r="F9" s="291"/>
    </row>
    <row r="10" spans="1:6" x14ac:dyDescent="0.15">
      <c r="A10" s="292">
        <v>45598</v>
      </c>
      <c r="B10" s="285">
        <v>45598</v>
      </c>
      <c r="F10" s="291"/>
    </row>
    <row r="11" spans="1:6" x14ac:dyDescent="0.15">
      <c r="A11" s="292">
        <v>45599</v>
      </c>
      <c r="B11" s="285">
        <v>45599</v>
      </c>
      <c r="F11" s="291"/>
    </row>
    <row r="12" spans="1:6" x14ac:dyDescent="0.15">
      <c r="A12" s="292">
        <v>45599</v>
      </c>
      <c r="B12" s="285" t="s">
        <v>234</v>
      </c>
      <c r="F12" s="291"/>
    </row>
    <row r="13" spans="1:6" x14ac:dyDescent="0.15">
      <c r="A13" s="292">
        <v>45599</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45600</v>
      </c>
      <c r="B16" s="297">
        <v>45600</v>
      </c>
      <c r="C16" s="296"/>
      <c r="D16" s="295"/>
      <c r="E16" s="294"/>
      <c r="F16" s="293"/>
    </row>
    <row r="17" spans="1:6" x14ac:dyDescent="0.15">
      <c r="A17" s="292">
        <v>45601</v>
      </c>
      <c r="B17" s="285">
        <v>45601</v>
      </c>
      <c r="F17" s="291"/>
    </row>
    <row r="18" spans="1:6" x14ac:dyDescent="0.15">
      <c r="A18" s="292">
        <v>45602</v>
      </c>
      <c r="B18" s="285">
        <v>45602</v>
      </c>
      <c r="F18" s="291"/>
    </row>
    <row r="19" spans="1:6" x14ac:dyDescent="0.15">
      <c r="A19" s="292">
        <v>45603</v>
      </c>
      <c r="B19" s="285">
        <v>45603</v>
      </c>
      <c r="F19" s="291"/>
    </row>
    <row r="20" spans="1:6" x14ac:dyDescent="0.15">
      <c r="A20" s="292">
        <v>45604</v>
      </c>
      <c r="B20" s="285">
        <v>45604</v>
      </c>
      <c r="F20" s="291"/>
    </row>
    <row r="21" spans="1:6" x14ac:dyDescent="0.15">
      <c r="A21" s="292">
        <v>45605</v>
      </c>
      <c r="B21" s="285">
        <v>45605</v>
      </c>
      <c r="F21" s="291"/>
    </row>
    <row r="22" spans="1:6" x14ac:dyDescent="0.15">
      <c r="A22" s="292">
        <v>45606</v>
      </c>
      <c r="B22" s="285">
        <v>45606</v>
      </c>
      <c r="F22" s="291"/>
    </row>
    <row r="23" spans="1:6" x14ac:dyDescent="0.15">
      <c r="A23" s="292">
        <v>45606</v>
      </c>
      <c r="B23" s="285" t="s">
        <v>234</v>
      </c>
      <c r="F23" s="291"/>
    </row>
    <row r="24" spans="1:6" x14ac:dyDescent="0.15">
      <c r="A24" s="292">
        <v>45606</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45607</v>
      </c>
      <c r="B27" s="297">
        <v>45607</v>
      </c>
      <c r="C27" s="296"/>
      <c r="D27" s="295"/>
      <c r="E27" s="294"/>
      <c r="F27" s="293"/>
    </row>
    <row r="28" spans="1:6" x14ac:dyDescent="0.15">
      <c r="A28" s="292">
        <v>45608</v>
      </c>
      <c r="B28" s="285">
        <v>45608</v>
      </c>
      <c r="F28" s="291"/>
    </row>
    <row r="29" spans="1:6" x14ac:dyDescent="0.15">
      <c r="A29" s="292">
        <v>45609</v>
      </c>
      <c r="B29" s="285">
        <v>45609</v>
      </c>
      <c r="F29" s="291"/>
    </row>
    <row r="30" spans="1:6" x14ac:dyDescent="0.15">
      <c r="A30" s="292">
        <v>45610</v>
      </c>
      <c r="B30" s="285">
        <v>45610</v>
      </c>
      <c r="F30" s="291"/>
    </row>
    <row r="31" spans="1:6" x14ac:dyDescent="0.15">
      <c r="A31" s="292">
        <v>45611</v>
      </c>
      <c r="B31" s="285">
        <v>45611</v>
      </c>
      <c r="F31" s="291"/>
    </row>
    <row r="32" spans="1:6" x14ac:dyDescent="0.15">
      <c r="A32" s="292">
        <v>45612</v>
      </c>
      <c r="B32" s="285">
        <v>45612</v>
      </c>
      <c r="F32" s="291"/>
    </row>
    <row r="33" spans="1:6" x14ac:dyDescent="0.15">
      <c r="A33" s="292">
        <v>45613</v>
      </c>
      <c r="B33" s="285">
        <v>45613</v>
      </c>
      <c r="F33" s="291"/>
    </row>
    <row r="34" spans="1:6" x14ac:dyDescent="0.15">
      <c r="A34" s="292">
        <v>45613</v>
      </c>
      <c r="B34" s="285" t="s">
        <v>234</v>
      </c>
      <c r="F34" s="291"/>
    </row>
    <row r="35" spans="1:6" x14ac:dyDescent="0.15">
      <c r="A35" s="292">
        <v>45613</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45614</v>
      </c>
      <c r="B38" s="297">
        <v>45614</v>
      </c>
      <c r="C38" s="296"/>
      <c r="D38" s="295"/>
      <c r="E38" s="294"/>
      <c r="F38" s="293"/>
    </row>
    <row r="39" spans="1:6" x14ac:dyDescent="0.15">
      <c r="A39" s="292">
        <v>45615</v>
      </c>
      <c r="B39" s="285">
        <v>45615</v>
      </c>
      <c r="F39" s="291"/>
    </row>
    <row r="40" spans="1:6" x14ac:dyDescent="0.15">
      <c r="A40" s="292">
        <v>45616</v>
      </c>
      <c r="B40" s="285">
        <v>45616</v>
      </c>
      <c r="F40" s="291"/>
    </row>
    <row r="41" spans="1:6" x14ac:dyDescent="0.15">
      <c r="A41" s="292">
        <v>45617</v>
      </c>
      <c r="B41" s="285">
        <v>45617</v>
      </c>
      <c r="F41" s="291"/>
    </row>
    <row r="42" spans="1:6" x14ac:dyDescent="0.15">
      <c r="A42" s="292">
        <v>45618</v>
      </c>
      <c r="B42" s="285">
        <v>45618</v>
      </c>
      <c r="F42" s="291"/>
    </row>
    <row r="43" spans="1:6" x14ac:dyDescent="0.15">
      <c r="A43" s="292">
        <v>45619</v>
      </c>
      <c r="B43" s="285">
        <v>45619</v>
      </c>
      <c r="F43" s="291"/>
    </row>
    <row r="44" spans="1:6" x14ac:dyDescent="0.15">
      <c r="A44" s="292">
        <v>45620</v>
      </c>
      <c r="B44" s="285">
        <v>45620</v>
      </c>
      <c r="F44" s="291"/>
    </row>
    <row r="45" spans="1:6" x14ac:dyDescent="0.15">
      <c r="A45" s="292">
        <v>45620</v>
      </c>
      <c r="B45" s="285" t="s">
        <v>234</v>
      </c>
      <c r="F45" s="291"/>
    </row>
    <row r="46" spans="1:6" x14ac:dyDescent="0.15">
      <c r="A46" s="292">
        <v>45620</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6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1640625" style="7"/>
    <col min="14" max="15" width="9.33203125" style="7" customWidth="1"/>
    <col min="16" max="18" width="7.6640625" style="7" customWidth="1"/>
    <col min="19" max="19" width="8.5" style="7" customWidth="1"/>
    <col min="20" max="20" width="13" style="6" customWidth="1"/>
    <col min="21" max="21" width="8" style="7" customWidth="1"/>
    <col min="22" max="16384" width="9.1640625" style="6"/>
  </cols>
  <sheetData>
    <row r="1" spans="1:21" s="7" customFormat="1" ht="13.5" customHeight="1" x14ac:dyDescent="0.15">
      <c r="A1" s="323">
        <f>E1+SalesNov!$D$1+PurchasesOct!A1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S1+PurchasesOct!T1</f>
        <v>0</v>
      </c>
      <c r="U1" s="320">
        <f>SUM(U4:U199)</f>
        <v>0</v>
      </c>
    </row>
    <row r="2" spans="1:21" s="7" customFormat="1" ht="13.5" customHeight="1" x14ac:dyDescent="0.15">
      <c r="A2" s="319">
        <f>U1+PurchasesOct!A2</f>
        <v>0</v>
      </c>
      <c r="B2" s="104" t="s">
        <v>272</v>
      </c>
      <c r="C2" s="492" t="s">
        <v>271</v>
      </c>
      <c r="D2" s="494" t="s">
        <v>270</v>
      </c>
      <c r="E2" s="492" t="s">
        <v>269</v>
      </c>
      <c r="F2" s="449" t="s">
        <v>268</v>
      </c>
      <c r="G2" s="496" t="s">
        <v>267</v>
      </c>
      <c r="H2" s="497"/>
      <c r="I2" s="498">
        <f>G1+H1+I1+J1+PurchasesOct!I2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IF((E1&lt;&gt;0),Admin!$B$12,"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IF((A1&lt;Admin!$F$22),((A1-PurchasesOct!A1)*Admin!$G$21),(A1*Admin!$G$21-(A1-Admin!$F$21)*(Admin!$G$21-Admin!$G$22)-PurchasesOct!A2))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6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F58"/>
  <sheetViews>
    <sheetView workbookViewId="0">
      <pane ySplit="3" topLeftCell="A4" activePane="bottomLeft" state="frozen"/>
      <selection pane="bottomLeft" activeCell="E5" sqref="E5"/>
    </sheetView>
  </sheetViews>
  <sheetFormatPr baseColWidth="10" defaultColWidth="9.1640625" defaultRowHeight="13" x14ac:dyDescent="0.15"/>
  <cols>
    <col min="1" max="1" width="9.83203125" style="286" customWidth="1"/>
    <col min="2" max="2" width="14.6640625" style="285" customWidth="1"/>
    <col min="3" max="3" width="13.6640625" style="7" customWidth="1"/>
    <col min="4" max="4" width="13.6640625" style="284" customWidth="1"/>
    <col min="5" max="5" width="13.6640625" style="283" customWidth="1"/>
    <col min="6" max="6" width="13.6640625" style="7" customWidth="1"/>
    <col min="7" max="16384" width="9.1640625" style="7"/>
  </cols>
  <sheetData>
    <row r="1" spans="1:6" s="302" customFormat="1" ht="12.75" customHeight="1" x14ac:dyDescent="0.15">
      <c r="A1" s="486" t="s">
        <v>241</v>
      </c>
      <c r="B1" s="484" t="s">
        <v>240</v>
      </c>
      <c r="C1" s="303" t="s">
        <v>239</v>
      </c>
      <c r="D1" s="304">
        <f>SUM(D4:D58)</f>
        <v>0</v>
      </c>
      <c r="E1" s="303">
        <f>SUM(E4:E58)/2</f>
        <v>0</v>
      </c>
      <c r="F1" s="303">
        <f>SUM(F4:F58)/2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45621</v>
      </c>
      <c r="B5" s="297">
        <v>45621</v>
      </c>
      <c r="C5" s="296"/>
      <c r="D5" s="295"/>
      <c r="E5" s="294"/>
      <c r="F5" s="293"/>
    </row>
    <row r="6" spans="1:6" x14ac:dyDescent="0.15">
      <c r="A6" s="292">
        <v>45622</v>
      </c>
      <c r="B6" s="285">
        <v>45622</v>
      </c>
      <c r="F6" s="291"/>
    </row>
    <row r="7" spans="1:6" x14ac:dyDescent="0.15">
      <c r="A7" s="292">
        <v>45623</v>
      </c>
      <c r="B7" s="285">
        <v>45623</v>
      </c>
      <c r="F7" s="291"/>
    </row>
    <row r="8" spans="1:6" x14ac:dyDescent="0.15">
      <c r="A8" s="292">
        <v>45624</v>
      </c>
      <c r="B8" s="285">
        <v>45624</v>
      </c>
      <c r="F8" s="291"/>
    </row>
    <row r="9" spans="1:6" x14ac:dyDescent="0.15">
      <c r="A9" s="292">
        <v>45625</v>
      </c>
      <c r="B9" s="285">
        <v>45625</v>
      </c>
      <c r="F9" s="291"/>
    </row>
    <row r="10" spans="1:6" x14ac:dyDescent="0.15">
      <c r="A10" s="292">
        <v>45626</v>
      </c>
      <c r="B10" s="285">
        <v>45626</v>
      </c>
      <c r="F10" s="291"/>
    </row>
    <row r="11" spans="1:6" x14ac:dyDescent="0.15">
      <c r="A11" s="292">
        <v>45627</v>
      </c>
      <c r="B11" s="285">
        <v>45627</v>
      </c>
      <c r="F11" s="291"/>
    </row>
    <row r="12" spans="1:6" x14ac:dyDescent="0.15">
      <c r="A12" s="292">
        <v>45627</v>
      </c>
      <c r="B12" s="285" t="s">
        <v>234</v>
      </c>
      <c r="F12" s="291"/>
    </row>
    <row r="13" spans="1:6" x14ac:dyDescent="0.15">
      <c r="A13" s="292">
        <v>45627</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45628</v>
      </c>
      <c r="B16" s="297">
        <v>45628</v>
      </c>
      <c r="C16" s="296"/>
      <c r="D16" s="295"/>
      <c r="E16" s="294"/>
      <c r="F16" s="293"/>
    </row>
    <row r="17" spans="1:6" x14ac:dyDescent="0.15">
      <c r="A17" s="292">
        <v>45629</v>
      </c>
      <c r="B17" s="285">
        <v>45629</v>
      </c>
      <c r="F17" s="291"/>
    </row>
    <row r="18" spans="1:6" x14ac:dyDescent="0.15">
      <c r="A18" s="292">
        <v>45630</v>
      </c>
      <c r="B18" s="285">
        <v>45630</v>
      </c>
      <c r="F18" s="291"/>
    </row>
    <row r="19" spans="1:6" x14ac:dyDescent="0.15">
      <c r="A19" s="292">
        <v>45631</v>
      </c>
      <c r="B19" s="285">
        <v>45631</v>
      </c>
      <c r="F19" s="291"/>
    </row>
    <row r="20" spans="1:6" x14ac:dyDescent="0.15">
      <c r="A20" s="292">
        <v>45632</v>
      </c>
      <c r="B20" s="285">
        <v>45632</v>
      </c>
      <c r="F20" s="291"/>
    </row>
    <row r="21" spans="1:6" x14ac:dyDescent="0.15">
      <c r="A21" s="292">
        <v>45633</v>
      </c>
      <c r="B21" s="285">
        <v>45633</v>
      </c>
      <c r="F21" s="291"/>
    </row>
    <row r="22" spans="1:6" x14ac:dyDescent="0.15">
      <c r="A22" s="292">
        <v>45634</v>
      </c>
      <c r="B22" s="285">
        <v>45634</v>
      </c>
      <c r="F22" s="291"/>
    </row>
    <row r="23" spans="1:6" x14ac:dyDescent="0.15">
      <c r="A23" s="292">
        <v>45634</v>
      </c>
      <c r="B23" s="285" t="s">
        <v>234</v>
      </c>
      <c r="F23" s="291"/>
    </row>
    <row r="24" spans="1:6" x14ac:dyDescent="0.15">
      <c r="A24" s="292">
        <v>45634</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45635</v>
      </c>
      <c r="B27" s="297">
        <v>45635</v>
      </c>
      <c r="C27" s="296"/>
      <c r="D27" s="295"/>
      <c r="E27" s="294"/>
      <c r="F27" s="293"/>
    </row>
    <row r="28" spans="1:6" x14ac:dyDescent="0.15">
      <c r="A28" s="292">
        <v>45636</v>
      </c>
      <c r="B28" s="285">
        <v>45636</v>
      </c>
      <c r="F28" s="291"/>
    </row>
    <row r="29" spans="1:6" x14ac:dyDescent="0.15">
      <c r="A29" s="292">
        <v>45637</v>
      </c>
      <c r="B29" s="285">
        <v>45637</v>
      </c>
      <c r="F29" s="291"/>
    </row>
    <row r="30" spans="1:6" x14ac:dyDescent="0.15">
      <c r="A30" s="292">
        <v>45638</v>
      </c>
      <c r="B30" s="285">
        <v>45638</v>
      </c>
      <c r="F30" s="291"/>
    </row>
    <row r="31" spans="1:6" x14ac:dyDescent="0.15">
      <c r="A31" s="292">
        <v>45639</v>
      </c>
      <c r="B31" s="285">
        <v>45639</v>
      </c>
      <c r="F31" s="291"/>
    </row>
    <row r="32" spans="1:6" x14ac:dyDescent="0.15">
      <c r="A32" s="292">
        <v>45640</v>
      </c>
      <c r="B32" s="285">
        <v>45640</v>
      </c>
      <c r="F32" s="291"/>
    </row>
    <row r="33" spans="1:6" x14ac:dyDescent="0.15">
      <c r="A33" s="292">
        <v>45641</v>
      </c>
      <c r="B33" s="285">
        <v>45641</v>
      </c>
      <c r="F33" s="291"/>
    </row>
    <row r="34" spans="1:6" x14ac:dyDescent="0.15">
      <c r="A34" s="292">
        <v>45641</v>
      </c>
      <c r="B34" s="285" t="s">
        <v>234</v>
      </c>
      <c r="F34" s="291"/>
    </row>
    <row r="35" spans="1:6" x14ac:dyDescent="0.15">
      <c r="A35" s="292">
        <v>45641</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45642</v>
      </c>
      <c r="B38" s="297">
        <v>45642</v>
      </c>
      <c r="C38" s="296"/>
      <c r="D38" s="295"/>
      <c r="E38" s="294"/>
      <c r="F38" s="293"/>
    </row>
    <row r="39" spans="1:6" x14ac:dyDescent="0.15">
      <c r="A39" s="292">
        <v>45643</v>
      </c>
      <c r="B39" s="285">
        <v>45643</v>
      </c>
      <c r="F39" s="291"/>
    </row>
    <row r="40" spans="1:6" x14ac:dyDescent="0.15">
      <c r="A40" s="292">
        <v>45644</v>
      </c>
      <c r="B40" s="285">
        <v>45644</v>
      </c>
      <c r="F40" s="291"/>
    </row>
    <row r="41" spans="1:6" x14ac:dyDescent="0.15">
      <c r="A41" s="292">
        <v>45645</v>
      </c>
      <c r="B41" s="285">
        <v>45645</v>
      </c>
      <c r="F41" s="291"/>
    </row>
    <row r="42" spans="1:6" x14ac:dyDescent="0.15">
      <c r="A42" s="292">
        <v>45646</v>
      </c>
      <c r="B42" s="285">
        <v>45646</v>
      </c>
      <c r="F42" s="291"/>
    </row>
    <row r="43" spans="1:6" x14ac:dyDescent="0.15">
      <c r="A43" s="292">
        <v>45647</v>
      </c>
      <c r="B43" s="285">
        <v>45647</v>
      </c>
      <c r="F43" s="291"/>
    </row>
    <row r="44" spans="1:6" x14ac:dyDescent="0.15">
      <c r="A44" s="292">
        <v>45648</v>
      </c>
      <c r="B44" s="285">
        <v>45648</v>
      </c>
      <c r="F44" s="291"/>
    </row>
    <row r="45" spans="1:6" x14ac:dyDescent="0.15">
      <c r="A45" s="292">
        <v>45648</v>
      </c>
      <c r="B45" s="285" t="s">
        <v>234</v>
      </c>
      <c r="F45" s="291"/>
    </row>
    <row r="46" spans="1:6" x14ac:dyDescent="0.15">
      <c r="A46" s="292">
        <v>45648</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45649</v>
      </c>
      <c r="B49" s="297">
        <v>45649</v>
      </c>
      <c r="C49" s="296"/>
      <c r="D49" s="295"/>
      <c r="E49" s="294"/>
      <c r="F49" s="293"/>
    </row>
    <row r="50" spans="1:6" x14ac:dyDescent="0.15">
      <c r="A50" s="292">
        <v>45650</v>
      </c>
      <c r="B50" s="285">
        <v>45650</v>
      </c>
      <c r="F50" s="291"/>
    </row>
    <row r="51" spans="1:6" x14ac:dyDescent="0.15">
      <c r="A51" s="292">
        <v>45651</v>
      </c>
      <c r="B51" s="285">
        <v>45651</v>
      </c>
      <c r="F51" s="291"/>
    </row>
    <row r="52" spans="1:6" x14ac:dyDescent="0.15">
      <c r="A52" s="292">
        <v>45652</v>
      </c>
      <c r="B52" s="285">
        <v>45652</v>
      </c>
      <c r="F52" s="291"/>
    </row>
    <row r="53" spans="1:6" x14ac:dyDescent="0.15">
      <c r="A53" s="292">
        <v>45653</v>
      </c>
      <c r="B53" s="285">
        <v>45653</v>
      </c>
      <c r="F53" s="291"/>
    </row>
    <row r="54" spans="1:6" x14ac:dyDescent="0.15">
      <c r="A54" s="292">
        <v>45654</v>
      </c>
      <c r="B54" s="285">
        <v>45654</v>
      </c>
      <c r="F54" s="291"/>
    </row>
    <row r="55" spans="1:6" x14ac:dyDescent="0.15">
      <c r="A55" s="292">
        <v>45655</v>
      </c>
      <c r="B55" s="285">
        <v>45655</v>
      </c>
      <c r="F55" s="291"/>
    </row>
    <row r="56" spans="1:6" x14ac:dyDescent="0.15">
      <c r="A56" s="292">
        <v>45655</v>
      </c>
      <c r="B56" s="285" t="s">
        <v>234</v>
      </c>
      <c r="F56" s="291"/>
    </row>
    <row r="57" spans="1:6" x14ac:dyDescent="0.15">
      <c r="A57" s="292">
        <v>45655</v>
      </c>
      <c r="B57" s="285" t="s">
        <v>233</v>
      </c>
      <c r="F57" s="291"/>
    </row>
    <row r="58" spans="1:6" ht="14" thickBot="1" x14ac:dyDescent="0.2">
      <c r="A58" s="290"/>
      <c r="B58" s="289"/>
      <c r="C58" s="287"/>
      <c r="D58" s="288"/>
      <c r="E58" s="300">
        <f>SUM(E49:E57)</f>
        <v>0</v>
      </c>
      <c r="F58" s="299">
        <f>SUM(F49:F57)</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6640625" style="7" customWidth="1"/>
    <col min="20" max="20" width="12.83203125" style="6" customWidth="1"/>
    <col min="21" max="21" width="8.5" style="7" customWidth="1"/>
    <col min="22" max="16384" width="9.1640625" style="6"/>
  </cols>
  <sheetData>
    <row r="1" spans="1:21" s="7" customFormat="1" ht="13.5" customHeight="1" x14ac:dyDescent="0.15">
      <c r="A1" s="323">
        <f>E1+SalesDec!$D$1+PurchasesNov!A1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S1+PurchasesNov!T1</f>
        <v>0</v>
      </c>
      <c r="U1" s="320">
        <f>SUM(U4:U199)</f>
        <v>0</v>
      </c>
    </row>
    <row r="2" spans="1:21" s="7" customFormat="1" ht="13.5" customHeight="1" x14ac:dyDescent="0.15">
      <c r="A2" s="319">
        <f>U1+PurchasesNov!A2</f>
        <v>0</v>
      </c>
      <c r="B2" s="104" t="s">
        <v>272</v>
      </c>
      <c r="C2" s="492" t="s">
        <v>271</v>
      </c>
      <c r="D2" s="494" t="s">
        <v>270</v>
      </c>
      <c r="E2" s="492" t="s">
        <v>269</v>
      </c>
      <c r="F2" s="449" t="s">
        <v>268</v>
      </c>
      <c r="G2" s="496" t="s">
        <v>267</v>
      </c>
      <c r="H2" s="497"/>
      <c r="I2" s="498">
        <f>G1+H1+I1+J1+PurchasesNov!I2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IF((E1&lt;&gt;0),Admin!$B$13,"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IF((A1&lt;Admin!$F$22),((A1-PurchasesNov!A1)*Admin!$G$21),(A1*Admin!$G$21-(A1-Admin!$F$21)*(Admin!$G$21-Admin!$G$22)-PurchasesNov!A2))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8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F47"/>
  <sheetViews>
    <sheetView workbookViewId="0">
      <pane ySplit="3" topLeftCell="A4" activePane="bottomLeft" state="frozen"/>
      <selection pane="bottomLeft" activeCell="A5" sqref="A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45656</v>
      </c>
      <c r="B5" s="297">
        <v>45656</v>
      </c>
      <c r="C5" s="296"/>
      <c r="D5" s="295"/>
      <c r="E5" s="294"/>
      <c r="F5" s="293"/>
    </row>
    <row r="6" spans="1:6" x14ac:dyDescent="0.15">
      <c r="A6" s="292">
        <v>45657</v>
      </c>
      <c r="B6" s="285">
        <v>45657</v>
      </c>
      <c r="F6" s="291"/>
    </row>
    <row r="7" spans="1:6" x14ac:dyDescent="0.15">
      <c r="A7" s="292">
        <v>45658</v>
      </c>
      <c r="B7" s="285">
        <v>45658</v>
      </c>
      <c r="F7" s="291"/>
    </row>
    <row r="8" spans="1:6" x14ac:dyDescent="0.15">
      <c r="A8" s="292">
        <v>45659</v>
      </c>
      <c r="B8" s="285">
        <v>45659</v>
      </c>
      <c r="F8" s="291"/>
    </row>
    <row r="9" spans="1:6" x14ac:dyDescent="0.15">
      <c r="A9" s="292">
        <v>45660</v>
      </c>
      <c r="B9" s="285">
        <v>45660</v>
      </c>
      <c r="F9" s="291"/>
    </row>
    <row r="10" spans="1:6" x14ac:dyDescent="0.15">
      <c r="A10" s="292">
        <v>45661</v>
      </c>
      <c r="B10" s="285">
        <v>45661</v>
      </c>
      <c r="F10" s="291"/>
    </row>
    <row r="11" spans="1:6" x14ac:dyDescent="0.15">
      <c r="A11" s="292">
        <v>45662</v>
      </c>
      <c r="B11" s="285">
        <v>45662</v>
      </c>
      <c r="F11" s="291"/>
    </row>
    <row r="12" spans="1:6" x14ac:dyDescent="0.15">
      <c r="A12" s="292">
        <v>45662</v>
      </c>
      <c r="B12" s="285" t="s">
        <v>234</v>
      </c>
      <c r="F12" s="291"/>
    </row>
    <row r="13" spans="1:6" x14ac:dyDescent="0.15">
      <c r="A13" s="292">
        <v>45662</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45663</v>
      </c>
      <c r="B16" s="297">
        <v>45663</v>
      </c>
      <c r="C16" s="296"/>
      <c r="D16" s="295"/>
      <c r="E16" s="294"/>
      <c r="F16" s="293"/>
    </row>
    <row r="17" spans="1:6" x14ac:dyDescent="0.15">
      <c r="A17" s="292">
        <v>45664</v>
      </c>
      <c r="B17" s="285">
        <v>45664</v>
      </c>
      <c r="F17" s="291"/>
    </row>
    <row r="18" spans="1:6" x14ac:dyDescent="0.15">
      <c r="A18" s="292">
        <v>45665</v>
      </c>
      <c r="B18" s="285">
        <v>45665</v>
      </c>
      <c r="F18" s="291"/>
    </row>
    <row r="19" spans="1:6" x14ac:dyDescent="0.15">
      <c r="A19" s="292">
        <v>45666</v>
      </c>
      <c r="B19" s="285">
        <v>45666</v>
      </c>
      <c r="F19" s="291"/>
    </row>
    <row r="20" spans="1:6" x14ac:dyDescent="0.15">
      <c r="A20" s="292">
        <v>45667</v>
      </c>
      <c r="B20" s="285">
        <v>45667</v>
      </c>
      <c r="F20" s="291"/>
    </row>
    <row r="21" spans="1:6" x14ac:dyDescent="0.15">
      <c r="A21" s="292">
        <v>45668</v>
      </c>
      <c r="B21" s="285">
        <v>45668</v>
      </c>
      <c r="F21" s="291"/>
    </row>
    <row r="22" spans="1:6" x14ac:dyDescent="0.15">
      <c r="A22" s="292">
        <v>45669</v>
      </c>
      <c r="B22" s="285">
        <v>45669</v>
      </c>
      <c r="F22" s="291"/>
    </row>
    <row r="23" spans="1:6" x14ac:dyDescent="0.15">
      <c r="A23" s="292">
        <v>45669</v>
      </c>
      <c r="B23" s="285" t="s">
        <v>234</v>
      </c>
      <c r="F23" s="291"/>
    </row>
    <row r="24" spans="1:6" x14ac:dyDescent="0.15">
      <c r="A24" s="292">
        <v>45669</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45670</v>
      </c>
      <c r="B27" s="297">
        <v>45670</v>
      </c>
      <c r="C27" s="296"/>
      <c r="D27" s="295"/>
      <c r="E27" s="294"/>
      <c r="F27" s="293"/>
    </row>
    <row r="28" spans="1:6" x14ac:dyDescent="0.15">
      <c r="A28" s="292">
        <v>45671</v>
      </c>
      <c r="B28" s="285">
        <v>45671</v>
      </c>
      <c r="F28" s="291"/>
    </row>
    <row r="29" spans="1:6" x14ac:dyDescent="0.15">
      <c r="A29" s="292">
        <v>45672</v>
      </c>
      <c r="B29" s="285">
        <v>45672</v>
      </c>
      <c r="F29" s="291"/>
    </row>
    <row r="30" spans="1:6" x14ac:dyDescent="0.15">
      <c r="A30" s="292">
        <v>45673</v>
      </c>
      <c r="B30" s="285">
        <v>45673</v>
      </c>
      <c r="F30" s="291"/>
    </row>
    <row r="31" spans="1:6" x14ac:dyDescent="0.15">
      <c r="A31" s="292">
        <v>45674</v>
      </c>
      <c r="B31" s="285">
        <v>45674</v>
      </c>
      <c r="F31" s="291"/>
    </row>
    <row r="32" spans="1:6" x14ac:dyDescent="0.15">
      <c r="A32" s="292">
        <v>45675</v>
      </c>
      <c r="B32" s="285">
        <v>45675</v>
      </c>
      <c r="F32" s="291"/>
    </row>
    <row r="33" spans="1:6" x14ac:dyDescent="0.15">
      <c r="A33" s="292">
        <v>45676</v>
      </c>
      <c r="B33" s="285">
        <v>45676</v>
      </c>
      <c r="F33" s="291"/>
    </row>
    <row r="34" spans="1:6" x14ac:dyDescent="0.15">
      <c r="A34" s="292">
        <v>45676</v>
      </c>
      <c r="B34" s="285" t="s">
        <v>234</v>
      </c>
      <c r="F34" s="291"/>
    </row>
    <row r="35" spans="1:6" x14ac:dyDescent="0.15">
      <c r="A35" s="292">
        <v>45676</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45677</v>
      </c>
      <c r="B38" s="297">
        <v>45677</v>
      </c>
      <c r="C38" s="296"/>
      <c r="D38" s="295"/>
      <c r="E38" s="294"/>
      <c r="F38" s="293"/>
    </row>
    <row r="39" spans="1:6" x14ac:dyDescent="0.15">
      <c r="A39" s="292">
        <v>45678</v>
      </c>
      <c r="B39" s="285">
        <v>45678</v>
      </c>
      <c r="F39" s="291"/>
    </row>
    <row r="40" spans="1:6" x14ac:dyDescent="0.15">
      <c r="A40" s="292">
        <v>45679</v>
      </c>
      <c r="B40" s="285">
        <v>45679</v>
      </c>
      <c r="F40" s="291"/>
    </row>
    <row r="41" spans="1:6" x14ac:dyDescent="0.15">
      <c r="A41" s="292">
        <v>45680</v>
      </c>
      <c r="B41" s="285">
        <v>45680</v>
      </c>
      <c r="F41" s="291"/>
    </row>
    <row r="42" spans="1:6" x14ac:dyDescent="0.15">
      <c r="A42" s="292">
        <v>45681</v>
      </c>
      <c r="B42" s="285">
        <v>45681</v>
      </c>
      <c r="F42" s="291"/>
    </row>
    <row r="43" spans="1:6" x14ac:dyDescent="0.15">
      <c r="A43" s="292">
        <v>45682</v>
      </c>
      <c r="B43" s="285">
        <v>45682</v>
      </c>
      <c r="F43" s="291"/>
    </row>
    <row r="44" spans="1:6" x14ac:dyDescent="0.15">
      <c r="A44" s="292">
        <v>45683</v>
      </c>
      <c r="B44" s="285">
        <v>45683</v>
      </c>
      <c r="F44" s="291"/>
    </row>
    <row r="45" spans="1:6" x14ac:dyDescent="0.15">
      <c r="A45" s="292">
        <v>45683</v>
      </c>
      <c r="B45" s="285" t="s">
        <v>234</v>
      </c>
      <c r="F45" s="291"/>
    </row>
    <row r="46" spans="1:6" x14ac:dyDescent="0.15">
      <c r="A46" s="292">
        <v>45683</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8.5" style="7" customWidth="1"/>
    <col min="20" max="20" width="12.83203125" style="6" customWidth="1"/>
    <col min="21" max="21" width="8.1640625" style="7" customWidth="1"/>
    <col min="22" max="16384" width="9.1640625" style="6"/>
  </cols>
  <sheetData>
    <row r="1" spans="1:21" s="7" customFormat="1" ht="13.5" customHeight="1" x14ac:dyDescent="0.15">
      <c r="A1" s="323">
        <f>E1+SalesJan!$D$1+PurchasesDec!A1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S1+PurchasesDec!T1</f>
        <v>0</v>
      </c>
      <c r="U1" s="320">
        <f>SUM(U4:U199)</f>
        <v>0</v>
      </c>
    </row>
    <row r="2" spans="1:21" s="7" customFormat="1" ht="13.5" customHeight="1" x14ac:dyDescent="0.15">
      <c r="A2" s="319">
        <f>U1+PurchasesDec!A2</f>
        <v>0</v>
      </c>
      <c r="B2" s="104" t="s">
        <v>272</v>
      </c>
      <c r="C2" s="492" t="s">
        <v>271</v>
      </c>
      <c r="D2" s="494" t="s">
        <v>270</v>
      </c>
      <c r="E2" s="492" t="s">
        <v>269</v>
      </c>
      <c r="F2" s="449" t="s">
        <v>268</v>
      </c>
      <c r="G2" s="496" t="s">
        <v>267</v>
      </c>
      <c r="H2" s="497"/>
      <c r="I2" s="498">
        <f>G1+H1+I1+J1+PurchasesDec!I2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IF((E1&lt;&gt;0),Admin!$B$14,"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IF((A1&lt;Admin!$F$22),((A1-PurchasesDec!A1)*Admin!$G$21),(A1*Admin!$G$21-(A1-Admin!$F$21)*(Admin!$G$21-Admin!$G$22)-PurchasesDec!A2))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A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F47"/>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5" width="12.6640625" style="283" customWidth="1"/>
    <col min="6" max="6" width="12.6640625" style="7" customWidth="1"/>
    <col min="7" max="16384" width="9.1640625" style="7"/>
  </cols>
  <sheetData>
    <row r="1" spans="1:6" s="302" customFormat="1" ht="12.75" customHeight="1" x14ac:dyDescent="0.15">
      <c r="A1" s="486" t="s">
        <v>241</v>
      </c>
      <c r="B1" s="484" t="s">
        <v>240</v>
      </c>
      <c r="C1" s="303" t="s">
        <v>239</v>
      </c>
      <c r="D1" s="304">
        <f>SUM(D4:D47)</f>
        <v>0</v>
      </c>
      <c r="E1" s="303">
        <f>SUM(E4:E47)/2</f>
        <v>0</v>
      </c>
      <c r="F1" s="303">
        <f>SUM(F4:F47)/2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45684</v>
      </c>
      <c r="B5" s="297">
        <v>45684</v>
      </c>
      <c r="C5" s="296"/>
      <c r="D5" s="295"/>
      <c r="E5" s="294"/>
      <c r="F5" s="293"/>
    </row>
    <row r="6" spans="1:6" x14ac:dyDescent="0.15">
      <c r="A6" s="292">
        <v>45685</v>
      </c>
      <c r="B6" s="285">
        <v>45685</v>
      </c>
      <c r="F6" s="291"/>
    </row>
    <row r="7" spans="1:6" x14ac:dyDescent="0.15">
      <c r="A7" s="292">
        <v>45686</v>
      </c>
      <c r="B7" s="285">
        <v>45686</v>
      </c>
      <c r="F7" s="291"/>
    </row>
    <row r="8" spans="1:6" x14ac:dyDescent="0.15">
      <c r="A8" s="292">
        <v>45687</v>
      </c>
      <c r="B8" s="285">
        <v>45687</v>
      </c>
      <c r="F8" s="291"/>
    </row>
    <row r="9" spans="1:6" x14ac:dyDescent="0.15">
      <c r="A9" s="292">
        <v>45688</v>
      </c>
      <c r="B9" s="285">
        <v>45688</v>
      </c>
      <c r="F9" s="291"/>
    </row>
    <row r="10" spans="1:6" x14ac:dyDescent="0.15">
      <c r="A10" s="292">
        <v>45689</v>
      </c>
      <c r="B10" s="285">
        <v>45689</v>
      </c>
      <c r="F10" s="291"/>
    </row>
    <row r="11" spans="1:6" x14ac:dyDescent="0.15">
      <c r="A11" s="292">
        <v>45690</v>
      </c>
      <c r="B11" s="285">
        <v>45690</v>
      </c>
      <c r="F11" s="291"/>
    </row>
    <row r="12" spans="1:6" x14ac:dyDescent="0.15">
      <c r="A12" s="292">
        <v>45690</v>
      </c>
      <c r="B12" s="285" t="s">
        <v>234</v>
      </c>
      <c r="F12" s="291"/>
    </row>
    <row r="13" spans="1:6" x14ac:dyDescent="0.15">
      <c r="A13" s="292">
        <v>45690</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45691</v>
      </c>
      <c r="B16" s="297">
        <v>45691</v>
      </c>
      <c r="C16" s="296"/>
      <c r="D16" s="295"/>
      <c r="E16" s="294"/>
      <c r="F16" s="293"/>
    </row>
    <row r="17" spans="1:6" x14ac:dyDescent="0.15">
      <c r="A17" s="292">
        <v>45692</v>
      </c>
      <c r="B17" s="285">
        <v>45692</v>
      </c>
      <c r="F17" s="291"/>
    </row>
    <row r="18" spans="1:6" x14ac:dyDescent="0.15">
      <c r="A18" s="292">
        <v>45693</v>
      </c>
      <c r="B18" s="285">
        <v>45693</v>
      </c>
      <c r="F18" s="291"/>
    </row>
    <row r="19" spans="1:6" x14ac:dyDescent="0.15">
      <c r="A19" s="292">
        <v>45694</v>
      </c>
      <c r="B19" s="285">
        <v>45694</v>
      </c>
      <c r="F19" s="291"/>
    </row>
    <row r="20" spans="1:6" x14ac:dyDescent="0.15">
      <c r="A20" s="292">
        <v>45695</v>
      </c>
      <c r="B20" s="285">
        <v>45695</v>
      </c>
      <c r="F20" s="291"/>
    </row>
    <row r="21" spans="1:6" x14ac:dyDescent="0.15">
      <c r="A21" s="292">
        <v>45696</v>
      </c>
      <c r="B21" s="285">
        <v>45696</v>
      </c>
      <c r="F21" s="291"/>
    </row>
    <row r="22" spans="1:6" x14ac:dyDescent="0.15">
      <c r="A22" s="292">
        <v>45697</v>
      </c>
      <c r="B22" s="285">
        <v>45697</v>
      </c>
      <c r="F22" s="291"/>
    </row>
    <row r="23" spans="1:6" x14ac:dyDescent="0.15">
      <c r="A23" s="292">
        <v>45697</v>
      </c>
      <c r="B23" s="285" t="s">
        <v>234</v>
      </c>
      <c r="F23" s="291"/>
    </row>
    <row r="24" spans="1:6" x14ac:dyDescent="0.15">
      <c r="A24" s="292">
        <v>45697</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45698</v>
      </c>
      <c r="B27" s="297">
        <v>45698</v>
      </c>
      <c r="C27" s="296"/>
      <c r="D27" s="295"/>
      <c r="E27" s="294"/>
      <c r="F27" s="293"/>
    </row>
    <row r="28" spans="1:6" x14ac:dyDescent="0.15">
      <c r="A28" s="292">
        <v>45699</v>
      </c>
      <c r="B28" s="285">
        <v>45699</v>
      </c>
      <c r="F28" s="291"/>
    </row>
    <row r="29" spans="1:6" x14ac:dyDescent="0.15">
      <c r="A29" s="292">
        <v>45700</v>
      </c>
      <c r="B29" s="285">
        <v>45700</v>
      </c>
      <c r="F29" s="291"/>
    </row>
    <row r="30" spans="1:6" x14ac:dyDescent="0.15">
      <c r="A30" s="292">
        <v>45701</v>
      </c>
      <c r="B30" s="285">
        <v>45701</v>
      </c>
      <c r="F30" s="291"/>
    </row>
    <row r="31" spans="1:6" x14ac:dyDescent="0.15">
      <c r="A31" s="292">
        <v>45702</v>
      </c>
      <c r="B31" s="285">
        <v>45702</v>
      </c>
      <c r="F31" s="291"/>
    </row>
    <row r="32" spans="1:6" x14ac:dyDescent="0.15">
      <c r="A32" s="292">
        <v>45703</v>
      </c>
      <c r="B32" s="285">
        <v>45703</v>
      </c>
      <c r="F32" s="291"/>
    </row>
    <row r="33" spans="1:6" x14ac:dyDescent="0.15">
      <c r="A33" s="292">
        <v>45704</v>
      </c>
      <c r="B33" s="285">
        <v>45704</v>
      </c>
      <c r="F33" s="291"/>
    </row>
    <row r="34" spans="1:6" x14ac:dyDescent="0.15">
      <c r="A34" s="292">
        <v>45704</v>
      </c>
      <c r="B34" s="285" t="s">
        <v>234</v>
      </c>
      <c r="F34" s="291"/>
    </row>
    <row r="35" spans="1:6" x14ac:dyDescent="0.15">
      <c r="A35" s="292">
        <v>45704</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45705</v>
      </c>
      <c r="B38" s="297">
        <v>45705</v>
      </c>
      <c r="C38" s="296"/>
      <c r="D38" s="295"/>
      <c r="E38" s="294"/>
      <c r="F38" s="293"/>
    </row>
    <row r="39" spans="1:6" x14ac:dyDescent="0.15">
      <c r="A39" s="292">
        <v>45706</v>
      </c>
      <c r="B39" s="285">
        <v>45706</v>
      </c>
      <c r="F39" s="291"/>
    </row>
    <row r="40" spans="1:6" x14ac:dyDescent="0.15">
      <c r="A40" s="292">
        <v>45707</v>
      </c>
      <c r="B40" s="285">
        <v>45707</v>
      </c>
      <c r="F40" s="291"/>
    </row>
    <row r="41" spans="1:6" x14ac:dyDescent="0.15">
      <c r="A41" s="292">
        <v>45708</v>
      </c>
      <c r="B41" s="285">
        <v>45708</v>
      </c>
      <c r="F41" s="291"/>
    </row>
    <row r="42" spans="1:6" x14ac:dyDescent="0.15">
      <c r="A42" s="292">
        <v>45709</v>
      </c>
      <c r="B42" s="285">
        <v>45709</v>
      </c>
      <c r="F42" s="291"/>
    </row>
    <row r="43" spans="1:6" x14ac:dyDescent="0.15">
      <c r="A43" s="292">
        <v>45710</v>
      </c>
      <c r="B43" s="285">
        <v>45710</v>
      </c>
      <c r="F43" s="291"/>
    </row>
    <row r="44" spans="1:6" x14ac:dyDescent="0.15">
      <c r="A44" s="292">
        <v>45711</v>
      </c>
      <c r="B44" s="285">
        <v>45711</v>
      </c>
      <c r="F44" s="291"/>
    </row>
    <row r="45" spans="1:6" x14ac:dyDescent="0.15">
      <c r="A45" s="292">
        <v>45711</v>
      </c>
      <c r="B45" s="285" t="s">
        <v>234</v>
      </c>
      <c r="F45" s="291"/>
    </row>
    <row r="46" spans="1:6" x14ac:dyDescent="0.15">
      <c r="A46" s="292">
        <v>45711</v>
      </c>
      <c r="B46" s="285" t="s">
        <v>233</v>
      </c>
      <c r="F46" s="291"/>
    </row>
    <row r="47" spans="1:6" ht="14" thickBot="1" x14ac:dyDescent="0.2">
      <c r="A47" s="290"/>
      <c r="B47" s="289"/>
      <c r="C47" s="287"/>
      <c r="D47" s="288"/>
      <c r="E47" s="300">
        <f>SUM(E38:E46)</f>
        <v>0</v>
      </c>
      <c r="F47" s="299">
        <f>SUM(F38:F46)</f>
        <v>0</v>
      </c>
    </row>
  </sheetData>
  <mergeCells count="6">
    <mergeCell ref="A1:A3"/>
    <mergeCell ref="B1:B3"/>
    <mergeCell ref="F2:F3"/>
    <mergeCell ref="D2:D3"/>
    <mergeCell ref="E2:E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8.83203125" style="7" customWidth="1"/>
    <col min="14" max="14" width="9.1640625" style="7"/>
    <col min="15" max="15" width="9.33203125" style="7" customWidth="1"/>
    <col min="16" max="18" width="7.6640625" style="7" customWidth="1"/>
    <col min="19" max="19" width="8.1640625" style="7" customWidth="1"/>
    <col min="20" max="20" width="12.5" style="6" customWidth="1"/>
    <col min="21" max="21" width="8.1640625" style="7" customWidth="1"/>
    <col min="22" max="16384" width="9.1640625" style="6"/>
  </cols>
  <sheetData>
    <row r="1" spans="1:21" s="7" customFormat="1" ht="13.5" customHeight="1" x14ac:dyDescent="0.15">
      <c r="A1" s="323">
        <f>E1+SalesFeb!$D$1+PurchasesJan!A1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S1+PurchasesJan!T1</f>
        <v>0</v>
      </c>
      <c r="U1" s="320">
        <f>SUM(U4:U199)</f>
        <v>0</v>
      </c>
    </row>
    <row r="2" spans="1:21" s="7" customFormat="1" ht="13.5" customHeight="1" x14ac:dyDescent="0.15">
      <c r="A2" s="319">
        <f>U1+PurchasesJan!A2</f>
        <v>0</v>
      </c>
      <c r="B2" s="104" t="s">
        <v>272</v>
      </c>
      <c r="C2" s="492" t="s">
        <v>271</v>
      </c>
      <c r="D2" s="494" t="s">
        <v>270</v>
      </c>
      <c r="E2" s="492" t="s">
        <v>269</v>
      </c>
      <c r="F2" s="449" t="s">
        <v>268</v>
      </c>
      <c r="G2" s="496" t="s">
        <v>267</v>
      </c>
      <c r="H2" s="497"/>
      <c r="I2" s="498">
        <f>G1+H1+I1+J1+PurchasesJan!I2</f>
        <v>0</v>
      </c>
      <c r="J2" s="499"/>
      <c r="K2" s="449" t="s">
        <v>266</v>
      </c>
      <c r="L2" s="449" t="s">
        <v>265</v>
      </c>
      <c r="M2" s="449" t="s">
        <v>264</v>
      </c>
      <c r="N2" s="449" t="s">
        <v>274</v>
      </c>
      <c r="O2" s="449" t="s">
        <v>262</v>
      </c>
      <c r="P2" s="449" t="s">
        <v>261</v>
      </c>
      <c r="Q2" s="449" t="s">
        <v>260</v>
      </c>
      <c r="R2" s="449" t="s">
        <v>259</v>
      </c>
      <c r="S2" s="500" t="s">
        <v>258</v>
      </c>
      <c r="T2" s="503" t="str">
        <f>IF(T1&gt;'Fixed Assets'!$D$74,"ENTER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6"/>
    </row>
    <row r="4" spans="1:21" s="308" customFormat="1" x14ac:dyDescent="0.15">
      <c r="A4" s="312" t="str">
        <f>IF((E1&lt;&gt;0),Admin!$B$15,"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IF((A1&lt;Admin!$F$22),((A1-PurchasesJan!A1)*Admin!$G$21),(A1*Admin!$G$21-(A1-Admin!$F$21)*(Admin!$G$21-Admin!$G$22)-PurchasesJan!A2))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C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D00-000000000000}">
  <dimension ref="A1:F68"/>
  <sheetViews>
    <sheetView workbookViewId="0">
      <pane ySplit="3" topLeftCell="A4" activePane="bottomLeft" state="frozen"/>
      <selection pane="bottomLeft" activeCell="C5" sqref="C5"/>
    </sheetView>
  </sheetViews>
  <sheetFormatPr baseColWidth="10" defaultColWidth="9.1640625" defaultRowHeight="13" x14ac:dyDescent="0.15"/>
  <cols>
    <col min="1" max="1" width="9.6640625" style="286" customWidth="1"/>
    <col min="2" max="2" width="14.6640625" style="285" customWidth="1"/>
    <col min="3" max="3" width="13.6640625" style="7" customWidth="1"/>
    <col min="4" max="4" width="12.6640625" style="284" customWidth="1"/>
    <col min="5" max="6" width="12.6640625" style="7" customWidth="1"/>
    <col min="7" max="7" width="8.83203125" customWidth="1"/>
    <col min="8" max="16384" width="9.1640625" style="7"/>
  </cols>
  <sheetData>
    <row r="1" spans="1:6" s="302" customFormat="1" ht="12.75" customHeight="1" x14ac:dyDescent="0.15">
      <c r="A1" s="486" t="s">
        <v>241</v>
      </c>
      <c r="B1" s="484" t="s">
        <v>240</v>
      </c>
      <c r="C1" s="303" t="s">
        <v>239</v>
      </c>
      <c r="D1" s="304">
        <f>SUM(D4:D68)</f>
        <v>0</v>
      </c>
      <c r="E1" s="303">
        <f>SUM(E4:E68)/2</f>
        <v>0</v>
      </c>
      <c r="F1" s="303">
        <f>SUM(F4:F68)/2</f>
        <v>0</v>
      </c>
    </row>
    <row r="2" spans="1:6" s="302" customFormat="1" ht="12.75" customHeight="1" x14ac:dyDescent="0.15">
      <c r="A2" s="487"/>
      <c r="B2" s="485"/>
      <c r="C2" s="482" t="s">
        <v>238</v>
      </c>
      <c r="D2" s="488" t="s">
        <v>237</v>
      </c>
      <c r="E2" s="482" t="s">
        <v>236</v>
      </c>
      <c r="F2" s="482" t="s">
        <v>235</v>
      </c>
    </row>
    <row r="3" spans="1:6" s="301" customFormat="1" ht="24" customHeight="1" x14ac:dyDescent="0.15">
      <c r="A3" s="487"/>
      <c r="B3" s="485"/>
      <c r="C3" s="490"/>
      <c r="D3" s="489"/>
      <c r="E3" s="483"/>
      <c r="F3" s="483"/>
    </row>
    <row r="4" spans="1:6" ht="14" thickBot="1" x14ac:dyDescent="0.2"/>
    <row r="5" spans="1:6" x14ac:dyDescent="0.15">
      <c r="A5" s="298">
        <v>45712</v>
      </c>
      <c r="B5" s="297">
        <v>45712</v>
      </c>
      <c r="C5" s="296"/>
      <c r="D5" s="295"/>
      <c r="E5" s="294"/>
      <c r="F5" s="293"/>
    </row>
    <row r="6" spans="1:6" x14ac:dyDescent="0.15">
      <c r="A6" s="292">
        <v>45713</v>
      </c>
      <c r="B6" s="285">
        <v>45713</v>
      </c>
      <c r="F6" s="291"/>
    </row>
    <row r="7" spans="1:6" x14ac:dyDescent="0.15">
      <c r="A7" s="292">
        <v>45714</v>
      </c>
      <c r="B7" s="285">
        <v>45714</v>
      </c>
      <c r="F7" s="291"/>
    </row>
    <row r="8" spans="1:6" x14ac:dyDescent="0.15">
      <c r="A8" s="292">
        <v>45715</v>
      </c>
      <c r="B8" s="285">
        <v>45715</v>
      </c>
      <c r="F8" s="291"/>
    </row>
    <row r="9" spans="1:6" x14ac:dyDescent="0.15">
      <c r="A9" s="292">
        <v>45716</v>
      </c>
      <c r="B9" s="285">
        <v>45716</v>
      </c>
      <c r="F9" s="291"/>
    </row>
    <row r="10" spans="1:6" x14ac:dyDescent="0.15">
      <c r="A10" s="292">
        <v>45717</v>
      </c>
      <c r="B10" s="285">
        <v>45717</v>
      </c>
      <c r="F10" s="291"/>
    </row>
    <row r="11" spans="1:6" x14ac:dyDescent="0.15">
      <c r="A11" s="292">
        <v>45718</v>
      </c>
      <c r="B11" s="285">
        <v>45718</v>
      </c>
      <c r="F11" s="291"/>
    </row>
    <row r="12" spans="1:6" x14ac:dyDescent="0.15">
      <c r="A12" s="292">
        <v>45718</v>
      </c>
      <c r="B12" s="285" t="s">
        <v>234</v>
      </c>
      <c r="F12" s="291"/>
    </row>
    <row r="13" spans="1:6" x14ac:dyDescent="0.15">
      <c r="A13" s="292">
        <v>45718</v>
      </c>
      <c r="B13" s="285" t="s">
        <v>233</v>
      </c>
      <c r="F13" s="291"/>
    </row>
    <row r="14" spans="1:6" ht="14" thickBot="1" x14ac:dyDescent="0.2">
      <c r="A14" s="290"/>
      <c r="B14" s="289"/>
      <c r="C14" s="287"/>
      <c r="D14" s="288"/>
      <c r="E14" s="300">
        <f>SUM(E5:E13)</f>
        <v>0</v>
      </c>
      <c r="F14" s="299">
        <f>SUM(F5:F13)</f>
        <v>0</v>
      </c>
    </row>
    <row r="15" spans="1:6" ht="14" thickBot="1" x14ac:dyDescent="0.2"/>
    <row r="16" spans="1:6" x14ac:dyDescent="0.15">
      <c r="A16" s="298">
        <v>45719</v>
      </c>
      <c r="B16" s="297">
        <v>45719</v>
      </c>
      <c r="C16" s="296"/>
      <c r="D16" s="295"/>
      <c r="E16" s="294"/>
      <c r="F16" s="293"/>
    </row>
    <row r="17" spans="1:6" x14ac:dyDescent="0.15">
      <c r="A17" s="292">
        <v>45720</v>
      </c>
      <c r="B17" s="285">
        <v>45720</v>
      </c>
      <c r="F17" s="291"/>
    </row>
    <row r="18" spans="1:6" x14ac:dyDescent="0.15">
      <c r="A18" s="292">
        <v>45721</v>
      </c>
      <c r="B18" s="285">
        <v>45721</v>
      </c>
      <c r="F18" s="291"/>
    </row>
    <row r="19" spans="1:6" x14ac:dyDescent="0.15">
      <c r="A19" s="292">
        <v>45722</v>
      </c>
      <c r="B19" s="285">
        <v>45722</v>
      </c>
      <c r="F19" s="291"/>
    </row>
    <row r="20" spans="1:6" x14ac:dyDescent="0.15">
      <c r="A20" s="292">
        <v>45723</v>
      </c>
      <c r="B20" s="285">
        <v>45723</v>
      </c>
      <c r="F20" s="291"/>
    </row>
    <row r="21" spans="1:6" x14ac:dyDescent="0.15">
      <c r="A21" s="292">
        <v>45724</v>
      </c>
      <c r="B21" s="285">
        <v>45724</v>
      </c>
      <c r="F21" s="291"/>
    </row>
    <row r="22" spans="1:6" x14ac:dyDescent="0.15">
      <c r="A22" s="292">
        <v>45725</v>
      </c>
      <c r="B22" s="285">
        <v>45725</v>
      </c>
      <c r="F22" s="291"/>
    </row>
    <row r="23" spans="1:6" x14ac:dyDescent="0.15">
      <c r="A23" s="292">
        <v>45725</v>
      </c>
      <c r="B23" s="285" t="s">
        <v>234</v>
      </c>
      <c r="F23" s="291"/>
    </row>
    <row r="24" spans="1:6" x14ac:dyDescent="0.15">
      <c r="A24" s="292">
        <v>45725</v>
      </c>
      <c r="B24" s="285" t="s">
        <v>233</v>
      </c>
      <c r="F24" s="291"/>
    </row>
    <row r="25" spans="1:6" ht="14" thickBot="1" x14ac:dyDescent="0.2">
      <c r="A25" s="290"/>
      <c r="B25" s="289"/>
      <c r="C25" s="287"/>
      <c r="D25" s="288"/>
      <c r="E25" s="300">
        <f>SUM(E16:E24)</f>
        <v>0</v>
      </c>
      <c r="F25" s="299">
        <f>SUM(F16:F24)</f>
        <v>0</v>
      </c>
    </row>
    <row r="26" spans="1:6" ht="14" thickBot="1" x14ac:dyDescent="0.2"/>
    <row r="27" spans="1:6" x14ac:dyDescent="0.15">
      <c r="A27" s="298">
        <v>45726</v>
      </c>
      <c r="B27" s="297">
        <v>45726</v>
      </c>
      <c r="C27" s="296"/>
      <c r="D27" s="295"/>
      <c r="E27" s="294"/>
      <c r="F27" s="293"/>
    </row>
    <row r="28" spans="1:6" x14ac:dyDescent="0.15">
      <c r="A28" s="292">
        <v>45727</v>
      </c>
      <c r="B28" s="285">
        <v>45727</v>
      </c>
      <c r="F28" s="291"/>
    </row>
    <row r="29" spans="1:6" x14ac:dyDescent="0.15">
      <c r="A29" s="292">
        <v>45728</v>
      </c>
      <c r="B29" s="285">
        <v>45728</v>
      </c>
      <c r="F29" s="291"/>
    </row>
    <row r="30" spans="1:6" x14ac:dyDescent="0.15">
      <c r="A30" s="292">
        <v>45729</v>
      </c>
      <c r="B30" s="285">
        <v>45729</v>
      </c>
      <c r="F30" s="291"/>
    </row>
    <row r="31" spans="1:6" x14ac:dyDescent="0.15">
      <c r="A31" s="292">
        <v>45730</v>
      </c>
      <c r="B31" s="285">
        <v>45730</v>
      </c>
      <c r="F31" s="291"/>
    </row>
    <row r="32" spans="1:6" x14ac:dyDescent="0.15">
      <c r="A32" s="292">
        <v>45731</v>
      </c>
      <c r="B32" s="285">
        <v>45731</v>
      </c>
      <c r="F32" s="291"/>
    </row>
    <row r="33" spans="1:6" x14ac:dyDescent="0.15">
      <c r="A33" s="292">
        <v>45732</v>
      </c>
      <c r="B33" s="285">
        <v>45732</v>
      </c>
      <c r="F33" s="291"/>
    </row>
    <row r="34" spans="1:6" x14ac:dyDescent="0.15">
      <c r="A34" s="292">
        <v>45732</v>
      </c>
      <c r="B34" s="285" t="s">
        <v>234</v>
      </c>
      <c r="F34" s="291"/>
    </row>
    <row r="35" spans="1:6" x14ac:dyDescent="0.15">
      <c r="A35" s="292">
        <v>45732</v>
      </c>
      <c r="B35" s="285" t="s">
        <v>233</v>
      </c>
      <c r="F35" s="291"/>
    </row>
    <row r="36" spans="1:6" ht="14" thickBot="1" x14ac:dyDescent="0.2">
      <c r="A36" s="290"/>
      <c r="B36" s="289"/>
      <c r="C36" s="287"/>
      <c r="D36" s="288"/>
      <c r="E36" s="300">
        <f>SUM(E27:E35)</f>
        <v>0</v>
      </c>
      <c r="F36" s="299">
        <f>SUM(F27:F35)</f>
        <v>0</v>
      </c>
    </row>
    <row r="37" spans="1:6" ht="14" thickBot="1" x14ac:dyDescent="0.2"/>
    <row r="38" spans="1:6" x14ac:dyDescent="0.15">
      <c r="A38" s="298">
        <v>45733</v>
      </c>
      <c r="B38" s="297">
        <v>45733</v>
      </c>
      <c r="C38" s="296"/>
      <c r="D38" s="295"/>
      <c r="E38" s="294"/>
      <c r="F38" s="293"/>
    </row>
    <row r="39" spans="1:6" x14ac:dyDescent="0.15">
      <c r="A39" s="292">
        <v>45734</v>
      </c>
      <c r="B39" s="285">
        <v>45734</v>
      </c>
      <c r="F39" s="291"/>
    </row>
    <row r="40" spans="1:6" x14ac:dyDescent="0.15">
      <c r="A40" s="292">
        <v>45735</v>
      </c>
      <c r="B40" s="285">
        <v>45735</v>
      </c>
      <c r="F40" s="291"/>
    </row>
    <row r="41" spans="1:6" x14ac:dyDescent="0.15">
      <c r="A41" s="292">
        <v>45736</v>
      </c>
      <c r="B41" s="285">
        <v>45736</v>
      </c>
      <c r="F41" s="291"/>
    </row>
    <row r="42" spans="1:6" x14ac:dyDescent="0.15">
      <c r="A42" s="292">
        <v>45737</v>
      </c>
      <c r="B42" s="285">
        <v>45737</v>
      </c>
      <c r="F42" s="291"/>
    </row>
    <row r="43" spans="1:6" x14ac:dyDescent="0.15">
      <c r="A43" s="292">
        <v>45738</v>
      </c>
      <c r="B43" s="285">
        <v>45738</v>
      </c>
      <c r="F43" s="291"/>
    </row>
    <row r="44" spans="1:6" x14ac:dyDescent="0.15">
      <c r="A44" s="292">
        <v>45739</v>
      </c>
      <c r="B44" s="285">
        <v>45739</v>
      </c>
      <c r="F44" s="291"/>
    </row>
    <row r="45" spans="1:6" x14ac:dyDescent="0.15">
      <c r="A45" s="292">
        <v>45739</v>
      </c>
      <c r="B45" s="285" t="s">
        <v>234</v>
      </c>
      <c r="F45" s="291"/>
    </row>
    <row r="46" spans="1:6" x14ac:dyDescent="0.15">
      <c r="A46" s="292">
        <v>45739</v>
      </c>
      <c r="B46" s="285" t="s">
        <v>233</v>
      </c>
      <c r="F46" s="291"/>
    </row>
    <row r="47" spans="1:6" ht="14" thickBot="1" x14ac:dyDescent="0.2">
      <c r="A47" s="290"/>
      <c r="B47" s="289"/>
      <c r="C47" s="287"/>
      <c r="D47" s="288"/>
      <c r="E47" s="300">
        <f>SUM(E38:E46)</f>
        <v>0</v>
      </c>
      <c r="F47" s="299">
        <f>SUM(F38:F46)</f>
        <v>0</v>
      </c>
    </row>
    <row r="48" spans="1:6" ht="14" thickBot="1" x14ac:dyDescent="0.2"/>
    <row r="49" spans="1:6" x14ac:dyDescent="0.15">
      <c r="A49" s="298">
        <v>45740</v>
      </c>
      <c r="B49" s="297">
        <v>45740</v>
      </c>
      <c r="C49" s="296"/>
      <c r="D49" s="295"/>
      <c r="E49" s="294"/>
      <c r="F49" s="293"/>
    </row>
    <row r="50" spans="1:6" x14ac:dyDescent="0.15">
      <c r="A50" s="292">
        <v>45741</v>
      </c>
      <c r="B50" s="285">
        <v>45741</v>
      </c>
      <c r="F50" s="291"/>
    </row>
    <row r="51" spans="1:6" x14ac:dyDescent="0.15">
      <c r="A51" s="292">
        <v>45742</v>
      </c>
      <c r="B51" s="285">
        <v>45742</v>
      </c>
      <c r="F51" s="291"/>
    </row>
    <row r="52" spans="1:6" x14ac:dyDescent="0.15">
      <c r="A52" s="292">
        <v>45743</v>
      </c>
      <c r="B52" s="285">
        <v>45743</v>
      </c>
      <c r="F52" s="291"/>
    </row>
    <row r="53" spans="1:6" x14ac:dyDescent="0.15">
      <c r="A53" s="292">
        <v>45744</v>
      </c>
      <c r="B53" s="285">
        <v>45744</v>
      </c>
      <c r="F53" s="291"/>
    </row>
    <row r="54" spans="1:6" x14ac:dyDescent="0.15">
      <c r="A54" s="292">
        <v>45745</v>
      </c>
      <c r="B54" s="285">
        <v>45745</v>
      </c>
      <c r="F54" s="291"/>
    </row>
    <row r="55" spans="1:6" x14ac:dyDescent="0.15">
      <c r="A55" s="292">
        <v>45746</v>
      </c>
      <c r="B55" s="285">
        <v>45746</v>
      </c>
      <c r="F55" s="291"/>
    </row>
    <row r="56" spans="1:6" x14ac:dyDescent="0.15">
      <c r="A56" s="292">
        <v>45746</v>
      </c>
      <c r="B56" s="285" t="s">
        <v>234</v>
      </c>
      <c r="F56" s="291"/>
    </row>
    <row r="57" spans="1:6" x14ac:dyDescent="0.15">
      <c r="A57" s="292">
        <v>45746</v>
      </c>
      <c r="B57" s="285" t="s">
        <v>233</v>
      </c>
      <c r="F57" s="291"/>
    </row>
    <row r="58" spans="1:6" ht="14" thickBot="1" x14ac:dyDescent="0.2">
      <c r="A58" s="290"/>
      <c r="B58" s="289"/>
      <c r="C58" s="287"/>
      <c r="D58" s="288"/>
      <c r="E58" s="300">
        <f>SUM(E49:E57)</f>
        <v>0</v>
      </c>
      <c r="F58" s="299">
        <f>SUM(F49:F57)</f>
        <v>0</v>
      </c>
    </row>
    <row r="59" spans="1:6" ht="14" thickBot="1" x14ac:dyDescent="0.2"/>
    <row r="60" spans="1:6" x14ac:dyDescent="0.15">
      <c r="A60" s="298">
        <v>45747</v>
      </c>
      <c r="B60" s="297">
        <v>45747</v>
      </c>
      <c r="C60" s="296"/>
      <c r="D60" s="295"/>
      <c r="E60" s="294"/>
      <c r="F60" s="293"/>
    </row>
    <row r="61" spans="1:6" x14ac:dyDescent="0.15">
      <c r="A61" s="292">
        <v>45748</v>
      </c>
      <c r="B61" s="285">
        <v>45748</v>
      </c>
      <c r="F61" s="291"/>
    </row>
    <row r="62" spans="1:6" x14ac:dyDescent="0.15">
      <c r="A62" s="292">
        <v>45749</v>
      </c>
      <c r="B62" s="285">
        <v>45749</v>
      </c>
      <c r="F62" s="291"/>
    </row>
    <row r="63" spans="1:6" x14ac:dyDescent="0.15">
      <c r="A63" s="292">
        <v>45750</v>
      </c>
      <c r="B63" s="285">
        <v>45750</v>
      </c>
      <c r="F63" s="291"/>
    </row>
    <row r="64" spans="1:6" x14ac:dyDescent="0.15">
      <c r="A64" s="292">
        <v>45751</v>
      </c>
      <c r="B64" s="285">
        <v>45751</v>
      </c>
      <c r="F64" s="291"/>
    </row>
    <row r="65" spans="1:6" x14ac:dyDescent="0.15">
      <c r="A65" s="292">
        <v>45752</v>
      </c>
      <c r="B65" s="285">
        <v>45752</v>
      </c>
      <c r="F65" s="291"/>
    </row>
    <row r="66" spans="1:6" x14ac:dyDescent="0.15">
      <c r="A66" s="292">
        <v>45752</v>
      </c>
      <c r="B66" s="285" t="s">
        <v>234</v>
      </c>
      <c r="F66" s="291"/>
    </row>
    <row r="67" spans="1:6" x14ac:dyDescent="0.15">
      <c r="A67" s="292">
        <v>45752</v>
      </c>
      <c r="B67" s="285" t="s">
        <v>233</v>
      </c>
      <c r="F67" s="291"/>
    </row>
    <row r="68" spans="1:6" ht="14" thickBot="1" x14ac:dyDescent="0.2">
      <c r="A68" s="290"/>
      <c r="B68" s="289"/>
      <c r="C68" s="287"/>
      <c r="D68" s="288"/>
      <c r="E68" s="300">
        <f>SUM(E60:E67)</f>
        <v>0</v>
      </c>
      <c r="F68" s="299">
        <f>SUM(F60:F67)</f>
        <v>0</v>
      </c>
    </row>
  </sheetData>
  <mergeCells count="6">
    <mergeCell ref="E2:E3"/>
    <mergeCell ref="F2:F3"/>
    <mergeCell ref="D2:D3"/>
    <mergeCell ref="A1:A3"/>
    <mergeCell ref="B1:B3"/>
    <mergeCell ref="C2:C3"/>
  </mergeCells>
  <printOptions horizontalCentered="1" gridLines="1"/>
  <pageMargins left="0.19685039370078741" right="0.39370078740157483" top="0.47244094488188981" bottom="0.47244094488188981" header="0.19685039370078741" footer="0.31496062992125984"/>
  <pageSetup paperSize="9" orientation="portrait" horizontalDpi="0" verticalDpi="0" r:id="rId1"/>
  <headerFooter alignWithMargins="0">
    <oddHeader>&amp;C&amp;"Arial,Bold"&amp;11Sales Receipts</oddHeader>
    <oddFooter>&amp;L&amp;D  &amp;T&amp;C&amp;P  of  &amp;N&amp;R&amp;F  &amp;A</oddFooter>
  </headerFooter>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E00-000000000000}">
  <dimension ref="A1:U235"/>
  <sheetViews>
    <sheetView workbookViewId="0">
      <pane ySplit="4" topLeftCell="A5" activePane="bottomLeft" state="frozen"/>
      <selection pane="bottomLeft" activeCell="A5" sqref="A5"/>
    </sheetView>
  </sheetViews>
  <sheetFormatPr baseColWidth="10" defaultColWidth="9.1640625" defaultRowHeight="13" x14ac:dyDescent="0.15"/>
  <cols>
    <col min="1" max="1" width="9.6640625" style="307" customWidth="1"/>
    <col min="2" max="2" width="24" style="6" customWidth="1"/>
    <col min="3" max="3" width="16" style="6" customWidth="1"/>
    <col min="4" max="5" width="9.1640625" style="306"/>
    <col min="6" max="6" width="12.6640625" style="305" customWidth="1"/>
    <col min="7" max="8" width="9.83203125" style="7" customWidth="1"/>
    <col min="9" max="10" width="8.33203125" style="7" customWidth="1"/>
    <col min="11" max="12" width="7.6640625" style="7" customWidth="1"/>
    <col min="13" max="13" width="9" style="7" customWidth="1"/>
    <col min="14" max="14" width="9.1640625" style="7"/>
    <col min="15" max="15" width="9.33203125" style="7" customWidth="1"/>
    <col min="16" max="18" width="7.6640625" style="7" customWidth="1"/>
    <col min="19" max="19" width="7.83203125" style="7" customWidth="1"/>
    <col min="20" max="20" width="12.5" style="6" customWidth="1"/>
    <col min="21" max="21" width="8.1640625" style="7" customWidth="1"/>
    <col min="22" max="16384" width="9.1640625" style="6"/>
  </cols>
  <sheetData>
    <row r="1" spans="1:21" s="7" customFormat="1" ht="13.5" customHeight="1" x14ac:dyDescent="0.15">
      <c r="A1" s="323">
        <f>E1+SalesMar!$D$1+PurchasesFeb!A1</f>
        <v>0</v>
      </c>
      <c r="B1" s="322" t="s">
        <v>273</v>
      </c>
      <c r="C1" s="321" t="s">
        <v>239</v>
      </c>
      <c r="D1" s="316" t="str">
        <f>IF((F1-SUM(G1:S1)&lt;&gt;0),(F1-SUM(G1:S1))," ")</f>
        <v xml:space="preserve"> </v>
      </c>
      <c r="E1" s="304">
        <f t="shared" ref="E1:S1" si="0">SUM(E5:E199)</f>
        <v>0</v>
      </c>
      <c r="F1" s="303">
        <f t="shared" si="0"/>
        <v>0</v>
      </c>
      <c r="G1" s="303">
        <f t="shared" si="0"/>
        <v>0</v>
      </c>
      <c r="H1" s="303">
        <f t="shared" si="0"/>
        <v>0</v>
      </c>
      <c r="I1" s="303">
        <f t="shared" si="0"/>
        <v>0</v>
      </c>
      <c r="J1" s="303">
        <f t="shared" si="0"/>
        <v>0</v>
      </c>
      <c r="K1" s="303">
        <f t="shared" si="0"/>
        <v>0</v>
      </c>
      <c r="L1" s="303">
        <f t="shared" si="0"/>
        <v>0</v>
      </c>
      <c r="M1" s="303">
        <f t="shared" si="0"/>
        <v>0</v>
      </c>
      <c r="N1" s="303">
        <f t="shared" si="0"/>
        <v>0</v>
      </c>
      <c r="O1" s="303">
        <f t="shared" si="0"/>
        <v>0</v>
      </c>
      <c r="P1" s="303">
        <f t="shared" si="0"/>
        <v>0</v>
      </c>
      <c r="Q1" s="303">
        <f t="shared" si="0"/>
        <v>0</v>
      </c>
      <c r="R1" s="303">
        <f t="shared" si="0"/>
        <v>0</v>
      </c>
      <c r="S1" s="320">
        <f t="shared" si="0"/>
        <v>0</v>
      </c>
      <c r="T1" s="318">
        <f>S1+PurchasesFeb!T1</f>
        <v>0</v>
      </c>
      <c r="U1" s="320">
        <f>SUM(U4:U199)</f>
        <v>0</v>
      </c>
    </row>
    <row r="2" spans="1:21" s="7" customFormat="1" ht="13.5" customHeight="1" x14ac:dyDescent="0.15">
      <c r="A2" s="319">
        <f>U1+PurchasesFeb!A2</f>
        <v>0</v>
      </c>
      <c r="B2" s="104" t="s">
        <v>272</v>
      </c>
      <c r="C2" s="492" t="s">
        <v>271</v>
      </c>
      <c r="D2" s="494" t="s">
        <v>270</v>
      </c>
      <c r="E2" s="492" t="s">
        <v>269</v>
      </c>
      <c r="F2" s="449" t="s">
        <v>268</v>
      </c>
      <c r="G2" s="496" t="s">
        <v>267</v>
      </c>
      <c r="H2" s="497"/>
      <c r="I2" s="498">
        <f>G1+H1+I1+J1+PurchasesFeb!I2</f>
        <v>0</v>
      </c>
      <c r="J2" s="499"/>
      <c r="K2" s="449" t="s">
        <v>266</v>
      </c>
      <c r="L2" s="449" t="s">
        <v>265</v>
      </c>
      <c r="M2" s="449" t="s">
        <v>264</v>
      </c>
      <c r="N2" s="449" t="s">
        <v>274</v>
      </c>
      <c r="O2" s="449" t="s">
        <v>262</v>
      </c>
      <c r="P2" s="449" t="s">
        <v>261</v>
      </c>
      <c r="Q2" s="449" t="s">
        <v>260</v>
      </c>
      <c r="R2" s="449" t="s">
        <v>259</v>
      </c>
      <c r="S2" s="500" t="s">
        <v>258</v>
      </c>
      <c r="T2" s="503" t="str">
        <f>IF(T1&gt;'Fixed Assets'!$D$62,"ENTER VEHICLE CHANGES        on Fixed Asset schedule","Motor Vehicles: make, model, date reg. and reg. Mark")</f>
        <v>Motor Vehicles: make, model, date reg. and reg. Mark</v>
      </c>
      <c r="U2" s="500" t="s">
        <v>27</v>
      </c>
    </row>
    <row r="3" spans="1:21" s="313" customFormat="1" ht="45" customHeight="1" x14ac:dyDescent="0.15">
      <c r="A3" s="314" t="s">
        <v>257</v>
      </c>
      <c r="B3" s="449" t="s">
        <v>256</v>
      </c>
      <c r="C3" s="493"/>
      <c r="D3" s="493"/>
      <c r="E3" s="493"/>
      <c r="F3" s="493"/>
      <c r="G3" s="278" t="s">
        <v>28</v>
      </c>
      <c r="H3" s="278" t="s">
        <v>255</v>
      </c>
      <c r="I3" s="278" t="s">
        <v>30</v>
      </c>
      <c r="J3" s="278" t="s">
        <v>31</v>
      </c>
      <c r="K3" s="509"/>
      <c r="L3" s="509"/>
      <c r="M3" s="505"/>
      <c r="N3" s="505"/>
      <c r="O3" s="505"/>
      <c r="P3" s="505"/>
      <c r="Q3" s="505"/>
      <c r="R3" s="505"/>
      <c r="S3" s="507"/>
      <c r="T3" s="504"/>
      <c r="U3" s="507"/>
    </row>
    <row r="4" spans="1:21" s="308" customFormat="1" x14ac:dyDescent="0.15">
      <c r="A4" s="312" t="str">
        <f>IF((E1&lt;&gt;0),Admin!$B$16," ")</f>
        <v xml:space="preserve"> </v>
      </c>
      <c r="B4" s="491"/>
      <c r="C4" s="491"/>
      <c r="D4" s="491"/>
      <c r="E4" s="491"/>
      <c r="F4" s="491"/>
      <c r="G4" s="311" t="s">
        <v>254</v>
      </c>
      <c r="H4" s="311" t="s">
        <v>253</v>
      </c>
      <c r="I4" s="311" t="s">
        <v>252</v>
      </c>
      <c r="J4" s="311" t="s">
        <v>251</v>
      </c>
      <c r="K4" s="311" t="s">
        <v>250</v>
      </c>
      <c r="L4" s="311" t="s">
        <v>249</v>
      </c>
      <c r="M4" s="311" t="s">
        <v>248</v>
      </c>
      <c r="N4" s="311" t="s">
        <v>247</v>
      </c>
      <c r="O4" s="311" t="s">
        <v>246</v>
      </c>
      <c r="P4" s="311" t="s">
        <v>245</v>
      </c>
      <c r="Q4" s="311" t="s">
        <v>244</v>
      </c>
      <c r="R4" s="311" t="s">
        <v>243</v>
      </c>
      <c r="S4" s="310" t="s">
        <v>242</v>
      </c>
      <c r="T4" s="450"/>
      <c r="U4" s="318">
        <f>IF((A1&lt;Admin!$F$22),((A1-PurchasesFeb!A1)*Admin!$G$21),(A1*Admin!$G$21-(A1-Admin!$F$21)*(Admin!$G$21-Admin!$G$22)-PurchasesFeb!A2))</f>
        <v>0</v>
      </c>
    </row>
    <row r="5" spans="1:21" s="306" customFormat="1" x14ac:dyDescent="0.15">
      <c r="A5" s="307"/>
      <c r="B5" s="325"/>
      <c r="D5" s="306" t="str">
        <f t="shared" ref="D5:D36" si="1">IF((F5&lt;&gt;0),"Enter Letter"," ")</f>
        <v xml:space="preserve"> </v>
      </c>
      <c r="G5" s="7" t="str">
        <f t="shared" ref="G5:G36" si="2">IF((D5="d"),F5," ")</f>
        <v xml:space="preserve"> </v>
      </c>
      <c r="H5" s="7" t="str">
        <f t="shared" ref="H5:H36" si="3">IF((D5="h"),F5," ")</f>
        <v xml:space="preserve"> </v>
      </c>
      <c r="I5" s="7" t="str">
        <f t="shared" ref="I5:I36" si="4">IF((D5="r"),F5," ")</f>
        <v xml:space="preserve"> </v>
      </c>
      <c r="J5" s="7" t="str">
        <f t="shared" ref="J5:J36" si="5">IF((D5="t"),F5," ")</f>
        <v xml:space="preserve"> </v>
      </c>
      <c r="K5" s="7" t="str">
        <f t="shared" ref="K5:K36" si="6">IF((D5="e"),F5," ")</f>
        <v xml:space="preserve"> </v>
      </c>
      <c r="L5" s="7" t="str">
        <f t="shared" ref="L5:L36" si="7">IF((D5="p"),F5," ")</f>
        <v xml:space="preserve"> </v>
      </c>
      <c r="M5" s="7" t="str">
        <f t="shared" ref="M5:M36" si="8">IF((D5="g"),F5," ")</f>
        <v xml:space="preserve"> </v>
      </c>
      <c r="N5" s="7" t="str">
        <f t="shared" ref="N5:N36" si="9">IF((D5="a"),F5," ")</f>
        <v xml:space="preserve"> </v>
      </c>
      <c r="O5" s="7" t="str">
        <f t="shared" ref="O5:O36" si="10">IF((D5="l"),F5," ")</f>
        <v xml:space="preserve"> </v>
      </c>
      <c r="P5" s="7" t="str">
        <f t="shared" ref="P5:P36" si="11">IF((D5="i"),F5," ")</f>
        <v xml:space="preserve"> </v>
      </c>
      <c r="Q5" s="7" t="str">
        <f t="shared" ref="Q5:Q36" si="12">IF((D5="b"),F5," ")</f>
        <v xml:space="preserve"> </v>
      </c>
      <c r="R5" s="7" t="str">
        <f t="shared" ref="R5:R36" si="13">IF((D5="o"),F5," ")</f>
        <v xml:space="preserve"> </v>
      </c>
      <c r="S5" s="7" t="str">
        <f t="shared" ref="S5:S36" si="14">IF((D5="f"),F5," ")</f>
        <v xml:space="preserve"> </v>
      </c>
    </row>
    <row r="6" spans="1:21" x14ac:dyDescent="0.15">
      <c r="D6" s="306" t="str">
        <f t="shared" si="1"/>
        <v xml:space="preserve"> </v>
      </c>
      <c r="G6" s="7" t="str">
        <f t="shared" si="2"/>
        <v xml:space="preserve"> </v>
      </c>
      <c r="H6" s="7" t="str">
        <f t="shared" si="3"/>
        <v xml:space="preserve"> </v>
      </c>
      <c r="I6" s="7" t="str">
        <f t="shared" si="4"/>
        <v xml:space="preserve"> </v>
      </c>
      <c r="J6" s="7" t="str">
        <f t="shared" si="5"/>
        <v xml:space="preserve"> </v>
      </c>
      <c r="K6" s="7" t="str">
        <f t="shared" si="6"/>
        <v xml:space="preserve"> </v>
      </c>
      <c r="L6" s="7" t="str">
        <f t="shared" si="7"/>
        <v xml:space="preserve"> </v>
      </c>
      <c r="M6" s="7" t="str">
        <f t="shared" si="8"/>
        <v xml:space="preserve"> </v>
      </c>
      <c r="N6" s="7" t="str">
        <f t="shared" si="9"/>
        <v xml:space="preserve"> </v>
      </c>
      <c r="O6" s="7" t="str">
        <f t="shared" si="10"/>
        <v xml:space="preserve"> </v>
      </c>
      <c r="P6" s="7" t="str">
        <f t="shared" si="11"/>
        <v xml:space="preserve"> </v>
      </c>
      <c r="Q6" s="7" t="str">
        <f t="shared" si="12"/>
        <v xml:space="preserve"> </v>
      </c>
      <c r="R6" s="7" t="str">
        <f t="shared" si="13"/>
        <v xml:space="preserve"> </v>
      </c>
      <c r="S6" s="7" t="str">
        <f t="shared" si="14"/>
        <v xml:space="preserve"> </v>
      </c>
      <c r="U6" s="306"/>
    </row>
    <row r="7" spans="1:21" x14ac:dyDescent="0.15">
      <c r="D7" s="306" t="str">
        <f t="shared" si="1"/>
        <v xml:space="preserve"> </v>
      </c>
      <c r="G7" s="7" t="str">
        <f t="shared" si="2"/>
        <v xml:space="preserve"> </v>
      </c>
      <c r="H7" s="7" t="str">
        <f t="shared" si="3"/>
        <v xml:space="preserve"> </v>
      </c>
      <c r="I7" s="7" t="str">
        <f t="shared" si="4"/>
        <v xml:space="preserve"> </v>
      </c>
      <c r="J7" s="7" t="str">
        <f t="shared" si="5"/>
        <v xml:space="preserve"> </v>
      </c>
      <c r="K7" s="7" t="str">
        <f t="shared" si="6"/>
        <v xml:space="preserve"> </v>
      </c>
      <c r="L7" s="7" t="str">
        <f t="shared" si="7"/>
        <v xml:space="preserve"> </v>
      </c>
      <c r="M7" s="7" t="str">
        <f t="shared" si="8"/>
        <v xml:space="preserve"> </v>
      </c>
      <c r="N7" s="7" t="str">
        <f t="shared" si="9"/>
        <v xml:space="preserve"> </v>
      </c>
      <c r="O7" s="7" t="str">
        <f t="shared" si="10"/>
        <v xml:space="preserve"> </v>
      </c>
      <c r="P7" s="7" t="str">
        <f t="shared" si="11"/>
        <v xml:space="preserve"> </v>
      </c>
      <c r="Q7" s="7" t="str">
        <f t="shared" si="12"/>
        <v xml:space="preserve"> </v>
      </c>
      <c r="R7" s="7" t="str">
        <f t="shared" si="13"/>
        <v xml:space="preserve"> </v>
      </c>
      <c r="S7" s="7" t="str">
        <f t="shared" si="14"/>
        <v xml:space="preserve"> </v>
      </c>
      <c r="U7" s="306"/>
    </row>
    <row r="8" spans="1:21" x14ac:dyDescent="0.15">
      <c r="D8" s="306" t="str">
        <f t="shared" si="1"/>
        <v xml:space="preserve"> </v>
      </c>
      <c r="G8" s="7" t="str">
        <f t="shared" si="2"/>
        <v xml:space="preserve"> </v>
      </c>
      <c r="H8" s="7" t="str">
        <f t="shared" si="3"/>
        <v xml:space="preserve"> </v>
      </c>
      <c r="I8" s="7" t="str">
        <f t="shared" si="4"/>
        <v xml:space="preserve"> </v>
      </c>
      <c r="J8" s="7" t="str">
        <f t="shared" si="5"/>
        <v xml:space="preserve"> </v>
      </c>
      <c r="K8" s="7" t="str">
        <f t="shared" si="6"/>
        <v xml:space="preserve"> </v>
      </c>
      <c r="L8" s="7" t="str">
        <f t="shared" si="7"/>
        <v xml:space="preserve"> </v>
      </c>
      <c r="M8" s="7" t="str">
        <f t="shared" si="8"/>
        <v xml:space="preserve"> </v>
      </c>
      <c r="N8" s="7" t="str">
        <f t="shared" si="9"/>
        <v xml:space="preserve"> </v>
      </c>
      <c r="O8" s="7" t="str">
        <f t="shared" si="10"/>
        <v xml:space="preserve"> </v>
      </c>
      <c r="P8" s="7" t="str">
        <f t="shared" si="11"/>
        <v xml:space="preserve"> </v>
      </c>
      <c r="Q8" s="7" t="str">
        <f t="shared" si="12"/>
        <v xml:space="preserve"> </v>
      </c>
      <c r="R8" s="7" t="str">
        <f t="shared" si="13"/>
        <v xml:space="preserve"> </v>
      </c>
      <c r="S8" s="7" t="str">
        <f t="shared" si="14"/>
        <v xml:space="preserve"> </v>
      </c>
      <c r="U8" s="306"/>
    </row>
    <row r="9" spans="1:21" x14ac:dyDescent="0.15">
      <c r="D9" s="306" t="str">
        <f t="shared" si="1"/>
        <v xml:space="preserve"> </v>
      </c>
      <c r="G9" s="7" t="str">
        <f t="shared" si="2"/>
        <v xml:space="preserve"> </v>
      </c>
      <c r="H9" s="7" t="str">
        <f t="shared" si="3"/>
        <v xml:space="preserve"> </v>
      </c>
      <c r="I9" s="7" t="str">
        <f t="shared" si="4"/>
        <v xml:space="preserve"> </v>
      </c>
      <c r="J9" s="7" t="str">
        <f t="shared" si="5"/>
        <v xml:space="preserve"> </v>
      </c>
      <c r="K9" s="7" t="str">
        <f t="shared" si="6"/>
        <v xml:space="preserve"> </v>
      </c>
      <c r="L9" s="7" t="str">
        <f t="shared" si="7"/>
        <v xml:space="preserve"> </v>
      </c>
      <c r="M9" s="7" t="str">
        <f t="shared" si="8"/>
        <v xml:space="preserve"> </v>
      </c>
      <c r="N9" s="7" t="str">
        <f t="shared" si="9"/>
        <v xml:space="preserve"> </v>
      </c>
      <c r="O9" s="7" t="str">
        <f t="shared" si="10"/>
        <v xml:space="preserve"> </v>
      </c>
      <c r="P9" s="7" t="str">
        <f t="shared" si="11"/>
        <v xml:space="preserve"> </v>
      </c>
      <c r="Q9" s="7" t="str">
        <f t="shared" si="12"/>
        <v xml:space="preserve"> </v>
      </c>
      <c r="R9" s="7" t="str">
        <f t="shared" si="13"/>
        <v xml:space="preserve"> </v>
      </c>
      <c r="S9" s="7" t="str">
        <f t="shared" si="14"/>
        <v xml:space="preserve"> </v>
      </c>
      <c r="U9" s="306"/>
    </row>
    <row r="10" spans="1:21" x14ac:dyDescent="0.15">
      <c r="D10" s="306" t="str">
        <f t="shared" si="1"/>
        <v xml:space="preserve"> </v>
      </c>
      <c r="G10" s="7" t="str">
        <f t="shared" si="2"/>
        <v xml:space="preserve"> </v>
      </c>
      <c r="H10" s="7" t="str">
        <f t="shared" si="3"/>
        <v xml:space="preserve"> </v>
      </c>
      <c r="I10" s="7" t="str">
        <f t="shared" si="4"/>
        <v xml:space="preserve"> </v>
      </c>
      <c r="J10" s="7" t="str">
        <f t="shared" si="5"/>
        <v xml:space="preserve"> </v>
      </c>
      <c r="K10" s="7" t="str">
        <f t="shared" si="6"/>
        <v xml:space="preserve"> </v>
      </c>
      <c r="L10" s="7" t="str">
        <f t="shared" si="7"/>
        <v xml:space="preserve"> </v>
      </c>
      <c r="M10" s="7" t="str">
        <f t="shared" si="8"/>
        <v xml:space="preserve"> </v>
      </c>
      <c r="N10" s="7" t="str">
        <f t="shared" si="9"/>
        <v xml:space="preserve"> </v>
      </c>
      <c r="O10" s="7" t="str">
        <f t="shared" si="10"/>
        <v xml:space="preserve"> </v>
      </c>
      <c r="P10" s="7" t="str">
        <f t="shared" si="11"/>
        <v xml:space="preserve"> </v>
      </c>
      <c r="Q10" s="7" t="str">
        <f t="shared" si="12"/>
        <v xml:space="preserve"> </v>
      </c>
      <c r="R10" s="7" t="str">
        <f t="shared" si="13"/>
        <v xml:space="preserve"> </v>
      </c>
      <c r="S10" s="7" t="str">
        <f t="shared" si="14"/>
        <v xml:space="preserve"> </v>
      </c>
      <c r="U10" s="306"/>
    </row>
    <row r="11" spans="1:21" x14ac:dyDescent="0.15">
      <c r="D11" s="306" t="str">
        <f t="shared" si="1"/>
        <v xml:space="preserve"> </v>
      </c>
      <c r="G11" s="7" t="str">
        <f t="shared" si="2"/>
        <v xml:space="preserve"> </v>
      </c>
      <c r="H11" s="7" t="str">
        <f t="shared" si="3"/>
        <v xml:space="preserve"> </v>
      </c>
      <c r="I11" s="7" t="str">
        <f t="shared" si="4"/>
        <v xml:space="preserve"> </v>
      </c>
      <c r="J11" s="7" t="str">
        <f t="shared" si="5"/>
        <v xml:space="preserve"> </v>
      </c>
      <c r="K11" s="7" t="str">
        <f t="shared" si="6"/>
        <v xml:space="preserve"> </v>
      </c>
      <c r="L11" s="7" t="str">
        <f t="shared" si="7"/>
        <v xml:space="preserve"> </v>
      </c>
      <c r="M11" s="7" t="str">
        <f t="shared" si="8"/>
        <v xml:space="preserve"> </v>
      </c>
      <c r="N11" s="7" t="str">
        <f t="shared" si="9"/>
        <v xml:space="preserve"> </v>
      </c>
      <c r="O11" s="7" t="str">
        <f t="shared" si="10"/>
        <v xml:space="preserve"> </v>
      </c>
      <c r="P11" s="7" t="str">
        <f t="shared" si="11"/>
        <v xml:space="preserve"> </v>
      </c>
      <c r="Q11" s="7" t="str">
        <f t="shared" si="12"/>
        <v xml:space="preserve"> </v>
      </c>
      <c r="R11" s="7" t="str">
        <f t="shared" si="13"/>
        <v xml:space="preserve"> </v>
      </c>
      <c r="S11" s="7" t="str">
        <f t="shared" si="14"/>
        <v xml:space="preserve"> </v>
      </c>
      <c r="U11" s="306"/>
    </row>
    <row r="12" spans="1:21" x14ac:dyDescent="0.15">
      <c r="D12" s="306" t="str">
        <f t="shared" si="1"/>
        <v xml:space="preserve"> </v>
      </c>
      <c r="G12" s="7" t="str">
        <f t="shared" si="2"/>
        <v xml:space="preserve"> </v>
      </c>
      <c r="H12" s="7" t="str">
        <f t="shared" si="3"/>
        <v xml:space="preserve"> </v>
      </c>
      <c r="I12" s="7" t="str">
        <f t="shared" si="4"/>
        <v xml:space="preserve"> </v>
      </c>
      <c r="J12" s="7" t="str">
        <f t="shared" si="5"/>
        <v xml:space="preserve"> </v>
      </c>
      <c r="K12" s="7" t="str">
        <f t="shared" si="6"/>
        <v xml:space="preserve"> </v>
      </c>
      <c r="L12" s="7" t="str">
        <f t="shared" si="7"/>
        <v xml:space="preserve"> </v>
      </c>
      <c r="M12" s="7" t="str">
        <f t="shared" si="8"/>
        <v xml:space="preserve"> </v>
      </c>
      <c r="N12" s="7" t="str">
        <f t="shared" si="9"/>
        <v xml:space="preserve"> </v>
      </c>
      <c r="O12" s="7" t="str">
        <f t="shared" si="10"/>
        <v xml:space="preserve"> </v>
      </c>
      <c r="P12" s="7" t="str">
        <f t="shared" si="11"/>
        <v xml:space="preserve"> </v>
      </c>
      <c r="Q12" s="7" t="str">
        <f t="shared" si="12"/>
        <v xml:space="preserve"> </v>
      </c>
      <c r="R12" s="7" t="str">
        <f t="shared" si="13"/>
        <v xml:space="preserve"> </v>
      </c>
      <c r="S12" s="7" t="str">
        <f t="shared" si="14"/>
        <v xml:space="preserve"> </v>
      </c>
      <c r="U12" s="306"/>
    </row>
    <row r="13" spans="1:21" x14ac:dyDescent="0.15">
      <c r="D13" s="306" t="str">
        <f t="shared" si="1"/>
        <v xml:space="preserve"> </v>
      </c>
      <c r="G13" s="7" t="str">
        <f t="shared" si="2"/>
        <v xml:space="preserve"> </v>
      </c>
      <c r="H13" s="7" t="str">
        <f t="shared" si="3"/>
        <v xml:space="preserve"> </v>
      </c>
      <c r="I13" s="7" t="str">
        <f t="shared" si="4"/>
        <v xml:space="preserve"> </v>
      </c>
      <c r="J13" s="7" t="str">
        <f t="shared" si="5"/>
        <v xml:space="preserve"> </v>
      </c>
      <c r="K13" s="7" t="str">
        <f t="shared" si="6"/>
        <v xml:space="preserve"> </v>
      </c>
      <c r="L13" s="7" t="str">
        <f t="shared" si="7"/>
        <v xml:space="preserve"> </v>
      </c>
      <c r="M13" s="7" t="str">
        <f t="shared" si="8"/>
        <v xml:space="preserve"> </v>
      </c>
      <c r="N13" s="7" t="str">
        <f t="shared" si="9"/>
        <v xml:space="preserve"> </v>
      </c>
      <c r="O13" s="7" t="str">
        <f t="shared" si="10"/>
        <v xml:space="preserve"> </v>
      </c>
      <c r="P13" s="7" t="str">
        <f t="shared" si="11"/>
        <v xml:space="preserve"> </v>
      </c>
      <c r="Q13" s="7" t="str">
        <f t="shared" si="12"/>
        <v xml:space="preserve"> </v>
      </c>
      <c r="R13" s="7" t="str">
        <f t="shared" si="13"/>
        <v xml:space="preserve"> </v>
      </c>
      <c r="S13" s="7" t="str">
        <f t="shared" si="14"/>
        <v xml:space="preserve"> </v>
      </c>
      <c r="U13" s="306"/>
    </row>
    <row r="14" spans="1:21" x14ac:dyDescent="0.15">
      <c r="D14" s="306" t="str">
        <f t="shared" si="1"/>
        <v xml:space="preserve"> </v>
      </c>
      <c r="G14" s="7" t="str">
        <f t="shared" si="2"/>
        <v xml:space="preserve"> </v>
      </c>
      <c r="H14" s="7" t="str">
        <f t="shared" si="3"/>
        <v xml:space="preserve"> </v>
      </c>
      <c r="I14" s="7" t="str">
        <f t="shared" si="4"/>
        <v xml:space="preserve"> </v>
      </c>
      <c r="J14" s="7" t="str">
        <f t="shared" si="5"/>
        <v xml:space="preserve"> </v>
      </c>
      <c r="K14" s="7" t="str">
        <f t="shared" si="6"/>
        <v xml:space="preserve"> </v>
      </c>
      <c r="L14" s="7" t="str">
        <f t="shared" si="7"/>
        <v xml:space="preserve"> </v>
      </c>
      <c r="M14" s="7" t="str">
        <f t="shared" si="8"/>
        <v xml:space="preserve"> </v>
      </c>
      <c r="N14" s="7" t="str">
        <f t="shared" si="9"/>
        <v xml:space="preserve"> </v>
      </c>
      <c r="O14" s="7" t="str">
        <f t="shared" si="10"/>
        <v xml:space="preserve"> </v>
      </c>
      <c r="P14" s="7" t="str">
        <f t="shared" si="11"/>
        <v xml:space="preserve"> </v>
      </c>
      <c r="Q14" s="7" t="str">
        <f t="shared" si="12"/>
        <v xml:space="preserve"> </v>
      </c>
      <c r="R14" s="7" t="str">
        <f t="shared" si="13"/>
        <v xml:space="preserve"> </v>
      </c>
      <c r="S14" s="7" t="str">
        <f t="shared" si="14"/>
        <v xml:space="preserve"> </v>
      </c>
      <c r="U14" s="306"/>
    </row>
    <row r="15" spans="1:21" x14ac:dyDescent="0.15">
      <c r="D15" s="306" t="str">
        <f t="shared" si="1"/>
        <v xml:space="preserve"> </v>
      </c>
      <c r="G15" s="7" t="str">
        <f t="shared" si="2"/>
        <v xml:space="preserve"> </v>
      </c>
      <c r="H15" s="7" t="str">
        <f t="shared" si="3"/>
        <v xml:space="preserve"> </v>
      </c>
      <c r="I15" s="7" t="str">
        <f t="shared" si="4"/>
        <v xml:space="preserve"> </v>
      </c>
      <c r="J15" s="7" t="str">
        <f t="shared" si="5"/>
        <v xml:space="preserve"> </v>
      </c>
      <c r="K15" s="7" t="str">
        <f t="shared" si="6"/>
        <v xml:space="preserve"> </v>
      </c>
      <c r="L15" s="7" t="str">
        <f t="shared" si="7"/>
        <v xml:space="preserve"> </v>
      </c>
      <c r="M15" s="7" t="str">
        <f t="shared" si="8"/>
        <v xml:space="preserve"> </v>
      </c>
      <c r="N15" s="7" t="str">
        <f t="shared" si="9"/>
        <v xml:space="preserve"> </v>
      </c>
      <c r="O15" s="7" t="str">
        <f t="shared" si="10"/>
        <v xml:space="preserve"> </v>
      </c>
      <c r="P15" s="7" t="str">
        <f t="shared" si="11"/>
        <v xml:space="preserve"> </v>
      </c>
      <c r="Q15" s="7" t="str">
        <f t="shared" si="12"/>
        <v xml:space="preserve"> </v>
      </c>
      <c r="R15" s="7" t="str">
        <f t="shared" si="13"/>
        <v xml:space="preserve"> </v>
      </c>
      <c r="S15" s="7" t="str">
        <f t="shared" si="14"/>
        <v xml:space="preserve"> </v>
      </c>
      <c r="U15" s="306"/>
    </row>
    <row r="16" spans="1:21" x14ac:dyDescent="0.15">
      <c r="D16" s="306" t="str">
        <f t="shared" si="1"/>
        <v xml:space="preserve"> </v>
      </c>
      <c r="G16" s="7" t="str">
        <f t="shared" si="2"/>
        <v xml:space="preserve"> </v>
      </c>
      <c r="H16" s="7" t="str">
        <f t="shared" si="3"/>
        <v xml:space="preserve"> </v>
      </c>
      <c r="I16" s="7" t="str">
        <f t="shared" si="4"/>
        <v xml:space="preserve"> </v>
      </c>
      <c r="J16" s="7" t="str">
        <f t="shared" si="5"/>
        <v xml:space="preserve"> </v>
      </c>
      <c r="K16" s="7" t="str">
        <f t="shared" si="6"/>
        <v xml:space="preserve"> </v>
      </c>
      <c r="L16" s="7" t="str">
        <f t="shared" si="7"/>
        <v xml:space="preserve"> </v>
      </c>
      <c r="M16" s="7" t="str">
        <f t="shared" si="8"/>
        <v xml:space="preserve"> </v>
      </c>
      <c r="N16" s="7" t="str">
        <f t="shared" si="9"/>
        <v xml:space="preserve"> </v>
      </c>
      <c r="O16" s="7" t="str">
        <f t="shared" si="10"/>
        <v xml:space="preserve"> </v>
      </c>
      <c r="P16" s="7" t="str">
        <f t="shared" si="11"/>
        <v xml:space="preserve"> </v>
      </c>
      <c r="Q16" s="7" t="str">
        <f t="shared" si="12"/>
        <v xml:space="preserve"> </v>
      </c>
      <c r="R16" s="7" t="str">
        <f t="shared" si="13"/>
        <v xml:space="preserve"> </v>
      </c>
      <c r="S16" s="7" t="str">
        <f t="shared" si="14"/>
        <v xml:space="preserve"> </v>
      </c>
      <c r="U16" s="306"/>
    </row>
    <row r="17" spans="4:21" x14ac:dyDescent="0.15">
      <c r="D17" s="306" t="str">
        <f t="shared" si="1"/>
        <v xml:space="preserve"> </v>
      </c>
      <c r="G17" s="7" t="str">
        <f t="shared" si="2"/>
        <v xml:space="preserve"> </v>
      </c>
      <c r="H17" s="7" t="str">
        <f t="shared" si="3"/>
        <v xml:space="preserve"> </v>
      </c>
      <c r="I17" s="7" t="str">
        <f t="shared" si="4"/>
        <v xml:space="preserve"> </v>
      </c>
      <c r="J17" s="7" t="str">
        <f t="shared" si="5"/>
        <v xml:space="preserve"> </v>
      </c>
      <c r="K17" s="7" t="str">
        <f t="shared" si="6"/>
        <v xml:space="preserve"> </v>
      </c>
      <c r="L17" s="7" t="str">
        <f t="shared" si="7"/>
        <v xml:space="preserve"> </v>
      </c>
      <c r="M17" s="7" t="str">
        <f t="shared" si="8"/>
        <v xml:space="preserve"> </v>
      </c>
      <c r="N17" s="7" t="str">
        <f t="shared" si="9"/>
        <v xml:space="preserve"> </v>
      </c>
      <c r="O17" s="7" t="str">
        <f t="shared" si="10"/>
        <v xml:space="preserve"> </v>
      </c>
      <c r="P17" s="7" t="str">
        <f t="shared" si="11"/>
        <v xml:space="preserve"> </v>
      </c>
      <c r="Q17" s="7" t="str">
        <f t="shared" si="12"/>
        <v xml:space="preserve"> </v>
      </c>
      <c r="R17" s="7" t="str">
        <f t="shared" si="13"/>
        <v xml:space="preserve"> </v>
      </c>
      <c r="S17" s="7" t="str">
        <f t="shared" si="14"/>
        <v xml:space="preserve"> </v>
      </c>
      <c r="U17" s="306"/>
    </row>
    <row r="18" spans="4:21" x14ac:dyDescent="0.15">
      <c r="D18" s="306" t="str">
        <f t="shared" si="1"/>
        <v xml:space="preserve"> </v>
      </c>
      <c r="G18" s="7" t="str">
        <f t="shared" si="2"/>
        <v xml:space="preserve"> </v>
      </c>
      <c r="H18" s="7" t="str">
        <f t="shared" si="3"/>
        <v xml:space="preserve"> </v>
      </c>
      <c r="I18" s="7" t="str">
        <f t="shared" si="4"/>
        <v xml:space="preserve"> </v>
      </c>
      <c r="J18" s="7" t="str">
        <f t="shared" si="5"/>
        <v xml:space="preserve"> </v>
      </c>
      <c r="K18" s="7" t="str">
        <f t="shared" si="6"/>
        <v xml:space="preserve"> </v>
      </c>
      <c r="L18" s="7" t="str">
        <f t="shared" si="7"/>
        <v xml:space="preserve"> </v>
      </c>
      <c r="M18" s="7" t="str">
        <f t="shared" si="8"/>
        <v xml:space="preserve"> </v>
      </c>
      <c r="N18" s="7" t="str">
        <f t="shared" si="9"/>
        <v xml:space="preserve"> </v>
      </c>
      <c r="O18" s="7" t="str">
        <f t="shared" si="10"/>
        <v xml:space="preserve"> </v>
      </c>
      <c r="P18" s="7" t="str">
        <f t="shared" si="11"/>
        <v xml:space="preserve"> </v>
      </c>
      <c r="Q18" s="7" t="str">
        <f t="shared" si="12"/>
        <v xml:space="preserve"> </v>
      </c>
      <c r="R18" s="7" t="str">
        <f t="shared" si="13"/>
        <v xml:space="preserve"> </v>
      </c>
      <c r="S18" s="7" t="str">
        <f t="shared" si="14"/>
        <v xml:space="preserve"> </v>
      </c>
      <c r="U18" s="306"/>
    </row>
    <row r="19" spans="4:21" x14ac:dyDescent="0.15">
      <c r="D19" s="306" t="str">
        <f t="shared" si="1"/>
        <v xml:space="preserve"> </v>
      </c>
      <c r="G19" s="7" t="str">
        <f t="shared" si="2"/>
        <v xml:space="preserve"> </v>
      </c>
      <c r="H19" s="7" t="str">
        <f t="shared" si="3"/>
        <v xml:space="preserve"> </v>
      </c>
      <c r="I19" s="7" t="str">
        <f t="shared" si="4"/>
        <v xml:space="preserve"> </v>
      </c>
      <c r="J19" s="7" t="str">
        <f t="shared" si="5"/>
        <v xml:space="preserve"> </v>
      </c>
      <c r="K19" s="7" t="str">
        <f t="shared" si="6"/>
        <v xml:space="preserve"> </v>
      </c>
      <c r="L19" s="7" t="str">
        <f t="shared" si="7"/>
        <v xml:space="preserve"> </v>
      </c>
      <c r="M19" s="7" t="str">
        <f t="shared" si="8"/>
        <v xml:space="preserve"> </v>
      </c>
      <c r="N19" s="7" t="str">
        <f t="shared" si="9"/>
        <v xml:space="preserve"> </v>
      </c>
      <c r="O19" s="7" t="str">
        <f t="shared" si="10"/>
        <v xml:space="preserve"> </v>
      </c>
      <c r="P19" s="7" t="str">
        <f t="shared" si="11"/>
        <v xml:space="preserve"> </v>
      </c>
      <c r="Q19" s="7" t="str">
        <f t="shared" si="12"/>
        <v xml:space="preserve"> </v>
      </c>
      <c r="R19" s="7" t="str">
        <f t="shared" si="13"/>
        <v xml:space="preserve"> </v>
      </c>
      <c r="S19" s="7" t="str">
        <f t="shared" si="14"/>
        <v xml:space="preserve"> </v>
      </c>
      <c r="U19" s="306"/>
    </row>
    <row r="20" spans="4:21" x14ac:dyDescent="0.15">
      <c r="D20" s="306" t="str">
        <f t="shared" si="1"/>
        <v xml:space="preserve"> </v>
      </c>
      <c r="G20" s="7" t="str">
        <f t="shared" si="2"/>
        <v xml:space="preserve"> </v>
      </c>
      <c r="H20" s="7" t="str">
        <f t="shared" si="3"/>
        <v xml:space="preserve"> </v>
      </c>
      <c r="I20" s="7" t="str">
        <f t="shared" si="4"/>
        <v xml:space="preserve"> </v>
      </c>
      <c r="J20" s="7" t="str">
        <f t="shared" si="5"/>
        <v xml:space="preserve"> </v>
      </c>
      <c r="K20" s="7" t="str">
        <f t="shared" si="6"/>
        <v xml:space="preserve"> </v>
      </c>
      <c r="L20" s="7" t="str">
        <f t="shared" si="7"/>
        <v xml:space="preserve"> </v>
      </c>
      <c r="M20" s="7" t="str">
        <f t="shared" si="8"/>
        <v xml:space="preserve"> </v>
      </c>
      <c r="N20" s="7" t="str">
        <f t="shared" si="9"/>
        <v xml:space="preserve"> </v>
      </c>
      <c r="O20" s="7" t="str">
        <f t="shared" si="10"/>
        <v xml:space="preserve"> </v>
      </c>
      <c r="P20" s="7" t="str">
        <f t="shared" si="11"/>
        <v xml:space="preserve"> </v>
      </c>
      <c r="Q20" s="7" t="str">
        <f t="shared" si="12"/>
        <v xml:space="preserve"> </v>
      </c>
      <c r="R20" s="7" t="str">
        <f t="shared" si="13"/>
        <v xml:space="preserve"> </v>
      </c>
      <c r="S20" s="7" t="str">
        <f t="shared" si="14"/>
        <v xml:space="preserve"> </v>
      </c>
      <c r="U20" s="306"/>
    </row>
    <row r="21" spans="4:21" x14ac:dyDescent="0.15">
      <c r="D21" s="306" t="str">
        <f t="shared" si="1"/>
        <v xml:space="preserve"> </v>
      </c>
      <c r="G21" s="7" t="str">
        <f t="shared" si="2"/>
        <v xml:space="preserve"> </v>
      </c>
      <c r="H21" s="7" t="str">
        <f t="shared" si="3"/>
        <v xml:space="preserve"> </v>
      </c>
      <c r="I21" s="7" t="str">
        <f t="shared" si="4"/>
        <v xml:space="preserve"> </v>
      </c>
      <c r="J21" s="7" t="str">
        <f t="shared" si="5"/>
        <v xml:space="preserve"> </v>
      </c>
      <c r="K21" s="7" t="str">
        <f t="shared" si="6"/>
        <v xml:space="preserve"> </v>
      </c>
      <c r="L21" s="7" t="str">
        <f t="shared" si="7"/>
        <v xml:space="preserve"> </v>
      </c>
      <c r="M21" s="7" t="str">
        <f t="shared" si="8"/>
        <v xml:space="preserve"> </v>
      </c>
      <c r="N21" s="7" t="str">
        <f t="shared" si="9"/>
        <v xml:space="preserve"> </v>
      </c>
      <c r="O21" s="7" t="str">
        <f t="shared" si="10"/>
        <v xml:space="preserve"> </v>
      </c>
      <c r="P21" s="7" t="str">
        <f t="shared" si="11"/>
        <v xml:space="preserve"> </v>
      </c>
      <c r="Q21" s="7" t="str">
        <f t="shared" si="12"/>
        <v xml:space="preserve"> </v>
      </c>
      <c r="R21" s="7" t="str">
        <f t="shared" si="13"/>
        <v xml:space="preserve"> </v>
      </c>
      <c r="S21" s="7" t="str">
        <f t="shared" si="14"/>
        <v xml:space="preserve"> </v>
      </c>
      <c r="U21" s="306"/>
    </row>
    <row r="22" spans="4:21" x14ac:dyDescent="0.15">
      <c r="D22" s="306" t="str">
        <f t="shared" si="1"/>
        <v xml:space="preserve"> </v>
      </c>
      <c r="G22" s="7" t="str">
        <f t="shared" si="2"/>
        <v xml:space="preserve"> </v>
      </c>
      <c r="H22" s="7" t="str">
        <f t="shared" si="3"/>
        <v xml:space="preserve"> </v>
      </c>
      <c r="I22" s="7" t="str">
        <f t="shared" si="4"/>
        <v xml:space="preserve"> </v>
      </c>
      <c r="J22" s="7" t="str">
        <f t="shared" si="5"/>
        <v xml:space="preserve"> </v>
      </c>
      <c r="K22" s="7" t="str">
        <f t="shared" si="6"/>
        <v xml:space="preserve"> </v>
      </c>
      <c r="L22" s="7" t="str">
        <f t="shared" si="7"/>
        <v xml:space="preserve"> </v>
      </c>
      <c r="M22" s="7" t="str">
        <f t="shared" si="8"/>
        <v xml:space="preserve"> </v>
      </c>
      <c r="N22" s="7" t="str">
        <f t="shared" si="9"/>
        <v xml:space="preserve"> </v>
      </c>
      <c r="O22" s="7" t="str">
        <f t="shared" si="10"/>
        <v xml:space="preserve"> </v>
      </c>
      <c r="P22" s="7" t="str">
        <f t="shared" si="11"/>
        <v xml:space="preserve"> </v>
      </c>
      <c r="Q22" s="7" t="str">
        <f t="shared" si="12"/>
        <v xml:space="preserve"> </v>
      </c>
      <c r="R22" s="7" t="str">
        <f t="shared" si="13"/>
        <v xml:space="preserve"> </v>
      </c>
      <c r="S22" s="7" t="str">
        <f t="shared" si="14"/>
        <v xml:space="preserve"> </v>
      </c>
      <c r="U22" s="306"/>
    </row>
    <row r="23" spans="4:21" x14ac:dyDescent="0.15">
      <c r="D23" s="306" t="str">
        <f t="shared" si="1"/>
        <v xml:space="preserve"> </v>
      </c>
      <c r="G23" s="7" t="str">
        <f t="shared" si="2"/>
        <v xml:space="preserve"> </v>
      </c>
      <c r="H23" s="7" t="str">
        <f t="shared" si="3"/>
        <v xml:space="preserve"> </v>
      </c>
      <c r="I23" s="7" t="str">
        <f t="shared" si="4"/>
        <v xml:space="preserve"> </v>
      </c>
      <c r="J23" s="7" t="str">
        <f t="shared" si="5"/>
        <v xml:space="preserve"> </v>
      </c>
      <c r="K23" s="7" t="str">
        <f t="shared" si="6"/>
        <v xml:space="preserve"> </v>
      </c>
      <c r="L23" s="7" t="str">
        <f t="shared" si="7"/>
        <v xml:space="preserve"> </v>
      </c>
      <c r="M23" s="7" t="str">
        <f t="shared" si="8"/>
        <v xml:space="preserve"> </v>
      </c>
      <c r="N23" s="7" t="str">
        <f t="shared" si="9"/>
        <v xml:space="preserve"> </v>
      </c>
      <c r="O23" s="7" t="str">
        <f t="shared" si="10"/>
        <v xml:space="preserve"> </v>
      </c>
      <c r="P23" s="7" t="str">
        <f t="shared" si="11"/>
        <v xml:space="preserve"> </v>
      </c>
      <c r="Q23" s="7" t="str">
        <f t="shared" si="12"/>
        <v xml:space="preserve"> </v>
      </c>
      <c r="R23" s="7" t="str">
        <f t="shared" si="13"/>
        <v xml:space="preserve"> </v>
      </c>
      <c r="S23" s="7" t="str">
        <f t="shared" si="14"/>
        <v xml:space="preserve"> </v>
      </c>
      <c r="U23" s="306"/>
    </row>
    <row r="24" spans="4:21" x14ac:dyDescent="0.15">
      <c r="D24" s="306" t="str">
        <f t="shared" si="1"/>
        <v xml:space="preserve"> </v>
      </c>
      <c r="G24" s="7" t="str">
        <f t="shared" si="2"/>
        <v xml:space="preserve"> </v>
      </c>
      <c r="H24" s="7" t="str">
        <f t="shared" si="3"/>
        <v xml:space="preserve"> </v>
      </c>
      <c r="I24" s="7" t="str">
        <f t="shared" si="4"/>
        <v xml:space="preserve"> </v>
      </c>
      <c r="J24" s="7" t="str">
        <f t="shared" si="5"/>
        <v xml:space="preserve"> </v>
      </c>
      <c r="K24" s="7" t="str">
        <f t="shared" si="6"/>
        <v xml:space="preserve"> </v>
      </c>
      <c r="L24" s="7" t="str">
        <f t="shared" si="7"/>
        <v xml:space="preserve"> </v>
      </c>
      <c r="M24" s="7" t="str">
        <f t="shared" si="8"/>
        <v xml:space="preserve"> </v>
      </c>
      <c r="N24" s="7" t="str">
        <f t="shared" si="9"/>
        <v xml:space="preserve"> </v>
      </c>
      <c r="O24" s="7" t="str">
        <f t="shared" si="10"/>
        <v xml:space="preserve"> </v>
      </c>
      <c r="P24" s="7" t="str">
        <f t="shared" si="11"/>
        <v xml:space="preserve"> </v>
      </c>
      <c r="Q24" s="7" t="str">
        <f t="shared" si="12"/>
        <v xml:space="preserve"> </v>
      </c>
      <c r="R24" s="7" t="str">
        <f t="shared" si="13"/>
        <v xml:space="preserve"> </v>
      </c>
      <c r="S24" s="7" t="str">
        <f t="shared" si="14"/>
        <v xml:space="preserve"> </v>
      </c>
      <c r="U24" s="306"/>
    </row>
    <row r="25" spans="4:21" x14ac:dyDescent="0.15">
      <c r="D25" s="306" t="str">
        <f t="shared" si="1"/>
        <v xml:space="preserve"> </v>
      </c>
      <c r="G25" s="7" t="str">
        <f t="shared" si="2"/>
        <v xml:space="preserve"> </v>
      </c>
      <c r="H25" s="7" t="str">
        <f t="shared" si="3"/>
        <v xml:space="preserve"> </v>
      </c>
      <c r="I25" s="7" t="str">
        <f t="shared" si="4"/>
        <v xml:space="preserve"> </v>
      </c>
      <c r="J25" s="7" t="str">
        <f t="shared" si="5"/>
        <v xml:space="preserve"> </v>
      </c>
      <c r="K25" s="7" t="str">
        <f t="shared" si="6"/>
        <v xml:space="preserve"> </v>
      </c>
      <c r="L25" s="7" t="str">
        <f t="shared" si="7"/>
        <v xml:space="preserve"> </v>
      </c>
      <c r="M25" s="7" t="str">
        <f t="shared" si="8"/>
        <v xml:space="preserve"> </v>
      </c>
      <c r="N25" s="7" t="str">
        <f t="shared" si="9"/>
        <v xml:space="preserve"> </v>
      </c>
      <c r="O25" s="7" t="str">
        <f t="shared" si="10"/>
        <v xml:space="preserve"> </v>
      </c>
      <c r="P25" s="7" t="str">
        <f t="shared" si="11"/>
        <v xml:space="preserve"> </v>
      </c>
      <c r="Q25" s="7" t="str">
        <f t="shared" si="12"/>
        <v xml:space="preserve"> </v>
      </c>
      <c r="R25" s="7" t="str">
        <f t="shared" si="13"/>
        <v xml:space="preserve"> </v>
      </c>
      <c r="S25" s="7" t="str">
        <f t="shared" si="14"/>
        <v xml:space="preserve"> </v>
      </c>
      <c r="U25" s="306"/>
    </row>
    <row r="26" spans="4:21" x14ac:dyDescent="0.15">
      <c r="D26" s="306" t="str">
        <f t="shared" si="1"/>
        <v xml:space="preserve"> </v>
      </c>
      <c r="G26" s="7" t="str">
        <f t="shared" si="2"/>
        <v xml:space="preserve"> </v>
      </c>
      <c r="H26" s="7" t="str">
        <f t="shared" si="3"/>
        <v xml:space="preserve"> </v>
      </c>
      <c r="I26" s="7" t="str">
        <f t="shared" si="4"/>
        <v xml:space="preserve"> </v>
      </c>
      <c r="J26" s="7" t="str">
        <f t="shared" si="5"/>
        <v xml:space="preserve"> </v>
      </c>
      <c r="K26" s="7" t="str">
        <f t="shared" si="6"/>
        <v xml:space="preserve"> </v>
      </c>
      <c r="L26" s="7" t="str">
        <f t="shared" si="7"/>
        <v xml:space="preserve"> </v>
      </c>
      <c r="M26" s="7" t="str">
        <f t="shared" si="8"/>
        <v xml:space="preserve"> </v>
      </c>
      <c r="N26" s="7" t="str">
        <f t="shared" si="9"/>
        <v xml:space="preserve"> </v>
      </c>
      <c r="O26" s="7" t="str">
        <f t="shared" si="10"/>
        <v xml:space="preserve"> </v>
      </c>
      <c r="P26" s="7" t="str">
        <f t="shared" si="11"/>
        <v xml:space="preserve"> </v>
      </c>
      <c r="Q26" s="7" t="str">
        <f t="shared" si="12"/>
        <v xml:space="preserve"> </v>
      </c>
      <c r="R26" s="7" t="str">
        <f t="shared" si="13"/>
        <v xml:space="preserve"> </v>
      </c>
      <c r="S26" s="7" t="str">
        <f t="shared" si="14"/>
        <v xml:space="preserve"> </v>
      </c>
      <c r="U26" s="306"/>
    </row>
    <row r="27" spans="4:21" x14ac:dyDescent="0.15">
      <c r="D27" s="306" t="str">
        <f t="shared" si="1"/>
        <v xml:space="preserve"> </v>
      </c>
      <c r="G27" s="7" t="str">
        <f t="shared" si="2"/>
        <v xml:space="preserve"> </v>
      </c>
      <c r="H27" s="7" t="str">
        <f t="shared" si="3"/>
        <v xml:space="preserve"> </v>
      </c>
      <c r="I27" s="7" t="str">
        <f t="shared" si="4"/>
        <v xml:space="preserve"> </v>
      </c>
      <c r="J27" s="7" t="str">
        <f t="shared" si="5"/>
        <v xml:space="preserve"> </v>
      </c>
      <c r="K27" s="7" t="str">
        <f t="shared" si="6"/>
        <v xml:space="preserve"> </v>
      </c>
      <c r="L27" s="7" t="str">
        <f t="shared" si="7"/>
        <v xml:space="preserve"> </v>
      </c>
      <c r="M27" s="7" t="str">
        <f t="shared" si="8"/>
        <v xml:space="preserve"> </v>
      </c>
      <c r="N27" s="7" t="str">
        <f t="shared" si="9"/>
        <v xml:space="preserve"> </v>
      </c>
      <c r="O27" s="7" t="str">
        <f t="shared" si="10"/>
        <v xml:space="preserve"> </v>
      </c>
      <c r="P27" s="7" t="str">
        <f t="shared" si="11"/>
        <v xml:space="preserve"> </v>
      </c>
      <c r="Q27" s="7" t="str">
        <f t="shared" si="12"/>
        <v xml:space="preserve"> </v>
      </c>
      <c r="R27" s="7" t="str">
        <f t="shared" si="13"/>
        <v xml:space="preserve"> </v>
      </c>
      <c r="S27" s="7" t="str">
        <f t="shared" si="14"/>
        <v xml:space="preserve"> </v>
      </c>
      <c r="U27" s="306"/>
    </row>
    <row r="28" spans="4:21" x14ac:dyDescent="0.15">
      <c r="D28" s="306" t="str">
        <f t="shared" si="1"/>
        <v xml:space="preserve"> </v>
      </c>
      <c r="G28" s="7" t="str">
        <f t="shared" si="2"/>
        <v xml:space="preserve"> </v>
      </c>
      <c r="H28" s="7" t="str">
        <f t="shared" si="3"/>
        <v xml:space="preserve"> </v>
      </c>
      <c r="I28" s="7" t="str">
        <f t="shared" si="4"/>
        <v xml:space="preserve"> </v>
      </c>
      <c r="J28" s="7" t="str">
        <f t="shared" si="5"/>
        <v xml:space="preserve"> </v>
      </c>
      <c r="K28" s="7" t="str">
        <f t="shared" si="6"/>
        <v xml:space="preserve"> </v>
      </c>
      <c r="L28" s="7" t="str">
        <f t="shared" si="7"/>
        <v xml:space="preserve"> </v>
      </c>
      <c r="M28" s="7" t="str">
        <f t="shared" si="8"/>
        <v xml:space="preserve"> </v>
      </c>
      <c r="N28" s="7" t="str">
        <f t="shared" si="9"/>
        <v xml:space="preserve"> </v>
      </c>
      <c r="O28" s="7" t="str">
        <f t="shared" si="10"/>
        <v xml:space="preserve"> </v>
      </c>
      <c r="P28" s="7" t="str">
        <f t="shared" si="11"/>
        <v xml:space="preserve"> </v>
      </c>
      <c r="Q28" s="7" t="str">
        <f t="shared" si="12"/>
        <v xml:space="preserve"> </v>
      </c>
      <c r="R28" s="7" t="str">
        <f t="shared" si="13"/>
        <v xml:space="preserve"> </v>
      </c>
      <c r="S28" s="7" t="str">
        <f t="shared" si="14"/>
        <v xml:space="preserve"> </v>
      </c>
      <c r="U28" s="306"/>
    </row>
    <row r="29" spans="4:21" x14ac:dyDescent="0.15">
      <c r="D29" s="306" t="str">
        <f t="shared" si="1"/>
        <v xml:space="preserve"> </v>
      </c>
      <c r="G29" s="7" t="str">
        <f t="shared" si="2"/>
        <v xml:space="preserve"> </v>
      </c>
      <c r="H29" s="7" t="str">
        <f t="shared" si="3"/>
        <v xml:space="preserve"> </v>
      </c>
      <c r="I29" s="7" t="str">
        <f t="shared" si="4"/>
        <v xml:space="preserve"> </v>
      </c>
      <c r="J29" s="7" t="str">
        <f t="shared" si="5"/>
        <v xml:space="preserve"> </v>
      </c>
      <c r="K29" s="7" t="str">
        <f t="shared" si="6"/>
        <v xml:space="preserve"> </v>
      </c>
      <c r="L29" s="7" t="str">
        <f t="shared" si="7"/>
        <v xml:space="preserve"> </v>
      </c>
      <c r="M29" s="7" t="str">
        <f t="shared" si="8"/>
        <v xml:space="preserve"> </v>
      </c>
      <c r="N29" s="7" t="str">
        <f t="shared" si="9"/>
        <v xml:space="preserve"> </v>
      </c>
      <c r="O29" s="7" t="str">
        <f t="shared" si="10"/>
        <v xml:space="preserve"> </v>
      </c>
      <c r="P29" s="7" t="str">
        <f t="shared" si="11"/>
        <v xml:space="preserve"> </v>
      </c>
      <c r="Q29" s="7" t="str">
        <f t="shared" si="12"/>
        <v xml:space="preserve"> </v>
      </c>
      <c r="R29" s="7" t="str">
        <f t="shared" si="13"/>
        <v xml:space="preserve"> </v>
      </c>
      <c r="S29" s="7" t="str">
        <f t="shared" si="14"/>
        <v xml:space="preserve"> </v>
      </c>
      <c r="U29" s="306"/>
    </row>
    <row r="30" spans="4:21" x14ac:dyDescent="0.15">
      <c r="D30" s="306" t="str">
        <f t="shared" si="1"/>
        <v xml:space="preserve"> </v>
      </c>
      <c r="G30" s="7" t="str">
        <f t="shared" si="2"/>
        <v xml:space="preserve"> </v>
      </c>
      <c r="H30" s="7" t="str">
        <f t="shared" si="3"/>
        <v xml:space="preserve"> </v>
      </c>
      <c r="I30" s="7" t="str">
        <f t="shared" si="4"/>
        <v xml:space="preserve"> </v>
      </c>
      <c r="J30" s="7" t="str">
        <f t="shared" si="5"/>
        <v xml:space="preserve"> </v>
      </c>
      <c r="K30" s="7" t="str">
        <f t="shared" si="6"/>
        <v xml:space="preserve"> </v>
      </c>
      <c r="L30" s="7" t="str">
        <f t="shared" si="7"/>
        <v xml:space="preserve"> </v>
      </c>
      <c r="M30" s="7" t="str">
        <f t="shared" si="8"/>
        <v xml:space="preserve"> </v>
      </c>
      <c r="N30" s="7" t="str">
        <f t="shared" si="9"/>
        <v xml:space="preserve"> </v>
      </c>
      <c r="O30" s="7" t="str">
        <f t="shared" si="10"/>
        <v xml:space="preserve"> </v>
      </c>
      <c r="P30" s="7" t="str">
        <f t="shared" si="11"/>
        <v xml:space="preserve"> </v>
      </c>
      <c r="Q30" s="7" t="str">
        <f t="shared" si="12"/>
        <v xml:space="preserve"> </v>
      </c>
      <c r="R30" s="7" t="str">
        <f t="shared" si="13"/>
        <v xml:space="preserve"> </v>
      </c>
      <c r="S30" s="7" t="str">
        <f t="shared" si="14"/>
        <v xml:space="preserve"> </v>
      </c>
      <c r="U30" s="306"/>
    </row>
    <row r="31" spans="4:21" x14ac:dyDescent="0.15">
      <c r="D31" s="306" t="str">
        <f t="shared" si="1"/>
        <v xml:space="preserve"> </v>
      </c>
      <c r="G31" s="7" t="str">
        <f t="shared" si="2"/>
        <v xml:space="preserve"> </v>
      </c>
      <c r="H31" s="7" t="str">
        <f t="shared" si="3"/>
        <v xml:space="preserve"> </v>
      </c>
      <c r="I31" s="7" t="str">
        <f t="shared" si="4"/>
        <v xml:space="preserve"> </v>
      </c>
      <c r="J31" s="7" t="str">
        <f t="shared" si="5"/>
        <v xml:space="preserve"> </v>
      </c>
      <c r="K31" s="7" t="str">
        <f t="shared" si="6"/>
        <v xml:space="preserve"> </v>
      </c>
      <c r="L31" s="7" t="str">
        <f t="shared" si="7"/>
        <v xml:space="preserve"> </v>
      </c>
      <c r="M31" s="7" t="str">
        <f t="shared" si="8"/>
        <v xml:space="preserve"> </v>
      </c>
      <c r="N31" s="7" t="str">
        <f t="shared" si="9"/>
        <v xml:space="preserve"> </v>
      </c>
      <c r="O31" s="7" t="str">
        <f t="shared" si="10"/>
        <v xml:space="preserve"> </v>
      </c>
      <c r="P31" s="7" t="str">
        <f t="shared" si="11"/>
        <v xml:space="preserve"> </v>
      </c>
      <c r="Q31" s="7" t="str">
        <f t="shared" si="12"/>
        <v xml:space="preserve"> </v>
      </c>
      <c r="R31" s="7" t="str">
        <f t="shared" si="13"/>
        <v xml:space="preserve"> </v>
      </c>
      <c r="S31" s="7" t="str">
        <f t="shared" si="14"/>
        <v xml:space="preserve"> </v>
      </c>
      <c r="U31" s="306"/>
    </row>
    <row r="32" spans="4:21" x14ac:dyDescent="0.15">
      <c r="D32" s="306" t="str">
        <f t="shared" si="1"/>
        <v xml:space="preserve"> </v>
      </c>
      <c r="G32" s="7" t="str">
        <f t="shared" si="2"/>
        <v xml:space="preserve"> </v>
      </c>
      <c r="H32" s="7" t="str">
        <f t="shared" si="3"/>
        <v xml:space="preserve"> </v>
      </c>
      <c r="I32" s="7" t="str">
        <f t="shared" si="4"/>
        <v xml:space="preserve"> </v>
      </c>
      <c r="J32" s="7" t="str">
        <f t="shared" si="5"/>
        <v xml:space="preserve"> </v>
      </c>
      <c r="K32" s="7" t="str">
        <f t="shared" si="6"/>
        <v xml:space="preserve"> </v>
      </c>
      <c r="L32" s="7" t="str">
        <f t="shared" si="7"/>
        <v xml:space="preserve"> </v>
      </c>
      <c r="M32" s="7" t="str">
        <f t="shared" si="8"/>
        <v xml:space="preserve"> </v>
      </c>
      <c r="N32" s="7" t="str">
        <f t="shared" si="9"/>
        <v xml:space="preserve"> </v>
      </c>
      <c r="O32" s="7" t="str">
        <f t="shared" si="10"/>
        <v xml:space="preserve"> </v>
      </c>
      <c r="P32" s="7" t="str">
        <f t="shared" si="11"/>
        <v xml:space="preserve"> </v>
      </c>
      <c r="Q32" s="7" t="str">
        <f t="shared" si="12"/>
        <v xml:space="preserve"> </v>
      </c>
      <c r="R32" s="7" t="str">
        <f t="shared" si="13"/>
        <v xml:space="preserve"> </v>
      </c>
      <c r="S32" s="7" t="str">
        <f t="shared" si="14"/>
        <v xml:space="preserve"> </v>
      </c>
      <c r="U32" s="306"/>
    </row>
    <row r="33" spans="4:21" x14ac:dyDescent="0.15">
      <c r="D33" s="306" t="str">
        <f t="shared" si="1"/>
        <v xml:space="preserve"> </v>
      </c>
      <c r="G33" s="7" t="str">
        <f t="shared" si="2"/>
        <v xml:space="preserve"> </v>
      </c>
      <c r="H33" s="7" t="str">
        <f t="shared" si="3"/>
        <v xml:space="preserve"> </v>
      </c>
      <c r="I33" s="7" t="str">
        <f t="shared" si="4"/>
        <v xml:space="preserve"> </v>
      </c>
      <c r="J33" s="7" t="str">
        <f t="shared" si="5"/>
        <v xml:space="preserve"> </v>
      </c>
      <c r="K33" s="7" t="str">
        <f t="shared" si="6"/>
        <v xml:space="preserve"> </v>
      </c>
      <c r="L33" s="7" t="str">
        <f t="shared" si="7"/>
        <v xml:space="preserve"> </v>
      </c>
      <c r="M33" s="7" t="str">
        <f t="shared" si="8"/>
        <v xml:space="preserve"> </v>
      </c>
      <c r="N33" s="7" t="str">
        <f t="shared" si="9"/>
        <v xml:space="preserve"> </v>
      </c>
      <c r="O33" s="7" t="str">
        <f t="shared" si="10"/>
        <v xml:space="preserve"> </v>
      </c>
      <c r="P33" s="7" t="str">
        <f t="shared" si="11"/>
        <v xml:space="preserve"> </v>
      </c>
      <c r="Q33" s="7" t="str">
        <f t="shared" si="12"/>
        <v xml:space="preserve"> </v>
      </c>
      <c r="R33" s="7" t="str">
        <f t="shared" si="13"/>
        <v xml:space="preserve"> </v>
      </c>
      <c r="S33" s="7" t="str">
        <f t="shared" si="14"/>
        <v xml:space="preserve"> </v>
      </c>
      <c r="U33" s="306"/>
    </row>
    <row r="34" spans="4:21" x14ac:dyDescent="0.15">
      <c r="D34" s="306" t="str">
        <f t="shared" si="1"/>
        <v xml:space="preserve"> </v>
      </c>
      <c r="G34" s="7" t="str">
        <f t="shared" si="2"/>
        <v xml:space="preserve"> </v>
      </c>
      <c r="H34" s="7" t="str">
        <f t="shared" si="3"/>
        <v xml:space="preserve"> </v>
      </c>
      <c r="I34" s="7" t="str">
        <f t="shared" si="4"/>
        <v xml:space="preserve"> </v>
      </c>
      <c r="J34" s="7" t="str">
        <f t="shared" si="5"/>
        <v xml:space="preserve"> </v>
      </c>
      <c r="K34" s="7" t="str">
        <f t="shared" si="6"/>
        <v xml:space="preserve"> </v>
      </c>
      <c r="L34" s="7" t="str">
        <f t="shared" si="7"/>
        <v xml:space="preserve"> </v>
      </c>
      <c r="M34" s="7" t="str">
        <f t="shared" si="8"/>
        <v xml:space="preserve"> </v>
      </c>
      <c r="N34" s="7" t="str">
        <f t="shared" si="9"/>
        <v xml:space="preserve"> </v>
      </c>
      <c r="O34" s="7" t="str">
        <f t="shared" si="10"/>
        <v xml:space="preserve"> </v>
      </c>
      <c r="P34" s="7" t="str">
        <f t="shared" si="11"/>
        <v xml:space="preserve"> </v>
      </c>
      <c r="Q34" s="7" t="str">
        <f t="shared" si="12"/>
        <v xml:space="preserve"> </v>
      </c>
      <c r="R34" s="7" t="str">
        <f t="shared" si="13"/>
        <v xml:space="preserve"> </v>
      </c>
      <c r="S34" s="7" t="str">
        <f t="shared" si="14"/>
        <v xml:space="preserve"> </v>
      </c>
      <c r="U34" s="306"/>
    </row>
    <row r="35" spans="4:21" x14ac:dyDescent="0.15">
      <c r="D35" s="306" t="str">
        <f t="shared" si="1"/>
        <v xml:space="preserve"> </v>
      </c>
      <c r="G35" s="7" t="str">
        <f t="shared" si="2"/>
        <v xml:space="preserve"> </v>
      </c>
      <c r="H35" s="7" t="str">
        <f t="shared" si="3"/>
        <v xml:space="preserve"> </v>
      </c>
      <c r="I35" s="7" t="str">
        <f t="shared" si="4"/>
        <v xml:space="preserve"> </v>
      </c>
      <c r="J35" s="7" t="str">
        <f t="shared" si="5"/>
        <v xml:space="preserve"> </v>
      </c>
      <c r="K35" s="7" t="str">
        <f t="shared" si="6"/>
        <v xml:space="preserve"> </v>
      </c>
      <c r="L35" s="7" t="str">
        <f t="shared" si="7"/>
        <v xml:space="preserve"> </v>
      </c>
      <c r="M35" s="7" t="str">
        <f t="shared" si="8"/>
        <v xml:space="preserve"> </v>
      </c>
      <c r="N35" s="7" t="str">
        <f t="shared" si="9"/>
        <v xml:space="preserve"> </v>
      </c>
      <c r="O35" s="7" t="str">
        <f t="shared" si="10"/>
        <v xml:space="preserve"> </v>
      </c>
      <c r="P35" s="7" t="str">
        <f t="shared" si="11"/>
        <v xml:space="preserve"> </v>
      </c>
      <c r="Q35" s="7" t="str">
        <f t="shared" si="12"/>
        <v xml:space="preserve"> </v>
      </c>
      <c r="R35" s="7" t="str">
        <f t="shared" si="13"/>
        <v xml:space="preserve"> </v>
      </c>
      <c r="S35" s="7" t="str">
        <f t="shared" si="14"/>
        <v xml:space="preserve"> </v>
      </c>
      <c r="U35" s="306"/>
    </row>
    <row r="36" spans="4:21" x14ac:dyDescent="0.15">
      <c r="D36" s="306" t="str">
        <f t="shared" si="1"/>
        <v xml:space="preserve"> </v>
      </c>
      <c r="G36" s="7" t="str">
        <f t="shared" si="2"/>
        <v xml:space="preserve"> </v>
      </c>
      <c r="H36" s="7" t="str">
        <f t="shared" si="3"/>
        <v xml:space="preserve"> </v>
      </c>
      <c r="I36" s="7" t="str">
        <f t="shared" si="4"/>
        <v xml:space="preserve"> </v>
      </c>
      <c r="J36" s="7" t="str">
        <f t="shared" si="5"/>
        <v xml:space="preserve"> </v>
      </c>
      <c r="K36" s="7" t="str">
        <f t="shared" si="6"/>
        <v xml:space="preserve"> </v>
      </c>
      <c r="L36" s="7" t="str">
        <f t="shared" si="7"/>
        <v xml:space="preserve"> </v>
      </c>
      <c r="M36" s="7" t="str">
        <f t="shared" si="8"/>
        <v xml:space="preserve"> </v>
      </c>
      <c r="N36" s="7" t="str">
        <f t="shared" si="9"/>
        <v xml:space="preserve"> </v>
      </c>
      <c r="O36" s="7" t="str">
        <f t="shared" si="10"/>
        <v xml:space="preserve"> </v>
      </c>
      <c r="P36" s="7" t="str">
        <f t="shared" si="11"/>
        <v xml:space="preserve"> </v>
      </c>
      <c r="Q36" s="7" t="str">
        <f t="shared" si="12"/>
        <v xml:space="preserve"> </v>
      </c>
      <c r="R36" s="7" t="str">
        <f t="shared" si="13"/>
        <v xml:space="preserve"> </v>
      </c>
      <c r="S36" s="7" t="str">
        <f t="shared" si="14"/>
        <v xml:space="preserve"> </v>
      </c>
      <c r="U36" s="306"/>
    </row>
    <row r="37" spans="4:21" x14ac:dyDescent="0.15">
      <c r="D37" s="306" t="str">
        <f t="shared" ref="D37:D68" si="15">IF((F37&lt;&gt;0),"Enter Letter"," ")</f>
        <v xml:space="preserve"> </v>
      </c>
      <c r="G37" s="7" t="str">
        <f t="shared" ref="G37:G68" si="16">IF((D37="d"),F37," ")</f>
        <v xml:space="preserve"> </v>
      </c>
      <c r="H37" s="7" t="str">
        <f t="shared" ref="H37:H68" si="17">IF((D37="h"),F37," ")</f>
        <v xml:space="preserve"> </v>
      </c>
      <c r="I37" s="7" t="str">
        <f t="shared" ref="I37:I68" si="18">IF((D37="r"),F37," ")</f>
        <v xml:space="preserve"> </v>
      </c>
      <c r="J37" s="7" t="str">
        <f t="shared" ref="J37:J68" si="19">IF((D37="t"),F37," ")</f>
        <v xml:space="preserve"> </v>
      </c>
      <c r="K37" s="7" t="str">
        <f t="shared" ref="K37:K68" si="20">IF((D37="e"),F37," ")</f>
        <v xml:space="preserve"> </v>
      </c>
      <c r="L37" s="7" t="str">
        <f t="shared" ref="L37:L68" si="21">IF((D37="p"),F37," ")</f>
        <v xml:space="preserve"> </v>
      </c>
      <c r="M37" s="7" t="str">
        <f t="shared" ref="M37:M68" si="22">IF((D37="g"),F37," ")</f>
        <v xml:space="preserve"> </v>
      </c>
      <c r="N37" s="7" t="str">
        <f t="shared" ref="N37:N68" si="23">IF((D37="a"),F37," ")</f>
        <v xml:space="preserve"> </v>
      </c>
      <c r="O37" s="7" t="str">
        <f t="shared" ref="O37:O68" si="24">IF((D37="l"),F37," ")</f>
        <v xml:space="preserve"> </v>
      </c>
      <c r="P37" s="7" t="str">
        <f t="shared" ref="P37:P68" si="25">IF((D37="i"),F37," ")</f>
        <v xml:space="preserve"> </v>
      </c>
      <c r="Q37" s="7" t="str">
        <f t="shared" ref="Q37:Q68" si="26">IF((D37="b"),F37," ")</f>
        <v xml:space="preserve"> </v>
      </c>
      <c r="R37" s="7" t="str">
        <f t="shared" ref="R37:R68" si="27">IF((D37="o"),F37," ")</f>
        <v xml:space="preserve"> </v>
      </c>
      <c r="S37" s="7" t="str">
        <f t="shared" ref="S37:S68" si="28">IF((D37="f"),F37," ")</f>
        <v xml:space="preserve"> </v>
      </c>
      <c r="U37" s="306"/>
    </row>
    <row r="38" spans="4:21" x14ac:dyDescent="0.15">
      <c r="D38" s="306" t="str">
        <f t="shared" si="15"/>
        <v xml:space="preserve"> </v>
      </c>
      <c r="G38" s="7" t="str">
        <f t="shared" si="16"/>
        <v xml:space="preserve"> </v>
      </c>
      <c r="H38" s="7" t="str">
        <f t="shared" si="17"/>
        <v xml:space="preserve"> </v>
      </c>
      <c r="I38" s="7" t="str">
        <f t="shared" si="18"/>
        <v xml:space="preserve"> </v>
      </c>
      <c r="J38" s="7" t="str">
        <f t="shared" si="19"/>
        <v xml:space="preserve"> </v>
      </c>
      <c r="K38" s="7" t="str">
        <f t="shared" si="20"/>
        <v xml:space="preserve"> </v>
      </c>
      <c r="L38" s="7" t="str">
        <f t="shared" si="21"/>
        <v xml:space="preserve"> </v>
      </c>
      <c r="M38" s="7" t="str">
        <f t="shared" si="22"/>
        <v xml:space="preserve"> </v>
      </c>
      <c r="N38" s="7" t="str">
        <f t="shared" si="23"/>
        <v xml:space="preserve"> </v>
      </c>
      <c r="O38" s="7" t="str">
        <f t="shared" si="24"/>
        <v xml:space="preserve"> </v>
      </c>
      <c r="P38" s="7" t="str">
        <f t="shared" si="25"/>
        <v xml:space="preserve"> </v>
      </c>
      <c r="Q38" s="7" t="str">
        <f t="shared" si="26"/>
        <v xml:space="preserve"> </v>
      </c>
      <c r="R38" s="7" t="str">
        <f t="shared" si="27"/>
        <v xml:space="preserve"> </v>
      </c>
      <c r="S38" s="7" t="str">
        <f t="shared" si="28"/>
        <v xml:space="preserve"> </v>
      </c>
      <c r="U38" s="306"/>
    </row>
    <row r="39" spans="4:21" x14ac:dyDescent="0.15">
      <c r="D39" s="306" t="str">
        <f t="shared" si="15"/>
        <v xml:space="preserve"> </v>
      </c>
      <c r="G39" s="7" t="str">
        <f t="shared" si="16"/>
        <v xml:space="preserve"> </v>
      </c>
      <c r="H39" s="7" t="str">
        <f t="shared" si="17"/>
        <v xml:space="preserve"> </v>
      </c>
      <c r="I39" s="7" t="str">
        <f t="shared" si="18"/>
        <v xml:space="preserve"> </v>
      </c>
      <c r="J39" s="7" t="str">
        <f t="shared" si="19"/>
        <v xml:space="preserve"> </v>
      </c>
      <c r="K39" s="7" t="str">
        <f t="shared" si="20"/>
        <v xml:space="preserve"> </v>
      </c>
      <c r="L39" s="7" t="str">
        <f t="shared" si="21"/>
        <v xml:space="preserve"> </v>
      </c>
      <c r="M39" s="7" t="str">
        <f t="shared" si="22"/>
        <v xml:space="preserve"> </v>
      </c>
      <c r="N39" s="7" t="str">
        <f t="shared" si="23"/>
        <v xml:space="preserve"> </v>
      </c>
      <c r="O39" s="7" t="str">
        <f t="shared" si="24"/>
        <v xml:space="preserve"> </v>
      </c>
      <c r="P39" s="7" t="str">
        <f t="shared" si="25"/>
        <v xml:space="preserve"> </v>
      </c>
      <c r="Q39" s="7" t="str">
        <f t="shared" si="26"/>
        <v xml:space="preserve"> </v>
      </c>
      <c r="R39" s="7" t="str">
        <f t="shared" si="27"/>
        <v xml:space="preserve"> </v>
      </c>
      <c r="S39" s="7" t="str">
        <f t="shared" si="28"/>
        <v xml:space="preserve"> </v>
      </c>
      <c r="U39" s="306"/>
    </row>
    <row r="40" spans="4:21" x14ac:dyDescent="0.15">
      <c r="D40" s="306" t="str">
        <f t="shared" si="15"/>
        <v xml:space="preserve"> </v>
      </c>
      <c r="G40" s="7" t="str">
        <f t="shared" si="16"/>
        <v xml:space="preserve"> </v>
      </c>
      <c r="H40" s="7" t="str">
        <f t="shared" si="17"/>
        <v xml:space="preserve"> </v>
      </c>
      <c r="I40" s="7" t="str">
        <f t="shared" si="18"/>
        <v xml:space="preserve"> </v>
      </c>
      <c r="J40" s="7" t="str">
        <f t="shared" si="19"/>
        <v xml:space="preserve"> </v>
      </c>
      <c r="K40" s="7" t="str">
        <f t="shared" si="20"/>
        <v xml:space="preserve"> </v>
      </c>
      <c r="L40" s="7" t="str">
        <f t="shared" si="21"/>
        <v xml:space="preserve"> </v>
      </c>
      <c r="M40" s="7" t="str">
        <f t="shared" si="22"/>
        <v xml:space="preserve"> </v>
      </c>
      <c r="N40" s="7" t="str">
        <f t="shared" si="23"/>
        <v xml:space="preserve"> </v>
      </c>
      <c r="O40" s="7" t="str">
        <f t="shared" si="24"/>
        <v xml:space="preserve"> </v>
      </c>
      <c r="P40" s="7" t="str">
        <f t="shared" si="25"/>
        <v xml:space="preserve"> </v>
      </c>
      <c r="Q40" s="7" t="str">
        <f t="shared" si="26"/>
        <v xml:space="preserve"> </v>
      </c>
      <c r="R40" s="7" t="str">
        <f t="shared" si="27"/>
        <v xml:space="preserve"> </v>
      </c>
      <c r="S40" s="7" t="str">
        <f t="shared" si="28"/>
        <v xml:space="preserve"> </v>
      </c>
      <c r="U40" s="306"/>
    </row>
    <row r="41" spans="4:21" x14ac:dyDescent="0.15">
      <c r="D41" s="306" t="str">
        <f t="shared" si="15"/>
        <v xml:space="preserve"> </v>
      </c>
      <c r="G41" s="7" t="str">
        <f t="shared" si="16"/>
        <v xml:space="preserve"> </v>
      </c>
      <c r="H41" s="7" t="str">
        <f t="shared" si="17"/>
        <v xml:space="preserve"> </v>
      </c>
      <c r="I41" s="7" t="str">
        <f t="shared" si="18"/>
        <v xml:space="preserve"> </v>
      </c>
      <c r="J41" s="7" t="str">
        <f t="shared" si="19"/>
        <v xml:space="preserve"> </v>
      </c>
      <c r="K41" s="7" t="str">
        <f t="shared" si="20"/>
        <v xml:space="preserve"> </v>
      </c>
      <c r="L41" s="7" t="str">
        <f t="shared" si="21"/>
        <v xml:space="preserve"> </v>
      </c>
      <c r="M41" s="7" t="str">
        <f t="shared" si="22"/>
        <v xml:space="preserve"> </v>
      </c>
      <c r="N41" s="7" t="str">
        <f t="shared" si="23"/>
        <v xml:space="preserve"> </v>
      </c>
      <c r="O41" s="7" t="str">
        <f t="shared" si="24"/>
        <v xml:space="preserve"> </v>
      </c>
      <c r="P41" s="7" t="str">
        <f t="shared" si="25"/>
        <v xml:space="preserve"> </v>
      </c>
      <c r="Q41" s="7" t="str">
        <f t="shared" si="26"/>
        <v xml:space="preserve"> </v>
      </c>
      <c r="R41" s="7" t="str">
        <f t="shared" si="27"/>
        <v xml:space="preserve"> </v>
      </c>
      <c r="S41" s="7" t="str">
        <f t="shared" si="28"/>
        <v xml:space="preserve"> </v>
      </c>
      <c r="U41" s="306"/>
    </row>
    <row r="42" spans="4:21" x14ac:dyDescent="0.15">
      <c r="D42" s="306" t="str">
        <f t="shared" si="15"/>
        <v xml:space="preserve"> </v>
      </c>
      <c r="G42" s="7" t="str">
        <f t="shared" si="16"/>
        <v xml:space="preserve"> </v>
      </c>
      <c r="H42" s="7" t="str">
        <f t="shared" si="17"/>
        <v xml:space="preserve"> </v>
      </c>
      <c r="I42" s="7" t="str">
        <f t="shared" si="18"/>
        <v xml:space="preserve"> </v>
      </c>
      <c r="J42" s="7" t="str">
        <f t="shared" si="19"/>
        <v xml:space="preserve"> </v>
      </c>
      <c r="K42" s="7" t="str">
        <f t="shared" si="20"/>
        <v xml:space="preserve"> </v>
      </c>
      <c r="L42" s="7" t="str">
        <f t="shared" si="21"/>
        <v xml:space="preserve"> </v>
      </c>
      <c r="M42" s="7" t="str">
        <f t="shared" si="22"/>
        <v xml:space="preserve"> </v>
      </c>
      <c r="N42" s="7" t="str">
        <f t="shared" si="23"/>
        <v xml:space="preserve"> </v>
      </c>
      <c r="O42" s="7" t="str">
        <f t="shared" si="24"/>
        <v xml:space="preserve"> </v>
      </c>
      <c r="P42" s="7" t="str">
        <f t="shared" si="25"/>
        <v xml:space="preserve"> </v>
      </c>
      <c r="Q42" s="7" t="str">
        <f t="shared" si="26"/>
        <v xml:space="preserve"> </v>
      </c>
      <c r="R42" s="7" t="str">
        <f t="shared" si="27"/>
        <v xml:space="preserve"> </v>
      </c>
      <c r="S42" s="7" t="str">
        <f t="shared" si="28"/>
        <v xml:space="preserve"> </v>
      </c>
      <c r="U42" s="306"/>
    </row>
    <row r="43" spans="4:21" x14ac:dyDescent="0.15">
      <c r="D43" s="306" t="str">
        <f t="shared" si="15"/>
        <v xml:space="preserve"> </v>
      </c>
      <c r="G43" s="7" t="str">
        <f t="shared" si="16"/>
        <v xml:space="preserve"> </v>
      </c>
      <c r="H43" s="7" t="str">
        <f t="shared" si="17"/>
        <v xml:space="preserve"> </v>
      </c>
      <c r="I43" s="7" t="str">
        <f t="shared" si="18"/>
        <v xml:space="preserve"> </v>
      </c>
      <c r="J43" s="7" t="str">
        <f t="shared" si="19"/>
        <v xml:space="preserve"> </v>
      </c>
      <c r="K43" s="7" t="str">
        <f t="shared" si="20"/>
        <v xml:space="preserve"> </v>
      </c>
      <c r="L43" s="7" t="str">
        <f t="shared" si="21"/>
        <v xml:space="preserve"> </v>
      </c>
      <c r="M43" s="7" t="str">
        <f t="shared" si="22"/>
        <v xml:space="preserve"> </v>
      </c>
      <c r="N43" s="7" t="str">
        <f t="shared" si="23"/>
        <v xml:space="preserve"> </v>
      </c>
      <c r="O43" s="7" t="str">
        <f t="shared" si="24"/>
        <v xml:space="preserve"> </v>
      </c>
      <c r="P43" s="7" t="str">
        <f t="shared" si="25"/>
        <v xml:space="preserve"> </v>
      </c>
      <c r="Q43" s="7" t="str">
        <f t="shared" si="26"/>
        <v xml:space="preserve"> </v>
      </c>
      <c r="R43" s="7" t="str">
        <f t="shared" si="27"/>
        <v xml:space="preserve"> </v>
      </c>
      <c r="S43" s="7" t="str">
        <f t="shared" si="28"/>
        <v xml:space="preserve"> </v>
      </c>
      <c r="U43" s="306"/>
    </row>
    <row r="44" spans="4:21" x14ac:dyDescent="0.15">
      <c r="D44" s="306" t="str">
        <f t="shared" si="15"/>
        <v xml:space="preserve"> </v>
      </c>
      <c r="G44" s="7" t="str">
        <f t="shared" si="16"/>
        <v xml:space="preserve"> </v>
      </c>
      <c r="H44" s="7" t="str">
        <f t="shared" si="17"/>
        <v xml:space="preserve"> </v>
      </c>
      <c r="I44" s="7" t="str">
        <f t="shared" si="18"/>
        <v xml:space="preserve"> </v>
      </c>
      <c r="J44" s="7" t="str">
        <f t="shared" si="19"/>
        <v xml:space="preserve"> </v>
      </c>
      <c r="K44" s="7" t="str">
        <f t="shared" si="20"/>
        <v xml:space="preserve"> </v>
      </c>
      <c r="L44" s="7" t="str">
        <f t="shared" si="21"/>
        <v xml:space="preserve"> </v>
      </c>
      <c r="M44" s="7" t="str">
        <f t="shared" si="22"/>
        <v xml:space="preserve"> </v>
      </c>
      <c r="N44" s="7" t="str">
        <f t="shared" si="23"/>
        <v xml:space="preserve"> </v>
      </c>
      <c r="O44" s="7" t="str">
        <f t="shared" si="24"/>
        <v xml:space="preserve"> </v>
      </c>
      <c r="P44" s="7" t="str">
        <f t="shared" si="25"/>
        <v xml:space="preserve"> </v>
      </c>
      <c r="Q44" s="7" t="str">
        <f t="shared" si="26"/>
        <v xml:space="preserve"> </v>
      </c>
      <c r="R44" s="7" t="str">
        <f t="shared" si="27"/>
        <v xml:space="preserve"> </v>
      </c>
      <c r="S44" s="7" t="str">
        <f t="shared" si="28"/>
        <v xml:space="preserve"> </v>
      </c>
      <c r="U44" s="306"/>
    </row>
    <row r="45" spans="4:21" x14ac:dyDescent="0.15">
      <c r="D45" s="306" t="str">
        <f t="shared" si="15"/>
        <v xml:space="preserve"> </v>
      </c>
      <c r="G45" s="7" t="str">
        <f t="shared" si="16"/>
        <v xml:space="preserve"> </v>
      </c>
      <c r="H45" s="7" t="str">
        <f t="shared" si="17"/>
        <v xml:space="preserve"> </v>
      </c>
      <c r="I45" s="7" t="str">
        <f t="shared" si="18"/>
        <v xml:space="preserve"> </v>
      </c>
      <c r="J45" s="7" t="str">
        <f t="shared" si="19"/>
        <v xml:space="preserve"> </v>
      </c>
      <c r="K45" s="7" t="str">
        <f t="shared" si="20"/>
        <v xml:space="preserve"> </v>
      </c>
      <c r="L45" s="7" t="str">
        <f t="shared" si="21"/>
        <v xml:space="preserve"> </v>
      </c>
      <c r="M45" s="7" t="str">
        <f t="shared" si="22"/>
        <v xml:space="preserve"> </v>
      </c>
      <c r="N45" s="7" t="str">
        <f t="shared" si="23"/>
        <v xml:space="preserve"> </v>
      </c>
      <c r="O45" s="7" t="str">
        <f t="shared" si="24"/>
        <v xml:space="preserve"> </v>
      </c>
      <c r="P45" s="7" t="str">
        <f t="shared" si="25"/>
        <v xml:space="preserve"> </v>
      </c>
      <c r="Q45" s="7" t="str">
        <f t="shared" si="26"/>
        <v xml:space="preserve"> </v>
      </c>
      <c r="R45" s="7" t="str">
        <f t="shared" si="27"/>
        <v xml:space="preserve"> </v>
      </c>
      <c r="S45" s="7" t="str">
        <f t="shared" si="28"/>
        <v xml:space="preserve"> </v>
      </c>
      <c r="U45" s="306"/>
    </row>
    <row r="46" spans="4:21" x14ac:dyDescent="0.15">
      <c r="D46" s="306" t="str">
        <f t="shared" si="15"/>
        <v xml:space="preserve"> </v>
      </c>
      <c r="G46" s="7" t="str">
        <f t="shared" si="16"/>
        <v xml:space="preserve"> </v>
      </c>
      <c r="H46" s="7" t="str">
        <f t="shared" si="17"/>
        <v xml:space="preserve"> </v>
      </c>
      <c r="I46" s="7" t="str">
        <f t="shared" si="18"/>
        <v xml:space="preserve"> </v>
      </c>
      <c r="J46" s="7" t="str">
        <f t="shared" si="19"/>
        <v xml:space="preserve"> </v>
      </c>
      <c r="K46" s="7" t="str">
        <f t="shared" si="20"/>
        <v xml:space="preserve"> </v>
      </c>
      <c r="L46" s="7" t="str">
        <f t="shared" si="21"/>
        <v xml:space="preserve"> </v>
      </c>
      <c r="M46" s="7" t="str">
        <f t="shared" si="22"/>
        <v xml:space="preserve"> </v>
      </c>
      <c r="N46" s="7" t="str">
        <f t="shared" si="23"/>
        <v xml:space="preserve"> </v>
      </c>
      <c r="O46" s="7" t="str">
        <f t="shared" si="24"/>
        <v xml:space="preserve"> </v>
      </c>
      <c r="P46" s="7" t="str">
        <f t="shared" si="25"/>
        <v xml:space="preserve"> </v>
      </c>
      <c r="Q46" s="7" t="str">
        <f t="shared" si="26"/>
        <v xml:space="preserve"> </v>
      </c>
      <c r="R46" s="7" t="str">
        <f t="shared" si="27"/>
        <v xml:space="preserve"> </v>
      </c>
      <c r="S46" s="7" t="str">
        <f t="shared" si="28"/>
        <v xml:space="preserve"> </v>
      </c>
      <c r="U46" s="306"/>
    </row>
    <row r="47" spans="4:21" x14ac:dyDescent="0.15">
      <c r="D47" s="306" t="str">
        <f t="shared" si="15"/>
        <v xml:space="preserve"> </v>
      </c>
      <c r="G47" s="7" t="str">
        <f t="shared" si="16"/>
        <v xml:space="preserve"> </v>
      </c>
      <c r="H47" s="7" t="str">
        <f t="shared" si="17"/>
        <v xml:space="preserve"> </v>
      </c>
      <c r="I47" s="7" t="str">
        <f t="shared" si="18"/>
        <v xml:space="preserve"> </v>
      </c>
      <c r="J47" s="7" t="str">
        <f t="shared" si="19"/>
        <v xml:space="preserve"> </v>
      </c>
      <c r="K47" s="7" t="str">
        <f t="shared" si="20"/>
        <v xml:space="preserve"> </v>
      </c>
      <c r="L47" s="7" t="str">
        <f t="shared" si="21"/>
        <v xml:space="preserve"> </v>
      </c>
      <c r="M47" s="7" t="str">
        <f t="shared" si="22"/>
        <v xml:space="preserve"> </v>
      </c>
      <c r="N47" s="7" t="str">
        <f t="shared" si="23"/>
        <v xml:space="preserve"> </v>
      </c>
      <c r="O47" s="7" t="str">
        <f t="shared" si="24"/>
        <v xml:space="preserve"> </v>
      </c>
      <c r="P47" s="7" t="str">
        <f t="shared" si="25"/>
        <v xml:space="preserve"> </v>
      </c>
      <c r="Q47" s="7" t="str">
        <f t="shared" si="26"/>
        <v xml:space="preserve"> </v>
      </c>
      <c r="R47" s="7" t="str">
        <f t="shared" si="27"/>
        <v xml:space="preserve"> </v>
      </c>
      <c r="S47" s="7" t="str">
        <f t="shared" si="28"/>
        <v xml:space="preserve"> </v>
      </c>
      <c r="U47" s="306"/>
    </row>
    <row r="48" spans="4:21" x14ac:dyDescent="0.15">
      <c r="D48" s="306" t="str">
        <f t="shared" si="15"/>
        <v xml:space="preserve"> </v>
      </c>
      <c r="G48" s="7" t="str">
        <f t="shared" si="16"/>
        <v xml:space="preserve"> </v>
      </c>
      <c r="H48" s="7" t="str">
        <f t="shared" si="17"/>
        <v xml:space="preserve"> </v>
      </c>
      <c r="I48" s="7" t="str">
        <f t="shared" si="18"/>
        <v xml:space="preserve"> </v>
      </c>
      <c r="J48" s="7" t="str">
        <f t="shared" si="19"/>
        <v xml:space="preserve"> </v>
      </c>
      <c r="K48" s="7" t="str">
        <f t="shared" si="20"/>
        <v xml:space="preserve"> </v>
      </c>
      <c r="L48" s="7" t="str">
        <f t="shared" si="21"/>
        <v xml:space="preserve"> </v>
      </c>
      <c r="M48" s="7" t="str">
        <f t="shared" si="22"/>
        <v xml:space="preserve"> </v>
      </c>
      <c r="N48" s="7" t="str">
        <f t="shared" si="23"/>
        <v xml:space="preserve"> </v>
      </c>
      <c r="O48" s="7" t="str">
        <f t="shared" si="24"/>
        <v xml:space="preserve"> </v>
      </c>
      <c r="P48" s="7" t="str">
        <f t="shared" si="25"/>
        <v xml:space="preserve"> </v>
      </c>
      <c r="Q48" s="7" t="str">
        <f t="shared" si="26"/>
        <v xml:space="preserve"> </v>
      </c>
      <c r="R48" s="7" t="str">
        <f t="shared" si="27"/>
        <v xml:space="preserve"> </v>
      </c>
      <c r="S48" s="7" t="str">
        <f t="shared" si="28"/>
        <v xml:space="preserve"> </v>
      </c>
      <c r="U48" s="306"/>
    </row>
    <row r="49" spans="4:21" x14ac:dyDescent="0.15">
      <c r="D49" s="306" t="str">
        <f t="shared" si="15"/>
        <v xml:space="preserve"> </v>
      </c>
      <c r="G49" s="7" t="str">
        <f t="shared" si="16"/>
        <v xml:space="preserve"> </v>
      </c>
      <c r="H49" s="7" t="str">
        <f t="shared" si="17"/>
        <v xml:space="preserve"> </v>
      </c>
      <c r="I49" s="7" t="str">
        <f t="shared" si="18"/>
        <v xml:space="preserve"> </v>
      </c>
      <c r="J49" s="7" t="str">
        <f t="shared" si="19"/>
        <v xml:space="preserve"> </v>
      </c>
      <c r="K49" s="7" t="str">
        <f t="shared" si="20"/>
        <v xml:space="preserve"> </v>
      </c>
      <c r="L49" s="7" t="str">
        <f t="shared" si="21"/>
        <v xml:space="preserve"> </v>
      </c>
      <c r="M49" s="7" t="str">
        <f t="shared" si="22"/>
        <v xml:space="preserve"> </v>
      </c>
      <c r="N49" s="7" t="str">
        <f t="shared" si="23"/>
        <v xml:space="preserve"> </v>
      </c>
      <c r="O49" s="7" t="str">
        <f t="shared" si="24"/>
        <v xml:space="preserve"> </v>
      </c>
      <c r="P49" s="7" t="str">
        <f t="shared" si="25"/>
        <v xml:space="preserve"> </v>
      </c>
      <c r="Q49" s="7" t="str">
        <f t="shared" si="26"/>
        <v xml:space="preserve"> </v>
      </c>
      <c r="R49" s="7" t="str">
        <f t="shared" si="27"/>
        <v xml:space="preserve"> </v>
      </c>
      <c r="S49" s="7" t="str">
        <f t="shared" si="28"/>
        <v xml:space="preserve"> </v>
      </c>
      <c r="U49" s="306"/>
    </row>
    <row r="50" spans="4:21" x14ac:dyDescent="0.15">
      <c r="D50" s="306" t="str">
        <f t="shared" si="15"/>
        <v xml:space="preserve"> </v>
      </c>
      <c r="G50" s="7" t="str">
        <f t="shared" si="16"/>
        <v xml:space="preserve"> </v>
      </c>
      <c r="H50" s="7" t="str">
        <f t="shared" si="17"/>
        <v xml:space="preserve"> </v>
      </c>
      <c r="I50" s="7" t="str">
        <f t="shared" si="18"/>
        <v xml:space="preserve"> </v>
      </c>
      <c r="J50" s="7" t="str">
        <f t="shared" si="19"/>
        <v xml:space="preserve"> </v>
      </c>
      <c r="K50" s="7" t="str">
        <f t="shared" si="20"/>
        <v xml:space="preserve"> </v>
      </c>
      <c r="L50" s="7" t="str">
        <f t="shared" si="21"/>
        <v xml:space="preserve"> </v>
      </c>
      <c r="M50" s="7" t="str">
        <f t="shared" si="22"/>
        <v xml:space="preserve"> </v>
      </c>
      <c r="N50" s="7" t="str">
        <f t="shared" si="23"/>
        <v xml:space="preserve"> </v>
      </c>
      <c r="O50" s="7" t="str">
        <f t="shared" si="24"/>
        <v xml:space="preserve"> </v>
      </c>
      <c r="P50" s="7" t="str">
        <f t="shared" si="25"/>
        <v xml:space="preserve"> </v>
      </c>
      <c r="Q50" s="7" t="str">
        <f t="shared" si="26"/>
        <v xml:space="preserve"> </v>
      </c>
      <c r="R50" s="7" t="str">
        <f t="shared" si="27"/>
        <v xml:space="preserve"> </v>
      </c>
      <c r="S50" s="7" t="str">
        <f t="shared" si="28"/>
        <v xml:space="preserve"> </v>
      </c>
      <c r="U50" s="306"/>
    </row>
    <row r="51" spans="4:21" x14ac:dyDescent="0.15">
      <c r="D51" s="306" t="str">
        <f t="shared" si="15"/>
        <v xml:space="preserve"> </v>
      </c>
      <c r="G51" s="7" t="str">
        <f t="shared" si="16"/>
        <v xml:space="preserve"> </v>
      </c>
      <c r="H51" s="7" t="str">
        <f t="shared" si="17"/>
        <v xml:space="preserve"> </v>
      </c>
      <c r="I51" s="7" t="str">
        <f t="shared" si="18"/>
        <v xml:space="preserve"> </v>
      </c>
      <c r="J51" s="7" t="str">
        <f t="shared" si="19"/>
        <v xml:space="preserve"> </v>
      </c>
      <c r="K51" s="7" t="str">
        <f t="shared" si="20"/>
        <v xml:space="preserve"> </v>
      </c>
      <c r="L51" s="7" t="str">
        <f t="shared" si="21"/>
        <v xml:space="preserve"> </v>
      </c>
      <c r="M51" s="7" t="str">
        <f t="shared" si="22"/>
        <v xml:space="preserve"> </v>
      </c>
      <c r="N51" s="7" t="str">
        <f t="shared" si="23"/>
        <v xml:space="preserve"> </v>
      </c>
      <c r="O51" s="7" t="str">
        <f t="shared" si="24"/>
        <v xml:space="preserve"> </v>
      </c>
      <c r="P51" s="7" t="str">
        <f t="shared" si="25"/>
        <v xml:space="preserve"> </v>
      </c>
      <c r="Q51" s="7" t="str">
        <f t="shared" si="26"/>
        <v xml:space="preserve"> </v>
      </c>
      <c r="R51" s="7" t="str">
        <f t="shared" si="27"/>
        <v xml:space="preserve"> </v>
      </c>
      <c r="S51" s="7" t="str">
        <f t="shared" si="28"/>
        <v xml:space="preserve"> </v>
      </c>
      <c r="U51" s="306"/>
    </row>
    <row r="52" spans="4:21" x14ac:dyDescent="0.15">
      <c r="D52" s="306" t="str">
        <f t="shared" si="15"/>
        <v xml:space="preserve"> </v>
      </c>
      <c r="G52" s="7" t="str">
        <f t="shared" si="16"/>
        <v xml:space="preserve"> </v>
      </c>
      <c r="H52" s="7" t="str">
        <f t="shared" si="17"/>
        <v xml:space="preserve"> </v>
      </c>
      <c r="I52" s="7" t="str">
        <f t="shared" si="18"/>
        <v xml:space="preserve"> </v>
      </c>
      <c r="J52" s="7" t="str">
        <f t="shared" si="19"/>
        <v xml:space="preserve"> </v>
      </c>
      <c r="K52" s="7" t="str">
        <f t="shared" si="20"/>
        <v xml:space="preserve"> </v>
      </c>
      <c r="L52" s="7" t="str">
        <f t="shared" si="21"/>
        <v xml:space="preserve"> </v>
      </c>
      <c r="M52" s="7" t="str">
        <f t="shared" si="22"/>
        <v xml:space="preserve"> </v>
      </c>
      <c r="N52" s="7" t="str">
        <f t="shared" si="23"/>
        <v xml:space="preserve"> </v>
      </c>
      <c r="O52" s="7" t="str">
        <f t="shared" si="24"/>
        <v xml:space="preserve"> </v>
      </c>
      <c r="P52" s="7" t="str">
        <f t="shared" si="25"/>
        <v xml:space="preserve"> </v>
      </c>
      <c r="Q52" s="7" t="str">
        <f t="shared" si="26"/>
        <v xml:space="preserve"> </v>
      </c>
      <c r="R52" s="7" t="str">
        <f t="shared" si="27"/>
        <v xml:space="preserve"> </v>
      </c>
      <c r="S52" s="7" t="str">
        <f t="shared" si="28"/>
        <v xml:space="preserve"> </v>
      </c>
      <c r="U52" s="306"/>
    </row>
    <row r="53" spans="4:21" x14ac:dyDescent="0.15">
      <c r="D53" s="306" t="str">
        <f t="shared" si="15"/>
        <v xml:space="preserve"> </v>
      </c>
      <c r="G53" s="7" t="str">
        <f t="shared" si="16"/>
        <v xml:space="preserve"> </v>
      </c>
      <c r="H53" s="7" t="str">
        <f t="shared" si="17"/>
        <v xml:space="preserve"> </v>
      </c>
      <c r="I53" s="7" t="str">
        <f t="shared" si="18"/>
        <v xml:space="preserve"> </v>
      </c>
      <c r="J53" s="7" t="str">
        <f t="shared" si="19"/>
        <v xml:space="preserve"> </v>
      </c>
      <c r="K53" s="7" t="str">
        <f t="shared" si="20"/>
        <v xml:space="preserve"> </v>
      </c>
      <c r="L53" s="7" t="str">
        <f t="shared" si="21"/>
        <v xml:space="preserve"> </v>
      </c>
      <c r="M53" s="7" t="str">
        <f t="shared" si="22"/>
        <v xml:space="preserve"> </v>
      </c>
      <c r="N53" s="7" t="str">
        <f t="shared" si="23"/>
        <v xml:space="preserve"> </v>
      </c>
      <c r="O53" s="7" t="str">
        <f t="shared" si="24"/>
        <v xml:space="preserve"> </v>
      </c>
      <c r="P53" s="7" t="str">
        <f t="shared" si="25"/>
        <v xml:space="preserve"> </v>
      </c>
      <c r="Q53" s="7" t="str">
        <f t="shared" si="26"/>
        <v xml:space="preserve"> </v>
      </c>
      <c r="R53" s="7" t="str">
        <f t="shared" si="27"/>
        <v xml:space="preserve"> </v>
      </c>
      <c r="S53" s="7" t="str">
        <f t="shared" si="28"/>
        <v xml:space="preserve"> </v>
      </c>
      <c r="U53" s="306"/>
    </row>
    <row r="54" spans="4:21" x14ac:dyDescent="0.15">
      <c r="D54" s="306" t="str">
        <f t="shared" si="15"/>
        <v xml:space="preserve"> </v>
      </c>
      <c r="G54" s="7" t="str">
        <f t="shared" si="16"/>
        <v xml:space="preserve"> </v>
      </c>
      <c r="H54" s="7" t="str">
        <f t="shared" si="17"/>
        <v xml:space="preserve"> </v>
      </c>
      <c r="I54" s="7" t="str">
        <f t="shared" si="18"/>
        <v xml:space="preserve"> </v>
      </c>
      <c r="J54" s="7" t="str">
        <f t="shared" si="19"/>
        <v xml:space="preserve"> </v>
      </c>
      <c r="K54" s="7" t="str">
        <f t="shared" si="20"/>
        <v xml:space="preserve"> </v>
      </c>
      <c r="L54" s="7" t="str">
        <f t="shared" si="21"/>
        <v xml:space="preserve"> </v>
      </c>
      <c r="M54" s="7" t="str">
        <f t="shared" si="22"/>
        <v xml:space="preserve"> </v>
      </c>
      <c r="N54" s="7" t="str">
        <f t="shared" si="23"/>
        <v xml:space="preserve"> </v>
      </c>
      <c r="O54" s="7" t="str">
        <f t="shared" si="24"/>
        <v xml:space="preserve"> </v>
      </c>
      <c r="P54" s="7" t="str">
        <f t="shared" si="25"/>
        <v xml:space="preserve"> </v>
      </c>
      <c r="Q54" s="7" t="str">
        <f t="shared" si="26"/>
        <v xml:space="preserve"> </v>
      </c>
      <c r="R54" s="7" t="str">
        <f t="shared" si="27"/>
        <v xml:space="preserve"> </v>
      </c>
      <c r="S54" s="7" t="str">
        <f t="shared" si="28"/>
        <v xml:space="preserve"> </v>
      </c>
      <c r="U54" s="306"/>
    </row>
    <row r="55" spans="4:21" x14ac:dyDescent="0.15">
      <c r="D55" s="306" t="str">
        <f t="shared" si="15"/>
        <v xml:space="preserve"> </v>
      </c>
      <c r="G55" s="7" t="str">
        <f t="shared" si="16"/>
        <v xml:space="preserve"> </v>
      </c>
      <c r="H55" s="7" t="str">
        <f t="shared" si="17"/>
        <v xml:space="preserve"> </v>
      </c>
      <c r="I55" s="7" t="str">
        <f t="shared" si="18"/>
        <v xml:space="preserve"> </v>
      </c>
      <c r="J55" s="7" t="str">
        <f t="shared" si="19"/>
        <v xml:space="preserve"> </v>
      </c>
      <c r="K55" s="7" t="str">
        <f t="shared" si="20"/>
        <v xml:space="preserve"> </v>
      </c>
      <c r="L55" s="7" t="str">
        <f t="shared" si="21"/>
        <v xml:space="preserve"> </v>
      </c>
      <c r="M55" s="7" t="str">
        <f t="shared" si="22"/>
        <v xml:space="preserve"> </v>
      </c>
      <c r="N55" s="7" t="str">
        <f t="shared" si="23"/>
        <v xml:space="preserve"> </v>
      </c>
      <c r="O55" s="7" t="str">
        <f t="shared" si="24"/>
        <v xml:space="preserve"> </v>
      </c>
      <c r="P55" s="7" t="str">
        <f t="shared" si="25"/>
        <v xml:space="preserve"> </v>
      </c>
      <c r="Q55" s="7" t="str">
        <f t="shared" si="26"/>
        <v xml:space="preserve"> </v>
      </c>
      <c r="R55" s="7" t="str">
        <f t="shared" si="27"/>
        <v xml:space="preserve"> </v>
      </c>
      <c r="S55" s="7" t="str">
        <f t="shared" si="28"/>
        <v xml:space="preserve"> </v>
      </c>
      <c r="U55" s="306"/>
    </row>
    <row r="56" spans="4:21" x14ac:dyDescent="0.15">
      <c r="D56" s="306" t="str">
        <f t="shared" si="15"/>
        <v xml:space="preserve"> </v>
      </c>
      <c r="G56" s="7" t="str">
        <f t="shared" si="16"/>
        <v xml:space="preserve"> </v>
      </c>
      <c r="H56" s="7" t="str">
        <f t="shared" si="17"/>
        <v xml:space="preserve"> </v>
      </c>
      <c r="I56" s="7" t="str">
        <f t="shared" si="18"/>
        <v xml:space="preserve"> </v>
      </c>
      <c r="J56" s="7" t="str">
        <f t="shared" si="19"/>
        <v xml:space="preserve"> </v>
      </c>
      <c r="K56" s="7" t="str">
        <f t="shared" si="20"/>
        <v xml:space="preserve"> </v>
      </c>
      <c r="L56" s="7" t="str">
        <f t="shared" si="21"/>
        <v xml:space="preserve"> </v>
      </c>
      <c r="M56" s="7" t="str">
        <f t="shared" si="22"/>
        <v xml:space="preserve"> </v>
      </c>
      <c r="N56" s="7" t="str">
        <f t="shared" si="23"/>
        <v xml:space="preserve"> </v>
      </c>
      <c r="O56" s="7" t="str">
        <f t="shared" si="24"/>
        <v xml:space="preserve"> </v>
      </c>
      <c r="P56" s="7" t="str">
        <f t="shared" si="25"/>
        <v xml:space="preserve"> </v>
      </c>
      <c r="Q56" s="7" t="str">
        <f t="shared" si="26"/>
        <v xml:space="preserve"> </v>
      </c>
      <c r="R56" s="7" t="str">
        <f t="shared" si="27"/>
        <v xml:space="preserve"> </v>
      </c>
      <c r="S56" s="7" t="str">
        <f t="shared" si="28"/>
        <v xml:space="preserve"> </v>
      </c>
      <c r="U56" s="306"/>
    </row>
    <row r="57" spans="4:21" x14ac:dyDescent="0.15">
      <c r="D57" s="306" t="str">
        <f t="shared" si="15"/>
        <v xml:space="preserve"> </v>
      </c>
      <c r="G57" s="7" t="str">
        <f t="shared" si="16"/>
        <v xml:space="preserve"> </v>
      </c>
      <c r="H57" s="7" t="str">
        <f t="shared" si="17"/>
        <v xml:space="preserve"> </v>
      </c>
      <c r="I57" s="7" t="str">
        <f t="shared" si="18"/>
        <v xml:space="preserve"> </v>
      </c>
      <c r="J57" s="7" t="str">
        <f t="shared" si="19"/>
        <v xml:space="preserve"> </v>
      </c>
      <c r="K57" s="7" t="str">
        <f t="shared" si="20"/>
        <v xml:space="preserve"> </v>
      </c>
      <c r="L57" s="7" t="str">
        <f t="shared" si="21"/>
        <v xml:space="preserve"> </v>
      </c>
      <c r="M57" s="7" t="str">
        <f t="shared" si="22"/>
        <v xml:space="preserve"> </v>
      </c>
      <c r="N57" s="7" t="str">
        <f t="shared" si="23"/>
        <v xml:space="preserve"> </v>
      </c>
      <c r="O57" s="7" t="str">
        <f t="shared" si="24"/>
        <v xml:space="preserve"> </v>
      </c>
      <c r="P57" s="7" t="str">
        <f t="shared" si="25"/>
        <v xml:space="preserve"> </v>
      </c>
      <c r="Q57" s="7" t="str">
        <f t="shared" si="26"/>
        <v xml:space="preserve"> </v>
      </c>
      <c r="R57" s="7" t="str">
        <f t="shared" si="27"/>
        <v xml:space="preserve"> </v>
      </c>
      <c r="S57" s="7" t="str">
        <f t="shared" si="28"/>
        <v xml:space="preserve"> </v>
      </c>
      <c r="U57" s="306"/>
    </row>
    <row r="58" spans="4:21" x14ac:dyDescent="0.15">
      <c r="D58" s="306" t="str">
        <f t="shared" si="15"/>
        <v xml:space="preserve"> </v>
      </c>
      <c r="G58" s="7" t="str">
        <f t="shared" si="16"/>
        <v xml:space="preserve"> </v>
      </c>
      <c r="H58" s="7" t="str">
        <f t="shared" si="17"/>
        <v xml:space="preserve"> </v>
      </c>
      <c r="I58" s="7" t="str">
        <f t="shared" si="18"/>
        <v xml:space="preserve"> </v>
      </c>
      <c r="J58" s="7" t="str">
        <f t="shared" si="19"/>
        <v xml:space="preserve"> </v>
      </c>
      <c r="K58" s="7" t="str">
        <f t="shared" si="20"/>
        <v xml:space="preserve"> </v>
      </c>
      <c r="L58" s="7" t="str">
        <f t="shared" si="21"/>
        <v xml:space="preserve"> </v>
      </c>
      <c r="M58" s="7" t="str">
        <f t="shared" si="22"/>
        <v xml:space="preserve"> </v>
      </c>
      <c r="N58" s="7" t="str">
        <f t="shared" si="23"/>
        <v xml:space="preserve"> </v>
      </c>
      <c r="O58" s="7" t="str">
        <f t="shared" si="24"/>
        <v xml:space="preserve"> </v>
      </c>
      <c r="P58" s="7" t="str">
        <f t="shared" si="25"/>
        <v xml:space="preserve"> </v>
      </c>
      <c r="Q58" s="7" t="str">
        <f t="shared" si="26"/>
        <v xml:space="preserve"> </v>
      </c>
      <c r="R58" s="7" t="str">
        <f t="shared" si="27"/>
        <v xml:space="preserve"> </v>
      </c>
      <c r="S58" s="7" t="str">
        <f t="shared" si="28"/>
        <v xml:space="preserve"> </v>
      </c>
      <c r="U58" s="306"/>
    </row>
    <row r="59" spans="4:21" x14ac:dyDescent="0.15">
      <c r="D59" s="306" t="str">
        <f t="shared" si="15"/>
        <v xml:space="preserve"> </v>
      </c>
      <c r="G59" s="7" t="str">
        <f t="shared" si="16"/>
        <v xml:space="preserve"> </v>
      </c>
      <c r="H59" s="7" t="str">
        <f t="shared" si="17"/>
        <v xml:space="preserve"> </v>
      </c>
      <c r="I59" s="7" t="str">
        <f t="shared" si="18"/>
        <v xml:space="preserve"> </v>
      </c>
      <c r="J59" s="7" t="str">
        <f t="shared" si="19"/>
        <v xml:space="preserve"> </v>
      </c>
      <c r="K59" s="7" t="str">
        <f t="shared" si="20"/>
        <v xml:space="preserve"> </v>
      </c>
      <c r="L59" s="7" t="str">
        <f t="shared" si="21"/>
        <v xml:space="preserve"> </v>
      </c>
      <c r="M59" s="7" t="str">
        <f t="shared" si="22"/>
        <v xml:space="preserve"> </v>
      </c>
      <c r="N59" s="7" t="str">
        <f t="shared" si="23"/>
        <v xml:space="preserve"> </v>
      </c>
      <c r="O59" s="7" t="str">
        <f t="shared" si="24"/>
        <v xml:space="preserve"> </v>
      </c>
      <c r="P59" s="7" t="str">
        <f t="shared" si="25"/>
        <v xml:space="preserve"> </v>
      </c>
      <c r="Q59" s="7" t="str">
        <f t="shared" si="26"/>
        <v xml:space="preserve"> </v>
      </c>
      <c r="R59" s="7" t="str">
        <f t="shared" si="27"/>
        <v xml:space="preserve"> </v>
      </c>
      <c r="S59" s="7" t="str">
        <f t="shared" si="28"/>
        <v xml:space="preserve"> </v>
      </c>
      <c r="U59" s="306"/>
    </row>
    <row r="60" spans="4:21" x14ac:dyDescent="0.15">
      <c r="D60" s="306" t="str">
        <f t="shared" si="15"/>
        <v xml:space="preserve"> </v>
      </c>
      <c r="G60" s="7" t="str">
        <f t="shared" si="16"/>
        <v xml:space="preserve"> </v>
      </c>
      <c r="H60" s="7" t="str">
        <f t="shared" si="17"/>
        <v xml:space="preserve"> </v>
      </c>
      <c r="I60" s="7" t="str">
        <f t="shared" si="18"/>
        <v xml:space="preserve"> </v>
      </c>
      <c r="J60" s="7" t="str">
        <f t="shared" si="19"/>
        <v xml:space="preserve"> </v>
      </c>
      <c r="K60" s="7" t="str">
        <f t="shared" si="20"/>
        <v xml:space="preserve"> </v>
      </c>
      <c r="L60" s="7" t="str">
        <f t="shared" si="21"/>
        <v xml:space="preserve"> </v>
      </c>
      <c r="M60" s="7" t="str">
        <f t="shared" si="22"/>
        <v xml:space="preserve"> </v>
      </c>
      <c r="N60" s="7" t="str">
        <f t="shared" si="23"/>
        <v xml:space="preserve"> </v>
      </c>
      <c r="O60" s="7" t="str">
        <f t="shared" si="24"/>
        <v xml:space="preserve"> </v>
      </c>
      <c r="P60" s="7" t="str">
        <f t="shared" si="25"/>
        <v xml:space="preserve"> </v>
      </c>
      <c r="Q60" s="7" t="str">
        <f t="shared" si="26"/>
        <v xml:space="preserve"> </v>
      </c>
      <c r="R60" s="7" t="str">
        <f t="shared" si="27"/>
        <v xml:space="preserve"> </v>
      </c>
      <c r="S60" s="7" t="str">
        <f t="shared" si="28"/>
        <v xml:space="preserve"> </v>
      </c>
      <c r="U60" s="306"/>
    </row>
    <row r="61" spans="4:21" x14ac:dyDescent="0.15">
      <c r="D61" s="306" t="str">
        <f t="shared" si="15"/>
        <v xml:space="preserve"> </v>
      </c>
      <c r="G61" s="7" t="str">
        <f t="shared" si="16"/>
        <v xml:space="preserve"> </v>
      </c>
      <c r="H61" s="7" t="str">
        <f t="shared" si="17"/>
        <v xml:space="preserve"> </v>
      </c>
      <c r="I61" s="7" t="str">
        <f t="shared" si="18"/>
        <v xml:space="preserve"> </v>
      </c>
      <c r="J61" s="7" t="str">
        <f t="shared" si="19"/>
        <v xml:space="preserve"> </v>
      </c>
      <c r="K61" s="7" t="str">
        <f t="shared" si="20"/>
        <v xml:space="preserve"> </v>
      </c>
      <c r="L61" s="7" t="str">
        <f t="shared" si="21"/>
        <v xml:space="preserve"> </v>
      </c>
      <c r="M61" s="7" t="str">
        <f t="shared" si="22"/>
        <v xml:space="preserve"> </v>
      </c>
      <c r="N61" s="7" t="str">
        <f t="shared" si="23"/>
        <v xml:space="preserve"> </v>
      </c>
      <c r="O61" s="7" t="str">
        <f t="shared" si="24"/>
        <v xml:space="preserve"> </v>
      </c>
      <c r="P61" s="7" t="str">
        <f t="shared" si="25"/>
        <v xml:space="preserve"> </v>
      </c>
      <c r="Q61" s="7" t="str">
        <f t="shared" si="26"/>
        <v xml:space="preserve"> </v>
      </c>
      <c r="R61" s="7" t="str">
        <f t="shared" si="27"/>
        <v xml:space="preserve"> </v>
      </c>
      <c r="S61" s="7" t="str">
        <f t="shared" si="28"/>
        <v xml:space="preserve"> </v>
      </c>
      <c r="U61" s="306"/>
    </row>
    <row r="62" spans="4:21" x14ac:dyDescent="0.15">
      <c r="D62" s="306" t="str">
        <f t="shared" si="15"/>
        <v xml:space="preserve"> </v>
      </c>
      <c r="G62" s="7" t="str">
        <f t="shared" si="16"/>
        <v xml:space="preserve"> </v>
      </c>
      <c r="H62" s="7" t="str">
        <f t="shared" si="17"/>
        <v xml:space="preserve"> </v>
      </c>
      <c r="I62" s="7" t="str">
        <f t="shared" si="18"/>
        <v xml:space="preserve"> </v>
      </c>
      <c r="J62" s="7" t="str">
        <f t="shared" si="19"/>
        <v xml:space="preserve"> </v>
      </c>
      <c r="K62" s="7" t="str">
        <f t="shared" si="20"/>
        <v xml:space="preserve"> </v>
      </c>
      <c r="L62" s="7" t="str">
        <f t="shared" si="21"/>
        <v xml:space="preserve"> </v>
      </c>
      <c r="M62" s="7" t="str">
        <f t="shared" si="22"/>
        <v xml:space="preserve"> </v>
      </c>
      <c r="N62" s="7" t="str">
        <f t="shared" si="23"/>
        <v xml:space="preserve"> </v>
      </c>
      <c r="O62" s="7" t="str">
        <f t="shared" si="24"/>
        <v xml:space="preserve"> </v>
      </c>
      <c r="P62" s="7" t="str">
        <f t="shared" si="25"/>
        <v xml:space="preserve"> </v>
      </c>
      <c r="Q62" s="7" t="str">
        <f t="shared" si="26"/>
        <v xml:space="preserve"> </v>
      </c>
      <c r="R62" s="7" t="str">
        <f t="shared" si="27"/>
        <v xml:space="preserve"> </v>
      </c>
      <c r="S62" s="7" t="str">
        <f t="shared" si="28"/>
        <v xml:space="preserve"> </v>
      </c>
      <c r="U62" s="306"/>
    </row>
    <row r="63" spans="4:21" x14ac:dyDescent="0.15">
      <c r="D63" s="306" t="str">
        <f t="shared" si="15"/>
        <v xml:space="preserve"> </v>
      </c>
      <c r="G63" s="7" t="str">
        <f t="shared" si="16"/>
        <v xml:space="preserve"> </v>
      </c>
      <c r="H63" s="7" t="str">
        <f t="shared" si="17"/>
        <v xml:space="preserve"> </v>
      </c>
      <c r="I63" s="7" t="str">
        <f t="shared" si="18"/>
        <v xml:space="preserve"> </v>
      </c>
      <c r="J63" s="7" t="str">
        <f t="shared" si="19"/>
        <v xml:space="preserve"> </v>
      </c>
      <c r="K63" s="7" t="str">
        <f t="shared" si="20"/>
        <v xml:space="preserve"> </v>
      </c>
      <c r="L63" s="7" t="str">
        <f t="shared" si="21"/>
        <v xml:space="preserve"> </v>
      </c>
      <c r="M63" s="7" t="str">
        <f t="shared" si="22"/>
        <v xml:space="preserve"> </v>
      </c>
      <c r="N63" s="7" t="str">
        <f t="shared" si="23"/>
        <v xml:space="preserve"> </v>
      </c>
      <c r="O63" s="7" t="str">
        <f t="shared" si="24"/>
        <v xml:space="preserve"> </v>
      </c>
      <c r="P63" s="7" t="str">
        <f t="shared" si="25"/>
        <v xml:space="preserve"> </v>
      </c>
      <c r="Q63" s="7" t="str">
        <f t="shared" si="26"/>
        <v xml:space="preserve"> </v>
      </c>
      <c r="R63" s="7" t="str">
        <f t="shared" si="27"/>
        <v xml:space="preserve"> </v>
      </c>
      <c r="S63" s="7" t="str">
        <f t="shared" si="28"/>
        <v xml:space="preserve"> </v>
      </c>
      <c r="U63" s="306"/>
    </row>
    <row r="64" spans="4:21" x14ac:dyDescent="0.15">
      <c r="D64" s="306" t="str">
        <f t="shared" si="15"/>
        <v xml:space="preserve"> </v>
      </c>
      <c r="G64" s="7" t="str">
        <f t="shared" si="16"/>
        <v xml:space="preserve"> </v>
      </c>
      <c r="H64" s="7" t="str">
        <f t="shared" si="17"/>
        <v xml:space="preserve"> </v>
      </c>
      <c r="I64" s="7" t="str">
        <f t="shared" si="18"/>
        <v xml:space="preserve"> </v>
      </c>
      <c r="J64" s="7" t="str">
        <f t="shared" si="19"/>
        <v xml:space="preserve"> </v>
      </c>
      <c r="K64" s="7" t="str">
        <f t="shared" si="20"/>
        <v xml:space="preserve"> </v>
      </c>
      <c r="L64" s="7" t="str">
        <f t="shared" si="21"/>
        <v xml:space="preserve"> </v>
      </c>
      <c r="M64" s="7" t="str">
        <f t="shared" si="22"/>
        <v xml:space="preserve"> </v>
      </c>
      <c r="N64" s="7" t="str">
        <f t="shared" si="23"/>
        <v xml:space="preserve"> </v>
      </c>
      <c r="O64" s="7" t="str">
        <f t="shared" si="24"/>
        <v xml:space="preserve"> </v>
      </c>
      <c r="P64" s="7" t="str">
        <f t="shared" si="25"/>
        <v xml:space="preserve"> </v>
      </c>
      <c r="Q64" s="7" t="str">
        <f t="shared" si="26"/>
        <v xml:space="preserve"> </v>
      </c>
      <c r="R64" s="7" t="str">
        <f t="shared" si="27"/>
        <v xml:space="preserve"> </v>
      </c>
      <c r="S64" s="7" t="str">
        <f t="shared" si="28"/>
        <v xml:space="preserve"> </v>
      </c>
      <c r="U64" s="306"/>
    </row>
    <row r="65" spans="4:21" x14ac:dyDescent="0.15">
      <c r="D65" s="306" t="str">
        <f t="shared" si="15"/>
        <v xml:space="preserve"> </v>
      </c>
      <c r="G65" s="7" t="str">
        <f t="shared" si="16"/>
        <v xml:space="preserve"> </v>
      </c>
      <c r="H65" s="7" t="str">
        <f t="shared" si="17"/>
        <v xml:space="preserve"> </v>
      </c>
      <c r="I65" s="7" t="str">
        <f t="shared" si="18"/>
        <v xml:space="preserve"> </v>
      </c>
      <c r="J65" s="7" t="str">
        <f t="shared" si="19"/>
        <v xml:space="preserve"> </v>
      </c>
      <c r="K65" s="7" t="str">
        <f t="shared" si="20"/>
        <v xml:space="preserve"> </v>
      </c>
      <c r="L65" s="7" t="str">
        <f t="shared" si="21"/>
        <v xml:space="preserve"> </v>
      </c>
      <c r="M65" s="7" t="str">
        <f t="shared" si="22"/>
        <v xml:space="preserve"> </v>
      </c>
      <c r="N65" s="7" t="str">
        <f t="shared" si="23"/>
        <v xml:space="preserve"> </v>
      </c>
      <c r="O65" s="7" t="str">
        <f t="shared" si="24"/>
        <v xml:space="preserve"> </v>
      </c>
      <c r="P65" s="7" t="str">
        <f t="shared" si="25"/>
        <v xml:space="preserve"> </v>
      </c>
      <c r="Q65" s="7" t="str">
        <f t="shared" si="26"/>
        <v xml:space="preserve"> </v>
      </c>
      <c r="R65" s="7" t="str">
        <f t="shared" si="27"/>
        <v xml:space="preserve"> </v>
      </c>
      <c r="S65" s="7" t="str">
        <f t="shared" si="28"/>
        <v xml:space="preserve"> </v>
      </c>
      <c r="U65" s="306"/>
    </row>
    <row r="66" spans="4:21" x14ac:dyDescent="0.15">
      <c r="D66" s="306" t="str">
        <f t="shared" si="15"/>
        <v xml:space="preserve"> </v>
      </c>
      <c r="G66" s="7" t="str">
        <f t="shared" si="16"/>
        <v xml:space="preserve"> </v>
      </c>
      <c r="H66" s="7" t="str">
        <f t="shared" si="17"/>
        <v xml:space="preserve"> </v>
      </c>
      <c r="I66" s="7" t="str">
        <f t="shared" si="18"/>
        <v xml:space="preserve"> </v>
      </c>
      <c r="J66" s="7" t="str">
        <f t="shared" si="19"/>
        <v xml:space="preserve"> </v>
      </c>
      <c r="K66" s="7" t="str">
        <f t="shared" si="20"/>
        <v xml:space="preserve"> </v>
      </c>
      <c r="L66" s="7" t="str">
        <f t="shared" si="21"/>
        <v xml:space="preserve"> </v>
      </c>
      <c r="M66" s="7" t="str">
        <f t="shared" si="22"/>
        <v xml:space="preserve"> </v>
      </c>
      <c r="N66" s="7" t="str">
        <f t="shared" si="23"/>
        <v xml:space="preserve"> </v>
      </c>
      <c r="O66" s="7" t="str">
        <f t="shared" si="24"/>
        <v xml:space="preserve"> </v>
      </c>
      <c r="P66" s="7" t="str">
        <f t="shared" si="25"/>
        <v xml:space="preserve"> </v>
      </c>
      <c r="Q66" s="7" t="str">
        <f t="shared" si="26"/>
        <v xml:space="preserve"> </v>
      </c>
      <c r="R66" s="7" t="str">
        <f t="shared" si="27"/>
        <v xml:space="preserve"> </v>
      </c>
      <c r="S66" s="7" t="str">
        <f t="shared" si="28"/>
        <v xml:space="preserve"> </v>
      </c>
      <c r="U66" s="306"/>
    </row>
    <row r="67" spans="4:21" x14ac:dyDescent="0.15">
      <c r="D67" s="306" t="str">
        <f t="shared" si="15"/>
        <v xml:space="preserve"> </v>
      </c>
      <c r="G67" s="7" t="str">
        <f t="shared" si="16"/>
        <v xml:space="preserve"> </v>
      </c>
      <c r="H67" s="7" t="str">
        <f t="shared" si="17"/>
        <v xml:space="preserve"> </v>
      </c>
      <c r="I67" s="7" t="str">
        <f t="shared" si="18"/>
        <v xml:space="preserve"> </v>
      </c>
      <c r="J67" s="7" t="str">
        <f t="shared" si="19"/>
        <v xml:space="preserve"> </v>
      </c>
      <c r="K67" s="7" t="str">
        <f t="shared" si="20"/>
        <v xml:space="preserve"> </v>
      </c>
      <c r="L67" s="7" t="str">
        <f t="shared" si="21"/>
        <v xml:space="preserve"> </v>
      </c>
      <c r="M67" s="7" t="str">
        <f t="shared" si="22"/>
        <v xml:space="preserve"> </v>
      </c>
      <c r="N67" s="7" t="str">
        <f t="shared" si="23"/>
        <v xml:space="preserve"> </v>
      </c>
      <c r="O67" s="7" t="str">
        <f t="shared" si="24"/>
        <v xml:space="preserve"> </v>
      </c>
      <c r="P67" s="7" t="str">
        <f t="shared" si="25"/>
        <v xml:space="preserve"> </v>
      </c>
      <c r="Q67" s="7" t="str">
        <f t="shared" si="26"/>
        <v xml:space="preserve"> </v>
      </c>
      <c r="R67" s="7" t="str">
        <f t="shared" si="27"/>
        <v xml:space="preserve"> </v>
      </c>
      <c r="S67" s="7" t="str">
        <f t="shared" si="28"/>
        <v xml:space="preserve"> </v>
      </c>
      <c r="U67" s="306"/>
    </row>
    <row r="68" spans="4:21" x14ac:dyDescent="0.15">
      <c r="D68" s="306" t="str">
        <f t="shared" si="15"/>
        <v xml:space="preserve"> </v>
      </c>
      <c r="G68" s="7" t="str">
        <f t="shared" si="16"/>
        <v xml:space="preserve"> </v>
      </c>
      <c r="H68" s="7" t="str">
        <f t="shared" si="17"/>
        <v xml:space="preserve"> </v>
      </c>
      <c r="I68" s="7" t="str">
        <f t="shared" si="18"/>
        <v xml:space="preserve"> </v>
      </c>
      <c r="J68" s="7" t="str">
        <f t="shared" si="19"/>
        <v xml:space="preserve"> </v>
      </c>
      <c r="K68" s="7" t="str">
        <f t="shared" si="20"/>
        <v xml:space="preserve"> </v>
      </c>
      <c r="L68" s="7" t="str">
        <f t="shared" si="21"/>
        <v xml:space="preserve"> </v>
      </c>
      <c r="M68" s="7" t="str">
        <f t="shared" si="22"/>
        <v xml:space="preserve"> </v>
      </c>
      <c r="N68" s="7" t="str">
        <f t="shared" si="23"/>
        <v xml:space="preserve"> </v>
      </c>
      <c r="O68" s="7" t="str">
        <f t="shared" si="24"/>
        <v xml:space="preserve"> </v>
      </c>
      <c r="P68" s="7" t="str">
        <f t="shared" si="25"/>
        <v xml:space="preserve"> </v>
      </c>
      <c r="Q68" s="7" t="str">
        <f t="shared" si="26"/>
        <v xml:space="preserve"> </v>
      </c>
      <c r="R68" s="7" t="str">
        <f t="shared" si="27"/>
        <v xml:space="preserve"> </v>
      </c>
      <c r="S68" s="7" t="str">
        <f t="shared" si="28"/>
        <v xml:space="preserve"> </v>
      </c>
      <c r="U68" s="306"/>
    </row>
    <row r="69" spans="4:21" x14ac:dyDescent="0.15">
      <c r="D69" s="306" t="str">
        <f t="shared" ref="D69:D100" si="29">IF((F69&lt;&gt;0),"Enter Letter"," ")</f>
        <v xml:space="preserve"> </v>
      </c>
      <c r="G69" s="7" t="str">
        <f t="shared" ref="G69:G100" si="30">IF((D69="d"),F69," ")</f>
        <v xml:space="preserve"> </v>
      </c>
      <c r="H69" s="7" t="str">
        <f t="shared" ref="H69:H100" si="31">IF((D69="h"),F69," ")</f>
        <v xml:space="preserve"> </v>
      </c>
      <c r="I69" s="7" t="str">
        <f t="shared" ref="I69:I100" si="32">IF((D69="r"),F69," ")</f>
        <v xml:space="preserve"> </v>
      </c>
      <c r="J69" s="7" t="str">
        <f t="shared" ref="J69:J100" si="33">IF((D69="t"),F69," ")</f>
        <v xml:space="preserve"> </v>
      </c>
      <c r="K69" s="7" t="str">
        <f t="shared" ref="K69:K100" si="34">IF((D69="e"),F69," ")</f>
        <v xml:space="preserve"> </v>
      </c>
      <c r="L69" s="7" t="str">
        <f t="shared" ref="L69:L100" si="35">IF((D69="p"),F69," ")</f>
        <v xml:space="preserve"> </v>
      </c>
      <c r="M69" s="7" t="str">
        <f t="shared" ref="M69:M100" si="36">IF((D69="g"),F69," ")</f>
        <v xml:space="preserve"> </v>
      </c>
      <c r="N69" s="7" t="str">
        <f t="shared" ref="N69:N100" si="37">IF((D69="a"),F69," ")</f>
        <v xml:space="preserve"> </v>
      </c>
      <c r="O69" s="7" t="str">
        <f t="shared" ref="O69:O100" si="38">IF((D69="l"),F69," ")</f>
        <v xml:space="preserve"> </v>
      </c>
      <c r="P69" s="7" t="str">
        <f t="shared" ref="P69:P100" si="39">IF((D69="i"),F69," ")</f>
        <v xml:space="preserve"> </v>
      </c>
      <c r="Q69" s="7" t="str">
        <f t="shared" ref="Q69:Q100" si="40">IF((D69="b"),F69," ")</f>
        <v xml:space="preserve"> </v>
      </c>
      <c r="R69" s="7" t="str">
        <f t="shared" ref="R69:R100" si="41">IF((D69="o"),F69," ")</f>
        <v xml:space="preserve"> </v>
      </c>
      <c r="S69" s="7" t="str">
        <f t="shared" ref="S69:S100" si="42">IF((D69="f"),F69," ")</f>
        <v xml:space="preserve"> </v>
      </c>
      <c r="U69" s="306"/>
    </row>
    <row r="70" spans="4:21" x14ac:dyDescent="0.15">
      <c r="D70" s="306" t="str">
        <f t="shared" si="29"/>
        <v xml:space="preserve"> </v>
      </c>
      <c r="G70" s="7" t="str">
        <f t="shared" si="30"/>
        <v xml:space="preserve"> </v>
      </c>
      <c r="H70" s="7" t="str">
        <f t="shared" si="31"/>
        <v xml:space="preserve"> </v>
      </c>
      <c r="I70" s="7" t="str">
        <f t="shared" si="32"/>
        <v xml:space="preserve"> </v>
      </c>
      <c r="J70" s="7" t="str">
        <f t="shared" si="33"/>
        <v xml:space="preserve"> </v>
      </c>
      <c r="K70" s="7" t="str">
        <f t="shared" si="34"/>
        <v xml:space="preserve"> </v>
      </c>
      <c r="L70" s="7" t="str">
        <f t="shared" si="35"/>
        <v xml:space="preserve"> </v>
      </c>
      <c r="M70" s="7" t="str">
        <f t="shared" si="36"/>
        <v xml:space="preserve"> </v>
      </c>
      <c r="N70" s="7" t="str">
        <f t="shared" si="37"/>
        <v xml:space="preserve"> </v>
      </c>
      <c r="O70" s="7" t="str">
        <f t="shared" si="38"/>
        <v xml:space="preserve"> </v>
      </c>
      <c r="P70" s="7" t="str">
        <f t="shared" si="39"/>
        <v xml:space="preserve"> </v>
      </c>
      <c r="Q70" s="7" t="str">
        <f t="shared" si="40"/>
        <v xml:space="preserve"> </v>
      </c>
      <c r="R70" s="7" t="str">
        <f t="shared" si="41"/>
        <v xml:space="preserve"> </v>
      </c>
      <c r="S70" s="7" t="str">
        <f t="shared" si="42"/>
        <v xml:space="preserve"> </v>
      </c>
      <c r="U70" s="306"/>
    </row>
    <row r="71" spans="4:21" x14ac:dyDescent="0.15">
      <c r="D71" s="306" t="str">
        <f t="shared" si="29"/>
        <v xml:space="preserve"> </v>
      </c>
      <c r="G71" s="7" t="str">
        <f t="shared" si="30"/>
        <v xml:space="preserve"> </v>
      </c>
      <c r="H71" s="7" t="str">
        <f t="shared" si="31"/>
        <v xml:space="preserve"> </v>
      </c>
      <c r="I71" s="7" t="str">
        <f t="shared" si="32"/>
        <v xml:space="preserve"> </v>
      </c>
      <c r="J71" s="7" t="str">
        <f t="shared" si="33"/>
        <v xml:space="preserve"> </v>
      </c>
      <c r="K71" s="7" t="str">
        <f t="shared" si="34"/>
        <v xml:space="preserve"> </v>
      </c>
      <c r="L71" s="7" t="str">
        <f t="shared" si="35"/>
        <v xml:space="preserve"> </v>
      </c>
      <c r="M71" s="7" t="str">
        <f t="shared" si="36"/>
        <v xml:space="preserve"> </v>
      </c>
      <c r="N71" s="7" t="str">
        <f t="shared" si="37"/>
        <v xml:space="preserve"> </v>
      </c>
      <c r="O71" s="7" t="str">
        <f t="shared" si="38"/>
        <v xml:space="preserve"> </v>
      </c>
      <c r="P71" s="7" t="str">
        <f t="shared" si="39"/>
        <v xml:space="preserve"> </v>
      </c>
      <c r="Q71" s="7" t="str">
        <f t="shared" si="40"/>
        <v xml:space="preserve"> </v>
      </c>
      <c r="R71" s="7" t="str">
        <f t="shared" si="41"/>
        <v xml:space="preserve"> </v>
      </c>
      <c r="S71" s="7" t="str">
        <f t="shared" si="42"/>
        <v xml:space="preserve"> </v>
      </c>
      <c r="U71" s="306"/>
    </row>
    <row r="72" spans="4:21" x14ac:dyDescent="0.15">
      <c r="D72" s="306" t="str">
        <f t="shared" si="29"/>
        <v xml:space="preserve"> </v>
      </c>
      <c r="G72" s="7" t="str">
        <f t="shared" si="30"/>
        <v xml:space="preserve"> </v>
      </c>
      <c r="H72" s="7" t="str">
        <f t="shared" si="31"/>
        <v xml:space="preserve"> </v>
      </c>
      <c r="I72" s="7" t="str">
        <f t="shared" si="32"/>
        <v xml:space="preserve"> </v>
      </c>
      <c r="J72" s="7" t="str">
        <f t="shared" si="33"/>
        <v xml:space="preserve"> </v>
      </c>
      <c r="K72" s="7" t="str">
        <f t="shared" si="34"/>
        <v xml:space="preserve"> </v>
      </c>
      <c r="L72" s="7" t="str">
        <f t="shared" si="35"/>
        <v xml:space="preserve"> </v>
      </c>
      <c r="M72" s="7" t="str">
        <f t="shared" si="36"/>
        <v xml:space="preserve"> </v>
      </c>
      <c r="N72" s="7" t="str">
        <f t="shared" si="37"/>
        <v xml:space="preserve"> </v>
      </c>
      <c r="O72" s="7" t="str">
        <f t="shared" si="38"/>
        <v xml:space="preserve"> </v>
      </c>
      <c r="P72" s="7" t="str">
        <f t="shared" si="39"/>
        <v xml:space="preserve"> </v>
      </c>
      <c r="Q72" s="7" t="str">
        <f t="shared" si="40"/>
        <v xml:space="preserve"> </v>
      </c>
      <c r="R72" s="7" t="str">
        <f t="shared" si="41"/>
        <v xml:space="preserve"> </v>
      </c>
      <c r="S72" s="7" t="str">
        <f t="shared" si="42"/>
        <v xml:space="preserve"> </v>
      </c>
      <c r="U72" s="306"/>
    </row>
    <row r="73" spans="4:21" x14ac:dyDescent="0.15">
      <c r="D73" s="306" t="str">
        <f t="shared" si="29"/>
        <v xml:space="preserve"> </v>
      </c>
      <c r="G73" s="7" t="str">
        <f t="shared" si="30"/>
        <v xml:space="preserve"> </v>
      </c>
      <c r="H73" s="7" t="str">
        <f t="shared" si="31"/>
        <v xml:space="preserve"> </v>
      </c>
      <c r="I73" s="7" t="str">
        <f t="shared" si="32"/>
        <v xml:space="preserve"> </v>
      </c>
      <c r="J73" s="7" t="str">
        <f t="shared" si="33"/>
        <v xml:space="preserve"> </v>
      </c>
      <c r="K73" s="7" t="str">
        <f t="shared" si="34"/>
        <v xml:space="preserve"> </v>
      </c>
      <c r="L73" s="7" t="str">
        <f t="shared" si="35"/>
        <v xml:space="preserve"> </v>
      </c>
      <c r="M73" s="7" t="str">
        <f t="shared" si="36"/>
        <v xml:space="preserve"> </v>
      </c>
      <c r="N73" s="7" t="str">
        <f t="shared" si="37"/>
        <v xml:space="preserve"> </v>
      </c>
      <c r="O73" s="7" t="str">
        <f t="shared" si="38"/>
        <v xml:space="preserve"> </v>
      </c>
      <c r="P73" s="7" t="str">
        <f t="shared" si="39"/>
        <v xml:space="preserve"> </v>
      </c>
      <c r="Q73" s="7" t="str">
        <f t="shared" si="40"/>
        <v xml:space="preserve"> </v>
      </c>
      <c r="R73" s="7" t="str">
        <f t="shared" si="41"/>
        <v xml:space="preserve"> </v>
      </c>
      <c r="S73" s="7" t="str">
        <f t="shared" si="42"/>
        <v xml:space="preserve"> </v>
      </c>
      <c r="U73" s="306"/>
    </row>
    <row r="74" spans="4:21" x14ac:dyDescent="0.15">
      <c r="D74" s="306" t="str">
        <f t="shared" si="29"/>
        <v xml:space="preserve"> </v>
      </c>
      <c r="G74" s="7" t="str">
        <f t="shared" si="30"/>
        <v xml:space="preserve"> </v>
      </c>
      <c r="H74" s="7" t="str">
        <f t="shared" si="31"/>
        <v xml:space="preserve"> </v>
      </c>
      <c r="I74" s="7" t="str">
        <f t="shared" si="32"/>
        <v xml:space="preserve"> </v>
      </c>
      <c r="J74" s="7" t="str">
        <f t="shared" si="33"/>
        <v xml:space="preserve"> </v>
      </c>
      <c r="K74" s="7" t="str">
        <f t="shared" si="34"/>
        <v xml:space="preserve"> </v>
      </c>
      <c r="L74" s="7" t="str">
        <f t="shared" si="35"/>
        <v xml:space="preserve"> </v>
      </c>
      <c r="M74" s="7" t="str">
        <f t="shared" si="36"/>
        <v xml:space="preserve"> </v>
      </c>
      <c r="N74" s="7" t="str">
        <f t="shared" si="37"/>
        <v xml:space="preserve"> </v>
      </c>
      <c r="O74" s="7" t="str">
        <f t="shared" si="38"/>
        <v xml:space="preserve"> </v>
      </c>
      <c r="P74" s="7" t="str">
        <f t="shared" si="39"/>
        <v xml:space="preserve"> </v>
      </c>
      <c r="Q74" s="7" t="str">
        <f t="shared" si="40"/>
        <v xml:space="preserve"> </v>
      </c>
      <c r="R74" s="7" t="str">
        <f t="shared" si="41"/>
        <v xml:space="preserve"> </v>
      </c>
      <c r="S74" s="7" t="str">
        <f t="shared" si="42"/>
        <v xml:space="preserve"> </v>
      </c>
      <c r="U74" s="306"/>
    </row>
    <row r="75" spans="4:21" x14ac:dyDescent="0.15">
      <c r="D75" s="306" t="str">
        <f t="shared" si="29"/>
        <v xml:space="preserve"> </v>
      </c>
      <c r="G75" s="7" t="str">
        <f t="shared" si="30"/>
        <v xml:space="preserve"> </v>
      </c>
      <c r="H75" s="7" t="str">
        <f t="shared" si="31"/>
        <v xml:space="preserve"> </v>
      </c>
      <c r="I75" s="7" t="str">
        <f t="shared" si="32"/>
        <v xml:space="preserve"> </v>
      </c>
      <c r="J75" s="7" t="str">
        <f t="shared" si="33"/>
        <v xml:space="preserve"> </v>
      </c>
      <c r="K75" s="7" t="str">
        <f t="shared" si="34"/>
        <v xml:space="preserve"> </v>
      </c>
      <c r="L75" s="7" t="str">
        <f t="shared" si="35"/>
        <v xml:space="preserve"> </v>
      </c>
      <c r="M75" s="7" t="str">
        <f t="shared" si="36"/>
        <v xml:space="preserve"> </v>
      </c>
      <c r="N75" s="7" t="str">
        <f t="shared" si="37"/>
        <v xml:space="preserve"> </v>
      </c>
      <c r="O75" s="7" t="str">
        <f t="shared" si="38"/>
        <v xml:space="preserve"> </v>
      </c>
      <c r="P75" s="7" t="str">
        <f t="shared" si="39"/>
        <v xml:space="preserve"> </v>
      </c>
      <c r="Q75" s="7" t="str">
        <f t="shared" si="40"/>
        <v xml:space="preserve"> </v>
      </c>
      <c r="R75" s="7" t="str">
        <f t="shared" si="41"/>
        <v xml:space="preserve"> </v>
      </c>
      <c r="S75" s="7" t="str">
        <f t="shared" si="42"/>
        <v xml:space="preserve"> </v>
      </c>
      <c r="U75" s="306"/>
    </row>
    <row r="76" spans="4:21" x14ac:dyDescent="0.15">
      <c r="D76" s="306" t="str">
        <f t="shared" si="29"/>
        <v xml:space="preserve"> </v>
      </c>
      <c r="G76" s="7" t="str">
        <f t="shared" si="30"/>
        <v xml:space="preserve"> </v>
      </c>
      <c r="H76" s="7" t="str">
        <f t="shared" si="31"/>
        <v xml:space="preserve"> </v>
      </c>
      <c r="I76" s="7" t="str">
        <f t="shared" si="32"/>
        <v xml:space="preserve"> </v>
      </c>
      <c r="J76" s="7" t="str">
        <f t="shared" si="33"/>
        <v xml:space="preserve"> </v>
      </c>
      <c r="K76" s="7" t="str">
        <f t="shared" si="34"/>
        <v xml:space="preserve"> </v>
      </c>
      <c r="L76" s="7" t="str">
        <f t="shared" si="35"/>
        <v xml:space="preserve"> </v>
      </c>
      <c r="M76" s="7" t="str">
        <f t="shared" si="36"/>
        <v xml:space="preserve"> </v>
      </c>
      <c r="N76" s="7" t="str">
        <f t="shared" si="37"/>
        <v xml:space="preserve"> </v>
      </c>
      <c r="O76" s="7" t="str">
        <f t="shared" si="38"/>
        <v xml:space="preserve"> </v>
      </c>
      <c r="P76" s="7" t="str">
        <f t="shared" si="39"/>
        <v xml:space="preserve"> </v>
      </c>
      <c r="Q76" s="7" t="str">
        <f t="shared" si="40"/>
        <v xml:space="preserve"> </v>
      </c>
      <c r="R76" s="7" t="str">
        <f t="shared" si="41"/>
        <v xml:space="preserve"> </v>
      </c>
      <c r="S76" s="7" t="str">
        <f t="shared" si="42"/>
        <v xml:space="preserve"> </v>
      </c>
      <c r="U76" s="306"/>
    </row>
    <row r="77" spans="4:21" x14ac:dyDescent="0.15">
      <c r="D77" s="306" t="str">
        <f t="shared" si="29"/>
        <v xml:space="preserve"> </v>
      </c>
      <c r="G77" s="7" t="str">
        <f t="shared" si="30"/>
        <v xml:space="preserve"> </v>
      </c>
      <c r="H77" s="7" t="str">
        <f t="shared" si="31"/>
        <v xml:space="preserve"> </v>
      </c>
      <c r="I77" s="7" t="str">
        <f t="shared" si="32"/>
        <v xml:space="preserve"> </v>
      </c>
      <c r="J77" s="7" t="str">
        <f t="shared" si="33"/>
        <v xml:space="preserve"> </v>
      </c>
      <c r="K77" s="7" t="str">
        <f t="shared" si="34"/>
        <v xml:space="preserve"> </v>
      </c>
      <c r="L77" s="7" t="str">
        <f t="shared" si="35"/>
        <v xml:space="preserve"> </v>
      </c>
      <c r="M77" s="7" t="str">
        <f t="shared" si="36"/>
        <v xml:space="preserve"> </v>
      </c>
      <c r="N77" s="7" t="str">
        <f t="shared" si="37"/>
        <v xml:space="preserve"> </v>
      </c>
      <c r="O77" s="7" t="str">
        <f t="shared" si="38"/>
        <v xml:space="preserve"> </v>
      </c>
      <c r="P77" s="7" t="str">
        <f t="shared" si="39"/>
        <v xml:space="preserve"> </v>
      </c>
      <c r="Q77" s="7" t="str">
        <f t="shared" si="40"/>
        <v xml:space="preserve"> </v>
      </c>
      <c r="R77" s="7" t="str">
        <f t="shared" si="41"/>
        <v xml:space="preserve"> </v>
      </c>
      <c r="S77" s="7" t="str">
        <f t="shared" si="42"/>
        <v xml:space="preserve"> </v>
      </c>
      <c r="U77" s="306"/>
    </row>
    <row r="78" spans="4:21" x14ac:dyDescent="0.15">
      <c r="D78" s="306" t="str">
        <f t="shared" si="29"/>
        <v xml:space="preserve"> </v>
      </c>
      <c r="G78" s="7" t="str">
        <f t="shared" si="30"/>
        <v xml:space="preserve"> </v>
      </c>
      <c r="H78" s="7" t="str">
        <f t="shared" si="31"/>
        <v xml:space="preserve"> </v>
      </c>
      <c r="I78" s="7" t="str">
        <f t="shared" si="32"/>
        <v xml:space="preserve"> </v>
      </c>
      <c r="J78" s="7" t="str">
        <f t="shared" si="33"/>
        <v xml:space="preserve"> </v>
      </c>
      <c r="K78" s="7" t="str">
        <f t="shared" si="34"/>
        <v xml:space="preserve"> </v>
      </c>
      <c r="L78" s="7" t="str">
        <f t="shared" si="35"/>
        <v xml:space="preserve"> </v>
      </c>
      <c r="M78" s="7" t="str">
        <f t="shared" si="36"/>
        <v xml:space="preserve"> </v>
      </c>
      <c r="N78" s="7" t="str">
        <f t="shared" si="37"/>
        <v xml:space="preserve"> </v>
      </c>
      <c r="O78" s="7" t="str">
        <f t="shared" si="38"/>
        <v xml:space="preserve"> </v>
      </c>
      <c r="P78" s="7" t="str">
        <f t="shared" si="39"/>
        <v xml:space="preserve"> </v>
      </c>
      <c r="Q78" s="7" t="str">
        <f t="shared" si="40"/>
        <v xml:space="preserve"> </v>
      </c>
      <c r="R78" s="7" t="str">
        <f t="shared" si="41"/>
        <v xml:space="preserve"> </v>
      </c>
      <c r="S78" s="7" t="str">
        <f t="shared" si="42"/>
        <v xml:space="preserve"> </v>
      </c>
      <c r="U78" s="306"/>
    </row>
    <row r="79" spans="4:21" x14ac:dyDescent="0.15">
      <c r="D79" s="306" t="str">
        <f t="shared" si="29"/>
        <v xml:space="preserve"> </v>
      </c>
      <c r="G79" s="7" t="str">
        <f t="shared" si="30"/>
        <v xml:space="preserve"> </v>
      </c>
      <c r="H79" s="7" t="str">
        <f t="shared" si="31"/>
        <v xml:space="preserve"> </v>
      </c>
      <c r="I79" s="7" t="str">
        <f t="shared" si="32"/>
        <v xml:space="preserve"> </v>
      </c>
      <c r="J79" s="7" t="str">
        <f t="shared" si="33"/>
        <v xml:space="preserve"> </v>
      </c>
      <c r="K79" s="7" t="str">
        <f t="shared" si="34"/>
        <v xml:space="preserve"> </v>
      </c>
      <c r="L79" s="7" t="str">
        <f t="shared" si="35"/>
        <v xml:space="preserve"> </v>
      </c>
      <c r="M79" s="7" t="str">
        <f t="shared" si="36"/>
        <v xml:space="preserve"> </v>
      </c>
      <c r="N79" s="7" t="str">
        <f t="shared" si="37"/>
        <v xml:space="preserve"> </v>
      </c>
      <c r="O79" s="7" t="str">
        <f t="shared" si="38"/>
        <v xml:space="preserve"> </v>
      </c>
      <c r="P79" s="7" t="str">
        <f t="shared" si="39"/>
        <v xml:space="preserve"> </v>
      </c>
      <c r="Q79" s="7" t="str">
        <f t="shared" si="40"/>
        <v xml:space="preserve"> </v>
      </c>
      <c r="R79" s="7" t="str">
        <f t="shared" si="41"/>
        <v xml:space="preserve"> </v>
      </c>
      <c r="S79" s="7" t="str">
        <f t="shared" si="42"/>
        <v xml:space="preserve"> </v>
      </c>
      <c r="U79" s="306"/>
    </row>
    <row r="80" spans="4:21" x14ac:dyDescent="0.15">
      <c r="D80" s="306" t="str">
        <f t="shared" si="29"/>
        <v xml:space="preserve"> </v>
      </c>
      <c r="G80" s="7" t="str">
        <f t="shared" si="30"/>
        <v xml:space="preserve"> </v>
      </c>
      <c r="H80" s="7" t="str">
        <f t="shared" si="31"/>
        <v xml:space="preserve"> </v>
      </c>
      <c r="I80" s="7" t="str">
        <f t="shared" si="32"/>
        <v xml:space="preserve"> </v>
      </c>
      <c r="J80" s="7" t="str">
        <f t="shared" si="33"/>
        <v xml:space="preserve"> </v>
      </c>
      <c r="K80" s="7" t="str">
        <f t="shared" si="34"/>
        <v xml:space="preserve"> </v>
      </c>
      <c r="L80" s="7" t="str">
        <f t="shared" si="35"/>
        <v xml:space="preserve"> </v>
      </c>
      <c r="M80" s="7" t="str">
        <f t="shared" si="36"/>
        <v xml:space="preserve"> </v>
      </c>
      <c r="N80" s="7" t="str">
        <f t="shared" si="37"/>
        <v xml:space="preserve"> </v>
      </c>
      <c r="O80" s="7" t="str">
        <f t="shared" si="38"/>
        <v xml:space="preserve"> </v>
      </c>
      <c r="P80" s="7" t="str">
        <f t="shared" si="39"/>
        <v xml:space="preserve"> </v>
      </c>
      <c r="Q80" s="7" t="str">
        <f t="shared" si="40"/>
        <v xml:space="preserve"> </v>
      </c>
      <c r="R80" s="7" t="str">
        <f t="shared" si="41"/>
        <v xml:space="preserve"> </v>
      </c>
      <c r="S80" s="7" t="str">
        <f t="shared" si="42"/>
        <v xml:space="preserve"> </v>
      </c>
      <c r="U80" s="306"/>
    </row>
    <row r="81" spans="4:21" x14ac:dyDescent="0.15">
      <c r="D81" s="306" t="str">
        <f t="shared" si="29"/>
        <v xml:space="preserve"> </v>
      </c>
      <c r="G81" s="7" t="str">
        <f t="shared" si="30"/>
        <v xml:space="preserve"> </v>
      </c>
      <c r="H81" s="7" t="str">
        <f t="shared" si="31"/>
        <v xml:space="preserve"> </v>
      </c>
      <c r="I81" s="7" t="str">
        <f t="shared" si="32"/>
        <v xml:space="preserve"> </v>
      </c>
      <c r="J81" s="7" t="str">
        <f t="shared" si="33"/>
        <v xml:space="preserve"> </v>
      </c>
      <c r="K81" s="7" t="str">
        <f t="shared" si="34"/>
        <v xml:space="preserve"> </v>
      </c>
      <c r="L81" s="7" t="str">
        <f t="shared" si="35"/>
        <v xml:space="preserve"> </v>
      </c>
      <c r="M81" s="7" t="str">
        <f t="shared" si="36"/>
        <v xml:space="preserve"> </v>
      </c>
      <c r="N81" s="7" t="str">
        <f t="shared" si="37"/>
        <v xml:space="preserve"> </v>
      </c>
      <c r="O81" s="7" t="str">
        <f t="shared" si="38"/>
        <v xml:space="preserve"> </v>
      </c>
      <c r="P81" s="7" t="str">
        <f t="shared" si="39"/>
        <v xml:space="preserve"> </v>
      </c>
      <c r="Q81" s="7" t="str">
        <f t="shared" si="40"/>
        <v xml:space="preserve"> </v>
      </c>
      <c r="R81" s="7" t="str">
        <f t="shared" si="41"/>
        <v xml:space="preserve"> </v>
      </c>
      <c r="S81" s="7" t="str">
        <f t="shared" si="42"/>
        <v xml:space="preserve"> </v>
      </c>
      <c r="U81" s="306"/>
    </row>
    <row r="82" spans="4:21" x14ac:dyDescent="0.15">
      <c r="D82" s="306" t="str">
        <f t="shared" si="29"/>
        <v xml:space="preserve"> </v>
      </c>
      <c r="G82" s="7" t="str">
        <f t="shared" si="30"/>
        <v xml:space="preserve"> </v>
      </c>
      <c r="H82" s="7" t="str">
        <f t="shared" si="31"/>
        <v xml:space="preserve"> </v>
      </c>
      <c r="I82" s="7" t="str">
        <f t="shared" si="32"/>
        <v xml:space="preserve"> </v>
      </c>
      <c r="J82" s="7" t="str">
        <f t="shared" si="33"/>
        <v xml:space="preserve"> </v>
      </c>
      <c r="K82" s="7" t="str">
        <f t="shared" si="34"/>
        <v xml:space="preserve"> </v>
      </c>
      <c r="L82" s="7" t="str">
        <f t="shared" si="35"/>
        <v xml:space="preserve"> </v>
      </c>
      <c r="M82" s="7" t="str">
        <f t="shared" si="36"/>
        <v xml:space="preserve"> </v>
      </c>
      <c r="N82" s="7" t="str">
        <f t="shared" si="37"/>
        <v xml:space="preserve"> </v>
      </c>
      <c r="O82" s="7" t="str">
        <f t="shared" si="38"/>
        <v xml:space="preserve"> </v>
      </c>
      <c r="P82" s="7" t="str">
        <f t="shared" si="39"/>
        <v xml:space="preserve"> </v>
      </c>
      <c r="Q82" s="7" t="str">
        <f t="shared" si="40"/>
        <v xml:space="preserve"> </v>
      </c>
      <c r="R82" s="7" t="str">
        <f t="shared" si="41"/>
        <v xml:space="preserve"> </v>
      </c>
      <c r="S82" s="7" t="str">
        <f t="shared" si="42"/>
        <v xml:space="preserve"> </v>
      </c>
      <c r="U82" s="306"/>
    </row>
    <row r="83" spans="4:21" x14ac:dyDescent="0.15">
      <c r="D83" s="306" t="str">
        <f t="shared" si="29"/>
        <v xml:space="preserve"> </v>
      </c>
      <c r="G83" s="7" t="str">
        <f t="shared" si="30"/>
        <v xml:space="preserve"> </v>
      </c>
      <c r="H83" s="7" t="str">
        <f t="shared" si="31"/>
        <v xml:space="preserve"> </v>
      </c>
      <c r="I83" s="7" t="str">
        <f t="shared" si="32"/>
        <v xml:space="preserve"> </v>
      </c>
      <c r="J83" s="7" t="str">
        <f t="shared" si="33"/>
        <v xml:space="preserve"> </v>
      </c>
      <c r="K83" s="7" t="str">
        <f t="shared" si="34"/>
        <v xml:space="preserve"> </v>
      </c>
      <c r="L83" s="7" t="str">
        <f t="shared" si="35"/>
        <v xml:space="preserve"> </v>
      </c>
      <c r="M83" s="7" t="str">
        <f t="shared" si="36"/>
        <v xml:space="preserve"> </v>
      </c>
      <c r="N83" s="7" t="str">
        <f t="shared" si="37"/>
        <v xml:space="preserve"> </v>
      </c>
      <c r="O83" s="7" t="str">
        <f t="shared" si="38"/>
        <v xml:space="preserve"> </v>
      </c>
      <c r="P83" s="7" t="str">
        <f t="shared" si="39"/>
        <v xml:space="preserve"> </v>
      </c>
      <c r="Q83" s="7" t="str">
        <f t="shared" si="40"/>
        <v xml:space="preserve"> </v>
      </c>
      <c r="R83" s="7" t="str">
        <f t="shared" si="41"/>
        <v xml:space="preserve"> </v>
      </c>
      <c r="S83" s="7" t="str">
        <f t="shared" si="42"/>
        <v xml:space="preserve"> </v>
      </c>
      <c r="U83" s="306"/>
    </row>
    <row r="84" spans="4:21" x14ac:dyDescent="0.15">
      <c r="D84" s="306" t="str">
        <f t="shared" si="29"/>
        <v xml:space="preserve"> </v>
      </c>
      <c r="G84" s="7" t="str">
        <f t="shared" si="30"/>
        <v xml:space="preserve"> </v>
      </c>
      <c r="H84" s="7" t="str">
        <f t="shared" si="31"/>
        <v xml:space="preserve"> </v>
      </c>
      <c r="I84" s="7" t="str">
        <f t="shared" si="32"/>
        <v xml:space="preserve"> </v>
      </c>
      <c r="J84" s="7" t="str">
        <f t="shared" si="33"/>
        <v xml:space="preserve"> </v>
      </c>
      <c r="K84" s="7" t="str">
        <f t="shared" si="34"/>
        <v xml:space="preserve"> </v>
      </c>
      <c r="L84" s="7" t="str">
        <f t="shared" si="35"/>
        <v xml:space="preserve"> </v>
      </c>
      <c r="M84" s="7" t="str">
        <f t="shared" si="36"/>
        <v xml:space="preserve"> </v>
      </c>
      <c r="N84" s="7" t="str">
        <f t="shared" si="37"/>
        <v xml:space="preserve"> </v>
      </c>
      <c r="O84" s="7" t="str">
        <f t="shared" si="38"/>
        <v xml:space="preserve"> </v>
      </c>
      <c r="P84" s="7" t="str">
        <f t="shared" si="39"/>
        <v xml:space="preserve"> </v>
      </c>
      <c r="Q84" s="7" t="str">
        <f t="shared" si="40"/>
        <v xml:space="preserve"> </v>
      </c>
      <c r="R84" s="7" t="str">
        <f t="shared" si="41"/>
        <v xml:space="preserve"> </v>
      </c>
      <c r="S84" s="7" t="str">
        <f t="shared" si="42"/>
        <v xml:space="preserve"> </v>
      </c>
      <c r="U84" s="306"/>
    </row>
    <row r="85" spans="4:21" x14ac:dyDescent="0.15">
      <c r="D85" s="306" t="str">
        <f t="shared" si="29"/>
        <v xml:space="preserve"> </v>
      </c>
      <c r="G85" s="7" t="str">
        <f t="shared" si="30"/>
        <v xml:space="preserve"> </v>
      </c>
      <c r="H85" s="7" t="str">
        <f t="shared" si="31"/>
        <v xml:space="preserve"> </v>
      </c>
      <c r="I85" s="7" t="str">
        <f t="shared" si="32"/>
        <v xml:space="preserve"> </v>
      </c>
      <c r="J85" s="7" t="str">
        <f t="shared" si="33"/>
        <v xml:space="preserve"> </v>
      </c>
      <c r="K85" s="7" t="str">
        <f t="shared" si="34"/>
        <v xml:space="preserve"> </v>
      </c>
      <c r="L85" s="7" t="str">
        <f t="shared" si="35"/>
        <v xml:space="preserve"> </v>
      </c>
      <c r="M85" s="7" t="str">
        <f t="shared" si="36"/>
        <v xml:space="preserve"> </v>
      </c>
      <c r="N85" s="7" t="str">
        <f t="shared" si="37"/>
        <v xml:space="preserve"> </v>
      </c>
      <c r="O85" s="7" t="str">
        <f t="shared" si="38"/>
        <v xml:space="preserve"> </v>
      </c>
      <c r="P85" s="7" t="str">
        <f t="shared" si="39"/>
        <v xml:space="preserve"> </v>
      </c>
      <c r="Q85" s="7" t="str">
        <f t="shared" si="40"/>
        <v xml:space="preserve"> </v>
      </c>
      <c r="R85" s="7" t="str">
        <f t="shared" si="41"/>
        <v xml:space="preserve"> </v>
      </c>
      <c r="S85" s="7" t="str">
        <f t="shared" si="42"/>
        <v xml:space="preserve"> </v>
      </c>
      <c r="U85" s="306"/>
    </row>
    <row r="86" spans="4:21" x14ac:dyDescent="0.15">
      <c r="D86" s="306" t="str">
        <f t="shared" si="29"/>
        <v xml:space="preserve"> </v>
      </c>
      <c r="G86" s="7" t="str">
        <f t="shared" si="30"/>
        <v xml:space="preserve"> </v>
      </c>
      <c r="H86" s="7" t="str">
        <f t="shared" si="31"/>
        <v xml:space="preserve"> </v>
      </c>
      <c r="I86" s="7" t="str">
        <f t="shared" si="32"/>
        <v xml:space="preserve"> </v>
      </c>
      <c r="J86" s="7" t="str">
        <f t="shared" si="33"/>
        <v xml:space="preserve"> </v>
      </c>
      <c r="K86" s="7" t="str">
        <f t="shared" si="34"/>
        <v xml:space="preserve"> </v>
      </c>
      <c r="L86" s="7" t="str">
        <f t="shared" si="35"/>
        <v xml:space="preserve"> </v>
      </c>
      <c r="M86" s="7" t="str">
        <f t="shared" si="36"/>
        <v xml:space="preserve"> </v>
      </c>
      <c r="N86" s="7" t="str">
        <f t="shared" si="37"/>
        <v xml:space="preserve"> </v>
      </c>
      <c r="O86" s="7" t="str">
        <f t="shared" si="38"/>
        <v xml:space="preserve"> </v>
      </c>
      <c r="P86" s="7" t="str">
        <f t="shared" si="39"/>
        <v xml:space="preserve"> </v>
      </c>
      <c r="Q86" s="7" t="str">
        <f t="shared" si="40"/>
        <v xml:space="preserve"> </v>
      </c>
      <c r="R86" s="7" t="str">
        <f t="shared" si="41"/>
        <v xml:space="preserve"> </v>
      </c>
      <c r="S86" s="7" t="str">
        <f t="shared" si="42"/>
        <v xml:space="preserve"> </v>
      </c>
      <c r="U86" s="306"/>
    </row>
    <row r="87" spans="4:21" x14ac:dyDescent="0.15">
      <c r="D87" s="306" t="str">
        <f t="shared" si="29"/>
        <v xml:space="preserve"> </v>
      </c>
      <c r="G87" s="7" t="str">
        <f t="shared" si="30"/>
        <v xml:space="preserve"> </v>
      </c>
      <c r="H87" s="7" t="str">
        <f t="shared" si="31"/>
        <v xml:space="preserve"> </v>
      </c>
      <c r="I87" s="7" t="str">
        <f t="shared" si="32"/>
        <v xml:space="preserve"> </v>
      </c>
      <c r="J87" s="7" t="str">
        <f t="shared" si="33"/>
        <v xml:space="preserve"> </v>
      </c>
      <c r="K87" s="7" t="str">
        <f t="shared" si="34"/>
        <v xml:space="preserve"> </v>
      </c>
      <c r="L87" s="7" t="str">
        <f t="shared" si="35"/>
        <v xml:space="preserve"> </v>
      </c>
      <c r="M87" s="7" t="str">
        <f t="shared" si="36"/>
        <v xml:space="preserve"> </v>
      </c>
      <c r="N87" s="7" t="str">
        <f t="shared" si="37"/>
        <v xml:space="preserve"> </v>
      </c>
      <c r="O87" s="7" t="str">
        <f t="shared" si="38"/>
        <v xml:space="preserve"> </v>
      </c>
      <c r="P87" s="7" t="str">
        <f t="shared" si="39"/>
        <v xml:space="preserve"> </v>
      </c>
      <c r="Q87" s="7" t="str">
        <f t="shared" si="40"/>
        <v xml:space="preserve"> </v>
      </c>
      <c r="R87" s="7" t="str">
        <f t="shared" si="41"/>
        <v xml:space="preserve"> </v>
      </c>
      <c r="S87" s="7" t="str">
        <f t="shared" si="42"/>
        <v xml:space="preserve"> </v>
      </c>
      <c r="U87" s="306"/>
    </row>
    <row r="88" spans="4:21" x14ac:dyDescent="0.15">
      <c r="D88" s="306" t="str">
        <f t="shared" si="29"/>
        <v xml:space="preserve"> </v>
      </c>
      <c r="G88" s="7" t="str">
        <f t="shared" si="30"/>
        <v xml:space="preserve"> </v>
      </c>
      <c r="H88" s="7" t="str">
        <f t="shared" si="31"/>
        <v xml:space="preserve"> </v>
      </c>
      <c r="I88" s="7" t="str">
        <f t="shared" si="32"/>
        <v xml:space="preserve"> </v>
      </c>
      <c r="J88" s="7" t="str">
        <f t="shared" si="33"/>
        <v xml:space="preserve"> </v>
      </c>
      <c r="K88" s="7" t="str">
        <f t="shared" si="34"/>
        <v xml:space="preserve"> </v>
      </c>
      <c r="L88" s="7" t="str">
        <f t="shared" si="35"/>
        <v xml:space="preserve"> </v>
      </c>
      <c r="M88" s="7" t="str">
        <f t="shared" si="36"/>
        <v xml:space="preserve"> </v>
      </c>
      <c r="N88" s="7" t="str">
        <f t="shared" si="37"/>
        <v xml:space="preserve"> </v>
      </c>
      <c r="O88" s="7" t="str">
        <f t="shared" si="38"/>
        <v xml:space="preserve"> </v>
      </c>
      <c r="P88" s="7" t="str">
        <f t="shared" si="39"/>
        <v xml:space="preserve"> </v>
      </c>
      <c r="Q88" s="7" t="str">
        <f t="shared" si="40"/>
        <v xml:space="preserve"> </v>
      </c>
      <c r="R88" s="7" t="str">
        <f t="shared" si="41"/>
        <v xml:space="preserve"> </v>
      </c>
      <c r="S88" s="7" t="str">
        <f t="shared" si="42"/>
        <v xml:space="preserve"> </v>
      </c>
      <c r="U88" s="306"/>
    </row>
    <row r="89" spans="4:21" x14ac:dyDescent="0.15">
      <c r="D89" s="306" t="str">
        <f t="shared" si="29"/>
        <v xml:space="preserve"> </v>
      </c>
      <c r="G89" s="7" t="str">
        <f t="shared" si="30"/>
        <v xml:space="preserve"> </v>
      </c>
      <c r="H89" s="7" t="str">
        <f t="shared" si="31"/>
        <v xml:space="preserve"> </v>
      </c>
      <c r="I89" s="7" t="str">
        <f t="shared" si="32"/>
        <v xml:space="preserve"> </v>
      </c>
      <c r="J89" s="7" t="str">
        <f t="shared" si="33"/>
        <v xml:space="preserve"> </v>
      </c>
      <c r="K89" s="7" t="str">
        <f t="shared" si="34"/>
        <v xml:space="preserve"> </v>
      </c>
      <c r="L89" s="7" t="str">
        <f t="shared" si="35"/>
        <v xml:space="preserve"> </v>
      </c>
      <c r="M89" s="7" t="str">
        <f t="shared" si="36"/>
        <v xml:space="preserve"> </v>
      </c>
      <c r="N89" s="7" t="str">
        <f t="shared" si="37"/>
        <v xml:space="preserve"> </v>
      </c>
      <c r="O89" s="7" t="str">
        <f t="shared" si="38"/>
        <v xml:space="preserve"> </v>
      </c>
      <c r="P89" s="7" t="str">
        <f t="shared" si="39"/>
        <v xml:space="preserve"> </v>
      </c>
      <c r="Q89" s="7" t="str">
        <f t="shared" si="40"/>
        <v xml:space="preserve"> </v>
      </c>
      <c r="R89" s="7" t="str">
        <f t="shared" si="41"/>
        <v xml:space="preserve"> </v>
      </c>
      <c r="S89" s="7" t="str">
        <f t="shared" si="42"/>
        <v xml:space="preserve"> </v>
      </c>
      <c r="U89" s="306"/>
    </row>
    <row r="90" spans="4:21" x14ac:dyDescent="0.15">
      <c r="D90" s="306" t="str">
        <f t="shared" si="29"/>
        <v xml:space="preserve"> </v>
      </c>
      <c r="G90" s="7" t="str">
        <f t="shared" si="30"/>
        <v xml:space="preserve"> </v>
      </c>
      <c r="H90" s="7" t="str">
        <f t="shared" si="31"/>
        <v xml:space="preserve"> </v>
      </c>
      <c r="I90" s="7" t="str">
        <f t="shared" si="32"/>
        <v xml:space="preserve"> </v>
      </c>
      <c r="J90" s="7" t="str">
        <f t="shared" si="33"/>
        <v xml:space="preserve"> </v>
      </c>
      <c r="K90" s="7" t="str">
        <f t="shared" si="34"/>
        <v xml:space="preserve"> </v>
      </c>
      <c r="L90" s="7" t="str">
        <f t="shared" si="35"/>
        <v xml:space="preserve"> </v>
      </c>
      <c r="M90" s="7" t="str">
        <f t="shared" si="36"/>
        <v xml:space="preserve"> </v>
      </c>
      <c r="N90" s="7" t="str">
        <f t="shared" si="37"/>
        <v xml:space="preserve"> </v>
      </c>
      <c r="O90" s="7" t="str">
        <f t="shared" si="38"/>
        <v xml:space="preserve"> </v>
      </c>
      <c r="P90" s="7" t="str">
        <f t="shared" si="39"/>
        <v xml:space="preserve"> </v>
      </c>
      <c r="Q90" s="7" t="str">
        <f t="shared" si="40"/>
        <v xml:space="preserve"> </v>
      </c>
      <c r="R90" s="7" t="str">
        <f t="shared" si="41"/>
        <v xml:space="preserve"> </v>
      </c>
      <c r="S90" s="7" t="str">
        <f t="shared" si="42"/>
        <v xml:space="preserve"> </v>
      </c>
      <c r="U90" s="306"/>
    </row>
    <row r="91" spans="4:21" x14ac:dyDescent="0.15">
      <c r="D91" s="306" t="str">
        <f t="shared" si="29"/>
        <v xml:space="preserve"> </v>
      </c>
      <c r="G91" s="7" t="str">
        <f t="shared" si="30"/>
        <v xml:space="preserve"> </v>
      </c>
      <c r="H91" s="7" t="str">
        <f t="shared" si="31"/>
        <v xml:space="preserve"> </v>
      </c>
      <c r="I91" s="7" t="str">
        <f t="shared" si="32"/>
        <v xml:space="preserve"> </v>
      </c>
      <c r="J91" s="7" t="str">
        <f t="shared" si="33"/>
        <v xml:space="preserve"> </v>
      </c>
      <c r="K91" s="7" t="str">
        <f t="shared" si="34"/>
        <v xml:space="preserve"> </v>
      </c>
      <c r="L91" s="7" t="str">
        <f t="shared" si="35"/>
        <v xml:space="preserve"> </v>
      </c>
      <c r="M91" s="7" t="str">
        <f t="shared" si="36"/>
        <v xml:space="preserve"> </v>
      </c>
      <c r="N91" s="7" t="str">
        <f t="shared" si="37"/>
        <v xml:space="preserve"> </v>
      </c>
      <c r="O91" s="7" t="str">
        <f t="shared" si="38"/>
        <v xml:space="preserve"> </v>
      </c>
      <c r="P91" s="7" t="str">
        <f t="shared" si="39"/>
        <v xml:space="preserve"> </v>
      </c>
      <c r="Q91" s="7" t="str">
        <f t="shared" si="40"/>
        <v xml:space="preserve"> </v>
      </c>
      <c r="R91" s="7" t="str">
        <f t="shared" si="41"/>
        <v xml:space="preserve"> </v>
      </c>
      <c r="S91" s="7" t="str">
        <f t="shared" si="42"/>
        <v xml:space="preserve"> </v>
      </c>
      <c r="U91" s="306"/>
    </row>
    <row r="92" spans="4:21" x14ac:dyDescent="0.15">
      <c r="D92" s="306" t="str">
        <f t="shared" si="29"/>
        <v xml:space="preserve"> </v>
      </c>
      <c r="G92" s="7" t="str">
        <f t="shared" si="30"/>
        <v xml:space="preserve"> </v>
      </c>
      <c r="H92" s="7" t="str">
        <f t="shared" si="31"/>
        <v xml:space="preserve"> </v>
      </c>
      <c r="I92" s="7" t="str">
        <f t="shared" si="32"/>
        <v xml:space="preserve"> </v>
      </c>
      <c r="J92" s="7" t="str">
        <f t="shared" si="33"/>
        <v xml:space="preserve"> </v>
      </c>
      <c r="K92" s="7" t="str">
        <f t="shared" si="34"/>
        <v xml:space="preserve"> </v>
      </c>
      <c r="L92" s="7" t="str">
        <f t="shared" si="35"/>
        <v xml:space="preserve"> </v>
      </c>
      <c r="M92" s="7" t="str">
        <f t="shared" si="36"/>
        <v xml:space="preserve"> </v>
      </c>
      <c r="N92" s="7" t="str">
        <f t="shared" si="37"/>
        <v xml:space="preserve"> </v>
      </c>
      <c r="O92" s="7" t="str">
        <f t="shared" si="38"/>
        <v xml:space="preserve"> </v>
      </c>
      <c r="P92" s="7" t="str">
        <f t="shared" si="39"/>
        <v xml:space="preserve"> </v>
      </c>
      <c r="Q92" s="7" t="str">
        <f t="shared" si="40"/>
        <v xml:space="preserve"> </v>
      </c>
      <c r="R92" s="7" t="str">
        <f t="shared" si="41"/>
        <v xml:space="preserve"> </v>
      </c>
      <c r="S92" s="7" t="str">
        <f t="shared" si="42"/>
        <v xml:space="preserve"> </v>
      </c>
      <c r="U92" s="306"/>
    </row>
    <row r="93" spans="4:21" x14ac:dyDescent="0.15">
      <c r="D93" s="306" t="str">
        <f t="shared" si="29"/>
        <v xml:space="preserve"> </v>
      </c>
      <c r="G93" s="7" t="str">
        <f t="shared" si="30"/>
        <v xml:space="preserve"> </v>
      </c>
      <c r="H93" s="7" t="str">
        <f t="shared" si="31"/>
        <v xml:space="preserve"> </v>
      </c>
      <c r="I93" s="7" t="str">
        <f t="shared" si="32"/>
        <v xml:space="preserve"> </v>
      </c>
      <c r="J93" s="7" t="str">
        <f t="shared" si="33"/>
        <v xml:space="preserve"> </v>
      </c>
      <c r="K93" s="7" t="str">
        <f t="shared" si="34"/>
        <v xml:space="preserve"> </v>
      </c>
      <c r="L93" s="7" t="str">
        <f t="shared" si="35"/>
        <v xml:space="preserve"> </v>
      </c>
      <c r="M93" s="7" t="str">
        <f t="shared" si="36"/>
        <v xml:space="preserve"> </v>
      </c>
      <c r="N93" s="7" t="str">
        <f t="shared" si="37"/>
        <v xml:space="preserve"> </v>
      </c>
      <c r="O93" s="7" t="str">
        <f t="shared" si="38"/>
        <v xml:space="preserve"> </v>
      </c>
      <c r="P93" s="7" t="str">
        <f t="shared" si="39"/>
        <v xml:space="preserve"> </v>
      </c>
      <c r="Q93" s="7" t="str">
        <f t="shared" si="40"/>
        <v xml:space="preserve"> </v>
      </c>
      <c r="R93" s="7" t="str">
        <f t="shared" si="41"/>
        <v xml:space="preserve"> </v>
      </c>
      <c r="S93" s="7" t="str">
        <f t="shared" si="42"/>
        <v xml:space="preserve"> </v>
      </c>
      <c r="U93" s="306"/>
    </row>
    <row r="94" spans="4:21" x14ac:dyDescent="0.15">
      <c r="D94" s="306" t="str">
        <f t="shared" si="29"/>
        <v xml:space="preserve"> </v>
      </c>
      <c r="G94" s="7" t="str">
        <f t="shared" si="30"/>
        <v xml:space="preserve"> </v>
      </c>
      <c r="H94" s="7" t="str">
        <f t="shared" si="31"/>
        <v xml:space="preserve"> </v>
      </c>
      <c r="I94" s="7" t="str">
        <f t="shared" si="32"/>
        <v xml:space="preserve"> </v>
      </c>
      <c r="J94" s="7" t="str">
        <f t="shared" si="33"/>
        <v xml:space="preserve"> </v>
      </c>
      <c r="K94" s="7" t="str">
        <f t="shared" si="34"/>
        <v xml:space="preserve"> </v>
      </c>
      <c r="L94" s="7" t="str">
        <f t="shared" si="35"/>
        <v xml:space="preserve"> </v>
      </c>
      <c r="M94" s="7" t="str">
        <f t="shared" si="36"/>
        <v xml:space="preserve"> </v>
      </c>
      <c r="N94" s="7" t="str">
        <f t="shared" si="37"/>
        <v xml:space="preserve"> </v>
      </c>
      <c r="O94" s="7" t="str">
        <f t="shared" si="38"/>
        <v xml:space="preserve"> </v>
      </c>
      <c r="P94" s="7" t="str">
        <f t="shared" si="39"/>
        <v xml:space="preserve"> </v>
      </c>
      <c r="Q94" s="7" t="str">
        <f t="shared" si="40"/>
        <v xml:space="preserve"> </v>
      </c>
      <c r="R94" s="7" t="str">
        <f t="shared" si="41"/>
        <v xml:space="preserve"> </v>
      </c>
      <c r="S94" s="7" t="str">
        <f t="shared" si="42"/>
        <v xml:space="preserve"> </v>
      </c>
      <c r="U94" s="306"/>
    </row>
    <row r="95" spans="4:21" x14ac:dyDescent="0.15">
      <c r="D95" s="306" t="str">
        <f t="shared" si="29"/>
        <v xml:space="preserve"> </v>
      </c>
      <c r="G95" s="7" t="str">
        <f t="shared" si="30"/>
        <v xml:space="preserve"> </v>
      </c>
      <c r="H95" s="7" t="str">
        <f t="shared" si="31"/>
        <v xml:space="preserve"> </v>
      </c>
      <c r="I95" s="7" t="str">
        <f t="shared" si="32"/>
        <v xml:space="preserve"> </v>
      </c>
      <c r="J95" s="7" t="str">
        <f t="shared" si="33"/>
        <v xml:space="preserve"> </v>
      </c>
      <c r="K95" s="7" t="str">
        <f t="shared" si="34"/>
        <v xml:space="preserve"> </v>
      </c>
      <c r="L95" s="7" t="str">
        <f t="shared" si="35"/>
        <v xml:space="preserve"> </v>
      </c>
      <c r="M95" s="7" t="str">
        <f t="shared" si="36"/>
        <v xml:space="preserve"> </v>
      </c>
      <c r="N95" s="7" t="str">
        <f t="shared" si="37"/>
        <v xml:space="preserve"> </v>
      </c>
      <c r="O95" s="7" t="str">
        <f t="shared" si="38"/>
        <v xml:space="preserve"> </v>
      </c>
      <c r="P95" s="7" t="str">
        <f t="shared" si="39"/>
        <v xml:space="preserve"> </v>
      </c>
      <c r="Q95" s="7" t="str">
        <f t="shared" si="40"/>
        <v xml:space="preserve"> </v>
      </c>
      <c r="R95" s="7" t="str">
        <f t="shared" si="41"/>
        <v xml:space="preserve"> </v>
      </c>
      <c r="S95" s="7" t="str">
        <f t="shared" si="42"/>
        <v xml:space="preserve"> </v>
      </c>
      <c r="U95" s="306"/>
    </row>
    <row r="96" spans="4:21" x14ac:dyDescent="0.15">
      <c r="D96" s="306" t="str">
        <f t="shared" si="29"/>
        <v xml:space="preserve"> </v>
      </c>
      <c r="G96" s="7" t="str">
        <f t="shared" si="30"/>
        <v xml:space="preserve"> </v>
      </c>
      <c r="H96" s="7" t="str">
        <f t="shared" si="31"/>
        <v xml:space="preserve"> </v>
      </c>
      <c r="I96" s="7" t="str">
        <f t="shared" si="32"/>
        <v xml:space="preserve"> </v>
      </c>
      <c r="J96" s="7" t="str">
        <f t="shared" si="33"/>
        <v xml:space="preserve"> </v>
      </c>
      <c r="K96" s="7" t="str">
        <f t="shared" si="34"/>
        <v xml:space="preserve"> </v>
      </c>
      <c r="L96" s="7" t="str">
        <f t="shared" si="35"/>
        <v xml:space="preserve"> </v>
      </c>
      <c r="M96" s="7" t="str">
        <f t="shared" si="36"/>
        <v xml:space="preserve"> </v>
      </c>
      <c r="N96" s="7" t="str">
        <f t="shared" si="37"/>
        <v xml:space="preserve"> </v>
      </c>
      <c r="O96" s="7" t="str">
        <f t="shared" si="38"/>
        <v xml:space="preserve"> </v>
      </c>
      <c r="P96" s="7" t="str">
        <f t="shared" si="39"/>
        <v xml:space="preserve"> </v>
      </c>
      <c r="Q96" s="7" t="str">
        <f t="shared" si="40"/>
        <v xml:space="preserve"> </v>
      </c>
      <c r="R96" s="7" t="str">
        <f t="shared" si="41"/>
        <v xml:space="preserve"> </v>
      </c>
      <c r="S96" s="7" t="str">
        <f t="shared" si="42"/>
        <v xml:space="preserve"> </v>
      </c>
      <c r="U96" s="306"/>
    </row>
    <row r="97" spans="4:21" x14ac:dyDescent="0.15">
      <c r="D97" s="306" t="str">
        <f t="shared" si="29"/>
        <v xml:space="preserve"> </v>
      </c>
      <c r="G97" s="7" t="str">
        <f t="shared" si="30"/>
        <v xml:space="preserve"> </v>
      </c>
      <c r="H97" s="7" t="str">
        <f t="shared" si="31"/>
        <v xml:space="preserve"> </v>
      </c>
      <c r="I97" s="7" t="str">
        <f t="shared" si="32"/>
        <v xml:space="preserve"> </v>
      </c>
      <c r="J97" s="7" t="str">
        <f t="shared" si="33"/>
        <v xml:space="preserve"> </v>
      </c>
      <c r="K97" s="7" t="str">
        <f t="shared" si="34"/>
        <v xml:space="preserve"> </v>
      </c>
      <c r="L97" s="7" t="str">
        <f t="shared" si="35"/>
        <v xml:space="preserve"> </v>
      </c>
      <c r="M97" s="7" t="str">
        <f t="shared" si="36"/>
        <v xml:space="preserve"> </v>
      </c>
      <c r="N97" s="7" t="str">
        <f t="shared" si="37"/>
        <v xml:space="preserve"> </v>
      </c>
      <c r="O97" s="7" t="str">
        <f t="shared" si="38"/>
        <v xml:space="preserve"> </v>
      </c>
      <c r="P97" s="7" t="str">
        <f t="shared" si="39"/>
        <v xml:space="preserve"> </v>
      </c>
      <c r="Q97" s="7" t="str">
        <f t="shared" si="40"/>
        <v xml:space="preserve"> </v>
      </c>
      <c r="R97" s="7" t="str">
        <f t="shared" si="41"/>
        <v xml:space="preserve"> </v>
      </c>
      <c r="S97" s="7" t="str">
        <f t="shared" si="42"/>
        <v xml:space="preserve"> </v>
      </c>
      <c r="U97" s="306"/>
    </row>
    <row r="98" spans="4:21" x14ac:dyDescent="0.15">
      <c r="D98" s="306" t="str">
        <f t="shared" si="29"/>
        <v xml:space="preserve"> </v>
      </c>
      <c r="G98" s="7" t="str">
        <f t="shared" si="30"/>
        <v xml:space="preserve"> </v>
      </c>
      <c r="H98" s="7" t="str">
        <f t="shared" si="31"/>
        <v xml:space="preserve"> </v>
      </c>
      <c r="I98" s="7" t="str">
        <f t="shared" si="32"/>
        <v xml:space="preserve"> </v>
      </c>
      <c r="J98" s="7" t="str">
        <f t="shared" si="33"/>
        <v xml:space="preserve"> </v>
      </c>
      <c r="K98" s="7" t="str">
        <f t="shared" si="34"/>
        <v xml:space="preserve"> </v>
      </c>
      <c r="L98" s="7" t="str">
        <f t="shared" si="35"/>
        <v xml:space="preserve"> </v>
      </c>
      <c r="M98" s="7" t="str">
        <f t="shared" si="36"/>
        <v xml:space="preserve"> </v>
      </c>
      <c r="N98" s="7" t="str">
        <f t="shared" si="37"/>
        <v xml:space="preserve"> </v>
      </c>
      <c r="O98" s="7" t="str">
        <f t="shared" si="38"/>
        <v xml:space="preserve"> </v>
      </c>
      <c r="P98" s="7" t="str">
        <f t="shared" si="39"/>
        <v xml:space="preserve"> </v>
      </c>
      <c r="Q98" s="7" t="str">
        <f t="shared" si="40"/>
        <v xml:space="preserve"> </v>
      </c>
      <c r="R98" s="7" t="str">
        <f t="shared" si="41"/>
        <v xml:space="preserve"> </v>
      </c>
      <c r="S98" s="7" t="str">
        <f t="shared" si="42"/>
        <v xml:space="preserve"> </v>
      </c>
      <c r="U98" s="306"/>
    </row>
    <row r="99" spans="4:21" x14ac:dyDescent="0.15">
      <c r="D99" s="306" t="str">
        <f t="shared" si="29"/>
        <v xml:space="preserve"> </v>
      </c>
      <c r="G99" s="7" t="str">
        <f t="shared" si="30"/>
        <v xml:space="preserve"> </v>
      </c>
      <c r="H99" s="7" t="str">
        <f t="shared" si="31"/>
        <v xml:space="preserve"> </v>
      </c>
      <c r="I99" s="7" t="str">
        <f t="shared" si="32"/>
        <v xml:space="preserve"> </v>
      </c>
      <c r="J99" s="7" t="str">
        <f t="shared" si="33"/>
        <v xml:space="preserve"> </v>
      </c>
      <c r="K99" s="7" t="str">
        <f t="shared" si="34"/>
        <v xml:space="preserve"> </v>
      </c>
      <c r="L99" s="7" t="str">
        <f t="shared" si="35"/>
        <v xml:space="preserve"> </v>
      </c>
      <c r="M99" s="7" t="str">
        <f t="shared" si="36"/>
        <v xml:space="preserve"> </v>
      </c>
      <c r="N99" s="7" t="str">
        <f t="shared" si="37"/>
        <v xml:space="preserve"> </v>
      </c>
      <c r="O99" s="7" t="str">
        <f t="shared" si="38"/>
        <v xml:space="preserve"> </v>
      </c>
      <c r="P99" s="7" t="str">
        <f t="shared" si="39"/>
        <v xml:space="preserve"> </v>
      </c>
      <c r="Q99" s="7" t="str">
        <f t="shared" si="40"/>
        <v xml:space="preserve"> </v>
      </c>
      <c r="R99" s="7" t="str">
        <f t="shared" si="41"/>
        <v xml:space="preserve"> </v>
      </c>
      <c r="S99" s="7" t="str">
        <f t="shared" si="42"/>
        <v xml:space="preserve"> </v>
      </c>
      <c r="U99" s="306"/>
    </row>
    <row r="100" spans="4:21" x14ac:dyDescent="0.15">
      <c r="D100" s="306" t="str">
        <f t="shared" si="29"/>
        <v xml:space="preserve"> </v>
      </c>
      <c r="G100" s="7" t="str">
        <f t="shared" si="30"/>
        <v xml:space="preserve"> </v>
      </c>
      <c r="H100" s="7" t="str">
        <f t="shared" si="31"/>
        <v xml:space="preserve"> </v>
      </c>
      <c r="I100" s="7" t="str">
        <f t="shared" si="32"/>
        <v xml:space="preserve"> </v>
      </c>
      <c r="J100" s="7" t="str">
        <f t="shared" si="33"/>
        <v xml:space="preserve"> </v>
      </c>
      <c r="K100" s="7" t="str">
        <f t="shared" si="34"/>
        <v xml:space="preserve"> </v>
      </c>
      <c r="L100" s="7" t="str">
        <f t="shared" si="35"/>
        <v xml:space="preserve"> </v>
      </c>
      <c r="M100" s="7" t="str">
        <f t="shared" si="36"/>
        <v xml:space="preserve"> </v>
      </c>
      <c r="N100" s="7" t="str">
        <f t="shared" si="37"/>
        <v xml:space="preserve"> </v>
      </c>
      <c r="O100" s="7" t="str">
        <f t="shared" si="38"/>
        <v xml:space="preserve"> </v>
      </c>
      <c r="P100" s="7" t="str">
        <f t="shared" si="39"/>
        <v xml:space="preserve"> </v>
      </c>
      <c r="Q100" s="7" t="str">
        <f t="shared" si="40"/>
        <v xml:space="preserve"> </v>
      </c>
      <c r="R100" s="7" t="str">
        <f t="shared" si="41"/>
        <v xml:space="preserve"> </v>
      </c>
      <c r="S100" s="7" t="str">
        <f t="shared" si="42"/>
        <v xml:space="preserve"> </v>
      </c>
      <c r="U100" s="306"/>
    </row>
    <row r="101" spans="4:21" x14ac:dyDescent="0.15">
      <c r="D101" s="306" t="str">
        <f t="shared" ref="D101:D132" si="43">IF((F101&lt;&gt;0),"Enter Letter"," ")</f>
        <v xml:space="preserve"> </v>
      </c>
      <c r="G101" s="7" t="str">
        <f t="shared" ref="G101:G132" si="44">IF((D101="d"),F101," ")</f>
        <v xml:space="preserve"> </v>
      </c>
      <c r="H101" s="7" t="str">
        <f t="shared" ref="H101:H132" si="45">IF((D101="h"),F101," ")</f>
        <v xml:space="preserve"> </v>
      </c>
      <c r="I101" s="7" t="str">
        <f t="shared" ref="I101:I132" si="46">IF((D101="r"),F101," ")</f>
        <v xml:space="preserve"> </v>
      </c>
      <c r="J101" s="7" t="str">
        <f t="shared" ref="J101:J132" si="47">IF((D101="t"),F101," ")</f>
        <v xml:space="preserve"> </v>
      </c>
      <c r="K101" s="7" t="str">
        <f t="shared" ref="K101:K132" si="48">IF((D101="e"),F101," ")</f>
        <v xml:space="preserve"> </v>
      </c>
      <c r="L101" s="7" t="str">
        <f t="shared" ref="L101:L132" si="49">IF((D101="p"),F101," ")</f>
        <v xml:space="preserve"> </v>
      </c>
      <c r="M101" s="7" t="str">
        <f t="shared" ref="M101:M132" si="50">IF((D101="g"),F101," ")</f>
        <v xml:space="preserve"> </v>
      </c>
      <c r="N101" s="7" t="str">
        <f t="shared" ref="N101:N132" si="51">IF((D101="a"),F101," ")</f>
        <v xml:space="preserve"> </v>
      </c>
      <c r="O101" s="7" t="str">
        <f t="shared" ref="O101:O132" si="52">IF((D101="l"),F101," ")</f>
        <v xml:space="preserve"> </v>
      </c>
      <c r="P101" s="7" t="str">
        <f t="shared" ref="P101:P132" si="53">IF((D101="i"),F101," ")</f>
        <v xml:space="preserve"> </v>
      </c>
      <c r="Q101" s="7" t="str">
        <f t="shared" ref="Q101:Q132" si="54">IF((D101="b"),F101," ")</f>
        <v xml:space="preserve"> </v>
      </c>
      <c r="R101" s="7" t="str">
        <f t="shared" ref="R101:R132" si="55">IF((D101="o"),F101," ")</f>
        <v xml:space="preserve"> </v>
      </c>
      <c r="S101" s="7" t="str">
        <f t="shared" ref="S101:S132" si="56">IF((D101="f"),F101," ")</f>
        <v xml:space="preserve"> </v>
      </c>
      <c r="U101" s="306"/>
    </row>
    <row r="102" spans="4:21" x14ac:dyDescent="0.15">
      <c r="D102" s="306" t="str">
        <f t="shared" si="43"/>
        <v xml:space="preserve"> </v>
      </c>
      <c r="G102" s="7" t="str">
        <f t="shared" si="44"/>
        <v xml:space="preserve"> </v>
      </c>
      <c r="H102" s="7" t="str">
        <f t="shared" si="45"/>
        <v xml:space="preserve"> </v>
      </c>
      <c r="I102" s="7" t="str">
        <f t="shared" si="46"/>
        <v xml:space="preserve"> </v>
      </c>
      <c r="J102" s="7" t="str">
        <f t="shared" si="47"/>
        <v xml:space="preserve"> </v>
      </c>
      <c r="K102" s="7" t="str">
        <f t="shared" si="48"/>
        <v xml:space="preserve"> </v>
      </c>
      <c r="L102" s="7" t="str">
        <f t="shared" si="49"/>
        <v xml:space="preserve"> </v>
      </c>
      <c r="M102" s="7" t="str">
        <f t="shared" si="50"/>
        <v xml:space="preserve"> </v>
      </c>
      <c r="N102" s="7" t="str">
        <f t="shared" si="51"/>
        <v xml:space="preserve"> </v>
      </c>
      <c r="O102" s="7" t="str">
        <f t="shared" si="52"/>
        <v xml:space="preserve"> </v>
      </c>
      <c r="P102" s="7" t="str">
        <f t="shared" si="53"/>
        <v xml:space="preserve"> </v>
      </c>
      <c r="Q102" s="7" t="str">
        <f t="shared" si="54"/>
        <v xml:space="preserve"> </v>
      </c>
      <c r="R102" s="7" t="str">
        <f t="shared" si="55"/>
        <v xml:space="preserve"> </v>
      </c>
      <c r="S102" s="7" t="str">
        <f t="shared" si="56"/>
        <v xml:space="preserve"> </v>
      </c>
      <c r="U102" s="306"/>
    </row>
    <row r="103" spans="4:21" x14ac:dyDescent="0.15">
      <c r="D103" s="306" t="str">
        <f t="shared" si="43"/>
        <v xml:space="preserve"> </v>
      </c>
      <c r="G103" s="7" t="str">
        <f t="shared" si="44"/>
        <v xml:space="preserve"> </v>
      </c>
      <c r="H103" s="7" t="str">
        <f t="shared" si="45"/>
        <v xml:space="preserve"> </v>
      </c>
      <c r="I103" s="7" t="str">
        <f t="shared" si="46"/>
        <v xml:space="preserve"> </v>
      </c>
      <c r="J103" s="7" t="str">
        <f t="shared" si="47"/>
        <v xml:space="preserve"> </v>
      </c>
      <c r="K103" s="7" t="str">
        <f t="shared" si="48"/>
        <v xml:space="preserve"> </v>
      </c>
      <c r="L103" s="7" t="str">
        <f t="shared" si="49"/>
        <v xml:space="preserve"> </v>
      </c>
      <c r="M103" s="7" t="str">
        <f t="shared" si="50"/>
        <v xml:space="preserve"> </v>
      </c>
      <c r="N103" s="7" t="str">
        <f t="shared" si="51"/>
        <v xml:space="preserve"> </v>
      </c>
      <c r="O103" s="7" t="str">
        <f t="shared" si="52"/>
        <v xml:space="preserve"> </v>
      </c>
      <c r="P103" s="7" t="str">
        <f t="shared" si="53"/>
        <v xml:space="preserve"> </v>
      </c>
      <c r="Q103" s="7" t="str">
        <f t="shared" si="54"/>
        <v xml:space="preserve"> </v>
      </c>
      <c r="R103" s="7" t="str">
        <f t="shared" si="55"/>
        <v xml:space="preserve"> </v>
      </c>
      <c r="S103" s="7" t="str">
        <f t="shared" si="56"/>
        <v xml:space="preserve"> </v>
      </c>
      <c r="U103" s="306"/>
    </row>
    <row r="104" spans="4:21" x14ac:dyDescent="0.15">
      <c r="D104" s="306" t="str">
        <f t="shared" si="43"/>
        <v xml:space="preserve"> </v>
      </c>
      <c r="G104" s="7" t="str">
        <f t="shared" si="44"/>
        <v xml:space="preserve"> </v>
      </c>
      <c r="H104" s="7" t="str">
        <f t="shared" si="45"/>
        <v xml:space="preserve"> </v>
      </c>
      <c r="I104" s="7" t="str">
        <f t="shared" si="46"/>
        <v xml:space="preserve"> </v>
      </c>
      <c r="J104" s="7" t="str">
        <f t="shared" si="47"/>
        <v xml:space="preserve"> </v>
      </c>
      <c r="K104" s="7" t="str">
        <f t="shared" si="48"/>
        <v xml:space="preserve"> </v>
      </c>
      <c r="L104" s="7" t="str">
        <f t="shared" si="49"/>
        <v xml:space="preserve"> </v>
      </c>
      <c r="M104" s="7" t="str">
        <f t="shared" si="50"/>
        <v xml:space="preserve"> </v>
      </c>
      <c r="N104" s="7" t="str">
        <f t="shared" si="51"/>
        <v xml:space="preserve"> </v>
      </c>
      <c r="O104" s="7" t="str">
        <f t="shared" si="52"/>
        <v xml:space="preserve"> </v>
      </c>
      <c r="P104" s="7" t="str">
        <f t="shared" si="53"/>
        <v xml:space="preserve"> </v>
      </c>
      <c r="Q104" s="7" t="str">
        <f t="shared" si="54"/>
        <v xml:space="preserve"> </v>
      </c>
      <c r="R104" s="7" t="str">
        <f t="shared" si="55"/>
        <v xml:space="preserve"> </v>
      </c>
      <c r="S104" s="7" t="str">
        <f t="shared" si="56"/>
        <v xml:space="preserve"> </v>
      </c>
      <c r="U104" s="306"/>
    </row>
    <row r="105" spans="4:21" x14ac:dyDescent="0.15">
      <c r="D105" s="306" t="str">
        <f t="shared" si="43"/>
        <v xml:space="preserve"> </v>
      </c>
      <c r="G105" s="7" t="str">
        <f t="shared" si="44"/>
        <v xml:space="preserve"> </v>
      </c>
      <c r="H105" s="7" t="str">
        <f t="shared" si="45"/>
        <v xml:space="preserve"> </v>
      </c>
      <c r="I105" s="7" t="str">
        <f t="shared" si="46"/>
        <v xml:space="preserve"> </v>
      </c>
      <c r="J105" s="7" t="str">
        <f t="shared" si="47"/>
        <v xml:space="preserve"> </v>
      </c>
      <c r="K105" s="7" t="str">
        <f t="shared" si="48"/>
        <v xml:space="preserve"> </v>
      </c>
      <c r="L105" s="7" t="str">
        <f t="shared" si="49"/>
        <v xml:space="preserve"> </v>
      </c>
      <c r="M105" s="7" t="str">
        <f t="shared" si="50"/>
        <v xml:space="preserve"> </v>
      </c>
      <c r="N105" s="7" t="str">
        <f t="shared" si="51"/>
        <v xml:space="preserve"> </v>
      </c>
      <c r="O105" s="7" t="str">
        <f t="shared" si="52"/>
        <v xml:space="preserve"> </v>
      </c>
      <c r="P105" s="7" t="str">
        <f t="shared" si="53"/>
        <v xml:space="preserve"> </v>
      </c>
      <c r="Q105" s="7" t="str">
        <f t="shared" si="54"/>
        <v xml:space="preserve"> </v>
      </c>
      <c r="R105" s="7" t="str">
        <f t="shared" si="55"/>
        <v xml:space="preserve"> </v>
      </c>
      <c r="S105" s="7" t="str">
        <f t="shared" si="56"/>
        <v xml:space="preserve"> </v>
      </c>
      <c r="U105" s="306"/>
    </row>
    <row r="106" spans="4:21" x14ac:dyDescent="0.15">
      <c r="D106" s="306" t="str">
        <f t="shared" si="43"/>
        <v xml:space="preserve"> </v>
      </c>
      <c r="G106" s="7" t="str">
        <f t="shared" si="44"/>
        <v xml:space="preserve"> </v>
      </c>
      <c r="H106" s="7" t="str">
        <f t="shared" si="45"/>
        <v xml:space="preserve"> </v>
      </c>
      <c r="I106" s="7" t="str">
        <f t="shared" si="46"/>
        <v xml:space="preserve"> </v>
      </c>
      <c r="J106" s="7" t="str">
        <f t="shared" si="47"/>
        <v xml:space="preserve"> </v>
      </c>
      <c r="K106" s="7" t="str">
        <f t="shared" si="48"/>
        <v xml:space="preserve"> </v>
      </c>
      <c r="L106" s="7" t="str">
        <f t="shared" si="49"/>
        <v xml:space="preserve"> </v>
      </c>
      <c r="M106" s="7" t="str">
        <f t="shared" si="50"/>
        <v xml:space="preserve"> </v>
      </c>
      <c r="N106" s="7" t="str">
        <f t="shared" si="51"/>
        <v xml:space="preserve"> </v>
      </c>
      <c r="O106" s="7" t="str">
        <f t="shared" si="52"/>
        <v xml:space="preserve"> </v>
      </c>
      <c r="P106" s="7" t="str">
        <f t="shared" si="53"/>
        <v xml:space="preserve"> </v>
      </c>
      <c r="Q106" s="7" t="str">
        <f t="shared" si="54"/>
        <v xml:space="preserve"> </v>
      </c>
      <c r="R106" s="7" t="str">
        <f t="shared" si="55"/>
        <v xml:space="preserve"> </v>
      </c>
      <c r="S106" s="7" t="str">
        <f t="shared" si="56"/>
        <v xml:space="preserve"> </v>
      </c>
      <c r="U106" s="306"/>
    </row>
    <row r="107" spans="4:21" x14ac:dyDescent="0.15">
      <c r="D107" s="306" t="str">
        <f t="shared" si="43"/>
        <v xml:space="preserve"> </v>
      </c>
      <c r="G107" s="7" t="str">
        <f t="shared" si="44"/>
        <v xml:space="preserve"> </v>
      </c>
      <c r="H107" s="7" t="str">
        <f t="shared" si="45"/>
        <v xml:space="preserve"> </v>
      </c>
      <c r="I107" s="7" t="str">
        <f t="shared" si="46"/>
        <v xml:space="preserve"> </v>
      </c>
      <c r="J107" s="7" t="str">
        <f t="shared" si="47"/>
        <v xml:space="preserve"> </v>
      </c>
      <c r="K107" s="7" t="str">
        <f t="shared" si="48"/>
        <v xml:space="preserve"> </v>
      </c>
      <c r="L107" s="7" t="str">
        <f t="shared" si="49"/>
        <v xml:space="preserve"> </v>
      </c>
      <c r="M107" s="7" t="str">
        <f t="shared" si="50"/>
        <v xml:space="preserve"> </v>
      </c>
      <c r="N107" s="7" t="str">
        <f t="shared" si="51"/>
        <v xml:space="preserve"> </v>
      </c>
      <c r="O107" s="7" t="str">
        <f t="shared" si="52"/>
        <v xml:space="preserve"> </v>
      </c>
      <c r="P107" s="7" t="str">
        <f t="shared" si="53"/>
        <v xml:space="preserve"> </v>
      </c>
      <c r="Q107" s="7" t="str">
        <f t="shared" si="54"/>
        <v xml:space="preserve"> </v>
      </c>
      <c r="R107" s="7" t="str">
        <f t="shared" si="55"/>
        <v xml:space="preserve"> </v>
      </c>
      <c r="S107" s="7" t="str">
        <f t="shared" si="56"/>
        <v xml:space="preserve"> </v>
      </c>
      <c r="U107" s="306"/>
    </row>
    <row r="108" spans="4:21" x14ac:dyDescent="0.15">
      <c r="D108" s="306" t="str">
        <f t="shared" si="43"/>
        <v xml:space="preserve"> </v>
      </c>
      <c r="G108" s="7" t="str">
        <f t="shared" si="44"/>
        <v xml:space="preserve"> </v>
      </c>
      <c r="H108" s="7" t="str">
        <f t="shared" si="45"/>
        <v xml:space="preserve"> </v>
      </c>
      <c r="I108" s="7" t="str">
        <f t="shared" si="46"/>
        <v xml:space="preserve"> </v>
      </c>
      <c r="J108" s="7" t="str">
        <f t="shared" si="47"/>
        <v xml:space="preserve"> </v>
      </c>
      <c r="K108" s="7" t="str">
        <f t="shared" si="48"/>
        <v xml:space="preserve"> </v>
      </c>
      <c r="L108" s="7" t="str">
        <f t="shared" si="49"/>
        <v xml:space="preserve"> </v>
      </c>
      <c r="M108" s="7" t="str">
        <f t="shared" si="50"/>
        <v xml:space="preserve"> </v>
      </c>
      <c r="N108" s="7" t="str">
        <f t="shared" si="51"/>
        <v xml:space="preserve"> </v>
      </c>
      <c r="O108" s="7" t="str">
        <f t="shared" si="52"/>
        <v xml:space="preserve"> </v>
      </c>
      <c r="P108" s="7" t="str">
        <f t="shared" si="53"/>
        <v xml:space="preserve"> </v>
      </c>
      <c r="Q108" s="7" t="str">
        <f t="shared" si="54"/>
        <v xml:space="preserve"> </v>
      </c>
      <c r="R108" s="7" t="str">
        <f t="shared" si="55"/>
        <v xml:space="preserve"> </v>
      </c>
      <c r="S108" s="7" t="str">
        <f t="shared" si="56"/>
        <v xml:space="preserve"> </v>
      </c>
      <c r="U108" s="306"/>
    </row>
    <row r="109" spans="4:21" x14ac:dyDescent="0.15">
      <c r="D109" s="306" t="str">
        <f t="shared" si="43"/>
        <v xml:space="preserve"> </v>
      </c>
      <c r="G109" s="7" t="str">
        <f t="shared" si="44"/>
        <v xml:space="preserve"> </v>
      </c>
      <c r="H109" s="7" t="str">
        <f t="shared" si="45"/>
        <v xml:space="preserve"> </v>
      </c>
      <c r="I109" s="7" t="str">
        <f t="shared" si="46"/>
        <v xml:space="preserve"> </v>
      </c>
      <c r="J109" s="7" t="str">
        <f t="shared" si="47"/>
        <v xml:space="preserve"> </v>
      </c>
      <c r="K109" s="7" t="str">
        <f t="shared" si="48"/>
        <v xml:space="preserve"> </v>
      </c>
      <c r="L109" s="7" t="str">
        <f t="shared" si="49"/>
        <v xml:space="preserve"> </v>
      </c>
      <c r="M109" s="7" t="str">
        <f t="shared" si="50"/>
        <v xml:space="preserve"> </v>
      </c>
      <c r="N109" s="7" t="str">
        <f t="shared" si="51"/>
        <v xml:space="preserve"> </v>
      </c>
      <c r="O109" s="7" t="str">
        <f t="shared" si="52"/>
        <v xml:space="preserve"> </v>
      </c>
      <c r="P109" s="7" t="str">
        <f t="shared" si="53"/>
        <v xml:space="preserve"> </v>
      </c>
      <c r="Q109" s="7" t="str">
        <f t="shared" si="54"/>
        <v xml:space="preserve"> </v>
      </c>
      <c r="R109" s="7" t="str">
        <f t="shared" si="55"/>
        <v xml:space="preserve"> </v>
      </c>
      <c r="S109" s="7" t="str">
        <f t="shared" si="56"/>
        <v xml:space="preserve"> </v>
      </c>
      <c r="U109" s="306"/>
    </row>
    <row r="110" spans="4:21" x14ac:dyDescent="0.15">
      <c r="D110" s="306" t="str">
        <f t="shared" si="43"/>
        <v xml:space="preserve"> </v>
      </c>
      <c r="G110" s="7" t="str">
        <f t="shared" si="44"/>
        <v xml:space="preserve"> </v>
      </c>
      <c r="H110" s="7" t="str">
        <f t="shared" si="45"/>
        <v xml:space="preserve"> </v>
      </c>
      <c r="I110" s="7" t="str">
        <f t="shared" si="46"/>
        <v xml:space="preserve"> </v>
      </c>
      <c r="J110" s="7" t="str">
        <f t="shared" si="47"/>
        <v xml:space="preserve"> </v>
      </c>
      <c r="K110" s="7" t="str">
        <f t="shared" si="48"/>
        <v xml:space="preserve"> </v>
      </c>
      <c r="L110" s="7" t="str">
        <f t="shared" si="49"/>
        <v xml:space="preserve"> </v>
      </c>
      <c r="M110" s="7" t="str">
        <f t="shared" si="50"/>
        <v xml:space="preserve"> </v>
      </c>
      <c r="N110" s="7" t="str">
        <f t="shared" si="51"/>
        <v xml:space="preserve"> </v>
      </c>
      <c r="O110" s="7" t="str">
        <f t="shared" si="52"/>
        <v xml:space="preserve"> </v>
      </c>
      <c r="P110" s="7" t="str">
        <f t="shared" si="53"/>
        <v xml:space="preserve"> </v>
      </c>
      <c r="Q110" s="7" t="str">
        <f t="shared" si="54"/>
        <v xml:space="preserve"> </v>
      </c>
      <c r="R110" s="7" t="str">
        <f t="shared" si="55"/>
        <v xml:space="preserve"> </v>
      </c>
      <c r="S110" s="7" t="str">
        <f t="shared" si="56"/>
        <v xml:space="preserve"> </v>
      </c>
      <c r="U110" s="306"/>
    </row>
    <row r="111" spans="4:21" x14ac:dyDescent="0.15">
      <c r="D111" s="306" t="str">
        <f t="shared" si="43"/>
        <v xml:space="preserve"> </v>
      </c>
      <c r="G111" s="7" t="str">
        <f t="shared" si="44"/>
        <v xml:space="preserve"> </v>
      </c>
      <c r="H111" s="7" t="str">
        <f t="shared" si="45"/>
        <v xml:space="preserve"> </v>
      </c>
      <c r="I111" s="7" t="str">
        <f t="shared" si="46"/>
        <v xml:space="preserve"> </v>
      </c>
      <c r="J111" s="7" t="str">
        <f t="shared" si="47"/>
        <v xml:space="preserve"> </v>
      </c>
      <c r="K111" s="7" t="str">
        <f t="shared" si="48"/>
        <v xml:space="preserve"> </v>
      </c>
      <c r="L111" s="7" t="str">
        <f t="shared" si="49"/>
        <v xml:space="preserve"> </v>
      </c>
      <c r="M111" s="7" t="str">
        <f t="shared" si="50"/>
        <v xml:space="preserve"> </v>
      </c>
      <c r="N111" s="7" t="str">
        <f t="shared" si="51"/>
        <v xml:space="preserve"> </v>
      </c>
      <c r="O111" s="7" t="str">
        <f t="shared" si="52"/>
        <v xml:space="preserve"> </v>
      </c>
      <c r="P111" s="7" t="str">
        <f t="shared" si="53"/>
        <v xml:space="preserve"> </v>
      </c>
      <c r="Q111" s="7" t="str">
        <f t="shared" si="54"/>
        <v xml:space="preserve"> </v>
      </c>
      <c r="R111" s="7" t="str">
        <f t="shared" si="55"/>
        <v xml:space="preserve"> </v>
      </c>
      <c r="S111" s="7" t="str">
        <f t="shared" si="56"/>
        <v xml:space="preserve"> </v>
      </c>
      <c r="U111" s="306"/>
    </row>
    <row r="112" spans="4:21" x14ac:dyDescent="0.15">
      <c r="D112" s="306" t="str">
        <f t="shared" si="43"/>
        <v xml:space="preserve"> </v>
      </c>
      <c r="G112" s="7" t="str">
        <f t="shared" si="44"/>
        <v xml:space="preserve"> </v>
      </c>
      <c r="H112" s="7" t="str">
        <f t="shared" si="45"/>
        <v xml:space="preserve"> </v>
      </c>
      <c r="I112" s="7" t="str">
        <f t="shared" si="46"/>
        <v xml:space="preserve"> </v>
      </c>
      <c r="J112" s="7" t="str">
        <f t="shared" si="47"/>
        <v xml:space="preserve"> </v>
      </c>
      <c r="K112" s="7" t="str">
        <f t="shared" si="48"/>
        <v xml:space="preserve"> </v>
      </c>
      <c r="L112" s="7" t="str">
        <f t="shared" si="49"/>
        <v xml:space="preserve"> </v>
      </c>
      <c r="M112" s="7" t="str">
        <f t="shared" si="50"/>
        <v xml:space="preserve"> </v>
      </c>
      <c r="N112" s="7" t="str">
        <f t="shared" si="51"/>
        <v xml:space="preserve"> </v>
      </c>
      <c r="O112" s="7" t="str">
        <f t="shared" si="52"/>
        <v xml:space="preserve"> </v>
      </c>
      <c r="P112" s="7" t="str">
        <f t="shared" si="53"/>
        <v xml:space="preserve"> </v>
      </c>
      <c r="Q112" s="7" t="str">
        <f t="shared" si="54"/>
        <v xml:space="preserve"> </v>
      </c>
      <c r="R112" s="7" t="str">
        <f t="shared" si="55"/>
        <v xml:space="preserve"> </v>
      </c>
      <c r="S112" s="7" t="str">
        <f t="shared" si="56"/>
        <v xml:space="preserve"> </v>
      </c>
      <c r="U112" s="306"/>
    </row>
    <row r="113" spans="4:21" x14ac:dyDescent="0.15">
      <c r="D113" s="306" t="str">
        <f t="shared" si="43"/>
        <v xml:space="preserve"> </v>
      </c>
      <c r="G113" s="7" t="str">
        <f t="shared" si="44"/>
        <v xml:space="preserve"> </v>
      </c>
      <c r="H113" s="7" t="str">
        <f t="shared" si="45"/>
        <v xml:space="preserve"> </v>
      </c>
      <c r="I113" s="7" t="str">
        <f t="shared" si="46"/>
        <v xml:space="preserve"> </v>
      </c>
      <c r="J113" s="7" t="str">
        <f t="shared" si="47"/>
        <v xml:space="preserve"> </v>
      </c>
      <c r="K113" s="7" t="str">
        <f t="shared" si="48"/>
        <v xml:space="preserve"> </v>
      </c>
      <c r="L113" s="7" t="str">
        <f t="shared" si="49"/>
        <v xml:space="preserve"> </v>
      </c>
      <c r="M113" s="7" t="str">
        <f t="shared" si="50"/>
        <v xml:space="preserve"> </v>
      </c>
      <c r="N113" s="7" t="str">
        <f t="shared" si="51"/>
        <v xml:space="preserve"> </v>
      </c>
      <c r="O113" s="7" t="str">
        <f t="shared" si="52"/>
        <v xml:space="preserve"> </v>
      </c>
      <c r="P113" s="7" t="str">
        <f t="shared" si="53"/>
        <v xml:space="preserve"> </v>
      </c>
      <c r="Q113" s="7" t="str">
        <f t="shared" si="54"/>
        <v xml:space="preserve"> </v>
      </c>
      <c r="R113" s="7" t="str">
        <f t="shared" si="55"/>
        <v xml:space="preserve"> </v>
      </c>
      <c r="S113" s="7" t="str">
        <f t="shared" si="56"/>
        <v xml:space="preserve"> </v>
      </c>
      <c r="U113" s="306"/>
    </row>
    <row r="114" spans="4:21" x14ac:dyDescent="0.15">
      <c r="D114" s="306" t="str">
        <f t="shared" si="43"/>
        <v xml:space="preserve"> </v>
      </c>
      <c r="G114" s="7" t="str">
        <f t="shared" si="44"/>
        <v xml:space="preserve"> </v>
      </c>
      <c r="H114" s="7" t="str">
        <f t="shared" si="45"/>
        <v xml:space="preserve"> </v>
      </c>
      <c r="I114" s="7" t="str">
        <f t="shared" si="46"/>
        <v xml:space="preserve"> </v>
      </c>
      <c r="J114" s="7" t="str">
        <f t="shared" si="47"/>
        <v xml:space="preserve"> </v>
      </c>
      <c r="K114" s="7" t="str">
        <f t="shared" si="48"/>
        <v xml:space="preserve"> </v>
      </c>
      <c r="L114" s="7" t="str">
        <f t="shared" si="49"/>
        <v xml:space="preserve"> </v>
      </c>
      <c r="M114" s="7" t="str">
        <f t="shared" si="50"/>
        <v xml:space="preserve"> </v>
      </c>
      <c r="N114" s="7" t="str">
        <f t="shared" si="51"/>
        <v xml:space="preserve"> </v>
      </c>
      <c r="O114" s="7" t="str">
        <f t="shared" si="52"/>
        <v xml:space="preserve"> </v>
      </c>
      <c r="P114" s="7" t="str">
        <f t="shared" si="53"/>
        <v xml:space="preserve"> </v>
      </c>
      <c r="Q114" s="7" t="str">
        <f t="shared" si="54"/>
        <v xml:space="preserve"> </v>
      </c>
      <c r="R114" s="7" t="str">
        <f t="shared" si="55"/>
        <v xml:space="preserve"> </v>
      </c>
      <c r="S114" s="7" t="str">
        <f t="shared" si="56"/>
        <v xml:space="preserve"> </v>
      </c>
      <c r="U114" s="306"/>
    </row>
    <row r="115" spans="4:21" x14ac:dyDescent="0.15">
      <c r="D115" s="306" t="str">
        <f t="shared" si="43"/>
        <v xml:space="preserve"> </v>
      </c>
      <c r="G115" s="7" t="str">
        <f t="shared" si="44"/>
        <v xml:space="preserve"> </v>
      </c>
      <c r="H115" s="7" t="str">
        <f t="shared" si="45"/>
        <v xml:space="preserve"> </v>
      </c>
      <c r="I115" s="7" t="str">
        <f t="shared" si="46"/>
        <v xml:space="preserve"> </v>
      </c>
      <c r="J115" s="7" t="str">
        <f t="shared" si="47"/>
        <v xml:space="preserve"> </v>
      </c>
      <c r="K115" s="7" t="str">
        <f t="shared" si="48"/>
        <v xml:space="preserve"> </v>
      </c>
      <c r="L115" s="7" t="str">
        <f t="shared" si="49"/>
        <v xml:space="preserve"> </v>
      </c>
      <c r="M115" s="7" t="str">
        <f t="shared" si="50"/>
        <v xml:space="preserve"> </v>
      </c>
      <c r="N115" s="7" t="str">
        <f t="shared" si="51"/>
        <v xml:space="preserve"> </v>
      </c>
      <c r="O115" s="7" t="str">
        <f t="shared" si="52"/>
        <v xml:space="preserve"> </v>
      </c>
      <c r="P115" s="7" t="str">
        <f t="shared" si="53"/>
        <v xml:space="preserve"> </v>
      </c>
      <c r="Q115" s="7" t="str">
        <f t="shared" si="54"/>
        <v xml:space="preserve"> </v>
      </c>
      <c r="R115" s="7" t="str">
        <f t="shared" si="55"/>
        <v xml:space="preserve"> </v>
      </c>
      <c r="S115" s="7" t="str">
        <f t="shared" si="56"/>
        <v xml:space="preserve"> </v>
      </c>
      <c r="U115" s="306"/>
    </row>
    <row r="116" spans="4:21" x14ac:dyDescent="0.15">
      <c r="D116" s="306" t="str">
        <f t="shared" si="43"/>
        <v xml:space="preserve"> </v>
      </c>
      <c r="G116" s="7" t="str">
        <f t="shared" si="44"/>
        <v xml:space="preserve"> </v>
      </c>
      <c r="H116" s="7" t="str">
        <f t="shared" si="45"/>
        <v xml:space="preserve"> </v>
      </c>
      <c r="I116" s="7" t="str">
        <f t="shared" si="46"/>
        <v xml:space="preserve"> </v>
      </c>
      <c r="J116" s="7" t="str">
        <f t="shared" si="47"/>
        <v xml:space="preserve"> </v>
      </c>
      <c r="K116" s="7" t="str">
        <f t="shared" si="48"/>
        <v xml:space="preserve"> </v>
      </c>
      <c r="L116" s="7" t="str">
        <f t="shared" si="49"/>
        <v xml:space="preserve"> </v>
      </c>
      <c r="M116" s="7" t="str">
        <f t="shared" si="50"/>
        <v xml:space="preserve"> </v>
      </c>
      <c r="N116" s="7" t="str">
        <f t="shared" si="51"/>
        <v xml:space="preserve"> </v>
      </c>
      <c r="O116" s="7" t="str">
        <f t="shared" si="52"/>
        <v xml:space="preserve"> </v>
      </c>
      <c r="P116" s="7" t="str">
        <f t="shared" si="53"/>
        <v xml:space="preserve"> </v>
      </c>
      <c r="Q116" s="7" t="str">
        <f t="shared" si="54"/>
        <v xml:space="preserve"> </v>
      </c>
      <c r="R116" s="7" t="str">
        <f t="shared" si="55"/>
        <v xml:space="preserve"> </v>
      </c>
      <c r="S116" s="7" t="str">
        <f t="shared" si="56"/>
        <v xml:space="preserve"> </v>
      </c>
      <c r="U116" s="306"/>
    </row>
    <row r="117" spans="4:21" x14ac:dyDescent="0.15">
      <c r="D117" s="306" t="str">
        <f t="shared" si="43"/>
        <v xml:space="preserve"> </v>
      </c>
      <c r="G117" s="7" t="str">
        <f t="shared" si="44"/>
        <v xml:space="preserve"> </v>
      </c>
      <c r="H117" s="7" t="str">
        <f t="shared" si="45"/>
        <v xml:space="preserve"> </v>
      </c>
      <c r="I117" s="7" t="str">
        <f t="shared" si="46"/>
        <v xml:space="preserve"> </v>
      </c>
      <c r="J117" s="7" t="str">
        <f t="shared" si="47"/>
        <v xml:space="preserve"> </v>
      </c>
      <c r="K117" s="7" t="str">
        <f t="shared" si="48"/>
        <v xml:space="preserve"> </v>
      </c>
      <c r="L117" s="7" t="str">
        <f t="shared" si="49"/>
        <v xml:space="preserve"> </v>
      </c>
      <c r="M117" s="7" t="str">
        <f t="shared" si="50"/>
        <v xml:space="preserve"> </v>
      </c>
      <c r="N117" s="7" t="str">
        <f t="shared" si="51"/>
        <v xml:space="preserve"> </v>
      </c>
      <c r="O117" s="7" t="str">
        <f t="shared" si="52"/>
        <v xml:space="preserve"> </v>
      </c>
      <c r="P117" s="7" t="str">
        <f t="shared" si="53"/>
        <v xml:space="preserve"> </v>
      </c>
      <c r="Q117" s="7" t="str">
        <f t="shared" si="54"/>
        <v xml:space="preserve"> </v>
      </c>
      <c r="R117" s="7" t="str">
        <f t="shared" si="55"/>
        <v xml:space="preserve"> </v>
      </c>
      <c r="S117" s="7" t="str">
        <f t="shared" si="56"/>
        <v xml:space="preserve"> </v>
      </c>
      <c r="U117" s="306"/>
    </row>
    <row r="118" spans="4:21" x14ac:dyDescent="0.15">
      <c r="D118" s="306" t="str">
        <f t="shared" si="43"/>
        <v xml:space="preserve"> </v>
      </c>
      <c r="G118" s="7" t="str">
        <f t="shared" si="44"/>
        <v xml:space="preserve"> </v>
      </c>
      <c r="H118" s="7" t="str">
        <f t="shared" si="45"/>
        <v xml:space="preserve"> </v>
      </c>
      <c r="I118" s="7" t="str">
        <f t="shared" si="46"/>
        <v xml:space="preserve"> </v>
      </c>
      <c r="J118" s="7" t="str">
        <f t="shared" si="47"/>
        <v xml:space="preserve"> </v>
      </c>
      <c r="K118" s="7" t="str">
        <f t="shared" si="48"/>
        <v xml:space="preserve"> </v>
      </c>
      <c r="L118" s="7" t="str">
        <f t="shared" si="49"/>
        <v xml:space="preserve"> </v>
      </c>
      <c r="M118" s="7" t="str">
        <f t="shared" si="50"/>
        <v xml:space="preserve"> </v>
      </c>
      <c r="N118" s="7" t="str">
        <f t="shared" si="51"/>
        <v xml:space="preserve"> </v>
      </c>
      <c r="O118" s="7" t="str">
        <f t="shared" si="52"/>
        <v xml:space="preserve"> </v>
      </c>
      <c r="P118" s="7" t="str">
        <f t="shared" si="53"/>
        <v xml:space="preserve"> </v>
      </c>
      <c r="Q118" s="7" t="str">
        <f t="shared" si="54"/>
        <v xml:space="preserve"> </v>
      </c>
      <c r="R118" s="7" t="str">
        <f t="shared" si="55"/>
        <v xml:space="preserve"> </v>
      </c>
      <c r="S118" s="7" t="str">
        <f t="shared" si="56"/>
        <v xml:space="preserve"> </v>
      </c>
      <c r="U118" s="306"/>
    </row>
    <row r="119" spans="4:21" x14ac:dyDescent="0.15">
      <c r="D119" s="306" t="str">
        <f t="shared" si="43"/>
        <v xml:space="preserve"> </v>
      </c>
      <c r="G119" s="7" t="str">
        <f t="shared" si="44"/>
        <v xml:space="preserve"> </v>
      </c>
      <c r="H119" s="7" t="str">
        <f t="shared" si="45"/>
        <v xml:space="preserve"> </v>
      </c>
      <c r="I119" s="7" t="str">
        <f t="shared" si="46"/>
        <v xml:space="preserve"> </v>
      </c>
      <c r="J119" s="7" t="str">
        <f t="shared" si="47"/>
        <v xml:space="preserve"> </v>
      </c>
      <c r="K119" s="7" t="str">
        <f t="shared" si="48"/>
        <v xml:space="preserve"> </v>
      </c>
      <c r="L119" s="7" t="str">
        <f t="shared" si="49"/>
        <v xml:space="preserve"> </v>
      </c>
      <c r="M119" s="7" t="str">
        <f t="shared" si="50"/>
        <v xml:space="preserve"> </v>
      </c>
      <c r="N119" s="7" t="str">
        <f t="shared" si="51"/>
        <v xml:space="preserve"> </v>
      </c>
      <c r="O119" s="7" t="str">
        <f t="shared" si="52"/>
        <v xml:space="preserve"> </v>
      </c>
      <c r="P119" s="7" t="str">
        <f t="shared" si="53"/>
        <v xml:space="preserve"> </v>
      </c>
      <c r="Q119" s="7" t="str">
        <f t="shared" si="54"/>
        <v xml:space="preserve"> </v>
      </c>
      <c r="R119" s="7" t="str">
        <f t="shared" si="55"/>
        <v xml:space="preserve"> </v>
      </c>
      <c r="S119" s="7" t="str">
        <f t="shared" si="56"/>
        <v xml:space="preserve"> </v>
      </c>
      <c r="U119" s="306"/>
    </row>
    <row r="120" spans="4:21" x14ac:dyDescent="0.15">
      <c r="D120" s="306" t="str">
        <f t="shared" si="43"/>
        <v xml:space="preserve"> </v>
      </c>
      <c r="G120" s="7" t="str">
        <f t="shared" si="44"/>
        <v xml:space="preserve"> </v>
      </c>
      <c r="H120" s="7" t="str">
        <f t="shared" si="45"/>
        <v xml:space="preserve"> </v>
      </c>
      <c r="I120" s="7" t="str">
        <f t="shared" si="46"/>
        <v xml:space="preserve"> </v>
      </c>
      <c r="J120" s="7" t="str">
        <f t="shared" si="47"/>
        <v xml:space="preserve"> </v>
      </c>
      <c r="K120" s="7" t="str">
        <f t="shared" si="48"/>
        <v xml:space="preserve"> </v>
      </c>
      <c r="L120" s="7" t="str">
        <f t="shared" si="49"/>
        <v xml:space="preserve"> </v>
      </c>
      <c r="M120" s="7" t="str">
        <f t="shared" si="50"/>
        <v xml:space="preserve"> </v>
      </c>
      <c r="N120" s="7" t="str">
        <f t="shared" si="51"/>
        <v xml:space="preserve"> </v>
      </c>
      <c r="O120" s="7" t="str">
        <f t="shared" si="52"/>
        <v xml:space="preserve"> </v>
      </c>
      <c r="P120" s="7" t="str">
        <f t="shared" si="53"/>
        <v xml:space="preserve"> </v>
      </c>
      <c r="Q120" s="7" t="str">
        <f t="shared" si="54"/>
        <v xml:space="preserve"> </v>
      </c>
      <c r="R120" s="7" t="str">
        <f t="shared" si="55"/>
        <v xml:space="preserve"> </v>
      </c>
      <c r="S120" s="7" t="str">
        <f t="shared" si="56"/>
        <v xml:space="preserve"> </v>
      </c>
      <c r="U120" s="306"/>
    </row>
    <row r="121" spans="4:21" x14ac:dyDescent="0.15">
      <c r="D121" s="306" t="str">
        <f t="shared" si="43"/>
        <v xml:space="preserve"> </v>
      </c>
      <c r="G121" s="7" t="str">
        <f t="shared" si="44"/>
        <v xml:space="preserve"> </v>
      </c>
      <c r="H121" s="7" t="str">
        <f t="shared" si="45"/>
        <v xml:space="preserve"> </v>
      </c>
      <c r="I121" s="7" t="str">
        <f t="shared" si="46"/>
        <v xml:space="preserve"> </v>
      </c>
      <c r="J121" s="7" t="str">
        <f t="shared" si="47"/>
        <v xml:space="preserve"> </v>
      </c>
      <c r="K121" s="7" t="str">
        <f t="shared" si="48"/>
        <v xml:space="preserve"> </v>
      </c>
      <c r="L121" s="7" t="str">
        <f t="shared" si="49"/>
        <v xml:space="preserve"> </v>
      </c>
      <c r="M121" s="7" t="str">
        <f t="shared" si="50"/>
        <v xml:space="preserve"> </v>
      </c>
      <c r="N121" s="7" t="str">
        <f t="shared" si="51"/>
        <v xml:space="preserve"> </v>
      </c>
      <c r="O121" s="7" t="str">
        <f t="shared" si="52"/>
        <v xml:space="preserve"> </v>
      </c>
      <c r="P121" s="7" t="str">
        <f t="shared" si="53"/>
        <v xml:space="preserve"> </v>
      </c>
      <c r="Q121" s="7" t="str">
        <f t="shared" si="54"/>
        <v xml:space="preserve"> </v>
      </c>
      <c r="R121" s="7" t="str">
        <f t="shared" si="55"/>
        <v xml:space="preserve"> </v>
      </c>
      <c r="S121" s="7" t="str">
        <f t="shared" si="56"/>
        <v xml:space="preserve"> </v>
      </c>
      <c r="U121" s="306"/>
    </row>
    <row r="122" spans="4:21" x14ac:dyDescent="0.15">
      <c r="D122" s="306" t="str">
        <f t="shared" si="43"/>
        <v xml:space="preserve"> </v>
      </c>
      <c r="G122" s="7" t="str">
        <f t="shared" si="44"/>
        <v xml:space="preserve"> </v>
      </c>
      <c r="H122" s="7" t="str">
        <f t="shared" si="45"/>
        <v xml:space="preserve"> </v>
      </c>
      <c r="I122" s="7" t="str">
        <f t="shared" si="46"/>
        <v xml:space="preserve"> </v>
      </c>
      <c r="J122" s="7" t="str">
        <f t="shared" si="47"/>
        <v xml:space="preserve"> </v>
      </c>
      <c r="K122" s="7" t="str">
        <f t="shared" si="48"/>
        <v xml:space="preserve"> </v>
      </c>
      <c r="L122" s="7" t="str">
        <f t="shared" si="49"/>
        <v xml:space="preserve"> </v>
      </c>
      <c r="M122" s="7" t="str">
        <f t="shared" si="50"/>
        <v xml:space="preserve"> </v>
      </c>
      <c r="N122" s="7" t="str">
        <f t="shared" si="51"/>
        <v xml:space="preserve"> </v>
      </c>
      <c r="O122" s="7" t="str">
        <f t="shared" si="52"/>
        <v xml:space="preserve"> </v>
      </c>
      <c r="P122" s="7" t="str">
        <f t="shared" si="53"/>
        <v xml:space="preserve"> </v>
      </c>
      <c r="Q122" s="7" t="str">
        <f t="shared" si="54"/>
        <v xml:space="preserve"> </v>
      </c>
      <c r="R122" s="7" t="str">
        <f t="shared" si="55"/>
        <v xml:space="preserve"> </v>
      </c>
      <c r="S122" s="7" t="str">
        <f t="shared" si="56"/>
        <v xml:space="preserve"> </v>
      </c>
      <c r="U122" s="306"/>
    </row>
    <row r="123" spans="4:21" x14ac:dyDescent="0.15">
      <c r="D123" s="306" t="str">
        <f t="shared" si="43"/>
        <v xml:space="preserve"> </v>
      </c>
      <c r="G123" s="7" t="str">
        <f t="shared" si="44"/>
        <v xml:space="preserve"> </v>
      </c>
      <c r="H123" s="7" t="str">
        <f t="shared" si="45"/>
        <v xml:space="preserve"> </v>
      </c>
      <c r="I123" s="7" t="str">
        <f t="shared" si="46"/>
        <v xml:space="preserve"> </v>
      </c>
      <c r="J123" s="7" t="str">
        <f t="shared" si="47"/>
        <v xml:space="preserve"> </v>
      </c>
      <c r="K123" s="7" t="str">
        <f t="shared" si="48"/>
        <v xml:space="preserve"> </v>
      </c>
      <c r="L123" s="7" t="str">
        <f t="shared" si="49"/>
        <v xml:space="preserve"> </v>
      </c>
      <c r="M123" s="7" t="str">
        <f t="shared" si="50"/>
        <v xml:space="preserve"> </v>
      </c>
      <c r="N123" s="7" t="str">
        <f t="shared" si="51"/>
        <v xml:space="preserve"> </v>
      </c>
      <c r="O123" s="7" t="str">
        <f t="shared" si="52"/>
        <v xml:space="preserve"> </v>
      </c>
      <c r="P123" s="7" t="str">
        <f t="shared" si="53"/>
        <v xml:space="preserve"> </v>
      </c>
      <c r="Q123" s="7" t="str">
        <f t="shared" si="54"/>
        <v xml:space="preserve"> </v>
      </c>
      <c r="R123" s="7" t="str">
        <f t="shared" si="55"/>
        <v xml:space="preserve"> </v>
      </c>
      <c r="S123" s="7" t="str">
        <f t="shared" si="56"/>
        <v xml:space="preserve"> </v>
      </c>
      <c r="U123" s="306"/>
    </row>
    <row r="124" spans="4:21" x14ac:dyDescent="0.15">
      <c r="D124" s="306" t="str">
        <f t="shared" si="43"/>
        <v xml:space="preserve"> </v>
      </c>
      <c r="G124" s="7" t="str">
        <f t="shared" si="44"/>
        <v xml:space="preserve"> </v>
      </c>
      <c r="H124" s="7" t="str">
        <f t="shared" si="45"/>
        <v xml:space="preserve"> </v>
      </c>
      <c r="I124" s="7" t="str">
        <f t="shared" si="46"/>
        <v xml:space="preserve"> </v>
      </c>
      <c r="J124" s="7" t="str">
        <f t="shared" si="47"/>
        <v xml:space="preserve"> </v>
      </c>
      <c r="K124" s="7" t="str">
        <f t="shared" si="48"/>
        <v xml:space="preserve"> </v>
      </c>
      <c r="L124" s="7" t="str">
        <f t="shared" si="49"/>
        <v xml:space="preserve"> </v>
      </c>
      <c r="M124" s="7" t="str">
        <f t="shared" si="50"/>
        <v xml:space="preserve"> </v>
      </c>
      <c r="N124" s="7" t="str">
        <f t="shared" si="51"/>
        <v xml:space="preserve"> </v>
      </c>
      <c r="O124" s="7" t="str">
        <f t="shared" si="52"/>
        <v xml:space="preserve"> </v>
      </c>
      <c r="P124" s="7" t="str">
        <f t="shared" si="53"/>
        <v xml:space="preserve"> </v>
      </c>
      <c r="Q124" s="7" t="str">
        <f t="shared" si="54"/>
        <v xml:space="preserve"> </v>
      </c>
      <c r="R124" s="7" t="str">
        <f t="shared" si="55"/>
        <v xml:space="preserve"> </v>
      </c>
      <c r="S124" s="7" t="str">
        <f t="shared" si="56"/>
        <v xml:space="preserve"> </v>
      </c>
      <c r="U124" s="306"/>
    </row>
    <row r="125" spans="4:21" x14ac:dyDescent="0.15">
      <c r="D125" s="306" t="str">
        <f t="shared" si="43"/>
        <v xml:space="preserve"> </v>
      </c>
      <c r="G125" s="7" t="str">
        <f t="shared" si="44"/>
        <v xml:space="preserve"> </v>
      </c>
      <c r="H125" s="7" t="str">
        <f t="shared" si="45"/>
        <v xml:space="preserve"> </v>
      </c>
      <c r="I125" s="7" t="str">
        <f t="shared" si="46"/>
        <v xml:space="preserve"> </v>
      </c>
      <c r="J125" s="7" t="str">
        <f t="shared" si="47"/>
        <v xml:space="preserve"> </v>
      </c>
      <c r="K125" s="7" t="str">
        <f t="shared" si="48"/>
        <v xml:space="preserve"> </v>
      </c>
      <c r="L125" s="7" t="str">
        <f t="shared" si="49"/>
        <v xml:space="preserve"> </v>
      </c>
      <c r="M125" s="7" t="str">
        <f t="shared" si="50"/>
        <v xml:space="preserve"> </v>
      </c>
      <c r="N125" s="7" t="str">
        <f t="shared" si="51"/>
        <v xml:space="preserve"> </v>
      </c>
      <c r="O125" s="7" t="str">
        <f t="shared" si="52"/>
        <v xml:space="preserve"> </v>
      </c>
      <c r="P125" s="7" t="str">
        <f t="shared" si="53"/>
        <v xml:space="preserve"> </v>
      </c>
      <c r="Q125" s="7" t="str">
        <f t="shared" si="54"/>
        <v xml:space="preserve"> </v>
      </c>
      <c r="R125" s="7" t="str">
        <f t="shared" si="55"/>
        <v xml:space="preserve"> </v>
      </c>
      <c r="S125" s="7" t="str">
        <f t="shared" si="56"/>
        <v xml:space="preserve"> </v>
      </c>
      <c r="U125" s="306"/>
    </row>
    <row r="126" spans="4:21" x14ac:dyDescent="0.15">
      <c r="D126" s="306" t="str">
        <f t="shared" si="43"/>
        <v xml:space="preserve"> </v>
      </c>
      <c r="G126" s="7" t="str">
        <f t="shared" si="44"/>
        <v xml:space="preserve"> </v>
      </c>
      <c r="H126" s="7" t="str">
        <f t="shared" si="45"/>
        <v xml:space="preserve"> </v>
      </c>
      <c r="I126" s="7" t="str">
        <f t="shared" si="46"/>
        <v xml:space="preserve"> </v>
      </c>
      <c r="J126" s="7" t="str">
        <f t="shared" si="47"/>
        <v xml:space="preserve"> </v>
      </c>
      <c r="K126" s="7" t="str">
        <f t="shared" si="48"/>
        <v xml:space="preserve"> </v>
      </c>
      <c r="L126" s="7" t="str">
        <f t="shared" si="49"/>
        <v xml:space="preserve"> </v>
      </c>
      <c r="M126" s="7" t="str">
        <f t="shared" si="50"/>
        <v xml:space="preserve"> </v>
      </c>
      <c r="N126" s="7" t="str">
        <f t="shared" si="51"/>
        <v xml:space="preserve"> </v>
      </c>
      <c r="O126" s="7" t="str">
        <f t="shared" si="52"/>
        <v xml:space="preserve"> </v>
      </c>
      <c r="P126" s="7" t="str">
        <f t="shared" si="53"/>
        <v xml:space="preserve"> </v>
      </c>
      <c r="Q126" s="7" t="str">
        <f t="shared" si="54"/>
        <v xml:space="preserve"> </v>
      </c>
      <c r="R126" s="7" t="str">
        <f t="shared" si="55"/>
        <v xml:space="preserve"> </v>
      </c>
      <c r="S126" s="7" t="str">
        <f t="shared" si="56"/>
        <v xml:space="preserve"> </v>
      </c>
      <c r="U126" s="306"/>
    </row>
    <row r="127" spans="4:21" x14ac:dyDescent="0.15">
      <c r="D127" s="306" t="str">
        <f t="shared" si="43"/>
        <v xml:space="preserve"> </v>
      </c>
      <c r="G127" s="7" t="str">
        <f t="shared" si="44"/>
        <v xml:space="preserve"> </v>
      </c>
      <c r="H127" s="7" t="str">
        <f t="shared" si="45"/>
        <v xml:space="preserve"> </v>
      </c>
      <c r="I127" s="7" t="str">
        <f t="shared" si="46"/>
        <v xml:space="preserve"> </v>
      </c>
      <c r="J127" s="7" t="str">
        <f t="shared" si="47"/>
        <v xml:space="preserve"> </v>
      </c>
      <c r="K127" s="7" t="str">
        <f t="shared" si="48"/>
        <v xml:space="preserve"> </v>
      </c>
      <c r="L127" s="7" t="str">
        <f t="shared" si="49"/>
        <v xml:space="preserve"> </v>
      </c>
      <c r="M127" s="7" t="str">
        <f t="shared" si="50"/>
        <v xml:space="preserve"> </v>
      </c>
      <c r="N127" s="7" t="str">
        <f t="shared" si="51"/>
        <v xml:space="preserve"> </v>
      </c>
      <c r="O127" s="7" t="str">
        <f t="shared" si="52"/>
        <v xml:space="preserve"> </v>
      </c>
      <c r="P127" s="7" t="str">
        <f t="shared" si="53"/>
        <v xml:space="preserve"> </v>
      </c>
      <c r="Q127" s="7" t="str">
        <f t="shared" si="54"/>
        <v xml:space="preserve"> </v>
      </c>
      <c r="R127" s="7" t="str">
        <f t="shared" si="55"/>
        <v xml:space="preserve"> </v>
      </c>
      <c r="S127" s="7" t="str">
        <f t="shared" si="56"/>
        <v xml:space="preserve"> </v>
      </c>
      <c r="U127" s="306"/>
    </row>
    <row r="128" spans="4:21" x14ac:dyDescent="0.15">
      <c r="D128" s="306" t="str">
        <f t="shared" si="43"/>
        <v xml:space="preserve"> </v>
      </c>
      <c r="G128" s="7" t="str">
        <f t="shared" si="44"/>
        <v xml:space="preserve"> </v>
      </c>
      <c r="H128" s="7" t="str">
        <f t="shared" si="45"/>
        <v xml:space="preserve"> </v>
      </c>
      <c r="I128" s="7" t="str">
        <f t="shared" si="46"/>
        <v xml:space="preserve"> </v>
      </c>
      <c r="J128" s="7" t="str">
        <f t="shared" si="47"/>
        <v xml:space="preserve"> </v>
      </c>
      <c r="K128" s="7" t="str">
        <f t="shared" si="48"/>
        <v xml:space="preserve"> </v>
      </c>
      <c r="L128" s="7" t="str">
        <f t="shared" si="49"/>
        <v xml:space="preserve"> </v>
      </c>
      <c r="M128" s="7" t="str">
        <f t="shared" si="50"/>
        <v xml:space="preserve"> </v>
      </c>
      <c r="N128" s="7" t="str">
        <f t="shared" si="51"/>
        <v xml:space="preserve"> </v>
      </c>
      <c r="O128" s="7" t="str">
        <f t="shared" si="52"/>
        <v xml:space="preserve"> </v>
      </c>
      <c r="P128" s="7" t="str">
        <f t="shared" si="53"/>
        <v xml:space="preserve"> </v>
      </c>
      <c r="Q128" s="7" t="str">
        <f t="shared" si="54"/>
        <v xml:space="preserve"> </v>
      </c>
      <c r="R128" s="7" t="str">
        <f t="shared" si="55"/>
        <v xml:space="preserve"> </v>
      </c>
      <c r="S128" s="7" t="str">
        <f t="shared" si="56"/>
        <v xml:space="preserve"> </v>
      </c>
      <c r="U128" s="306"/>
    </row>
    <row r="129" spans="4:21" x14ac:dyDescent="0.15">
      <c r="D129" s="306" t="str">
        <f t="shared" si="43"/>
        <v xml:space="preserve"> </v>
      </c>
      <c r="G129" s="7" t="str">
        <f t="shared" si="44"/>
        <v xml:space="preserve"> </v>
      </c>
      <c r="H129" s="7" t="str">
        <f t="shared" si="45"/>
        <v xml:space="preserve"> </v>
      </c>
      <c r="I129" s="7" t="str">
        <f t="shared" si="46"/>
        <v xml:space="preserve"> </v>
      </c>
      <c r="J129" s="7" t="str">
        <f t="shared" si="47"/>
        <v xml:space="preserve"> </v>
      </c>
      <c r="K129" s="7" t="str">
        <f t="shared" si="48"/>
        <v xml:space="preserve"> </v>
      </c>
      <c r="L129" s="7" t="str">
        <f t="shared" si="49"/>
        <v xml:space="preserve"> </v>
      </c>
      <c r="M129" s="7" t="str">
        <f t="shared" si="50"/>
        <v xml:space="preserve"> </v>
      </c>
      <c r="N129" s="7" t="str">
        <f t="shared" si="51"/>
        <v xml:space="preserve"> </v>
      </c>
      <c r="O129" s="7" t="str">
        <f t="shared" si="52"/>
        <v xml:space="preserve"> </v>
      </c>
      <c r="P129" s="7" t="str">
        <f t="shared" si="53"/>
        <v xml:space="preserve"> </v>
      </c>
      <c r="Q129" s="7" t="str">
        <f t="shared" si="54"/>
        <v xml:space="preserve"> </v>
      </c>
      <c r="R129" s="7" t="str">
        <f t="shared" si="55"/>
        <v xml:space="preserve"> </v>
      </c>
      <c r="S129" s="7" t="str">
        <f t="shared" si="56"/>
        <v xml:space="preserve"> </v>
      </c>
      <c r="U129" s="306"/>
    </row>
    <row r="130" spans="4:21" x14ac:dyDescent="0.15">
      <c r="D130" s="306" t="str">
        <f t="shared" si="43"/>
        <v xml:space="preserve"> </v>
      </c>
      <c r="G130" s="7" t="str">
        <f t="shared" si="44"/>
        <v xml:space="preserve"> </v>
      </c>
      <c r="H130" s="7" t="str">
        <f t="shared" si="45"/>
        <v xml:space="preserve"> </v>
      </c>
      <c r="I130" s="7" t="str">
        <f t="shared" si="46"/>
        <v xml:space="preserve"> </v>
      </c>
      <c r="J130" s="7" t="str">
        <f t="shared" si="47"/>
        <v xml:space="preserve"> </v>
      </c>
      <c r="K130" s="7" t="str">
        <f t="shared" si="48"/>
        <v xml:space="preserve"> </v>
      </c>
      <c r="L130" s="7" t="str">
        <f t="shared" si="49"/>
        <v xml:space="preserve"> </v>
      </c>
      <c r="M130" s="7" t="str">
        <f t="shared" si="50"/>
        <v xml:space="preserve"> </v>
      </c>
      <c r="N130" s="7" t="str">
        <f t="shared" si="51"/>
        <v xml:space="preserve"> </v>
      </c>
      <c r="O130" s="7" t="str">
        <f t="shared" si="52"/>
        <v xml:space="preserve"> </v>
      </c>
      <c r="P130" s="7" t="str">
        <f t="shared" si="53"/>
        <v xml:space="preserve"> </v>
      </c>
      <c r="Q130" s="7" t="str">
        <f t="shared" si="54"/>
        <v xml:space="preserve"> </v>
      </c>
      <c r="R130" s="7" t="str">
        <f t="shared" si="55"/>
        <v xml:space="preserve"> </v>
      </c>
      <c r="S130" s="7" t="str">
        <f t="shared" si="56"/>
        <v xml:space="preserve"> </v>
      </c>
      <c r="U130" s="306"/>
    </row>
    <row r="131" spans="4:21" x14ac:dyDescent="0.15">
      <c r="D131" s="306" t="str">
        <f t="shared" si="43"/>
        <v xml:space="preserve"> </v>
      </c>
      <c r="G131" s="7" t="str">
        <f t="shared" si="44"/>
        <v xml:space="preserve"> </v>
      </c>
      <c r="H131" s="7" t="str">
        <f t="shared" si="45"/>
        <v xml:space="preserve"> </v>
      </c>
      <c r="I131" s="7" t="str">
        <f t="shared" si="46"/>
        <v xml:space="preserve"> </v>
      </c>
      <c r="J131" s="7" t="str">
        <f t="shared" si="47"/>
        <v xml:space="preserve"> </v>
      </c>
      <c r="K131" s="7" t="str">
        <f t="shared" si="48"/>
        <v xml:space="preserve"> </v>
      </c>
      <c r="L131" s="7" t="str">
        <f t="shared" si="49"/>
        <v xml:space="preserve"> </v>
      </c>
      <c r="M131" s="7" t="str">
        <f t="shared" si="50"/>
        <v xml:space="preserve"> </v>
      </c>
      <c r="N131" s="7" t="str">
        <f t="shared" si="51"/>
        <v xml:space="preserve"> </v>
      </c>
      <c r="O131" s="7" t="str">
        <f t="shared" si="52"/>
        <v xml:space="preserve"> </v>
      </c>
      <c r="P131" s="7" t="str">
        <f t="shared" si="53"/>
        <v xml:space="preserve"> </v>
      </c>
      <c r="Q131" s="7" t="str">
        <f t="shared" si="54"/>
        <v xml:space="preserve"> </v>
      </c>
      <c r="R131" s="7" t="str">
        <f t="shared" si="55"/>
        <v xml:space="preserve"> </v>
      </c>
      <c r="S131" s="7" t="str">
        <f t="shared" si="56"/>
        <v xml:space="preserve"> </v>
      </c>
      <c r="U131" s="306"/>
    </row>
    <row r="132" spans="4:21" x14ac:dyDescent="0.15">
      <c r="D132" s="306" t="str">
        <f t="shared" si="43"/>
        <v xml:space="preserve"> </v>
      </c>
      <c r="G132" s="7" t="str">
        <f t="shared" si="44"/>
        <v xml:space="preserve"> </v>
      </c>
      <c r="H132" s="7" t="str">
        <f t="shared" si="45"/>
        <v xml:space="preserve"> </v>
      </c>
      <c r="I132" s="7" t="str">
        <f t="shared" si="46"/>
        <v xml:space="preserve"> </v>
      </c>
      <c r="J132" s="7" t="str">
        <f t="shared" si="47"/>
        <v xml:space="preserve"> </v>
      </c>
      <c r="K132" s="7" t="str">
        <f t="shared" si="48"/>
        <v xml:space="preserve"> </v>
      </c>
      <c r="L132" s="7" t="str">
        <f t="shared" si="49"/>
        <v xml:space="preserve"> </v>
      </c>
      <c r="M132" s="7" t="str">
        <f t="shared" si="50"/>
        <v xml:space="preserve"> </v>
      </c>
      <c r="N132" s="7" t="str">
        <f t="shared" si="51"/>
        <v xml:space="preserve"> </v>
      </c>
      <c r="O132" s="7" t="str">
        <f t="shared" si="52"/>
        <v xml:space="preserve"> </v>
      </c>
      <c r="P132" s="7" t="str">
        <f t="shared" si="53"/>
        <v xml:space="preserve"> </v>
      </c>
      <c r="Q132" s="7" t="str">
        <f t="shared" si="54"/>
        <v xml:space="preserve"> </v>
      </c>
      <c r="R132" s="7" t="str">
        <f t="shared" si="55"/>
        <v xml:space="preserve"> </v>
      </c>
      <c r="S132" s="7" t="str">
        <f t="shared" si="56"/>
        <v xml:space="preserve"> </v>
      </c>
      <c r="U132" s="306"/>
    </row>
    <row r="133" spans="4:21" x14ac:dyDescent="0.15">
      <c r="D133" s="306" t="str">
        <f t="shared" ref="D133:D164" si="57">IF((F133&lt;&gt;0),"Enter Letter"," ")</f>
        <v xml:space="preserve"> </v>
      </c>
      <c r="G133" s="7" t="str">
        <f t="shared" ref="G133:G164" si="58">IF((D133="d"),F133," ")</f>
        <v xml:space="preserve"> </v>
      </c>
      <c r="H133" s="7" t="str">
        <f t="shared" ref="H133:H164" si="59">IF((D133="h"),F133," ")</f>
        <v xml:space="preserve"> </v>
      </c>
      <c r="I133" s="7" t="str">
        <f t="shared" ref="I133:I164" si="60">IF((D133="r"),F133," ")</f>
        <v xml:space="preserve"> </v>
      </c>
      <c r="J133" s="7" t="str">
        <f t="shared" ref="J133:J164" si="61">IF((D133="t"),F133," ")</f>
        <v xml:space="preserve"> </v>
      </c>
      <c r="K133" s="7" t="str">
        <f t="shared" ref="K133:K164" si="62">IF((D133="e"),F133," ")</f>
        <v xml:space="preserve"> </v>
      </c>
      <c r="L133" s="7" t="str">
        <f t="shared" ref="L133:L164" si="63">IF((D133="p"),F133," ")</f>
        <v xml:space="preserve"> </v>
      </c>
      <c r="M133" s="7" t="str">
        <f t="shared" ref="M133:M164" si="64">IF((D133="g"),F133," ")</f>
        <v xml:space="preserve"> </v>
      </c>
      <c r="N133" s="7" t="str">
        <f t="shared" ref="N133:N164" si="65">IF((D133="a"),F133," ")</f>
        <v xml:space="preserve"> </v>
      </c>
      <c r="O133" s="7" t="str">
        <f t="shared" ref="O133:O164" si="66">IF((D133="l"),F133," ")</f>
        <v xml:space="preserve"> </v>
      </c>
      <c r="P133" s="7" t="str">
        <f t="shared" ref="P133:P164" si="67">IF((D133="i"),F133," ")</f>
        <v xml:space="preserve"> </v>
      </c>
      <c r="Q133" s="7" t="str">
        <f t="shared" ref="Q133:Q164" si="68">IF((D133="b"),F133," ")</f>
        <v xml:space="preserve"> </v>
      </c>
      <c r="R133" s="7" t="str">
        <f t="shared" ref="R133:R164" si="69">IF((D133="o"),F133," ")</f>
        <v xml:space="preserve"> </v>
      </c>
      <c r="S133" s="7" t="str">
        <f t="shared" ref="S133:S164" si="70">IF((D133="f"),F133," ")</f>
        <v xml:space="preserve"> </v>
      </c>
      <c r="U133" s="306"/>
    </row>
    <row r="134" spans="4:21" x14ac:dyDescent="0.15">
      <c r="D134" s="306" t="str">
        <f t="shared" si="57"/>
        <v xml:space="preserve"> </v>
      </c>
      <c r="G134" s="7" t="str">
        <f t="shared" si="58"/>
        <v xml:space="preserve"> </v>
      </c>
      <c r="H134" s="7" t="str">
        <f t="shared" si="59"/>
        <v xml:space="preserve"> </v>
      </c>
      <c r="I134" s="7" t="str">
        <f t="shared" si="60"/>
        <v xml:space="preserve"> </v>
      </c>
      <c r="J134" s="7" t="str">
        <f t="shared" si="61"/>
        <v xml:space="preserve"> </v>
      </c>
      <c r="K134" s="7" t="str">
        <f t="shared" si="62"/>
        <v xml:space="preserve"> </v>
      </c>
      <c r="L134" s="7" t="str">
        <f t="shared" si="63"/>
        <v xml:space="preserve"> </v>
      </c>
      <c r="M134" s="7" t="str">
        <f t="shared" si="64"/>
        <v xml:space="preserve"> </v>
      </c>
      <c r="N134" s="7" t="str">
        <f t="shared" si="65"/>
        <v xml:space="preserve"> </v>
      </c>
      <c r="O134" s="7" t="str">
        <f t="shared" si="66"/>
        <v xml:space="preserve"> </v>
      </c>
      <c r="P134" s="7" t="str">
        <f t="shared" si="67"/>
        <v xml:space="preserve"> </v>
      </c>
      <c r="Q134" s="7" t="str">
        <f t="shared" si="68"/>
        <v xml:space="preserve"> </v>
      </c>
      <c r="R134" s="7" t="str">
        <f t="shared" si="69"/>
        <v xml:space="preserve"> </v>
      </c>
      <c r="S134" s="7" t="str">
        <f t="shared" si="70"/>
        <v xml:space="preserve"> </v>
      </c>
      <c r="U134" s="306"/>
    </row>
    <row r="135" spans="4:21" x14ac:dyDescent="0.15">
      <c r="D135" s="306" t="str">
        <f t="shared" si="57"/>
        <v xml:space="preserve"> </v>
      </c>
      <c r="G135" s="7" t="str">
        <f t="shared" si="58"/>
        <v xml:space="preserve"> </v>
      </c>
      <c r="H135" s="7" t="str">
        <f t="shared" si="59"/>
        <v xml:space="preserve"> </v>
      </c>
      <c r="I135" s="7" t="str">
        <f t="shared" si="60"/>
        <v xml:space="preserve"> </v>
      </c>
      <c r="J135" s="7" t="str">
        <f t="shared" si="61"/>
        <v xml:space="preserve"> </v>
      </c>
      <c r="K135" s="7" t="str">
        <f t="shared" si="62"/>
        <v xml:space="preserve"> </v>
      </c>
      <c r="L135" s="7" t="str">
        <f t="shared" si="63"/>
        <v xml:space="preserve"> </v>
      </c>
      <c r="M135" s="7" t="str">
        <f t="shared" si="64"/>
        <v xml:space="preserve"> </v>
      </c>
      <c r="N135" s="7" t="str">
        <f t="shared" si="65"/>
        <v xml:space="preserve"> </v>
      </c>
      <c r="O135" s="7" t="str">
        <f t="shared" si="66"/>
        <v xml:space="preserve"> </v>
      </c>
      <c r="P135" s="7" t="str">
        <f t="shared" si="67"/>
        <v xml:space="preserve"> </v>
      </c>
      <c r="Q135" s="7" t="str">
        <f t="shared" si="68"/>
        <v xml:space="preserve"> </v>
      </c>
      <c r="R135" s="7" t="str">
        <f t="shared" si="69"/>
        <v xml:space="preserve"> </v>
      </c>
      <c r="S135" s="7" t="str">
        <f t="shared" si="70"/>
        <v xml:space="preserve"> </v>
      </c>
      <c r="U135" s="306"/>
    </row>
    <row r="136" spans="4:21" x14ac:dyDescent="0.15">
      <c r="D136" s="306" t="str">
        <f t="shared" si="57"/>
        <v xml:space="preserve"> </v>
      </c>
      <c r="G136" s="7" t="str">
        <f t="shared" si="58"/>
        <v xml:space="preserve"> </v>
      </c>
      <c r="H136" s="7" t="str">
        <f t="shared" si="59"/>
        <v xml:space="preserve"> </v>
      </c>
      <c r="I136" s="7" t="str">
        <f t="shared" si="60"/>
        <v xml:space="preserve"> </v>
      </c>
      <c r="J136" s="7" t="str">
        <f t="shared" si="61"/>
        <v xml:space="preserve"> </v>
      </c>
      <c r="K136" s="7" t="str">
        <f t="shared" si="62"/>
        <v xml:space="preserve"> </v>
      </c>
      <c r="L136" s="7" t="str">
        <f t="shared" si="63"/>
        <v xml:space="preserve"> </v>
      </c>
      <c r="M136" s="7" t="str">
        <f t="shared" si="64"/>
        <v xml:space="preserve"> </v>
      </c>
      <c r="N136" s="7" t="str">
        <f t="shared" si="65"/>
        <v xml:space="preserve"> </v>
      </c>
      <c r="O136" s="7" t="str">
        <f t="shared" si="66"/>
        <v xml:space="preserve"> </v>
      </c>
      <c r="P136" s="7" t="str">
        <f t="shared" si="67"/>
        <v xml:space="preserve"> </v>
      </c>
      <c r="Q136" s="7" t="str">
        <f t="shared" si="68"/>
        <v xml:space="preserve"> </v>
      </c>
      <c r="R136" s="7" t="str">
        <f t="shared" si="69"/>
        <v xml:space="preserve"> </v>
      </c>
      <c r="S136" s="7" t="str">
        <f t="shared" si="70"/>
        <v xml:space="preserve"> </v>
      </c>
      <c r="U136" s="306"/>
    </row>
    <row r="137" spans="4:21" x14ac:dyDescent="0.15">
      <c r="D137" s="306" t="str">
        <f t="shared" si="57"/>
        <v xml:space="preserve"> </v>
      </c>
      <c r="G137" s="7" t="str">
        <f t="shared" si="58"/>
        <v xml:space="preserve"> </v>
      </c>
      <c r="H137" s="7" t="str">
        <f t="shared" si="59"/>
        <v xml:space="preserve"> </v>
      </c>
      <c r="I137" s="7" t="str">
        <f t="shared" si="60"/>
        <v xml:space="preserve"> </v>
      </c>
      <c r="J137" s="7" t="str">
        <f t="shared" si="61"/>
        <v xml:space="preserve"> </v>
      </c>
      <c r="K137" s="7" t="str">
        <f t="shared" si="62"/>
        <v xml:space="preserve"> </v>
      </c>
      <c r="L137" s="7" t="str">
        <f t="shared" si="63"/>
        <v xml:space="preserve"> </v>
      </c>
      <c r="M137" s="7" t="str">
        <f t="shared" si="64"/>
        <v xml:space="preserve"> </v>
      </c>
      <c r="N137" s="7" t="str">
        <f t="shared" si="65"/>
        <v xml:space="preserve"> </v>
      </c>
      <c r="O137" s="7" t="str">
        <f t="shared" si="66"/>
        <v xml:space="preserve"> </v>
      </c>
      <c r="P137" s="7" t="str">
        <f t="shared" si="67"/>
        <v xml:space="preserve"> </v>
      </c>
      <c r="Q137" s="7" t="str">
        <f t="shared" si="68"/>
        <v xml:space="preserve"> </v>
      </c>
      <c r="R137" s="7" t="str">
        <f t="shared" si="69"/>
        <v xml:space="preserve"> </v>
      </c>
      <c r="S137" s="7" t="str">
        <f t="shared" si="70"/>
        <v xml:space="preserve"> </v>
      </c>
      <c r="U137" s="306"/>
    </row>
    <row r="138" spans="4:21" x14ac:dyDescent="0.15">
      <c r="D138" s="306" t="str">
        <f t="shared" si="57"/>
        <v xml:space="preserve"> </v>
      </c>
      <c r="G138" s="7" t="str">
        <f t="shared" si="58"/>
        <v xml:space="preserve"> </v>
      </c>
      <c r="H138" s="7" t="str">
        <f t="shared" si="59"/>
        <v xml:space="preserve"> </v>
      </c>
      <c r="I138" s="7" t="str">
        <f t="shared" si="60"/>
        <v xml:space="preserve"> </v>
      </c>
      <c r="J138" s="7" t="str">
        <f t="shared" si="61"/>
        <v xml:space="preserve"> </v>
      </c>
      <c r="K138" s="7" t="str">
        <f t="shared" si="62"/>
        <v xml:space="preserve"> </v>
      </c>
      <c r="L138" s="7" t="str">
        <f t="shared" si="63"/>
        <v xml:space="preserve"> </v>
      </c>
      <c r="M138" s="7" t="str">
        <f t="shared" si="64"/>
        <v xml:space="preserve"> </v>
      </c>
      <c r="N138" s="7" t="str">
        <f t="shared" si="65"/>
        <v xml:space="preserve"> </v>
      </c>
      <c r="O138" s="7" t="str">
        <f t="shared" si="66"/>
        <v xml:space="preserve"> </v>
      </c>
      <c r="P138" s="7" t="str">
        <f t="shared" si="67"/>
        <v xml:space="preserve"> </v>
      </c>
      <c r="Q138" s="7" t="str">
        <f t="shared" si="68"/>
        <v xml:space="preserve"> </v>
      </c>
      <c r="R138" s="7" t="str">
        <f t="shared" si="69"/>
        <v xml:space="preserve"> </v>
      </c>
      <c r="S138" s="7" t="str">
        <f t="shared" si="70"/>
        <v xml:space="preserve"> </v>
      </c>
      <c r="U138" s="306"/>
    </row>
    <row r="139" spans="4:21" x14ac:dyDescent="0.15">
      <c r="D139" s="306" t="str">
        <f t="shared" si="57"/>
        <v xml:space="preserve"> </v>
      </c>
      <c r="G139" s="7" t="str">
        <f t="shared" si="58"/>
        <v xml:space="preserve"> </v>
      </c>
      <c r="H139" s="7" t="str">
        <f t="shared" si="59"/>
        <v xml:space="preserve"> </v>
      </c>
      <c r="I139" s="7" t="str">
        <f t="shared" si="60"/>
        <v xml:space="preserve"> </v>
      </c>
      <c r="J139" s="7" t="str">
        <f t="shared" si="61"/>
        <v xml:space="preserve"> </v>
      </c>
      <c r="K139" s="7" t="str">
        <f t="shared" si="62"/>
        <v xml:space="preserve"> </v>
      </c>
      <c r="L139" s="7" t="str">
        <f t="shared" si="63"/>
        <v xml:space="preserve"> </v>
      </c>
      <c r="M139" s="7" t="str">
        <f t="shared" si="64"/>
        <v xml:space="preserve"> </v>
      </c>
      <c r="N139" s="7" t="str">
        <f t="shared" si="65"/>
        <v xml:space="preserve"> </v>
      </c>
      <c r="O139" s="7" t="str">
        <f t="shared" si="66"/>
        <v xml:space="preserve"> </v>
      </c>
      <c r="P139" s="7" t="str">
        <f t="shared" si="67"/>
        <v xml:space="preserve"> </v>
      </c>
      <c r="Q139" s="7" t="str">
        <f t="shared" si="68"/>
        <v xml:space="preserve"> </v>
      </c>
      <c r="R139" s="7" t="str">
        <f t="shared" si="69"/>
        <v xml:space="preserve"> </v>
      </c>
      <c r="S139" s="7" t="str">
        <f t="shared" si="70"/>
        <v xml:space="preserve"> </v>
      </c>
      <c r="U139" s="306"/>
    </row>
    <row r="140" spans="4:21" x14ac:dyDescent="0.15">
      <c r="D140" s="306" t="str">
        <f t="shared" si="57"/>
        <v xml:space="preserve"> </v>
      </c>
      <c r="G140" s="7" t="str">
        <f t="shared" si="58"/>
        <v xml:space="preserve"> </v>
      </c>
      <c r="H140" s="7" t="str">
        <f t="shared" si="59"/>
        <v xml:space="preserve"> </v>
      </c>
      <c r="I140" s="7" t="str">
        <f t="shared" si="60"/>
        <v xml:space="preserve"> </v>
      </c>
      <c r="J140" s="7" t="str">
        <f t="shared" si="61"/>
        <v xml:space="preserve"> </v>
      </c>
      <c r="K140" s="7" t="str">
        <f t="shared" si="62"/>
        <v xml:space="preserve"> </v>
      </c>
      <c r="L140" s="7" t="str">
        <f t="shared" si="63"/>
        <v xml:space="preserve"> </v>
      </c>
      <c r="M140" s="7" t="str">
        <f t="shared" si="64"/>
        <v xml:space="preserve"> </v>
      </c>
      <c r="N140" s="7" t="str">
        <f t="shared" si="65"/>
        <v xml:space="preserve"> </v>
      </c>
      <c r="O140" s="7" t="str">
        <f t="shared" si="66"/>
        <v xml:space="preserve"> </v>
      </c>
      <c r="P140" s="7" t="str">
        <f t="shared" si="67"/>
        <v xml:space="preserve"> </v>
      </c>
      <c r="Q140" s="7" t="str">
        <f t="shared" si="68"/>
        <v xml:space="preserve"> </v>
      </c>
      <c r="R140" s="7" t="str">
        <f t="shared" si="69"/>
        <v xml:space="preserve"> </v>
      </c>
      <c r="S140" s="7" t="str">
        <f t="shared" si="70"/>
        <v xml:space="preserve"> </v>
      </c>
      <c r="U140" s="306"/>
    </row>
    <row r="141" spans="4:21" x14ac:dyDescent="0.15">
      <c r="D141" s="306" t="str">
        <f t="shared" si="57"/>
        <v xml:space="preserve"> </v>
      </c>
      <c r="G141" s="7" t="str">
        <f t="shared" si="58"/>
        <v xml:space="preserve"> </v>
      </c>
      <c r="H141" s="7" t="str">
        <f t="shared" si="59"/>
        <v xml:space="preserve"> </v>
      </c>
      <c r="I141" s="7" t="str">
        <f t="shared" si="60"/>
        <v xml:space="preserve"> </v>
      </c>
      <c r="J141" s="7" t="str">
        <f t="shared" si="61"/>
        <v xml:space="preserve"> </v>
      </c>
      <c r="K141" s="7" t="str">
        <f t="shared" si="62"/>
        <v xml:space="preserve"> </v>
      </c>
      <c r="L141" s="7" t="str">
        <f t="shared" si="63"/>
        <v xml:space="preserve"> </v>
      </c>
      <c r="M141" s="7" t="str">
        <f t="shared" si="64"/>
        <v xml:space="preserve"> </v>
      </c>
      <c r="N141" s="7" t="str">
        <f t="shared" si="65"/>
        <v xml:space="preserve"> </v>
      </c>
      <c r="O141" s="7" t="str">
        <f t="shared" si="66"/>
        <v xml:space="preserve"> </v>
      </c>
      <c r="P141" s="7" t="str">
        <f t="shared" si="67"/>
        <v xml:space="preserve"> </v>
      </c>
      <c r="Q141" s="7" t="str">
        <f t="shared" si="68"/>
        <v xml:space="preserve"> </v>
      </c>
      <c r="R141" s="7" t="str">
        <f t="shared" si="69"/>
        <v xml:space="preserve"> </v>
      </c>
      <c r="S141" s="7" t="str">
        <f t="shared" si="70"/>
        <v xml:space="preserve"> </v>
      </c>
      <c r="U141" s="306"/>
    </row>
    <row r="142" spans="4:21" x14ac:dyDescent="0.15">
      <c r="D142" s="306" t="str">
        <f t="shared" si="57"/>
        <v xml:space="preserve"> </v>
      </c>
      <c r="G142" s="7" t="str">
        <f t="shared" si="58"/>
        <v xml:space="preserve"> </v>
      </c>
      <c r="H142" s="7" t="str">
        <f t="shared" si="59"/>
        <v xml:space="preserve"> </v>
      </c>
      <c r="I142" s="7" t="str">
        <f t="shared" si="60"/>
        <v xml:space="preserve"> </v>
      </c>
      <c r="J142" s="7" t="str">
        <f t="shared" si="61"/>
        <v xml:space="preserve"> </v>
      </c>
      <c r="K142" s="7" t="str">
        <f t="shared" si="62"/>
        <v xml:space="preserve"> </v>
      </c>
      <c r="L142" s="7" t="str">
        <f t="shared" si="63"/>
        <v xml:space="preserve"> </v>
      </c>
      <c r="M142" s="7" t="str">
        <f t="shared" si="64"/>
        <v xml:space="preserve"> </v>
      </c>
      <c r="N142" s="7" t="str">
        <f t="shared" si="65"/>
        <v xml:space="preserve"> </v>
      </c>
      <c r="O142" s="7" t="str">
        <f t="shared" si="66"/>
        <v xml:space="preserve"> </v>
      </c>
      <c r="P142" s="7" t="str">
        <f t="shared" si="67"/>
        <v xml:space="preserve"> </v>
      </c>
      <c r="Q142" s="7" t="str">
        <f t="shared" si="68"/>
        <v xml:space="preserve"> </v>
      </c>
      <c r="R142" s="7" t="str">
        <f t="shared" si="69"/>
        <v xml:space="preserve"> </v>
      </c>
      <c r="S142" s="7" t="str">
        <f t="shared" si="70"/>
        <v xml:space="preserve"> </v>
      </c>
      <c r="U142" s="306"/>
    </row>
    <row r="143" spans="4:21" x14ac:dyDescent="0.15">
      <c r="D143" s="306" t="str">
        <f t="shared" si="57"/>
        <v xml:space="preserve"> </v>
      </c>
      <c r="G143" s="7" t="str">
        <f t="shared" si="58"/>
        <v xml:space="preserve"> </v>
      </c>
      <c r="H143" s="7" t="str">
        <f t="shared" si="59"/>
        <v xml:space="preserve"> </v>
      </c>
      <c r="I143" s="7" t="str">
        <f t="shared" si="60"/>
        <v xml:space="preserve"> </v>
      </c>
      <c r="J143" s="7" t="str">
        <f t="shared" si="61"/>
        <v xml:space="preserve"> </v>
      </c>
      <c r="K143" s="7" t="str">
        <f t="shared" si="62"/>
        <v xml:space="preserve"> </v>
      </c>
      <c r="L143" s="7" t="str">
        <f t="shared" si="63"/>
        <v xml:space="preserve"> </v>
      </c>
      <c r="M143" s="7" t="str">
        <f t="shared" si="64"/>
        <v xml:space="preserve"> </v>
      </c>
      <c r="N143" s="7" t="str">
        <f t="shared" si="65"/>
        <v xml:space="preserve"> </v>
      </c>
      <c r="O143" s="7" t="str">
        <f t="shared" si="66"/>
        <v xml:space="preserve"> </v>
      </c>
      <c r="P143" s="7" t="str">
        <f t="shared" si="67"/>
        <v xml:space="preserve"> </v>
      </c>
      <c r="Q143" s="7" t="str">
        <f t="shared" si="68"/>
        <v xml:space="preserve"> </v>
      </c>
      <c r="R143" s="7" t="str">
        <f t="shared" si="69"/>
        <v xml:space="preserve"> </v>
      </c>
      <c r="S143" s="7" t="str">
        <f t="shared" si="70"/>
        <v xml:space="preserve"> </v>
      </c>
      <c r="U143" s="306"/>
    </row>
    <row r="144" spans="4:21" x14ac:dyDescent="0.15">
      <c r="D144" s="306" t="str">
        <f t="shared" si="57"/>
        <v xml:space="preserve"> </v>
      </c>
      <c r="G144" s="7" t="str">
        <f t="shared" si="58"/>
        <v xml:space="preserve"> </v>
      </c>
      <c r="H144" s="7" t="str">
        <f t="shared" si="59"/>
        <v xml:space="preserve"> </v>
      </c>
      <c r="I144" s="7" t="str">
        <f t="shared" si="60"/>
        <v xml:space="preserve"> </v>
      </c>
      <c r="J144" s="7" t="str">
        <f t="shared" si="61"/>
        <v xml:space="preserve"> </v>
      </c>
      <c r="K144" s="7" t="str">
        <f t="shared" si="62"/>
        <v xml:space="preserve"> </v>
      </c>
      <c r="L144" s="7" t="str">
        <f t="shared" si="63"/>
        <v xml:space="preserve"> </v>
      </c>
      <c r="M144" s="7" t="str">
        <f t="shared" si="64"/>
        <v xml:space="preserve"> </v>
      </c>
      <c r="N144" s="7" t="str">
        <f t="shared" si="65"/>
        <v xml:space="preserve"> </v>
      </c>
      <c r="O144" s="7" t="str">
        <f t="shared" si="66"/>
        <v xml:space="preserve"> </v>
      </c>
      <c r="P144" s="7" t="str">
        <f t="shared" si="67"/>
        <v xml:space="preserve"> </v>
      </c>
      <c r="Q144" s="7" t="str">
        <f t="shared" si="68"/>
        <v xml:space="preserve"> </v>
      </c>
      <c r="R144" s="7" t="str">
        <f t="shared" si="69"/>
        <v xml:space="preserve"> </v>
      </c>
      <c r="S144" s="7" t="str">
        <f t="shared" si="70"/>
        <v xml:space="preserve"> </v>
      </c>
      <c r="U144" s="306"/>
    </row>
    <row r="145" spans="4:21" x14ac:dyDescent="0.15">
      <c r="D145" s="306" t="str">
        <f t="shared" si="57"/>
        <v xml:space="preserve"> </v>
      </c>
      <c r="G145" s="7" t="str">
        <f t="shared" si="58"/>
        <v xml:space="preserve"> </v>
      </c>
      <c r="H145" s="7" t="str">
        <f t="shared" si="59"/>
        <v xml:space="preserve"> </v>
      </c>
      <c r="I145" s="7" t="str">
        <f t="shared" si="60"/>
        <v xml:space="preserve"> </v>
      </c>
      <c r="J145" s="7" t="str">
        <f t="shared" si="61"/>
        <v xml:space="preserve"> </v>
      </c>
      <c r="K145" s="7" t="str">
        <f t="shared" si="62"/>
        <v xml:space="preserve"> </v>
      </c>
      <c r="L145" s="7" t="str">
        <f t="shared" si="63"/>
        <v xml:space="preserve"> </v>
      </c>
      <c r="M145" s="7" t="str">
        <f t="shared" si="64"/>
        <v xml:space="preserve"> </v>
      </c>
      <c r="N145" s="7" t="str">
        <f t="shared" si="65"/>
        <v xml:space="preserve"> </v>
      </c>
      <c r="O145" s="7" t="str">
        <f t="shared" si="66"/>
        <v xml:space="preserve"> </v>
      </c>
      <c r="P145" s="7" t="str">
        <f t="shared" si="67"/>
        <v xml:space="preserve"> </v>
      </c>
      <c r="Q145" s="7" t="str">
        <f t="shared" si="68"/>
        <v xml:space="preserve"> </v>
      </c>
      <c r="R145" s="7" t="str">
        <f t="shared" si="69"/>
        <v xml:space="preserve"> </v>
      </c>
      <c r="S145" s="7" t="str">
        <f t="shared" si="70"/>
        <v xml:space="preserve"> </v>
      </c>
      <c r="U145" s="306"/>
    </row>
    <row r="146" spans="4:21" x14ac:dyDescent="0.15">
      <c r="D146" s="306" t="str">
        <f t="shared" si="57"/>
        <v xml:space="preserve"> </v>
      </c>
      <c r="G146" s="7" t="str">
        <f t="shared" si="58"/>
        <v xml:space="preserve"> </v>
      </c>
      <c r="H146" s="7" t="str">
        <f t="shared" si="59"/>
        <v xml:space="preserve"> </v>
      </c>
      <c r="I146" s="7" t="str">
        <f t="shared" si="60"/>
        <v xml:space="preserve"> </v>
      </c>
      <c r="J146" s="7" t="str">
        <f t="shared" si="61"/>
        <v xml:space="preserve"> </v>
      </c>
      <c r="K146" s="7" t="str">
        <f t="shared" si="62"/>
        <v xml:space="preserve"> </v>
      </c>
      <c r="L146" s="7" t="str">
        <f t="shared" si="63"/>
        <v xml:space="preserve"> </v>
      </c>
      <c r="M146" s="7" t="str">
        <f t="shared" si="64"/>
        <v xml:space="preserve"> </v>
      </c>
      <c r="N146" s="7" t="str">
        <f t="shared" si="65"/>
        <v xml:space="preserve"> </v>
      </c>
      <c r="O146" s="7" t="str">
        <f t="shared" si="66"/>
        <v xml:space="preserve"> </v>
      </c>
      <c r="P146" s="7" t="str">
        <f t="shared" si="67"/>
        <v xml:space="preserve"> </v>
      </c>
      <c r="Q146" s="7" t="str">
        <f t="shared" si="68"/>
        <v xml:space="preserve"> </v>
      </c>
      <c r="R146" s="7" t="str">
        <f t="shared" si="69"/>
        <v xml:space="preserve"> </v>
      </c>
      <c r="S146" s="7" t="str">
        <f t="shared" si="70"/>
        <v xml:space="preserve"> </v>
      </c>
      <c r="U146" s="306"/>
    </row>
    <row r="147" spans="4:21" x14ac:dyDescent="0.15">
      <c r="D147" s="306" t="str">
        <f t="shared" si="57"/>
        <v xml:space="preserve"> </v>
      </c>
      <c r="G147" s="7" t="str">
        <f t="shared" si="58"/>
        <v xml:space="preserve"> </v>
      </c>
      <c r="H147" s="7" t="str">
        <f t="shared" si="59"/>
        <v xml:space="preserve"> </v>
      </c>
      <c r="I147" s="7" t="str">
        <f t="shared" si="60"/>
        <v xml:space="preserve"> </v>
      </c>
      <c r="J147" s="7" t="str">
        <f t="shared" si="61"/>
        <v xml:space="preserve"> </v>
      </c>
      <c r="K147" s="7" t="str">
        <f t="shared" si="62"/>
        <v xml:space="preserve"> </v>
      </c>
      <c r="L147" s="7" t="str">
        <f t="shared" si="63"/>
        <v xml:space="preserve"> </v>
      </c>
      <c r="M147" s="7" t="str">
        <f t="shared" si="64"/>
        <v xml:space="preserve"> </v>
      </c>
      <c r="N147" s="7" t="str">
        <f t="shared" si="65"/>
        <v xml:space="preserve"> </v>
      </c>
      <c r="O147" s="7" t="str">
        <f t="shared" si="66"/>
        <v xml:space="preserve"> </v>
      </c>
      <c r="P147" s="7" t="str">
        <f t="shared" si="67"/>
        <v xml:space="preserve"> </v>
      </c>
      <c r="Q147" s="7" t="str">
        <f t="shared" si="68"/>
        <v xml:space="preserve"> </v>
      </c>
      <c r="R147" s="7" t="str">
        <f t="shared" si="69"/>
        <v xml:space="preserve"> </v>
      </c>
      <c r="S147" s="7" t="str">
        <f t="shared" si="70"/>
        <v xml:space="preserve"> </v>
      </c>
      <c r="U147" s="306"/>
    </row>
    <row r="148" spans="4:21" x14ac:dyDescent="0.15">
      <c r="D148" s="306" t="str">
        <f t="shared" si="57"/>
        <v xml:space="preserve"> </v>
      </c>
      <c r="G148" s="7" t="str">
        <f t="shared" si="58"/>
        <v xml:space="preserve"> </v>
      </c>
      <c r="H148" s="7" t="str">
        <f t="shared" si="59"/>
        <v xml:space="preserve"> </v>
      </c>
      <c r="I148" s="7" t="str">
        <f t="shared" si="60"/>
        <v xml:space="preserve"> </v>
      </c>
      <c r="J148" s="7" t="str">
        <f t="shared" si="61"/>
        <v xml:space="preserve"> </v>
      </c>
      <c r="K148" s="7" t="str">
        <f t="shared" si="62"/>
        <v xml:space="preserve"> </v>
      </c>
      <c r="L148" s="7" t="str">
        <f t="shared" si="63"/>
        <v xml:space="preserve"> </v>
      </c>
      <c r="M148" s="7" t="str">
        <f t="shared" si="64"/>
        <v xml:space="preserve"> </v>
      </c>
      <c r="N148" s="7" t="str">
        <f t="shared" si="65"/>
        <v xml:space="preserve"> </v>
      </c>
      <c r="O148" s="7" t="str">
        <f t="shared" si="66"/>
        <v xml:space="preserve"> </v>
      </c>
      <c r="P148" s="7" t="str">
        <f t="shared" si="67"/>
        <v xml:space="preserve"> </v>
      </c>
      <c r="Q148" s="7" t="str">
        <f t="shared" si="68"/>
        <v xml:space="preserve"> </v>
      </c>
      <c r="R148" s="7" t="str">
        <f t="shared" si="69"/>
        <v xml:space="preserve"> </v>
      </c>
      <c r="S148" s="7" t="str">
        <f t="shared" si="70"/>
        <v xml:space="preserve"> </v>
      </c>
      <c r="U148" s="306"/>
    </row>
    <row r="149" spans="4:21" x14ac:dyDescent="0.15">
      <c r="D149" s="306" t="str">
        <f t="shared" si="57"/>
        <v xml:space="preserve"> </v>
      </c>
      <c r="G149" s="7" t="str">
        <f t="shared" si="58"/>
        <v xml:space="preserve"> </v>
      </c>
      <c r="H149" s="7" t="str">
        <f t="shared" si="59"/>
        <v xml:space="preserve"> </v>
      </c>
      <c r="I149" s="7" t="str">
        <f t="shared" si="60"/>
        <v xml:space="preserve"> </v>
      </c>
      <c r="J149" s="7" t="str">
        <f t="shared" si="61"/>
        <v xml:space="preserve"> </v>
      </c>
      <c r="K149" s="7" t="str">
        <f t="shared" si="62"/>
        <v xml:space="preserve"> </v>
      </c>
      <c r="L149" s="7" t="str">
        <f t="shared" si="63"/>
        <v xml:space="preserve"> </v>
      </c>
      <c r="M149" s="7" t="str">
        <f t="shared" si="64"/>
        <v xml:space="preserve"> </v>
      </c>
      <c r="N149" s="7" t="str">
        <f t="shared" si="65"/>
        <v xml:space="preserve"> </v>
      </c>
      <c r="O149" s="7" t="str">
        <f t="shared" si="66"/>
        <v xml:space="preserve"> </v>
      </c>
      <c r="P149" s="7" t="str">
        <f t="shared" si="67"/>
        <v xml:space="preserve"> </v>
      </c>
      <c r="Q149" s="7" t="str">
        <f t="shared" si="68"/>
        <v xml:space="preserve"> </v>
      </c>
      <c r="R149" s="7" t="str">
        <f t="shared" si="69"/>
        <v xml:space="preserve"> </v>
      </c>
      <c r="S149" s="7" t="str">
        <f t="shared" si="70"/>
        <v xml:space="preserve"> </v>
      </c>
      <c r="U149" s="306"/>
    </row>
    <row r="150" spans="4:21" x14ac:dyDescent="0.15">
      <c r="D150" s="306" t="str">
        <f t="shared" si="57"/>
        <v xml:space="preserve"> </v>
      </c>
      <c r="G150" s="7" t="str">
        <f t="shared" si="58"/>
        <v xml:space="preserve"> </v>
      </c>
      <c r="H150" s="7" t="str">
        <f t="shared" si="59"/>
        <v xml:space="preserve"> </v>
      </c>
      <c r="I150" s="7" t="str">
        <f t="shared" si="60"/>
        <v xml:space="preserve"> </v>
      </c>
      <c r="J150" s="7" t="str">
        <f t="shared" si="61"/>
        <v xml:space="preserve"> </v>
      </c>
      <c r="K150" s="7" t="str">
        <f t="shared" si="62"/>
        <v xml:space="preserve"> </v>
      </c>
      <c r="L150" s="7" t="str">
        <f t="shared" si="63"/>
        <v xml:space="preserve"> </v>
      </c>
      <c r="M150" s="7" t="str">
        <f t="shared" si="64"/>
        <v xml:space="preserve"> </v>
      </c>
      <c r="N150" s="7" t="str">
        <f t="shared" si="65"/>
        <v xml:space="preserve"> </v>
      </c>
      <c r="O150" s="7" t="str">
        <f t="shared" si="66"/>
        <v xml:space="preserve"> </v>
      </c>
      <c r="P150" s="7" t="str">
        <f t="shared" si="67"/>
        <v xml:space="preserve"> </v>
      </c>
      <c r="Q150" s="7" t="str">
        <f t="shared" si="68"/>
        <v xml:space="preserve"> </v>
      </c>
      <c r="R150" s="7" t="str">
        <f t="shared" si="69"/>
        <v xml:space="preserve"> </v>
      </c>
      <c r="S150" s="7" t="str">
        <f t="shared" si="70"/>
        <v xml:space="preserve"> </v>
      </c>
      <c r="U150" s="306"/>
    </row>
    <row r="151" spans="4:21" x14ac:dyDescent="0.15">
      <c r="D151" s="306" t="str">
        <f t="shared" si="57"/>
        <v xml:space="preserve"> </v>
      </c>
      <c r="G151" s="7" t="str">
        <f t="shared" si="58"/>
        <v xml:space="preserve"> </v>
      </c>
      <c r="H151" s="7" t="str">
        <f t="shared" si="59"/>
        <v xml:space="preserve"> </v>
      </c>
      <c r="I151" s="7" t="str">
        <f t="shared" si="60"/>
        <v xml:space="preserve"> </v>
      </c>
      <c r="J151" s="7" t="str">
        <f t="shared" si="61"/>
        <v xml:space="preserve"> </v>
      </c>
      <c r="K151" s="7" t="str">
        <f t="shared" si="62"/>
        <v xml:space="preserve"> </v>
      </c>
      <c r="L151" s="7" t="str">
        <f t="shared" si="63"/>
        <v xml:space="preserve"> </v>
      </c>
      <c r="M151" s="7" t="str">
        <f t="shared" si="64"/>
        <v xml:space="preserve"> </v>
      </c>
      <c r="N151" s="7" t="str">
        <f t="shared" si="65"/>
        <v xml:space="preserve"> </v>
      </c>
      <c r="O151" s="7" t="str">
        <f t="shared" si="66"/>
        <v xml:space="preserve"> </v>
      </c>
      <c r="P151" s="7" t="str">
        <f t="shared" si="67"/>
        <v xml:space="preserve"> </v>
      </c>
      <c r="Q151" s="7" t="str">
        <f t="shared" si="68"/>
        <v xml:space="preserve"> </v>
      </c>
      <c r="R151" s="7" t="str">
        <f t="shared" si="69"/>
        <v xml:space="preserve"> </v>
      </c>
      <c r="S151" s="7" t="str">
        <f t="shared" si="70"/>
        <v xml:space="preserve"> </v>
      </c>
      <c r="U151" s="306"/>
    </row>
    <row r="152" spans="4:21" x14ac:dyDescent="0.15">
      <c r="D152" s="306" t="str">
        <f t="shared" si="57"/>
        <v xml:space="preserve"> </v>
      </c>
      <c r="G152" s="7" t="str">
        <f t="shared" si="58"/>
        <v xml:space="preserve"> </v>
      </c>
      <c r="H152" s="7" t="str">
        <f t="shared" si="59"/>
        <v xml:space="preserve"> </v>
      </c>
      <c r="I152" s="7" t="str">
        <f t="shared" si="60"/>
        <v xml:space="preserve"> </v>
      </c>
      <c r="J152" s="7" t="str">
        <f t="shared" si="61"/>
        <v xml:space="preserve"> </v>
      </c>
      <c r="K152" s="7" t="str">
        <f t="shared" si="62"/>
        <v xml:space="preserve"> </v>
      </c>
      <c r="L152" s="7" t="str">
        <f t="shared" si="63"/>
        <v xml:space="preserve"> </v>
      </c>
      <c r="M152" s="7" t="str">
        <f t="shared" si="64"/>
        <v xml:space="preserve"> </v>
      </c>
      <c r="N152" s="7" t="str">
        <f t="shared" si="65"/>
        <v xml:space="preserve"> </v>
      </c>
      <c r="O152" s="7" t="str">
        <f t="shared" si="66"/>
        <v xml:space="preserve"> </v>
      </c>
      <c r="P152" s="7" t="str">
        <f t="shared" si="67"/>
        <v xml:space="preserve"> </v>
      </c>
      <c r="Q152" s="7" t="str">
        <f t="shared" si="68"/>
        <v xml:space="preserve"> </v>
      </c>
      <c r="R152" s="7" t="str">
        <f t="shared" si="69"/>
        <v xml:space="preserve"> </v>
      </c>
      <c r="S152" s="7" t="str">
        <f t="shared" si="70"/>
        <v xml:space="preserve"> </v>
      </c>
      <c r="U152" s="306"/>
    </row>
    <row r="153" spans="4:21" x14ac:dyDescent="0.15">
      <c r="D153" s="306" t="str">
        <f t="shared" si="57"/>
        <v xml:space="preserve"> </v>
      </c>
      <c r="G153" s="7" t="str">
        <f t="shared" si="58"/>
        <v xml:space="preserve"> </v>
      </c>
      <c r="H153" s="7" t="str">
        <f t="shared" si="59"/>
        <v xml:space="preserve"> </v>
      </c>
      <c r="I153" s="7" t="str">
        <f t="shared" si="60"/>
        <v xml:space="preserve"> </v>
      </c>
      <c r="J153" s="7" t="str">
        <f t="shared" si="61"/>
        <v xml:space="preserve"> </v>
      </c>
      <c r="K153" s="7" t="str">
        <f t="shared" si="62"/>
        <v xml:space="preserve"> </v>
      </c>
      <c r="L153" s="7" t="str">
        <f t="shared" si="63"/>
        <v xml:space="preserve"> </v>
      </c>
      <c r="M153" s="7" t="str">
        <f t="shared" si="64"/>
        <v xml:space="preserve"> </v>
      </c>
      <c r="N153" s="7" t="str">
        <f t="shared" si="65"/>
        <v xml:space="preserve"> </v>
      </c>
      <c r="O153" s="7" t="str">
        <f t="shared" si="66"/>
        <v xml:space="preserve"> </v>
      </c>
      <c r="P153" s="7" t="str">
        <f t="shared" si="67"/>
        <v xml:space="preserve"> </v>
      </c>
      <c r="Q153" s="7" t="str">
        <f t="shared" si="68"/>
        <v xml:space="preserve"> </v>
      </c>
      <c r="R153" s="7" t="str">
        <f t="shared" si="69"/>
        <v xml:space="preserve"> </v>
      </c>
      <c r="S153" s="7" t="str">
        <f t="shared" si="70"/>
        <v xml:space="preserve"> </v>
      </c>
      <c r="U153" s="306"/>
    </row>
    <row r="154" spans="4:21" x14ac:dyDescent="0.15">
      <c r="D154" s="306" t="str">
        <f t="shared" si="57"/>
        <v xml:space="preserve"> </v>
      </c>
      <c r="G154" s="7" t="str">
        <f t="shared" si="58"/>
        <v xml:space="preserve"> </v>
      </c>
      <c r="H154" s="7" t="str">
        <f t="shared" si="59"/>
        <v xml:space="preserve"> </v>
      </c>
      <c r="I154" s="7" t="str">
        <f t="shared" si="60"/>
        <v xml:space="preserve"> </v>
      </c>
      <c r="J154" s="7" t="str">
        <f t="shared" si="61"/>
        <v xml:space="preserve"> </v>
      </c>
      <c r="K154" s="7" t="str">
        <f t="shared" si="62"/>
        <v xml:space="preserve"> </v>
      </c>
      <c r="L154" s="7" t="str">
        <f t="shared" si="63"/>
        <v xml:space="preserve"> </v>
      </c>
      <c r="M154" s="7" t="str">
        <f t="shared" si="64"/>
        <v xml:space="preserve"> </v>
      </c>
      <c r="N154" s="7" t="str">
        <f t="shared" si="65"/>
        <v xml:space="preserve"> </v>
      </c>
      <c r="O154" s="7" t="str">
        <f t="shared" si="66"/>
        <v xml:space="preserve"> </v>
      </c>
      <c r="P154" s="7" t="str">
        <f t="shared" si="67"/>
        <v xml:space="preserve"> </v>
      </c>
      <c r="Q154" s="7" t="str">
        <f t="shared" si="68"/>
        <v xml:space="preserve"> </v>
      </c>
      <c r="R154" s="7" t="str">
        <f t="shared" si="69"/>
        <v xml:space="preserve"> </v>
      </c>
      <c r="S154" s="7" t="str">
        <f t="shared" si="70"/>
        <v xml:space="preserve"> </v>
      </c>
      <c r="U154" s="306"/>
    </row>
    <row r="155" spans="4:21" x14ac:dyDescent="0.15">
      <c r="D155" s="306" t="str">
        <f t="shared" si="57"/>
        <v xml:space="preserve"> </v>
      </c>
      <c r="G155" s="7" t="str">
        <f t="shared" si="58"/>
        <v xml:space="preserve"> </v>
      </c>
      <c r="H155" s="7" t="str">
        <f t="shared" si="59"/>
        <v xml:space="preserve"> </v>
      </c>
      <c r="I155" s="7" t="str">
        <f t="shared" si="60"/>
        <v xml:space="preserve"> </v>
      </c>
      <c r="J155" s="7" t="str">
        <f t="shared" si="61"/>
        <v xml:space="preserve"> </v>
      </c>
      <c r="K155" s="7" t="str">
        <f t="shared" si="62"/>
        <v xml:space="preserve"> </v>
      </c>
      <c r="L155" s="7" t="str">
        <f t="shared" si="63"/>
        <v xml:space="preserve"> </v>
      </c>
      <c r="M155" s="7" t="str">
        <f t="shared" si="64"/>
        <v xml:space="preserve"> </v>
      </c>
      <c r="N155" s="7" t="str">
        <f t="shared" si="65"/>
        <v xml:space="preserve"> </v>
      </c>
      <c r="O155" s="7" t="str">
        <f t="shared" si="66"/>
        <v xml:space="preserve"> </v>
      </c>
      <c r="P155" s="7" t="str">
        <f t="shared" si="67"/>
        <v xml:space="preserve"> </v>
      </c>
      <c r="Q155" s="7" t="str">
        <f t="shared" si="68"/>
        <v xml:space="preserve"> </v>
      </c>
      <c r="R155" s="7" t="str">
        <f t="shared" si="69"/>
        <v xml:space="preserve"> </v>
      </c>
      <c r="S155" s="7" t="str">
        <f t="shared" si="70"/>
        <v xml:space="preserve"> </v>
      </c>
      <c r="U155" s="306"/>
    </row>
    <row r="156" spans="4:21" x14ac:dyDescent="0.15">
      <c r="D156" s="306" t="str">
        <f t="shared" si="57"/>
        <v xml:space="preserve"> </v>
      </c>
      <c r="G156" s="7" t="str">
        <f t="shared" si="58"/>
        <v xml:space="preserve"> </v>
      </c>
      <c r="H156" s="7" t="str">
        <f t="shared" si="59"/>
        <v xml:space="preserve"> </v>
      </c>
      <c r="I156" s="7" t="str">
        <f t="shared" si="60"/>
        <v xml:space="preserve"> </v>
      </c>
      <c r="J156" s="7" t="str">
        <f t="shared" si="61"/>
        <v xml:space="preserve"> </v>
      </c>
      <c r="K156" s="7" t="str">
        <f t="shared" si="62"/>
        <v xml:space="preserve"> </v>
      </c>
      <c r="L156" s="7" t="str">
        <f t="shared" si="63"/>
        <v xml:space="preserve"> </v>
      </c>
      <c r="M156" s="7" t="str">
        <f t="shared" si="64"/>
        <v xml:space="preserve"> </v>
      </c>
      <c r="N156" s="7" t="str">
        <f t="shared" si="65"/>
        <v xml:space="preserve"> </v>
      </c>
      <c r="O156" s="7" t="str">
        <f t="shared" si="66"/>
        <v xml:space="preserve"> </v>
      </c>
      <c r="P156" s="7" t="str">
        <f t="shared" si="67"/>
        <v xml:space="preserve"> </v>
      </c>
      <c r="Q156" s="7" t="str">
        <f t="shared" si="68"/>
        <v xml:space="preserve"> </v>
      </c>
      <c r="R156" s="7" t="str">
        <f t="shared" si="69"/>
        <v xml:space="preserve"> </v>
      </c>
      <c r="S156" s="7" t="str">
        <f t="shared" si="70"/>
        <v xml:space="preserve"> </v>
      </c>
      <c r="U156" s="306"/>
    </row>
    <row r="157" spans="4:21" x14ac:dyDescent="0.15">
      <c r="D157" s="306" t="str">
        <f t="shared" si="57"/>
        <v xml:space="preserve"> </v>
      </c>
      <c r="G157" s="7" t="str">
        <f t="shared" si="58"/>
        <v xml:space="preserve"> </v>
      </c>
      <c r="H157" s="7" t="str">
        <f t="shared" si="59"/>
        <v xml:space="preserve"> </v>
      </c>
      <c r="I157" s="7" t="str">
        <f t="shared" si="60"/>
        <v xml:space="preserve"> </v>
      </c>
      <c r="J157" s="7" t="str">
        <f t="shared" si="61"/>
        <v xml:space="preserve"> </v>
      </c>
      <c r="K157" s="7" t="str">
        <f t="shared" si="62"/>
        <v xml:space="preserve"> </v>
      </c>
      <c r="L157" s="7" t="str">
        <f t="shared" si="63"/>
        <v xml:space="preserve"> </v>
      </c>
      <c r="M157" s="7" t="str">
        <f t="shared" si="64"/>
        <v xml:space="preserve"> </v>
      </c>
      <c r="N157" s="7" t="str">
        <f t="shared" si="65"/>
        <v xml:space="preserve"> </v>
      </c>
      <c r="O157" s="7" t="str">
        <f t="shared" si="66"/>
        <v xml:space="preserve"> </v>
      </c>
      <c r="P157" s="7" t="str">
        <f t="shared" si="67"/>
        <v xml:space="preserve"> </v>
      </c>
      <c r="Q157" s="7" t="str">
        <f t="shared" si="68"/>
        <v xml:space="preserve"> </v>
      </c>
      <c r="R157" s="7" t="str">
        <f t="shared" si="69"/>
        <v xml:space="preserve"> </v>
      </c>
      <c r="S157" s="7" t="str">
        <f t="shared" si="70"/>
        <v xml:space="preserve"> </v>
      </c>
      <c r="U157" s="306"/>
    </row>
    <row r="158" spans="4:21" x14ac:dyDescent="0.15">
      <c r="D158" s="306" t="str">
        <f t="shared" si="57"/>
        <v xml:space="preserve"> </v>
      </c>
      <c r="G158" s="7" t="str">
        <f t="shared" si="58"/>
        <v xml:space="preserve"> </v>
      </c>
      <c r="H158" s="7" t="str">
        <f t="shared" si="59"/>
        <v xml:space="preserve"> </v>
      </c>
      <c r="I158" s="7" t="str">
        <f t="shared" si="60"/>
        <v xml:space="preserve"> </v>
      </c>
      <c r="J158" s="7" t="str">
        <f t="shared" si="61"/>
        <v xml:space="preserve"> </v>
      </c>
      <c r="K158" s="7" t="str">
        <f t="shared" si="62"/>
        <v xml:space="preserve"> </v>
      </c>
      <c r="L158" s="7" t="str">
        <f t="shared" si="63"/>
        <v xml:space="preserve"> </v>
      </c>
      <c r="M158" s="7" t="str">
        <f t="shared" si="64"/>
        <v xml:space="preserve"> </v>
      </c>
      <c r="N158" s="7" t="str">
        <f t="shared" si="65"/>
        <v xml:space="preserve"> </v>
      </c>
      <c r="O158" s="7" t="str">
        <f t="shared" si="66"/>
        <v xml:space="preserve"> </v>
      </c>
      <c r="P158" s="7" t="str">
        <f t="shared" si="67"/>
        <v xml:space="preserve"> </v>
      </c>
      <c r="Q158" s="7" t="str">
        <f t="shared" si="68"/>
        <v xml:space="preserve"> </v>
      </c>
      <c r="R158" s="7" t="str">
        <f t="shared" si="69"/>
        <v xml:space="preserve"> </v>
      </c>
      <c r="S158" s="7" t="str">
        <f t="shared" si="70"/>
        <v xml:space="preserve"> </v>
      </c>
      <c r="U158" s="306"/>
    </row>
    <row r="159" spans="4:21" x14ac:dyDescent="0.15">
      <c r="D159" s="306" t="str">
        <f t="shared" si="57"/>
        <v xml:space="preserve"> </v>
      </c>
      <c r="G159" s="7" t="str">
        <f t="shared" si="58"/>
        <v xml:space="preserve"> </v>
      </c>
      <c r="H159" s="7" t="str">
        <f t="shared" si="59"/>
        <v xml:space="preserve"> </v>
      </c>
      <c r="I159" s="7" t="str">
        <f t="shared" si="60"/>
        <v xml:space="preserve"> </v>
      </c>
      <c r="J159" s="7" t="str">
        <f t="shared" si="61"/>
        <v xml:space="preserve"> </v>
      </c>
      <c r="K159" s="7" t="str">
        <f t="shared" si="62"/>
        <v xml:space="preserve"> </v>
      </c>
      <c r="L159" s="7" t="str">
        <f t="shared" si="63"/>
        <v xml:space="preserve"> </v>
      </c>
      <c r="M159" s="7" t="str">
        <f t="shared" si="64"/>
        <v xml:space="preserve"> </v>
      </c>
      <c r="N159" s="7" t="str">
        <f t="shared" si="65"/>
        <v xml:space="preserve"> </v>
      </c>
      <c r="O159" s="7" t="str">
        <f t="shared" si="66"/>
        <v xml:space="preserve"> </v>
      </c>
      <c r="P159" s="7" t="str">
        <f t="shared" si="67"/>
        <v xml:space="preserve"> </v>
      </c>
      <c r="Q159" s="7" t="str">
        <f t="shared" si="68"/>
        <v xml:space="preserve"> </v>
      </c>
      <c r="R159" s="7" t="str">
        <f t="shared" si="69"/>
        <v xml:space="preserve"> </v>
      </c>
      <c r="S159" s="7" t="str">
        <f t="shared" si="70"/>
        <v xml:space="preserve"> </v>
      </c>
      <c r="U159" s="306"/>
    </row>
    <row r="160" spans="4:21" x14ac:dyDescent="0.15">
      <c r="D160" s="306" t="str">
        <f t="shared" si="57"/>
        <v xml:space="preserve"> </v>
      </c>
      <c r="G160" s="7" t="str">
        <f t="shared" si="58"/>
        <v xml:space="preserve"> </v>
      </c>
      <c r="H160" s="7" t="str">
        <f t="shared" si="59"/>
        <v xml:space="preserve"> </v>
      </c>
      <c r="I160" s="7" t="str">
        <f t="shared" si="60"/>
        <v xml:space="preserve"> </v>
      </c>
      <c r="J160" s="7" t="str">
        <f t="shared" si="61"/>
        <v xml:space="preserve"> </v>
      </c>
      <c r="K160" s="7" t="str">
        <f t="shared" si="62"/>
        <v xml:space="preserve"> </v>
      </c>
      <c r="L160" s="7" t="str">
        <f t="shared" si="63"/>
        <v xml:space="preserve"> </v>
      </c>
      <c r="M160" s="7" t="str">
        <f t="shared" si="64"/>
        <v xml:space="preserve"> </v>
      </c>
      <c r="N160" s="7" t="str">
        <f t="shared" si="65"/>
        <v xml:space="preserve"> </v>
      </c>
      <c r="O160" s="7" t="str">
        <f t="shared" si="66"/>
        <v xml:space="preserve"> </v>
      </c>
      <c r="P160" s="7" t="str">
        <f t="shared" si="67"/>
        <v xml:space="preserve"> </v>
      </c>
      <c r="Q160" s="7" t="str">
        <f t="shared" si="68"/>
        <v xml:space="preserve"> </v>
      </c>
      <c r="R160" s="7" t="str">
        <f t="shared" si="69"/>
        <v xml:space="preserve"> </v>
      </c>
      <c r="S160" s="7" t="str">
        <f t="shared" si="70"/>
        <v xml:space="preserve"> </v>
      </c>
      <c r="U160" s="306"/>
    </row>
    <row r="161" spans="4:21" x14ac:dyDescent="0.15">
      <c r="D161" s="306" t="str">
        <f t="shared" si="57"/>
        <v xml:space="preserve"> </v>
      </c>
      <c r="G161" s="7" t="str">
        <f t="shared" si="58"/>
        <v xml:space="preserve"> </v>
      </c>
      <c r="H161" s="7" t="str">
        <f t="shared" si="59"/>
        <v xml:space="preserve"> </v>
      </c>
      <c r="I161" s="7" t="str">
        <f t="shared" si="60"/>
        <v xml:space="preserve"> </v>
      </c>
      <c r="J161" s="7" t="str">
        <f t="shared" si="61"/>
        <v xml:space="preserve"> </v>
      </c>
      <c r="K161" s="7" t="str">
        <f t="shared" si="62"/>
        <v xml:space="preserve"> </v>
      </c>
      <c r="L161" s="7" t="str">
        <f t="shared" si="63"/>
        <v xml:space="preserve"> </v>
      </c>
      <c r="M161" s="7" t="str">
        <f t="shared" si="64"/>
        <v xml:space="preserve"> </v>
      </c>
      <c r="N161" s="7" t="str">
        <f t="shared" si="65"/>
        <v xml:space="preserve"> </v>
      </c>
      <c r="O161" s="7" t="str">
        <f t="shared" si="66"/>
        <v xml:space="preserve"> </v>
      </c>
      <c r="P161" s="7" t="str">
        <f t="shared" si="67"/>
        <v xml:space="preserve"> </v>
      </c>
      <c r="Q161" s="7" t="str">
        <f t="shared" si="68"/>
        <v xml:space="preserve"> </v>
      </c>
      <c r="R161" s="7" t="str">
        <f t="shared" si="69"/>
        <v xml:space="preserve"> </v>
      </c>
      <c r="S161" s="7" t="str">
        <f t="shared" si="70"/>
        <v xml:space="preserve"> </v>
      </c>
      <c r="U161" s="306"/>
    </row>
    <row r="162" spans="4:21" x14ac:dyDescent="0.15">
      <c r="D162" s="306" t="str">
        <f t="shared" si="57"/>
        <v xml:space="preserve"> </v>
      </c>
      <c r="G162" s="7" t="str">
        <f t="shared" si="58"/>
        <v xml:space="preserve"> </v>
      </c>
      <c r="H162" s="7" t="str">
        <f t="shared" si="59"/>
        <v xml:space="preserve"> </v>
      </c>
      <c r="I162" s="7" t="str">
        <f t="shared" si="60"/>
        <v xml:space="preserve"> </v>
      </c>
      <c r="J162" s="7" t="str">
        <f t="shared" si="61"/>
        <v xml:space="preserve"> </v>
      </c>
      <c r="K162" s="7" t="str">
        <f t="shared" si="62"/>
        <v xml:space="preserve"> </v>
      </c>
      <c r="L162" s="7" t="str">
        <f t="shared" si="63"/>
        <v xml:space="preserve"> </v>
      </c>
      <c r="M162" s="7" t="str">
        <f t="shared" si="64"/>
        <v xml:space="preserve"> </v>
      </c>
      <c r="N162" s="7" t="str">
        <f t="shared" si="65"/>
        <v xml:space="preserve"> </v>
      </c>
      <c r="O162" s="7" t="str">
        <f t="shared" si="66"/>
        <v xml:space="preserve"> </v>
      </c>
      <c r="P162" s="7" t="str">
        <f t="shared" si="67"/>
        <v xml:space="preserve"> </v>
      </c>
      <c r="Q162" s="7" t="str">
        <f t="shared" si="68"/>
        <v xml:space="preserve"> </v>
      </c>
      <c r="R162" s="7" t="str">
        <f t="shared" si="69"/>
        <v xml:space="preserve"> </v>
      </c>
      <c r="S162" s="7" t="str">
        <f t="shared" si="70"/>
        <v xml:space="preserve"> </v>
      </c>
      <c r="U162" s="306"/>
    </row>
    <row r="163" spans="4:21" x14ac:dyDescent="0.15">
      <c r="D163" s="306" t="str">
        <f t="shared" si="57"/>
        <v xml:space="preserve"> </v>
      </c>
      <c r="G163" s="7" t="str">
        <f t="shared" si="58"/>
        <v xml:space="preserve"> </v>
      </c>
      <c r="H163" s="7" t="str">
        <f t="shared" si="59"/>
        <v xml:space="preserve"> </v>
      </c>
      <c r="I163" s="7" t="str">
        <f t="shared" si="60"/>
        <v xml:space="preserve"> </v>
      </c>
      <c r="J163" s="7" t="str">
        <f t="shared" si="61"/>
        <v xml:space="preserve"> </v>
      </c>
      <c r="K163" s="7" t="str">
        <f t="shared" si="62"/>
        <v xml:space="preserve"> </v>
      </c>
      <c r="L163" s="7" t="str">
        <f t="shared" si="63"/>
        <v xml:space="preserve"> </v>
      </c>
      <c r="M163" s="7" t="str">
        <f t="shared" si="64"/>
        <v xml:space="preserve"> </v>
      </c>
      <c r="N163" s="7" t="str">
        <f t="shared" si="65"/>
        <v xml:space="preserve"> </v>
      </c>
      <c r="O163" s="7" t="str">
        <f t="shared" si="66"/>
        <v xml:space="preserve"> </v>
      </c>
      <c r="P163" s="7" t="str">
        <f t="shared" si="67"/>
        <v xml:space="preserve"> </v>
      </c>
      <c r="Q163" s="7" t="str">
        <f t="shared" si="68"/>
        <v xml:space="preserve"> </v>
      </c>
      <c r="R163" s="7" t="str">
        <f t="shared" si="69"/>
        <v xml:space="preserve"> </v>
      </c>
      <c r="S163" s="7" t="str">
        <f t="shared" si="70"/>
        <v xml:space="preserve"> </v>
      </c>
      <c r="U163" s="306"/>
    </row>
    <row r="164" spans="4:21" x14ac:dyDescent="0.15">
      <c r="D164" s="306" t="str">
        <f t="shared" si="57"/>
        <v xml:space="preserve"> </v>
      </c>
      <c r="G164" s="7" t="str">
        <f t="shared" si="58"/>
        <v xml:space="preserve"> </v>
      </c>
      <c r="H164" s="7" t="str">
        <f t="shared" si="59"/>
        <v xml:space="preserve"> </v>
      </c>
      <c r="I164" s="7" t="str">
        <f t="shared" si="60"/>
        <v xml:space="preserve"> </v>
      </c>
      <c r="J164" s="7" t="str">
        <f t="shared" si="61"/>
        <v xml:space="preserve"> </v>
      </c>
      <c r="K164" s="7" t="str">
        <f t="shared" si="62"/>
        <v xml:space="preserve"> </v>
      </c>
      <c r="L164" s="7" t="str">
        <f t="shared" si="63"/>
        <v xml:space="preserve"> </v>
      </c>
      <c r="M164" s="7" t="str">
        <f t="shared" si="64"/>
        <v xml:space="preserve"> </v>
      </c>
      <c r="N164" s="7" t="str">
        <f t="shared" si="65"/>
        <v xml:space="preserve"> </v>
      </c>
      <c r="O164" s="7" t="str">
        <f t="shared" si="66"/>
        <v xml:space="preserve"> </v>
      </c>
      <c r="P164" s="7" t="str">
        <f t="shared" si="67"/>
        <v xml:space="preserve"> </v>
      </c>
      <c r="Q164" s="7" t="str">
        <f t="shared" si="68"/>
        <v xml:space="preserve"> </v>
      </c>
      <c r="R164" s="7" t="str">
        <f t="shared" si="69"/>
        <v xml:space="preserve"> </v>
      </c>
      <c r="S164" s="7" t="str">
        <f t="shared" si="70"/>
        <v xml:space="preserve"> </v>
      </c>
      <c r="U164" s="306"/>
    </row>
    <row r="165" spans="4:21" x14ac:dyDescent="0.15">
      <c r="D165" s="306" t="str">
        <f t="shared" ref="D165:D196" si="71">IF((F165&lt;&gt;0),"Enter Letter"," ")</f>
        <v xml:space="preserve"> </v>
      </c>
      <c r="G165" s="7" t="str">
        <f t="shared" ref="G165:G196" si="72">IF((D165="d"),F165," ")</f>
        <v xml:space="preserve"> </v>
      </c>
      <c r="H165" s="7" t="str">
        <f t="shared" ref="H165:H196" si="73">IF((D165="h"),F165," ")</f>
        <v xml:space="preserve"> </v>
      </c>
      <c r="I165" s="7" t="str">
        <f t="shared" ref="I165:I196" si="74">IF((D165="r"),F165," ")</f>
        <v xml:space="preserve"> </v>
      </c>
      <c r="J165" s="7" t="str">
        <f t="shared" ref="J165:J196" si="75">IF((D165="t"),F165," ")</f>
        <v xml:space="preserve"> </v>
      </c>
      <c r="K165" s="7" t="str">
        <f t="shared" ref="K165:K196" si="76">IF((D165="e"),F165," ")</f>
        <v xml:space="preserve"> </v>
      </c>
      <c r="L165" s="7" t="str">
        <f t="shared" ref="L165:L196" si="77">IF((D165="p"),F165," ")</f>
        <v xml:space="preserve"> </v>
      </c>
      <c r="M165" s="7" t="str">
        <f t="shared" ref="M165:M196" si="78">IF((D165="g"),F165," ")</f>
        <v xml:space="preserve"> </v>
      </c>
      <c r="N165" s="7" t="str">
        <f t="shared" ref="N165:N196" si="79">IF((D165="a"),F165," ")</f>
        <v xml:space="preserve"> </v>
      </c>
      <c r="O165" s="7" t="str">
        <f t="shared" ref="O165:O196" si="80">IF((D165="l"),F165," ")</f>
        <v xml:space="preserve"> </v>
      </c>
      <c r="P165" s="7" t="str">
        <f t="shared" ref="P165:P196" si="81">IF((D165="i"),F165," ")</f>
        <v xml:space="preserve"> </v>
      </c>
      <c r="Q165" s="7" t="str">
        <f t="shared" ref="Q165:Q196" si="82">IF((D165="b"),F165," ")</f>
        <v xml:space="preserve"> </v>
      </c>
      <c r="R165" s="7" t="str">
        <f t="shared" ref="R165:R196" si="83">IF((D165="o"),F165," ")</f>
        <v xml:space="preserve"> </v>
      </c>
      <c r="S165" s="7" t="str">
        <f t="shared" ref="S165:S196" si="84">IF((D165="f"),F165," ")</f>
        <v xml:space="preserve"> </v>
      </c>
      <c r="U165" s="306"/>
    </row>
    <row r="166" spans="4:21" x14ac:dyDescent="0.15">
      <c r="D166" s="306" t="str">
        <f t="shared" si="71"/>
        <v xml:space="preserve"> </v>
      </c>
      <c r="G166" s="7" t="str">
        <f t="shared" si="72"/>
        <v xml:space="preserve"> </v>
      </c>
      <c r="H166" s="7" t="str">
        <f t="shared" si="73"/>
        <v xml:space="preserve"> </v>
      </c>
      <c r="I166" s="7" t="str">
        <f t="shared" si="74"/>
        <v xml:space="preserve"> </v>
      </c>
      <c r="J166" s="7" t="str">
        <f t="shared" si="75"/>
        <v xml:space="preserve"> </v>
      </c>
      <c r="K166" s="7" t="str">
        <f t="shared" si="76"/>
        <v xml:space="preserve"> </v>
      </c>
      <c r="L166" s="7" t="str">
        <f t="shared" si="77"/>
        <v xml:space="preserve"> </v>
      </c>
      <c r="M166" s="7" t="str">
        <f t="shared" si="78"/>
        <v xml:space="preserve"> </v>
      </c>
      <c r="N166" s="7" t="str">
        <f t="shared" si="79"/>
        <v xml:space="preserve"> </v>
      </c>
      <c r="O166" s="7" t="str">
        <f t="shared" si="80"/>
        <v xml:space="preserve"> </v>
      </c>
      <c r="P166" s="7" t="str">
        <f t="shared" si="81"/>
        <v xml:space="preserve"> </v>
      </c>
      <c r="Q166" s="7" t="str">
        <f t="shared" si="82"/>
        <v xml:space="preserve"> </v>
      </c>
      <c r="R166" s="7" t="str">
        <f t="shared" si="83"/>
        <v xml:space="preserve"> </v>
      </c>
      <c r="S166" s="7" t="str">
        <f t="shared" si="84"/>
        <v xml:space="preserve"> </v>
      </c>
      <c r="U166" s="306"/>
    </row>
    <row r="167" spans="4:21" x14ac:dyDescent="0.15">
      <c r="D167" s="306" t="str">
        <f t="shared" si="71"/>
        <v xml:space="preserve"> </v>
      </c>
      <c r="G167" s="7" t="str">
        <f t="shared" si="72"/>
        <v xml:space="preserve"> </v>
      </c>
      <c r="H167" s="7" t="str">
        <f t="shared" si="73"/>
        <v xml:space="preserve"> </v>
      </c>
      <c r="I167" s="7" t="str">
        <f t="shared" si="74"/>
        <v xml:space="preserve"> </v>
      </c>
      <c r="J167" s="7" t="str">
        <f t="shared" si="75"/>
        <v xml:space="preserve"> </v>
      </c>
      <c r="K167" s="7" t="str">
        <f t="shared" si="76"/>
        <v xml:space="preserve"> </v>
      </c>
      <c r="L167" s="7" t="str">
        <f t="shared" si="77"/>
        <v xml:space="preserve"> </v>
      </c>
      <c r="M167" s="7" t="str">
        <f t="shared" si="78"/>
        <v xml:space="preserve"> </v>
      </c>
      <c r="N167" s="7" t="str">
        <f t="shared" si="79"/>
        <v xml:space="preserve"> </v>
      </c>
      <c r="O167" s="7" t="str">
        <f t="shared" si="80"/>
        <v xml:space="preserve"> </v>
      </c>
      <c r="P167" s="7" t="str">
        <f t="shared" si="81"/>
        <v xml:space="preserve"> </v>
      </c>
      <c r="Q167" s="7" t="str">
        <f t="shared" si="82"/>
        <v xml:space="preserve"> </v>
      </c>
      <c r="R167" s="7" t="str">
        <f t="shared" si="83"/>
        <v xml:space="preserve"> </v>
      </c>
      <c r="S167" s="7" t="str">
        <f t="shared" si="84"/>
        <v xml:space="preserve"> </v>
      </c>
      <c r="U167" s="306"/>
    </row>
    <row r="168" spans="4:21" x14ac:dyDescent="0.15">
      <c r="D168" s="306" t="str">
        <f t="shared" si="71"/>
        <v xml:space="preserve"> </v>
      </c>
      <c r="G168" s="7" t="str">
        <f t="shared" si="72"/>
        <v xml:space="preserve"> </v>
      </c>
      <c r="H168" s="7" t="str">
        <f t="shared" si="73"/>
        <v xml:space="preserve"> </v>
      </c>
      <c r="I168" s="7" t="str">
        <f t="shared" si="74"/>
        <v xml:space="preserve"> </v>
      </c>
      <c r="J168" s="7" t="str">
        <f t="shared" si="75"/>
        <v xml:space="preserve"> </v>
      </c>
      <c r="K168" s="7" t="str">
        <f t="shared" si="76"/>
        <v xml:space="preserve"> </v>
      </c>
      <c r="L168" s="7" t="str">
        <f t="shared" si="77"/>
        <v xml:space="preserve"> </v>
      </c>
      <c r="M168" s="7" t="str">
        <f t="shared" si="78"/>
        <v xml:space="preserve"> </v>
      </c>
      <c r="N168" s="7" t="str">
        <f t="shared" si="79"/>
        <v xml:space="preserve"> </v>
      </c>
      <c r="O168" s="7" t="str">
        <f t="shared" si="80"/>
        <v xml:space="preserve"> </v>
      </c>
      <c r="P168" s="7" t="str">
        <f t="shared" si="81"/>
        <v xml:space="preserve"> </v>
      </c>
      <c r="Q168" s="7" t="str">
        <f t="shared" si="82"/>
        <v xml:space="preserve"> </v>
      </c>
      <c r="R168" s="7" t="str">
        <f t="shared" si="83"/>
        <v xml:space="preserve"> </v>
      </c>
      <c r="S168" s="7" t="str">
        <f t="shared" si="84"/>
        <v xml:space="preserve"> </v>
      </c>
      <c r="U168" s="306"/>
    </row>
    <row r="169" spans="4:21" x14ac:dyDescent="0.15">
      <c r="D169" s="306" t="str">
        <f t="shared" si="71"/>
        <v xml:space="preserve"> </v>
      </c>
      <c r="G169" s="7" t="str">
        <f t="shared" si="72"/>
        <v xml:space="preserve"> </v>
      </c>
      <c r="H169" s="7" t="str">
        <f t="shared" si="73"/>
        <v xml:space="preserve"> </v>
      </c>
      <c r="I169" s="7" t="str">
        <f t="shared" si="74"/>
        <v xml:space="preserve"> </v>
      </c>
      <c r="J169" s="7" t="str">
        <f t="shared" si="75"/>
        <v xml:space="preserve"> </v>
      </c>
      <c r="K169" s="7" t="str">
        <f t="shared" si="76"/>
        <v xml:space="preserve"> </v>
      </c>
      <c r="L169" s="7" t="str">
        <f t="shared" si="77"/>
        <v xml:space="preserve"> </v>
      </c>
      <c r="M169" s="7" t="str">
        <f t="shared" si="78"/>
        <v xml:space="preserve"> </v>
      </c>
      <c r="N169" s="7" t="str">
        <f t="shared" si="79"/>
        <v xml:space="preserve"> </v>
      </c>
      <c r="O169" s="7" t="str">
        <f t="shared" si="80"/>
        <v xml:space="preserve"> </v>
      </c>
      <c r="P169" s="7" t="str">
        <f t="shared" si="81"/>
        <v xml:space="preserve"> </v>
      </c>
      <c r="Q169" s="7" t="str">
        <f t="shared" si="82"/>
        <v xml:space="preserve"> </v>
      </c>
      <c r="R169" s="7" t="str">
        <f t="shared" si="83"/>
        <v xml:space="preserve"> </v>
      </c>
      <c r="S169" s="7" t="str">
        <f t="shared" si="84"/>
        <v xml:space="preserve"> </v>
      </c>
      <c r="U169" s="306"/>
    </row>
    <row r="170" spans="4:21" x14ac:dyDescent="0.15">
      <c r="D170" s="306" t="str">
        <f t="shared" si="71"/>
        <v xml:space="preserve"> </v>
      </c>
      <c r="G170" s="7" t="str">
        <f t="shared" si="72"/>
        <v xml:space="preserve"> </v>
      </c>
      <c r="H170" s="7" t="str">
        <f t="shared" si="73"/>
        <v xml:space="preserve"> </v>
      </c>
      <c r="I170" s="7" t="str">
        <f t="shared" si="74"/>
        <v xml:space="preserve"> </v>
      </c>
      <c r="J170" s="7" t="str">
        <f t="shared" si="75"/>
        <v xml:space="preserve"> </v>
      </c>
      <c r="K170" s="7" t="str">
        <f t="shared" si="76"/>
        <v xml:space="preserve"> </v>
      </c>
      <c r="L170" s="7" t="str">
        <f t="shared" si="77"/>
        <v xml:space="preserve"> </v>
      </c>
      <c r="M170" s="7" t="str">
        <f t="shared" si="78"/>
        <v xml:space="preserve"> </v>
      </c>
      <c r="N170" s="7" t="str">
        <f t="shared" si="79"/>
        <v xml:space="preserve"> </v>
      </c>
      <c r="O170" s="7" t="str">
        <f t="shared" si="80"/>
        <v xml:space="preserve"> </v>
      </c>
      <c r="P170" s="7" t="str">
        <f t="shared" si="81"/>
        <v xml:space="preserve"> </v>
      </c>
      <c r="Q170" s="7" t="str">
        <f t="shared" si="82"/>
        <v xml:space="preserve"> </v>
      </c>
      <c r="R170" s="7" t="str">
        <f t="shared" si="83"/>
        <v xml:space="preserve"> </v>
      </c>
      <c r="S170" s="7" t="str">
        <f t="shared" si="84"/>
        <v xml:space="preserve"> </v>
      </c>
      <c r="U170" s="306"/>
    </row>
    <row r="171" spans="4:21" x14ac:dyDescent="0.15">
      <c r="D171" s="306" t="str">
        <f t="shared" si="71"/>
        <v xml:space="preserve"> </v>
      </c>
      <c r="G171" s="7" t="str">
        <f t="shared" si="72"/>
        <v xml:space="preserve"> </v>
      </c>
      <c r="H171" s="7" t="str">
        <f t="shared" si="73"/>
        <v xml:space="preserve"> </v>
      </c>
      <c r="I171" s="7" t="str">
        <f t="shared" si="74"/>
        <v xml:space="preserve"> </v>
      </c>
      <c r="J171" s="7" t="str">
        <f t="shared" si="75"/>
        <v xml:space="preserve"> </v>
      </c>
      <c r="K171" s="7" t="str">
        <f t="shared" si="76"/>
        <v xml:space="preserve"> </v>
      </c>
      <c r="L171" s="7" t="str">
        <f t="shared" si="77"/>
        <v xml:space="preserve"> </v>
      </c>
      <c r="M171" s="7" t="str">
        <f t="shared" si="78"/>
        <v xml:space="preserve"> </v>
      </c>
      <c r="N171" s="7" t="str">
        <f t="shared" si="79"/>
        <v xml:space="preserve"> </v>
      </c>
      <c r="O171" s="7" t="str">
        <f t="shared" si="80"/>
        <v xml:space="preserve"> </v>
      </c>
      <c r="P171" s="7" t="str">
        <f t="shared" si="81"/>
        <v xml:space="preserve"> </v>
      </c>
      <c r="Q171" s="7" t="str">
        <f t="shared" si="82"/>
        <v xml:space="preserve"> </v>
      </c>
      <c r="R171" s="7" t="str">
        <f t="shared" si="83"/>
        <v xml:space="preserve"> </v>
      </c>
      <c r="S171" s="7" t="str">
        <f t="shared" si="84"/>
        <v xml:space="preserve"> </v>
      </c>
      <c r="U171" s="306"/>
    </row>
    <row r="172" spans="4:21" x14ac:dyDescent="0.15">
      <c r="D172" s="306" t="str">
        <f t="shared" si="71"/>
        <v xml:space="preserve"> </v>
      </c>
      <c r="G172" s="7" t="str">
        <f t="shared" si="72"/>
        <v xml:space="preserve"> </v>
      </c>
      <c r="H172" s="7" t="str">
        <f t="shared" si="73"/>
        <v xml:space="preserve"> </v>
      </c>
      <c r="I172" s="7" t="str">
        <f t="shared" si="74"/>
        <v xml:space="preserve"> </v>
      </c>
      <c r="J172" s="7" t="str">
        <f t="shared" si="75"/>
        <v xml:space="preserve"> </v>
      </c>
      <c r="K172" s="7" t="str">
        <f t="shared" si="76"/>
        <v xml:space="preserve"> </v>
      </c>
      <c r="L172" s="7" t="str">
        <f t="shared" si="77"/>
        <v xml:space="preserve"> </v>
      </c>
      <c r="M172" s="7" t="str">
        <f t="shared" si="78"/>
        <v xml:space="preserve"> </v>
      </c>
      <c r="N172" s="7" t="str">
        <f t="shared" si="79"/>
        <v xml:space="preserve"> </v>
      </c>
      <c r="O172" s="7" t="str">
        <f t="shared" si="80"/>
        <v xml:space="preserve"> </v>
      </c>
      <c r="P172" s="7" t="str">
        <f t="shared" si="81"/>
        <v xml:space="preserve"> </v>
      </c>
      <c r="Q172" s="7" t="str">
        <f t="shared" si="82"/>
        <v xml:space="preserve"> </v>
      </c>
      <c r="R172" s="7" t="str">
        <f t="shared" si="83"/>
        <v xml:space="preserve"> </v>
      </c>
      <c r="S172" s="7" t="str">
        <f t="shared" si="84"/>
        <v xml:space="preserve"> </v>
      </c>
      <c r="U172" s="306"/>
    </row>
    <row r="173" spans="4:21" x14ac:dyDescent="0.15">
      <c r="D173" s="306" t="str">
        <f t="shared" si="71"/>
        <v xml:space="preserve"> </v>
      </c>
      <c r="G173" s="7" t="str">
        <f t="shared" si="72"/>
        <v xml:space="preserve"> </v>
      </c>
      <c r="H173" s="7" t="str">
        <f t="shared" si="73"/>
        <v xml:space="preserve"> </v>
      </c>
      <c r="I173" s="7" t="str">
        <f t="shared" si="74"/>
        <v xml:space="preserve"> </v>
      </c>
      <c r="J173" s="7" t="str">
        <f t="shared" si="75"/>
        <v xml:space="preserve"> </v>
      </c>
      <c r="K173" s="7" t="str">
        <f t="shared" si="76"/>
        <v xml:space="preserve"> </v>
      </c>
      <c r="L173" s="7" t="str">
        <f t="shared" si="77"/>
        <v xml:space="preserve"> </v>
      </c>
      <c r="M173" s="7" t="str">
        <f t="shared" si="78"/>
        <v xml:space="preserve"> </v>
      </c>
      <c r="N173" s="7" t="str">
        <f t="shared" si="79"/>
        <v xml:space="preserve"> </v>
      </c>
      <c r="O173" s="7" t="str">
        <f t="shared" si="80"/>
        <v xml:space="preserve"> </v>
      </c>
      <c r="P173" s="7" t="str">
        <f t="shared" si="81"/>
        <v xml:space="preserve"> </v>
      </c>
      <c r="Q173" s="7" t="str">
        <f t="shared" si="82"/>
        <v xml:space="preserve"> </v>
      </c>
      <c r="R173" s="7" t="str">
        <f t="shared" si="83"/>
        <v xml:space="preserve"> </v>
      </c>
      <c r="S173" s="7" t="str">
        <f t="shared" si="84"/>
        <v xml:space="preserve"> </v>
      </c>
      <c r="U173" s="306"/>
    </row>
    <row r="174" spans="4:21" x14ac:dyDescent="0.15">
      <c r="D174" s="306" t="str">
        <f t="shared" si="71"/>
        <v xml:space="preserve"> </v>
      </c>
      <c r="G174" s="7" t="str">
        <f t="shared" si="72"/>
        <v xml:space="preserve"> </v>
      </c>
      <c r="H174" s="7" t="str">
        <f t="shared" si="73"/>
        <v xml:space="preserve"> </v>
      </c>
      <c r="I174" s="7" t="str">
        <f t="shared" si="74"/>
        <v xml:space="preserve"> </v>
      </c>
      <c r="J174" s="7" t="str">
        <f t="shared" si="75"/>
        <v xml:space="preserve"> </v>
      </c>
      <c r="K174" s="7" t="str">
        <f t="shared" si="76"/>
        <v xml:space="preserve"> </v>
      </c>
      <c r="L174" s="7" t="str">
        <f t="shared" si="77"/>
        <v xml:space="preserve"> </v>
      </c>
      <c r="M174" s="7" t="str">
        <f t="shared" si="78"/>
        <v xml:space="preserve"> </v>
      </c>
      <c r="N174" s="7" t="str">
        <f t="shared" si="79"/>
        <v xml:space="preserve"> </v>
      </c>
      <c r="O174" s="7" t="str">
        <f t="shared" si="80"/>
        <v xml:space="preserve"> </v>
      </c>
      <c r="P174" s="7" t="str">
        <f t="shared" si="81"/>
        <v xml:space="preserve"> </v>
      </c>
      <c r="Q174" s="7" t="str">
        <f t="shared" si="82"/>
        <v xml:space="preserve"> </v>
      </c>
      <c r="R174" s="7" t="str">
        <f t="shared" si="83"/>
        <v xml:space="preserve"> </v>
      </c>
      <c r="S174" s="7" t="str">
        <f t="shared" si="84"/>
        <v xml:space="preserve"> </v>
      </c>
      <c r="U174" s="306"/>
    </row>
    <row r="175" spans="4:21" x14ac:dyDescent="0.15">
      <c r="D175" s="306" t="str">
        <f t="shared" si="71"/>
        <v xml:space="preserve"> </v>
      </c>
      <c r="G175" s="7" t="str">
        <f t="shared" si="72"/>
        <v xml:space="preserve"> </v>
      </c>
      <c r="H175" s="7" t="str">
        <f t="shared" si="73"/>
        <v xml:space="preserve"> </v>
      </c>
      <c r="I175" s="7" t="str">
        <f t="shared" si="74"/>
        <v xml:space="preserve"> </v>
      </c>
      <c r="J175" s="7" t="str">
        <f t="shared" si="75"/>
        <v xml:space="preserve"> </v>
      </c>
      <c r="K175" s="7" t="str">
        <f t="shared" si="76"/>
        <v xml:space="preserve"> </v>
      </c>
      <c r="L175" s="7" t="str">
        <f t="shared" si="77"/>
        <v xml:space="preserve"> </v>
      </c>
      <c r="M175" s="7" t="str">
        <f t="shared" si="78"/>
        <v xml:space="preserve"> </v>
      </c>
      <c r="N175" s="7" t="str">
        <f t="shared" si="79"/>
        <v xml:space="preserve"> </v>
      </c>
      <c r="O175" s="7" t="str">
        <f t="shared" si="80"/>
        <v xml:space="preserve"> </v>
      </c>
      <c r="P175" s="7" t="str">
        <f t="shared" si="81"/>
        <v xml:space="preserve"> </v>
      </c>
      <c r="Q175" s="7" t="str">
        <f t="shared" si="82"/>
        <v xml:space="preserve"> </v>
      </c>
      <c r="R175" s="7" t="str">
        <f t="shared" si="83"/>
        <v xml:space="preserve"> </v>
      </c>
      <c r="S175" s="7" t="str">
        <f t="shared" si="84"/>
        <v xml:space="preserve"> </v>
      </c>
      <c r="U175" s="306"/>
    </row>
    <row r="176" spans="4:21" x14ac:dyDescent="0.15">
      <c r="D176" s="306" t="str">
        <f t="shared" si="71"/>
        <v xml:space="preserve"> </v>
      </c>
      <c r="G176" s="7" t="str">
        <f t="shared" si="72"/>
        <v xml:space="preserve"> </v>
      </c>
      <c r="H176" s="7" t="str">
        <f t="shared" si="73"/>
        <v xml:space="preserve"> </v>
      </c>
      <c r="I176" s="7" t="str">
        <f t="shared" si="74"/>
        <v xml:space="preserve"> </v>
      </c>
      <c r="J176" s="7" t="str">
        <f t="shared" si="75"/>
        <v xml:space="preserve"> </v>
      </c>
      <c r="K176" s="7" t="str">
        <f t="shared" si="76"/>
        <v xml:space="preserve"> </v>
      </c>
      <c r="L176" s="7" t="str">
        <f t="shared" si="77"/>
        <v xml:space="preserve"> </v>
      </c>
      <c r="M176" s="7" t="str">
        <f t="shared" si="78"/>
        <v xml:space="preserve"> </v>
      </c>
      <c r="N176" s="7" t="str">
        <f t="shared" si="79"/>
        <v xml:space="preserve"> </v>
      </c>
      <c r="O176" s="7" t="str">
        <f t="shared" si="80"/>
        <v xml:space="preserve"> </v>
      </c>
      <c r="P176" s="7" t="str">
        <f t="shared" si="81"/>
        <v xml:space="preserve"> </v>
      </c>
      <c r="Q176" s="7" t="str">
        <f t="shared" si="82"/>
        <v xml:space="preserve"> </v>
      </c>
      <c r="R176" s="7" t="str">
        <f t="shared" si="83"/>
        <v xml:space="preserve"> </v>
      </c>
      <c r="S176" s="7" t="str">
        <f t="shared" si="84"/>
        <v xml:space="preserve"> </v>
      </c>
      <c r="U176" s="306"/>
    </row>
    <row r="177" spans="4:21" x14ac:dyDescent="0.15">
      <c r="D177" s="306" t="str">
        <f t="shared" si="71"/>
        <v xml:space="preserve"> </v>
      </c>
      <c r="G177" s="7" t="str">
        <f t="shared" si="72"/>
        <v xml:space="preserve"> </v>
      </c>
      <c r="H177" s="7" t="str">
        <f t="shared" si="73"/>
        <v xml:space="preserve"> </v>
      </c>
      <c r="I177" s="7" t="str">
        <f t="shared" si="74"/>
        <v xml:space="preserve"> </v>
      </c>
      <c r="J177" s="7" t="str">
        <f t="shared" si="75"/>
        <v xml:space="preserve"> </v>
      </c>
      <c r="K177" s="7" t="str">
        <f t="shared" si="76"/>
        <v xml:space="preserve"> </v>
      </c>
      <c r="L177" s="7" t="str">
        <f t="shared" si="77"/>
        <v xml:space="preserve"> </v>
      </c>
      <c r="M177" s="7" t="str">
        <f t="shared" si="78"/>
        <v xml:space="preserve"> </v>
      </c>
      <c r="N177" s="7" t="str">
        <f t="shared" si="79"/>
        <v xml:space="preserve"> </v>
      </c>
      <c r="O177" s="7" t="str">
        <f t="shared" si="80"/>
        <v xml:space="preserve"> </v>
      </c>
      <c r="P177" s="7" t="str">
        <f t="shared" si="81"/>
        <v xml:space="preserve"> </v>
      </c>
      <c r="Q177" s="7" t="str">
        <f t="shared" si="82"/>
        <v xml:space="preserve"> </v>
      </c>
      <c r="R177" s="7" t="str">
        <f t="shared" si="83"/>
        <v xml:space="preserve"> </v>
      </c>
      <c r="S177" s="7" t="str">
        <f t="shared" si="84"/>
        <v xml:space="preserve"> </v>
      </c>
      <c r="U177" s="306"/>
    </row>
    <row r="178" spans="4:21" x14ac:dyDescent="0.15">
      <c r="D178" s="306" t="str">
        <f t="shared" si="71"/>
        <v xml:space="preserve"> </v>
      </c>
      <c r="G178" s="7" t="str">
        <f t="shared" si="72"/>
        <v xml:space="preserve"> </v>
      </c>
      <c r="H178" s="7" t="str">
        <f t="shared" si="73"/>
        <v xml:space="preserve"> </v>
      </c>
      <c r="I178" s="7" t="str">
        <f t="shared" si="74"/>
        <v xml:space="preserve"> </v>
      </c>
      <c r="J178" s="7" t="str">
        <f t="shared" si="75"/>
        <v xml:space="preserve"> </v>
      </c>
      <c r="K178" s="7" t="str">
        <f t="shared" si="76"/>
        <v xml:space="preserve"> </v>
      </c>
      <c r="L178" s="7" t="str">
        <f t="shared" si="77"/>
        <v xml:space="preserve"> </v>
      </c>
      <c r="M178" s="7" t="str">
        <f t="shared" si="78"/>
        <v xml:space="preserve"> </v>
      </c>
      <c r="N178" s="7" t="str">
        <f t="shared" si="79"/>
        <v xml:space="preserve"> </v>
      </c>
      <c r="O178" s="7" t="str">
        <f t="shared" si="80"/>
        <v xml:space="preserve"> </v>
      </c>
      <c r="P178" s="7" t="str">
        <f t="shared" si="81"/>
        <v xml:space="preserve"> </v>
      </c>
      <c r="Q178" s="7" t="str">
        <f t="shared" si="82"/>
        <v xml:space="preserve"> </v>
      </c>
      <c r="R178" s="7" t="str">
        <f t="shared" si="83"/>
        <v xml:space="preserve"> </v>
      </c>
      <c r="S178" s="7" t="str">
        <f t="shared" si="84"/>
        <v xml:space="preserve"> </v>
      </c>
      <c r="U178" s="306"/>
    </row>
    <row r="179" spans="4:21" x14ac:dyDescent="0.15">
      <c r="D179" s="306" t="str">
        <f t="shared" si="71"/>
        <v xml:space="preserve"> </v>
      </c>
      <c r="G179" s="7" t="str">
        <f t="shared" si="72"/>
        <v xml:space="preserve"> </v>
      </c>
      <c r="H179" s="7" t="str">
        <f t="shared" si="73"/>
        <v xml:space="preserve"> </v>
      </c>
      <c r="I179" s="7" t="str">
        <f t="shared" si="74"/>
        <v xml:space="preserve"> </v>
      </c>
      <c r="J179" s="7" t="str">
        <f t="shared" si="75"/>
        <v xml:space="preserve"> </v>
      </c>
      <c r="K179" s="7" t="str">
        <f t="shared" si="76"/>
        <v xml:space="preserve"> </v>
      </c>
      <c r="L179" s="7" t="str">
        <f t="shared" si="77"/>
        <v xml:space="preserve"> </v>
      </c>
      <c r="M179" s="7" t="str">
        <f t="shared" si="78"/>
        <v xml:space="preserve"> </v>
      </c>
      <c r="N179" s="7" t="str">
        <f t="shared" si="79"/>
        <v xml:space="preserve"> </v>
      </c>
      <c r="O179" s="7" t="str">
        <f t="shared" si="80"/>
        <v xml:space="preserve"> </v>
      </c>
      <c r="P179" s="7" t="str">
        <f t="shared" si="81"/>
        <v xml:space="preserve"> </v>
      </c>
      <c r="Q179" s="7" t="str">
        <f t="shared" si="82"/>
        <v xml:space="preserve"> </v>
      </c>
      <c r="R179" s="7" t="str">
        <f t="shared" si="83"/>
        <v xml:space="preserve"> </v>
      </c>
      <c r="S179" s="7" t="str">
        <f t="shared" si="84"/>
        <v xml:space="preserve"> </v>
      </c>
      <c r="U179" s="306"/>
    </row>
    <row r="180" spans="4:21" x14ac:dyDescent="0.15">
      <c r="D180" s="306" t="str">
        <f t="shared" si="71"/>
        <v xml:space="preserve"> </v>
      </c>
      <c r="G180" s="7" t="str">
        <f t="shared" si="72"/>
        <v xml:space="preserve"> </v>
      </c>
      <c r="H180" s="7" t="str">
        <f t="shared" si="73"/>
        <v xml:space="preserve"> </v>
      </c>
      <c r="I180" s="7" t="str">
        <f t="shared" si="74"/>
        <v xml:space="preserve"> </v>
      </c>
      <c r="J180" s="7" t="str">
        <f t="shared" si="75"/>
        <v xml:space="preserve"> </v>
      </c>
      <c r="K180" s="7" t="str">
        <f t="shared" si="76"/>
        <v xml:space="preserve"> </v>
      </c>
      <c r="L180" s="7" t="str">
        <f t="shared" si="77"/>
        <v xml:space="preserve"> </v>
      </c>
      <c r="M180" s="7" t="str">
        <f t="shared" si="78"/>
        <v xml:space="preserve"> </v>
      </c>
      <c r="N180" s="7" t="str">
        <f t="shared" si="79"/>
        <v xml:space="preserve"> </v>
      </c>
      <c r="O180" s="7" t="str">
        <f t="shared" si="80"/>
        <v xml:space="preserve"> </v>
      </c>
      <c r="P180" s="7" t="str">
        <f t="shared" si="81"/>
        <v xml:space="preserve"> </v>
      </c>
      <c r="Q180" s="7" t="str">
        <f t="shared" si="82"/>
        <v xml:space="preserve"> </v>
      </c>
      <c r="R180" s="7" t="str">
        <f t="shared" si="83"/>
        <v xml:space="preserve"> </v>
      </c>
      <c r="S180" s="7" t="str">
        <f t="shared" si="84"/>
        <v xml:space="preserve"> </v>
      </c>
      <c r="U180" s="306"/>
    </row>
    <row r="181" spans="4:21" x14ac:dyDescent="0.15">
      <c r="D181" s="306" t="str">
        <f t="shared" si="71"/>
        <v xml:space="preserve"> </v>
      </c>
      <c r="G181" s="7" t="str">
        <f t="shared" si="72"/>
        <v xml:space="preserve"> </v>
      </c>
      <c r="H181" s="7" t="str">
        <f t="shared" si="73"/>
        <v xml:space="preserve"> </v>
      </c>
      <c r="I181" s="7" t="str">
        <f t="shared" si="74"/>
        <v xml:space="preserve"> </v>
      </c>
      <c r="J181" s="7" t="str">
        <f t="shared" si="75"/>
        <v xml:space="preserve"> </v>
      </c>
      <c r="K181" s="7" t="str">
        <f t="shared" si="76"/>
        <v xml:space="preserve"> </v>
      </c>
      <c r="L181" s="7" t="str">
        <f t="shared" si="77"/>
        <v xml:space="preserve"> </v>
      </c>
      <c r="M181" s="7" t="str">
        <f t="shared" si="78"/>
        <v xml:space="preserve"> </v>
      </c>
      <c r="N181" s="7" t="str">
        <f t="shared" si="79"/>
        <v xml:space="preserve"> </v>
      </c>
      <c r="O181" s="7" t="str">
        <f t="shared" si="80"/>
        <v xml:space="preserve"> </v>
      </c>
      <c r="P181" s="7" t="str">
        <f t="shared" si="81"/>
        <v xml:space="preserve"> </v>
      </c>
      <c r="Q181" s="7" t="str">
        <f t="shared" si="82"/>
        <v xml:space="preserve"> </v>
      </c>
      <c r="R181" s="7" t="str">
        <f t="shared" si="83"/>
        <v xml:space="preserve"> </v>
      </c>
      <c r="S181" s="7" t="str">
        <f t="shared" si="84"/>
        <v xml:space="preserve"> </v>
      </c>
      <c r="U181" s="306"/>
    </row>
    <row r="182" spans="4:21" x14ac:dyDescent="0.15">
      <c r="D182" s="306" t="str">
        <f t="shared" si="71"/>
        <v xml:space="preserve"> </v>
      </c>
      <c r="G182" s="7" t="str">
        <f t="shared" si="72"/>
        <v xml:space="preserve"> </v>
      </c>
      <c r="H182" s="7" t="str">
        <f t="shared" si="73"/>
        <v xml:space="preserve"> </v>
      </c>
      <c r="I182" s="7" t="str">
        <f t="shared" si="74"/>
        <v xml:space="preserve"> </v>
      </c>
      <c r="J182" s="7" t="str">
        <f t="shared" si="75"/>
        <v xml:space="preserve"> </v>
      </c>
      <c r="K182" s="7" t="str">
        <f t="shared" si="76"/>
        <v xml:space="preserve"> </v>
      </c>
      <c r="L182" s="7" t="str">
        <f t="shared" si="77"/>
        <v xml:space="preserve"> </v>
      </c>
      <c r="M182" s="7" t="str">
        <f t="shared" si="78"/>
        <v xml:space="preserve"> </v>
      </c>
      <c r="N182" s="7" t="str">
        <f t="shared" si="79"/>
        <v xml:space="preserve"> </v>
      </c>
      <c r="O182" s="7" t="str">
        <f t="shared" si="80"/>
        <v xml:space="preserve"> </v>
      </c>
      <c r="P182" s="7" t="str">
        <f t="shared" si="81"/>
        <v xml:space="preserve"> </v>
      </c>
      <c r="Q182" s="7" t="str">
        <f t="shared" si="82"/>
        <v xml:space="preserve"> </v>
      </c>
      <c r="R182" s="7" t="str">
        <f t="shared" si="83"/>
        <v xml:space="preserve"> </v>
      </c>
      <c r="S182" s="7" t="str">
        <f t="shared" si="84"/>
        <v xml:space="preserve"> </v>
      </c>
      <c r="U182" s="306"/>
    </row>
    <row r="183" spans="4:21" x14ac:dyDescent="0.15">
      <c r="D183" s="306" t="str">
        <f t="shared" si="71"/>
        <v xml:space="preserve"> </v>
      </c>
      <c r="G183" s="7" t="str">
        <f t="shared" si="72"/>
        <v xml:space="preserve"> </v>
      </c>
      <c r="H183" s="7" t="str">
        <f t="shared" si="73"/>
        <v xml:space="preserve"> </v>
      </c>
      <c r="I183" s="7" t="str">
        <f t="shared" si="74"/>
        <v xml:space="preserve"> </v>
      </c>
      <c r="J183" s="7" t="str">
        <f t="shared" si="75"/>
        <v xml:space="preserve"> </v>
      </c>
      <c r="K183" s="7" t="str">
        <f t="shared" si="76"/>
        <v xml:space="preserve"> </v>
      </c>
      <c r="L183" s="7" t="str">
        <f t="shared" si="77"/>
        <v xml:space="preserve"> </v>
      </c>
      <c r="M183" s="7" t="str">
        <f t="shared" si="78"/>
        <v xml:space="preserve"> </v>
      </c>
      <c r="N183" s="7" t="str">
        <f t="shared" si="79"/>
        <v xml:space="preserve"> </v>
      </c>
      <c r="O183" s="7" t="str">
        <f t="shared" si="80"/>
        <v xml:space="preserve"> </v>
      </c>
      <c r="P183" s="7" t="str">
        <f t="shared" si="81"/>
        <v xml:space="preserve"> </v>
      </c>
      <c r="Q183" s="7" t="str">
        <f t="shared" si="82"/>
        <v xml:space="preserve"> </v>
      </c>
      <c r="R183" s="7" t="str">
        <f t="shared" si="83"/>
        <v xml:space="preserve"> </v>
      </c>
      <c r="S183" s="7" t="str">
        <f t="shared" si="84"/>
        <v xml:space="preserve"> </v>
      </c>
      <c r="U183" s="306"/>
    </row>
    <row r="184" spans="4:21" x14ac:dyDescent="0.15">
      <c r="D184" s="306" t="str">
        <f t="shared" si="71"/>
        <v xml:space="preserve"> </v>
      </c>
      <c r="G184" s="7" t="str">
        <f t="shared" si="72"/>
        <v xml:space="preserve"> </v>
      </c>
      <c r="H184" s="7" t="str">
        <f t="shared" si="73"/>
        <v xml:space="preserve"> </v>
      </c>
      <c r="I184" s="7" t="str">
        <f t="shared" si="74"/>
        <v xml:space="preserve"> </v>
      </c>
      <c r="J184" s="7" t="str">
        <f t="shared" si="75"/>
        <v xml:space="preserve"> </v>
      </c>
      <c r="K184" s="7" t="str">
        <f t="shared" si="76"/>
        <v xml:space="preserve"> </v>
      </c>
      <c r="L184" s="7" t="str">
        <f t="shared" si="77"/>
        <v xml:space="preserve"> </v>
      </c>
      <c r="M184" s="7" t="str">
        <f t="shared" si="78"/>
        <v xml:space="preserve"> </v>
      </c>
      <c r="N184" s="7" t="str">
        <f t="shared" si="79"/>
        <v xml:space="preserve"> </v>
      </c>
      <c r="O184" s="7" t="str">
        <f t="shared" si="80"/>
        <v xml:space="preserve"> </v>
      </c>
      <c r="P184" s="7" t="str">
        <f t="shared" si="81"/>
        <v xml:space="preserve"> </v>
      </c>
      <c r="Q184" s="7" t="str">
        <f t="shared" si="82"/>
        <v xml:space="preserve"> </v>
      </c>
      <c r="R184" s="7" t="str">
        <f t="shared" si="83"/>
        <v xml:space="preserve"> </v>
      </c>
      <c r="S184" s="7" t="str">
        <f t="shared" si="84"/>
        <v xml:space="preserve"> </v>
      </c>
      <c r="U184" s="306"/>
    </row>
    <row r="185" spans="4:21" x14ac:dyDescent="0.15">
      <c r="D185" s="306" t="str">
        <f t="shared" si="71"/>
        <v xml:space="preserve"> </v>
      </c>
      <c r="G185" s="7" t="str">
        <f t="shared" si="72"/>
        <v xml:space="preserve"> </v>
      </c>
      <c r="H185" s="7" t="str">
        <f t="shared" si="73"/>
        <v xml:space="preserve"> </v>
      </c>
      <c r="I185" s="7" t="str">
        <f t="shared" si="74"/>
        <v xml:space="preserve"> </v>
      </c>
      <c r="J185" s="7" t="str">
        <f t="shared" si="75"/>
        <v xml:space="preserve"> </v>
      </c>
      <c r="K185" s="7" t="str">
        <f t="shared" si="76"/>
        <v xml:space="preserve"> </v>
      </c>
      <c r="L185" s="7" t="str">
        <f t="shared" si="77"/>
        <v xml:space="preserve"> </v>
      </c>
      <c r="M185" s="7" t="str">
        <f t="shared" si="78"/>
        <v xml:space="preserve"> </v>
      </c>
      <c r="N185" s="7" t="str">
        <f t="shared" si="79"/>
        <v xml:space="preserve"> </v>
      </c>
      <c r="O185" s="7" t="str">
        <f t="shared" si="80"/>
        <v xml:space="preserve"> </v>
      </c>
      <c r="P185" s="7" t="str">
        <f t="shared" si="81"/>
        <v xml:space="preserve"> </v>
      </c>
      <c r="Q185" s="7" t="str">
        <f t="shared" si="82"/>
        <v xml:space="preserve"> </v>
      </c>
      <c r="R185" s="7" t="str">
        <f t="shared" si="83"/>
        <v xml:space="preserve"> </v>
      </c>
      <c r="S185" s="7" t="str">
        <f t="shared" si="84"/>
        <v xml:space="preserve"> </v>
      </c>
      <c r="U185" s="306"/>
    </row>
    <row r="186" spans="4:21" x14ac:dyDescent="0.15">
      <c r="D186" s="306" t="str">
        <f t="shared" si="71"/>
        <v xml:space="preserve"> </v>
      </c>
      <c r="G186" s="7" t="str">
        <f t="shared" si="72"/>
        <v xml:space="preserve"> </v>
      </c>
      <c r="H186" s="7" t="str">
        <f t="shared" si="73"/>
        <v xml:space="preserve"> </v>
      </c>
      <c r="I186" s="7" t="str">
        <f t="shared" si="74"/>
        <v xml:space="preserve"> </v>
      </c>
      <c r="J186" s="7" t="str">
        <f t="shared" si="75"/>
        <v xml:space="preserve"> </v>
      </c>
      <c r="K186" s="7" t="str">
        <f t="shared" si="76"/>
        <v xml:space="preserve"> </v>
      </c>
      <c r="L186" s="7" t="str">
        <f t="shared" si="77"/>
        <v xml:space="preserve"> </v>
      </c>
      <c r="M186" s="7" t="str">
        <f t="shared" si="78"/>
        <v xml:space="preserve"> </v>
      </c>
      <c r="N186" s="7" t="str">
        <f t="shared" si="79"/>
        <v xml:space="preserve"> </v>
      </c>
      <c r="O186" s="7" t="str">
        <f t="shared" si="80"/>
        <v xml:space="preserve"> </v>
      </c>
      <c r="P186" s="7" t="str">
        <f t="shared" si="81"/>
        <v xml:space="preserve"> </v>
      </c>
      <c r="Q186" s="7" t="str">
        <f t="shared" si="82"/>
        <v xml:space="preserve"> </v>
      </c>
      <c r="R186" s="7" t="str">
        <f t="shared" si="83"/>
        <v xml:space="preserve"> </v>
      </c>
      <c r="S186" s="7" t="str">
        <f t="shared" si="84"/>
        <v xml:space="preserve"> </v>
      </c>
      <c r="U186" s="306"/>
    </row>
    <row r="187" spans="4:21" x14ac:dyDescent="0.15">
      <c r="D187" s="306" t="str">
        <f t="shared" si="71"/>
        <v xml:space="preserve"> </v>
      </c>
      <c r="G187" s="7" t="str">
        <f t="shared" si="72"/>
        <v xml:space="preserve"> </v>
      </c>
      <c r="H187" s="7" t="str">
        <f t="shared" si="73"/>
        <v xml:space="preserve"> </v>
      </c>
      <c r="I187" s="7" t="str">
        <f t="shared" si="74"/>
        <v xml:space="preserve"> </v>
      </c>
      <c r="J187" s="7" t="str">
        <f t="shared" si="75"/>
        <v xml:space="preserve"> </v>
      </c>
      <c r="K187" s="7" t="str">
        <f t="shared" si="76"/>
        <v xml:space="preserve"> </v>
      </c>
      <c r="L187" s="7" t="str">
        <f t="shared" si="77"/>
        <v xml:space="preserve"> </v>
      </c>
      <c r="M187" s="7" t="str">
        <f t="shared" si="78"/>
        <v xml:space="preserve"> </v>
      </c>
      <c r="N187" s="7" t="str">
        <f t="shared" si="79"/>
        <v xml:space="preserve"> </v>
      </c>
      <c r="O187" s="7" t="str">
        <f t="shared" si="80"/>
        <v xml:space="preserve"> </v>
      </c>
      <c r="P187" s="7" t="str">
        <f t="shared" si="81"/>
        <v xml:space="preserve"> </v>
      </c>
      <c r="Q187" s="7" t="str">
        <f t="shared" si="82"/>
        <v xml:space="preserve"> </v>
      </c>
      <c r="R187" s="7" t="str">
        <f t="shared" si="83"/>
        <v xml:space="preserve"> </v>
      </c>
      <c r="S187" s="7" t="str">
        <f t="shared" si="84"/>
        <v xml:space="preserve"> </v>
      </c>
      <c r="U187" s="306"/>
    </row>
    <row r="188" spans="4:21" x14ac:dyDescent="0.15">
      <c r="D188" s="306" t="str">
        <f t="shared" si="71"/>
        <v xml:space="preserve"> </v>
      </c>
      <c r="G188" s="7" t="str">
        <f t="shared" si="72"/>
        <v xml:space="preserve"> </v>
      </c>
      <c r="H188" s="7" t="str">
        <f t="shared" si="73"/>
        <v xml:space="preserve"> </v>
      </c>
      <c r="I188" s="7" t="str">
        <f t="shared" si="74"/>
        <v xml:space="preserve"> </v>
      </c>
      <c r="J188" s="7" t="str">
        <f t="shared" si="75"/>
        <v xml:space="preserve"> </v>
      </c>
      <c r="K188" s="7" t="str">
        <f t="shared" si="76"/>
        <v xml:space="preserve"> </v>
      </c>
      <c r="L188" s="7" t="str">
        <f t="shared" si="77"/>
        <v xml:space="preserve"> </v>
      </c>
      <c r="M188" s="7" t="str">
        <f t="shared" si="78"/>
        <v xml:space="preserve"> </v>
      </c>
      <c r="N188" s="7" t="str">
        <f t="shared" si="79"/>
        <v xml:space="preserve"> </v>
      </c>
      <c r="O188" s="7" t="str">
        <f t="shared" si="80"/>
        <v xml:space="preserve"> </v>
      </c>
      <c r="P188" s="7" t="str">
        <f t="shared" si="81"/>
        <v xml:space="preserve"> </v>
      </c>
      <c r="Q188" s="7" t="str">
        <f t="shared" si="82"/>
        <v xml:space="preserve"> </v>
      </c>
      <c r="R188" s="7" t="str">
        <f t="shared" si="83"/>
        <v xml:space="preserve"> </v>
      </c>
      <c r="S188" s="7" t="str">
        <f t="shared" si="84"/>
        <v xml:space="preserve"> </v>
      </c>
      <c r="U188" s="306"/>
    </row>
    <row r="189" spans="4:21" x14ac:dyDescent="0.15">
      <c r="D189" s="306" t="str">
        <f t="shared" si="71"/>
        <v xml:space="preserve"> </v>
      </c>
      <c r="G189" s="7" t="str">
        <f t="shared" si="72"/>
        <v xml:space="preserve"> </v>
      </c>
      <c r="H189" s="7" t="str">
        <f t="shared" si="73"/>
        <v xml:space="preserve"> </v>
      </c>
      <c r="I189" s="7" t="str">
        <f t="shared" si="74"/>
        <v xml:space="preserve"> </v>
      </c>
      <c r="J189" s="7" t="str">
        <f t="shared" si="75"/>
        <v xml:space="preserve"> </v>
      </c>
      <c r="K189" s="7" t="str">
        <f t="shared" si="76"/>
        <v xml:space="preserve"> </v>
      </c>
      <c r="L189" s="7" t="str">
        <f t="shared" si="77"/>
        <v xml:space="preserve"> </v>
      </c>
      <c r="M189" s="7" t="str">
        <f t="shared" si="78"/>
        <v xml:space="preserve"> </v>
      </c>
      <c r="N189" s="7" t="str">
        <f t="shared" si="79"/>
        <v xml:space="preserve"> </v>
      </c>
      <c r="O189" s="7" t="str">
        <f t="shared" si="80"/>
        <v xml:space="preserve"> </v>
      </c>
      <c r="P189" s="7" t="str">
        <f t="shared" si="81"/>
        <v xml:space="preserve"> </v>
      </c>
      <c r="Q189" s="7" t="str">
        <f t="shared" si="82"/>
        <v xml:space="preserve"> </v>
      </c>
      <c r="R189" s="7" t="str">
        <f t="shared" si="83"/>
        <v xml:space="preserve"> </v>
      </c>
      <c r="S189" s="7" t="str">
        <f t="shared" si="84"/>
        <v xml:space="preserve"> </v>
      </c>
      <c r="U189" s="306"/>
    </row>
    <row r="190" spans="4:21" x14ac:dyDescent="0.15">
      <c r="D190" s="306" t="str">
        <f t="shared" si="71"/>
        <v xml:space="preserve"> </v>
      </c>
      <c r="G190" s="7" t="str">
        <f t="shared" si="72"/>
        <v xml:space="preserve"> </v>
      </c>
      <c r="H190" s="7" t="str">
        <f t="shared" si="73"/>
        <v xml:space="preserve"> </v>
      </c>
      <c r="I190" s="7" t="str">
        <f t="shared" si="74"/>
        <v xml:space="preserve"> </v>
      </c>
      <c r="J190" s="7" t="str">
        <f t="shared" si="75"/>
        <v xml:space="preserve"> </v>
      </c>
      <c r="K190" s="7" t="str">
        <f t="shared" si="76"/>
        <v xml:space="preserve"> </v>
      </c>
      <c r="L190" s="7" t="str">
        <f t="shared" si="77"/>
        <v xml:space="preserve"> </v>
      </c>
      <c r="M190" s="7" t="str">
        <f t="shared" si="78"/>
        <v xml:space="preserve"> </v>
      </c>
      <c r="N190" s="7" t="str">
        <f t="shared" si="79"/>
        <v xml:space="preserve"> </v>
      </c>
      <c r="O190" s="7" t="str">
        <f t="shared" si="80"/>
        <v xml:space="preserve"> </v>
      </c>
      <c r="P190" s="7" t="str">
        <f t="shared" si="81"/>
        <v xml:space="preserve"> </v>
      </c>
      <c r="Q190" s="7" t="str">
        <f t="shared" si="82"/>
        <v xml:space="preserve"> </v>
      </c>
      <c r="R190" s="7" t="str">
        <f t="shared" si="83"/>
        <v xml:space="preserve"> </v>
      </c>
      <c r="S190" s="7" t="str">
        <f t="shared" si="84"/>
        <v xml:space="preserve"> </v>
      </c>
      <c r="U190" s="306"/>
    </row>
    <row r="191" spans="4:21" x14ac:dyDescent="0.15">
      <c r="D191" s="306" t="str">
        <f t="shared" si="71"/>
        <v xml:space="preserve"> </v>
      </c>
      <c r="G191" s="7" t="str">
        <f t="shared" si="72"/>
        <v xml:space="preserve"> </v>
      </c>
      <c r="H191" s="7" t="str">
        <f t="shared" si="73"/>
        <v xml:space="preserve"> </v>
      </c>
      <c r="I191" s="7" t="str">
        <f t="shared" si="74"/>
        <v xml:space="preserve"> </v>
      </c>
      <c r="J191" s="7" t="str">
        <f t="shared" si="75"/>
        <v xml:space="preserve"> </v>
      </c>
      <c r="K191" s="7" t="str">
        <f t="shared" si="76"/>
        <v xml:space="preserve"> </v>
      </c>
      <c r="L191" s="7" t="str">
        <f t="shared" si="77"/>
        <v xml:space="preserve"> </v>
      </c>
      <c r="M191" s="7" t="str">
        <f t="shared" si="78"/>
        <v xml:space="preserve"> </v>
      </c>
      <c r="N191" s="7" t="str">
        <f t="shared" si="79"/>
        <v xml:space="preserve"> </v>
      </c>
      <c r="O191" s="7" t="str">
        <f t="shared" si="80"/>
        <v xml:space="preserve"> </v>
      </c>
      <c r="P191" s="7" t="str">
        <f t="shared" si="81"/>
        <v xml:space="preserve"> </v>
      </c>
      <c r="Q191" s="7" t="str">
        <f t="shared" si="82"/>
        <v xml:space="preserve"> </v>
      </c>
      <c r="R191" s="7" t="str">
        <f t="shared" si="83"/>
        <v xml:space="preserve"> </v>
      </c>
      <c r="S191" s="7" t="str">
        <f t="shared" si="84"/>
        <v xml:space="preserve"> </v>
      </c>
      <c r="U191" s="306"/>
    </row>
    <row r="192" spans="4:21" x14ac:dyDescent="0.15">
      <c r="D192" s="306" t="str">
        <f t="shared" si="71"/>
        <v xml:space="preserve"> </v>
      </c>
      <c r="G192" s="7" t="str">
        <f t="shared" si="72"/>
        <v xml:space="preserve"> </v>
      </c>
      <c r="H192" s="7" t="str">
        <f t="shared" si="73"/>
        <v xml:space="preserve"> </v>
      </c>
      <c r="I192" s="7" t="str">
        <f t="shared" si="74"/>
        <v xml:space="preserve"> </v>
      </c>
      <c r="J192" s="7" t="str">
        <f t="shared" si="75"/>
        <v xml:space="preserve"> </v>
      </c>
      <c r="K192" s="7" t="str">
        <f t="shared" si="76"/>
        <v xml:space="preserve"> </v>
      </c>
      <c r="L192" s="7" t="str">
        <f t="shared" si="77"/>
        <v xml:space="preserve"> </v>
      </c>
      <c r="M192" s="7" t="str">
        <f t="shared" si="78"/>
        <v xml:space="preserve"> </v>
      </c>
      <c r="N192" s="7" t="str">
        <f t="shared" si="79"/>
        <v xml:space="preserve"> </v>
      </c>
      <c r="O192" s="7" t="str">
        <f t="shared" si="80"/>
        <v xml:space="preserve"> </v>
      </c>
      <c r="P192" s="7" t="str">
        <f t="shared" si="81"/>
        <v xml:space="preserve"> </v>
      </c>
      <c r="Q192" s="7" t="str">
        <f t="shared" si="82"/>
        <v xml:space="preserve"> </v>
      </c>
      <c r="R192" s="7" t="str">
        <f t="shared" si="83"/>
        <v xml:space="preserve"> </v>
      </c>
      <c r="S192" s="7" t="str">
        <f t="shared" si="84"/>
        <v xml:space="preserve"> </v>
      </c>
      <c r="U192" s="306"/>
    </row>
    <row r="193" spans="4:21" x14ac:dyDescent="0.15">
      <c r="D193" s="306" t="str">
        <f t="shared" si="71"/>
        <v xml:space="preserve"> </v>
      </c>
      <c r="G193" s="7" t="str">
        <f t="shared" si="72"/>
        <v xml:space="preserve"> </v>
      </c>
      <c r="H193" s="7" t="str">
        <f t="shared" si="73"/>
        <v xml:space="preserve"> </v>
      </c>
      <c r="I193" s="7" t="str">
        <f t="shared" si="74"/>
        <v xml:space="preserve"> </v>
      </c>
      <c r="J193" s="7" t="str">
        <f t="shared" si="75"/>
        <v xml:space="preserve"> </v>
      </c>
      <c r="K193" s="7" t="str">
        <f t="shared" si="76"/>
        <v xml:space="preserve"> </v>
      </c>
      <c r="L193" s="7" t="str">
        <f t="shared" si="77"/>
        <v xml:space="preserve"> </v>
      </c>
      <c r="M193" s="7" t="str">
        <f t="shared" si="78"/>
        <v xml:space="preserve"> </v>
      </c>
      <c r="N193" s="7" t="str">
        <f t="shared" si="79"/>
        <v xml:space="preserve"> </v>
      </c>
      <c r="O193" s="7" t="str">
        <f t="shared" si="80"/>
        <v xml:space="preserve"> </v>
      </c>
      <c r="P193" s="7" t="str">
        <f t="shared" si="81"/>
        <v xml:space="preserve"> </v>
      </c>
      <c r="Q193" s="7" t="str">
        <f t="shared" si="82"/>
        <v xml:space="preserve"> </v>
      </c>
      <c r="R193" s="7" t="str">
        <f t="shared" si="83"/>
        <v xml:space="preserve"> </v>
      </c>
      <c r="S193" s="7" t="str">
        <f t="shared" si="84"/>
        <v xml:space="preserve"> </v>
      </c>
      <c r="U193" s="306"/>
    </row>
    <row r="194" spans="4:21" x14ac:dyDescent="0.15">
      <c r="D194" s="306" t="str">
        <f t="shared" si="71"/>
        <v xml:space="preserve"> </v>
      </c>
      <c r="G194" s="7" t="str">
        <f t="shared" si="72"/>
        <v xml:space="preserve"> </v>
      </c>
      <c r="H194" s="7" t="str">
        <f t="shared" si="73"/>
        <v xml:space="preserve"> </v>
      </c>
      <c r="I194" s="7" t="str">
        <f t="shared" si="74"/>
        <v xml:space="preserve"> </v>
      </c>
      <c r="J194" s="7" t="str">
        <f t="shared" si="75"/>
        <v xml:space="preserve"> </v>
      </c>
      <c r="K194" s="7" t="str">
        <f t="shared" si="76"/>
        <v xml:space="preserve"> </v>
      </c>
      <c r="L194" s="7" t="str">
        <f t="shared" si="77"/>
        <v xml:space="preserve"> </v>
      </c>
      <c r="M194" s="7" t="str">
        <f t="shared" si="78"/>
        <v xml:space="preserve"> </v>
      </c>
      <c r="N194" s="7" t="str">
        <f t="shared" si="79"/>
        <v xml:space="preserve"> </v>
      </c>
      <c r="O194" s="7" t="str">
        <f t="shared" si="80"/>
        <v xml:space="preserve"> </v>
      </c>
      <c r="P194" s="7" t="str">
        <f t="shared" si="81"/>
        <v xml:space="preserve"> </v>
      </c>
      <c r="Q194" s="7" t="str">
        <f t="shared" si="82"/>
        <v xml:space="preserve"> </v>
      </c>
      <c r="R194" s="7" t="str">
        <f t="shared" si="83"/>
        <v xml:space="preserve"> </v>
      </c>
      <c r="S194" s="7" t="str">
        <f t="shared" si="84"/>
        <v xml:space="preserve"> </v>
      </c>
      <c r="U194" s="306"/>
    </row>
    <row r="195" spans="4:21" x14ac:dyDescent="0.15">
      <c r="D195" s="306" t="str">
        <f t="shared" si="71"/>
        <v xml:space="preserve"> </v>
      </c>
      <c r="G195" s="7" t="str">
        <f t="shared" si="72"/>
        <v xml:space="preserve"> </v>
      </c>
      <c r="H195" s="7" t="str">
        <f t="shared" si="73"/>
        <v xml:space="preserve"> </v>
      </c>
      <c r="I195" s="7" t="str">
        <f t="shared" si="74"/>
        <v xml:space="preserve"> </v>
      </c>
      <c r="J195" s="7" t="str">
        <f t="shared" si="75"/>
        <v xml:space="preserve"> </v>
      </c>
      <c r="K195" s="7" t="str">
        <f t="shared" si="76"/>
        <v xml:space="preserve"> </v>
      </c>
      <c r="L195" s="7" t="str">
        <f t="shared" si="77"/>
        <v xml:space="preserve"> </v>
      </c>
      <c r="M195" s="7" t="str">
        <f t="shared" si="78"/>
        <v xml:space="preserve"> </v>
      </c>
      <c r="N195" s="7" t="str">
        <f t="shared" si="79"/>
        <v xml:space="preserve"> </v>
      </c>
      <c r="O195" s="7" t="str">
        <f t="shared" si="80"/>
        <v xml:space="preserve"> </v>
      </c>
      <c r="P195" s="7" t="str">
        <f t="shared" si="81"/>
        <v xml:space="preserve"> </v>
      </c>
      <c r="Q195" s="7" t="str">
        <f t="shared" si="82"/>
        <v xml:space="preserve"> </v>
      </c>
      <c r="R195" s="7" t="str">
        <f t="shared" si="83"/>
        <v xml:space="preserve"> </v>
      </c>
      <c r="S195" s="7" t="str">
        <f t="shared" si="84"/>
        <v xml:space="preserve"> </v>
      </c>
      <c r="U195" s="306"/>
    </row>
    <row r="196" spans="4:21" x14ac:dyDescent="0.15">
      <c r="D196" s="306" t="str">
        <f t="shared" si="71"/>
        <v xml:space="preserve"> </v>
      </c>
      <c r="G196" s="7" t="str">
        <f t="shared" si="72"/>
        <v xml:space="preserve"> </v>
      </c>
      <c r="H196" s="7" t="str">
        <f t="shared" si="73"/>
        <v xml:space="preserve"> </v>
      </c>
      <c r="I196" s="7" t="str">
        <f t="shared" si="74"/>
        <v xml:space="preserve"> </v>
      </c>
      <c r="J196" s="7" t="str">
        <f t="shared" si="75"/>
        <v xml:space="preserve"> </v>
      </c>
      <c r="K196" s="7" t="str">
        <f t="shared" si="76"/>
        <v xml:space="preserve"> </v>
      </c>
      <c r="L196" s="7" t="str">
        <f t="shared" si="77"/>
        <v xml:space="preserve"> </v>
      </c>
      <c r="M196" s="7" t="str">
        <f t="shared" si="78"/>
        <v xml:space="preserve"> </v>
      </c>
      <c r="N196" s="7" t="str">
        <f t="shared" si="79"/>
        <v xml:space="preserve"> </v>
      </c>
      <c r="O196" s="7" t="str">
        <f t="shared" si="80"/>
        <v xml:space="preserve"> </v>
      </c>
      <c r="P196" s="7" t="str">
        <f t="shared" si="81"/>
        <v xml:space="preserve"> </v>
      </c>
      <c r="Q196" s="7" t="str">
        <f t="shared" si="82"/>
        <v xml:space="preserve"> </v>
      </c>
      <c r="R196" s="7" t="str">
        <f t="shared" si="83"/>
        <v xml:space="preserve"> </v>
      </c>
      <c r="S196" s="7" t="str">
        <f t="shared" si="84"/>
        <v xml:space="preserve"> </v>
      </c>
      <c r="U196" s="306"/>
    </row>
    <row r="197" spans="4:21" x14ac:dyDescent="0.15">
      <c r="D197" s="306" t="str">
        <f t="shared" ref="D197:D204" si="85">IF((F197&lt;&gt;0),"Enter Letter"," ")</f>
        <v xml:space="preserve"> </v>
      </c>
      <c r="G197" s="7" t="str">
        <f t="shared" ref="G197:G204" si="86">IF((D197="d"),F197," ")</f>
        <v xml:space="preserve"> </v>
      </c>
      <c r="H197" s="7" t="str">
        <f t="shared" ref="H197:H204" si="87">IF((D197="h"),F197," ")</f>
        <v xml:space="preserve"> </v>
      </c>
      <c r="I197" s="7" t="str">
        <f t="shared" ref="I197:I204" si="88">IF((D197="r"),F197," ")</f>
        <v xml:space="preserve"> </v>
      </c>
      <c r="J197" s="7" t="str">
        <f t="shared" ref="J197:J204" si="89">IF((D197="t"),F197," ")</f>
        <v xml:space="preserve"> </v>
      </c>
      <c r="K197" s="7" t="str">
        <f t="shared" ref="K197:K204" si="90">IF((D197="e"),F197," ")</f>
        <v xml:space="preserve"> </v>
      </c>
      <c r="L197" s="7" t="str">
        <f t="shared" ref="L197:L204" si="91">IF((D197="p"),F197," ")</f>
        <v xml:space="preserve"> </v>
      </c>
      <c r="M197" s="7" t="str">
        <f t="shared" ref="M197:M204" si="92">IF((D197="g"),F197," ")</f>
        <v xml:space="preserve"> </v>
      </c>
      <c r="N197" s="7" t="str">
        <f t="shared" ref="N197:N204" si="93">IF((D197="a"),F197," ")</f>
        <v xml:space="preserve"> </v>
      </c>
      <c r="O197" s="7" t="str">
        <f t="shared" ref="O197:O204" si="94">IF((D197="l"),F197," ")</f>
        <v xml:space="preserve"> </v>
      </c>
      <c r="P197" s="7" t="str">
        <f t="shared" ref="P197:P204" si="95">IF((D197="i"),F197," ")</f>
        <v xml:space="preserve"> </v>
      </c>
      <c r="Q197" s="7" t="str">
        <f t="shared" ref="Q197:Q204" si="96">IF((D197="b"),F197," ")</f>
        <v xml:space="preserve"> </v>
      </c>
      <c r="R197" s="7" t="str">
        <f t="shared" ref="R197:R204" si="97">IF((D197="o"),F197," ")</f>
        <v xml:space="preserve"> </v>
      </c>
      <c r="S197" s="7" t="str">
        <f t="shared" ref="S197:S204" si="98">IF((D197="f"),F197," ")</f>
        <v xml:space="preserve"> </v>
      </c>
      <c r="U197" s="306"/>
    </row>
    <row r="198" spans="4:21" x14ac:dyDescent="0.15">
      <c r="D198" s="306" t="str">
        <f t="shared" si="85"/>
        <v xml:space="preserve"> </v>
      </c>
      <c r="G198" s="7" t="str">
        <f t="shared" si="86"/>
        <v xml:space="preserve"> </v>
      </c>
      <c r="H198" s="7" t="str">
        <f t="shared" si="87"/>
        <v xml:space="preserve"> </v>
      </c>
      <c r="I198" s="7" t="str">
        <f t="shared" si="88"/>
        <v xml:space="preserve"> </v>
      </c>
      <c r="J198" s="7" t="str">
        <f t="shared" si="89"/>
        <v xml:space="preserve"> </v>
      </c>
      <c r="K198" s="7" t="str">
        <f t="shared" si="90"/>
        <v xml:space="preserve"> </v>
      </c>
      <c r="L198" s="7" t="str">
        <f t="shared" si="91"/>
        <v xml:space="preserve"> </v>
      </c>
      <c r="M198" s="7" t="str">
        <f t="shared" si="92"/>
        <v xml:space="preserve"> </v>
      </c>
      <c r="N198" s="7" t="str">
        <f t="shared" si="93"/>
        <v xml:space="preserve"> </v>
      </c>
      <c r="O198" s="7" t="str">
        <f t="shared" si="94"/>
        <v xml:space="preserve"> </v>
      </c>
      <c r="P198" s="7" t="str">
        <f t="shared" si="95"/>
        <v xml:space="preserve"> </v>
      </c>
      <c r="Q198" s="7" t="str">
        <f t="shared" si="96"/>
        <v xml:space="preserve"> </v>
      </c>
      <c r="R198" s="7" t="str">
        <f t="shared" si="97"/>
        <v xml:space="preserve"> </v>
      </c>
      <c r="S198" s="7" t="str">
        <f t="shared" si="98"/>
        <v xml:space="preserve"> </v>
      </c>
      <c r="U198" s="306"/>
    </row>
    <row r="199" spans="4:21" x14ac:dyDescent="0.15">
      <c r="D199" s="306" t="str">
        <f t="shared" si="85"/>
        <v xml:space="preserve"> </v>
      </c>
      <c r="G199" s="7" t="str">
        <f t="shared" si="86"/>
        <v xml:space="preserve"> </v>
      </c>
      <c r="H199" s="7" t="str">
        <f t="shared" si="87"/>
        <v xml:space="preserve"> </v>
      </c>
      <c r="I199" s="7" t="str">
        <f t="shared" si="88"/>
        <v xml:space="preserve"> </v>
      </c>
      <c r="J199" s="7" t="str">
        <f t="shared" si="89"/>
        <v xml:space="preserve"> </v>
      </c>
      <c r="K199" s="7" t="str">
        <f t="shared" si="90"/>
        <v xml:space="preserve"> </v>
      </c>
      <c r="L199" s="7" t="str">
        <f t="shared" si="91"/>
        <v xml:space="preserve"> </v>
      </c>
      <c r="M199" s="7" t="str">
        <f t="shared" si="92"/>
        <v xml:space="preserve"> </v>
      </c>
      <c r="N199" s="7" t="str">
        <f t="shared" si="93"/>
        <v xml:space="preserve"> </v>
      </c>
      <c r="O199" s="7" t="str">
        <f t="shared" si="94"/>
        <v xml:space="preserve"> </v>
      </c>
      <c r="P199" s="7" t="str">
        <f t="shared" si="95"/>
        <v xml:space="preserve"> </v>
      </c>
      <c r="Q199" s="7" t="str">
        <f t="shared" si="96"/>
        <v xml:space="preserve"> </v>
      </c>
      <c r="R199" s="7" t="str">
        <f t="shared" si="97"/>
        <v xml:space="preserve"> </v>
      </c>
      <c r="S199" s="7" t="str">
        <f t="shared" si="98"/>
        <v xml:space="preserve"> </v>
      </c>
      <c r="U199" s="306"/>
    </row>
    <row r="200" spans="4:21" x14ac:dyDescent="0.15">
      <c r="D200" s="306" t="str">
        <f t="shared" si="85"/>
        <v xml:space="preserve"> </v>
      </c>
      <c r="G200" s="7" t="str">
        <f t="shared" si="86"/>
        <v xml:space="preserve"> </v>
      </c>
      <c r="H200" s="7" t="str">
        <f t="shared" si="87"/>
        <v xml:space="preserve"> </v>
      </c>
      <c r="I200" s="7" t="str">
        <f t="shared" si="88"/>
        <v xml:space="preserve"> </v>
      </c>
      <c r="J200" s="7" t="str">
        <f t="shared" si="89"/>
        <v xml:space="preserve"> </v>
      </c>
      <c r="K200" s="7" t="str">
        <f t="shared" si="90"/>
        <v xml:space="preserve"> </v>
      </c>
      <c r="L200" s="7" t="str">
        <f t="shared" si="91"/>
        <v xml:space="preserve"> </v>
      </c>
      <c r="M200" s="7" t="str">
        <f t="shared" si="92"/>
        <v xml:space="preserve"> </v>
      </c>
      <c r="N200" s="7" t="str">
        <f t="shared" si="93"/>
        <v xml:space="preserve"> </v>
      </c>
      <c r="O200" s="7" t="str">
        <f t="shared" si="94"/>
        <v xml:space="preserve"> </v>
      </c>
      <c r="P200" s="7" t="str">
        <f t="shared" si="95"/>
        <v xml:space="preserve"> </v>
      </c>
      <c r="Q200" s="7" t="str">
        <f t="shared" si="96"/>
        <v xml:space="preserve"> </v>
      </c>
      <c r="R200" s="7" t="str">
        <f t="shared" si="97"/>
        <v xml:space="preserve"> </v>
      </c>
      <c r="S200" s="7" t="str">
        <f t="shared" si="98"/>
        <v xml:space="preserve"> </v>
      </c>
      <c r="U200" s="306"/>
    </row>
    <row r="201" spans="4:21" x14ac:dyDescent="0.15">
      <c r="D201" s="306" t="str">
        <f t="shared" si="85"/>
        <v xml:space="preserve"> </v>
      </c>
      <c r="G201" s="7" t="str">
        <f t="shared" si="86"/>
        <v xml:space="preserve"> </v>
      </c>
      <c r="H201" s="7" t="str">
        <f t="shared" si="87"/>
        <v xml:space="preserve"> </v>
      </c>
      <c r="I201" s="7" t="str">
        <f t="shared" si="88"/>
        <v xml:space="preserve"> </v>
      </c>
      <c r="J201" s="7" t="str">
        <f t="shared" si="89"/>
        <v xml:space="preserve"> </v>
      </c>
      <c r="K201" s="7" t="str">
        <f t="shared" si="90"/>
        <v xml:space="preserve"> </v>
      </c>
      <c r="L201" s="7" t="str">
        <f t="shared" si="91"/>
        <v xml:space="preserve"> </v>
      </c>
      <c r="M201" s="7" t="str">
        <f t="shared" si="92"/>
        <v xml:space="preserve"> </v>
      </c>
      <c r="N201" s="7" t="str">
        <f t="shared" si="93"/>
        <v xml:space="preserve"> </v>
      </c>
      <c r="O201" s="7" t="str">
        <f t="shared" si="94"/>
        <v xml:space="preserve"> </v>
      </c>
      <c r="P201" s="7" t="str">
        <f t="shared" si="95"/>
        <v xml:space="preserve"> </v>
      </c>
      <c r="Q201" s="7" t="str">
        <f t="shared" si="96"/>
        <v xml:space="preserve"> </v>
      </c>
      <c r="R201" s="7" t="str">
        <f t="shared" si="97"/>
        <v xml:space="preserve"> </v>
      </c>
      <c r="S201" s="7" t="str">
        <f t="shared" si="98"/>
        <v xml:space="preserve"> </v>
      </c>
      <c r="U201" s="306"/>
    </row>
    <row r="202" spans="4:21" x14ac:dyDescent="0.15">
      <c r="D202" s="306" t="str">
        <f t="shared" si="85"/>
        <v xml:space="preserve"> </v>
      </c>
      <c r="G202" s="7" t="str">
        <f t="shared" si="86"/>
        <v xml:space="preserve"> </v>
      </c>
      <c r="H202" s="7" t="str">
        <f t="shared" si="87"/>
        <v xml:space="preserve"> </v>
      </c>
      <c r="I202" s="7" t="str">
        <f t="shared" si="88"/>
        <v xml:space="preserve"> </v>
      </c>
      <c r="J202" s="7" t="str">
        <f t="shared" si="89"/>
        <v xml:space="preserve"> </v>
      </c>
      <c r="K202" s="7" t="str">
        <f t="shared" si="90"/>
        <v xml:space="preserve"> </v>
      </c>
      <c r="L202" s="7" t="str">
        <f t="shared" si="91"/>
        <v xml:space="preserve"> </v>
      </c>
      <c r="M202" s="7" t="str">
        <f t="shared" si="92"/>
        <v xml:space="preserve"> </v>
      </c>
      <c r="N202" s="7" t="str">
        <f t="shared" si="93"/>
        <v xml:space="preserve"> </v>
      </c>
      <c r="O202" s="7" t="str">
        <f t="shared" si="94"/>
        <v xml:space="preserve"> </v>
      </c>
      <c r="P202" s="7" t="str">
        <f t="shared" si="95"/>
        <v xml:space="preserve"> </v>
      </c>
      <c r="Q202" s="7" t="str">
        <f t="shared" si="96"/>
        <v xml:space="preserve"> </v>
      </c>
      <c r="R202" s="7" t="str">
        <f t="shared" si="97"/>
        <v xml:space="preserve"> </v>
      </c>
      <c r="S202" s="7" t="str">
        <f t="shared" si="98"/>
        <v xml:space="preserve"> </v>
      </c>
      <c r="U202" s="306"/>
    </row>
    <row r="203" spans="4:21" x14ac:dyDescent="0.15">
      <c r="D203" s="306" t="str">
        <f t="shared" si="85"/>
        <v xml:space="preserve"> </v>
      </c>
      <c r="G203" s="7" t="str">
        <f t="shared" si="86"/>
        <v xml:space="preserve"> </v>
      </c>
      <c r="H203" s="7" t="str">
        <f t="shared" si="87"/>
        <v xml:space="preserve"> </v>
      </c>
      <c r="I203" s="7" t="str">
        <f t="shared" si="88"/>
        <v xml:space="preserve"> </v>
      </c>
      <c r="J203" s="7" t="str">
        <f t="shared" si="89"/>
        <v xml:space="preserve"> </v>
      </c>
      <c r="K203" s="7" t="str">
        <f t="shared" si="90"/>
        <v xml:space="preserve"> </v>
      </c>
      <c r="L203" s="7" t="str">
        <f t="shared" si="91"/>
        <v xml:space="preserve"> </v>
      </c>
      <c r="M203" s="7" t="str">
        <f t="shared" si="92"/>
        <v xml:space="preserve"> </v>
      </c>
      <c r="N203" s="7" t="str">
        <f t="shared" si="93"/>
        <v xml:space="preserve"> </v>
      </c>
      <c r="O203" s="7" t="str">
        <f t="shared" si="94"/>
        <v xml:space="preserve"> </v>
      </c>
      <c r="P203" s="7" t="str">
        <f t="shared" si="95"/>
        <v xml:space="preserve"> </v>
      </c>
      <c r="Q203" s="7" t="str">
        <f t="shared" si="96"/>
        <v xml:space="preserve"> </v>
      </c>
      <c r="R203" s="7" t="str">
        <f t="shared" si="97"/>
        <v xml:space="preserve"> </v>
      </c>
      <c r="S203" s="7" t="str">
        <f t="shared" si="98"/>
        <v xml:space="preserve"> </v>
      </c>
      <c r="U203" s="306"/>
    </row>
    <row r="204" spans="4:21" x14ac:dyDescent="0.15">
      <c r="D204" s="306" t="str">
        <f t="shared" si="85"/>
        <v xml:space="preserve"> </v>
      </c>
      <c r="G204" s="7" t="str">
        <f t="shared" si="86"/>
        <v xml:space="preserve"> </v>
      </c>
      <c r="H204" s="7" t="str">
        <f t="shared" si="87"/>
        <v xml:space="preserve"> </v>
      </c>
      <c r="I204" s="7" t="str">
        <f t="shared" si="88"/>
        <v xml:space="preserve"> </v>
      </c>
      <c r="J204" s="7" t="str">
        <f t="shared" si="89"/>
        <v xml:space="preserve"> </v>
      </c>
      <c r="K204" s="7" t="str">
        <f t="shared" si="90"/>
        <v xml:space="preserve"> </v>
      </c>
      <c r="L204" s="7" t="str">
        <f t="shared" si="91"/>
        <v xml:space="preserve"> </v>
      </c>
      <c r="M204" s="7" t="str">
        <f t="shared" si="92"/>
        <v xml:space="preserve"> </v>
      </c>
      <c r="N204" s="7" t="str">
        <f t="shared" si="93"/>
        <v xml:space="preserve"> </v>
      </c>
      <c r="O204" s="7" t="str">
        <f t="shared" si="94"/>
        <v xml:space="preserve"> </v>
      </c>
      <c r="P204" s="7" t="str">
        <f t="shared" si="95"/>
        <v xml:space="preserve"> </v>
      </c>
      <c r="Q204" s="7" t="str">
        <f t="shared" si="96"/>
        <v xml:space="preserve"> </v>
      </c>
      <c r="R204" s="7" t="str">
        <f t="shared" si="97"/>
        <v xml:space="preserve"> </v>
      </c>
      <c r="S204" s="7" t="str">
        <f t="shared" si="98"/>
        <v xml:space="preserve"> </v>
      </c>
      <c r="U204" s="306"/>
    </row>
    <row r="205" spans="4:21" x14ac:dyDescent="0.15">
      <c r="U205" s="306"/>
    </row>
    <row r="206" spans="4:21" x14ac:dyDescent="0.15">
      <c r="U206" s="306"/>
    </row>
    <row r="207" spans="4:21" x14ac:dyDescent="0.15">
      <c r="U207" s="306"/>
    </row>
    <row r="208" spans="4:21" x14ac:dyDescent="0.15">
      <c r="U208" s="306"/>
    </row>
    <row r="209" spans="21:21" x14ac:dyDescent="0.15">
      <c r="U209" s="306"/>
    </row>
    <row r="210" spans="21:21" x14ac:dyDescent="0.15">
      <c r="U210" s="306"/>
    </row>
    <row r="211" spans="21:21" x14ac:dyDescent="0.15">
      <c r="U211" s="306"/>
    </row>
    <row r="212" spans="21:21" x14ac:dyDescent="0.15">
      <c r="U212" s="306"/>
    </row>
    <row r="213" spans="21:21" x14ac:dyDescent="0.15">
      <c r="U213" s="306"/>
    </row>
    <row r="214" spans="21:21" x14ac:dyDescent="0.15">
      <c r="U214" s="306"/>
    </row>
    <row r="215" spans="21:21" x14ac:dyDescent="0.15">
      <c r="U215" s="306"/>
    </row>
    <row r="216" spans="21:21" x14ac:dyDescent="0.15">
      <c r="U216" s="306"/>
    </row>
    <row r="217" spans="21:21" x14ac:dyDescent="0.15">
      <c r="U217" s="306"/>
    </row>
    <row r="218" spans="21:21" x14ac:dyDescent="0.15">
      <c r="U218" s="306"/>
    </row>
    <row r="219" spans="21:21" x14ac:dyDescent="0.15">
      <c r="U219" s="306"/>
    </row>
    <row r="220" spans="21:21" x14ac:dyDescent="0.15">
      <c r="U220" s="306"/>
    </row>
    <row r="221" spans="21:21" x14ac:dyDescent="0.15">
      <c r="U221" s="306"/>
    </row>
    <row r="222" spans="21:21" x14ac:dyDescent="0.15">
      <c r="U222" s="306"/>
    </row>
    <row r="223" spans="21:21" x14ac:dyDescent="0.15">
      <c r="U223" s="306"/>
    </row>
    <row r="224" spans="21:21" x14ac:dyDescent="0.15">
      <c r="U224" s="306"/>
    </row>
    <row r="225" spans="21:21" x14ac:dyDescent="0.15">
      <c r="U225" s="306"/>
    </row>
    <row r="226" spans="21:21" x14ac:dyDescent="0.15">
      <c r="U226" s="306"/>
    </row>
    <row r="227" spans="21:21" x14ac:dyDescent="0.15">
      <c r="U227" s="306"/>
    </row>
    <row r="228" spans="21:21" x14ac:dyDescent="0.15">
      <c r="U228" s="306"/>
    </row>
    <row r="229" spans="21:21" x14ac:dyDescent="0.15">
      <c r="U229" s="306"/>
    </row>
    <row r="230" spans="21:21" x14ac:dyDescent="0.15">
      <c r="U230" s="306"/>
    </row>
    <row r="231" spans="21:21" x14ac:dyDescent="0.15">
      <c r="U231" s="306"/>
    </row>
    <row r="232" spans="21:21" x14ac:dyDescent="0.15">
      <c r="U232" s="306"/>
    </row>
    <row r="233" spans="21:21" x14ac:dyDescent="0.15">
      <c r="U233" s="306"/>
    </row>
    <row r="234" spans="21:21" x14ac:dyDescent="0.15">
      <c r="U234" s="306"/>
    </row>
    <row r="235" spans="21:21" x14ac:dyDescent="0.15">
      <c r="U235" s="306"/>
    </row>
  </sheetData>
  <mergeCells count="18">
    <mergeCell ref="U2:U3"/>
    <mergeCell ref="S2:S3"/>
    <mergeCell ref="L2:L3"/>
    <mergeCell ref="K2:K3"/>
    <mergeCell ref="M2:M3"/>
    <mergeCell ref="N2:N3"/>
    <mergeCell ref="O2:O3"/>
    <mergeCell ref="P2:P3"/>
    <mergeCell ref="G2:H2"/>
    <mergeCell ref="B3:B4"/>
    <mergeCell ref="T2:T4"/>
    <mergeCell ref="Q2:Q3"/>
    <mergeCell ref="R2:R3"/>
    <mergeCell ref="C2:C4"/>
    <mergeCell ref="D2:D4"/>
    <mergeCell ref="E2:E4"/>
    <mergeCell ref="F2:F4"/>
    <mergeCell ref="I2:J2"/>
  </mergeCells>
  <dataValidations count="1">
    <dataValidation type="list" allowBlank="1" showInputMessage="1" showErrorMessage="1" sqref="D5:D200" xr:uid="{00000000-0002-0000-1E00-000000000000}">
      <formula1>$G$4:$S$4</formula1>
    </dataValidation>
  </dataValidations>
  <printOptions horizontalCentered="1" gridLines="1"/>
  <pageMargins left="0.19685039370078741" right="0.19685039370078741" top="0.59055118110236227" bottom="0.59055118110236227" header="0.19685039370078741" footer="0.19685039370078741"/>
  <pageSetup paperSize="9" orientation="landscape" horizontalDpi="0" verticalDpi="0" r:id="rId1"/>
  <headerFooter alignWithMargins="0">
    <oddHeader>&amp;C&amp;"Arial,Bold"&amp;11Costs and Expenses</oddHeader>
    <oddFooter>&amp;L&amp;D  &amp;T&amp;C&amp;P  of  &amp;N&amp;R&amp;F  &amp;A</oddFooter>
  </headerFooter>
  <colBreaks count="1" manualBreakCount="1">
    <brk id="6" max="1048575" man="1"/>
  </colBreaks>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sheetPr codeName="Sheet6"/>
  <dimension ref="A1:O27"/>
  <sheetViews>
    <sheetView zoomScaleNormal="100" workbookViewId="0">
      <selection activeCell="D2" sqref="D2:F2"/>
    </sheetView>
  </sheetViews>
  <sheetFormatPr baseColWidth="10" defaultColWidth="9.1640625" defaultRowHeight="12" x14ac:dyDescent="0.15"/>
  <cols>
    <col min="1" max="1" width="1.5" style="122" customWidth="1"/>
    <col min="2" max="2" width="10.1640625" style="139" bestFit="1" customWidth="1"/>
    <col min="3" max="3" width="4.6640625" style="122" customWidth="1"/>
    <col min="4" max="5" width="11.1640625" style="122" customWidth="1"/>
    <col min="6" max="6" width="11" style="122" customWidth="1"/>
    <col min="7" max="7" width="9.1640625" style="140"/>
    <col min="8" max="8" width="4.6640625" style="122" customWidth="1"/>
    <col min="9" max="12" width="9.1640625" style="122"/>
    <col min="13" max="13" width="11.5" style="122" customWidth="1"/>
    <col min="14" max="14" width="9.1640625" style="122"/>
    <col min="15" max="15" width="6" style="122" customWidth="1"/>
    <col min="16" max="16384" width="9.1640625" style="122"/>
  </cols>
  <sheetData>
    <row r="1" spans="1:15" ht="12" customHeight="1" thickBot="1" x14ac:dyDescent="0.2">
      <c r="A1" s="119"/>
      <c r="B1" s="120" t="s">
        <v>70</v>
      </c>
      <c r="C1" s="119"/>
      <c r="D1" s="511"/>
      <c r="E1" s="511"/>
      <c r="F1" s="511"/>
      <c r="G1" s="121"/>
      <c r="H1" s="119"/>
      <c r="I1" s="119"/>
      <c r="J1" s="119"/>
      <c r="K1" s="119"/>
      <c r="L1" s="119"/>
      <c r="M1" s="119"/>
      <c r="N1" s="119"/>
      <c r="O1" s="119"/>
    </row>
    <row r="2" spans="1:15" ht="12" customHeight="1" x14ac:dyDescent="0.15">
      <c r="A2" s="119"/>
      <c r="B2" s="123">
        <v>45351</v>
      </c>
      <c r="C2" s="119"/>
      <c r="D2" s="512" t="s">
        <v>71</v>
      </c>
      <c r="E2" s="513"/>
      <c r="F2" s="514"/>
      <c r="G2" s="252" t="str">
        <f>B23</f>
        <v>2025-26</v>
      </c>
      <c r="H2" s="119"/>
      <c r="I2" s="515" t="s">
        <v>72</v>
      </c>
      <c r="J2" s="516"/>
      <c r="K2" s="124" t="str">
        <f>G2</f>
        <v>2025-26</v>
      </c>
      <c r="L2" s="119"/>
      <c r="M2" s="119"/>
      <c r="N2" s="119"/>
      <c r="O2" s="119"/>
    </row>
    <row r="3" spans="1:15" ht="12" customHeight="1" thickBot="1" x14ac:dyDescent="0.2">
      <c r="A3" s="119"/>
      <c r="B3" s="123">
        <v>45382</v>
      </c>
      <c r="C3" s="119"/>
      <c r="D3" s="119"/>
      <c r="E3" s="119"/>
      <c r="F3" s="119"/>
      <c r="G3" s="125"/>
      <c r="H3" s="119"/>
      <c r="I3" s="119"/>
      <c r="J3" s="126"/>
      <c r="K3" s="126"/>
      <c r="L3" s="121"/>
      <c r="M3" s="119"/>
      <c r="N3" s="119"/>
      <c r="O3" s="119"/>
    </row>
    <row r="4" spans="1:15" ht="12" customHeight="1" thickBot="1" x14ac:dyDescent="0.2">
      <c r="A4" s="119"/>
      <c r="B4" s="127">
        <v>45388</v>
      </c>
      <c r="C4" s="119"/>
      <c r="D4" s="510" t="s">
        <v>132</v>
      </c>
      <c r="E4" s="510"/>
      <c r="F4" s="510"/>
      <c r="G4" s="128">
        <v>1</v>
      </c>
      <c r="H4" s="119"/>
      <c r="I4" s="510" t="s">
        <v>73</v>
      </c>
      <c r="J4" s="510"/>
      <c r="K4" s="510"/>
      <c r="L4" s="510"/>
      <c r="M4" s="510"/>
      <c r="N4" s="129">
        <v>12570</v>
      </c>
      <c r="O4" s="125" t="s">
        <v>50</v>
      </c>
    </row>
    <row r="5" spans="1:15" ht="12" customHeight="1" x14ac:dyDescent="0.15">
      <c r="A5" s="119"/>
      <c r="B5" s="123">
        <v>45412</v>
      </c>
      <c r="C5" s="119"/>
      <c r="D5" s="510" t="s">
        <v>74</v>
      </c>
      <c r="E5" s="510"/>
      <c r="F5" s="510"/>
      <c r="G5" s="128">
        <v>0.18</v>
      </c>
      <c r="H5" s="119"/>
      <c r="I5" s="119"/>
      <c r="J5" s="119"/>
      <c r="K5" s="119"/>
      <c r="L5" s="119"/>
      <c r="M5" s="119"/>
      <c r="N5" s="125"/>
      <c r="O5" s="125"/>
    </row>
    <row r="6" spans="1:15" ht="12" customHeight="1" x14ac:dyDescent="0.15">
      <c r="A6" s="119"/>
      <c r="B6" s="123">
        <v>45443</v>
      </c>
      <c r="C6" s="119"/>
      <c r="D6" s="119"/>
      <c r="E6" s="119"/>
      <c r="F6" s="119"/>
      <c r="G6" s="125"/>
      <c r="H6" s="119"/>
      <c r="I6" s="510" t="s">
        <v>75</v>
      </c>
      <c r="J6" s="510"/>
      <c r="K6" s="510"/>
      <c r="L6" s="510"/>
      <c r="M6" s="510"/>
      <c r="N6" s="128">
        <v>0.2</v>
      </c>
      <c r="O6" s="125" t="s">
        <v>76</v>
      </c>
    </row>
    <row r="7" spans="1:15" ht="12" customHeight="1" x14ac:dyDescent="0.15">
      <c r="A7" s="119"/>
      <c r="B7" s="123">
        <v>45473</v>
      </c>
      <c r="C7" s="119"/>
      <c r="D7" s="510" t="s">
        <v>77</v>
      </c>
      <c r="E7" s="510"/>
      <c r="F7" s="510"/>
      <c r="G7" s="125"/>
      <c r="H7" s="119"/>
      <c r="I7" s="510" t="s">
        <v>78</v>
      </c>
      <c r="J7" s="510"/>
      <c r="K7" s="510"/>
      <c r="L7" s="510"/>
      <c r="M7" s="510"/>
      <c r="N7" s="128">
        <v>0.4</v>
      </c>
      <c r="O7" s="125" t="s">
        <v>76</v>
      </c>
    </row>
    <row r="8" spans="1:15" ht="12" customHeight="1" x14ac:dyDescent="0.15">
      <c r="A8" s="119"/>
      <c r="B8" s="123">
        <v>45504</v>
      </c>
      <c r="C8" s="119"/>
      <c r="D8" s="119" t="s">
        <v>79</v>
      </c>
      <c r="E8" s="130">
        <v>12000</v>
      </c>
      <c r="F8" s="119" t="s">
        <v>80</v>
      </c>
      <c r="G8" s="130">
        <v>3000</v>
      </c>
      <c r="H8" s="119"/>
      <c r="I8" s="119"/>
      <c r="J8" s="119"/>
      <c r="K8" s="119"/>
      <c r="L8" s="119"/>
      <c r="M8" s="119"/>
      <c r="N8" s="125"/>
      <c r="O8" s="125"/>
    </row>
    <row r="9" spans="1:15" ht="12" customHeight="1" x14ac:dyDescent="0.15">
      <c r="A9" s="119"/>
      <c r="B9" s="123">
        <v>45535</v>
      </c>
      <c r="C9" s="119"/>
      <c r="D9" s="119"/>
      <c r="E9" s="125"/>
      <c r="F9" s="119"/>
      <c r="G9" s="125"/>
      <c r="H9" s="119"/>
      <c r="I9" s="510" t="s">
        <v>81</v>
      </c>
      <c r="J9" s="517"/>
      <c r="K9" s="517"/>
      <c r="L9" s="131" t="s">
        <v>82</v>
      </c>
      <c r="M9" s="131" t="s">
        <v>83</v>
      </c>
      <c r="N9" s="132" t="s">
        <v>84</v>
      </c>
      <c r="O9" s="125"/>
    </row>
    <row r="10" spans="1:15" ht="12" customHeight="1" x14ac:dyDescent="0.15">
      <c r="A10" s="119"/>
      <c r="B10" s="123">
        <v>45565</v>
      </c>
      <c r="C10" s="119"/>
      <c r="D10" s="119"/>
      <c r="E10" s="125"/>
      <c r="F10" s="119"/>
      <c r="G10" s="125"/>
      <c r="H10" s="119"/>
      <c r="I10" s="119"/>
      <c r="J10" s="119"/>
      <c r="K10" s="119"/>
      <c r="L10" s="119"/>
      <c r="M10" s="119"/>
      <c r="N10" s="125"/>
      <c r="O10" s="125"/>
    </row>
    <row r="11" spans="1:15" ht="12" customHeight="1" x14ac:dyDescent="0.15">
      <c r="A11" s="119"/>
      <c r="B11" s="123">
        <v>45596</v>
      </c>
      <c r="C11" s="119"/>
      <c r="D11" s="512" t="s">
        <v>85</v>
      </c>
      <c r="E11" s="513"/>
      <c r="F11" s="514"/>
      <c r="G11" s="125" t="s">
        <v>76</v>
      </c>
      <c r="H11" s="119"/>
      <c r="I11" s="119" t="s">
        <v>86</v>
      </c>
      <c r="J11" s="119"/>
      <c r="K11" s="133">
        <v>0.2</v>
      </c>
      <c r="L11" s="125">
        <f>N11</f>
        <v>0</v>
      </c>
      <c r="M11" s="125">
        <v>37700</v>
      </c>
      <c r="N11" s="130">
        <v>0</v>
      </c>
      <c r="O11" s="125"/>
    </row>
    <row r="12" spans="1:15" ht="12" customHeight="1" x14ac:dyDescent="0.15">
      <c r="A12" s="119"/>
      <c r="B12" s="123">
        <v>45626</v>
      </c>
      <c r="C12" s="119"/>
      <c r="D12" s="119"/>
      <c r="E12" s="119"/>
      <c r="F12" s="119"/>
      <c r="G12" s="125"/>
      <c r="H12" s="119"/>
      <c r="I12" s="119" t="s">
        <v>87</v>
      </c>
      <c r="J12" s="119"/>
      <c r="K12" s="133">
        <v>0.4</v>
      </c>
      <c r="L12" s="125">
        <v>37701</v>
      </c>
      <c r="M12" s="119"/>
      <c r="N12" s="130">
        <v>37701</v>
      </c>
      <c r="O12" s="125"/>
    </row>
    <row r="13" spans="1:15" ht="12" customHeight="1" x14ac:dyDescent="0.15">
      <c r="A13" s="119"/>
      <c r="B13" s="123">
        <v>45657</v>
      </c>
      <c r="C13" s="119"/>
      <c r="D13" s="510" t="s">
        <v>88</v>
      </c>
      <c r="E13" s="510"/>
      <c r="F13" s="510"/>
      <c r="G13" s="128">
        <v>0</v>
      </c>
      <c r="H13" s="119"/>
      <c r="I13" s="119"/>
      <c r="J13" s="119"/>
      <c r="K13" s="119"/>
      <c r="L13" s="119"/>
      <c r="M13" s="119"/>
      <c r="N13" s="119"/>
      <c r="O13" s="119"/>
    </row>
    <row r="14" spans="1:15" ht="12" customHeight="1" x14ac:dyDescent="0.15">
      <c r="A14" s="119"/>
      <c r="B14" s="123">
        <v>45688</v>
      </c>
      <c r="C14" s="119"/>
      <c r="D14" s="510" t="s">
        <v>89</v>
      </c>
      <c r="E14" s="510"/>
      <c r="F14" s="510"/>
      <c r="G14" s="128">
        <v>0.1</v>
      </c>
      <c r="H14" s="119"/>
      <c r="I14" s="518" t="s">
        <v>90</v>
      </c>
      <c r="J14" s="519"/>
      <c r="K14" s="520"/>
      <c r="L14" s="134" t="str">
        <f>G2</f>
        <v>2025-26</v>
      </c>
      <c r="M14" s="119"/>
      <c r="N14" s="119"/>
      <c r="O14" s="119"/>
    </row>
    <row r="15" spans="1:15" ht="12" customHeight="1" x14ac:dyDescent="0.15">
      <c r="A15" s="119"/>
      <c r="B15" s="123">
        <v>45716</v>
      </c>
      <c r="C15" s="119"/>
      <c r="D15" s="510" t="s">
        <v>91</v>
      </c>
      <c r="E15" s="510"/>
      <c r="F15" s="510"/>
      <c r="G15" s="128">
        <v>0.2</v>
      </c>
      <c r="H15" s="119"/>
      <c r="I15" s="119"/>
      <c r="J15" s="119"/>
      <c r="K15" s="119"/>
      <c r="L15" s="119"/>
      <c r="M15" s="119"/>
      <c r="N15" s="119"/>
      <c r="O15" s="119"/>
    </row>
    <row r="16" spans="1:15" ht="12" customHeight="1" thickBot="1" x14ac:dyDescent="0.2">
      <c r="A16" s="119"/>
      <c r="B16" s="123">
        <v>45747</v>
      </c>
      <c r="C16" s="119"/>
      <c r="D16" s="510" t="s">
        <v>92</v>
      </c>
      <c r="E16" s="510"/>
      <c r="F16" s="510"/>
      <c r="G16" s="128">
        <v>0.33</v>
      </c>
      <c r="H16" s="119"/>
      <c r="I16" s="510" t="s">
        <v>93</v>
      </c>
      <c r="J16" s="510"/>
      <c r="K16" s="510"/>
      <c r="L16" s="135">
        <v>0</v>
      </c>
      <c r="M16" s="158" t="s">
        <v>313</v>
      </c>
      <c r="N16" s="119"/>
      <c r="O16" s="119"/>
    </row>
    <row r="17" spans="1:15" ht="12" customHeight="1" thickBot="1" x14ac:dyDescent="0.2">
      <c r="A17" s="119"/>
      <c r="B17" s="127">
        <v>45752</v>
      </c>
      <c r="C17" s="119"/>
      <c r="D17" s="510" t="s">
        <v>94</v>
      </c>
      <c r="E17" s="510"/>
      <c r="F17" s="510"/>
      <c r="G17" s="128">
        <v>0.25</v>
      </c>
      <c r="H17" s="119"/>
      <c r="I17" s="119"/>
      <c r="J17" s="119"/>
      <c r="K17" s="119"/>
      <c r="L17" s="137"/>
      <c r="M17" s="119"/>
      <c r="N17" s="119"/>
      <c r="O17" s="119"/>
    </row>
    <row r="18" spans="1:15" ht="12" customHeight="1" x14ac:dyDescent="0.15">
      <c r="A18" s="119"/>
      <c r="B18" s="123">
        <v>45777</v>
      </c>
      <c r="C18" s="119"/>
      <c r="D18" s="119"/>
      <c r="E18" s="119"/>
      <c r="F18" s="119"/>
      <c r="G18" s="125"/>
      <c r="H18" s="119"/>
      <c r="I18" s="119"/>
      <c r="J18" s="119"/>
      <c r="K18" s="119"/>
      <c r="L18" s="119"/>
      <c r="M18" s="119"/>
      <c r="N18" s="119"/>
      <c r="O18" s="119"/>
    </row>
    <row r="19" spans="1:15" ht="12" customHeight="1" x14ac:dyDescent="0.15">
      <c r="A19" s="119"/>
      <c r="B19" s="123">
        <v>45808</v>
      </c>
      <c r="C19" s="119"/>
      <c r="D19" s="512" t="s">
        <v>96</v>
      </c>
      <c r="E19" s="514"/>
      <c r="F19" s="125" t="s">
        <v>97</v>
      </c>
      <c r="G19" s="125" t="s">
        <v>98</v>
      </c>
      <c r="H19" s="119"/>
      <c r="I19" s="522" t="s">
        <v>95</v>
      </c>
      <c r="J19" s="522"/>
      <c r="K19" s="522"/>
      <c r="L19" s="119"/>
      <c r="M19" s="521" t="s">
        <v>228</v>
      </c>
      <c r="N19" s="119"/>
      <c r="O19" s="119"/>
    </row>
    <row r="20" spans="1:15" ht="12" customHeight="1" x14ac:dyDescent="0.15">
      <c r="A20" s="119"/>
      <c r="B20" s="123">
        <v>45838</v>
      </c>
      <c r="C20" s="119"/>
      <c r="D20" s="121"/>
      <c r="E20" s="121"/>
      <c r="F20" s="125"/>
      <c r="G20" s="125"/>
      <c r="H20" s="119"/>
      <c r="I20" s="522"/>
      <c r="J20" s="522"/>
      <c r="K20" s="522"/>
      <c r="L20" s="328">
        <v>0.06</v>
      </c>
      <c r="M20" s="521"/>
      <c r="N20" s="130">
        <v>12570</v>
      </c>
      <c r="O20" s="125" t="s">
        <v>50</v>
      </c>
    </row>
    <row r="21" spans="1:15" ht="12" customHeight="1" x14ac:dyDescent="0.15">
      <c r="A21" s="119"/>
      <c r="B21" s="123">
        <v>46053</v>
      </c>
      <c r="C21" s="119"/>
      <c r="D21" s="510" t="s">
        <v>99</v>
      </c>
      <c r="E21" s="510"/>
      <c r="F21" s="130">
        <v>10000</v>
      </c>
      <c r="G21" s="135">
        <v>0.45</v>
      </c>
      <c r="H21" s="119"/>
      <c r="I21" s="136"/>
      <c r="J21" s="136"/>
      <c r="K21" s="136"/>
      <c r="L21" s="133"/>
      <c r="M21" s="119"/>
      <c r="N21" s="119"/>
      <c r="O21" s="119"/>
    </row>
    <row r="22" spans="1:15" ht="12" customHeight="1" thickBot="1" x14ac:dyDescent="0.2">
      <c r="A22" s="119"/>
      <c r="B22" s="123">
        <v>46234</v>
      </c>
      <c r="C22" s="119"/>
      <c r="D22" s="119" t="s">
        <v>101</v>
      </c>
      <c r="E22" s="119"/>
      <c r="F22" s="130">
        <v>10001</v>
      </c>
      <c r="G22" s="135">
        <v>0.25</v>
      </c>
      <c r="H22" s="119"/>
      <c r="I22" s="522" t="s">
        <v>100</v>
      </c>
      <c r="J22" s="522"/>
      <c r="K22" s="522"/>
      <c r="L22" s="119"/>
      <c r="M22" s="521" t="s">
        <v>229</v>
      </c>
      <c r="N22" s="119"/>
      <c r="O22" s="119"/>
    </row>
    <row r="23" spans="1:15" ht="12" customHeight="1" thickBot="1" x14ac:dyDescent="0.2">
      <c r="A23" s="119"/>
      <c r="B23" s="127" t="inlineStr">
        <is>
          <t>2024-25</t>
        </is>
      </c>
      <c r="C23" s="119"/>
      <c r="D23" s="119"/>
      <c r="E23" s="119"/>
      <c r="F23" s="125"/>
      <c r="G23" s="137"/>
      <c r="H23" s="119"/>
      <c r="I23" s="522"/>
      <c r="J23" s="522"/>
      <c r="K23" s="522"/>
      <c r="L23" s="328">
        <v>0.02</v>
      </c>
      <c r="M23" s="521"/>
      <c r="N23" s="130">
        <v>50270</v>
      </c>
      <c r="O23" s="125" t="s">
        <v>50</v>
      </c>
    </row>
    <row r="24" spans="1:15" ht="12" customHeight="1" thickBot="1" x14ac:dyDescent="0.2">
      <c r="A24" s="119"/>
      <c r="B24" s="127" t="inlineStr">
        <is>
          <t>2025-26</t>
        </is>
      </c>
      <c r="C24" s="119"/>
      <c r="D24" s="512" t="s">
        <v>96</v>
      </c>
      <c r="E24" s="514"/>
      <c r="F24" s="119"/>
      <c r="G24" s="119"/>
      <c r="H24" s="119"/>
      <c r="I24" s="119"/>
      <c r="J24" s="119"/>
      <c r="K24" s="119"/>
      <c r="L24" s="119"/>
      <c r="M24" s="119"/>
      <c r="N24" s="119"/>
      <c r="O24" s="119"/>
    </row>
    <row r="25" spans="1:15" ht="12" customHeight="1" x14ac:dyDescent="0.15">
      <c r="A25" s="119"/>
      <c r="B25" s="119"/>
      <c r="C25" s="119"/>
      <c r="D25" s="119"/>
      <c r="E25" s="119"/>
      <c r="F25" s="119"/>
      <c r="G25" s="119"/>
      <c r="H25" s="119"/>
      <c r="I25" s="119"/>
      <c r="J25" s="119"/>
      <c r="K25" s="119"/>
      <c r="L25" s="119"/>
      <c r="M25" s="119"/>
      <c r="N25" s="119"/>
      <c r="O25" s="119"/>
    </row>
    <row r="26" spans="1:15" ht="12" customHeight="1" x14ac:dyDescent="0.15">
      <c r="A26" s="119"/>
      <c r="B26" s="138"/>
      <c r="C26" s="119"/>
      <c r="D26" s="510" t="s">
        <v>278</v>
      </c>
      <c r="E26" s="510"/>
      <c r="F26" s="130">
        <v>90000</v>
      </c>
      <c r="G26" s="119"/>
      <c r="H26" s="119"/>
      <c r="I26" s="119"/>
      <c r="J26" s="119"/>
      <c r="K26" s="119"/>
      <c r="L26" s="119"/>
      <c r="M26" s="119"/>
      <c r="N26" s="119"/>
      <c r="O26" s="119"/>
    </row>
    <row r="27" spans="1:15" x14ac:dyDescent="0.15">
      <c r="A27" s="119"/>
      <c r="B27" s="138"/>
      <c r="C27" s="119"/>
      <c r="D27" s="119"/>
      <c r="E27" s="119"/>
      <c r="F27" s="119"/>
      <c r="G27" s="125"/>
      <c r="H27" s="119"/>
      <c r="I27" s="119"/>
      <c r="J27" s="119"/>
      <c r="K27" s="119"/>
      <c r="L27" s="119"/>
      <c r="M27" s="119"/>
      <c r="N27" s="119"/>
      <c r="O27" s="119"/>
    </row>
  </sheetData>
  <mergeCells count="26">
    <mergeCell ref="D24:E24"/>
    <mergeCell ref="D26:E26"/>
    <mergeCell ref="M19:M20"/>
    <mergeCell ref="M22:M23"/>
    <mergeCell ref="I19:K20"/>
    <mergeCell ref="D19:E19"/>
    <mergeCell ref="D21:E21"/>
    <mergeCell ref="I22:K23"/>
    <mergeCell ref="D15:F15"/>
    <mergeCell ref="D16:F16"/>
    <mergeCell ref="I16:K16"/>
    <mergeCell ref="D17:F17"/>
    <mergeCell ref="I9:K9"/>
    <mergeCell ref="D11:F11"/>
    <mergeCell ref="D13:F13"/>
    <mergeCell ref="D14:F14"/>
    <mergeCell ref="I14:K14"/>
    <mergeCell ref="D5:F5"/>
    <mergeCell ref="I6:M6"/>
    <mergeCell ref="D7:F7"/>
    <mergeCell ref="I7:M7"/>
    <mergeCell ref="D1:F1"/>
    <mergeCell ref="D2:F2"/>
    <mergeCell ref="D4:F4"/>
    <mergeCell ref="I4:M4"/>
    <mergeCell ref="I2:J2"/>
  </mergeCells>
  <phoneticPr fontId="3" type="noConversion"/>
  <pageMargins left="0.75" right="0.75" top="1" bottom="1" header="0.5" footer="0.5"/>
  <pageSetup paperSize="9" orientation="portrait" horizontalDpi="4294967293" verticalDpi="4294967293" r:id="rId1"/>
  <headerFooter alignWithMargins="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33</vt:i4>
      </vt:variant>
      <vt:variant>
        <vt:lpstr>Named Ranges</vt:lpstr>
      </vt:variant>
      <vt:variant>
        <vt:i4>204</vt:i4>
      </vt:variant>
    </vt:vector>
  </HeadingPairs>
  <TitlesOfParts>
    <vt:vector size="237" baseType="lpstr">
      <vt:lpstr>Home</vt:lpstr>
      <vt:lpstr>Business Details</vt:lpstr>
      <vt:lpstr>SE Short</vt:lpstr>
      <vt:lpstr>Profit &amp; Loss Acc</vt:lpstr>
      <vt:lpstr>VitalTax</vt:lpstr>
      <vt:lpstr>Fixed Assets</vt:lpstr>
      <vt:lpstr>Draft Tax calculation</vt:lpstr>
      <vt:lpstr>Wages Forecast</vt:lpstr>
      <vt:lpstr>SalesApr</vt:lpstr>
      <vt:lpstr>PurchasesApr</vt:lpstr>
      <vt:lpstr>SalesMay</vt:lpstr>
      <vt:lpstr>PurchasesMay</vt:lpstr>
      <vt:lpstr>SalesJun</vt:lpstr>
      <vt:lpstr>PurchasesJun</vt:lpstr>
      <vt:lpstr>SalesJul</vt:lpstr>
      <vt:lpstr>PurchasesJul</vt:lpstr>
      <vt:lpstr>SalesAug</vt:lpstr>
      <vt:lpstr>PurchasesAug</vt:lpstr>
      <vt:lpstr>SalesSep</vt:lpstr>
      <vt:lpstr>PurchasesSep</vt:lpstr>
      <vt:lpstr>SalesOct</vt:lpstr>
      <vt:lpstr>PurchasesOct</vt:lpstr>
      <vt:lpstr>SalesNov</vt:lpstr>
      <vt:lpstr>PurchasesNov</vt:lpstr>
      <vt:lpstr>SalesDec</vt:lpstr>
      <vt:lpstr>PurchasesDec</vt:lpstr>
      <vt:lpstr>SalesJan</vt:lpstr>
      <vt:lpstr>PurchasesJan</vt:lpstr>
      <vt:lpstr>SalesFeb</vt:lpstr>
      <vt:lpstr>PurchasesFeb</vt:lpstr>
      <vt:lpstr>SalesMar</vt:lpstr>
      <vt:lpstr>PurchasesMar</vt:lpstr>
      <vt:lpstr>Admin</vt:lpstr>
      <vt:lpstr>Annual_ConsolidatedExpenses</vt:lpstr>
      <vt:lpstr>Annual_ExpenseAdminCosts</vt:lpstr>
      <vt:lpstr>Annual_ExpenseAdminCostsDisallowable</vt:lpstr>
      <vt:lpstr>Annual_ExpenseAdvertisingCosts</vt:lpstr>
      <vt:lpstr>Annual_ExpenseAdvertisingCostsDisallowable</vt:lpstr>
      <vt:lpstr>Annual_ExpenseBadDebt</vt:lpstr>
      <vt:lpstr>Annual_ExpenseBadDebtDisallowable</vt:lpstr>
      <vt:lpstr>Annual_ExpenseBusinessEntertainmentCosts</vt:lpstr>
      <vt:lpstr>Annual_ExpenseBusinessEntertainmentCostsDisallowable</vt:lpstr>
      <vt:lpstr>Annual_ExpenseCisPaymentsToSubcontractors</vt:lpstr>
      <vt:lpstr>Annual_ExpenseCisPaymentsToSubcontractorsDisallowable</vt:lpstr>
      <vt:lpstr>Annual_ExpenseCostOfGoodsBought</vt:lpstr>
      <vt:lpstr>Annual_ExpenseCostOfGoodsBoughtDisallowable</vt:lpstr>
      <vt:lpstr>Annual_ExpenseDepreciation</vt:lpstr>
      <vt:lpstr>Annual_ExpenseDepreciationDisallowable</vt:lpstr>
      <vt:lpstr>Annual_ExpenseFinancialCharges</vt:lpstr>
      <vt:lpstr>Annual_ExpenseFinancialChargesDisallowable</vt:lpstr>
      <vt:lpstr>Annual_ExpenseInterest</vt:lpstr>
      <vt:lpstr>Annual_ExpenseInterestDisallowable</vt:lpstr>
      <vt:lpstr>Annual_ExpenseMaintenanceCosts</vt:lpstr>
      <vt:lpstr>Annual_ExpenseMaintenanceCostsDisallowable</vt:lpstr>
      <vt:lpstr>Annual_ExpenseOther</vt:lpstr>
      <vt:lpstr>Annual_ExpenseOtherDisallowable</vt:lpstr>
      <vt:lpstr>Annual_ExpensePremisesRunningCosts</vt:lpstr>
      <vt:lpstr>Annual_ExpensePremisesRunningCostsDisallowable</vt:lpstr>
      <vt:lpstr>Annual_ExpenseProfessionalFees</vt:lpstr>
      <vt:lpstr>Annual_ExpenseProfessionalFeesDisallowable</vt:lpstr>
      <vt:lpstr>Annual_ExpenseStaffCosts</vt:lpstr>
      <vt:lpstr>Annual_ExpenseStaffCostsDisallowable</vt:lpstr>
      <vt:lpstr>Annual_ExpenseTravelCosts</vt:lpstr>
      <vt:lpstr>Annual_ExpenseTravelCostsDisallowable</vt:lpstr>
      <vt:lpstr>Annual_IncomeOther</vt:lpstr>
      <vt:lpstr>Annual_IncomeTurnover</vt:lpstr>
      <vt:lpstr>PurchasesApr!Print_Area</vt:lpstr>
      <vt:lpstr>PurchasesAug!Print_Area</vt:lpstr>
      <vt:lpstr>PurchasesDec!Print_Area</vt:lpstr>
      <vt:lpstr>PurchasesFeb!Print_Area</vt:lpstr>
      <vt:lpstr>PurchasesJan!Print_Area</vt:lpstr>
      <vt:lpstr>PurchasesJul!Print_Area</vt:lpstr>
      <vt:lpstr>PurchasesJun!Print_Area</vt:lpstr>
      <vt:lpstr>PurchasesMar!Print_Area</vt:lpstr>
      <vt:lpstr>PurchasesMay!Print_Area</vt:lpstr>
      <vt:lpstr>PurchasesNov!Print_Area</vt:lpstr>
      <vt:lpstr>PurchasesOct!Print_Area</vt:lpstr>
      <vt:lpstr>PurchasesSep!Print_Area</vt:lpstr>
      <vt:lpstr>'Fixed Assets'!Print_Titles</vt:lpstr>
      <vt:lpstr>'Profit &amp; Loss Acc'!Print_Titles</vt:lpstr>
      <vt:lpstr>PurchasesApr!Print_Titles</vt:lpstr>
      <vt:lpstr>PurchasesAug!Print_Titles</vt:lpstr>
      <vt:lpstr>PurchasesDec!Print_Titles</vt:lpstr>
      <vt:lpstr>PurchasesFeb!Print_Titles</vt:lpstr>
      <vt:lpstr>PurchasesJan!Print_Titles</vt:lpstr>
      <vt:lpstr>PurchasesJul!Print_Titles</vt:lpstr>
      <vt:lpstr>PurchasesJun!Print_Titles</vt:lpstr>
      <vt:lpstr>PurchasesMar!Print_Titles</vt:lpstr>
      <vt:lpstr>PurchasesMay!Print_Titles</vt:lpstr>
      <vt:lpstr>PurchasesNov!Print_Titles</vt:lpstr>
      <vt:lpstr>PurchasesOct!Print_Titles</vt:lpstr>
      <vt:lpstr>PurchasesSep!Print_Titles</vt:lpstr>
      <vt:lpstr>SalesApr!Print_Titles</vt:lpstr>
      <vt:lpstr>SalesAug!Print_Titles</vt:lpstr>
      <vt:lpstr>SalesDec!Print_Titles</vt:lpstr>
      <vt:lpstr>SalesFeb!Print_Titles</vt:lpstr>
      <vt:lpstr>SalesJan!Print_Titles</vt:lpstr>
      <vt:lpstr>SalesJul!Print_Titles</vt:lpstr>
      <vt:lpstr>SalesJun!Print_Titles</vt:lpstr>
      <vt:lpstr>SalesMar!Print_Titles</vt:lpstr>
      <vt:lpstr>SalesMay!Print_Titles</vt:lpstr>
      <vt:lpstr>SalesNov!Print_Titles</vt:lpstr>
      <vt:lpstr>SalesOct!Print_Titles</vt:lpstr>
      <vt:lpstr>SalesSep!Print_Titles</vt:lpstr>
      <vt:lpstr>VitalTax!Print_Titles</vt:lpstr>
      <vt:lpstr>Q1_ConsolidatedExpenses</vt:lpstr>
      <vt:lpstr>Q1_ExpenseAdminCosts</vt:lpstr>
      <vt:lpstr>Q1_ExpenseAdminCostsDisallowable</vt:lpstr>
      <vt:lpstr>Q1_ExpenseAdvertisingCosts</vt:lpstr>
      <vt:lpstr>Q1_ExpenseAdvertisingCostsDisallowable</vt:lpstr>
      <vt:lpstr>Q1_ExpenseBadDebt</vt:lpstr>
      <vt:lpstr>Q1_ExpenseBadDebtDisallowable</vt:lpstr>
      <vt:lpstr>Q1_ExpenseBusinessEntertainmentCosts</vt:lpstr>
      <vt:lpstr>Q1_ExpenseBusinessEntertainmentCostsDisallowable</vt:lpstr>
      <vt:lpstr>Q1_ExpenseCisPaymentsToSubcontractors</vt:lpstr>
      <vt:lpstr>Q1_ExpenseCisPaymentsToSubcontractorsDisallowable</vt:lpstr>
      <vt:lpstr>Q1_ExpenseCostOfGoodsBought</vt:lpstr>
      <vt:lpstr>Q1_ExpenseCostOfGoodsBoughtDisallowable</vt:lpstr>
      <vt:lpstr>Q1_ExpenseDepreciation</vt:lpstr>
      <vt:lpstr>Q1_ExpenseDepreciationDisallowable</vt:lpstr>
      <vt:lpstr>Q1_ExpenseFinancialCharges</vt:lpstr>
      <vt:lpstr>Q1_ExpenseFinancialChargesDisallowable</vt:lpstr>
      <vt:lpstr>Q1_ExpenseInterest</vt:lpstr>
      <vt:lpstr>Q1_ExpenseInterestDisallowable</vt:lpstr>
      <vt:lpstr>Q1_ExpenseMaintenanceCosts</vt:lpstr>
      <vt:lpstr>Q1_ExpenseMaintenanceCostsDisallowable</vt:lpstr>
      <vt:lpstr>Q1_ExpenseOther</vt:lpstr>
      <vt:lpstr>Q1_ExpenseOtherDisallowable</vt:lpstr>
      <vt:lpstr>Q1_ExpensePremisesRunningCosts</vt:lpstr>
      <vt:lpstr>Q1_ExpensePremisesRunningCostsDisallowable</vt:lpstr>
      <vt:lpstr>Q1_ExpenseProfessionalFees</vt:lpstr>
      <vt:lpstr>Q1_ExpenseProfessionalFeesDisallowable</vt:lpstr>
      <vt:lpstr>Q1_ExpenseStaffCosts</vt:lpstr>
      <vt:lpstr>Q1_ExpenseStaffCostsDisallowable</vt:lpstr>
      <vt:lpstr>Q1_ExpenseTravelCosts</vt:lpstr>
      <vt:lpstr>Q1_ExpenseTravelCostsDisallowable</vt:lpstr>
      <vt:lpstr>Q1_IncomeOther</vt:lpstr>
      <vt:lpstr>Q1_IncomeTurnover</vt:lpstr>
      <vt:lpstr>Q2_ConsolidatedExpenses</vt:lpstr>
      <vt:lpstr>Q2_ExpenseAdminCosts</vt:lpstr>
      <vt:lpstr>Q2_ExpenseAdminCostsDisallowable</vt:lpstr>
      <vt:lpstr>Q2_ExpenseAdvertisingCosts</vt:lpstr>
      <vt:lpstr>Q2_ExpenseAdvertisingCostsDisallowable</vt:lpstr>
      <vt:lpstr>Q2_ExpenseBadDebt</vt:lpstr>
      <vt:lpstr>Q2_ExpenseBadDebtDisallowable</vt:lpstr>
      <vt:lpstr>Q2_ExpenseBusinessEntertainmentCosts</vt:lpstr>
      <vt:lpstr>Q2_ExpenseBusinessEntertainmentCostsDisallowable</vt:lpstr>
      <vt:lpstr>Q2_ExpenseCisPaymentsToSubcontractors</vt:lpstr>
      <vt:lpstr>Q2_ExpenseCisPaymentsToSubcontractorsDisallowable</vt:lpstr>
      <vt:lpstr>Q2_ExpenseCostOfGoodsBought</vt:lpstr>
      <vt:lpstr>Q2_ExpenseCostOfGoodsBoughtDisallowable</vt:lpstr>
      <vt:lpstr>Q2_ExpenseDepreciation</vt:lpstr>
      <vt:lpstr>Q2_ExpenseDepreciationDisallowable</vt:lpstr>
      <vt:lpstr>Q2_ExpenseFinancialCharges</vt:lpstr>
      <vt:lpstr>Q2_ExpenseFinancialChargesDisallowable</vt:lpstr>
      <vt:lpstr>Q2_ExpenseInterest</vt:lpstr>
      <vt:lpstr>Q2_ExpenseInterestDisallowable</vt:lpstr>
      <vt:lpstr>Q2_ExpenseMaintenanceCosts</vt:lpstr>
      <vt:lpstr>Q2_ExpenseMaintenanceCostsDisallowable</vt:lpstr>
      <vt:lpstr>Q2_ExpenseOther</vt:lpstr>
      <vt:lpstr>Q2_ExpenseOtherDisallowable</vt:lpstr>
      <vt:lpstr>Q2_ExpensePremisesRunningCosts</vt:lpstr>
      <vt:lpstr>Q2_ExpensePremisesRunningCostsDisallowable</vt:lpstr>
      <vt:lpstr>Q2_ExpenseProfessionalFees</vt:lpstr>
      <vt:lpstr>Q2_ExpenseProfessionalFeesDisallowable</vt:lpstr>
      <vt:lpstr>Q2_ExpenseStaffCosts</vt:lpstr>
      <vt:lpstr>Q2_ExpenseStaffCostsDisallowable</vt:lpstr>
      <vt:lpstr>Q2_ExpenseTravelCosts</vt:lpstr>
      <vt:lpstr>Q2_ExpenseTravelCostsDisallowable</vt:lpstr>
      <vt:lpstr>Q2_IncomeOther</vt:lpstr>
      <vt:lpstr>Q2_IncomeTurnover</vt:lpstr>
      <vt:lpstr>Q3_ConsolidatedExpenses</vt:lpstr>
      <vt:lpstr>Q3_ExpenseAdminCosts</vt:lpstr>
      <vt:lpstr>Q3_ExpenseAdminCostsDisallowable</vt:lpstr>
      <vt:lpstr>Q3_ExpenseAdvertisingCosts</vt:lpstr>
      <vt:lpstr>Q3_ExpenseAdvertisingCostsDisallowable</vt:lpstr>
      <vt:lpstr>Q3_ExpenseBadDebt</vt:lpstr>
      <vt:lpstr>Q3_ExpenseBadDebtDisallowable</vt:lpstr>
      <vt:lpstr>Q3_ExpenseBusinessEntertainmentCosts</vt:lpstr>
      <vt:lpstr>Q3_ExpenseBusinessEntertainmentCostsDisallowable</vt:lpstr>
      <vt:lpstr>Q3_ExpenseCisPaymentsToSubcontractors</vt:lpstr>
      <vt:lpstr>Q3_ExpenseCisPaymentsToSubcontractorsDisallowable</vt:lpstr>
      <vt:lpstr>Q3_ExpenseCostOfGoodsBought</vt:lpstr>
      <vt:lpstr>Q3_ExpenseCostOfGoodsBoughtDisallowable</vt:lpstr>
      <vt:lpstr>Q3_ExpenseDepreciation</vt:lpstr>
      <vt:lpstr>Q3_ExpenseDepreciationDisallowable</vt:lpstr>
      <vt:lpstr>Q3_ExpenseFinancialCharges</vt:lpstr>
      <vt:lpstr>Q3_ExpenseFinancialChargesDisallowable</vt:lpstr>
      <vt:lpstr>Q3_ExpenseInterest</vt:lpstr>
      <vt:lpstr>Q3_ExpenseInterestDisallowable</vt:lpstr>
      <vt:lpstr>Q3_ExpenseMaintenanceCosts</vt:lpstr>
      <vt:lpstr>Q3_ExpenseMaintenanceCostsDisallowable</vt:lpstr>
      <vt:lpstr>Q3_ExpenseOther</vt:lpstr>
      <vt:lpstr>Q3_ExpenseOtherDisallowable</vt:lpstr>
      <vt:lpstr>Q3_ExpensePremisesRunningCosts</vt:lpstr>
      <vt:lpstr>Q3_ExpensePremisesRunningCostsDisallowable</vt:lpstr>
      <vt:lpstr>Q3_ExpenseProfessionalFees</vt:lpstr>
      <vt:lpstr>Q3_ExpenseProfessionalFeesDisallowable</vt:lpstr>
      <vt:lpstr>Q3_ExpenseStaffCosts</vt:lpstr>
      <vt:lpstr>Q3_ExpenseStaffCostsDisallowable</vt:lpstr>
      <vt:lpstr>Q3_ExpenseTravelCosts</vt:lpstr>
      <vt:lpstr>Q3_ExpenseTravelCostsDisallowable</vt:lpstr>
      <vt:lpstr>Q3_IncomeOther</vt:lpstr>
      <vt:lpstr>Q3_IncomeTurnover</vt:lpstr>
      <vt:lpstr>Q4_ConsolidatedExpenses</vt:lpstr>
      <vt:lpstr>Q4_ExpenseAdminCosts</vt:lpstr>
      <vt:lpstr>Q4_ExpenseAdminCostsDisallowable</vt:lpstr>
      <vt:lpstr>Q4_ExpenseAdvertisingCosts</vt:lpstr>
      <vt:lpstr>Q4_ExpenseAdvertisingCostsDisallowable</vt:lpstr>
      <vt:lpstr>Q4_ExpenseBadDebt</vt:lpstr>
      <vt:lpstr>Q4_ExpenseBadDebtDisallowable</vt:lpstr>
      <vt:lpstr>Q4_ExpenseBusinessEntertainmentCosts</vt:lpstr>
      <vt:lpstr>Q4_ExpenseBusinessEntertainmentCostsDisallowable</vt:lpstr>
      <vt:lpstr>Q4_ExpenseCisPaymentsToSubcontractors</vt:lpstr>
      <vt:lpstr>Q4_ExpenseCisPaymentsToSubcontractorsDisallowable</vt:lpstr>
      <vt:lpstr>Q4_ExpenseCostOfGoodsBought</vt:lpstr>
      <vt:lpstr>Q4_ExpenseCostOfGoodsBoughtDisallowable</vt:lpstr>
      <vt:lpstr>Q4_ExpenseDepreciation</vt:lpstr>
      <vt:lpstr>Q4_ExpenseDepreciationDisallowable</vt:lpstr>
      <vt:lpstr>Q4_ExpenseFinancialCharges</vt:lpstr>
      <vt:lpstr>Q4_ExpenseFinancialChargesDisallowable</vt:lpstr>
      <vt:lpstr>Q4_ExpenseInterest</vt:lpstr>
      <vt:lpstr>Q4_ExpenseInterestDisallowable</vt:lpstr>
      <vt:lpstr>Q4_ExpenseMaintenanceCosts</vt:lpstr>
      <vt:lpstr>Q4_ExpenseMaintenanceCostsDisallowable</vt:lpstr>
      <vt:lpstr>Q4_ExpenseOther</vt:lpstr>
      <vt:lpstr>Q4_ExpenseOtherDisallowable</vt:lpstr>
      <vt:lpstr>Q4_ExpensePremisesRunningCosts</vt:lpstr>
      <vt:lpstr>Q4_ExpensePremisesRunningCostsDisallowable</vt:lpstr>
      <vt:lpstr>Q4_ExpenseProfessionalFees</vt:lpstr>
      <vt:lpstr>Q4_ExpenseProfessionalFeesDisallowable</vt:lpstr>
      <vt:lpstr>Q4_ExpenseStaffCosts</vt:lpstr>
      <vt:lpstr>Q4_ExpenseStaffCostsDisallowable</vt:lpstr>
      <vt:lpstr>Q4_ExpenseTravelCosts</vt:lpstr>
      <vt:lpstr>Q4_ExpenseTravelCostsDisallowable</vt:lpstr>
      <vt:lpstr>Q4_IncomeOther</vt:lpstr>
      <vt:lpstr>Q4_IncomeTurnover</vt:lpstr>
    </vt:vector>
  </TitlesOfParts>
  <Company>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Financial Accounts</dc:title>
  <dc:creator>Terry Cartwright</dc:creator>
  <cp:lastModifiedBy>Cartwright, Antony</cp:lastModifiedBy>
  <cp:lastPrinted>2008-06-02T20:50:10Z</cp:lastPrinted>
  <dcterms:created xsi:type="dcterms:W3CDTF">2002-12-30T15:31:19Z</dcterms:created>
  <dcterms:modified xsi:type="dcterms:W3CDTF">2026-03-31T22:02:53Z</dcterms:modified>
</cp:coreProperties>
</file>