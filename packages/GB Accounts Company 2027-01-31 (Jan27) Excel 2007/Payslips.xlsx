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<sst xmlns="http://schemas.openxmlformats.org/spreadsheetml/2006/main" count="1383" uniqueCount="138">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</sst>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DATE(2026,3,1)</f>
        <v>46082</v>
      </c>
      <c r="L49" s="203" t="s">
        <v>76</v>
      </c>
      <c r="M49" s="205">
        <f>DATE(2026,3,31)</f>
        <v>46112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DATE(2026,4,1)</f>
        <v>46113</v>
      </c>
      <c r="L59" s="203" t="s">
        <v>76</v>
      </c>
      <c r="M59" s="205">
        <f>DATE(2026,4,30)</f>
        <v>46142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DATE(2026,6,1)</f>
        <v>46174</v>
      </c>
      <c r="L49" s="203" t="s">
        <v>76</v>
      </c>
      <c r="M49" s="205">
        <f>DATE(2026,6,30)</f>
        <v>46203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DATE(2026,7,1)</f>
        <v>46204</v>
      </c>
      <c r="L59" s="203" t="s">
        <v>76</v>
      </c>
      <c r="M59" s="205">
        <f>DATE(2026,7,31)</f>
        <v>46234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DATE(2026,9,1)</f>
        <v>46266</v>
      </c>
      <c r="L49" s="203" t="s">
        <v>76</v>
      </c>
      <c r="M49" s="205">
        <f>DATE(2026,9,30)</f>
        <v>46295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DATE(2026,10,1)</f>
        <v>46296</v>
      </c>
      <c r="L59" s="203" t="s">
        <v>76</v>
      </c>
      <c r="M59" s="205">
        <f>DATE(2026,10,31)</f>
        <v>46326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DATE(2026,12,1)</f>
        <v>46357</v>
      </c>
      <c r="L49" s="203" t="s">
        <v>76</v>
      </c>
      <c r="M49" s="205">
        <f>DATE(2026,12,31)</f>
        <v>46387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DATE(2027,1,1)</f>
        <v>46388</v>
      </c>
      <c r="L69" s="203" t="s">
        <v>76</v>
      </c>
      <c r="M69" s="205">
        <f>DATE(2027,1,31)</f>
        <v>46418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Jan!AD80+Jan!AE80+Jan!AF80+Jan!AG80</f>
        <v>0</v>
      </c>
      <c r="G13" s="228">
        <f>Jan!AE82+Jan!AF82+Jan!AG82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