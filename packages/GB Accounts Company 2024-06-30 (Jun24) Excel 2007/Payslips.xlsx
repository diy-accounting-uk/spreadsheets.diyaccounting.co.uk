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<sst xmlns="http://schemas.openxmlformats.org/spreadsheetml/2006/main" count="1383" uniqueCount="138">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</sst>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45752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45389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45390</v>
      </c>
      <c r="L19" s="200" t="s">
        <v>76</v>
      </c>
      <c r="M19" s="202">
        <f>K19+6</f>
        <v>45396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45397</v>
      </c>
      <c r="L29" s="200" t="s">
        <v>76</v>
      </c>
      <c r="M29" s="202">
        <f>K29+6</f>
        <v>45403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45404</v>
      </c>
      <c r="L39" s="200" t="s">
        <v>76</v>
      </c>
      <c r="M39" s="202">
        <f>K39+6</f>
        <v>45410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DATE(2023,7,1)</f>
        <v>45108</v>
      </c>
      <c r="L49" s="203" t="s">
        <v>76</v>
      </c>
      <c r="M49" s="205">
        <f>DATE(2023,7,31)</f>
        <v>45138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45411</v>
      </c>
      <c r="L9" s="203" t="s">
        <v>76</v>
      </c>
      <c r="M9" s="205">
        <f>K9+6</f>
        <v>45417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45418</v>
      </c>
      <c r="L19" s="203" t="s">
        <v>76</v>
      </c>
      <c r="M19" s="205">
        <f>K19+6</f>
        <v>45424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45425</v>
      </c>
      <c r="L29" s="203" t="s">
        <v>76</v>
      </c>
      <c r="M29" s="205">
        <f>K29+6</f>
        <v>45431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45432</v>
      </c>
      <c r="L39" s="203" t="s">
        <v>76</v>
      </c>
      <c r="M39" s="205">
        <f>K39+6</f>
        <v>45438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DATE(2023,8,1)</f>
        <v>45139</v>
      </c>
      <c r="L49" s="203" t="s">
        <v>76</v>
      </c>
      <c r="M49" s="205">
        <f>DATE(2023,8,31)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45439</v>
      </c>
      <c r="L9" s="203" t="s">
        <v>76</v>
      </c>
      <c r="M9" s="205">
        <f>K9+6</f>
        <v>45445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45446</v>
      </c>
      <c r="L19" s="203" t="s">
        <v>76</v>
      </c>
      <c r="M19" s="205">
        <f>K19+6</f>
        <v>45452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45453</v>
      </c>
      <c r="L29" s="203" t="s">
        <v>76</v>
      </c>
      <c r="M29" s="205">
        <f>K29+6</f>
        <v>45459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45460</v>
      </c>
      <c r="L39" s="203" t="s">
        <v>76</v>
      </c>
      <c r="M39" s="205">
        <f>K39+6</f>
        <v>45466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45467</v>
      </c>
      <c r="L49" s="203" t="s">
        <v>76</v>
      </c>
      <c r="M49" s="205">
        <f>K49+6</f>
        <v>45473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DATE(2023,9,1)</f>
        <v>45170</v>
      </c>
      <c r="L59" s="203" t="s">
        <v>76</v>
      </c>
      <c r="M59" s="205">
        <f>DATE(2023,9,30)</f>
        <v>45199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45483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45484</v>
      </c>
      <c r="L19" s="203" t="s">
        <v>76</v>
      </c>
      <c r="M19" s="205">
        <f>K19+6</f>
        <v>45490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45491</v>
      </c>
      <c r="L29" s="203" t="s">
        <v>76</v>
      </c>
      <c r="M29" s="205">
        <f>K29+6</f>
        <v>45497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45498</v>
      </c>
      <c r="L39" s="203" t="s">
        <v>76</v>
      </c>
      <c r="M39" s="205">
        <f>K39+6</f>
        <v>45504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DATE(2023,10,1)</f>
        <v>45200</v>
      </c>
      <c r="L49" s="203" t="s">
        <v>76</v>
      </c>
      <c r="M49" s="205">
        <f>DATE(2023,10,31)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45511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IF(T$9="Y",Oct!H41,0)</f>
        <v>0</v>
      </c>
      <c r="I12" s="92">
        <f>IF(T$9="Y",Oct!I41,0)</f>
        <v>0</v>
      </c>
      <c r="J12" s="92">
        <f>IF(T$9="Y",Oct!J41,0)</f>
        <v>0</v>
      </c>
      <c r="K12" s="92">
        <f>IF(T$9="Y",Oct!K41,I12*J12)</f>
        <v>0</v>
      </c>
      <c r="L12" s="111">
        <f>IF(T$9="Y",Oct!L41,0)</f>
        <v>0</v>
      </c>
      <c r="M12" s="111" t="str">
        <f>IF(E12=" "," ",IF(T$9="Y",Oct!M41,IF((H12+K12+L12)&gt;0,H12+K12+L12,"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IF(T$9="Y",Oct!H41,0)</f>
        <v>0</v>
      </c>
      <c r="I13" s="92">
        <f>IF(T$9="Y",Oct!I41,0)</f>
        <v>0</v>
      </c>
      <c r="J13" s="92">
        <f>IF(T$9="Y",Oct!J41,0)</f>
        <v>0</v>
      </c>
      <c r="K13" s="92">
        <f>IF(T$9="Y",Oct!K41,I13*J13)</f>
        <v>0</v>
      </c>
      <c r="L13" s="111">
        <f>IF(T$9="Y",Oct!L41,0)</f>
        <v>0</v>
      </c>
      <c r="M13" s="111" t="str">
        <f>IF(E13=" "," ",IF(T$9="Y",Oct!M41,IF((H13+K13+L13)&gt;0,H13+K13+L13,"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IF(T$9="Y",Oct!H41,0)</f>
        <v>0</v>
      </c>
      <c r="I14" s="92">
        <f>IF(T$9="Y",Oct!I41,0)</f>
        <v>0</v>
      </c>
      <c r="J14" s="92">
        <f>IF(T$9="Y",Oct!J41,0)</f>
        <v>0</v>
      </c>
      <c r="K14" s="92">
        <f>IF(T$9="Y",Oct!K41,I14*J14)</f>
        <v>0</v>
      </c>
      <c r="L14" s="111">
        <f>IF(T$9="Y",Oct!L41,0)</f>
        <v>0</v>
      </c>
      <c r="M14" s="111" t="str">
        <f>IF(E14=" "," ",IF(T$9="Y",Oct!M41,IF((H14+K14+L14)&gt;0,H14+K14+L14,"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IF(T$9="Y",Oct!H41,0)</f>
        <v>0</v>
      </c>
      <c r="I15" s="245">
        <f>IF(T$9="Y",Oct!I41,0)</f>
        <v>0</v>
      </c>
      <c r="J15" s="245">
        <f>IF(T$9="Y",Oct!J41,0)</f>
        <v>0</v>
      </c>
      <c r="K15" s="245">
        <f>IF(T$9="Y",Oct!K41,I15*J15)</f>
        <v>0</v>
      </c>
      <c r="L15" s="246">
        <f>IF(T$9="Y",Oct!L41,0)</f>
        <v>0</v>
      </c>
      <c r="M15" s="246" t="str">
        <f>IF(E15=" "," ",IF(T$9="Y",Oct!M41,IF((H15+K15+L15)&gt;0,H15+K15+L15,"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45512</v>
      </c>
      <c r="L19" s="203" t="s">
        <v>76</v>
      </c>
      <c r="M19" s="205">
        <f>K19+6</f>
        <v>45518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45519</v>
      </c>
      <c r="L29" s="203" t="s">
        <v>76</v>
      </c>
      <c r="M29" s="205">
        <f>K29+6</f>
        <v>45525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45526</v>
      </c>
      <c r="L39" s="203" t="s">
        <v>76</v>
      </c>
      <c r="M39" s="205">
        <f>K39+6</f>
        <v>45532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DATE(2023,11,1)</f>
        <v>45231</v>
      </c>
      <c r="L49" s="203" t="s">
        <v>76</v>
      </c>
      <c r="M49" s="205">
        <f>DATE(2023,11,30)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45533</v>
      </c>
      <c r="L9" s="203" t="s">
        <v>76</v>
      </c>
      <c r="M9" s="205">
        <f>K9+6</f>
        <v>45539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45540</v>
      </c>
      <c r="L19" s="203" t="s">
        <v>76</v>
      </c>
      <c r="M19" s="205">
        <f>K19+6</f>
        <v>45546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45547</v>
      </c>
      <c r="L29" s="203" t="s">
        <v>76</v>
      </c>
      <c r="M29" s="205">
        <f>K29+6</f>
        <v>45553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45554</v>
      </c>
      <c r="L39" s="203" t="s">
        <v>76</v>
      </c>
      <c r="M39" s="205">
        <f>K39+6</f>
        <v>45560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45567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DATE(2023,12,1)</f>
        <v>45261</v>
      </c>
      <c r="L59" s="203" t="s">
        <v>76</v>
      </c>
      <c r="M59" s="205">
        <f>DATE(2023,12,31)</f>
        <v>45291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45575</v>
      </c>
      <c r="L19" s="203" t="s">
        <v>76</v>
      </c>
      <c r="M19" s="205">
        <f>K19+6</f>
        <v>45581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45582</v>
      </c>
      <c r="L29" s="203" t="s">
        <v>76</v>
      </c>
      <c r="M29" s="205">
        <f>K29+6</f>
        <v>45588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45589</v>
      </c>
      <c r="L39" s="203" t="s">
        <v>76</v>
      </c>
      <c r="M39" s="205">
        <f>K39+6</f>
        <v>45595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DATE(2024,1,1)</f>
        <v>45292</v>
      </c>
      <c r="L49" s="203" t="s">
        <v>76</v>
      </c>
      <c r="M49" s="205">
        <f>DATE(2024,1,31)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45602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45603</v>
      </c>
      <c r="L19" s="203" t="s">
        <v>76</v>
      </c>
      <c r="M19" s="205">
        <f>K19+6</f>
        <v>45609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45610</v>
      </c>
      <c r="L29" s="203" t="s">
        <v>76</v>
      </c>
      <c r="M29" s="205">
        <f>K29+6</f>
        <v>45616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45617</v>
      </c>
      <c r="L39" s="203" t="s">
        <v>76</v>
      </c>
      <c r="M39" s="205">
        <f>K39+6</f>
        <v>45623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DATE(2024,2,1)</f>
        <v>45323</v>
      </c>
      <c r="L49" s="203" t="s">
        <v>76</v>
      </c>
      <c r="M49" s="205">
        <f>DATE(2024,2,29)</f>
        <v>45351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45624</v>
      </c>
      <c r="L9" s="203" t="s">
        <v>76</v>
      </c>
      <c r="M9" s="205">
        <f>K9+6</f>
        <v>45630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45631</v>
      </c>
      <c r="L19" s="203" t="s">
        <v>76</v>
      </c>
      <c r="M19" s="205">
        <f>K19+6</f>
        <v>45637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45638</v>
      </c>
      <c r="L29" s="203" t="s">
        <v>76</v>
      </c>
      <c r="M29" s="205">
        <f>K29+6</f>
        <v>45644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45645</v>
      </c>
      <c r="L39" s="203" t="s">
        <v>76</v>
      </c>
      <c r="M39" s="205">
        <f>K39+6</f>
        <v>45651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45652</v>
      </c>
      <c r="L49" s="203" t="s">
        <v>76</v>
      </c>
      <c r="M49" s="205">
        <f>K49+6</f>
        <v>45658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DATE(2024,3,1)</f>
        <v>45352</v>
      </c>
      <c r="L59" s="203" t="s">
        <v>76</v>
      </c>
      <c r="M59" s="205">
        <f>DATE(2024,3,31)</f>
        <v>45382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45659</v>
      </c>
      <c r="L9" s="203" t="s">
        <v>76</v>
      </c>
      <c r="M9" s="205">
        <f>K9+6</f>
        <v>45665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45666</v>
      </c>
      <c r="L19" s="203" t="s">
        <v>76</v>
      </c>
      <c r="M19" s="205">
        <f>K19+6</f>
        <v>45672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45673</v>
      </c>
      <c r="L29" s="203" t="s">
        <v>76</v>
      </c>
      <c r="M29" s="205">
        <f>K29+6</f>
        <v>45679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45680</v>
      </c>
      <c r="L39" s="203" t="s">
        <v>76</v>
      </c>
      <c r="M39" s="205">
        <f>K39+6</f>
        <v>45686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DATE(2024,4,1)</f>
        <v>45383</v>
      </c>
      <c r="L49" s="203" t="s">
        <v>76</v>
      </c>
      <c r="M49" s="205">
        <f>DATE(2024,4,30)</f>
        <v>45412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45687</v>
      </c>
      <c r="L9" s="203" t="s">
        <v>76</v>
      </c>
      <c r="M9" s="205">
        <f>K9+6</f>
        <v>45693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45694</v>
      </c>
      <c r="L19" s="203" t="s">
        <v>76</v>
      </c>
      <c r="M19" s="205">
        <f>K19+6</f>
        <v>45700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45701</v>
      </c>
      <c r="L29" s="203" t="s">
        <v>76</v>
      </c>
      <c r="M29" s="205">
        <f>K29+6</f>
        <v>45707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45708</v>
      </c>
      <c r="L39" s="203" t="s">
        <v>76</v>
      </c>
      <c r="M39" s="205">
        <f>K39+6</f>
        <v>45714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DATE(2024,5,1)</f>
        <v>45413</v>
      </c>
      <c r="L49" s="203" t="s">
        <v>76</v>
      </c>
      <c r="M49" s="205">
        <f>DATE(2024,5,31)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45715</v>
      </c>
      <c r="L9" s="203" t="s">
        <v>76</v>
      </c>
      <c r="M9" s="205">
        <f>K9+6</f>
        <v>45721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45722</v>
      </c>
      <c r="L19" s="203" t="s">
        <v>76</v>
      </c>
      <c r="M19" s="205">
        <f>K19+6</f>
        <v>45728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45729</v>
      </c>
      <c r="L29" s="203" t="s">
        <v>76</v>
      </c>
      <c r="M29" s="205">
        <f>K29+6</f>
        <v>45735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45736</v>
      </c>
      <c r="L39" s="203" t="s">
        <v>76</v>
      </c>
      <c r="M39" s="205">
        <f>K39+6</f>
        <v>45742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45743</v>
      </c>
      <c r="L49" s="203" t="s">
        <v>76</v>
      </c>
      <c r="M49" s="205">
        <f>K49+6</f>
        <v>45749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45750</v>
      </c>
      <c r="L59" s="203" t="s">
        <v>76</v>
      </c>
      <c r="M59" s="205">
        <f>K59+4</f>
        <v>45754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DATE(2024,6,1)</f>
        <v>45444</v>
      </c>
      <c r="L69" s="203" t="s">
        <v>76</v>
      </c>
      <c r="M69" s="205">
        <f>DATE(2024,6,30)</f>
        <v>45473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Jul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45389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45389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45389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45389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45389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DATE(2024,4,30)</f>
        <v>45412</v>
      </c>
      <c r="C4" s="229">
        <f>DATE(2024,5,19)</f>
        <v>45431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2501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DATE(2024,5,31)</f>
        <v>45443</v>
      </c>
      <c r="C5" s="229">
        <f>DATE(2024,6,19)</f>
        <v>45462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2502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DATE(2024,6,30)</f>
        <v>45473</v>
      </c>
      <c r="C6" s="229">
        <f>DATE(2024,7,19)</f>
        <v>45492</v>
      </c>
      <c r="D6" s="227">
        <f>Jun!T1+Jun!O1</f>
        <v>0</v>
      </c>
      <c r="E6" s="228">
        <f>Jun!N1</f>
        <v>0</v>
      </c>
      <c r="F6" s="228">
        <f>Jun!AD80+Jun!AE80+Jun!AF80+Jun!AG80</f>
        <v>0</v>
      </c>
      <c r="G6" s="228">
        <f>Jun!AE82+Jun!AF82+Jun!AG82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2503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DATE(2024,7,31)</f>
        <v>45504</v>
      </c>
      <c r="C7" s="229">
        <f>DATE(2024,8,19)</f>
        <v>45523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2504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DATE(2024,8,31)</f>
        <v>45535</v>
      </c>
      <c r="C8" s="229">
        <f>DATE(2024,9,19)</f>
        <v>45554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2505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DATE(2024,9,30)</f>
        <v>45565</v>
      </c>
      <c r="C9" s="229">
        <f>DATE(2024,10,19)</f>
        <v>45584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2506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DATE(2024,10,31)</f>
        <v>45596</v>
      </c>
      <c r="C10" s="229">
        <f>DATE(2024,11,19)</f>
        <v>45615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2507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DATE(2024,11,30)</f>
        <v>45626</v>
      </c>
      <c r="C11" s="229">
        <f>DATE(2024,12,19)</f>
        <v>45645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2508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DATE(2024,12,31)</f>
        <v>45657</v>
      </c>
      <c r="C12" s="229">
        <f>DATE(2025,1,19)</f>
        <v>45676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2509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DATE(2025,1,31)</f>
        <v>45688</v>
      </c>
      <c r="C13" s="229">
        <f>DATE(2025,2,19)</f>
        <v>45707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2510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DATE(2025,2,28)</f>
        <v>45716</v>
      </c>
      <c r="C14" s="229">
        <f>DATE(2025,3,19)</f>
        <v>45735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2511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DATE(2025,3,31)</f>
        <v>45747</v>
      </c>
      <c r="C15" s="229">
        <f>DATE(2025,4,19)</f>
        <v>45766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2512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TEXT(DATE(YEAR(B$2),MONTH(B$2)+(D2-1)+3,1),"Mmm")</f>
        <v>Jul</v>
      </c>
      <c r="B2" s="308">
        <v>45388</v>
      </c>
      <c r="C2" s="309">
        <v>1</v>
      </c>
      <c r="D2" s="309">
        <v>1</v>
      </c>
      <c r="E2" s="310">
        <f>B2</f>
        <v>45388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TEXT(DATE(YEAR(B$2),MONTH(B$2)+(D3-1)+3,1),"Mmm")</f>
        <v>Jul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Jul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Jul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Jul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Jul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Jul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Jul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Jul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Jul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Jul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Jul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Jul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Jul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Jul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Jul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Jul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Jul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Jul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Jul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Jul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Jul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Jul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Jul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Jul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Jul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Aug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Aug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Aug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Aug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Aug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Aug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Aug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Aug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Aug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Aug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Aug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Aug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Aug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Aug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Aug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Aug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Aug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Aug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Aug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Aug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Aug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Aug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Aug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Aug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Aug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Aug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Aug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Aug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Sep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Sep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Sep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Sep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Sep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Sep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Sep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Sep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Sep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Sep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Sep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TEXT(DATE(YEAR(B$2),MONTH(B$2)+(D67-1)+3,1),"Mmm")</f>
        <v>Sep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Sep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Sep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Sep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Sep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Sep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Sep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Sep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Sep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Sep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Sep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Sep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Sep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Sep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Sep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Sep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Sep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Sep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Sep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Sep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Sep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Sep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Sep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Sep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Oct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Oct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Oct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Oct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Oct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Oct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Oct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Oct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Oct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Oct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Oct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Oct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Oct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Oct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Oct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Oct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Oct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Oct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Oct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Oct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Oct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Oct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Oct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Oct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Oct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Oct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Oct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Oct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Nov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Nov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Nov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Nov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Nov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Nov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Nov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Nov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Nov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Nov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Nov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Nov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TEXT(DATE(YEAR(B$2),MONTH(B$2)+(D131-1)+3,1),"Mmm")</f>
        <v>Nov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Nov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Nov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Nov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Nov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Nov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Nov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Nov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Nov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Nov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Nov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Nov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Nov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Nov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Nov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Nov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Dec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Dec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Dec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Dec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Dec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Dec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Dec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Dec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Dec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Dec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Dec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Dec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Dec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Dec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Dec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Dec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Dec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Dec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Dec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Dec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Dec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Dec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Dec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Dec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Dec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Dec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Dec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Dec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Dec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Dec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Dec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Dec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Dec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Dec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Dec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Jan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Jan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Jan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Jan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Jan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Jan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Jan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Jan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Jan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Jan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Jan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Jan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Jan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TEXT(DATE(YEAR(B$2),MONTH(B$2)+(D195-1)+3,1),"Mmm")</f>
        <v>Jan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Jan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Jan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Jan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Jan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Jan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Jan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Jan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Jan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Jan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Jan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Jan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Jan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Jan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Jan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Feb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Feb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Feb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Feb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Feb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Feb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Feb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Feb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Feb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Feb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Feb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Feb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Feb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Feb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Feb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Feb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Feb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Feb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Feb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Feb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Feb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Feb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Feb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Feb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Feb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Feb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Feb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Feb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Mar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Mar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Mar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Mar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Mar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Mar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Mar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Mar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Mar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Mar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Mar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Mar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Mar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Mar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Mar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Mar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Mar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Mar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Mar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Mar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Mar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TEXT(DATE(YEAR(B$2),MONTH(B$2)+(D259-1)+3,1),"Mmm")</f>
        <v>Mar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Mar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Mar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Mar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Mar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Mar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Mar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Mar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Mar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Mar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Mar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Mar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Mar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Mar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Apr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Apr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Apr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Apr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Apr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Apr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Apr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Apr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Apr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Apr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Apr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Apr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Apr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Apr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Apr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Apr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Apr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Apr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Apr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Apr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Apr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Apr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Apr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Apr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Apr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Apr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Apr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Apr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May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May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May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May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May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May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May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May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May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May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May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May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May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May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May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May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May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May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May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May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May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May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TEXT(DATE(YEAR(B$2),MONTH(B$2)+(D323-1)+3,1),"Mmm")</f>
        <v>May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May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May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May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May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May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Jun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Jun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Jun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Jun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Jun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Jun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Jun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Jun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Jun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Jun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Jun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Jun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Jun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Jun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Jun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Jun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Jun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Jun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Jun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Jun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Jun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Jun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Jun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Jun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Jun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Jun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Jun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Jun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Jun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Jun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Jun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Jun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Jun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Jun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Jun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Jun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Jun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Jun</v>
      </c>
      <c r="B366" s="308">
        <f t="shared" si="11"/>
        <v>45752</v>
      </c>
      <c r="C366" s="309">
        <v>53</v>
      </c>
      <c r="D366" s="309">
        <v>12</v>
      </c>
      <c r="E366" s="310">
        <f>B366</f>
        <v>45752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Jun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Jun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Jun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Jun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Jun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Jun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Jun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Jun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Jun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Jun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Jun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Jun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Jun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Jun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Jun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