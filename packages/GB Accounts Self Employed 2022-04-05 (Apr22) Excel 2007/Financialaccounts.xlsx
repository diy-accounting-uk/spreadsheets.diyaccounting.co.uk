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G288" i="16" s="1"/>
  <c r="J280" i="16"/>
  <c r="D169" i="16"/>
  <c r="G141" i="16"/>
  <c r="H136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C48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52" i="16" l="1"/>
  <c r="D144" i="16" l="1"/>
  <c r="D80" i="18"/>
  <c r="D139" i="16"/>
  <c r="O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<sst xmlns="http://schemas.openxmlformats.org/spreadsheetml/2006/main" count="819" uniqueCount="439">
  <si>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</si>
  <si>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</si>
  <si>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</si>
  <si>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</si>
  <si>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</si>
  <si>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</si>
  <si>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</si>
  <si>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</si>
  <si>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</si>
  <si>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</si>
  <si>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</si>
  <si>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</si>
  <si>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</si>
  <si>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</si>
  <si>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</si>
  <si>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</si>
  <si>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</si>
  <si>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</si>
  <si>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</si>
  <si>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</si>
  <si>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</si>
  <si>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</si>
  <si>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</si>
  <si>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</si>
  <si>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</si>
  <si>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</si>
  <si>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</si>
  <si>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</si>
  <si>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</si>
  <si>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</si>
  <si>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</si>
  <si>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</si>
  <si>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</si>
  <si>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</si>
  <si>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</si>
  <si>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</si>
  <si>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</si>
  <si>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</si>
  <si>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</si>
  <si>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</si>
  <si>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</si>
  <si>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</si>
  <si>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</si>
  <si>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</si>
  <si>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</si>
  <si>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</si>
  <si>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</si>
  <si>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</si>
  <si>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</si>
  <si>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</si>
  <si>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</si>
  <si>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</si>
  <si>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</si>
  <si>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</si>
  <si>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</si>
  <si>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</si>
  <si>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</si>
  <si>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</si>
  <si>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</si>
  <si>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</si>
  <si>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</si>
  <si>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</si>
  <si>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</si>
  <si>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</si>
  <si>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</si>
  <si>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</si>
  <si>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</si>
  <si>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</si>
  <si>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</si>
  <si>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</si>
  <si>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</si>
  <si>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</si>
  <si>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</si>
  <si>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</si>
  <si>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</si>
  <si>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</si>
  <si>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</si>
  <si>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</si>
  <si>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</si>
  <si>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</si>
  <si>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</si>
  <si>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</si>
  <si>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</si>
  <si>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</si>
  <si>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</si>
  <si>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</si>
  <si>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</si>
  <si>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</si>
  <si>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</si>
  <si>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</si>
  <si>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</si>
  <si>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</si>
  <si>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</si>
  <si>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</si>
  <si>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</si>
  <si>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</si>
  <si>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</si>
  <si>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</si>
  <si>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</si>
  <si>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</si>
  <si>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</si>
  <si>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</si>
  <si>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</si>
  <si>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</si>
  <si>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</si>
  <si>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</si>
  <si>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</si>
  <si>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</si>
  <si>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</si>
  <si>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</si>
  <si>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</si>
  <si>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</si>
  <si>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</si>
  <si>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</si>
  <si>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</si>
  <si>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</si>
  <si>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</si>
  <si>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</si>
  <si>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</si>
  <si>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</si>
  <si>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</si>
  <si>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</si>
  <si>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</si>
  <si>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</si>
  <si>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</si>
  <si>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</si>
  <si>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</si>
  <si>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</si>
  <si>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</si>
  <si>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</si>
  <si>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</si>
  <si>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</si>
  <si>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</si>
  <si>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</si>
  <si>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</si>
  <si>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</si>
  <si>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</si>
  <si>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</si>
  <si>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</si>
  <si>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</si>
  <si>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</si>
  <si>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</si>
  <si>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</si>
  <si>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</si>
  <si>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</si>
  <si>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</si>
  <si>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</si>
  <si>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</si>
  <si>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</si>
  <si>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</si>
  <si>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</si>
  <si>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</si>
  <si>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</si>
  <si>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</si>
  <si>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</si>
  <si>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</si>
  <si>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</si>
  <si>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</si>
  <si>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</si>
  <si>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</si>
  <si>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</si>
  <si>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</si>
  <si>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</si>
  <si>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</si>
  <si>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</si>
  <si>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</si>
  <si>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</si>
  <si>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</si>
  <si>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</si>
  <si>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</si>
  <si>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</si>
  <si>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</si>
  <si>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</si>
  <si>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</si>
  <si>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</si>
  <si>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</si>
  <si>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</si>
  <si>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</si>
  <si>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</si>
  <si>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</si>
  <si>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</si>
  <si>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</si>
  <si>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</si>
  <si>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</si>
  <si>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</si>
  <si>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</si>
  <si>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</si>
  <si>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</si>
  <si>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</si>
  <si>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</si>
  <si>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</si>
  <si>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</si>
  <si>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</si>
  <si>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</si>
  <si>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</si>
  <si>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</si>
  <si>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</si>
  <si>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</si>
  <si>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</si>
  <si>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</si>
  <si>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</si>
  <si>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</si>
  <si>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</si>
  <si>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</si>
  <si>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</si>
  <si>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</si>
  <si>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</si>
  <si>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</si>
  <si>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</si>
  <si>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</si>
  <si>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</si>
  <si>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</si>
  <si>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</si>
  <si>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</si>
  <si>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</si>
  <si>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</si>
  <si>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</si>
  <si>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</si>
  <si>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</si>
  <si>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</si>
  <si>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</si>
  <si>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</si>
  <si>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</si>
  <si>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</si>
  <si>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</si>
  <si>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</si>
  <si>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</si>
  <si>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</si>
  <si>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</si>
  <si>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</si>
  <si>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</si>
  <si>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</si>
  <si>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</si>
  <si>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</si>
  <si>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</si>
  <si>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</si>
  <si>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</si>
  <si>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</si>
  <si>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</si>
  <si>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</si>
  <si>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</si>
  <si>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</si>
  <si>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</si>
  <si>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</si>
  <si>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</si>
  <si>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</si>
  <si>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</si>
  <si>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</si>
  <si>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</si>
  <si>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</si>
  <si>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</si>
  <si>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</si>
  <si>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</si>
  <si>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</si>
  <si>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</si>
  <si>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</si>
  <si>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</si>
  <si>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</si>
  <si>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</si>
  <si>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</si>
  <si>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</si>
  <si>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</si>
  <si>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</si>
  <si>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</si>
  <si>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</si>
  <si>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</si>
  <si>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</si>
  <si>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</si>
  <si>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</si>
  <si>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</si>
  <si>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</si>
  <si>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</si>
  <si>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</si>
  <si>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</si>
  <si>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</si>
  <si>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</si>
  <si>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</si>
  <si>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</si>
  <si>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</si>
  <si>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</si>
  <si>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</si>
  <si>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</si>
  <si>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</si>
  <si>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</si>
  <si>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</si>
  <si>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</si>
  <si>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</si>
  <si>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</si>
  <si>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</si>
  <si>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</si>
  <si>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</si>
  <si>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</si>
  <si>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</si>
  <si>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</si>
  <si>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</si>
  <si>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</si>
  <si>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</si>
  <si>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</si>
  <si>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</si>
  <si>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</si>
  <si>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</si>
  <si>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</si>
  <si>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</si>
  <si>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</si>
  <si>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</si>
  <si>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</si>
  <si>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</si>
  <si>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</si>
  <si>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</si>
  <si>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</si>
  <si>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</si>
  <si>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</si>
  <si>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</si>
  <si>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</si>
  <si>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</si>
  <si>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</si>
  <si>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</si>
  <si>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</si>
  <si>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8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</si>
  <si>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</si>
  <si>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£30,000</t>
    </r>
  </si>
  <si>
    <t>you may just put your total expenses in box 19,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</si>
  <si>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</si>
  <si>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</si>
  <si>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</si>
  <si>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</si>
  <si>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</si>
  <si>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</si>
  <si>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10 to 18</t>
    </r>
  </si>
  <si>
    <t>expenses (box 8 + box 9 minus box 19)</t>
  </si>
  <si>
    <t>income (box 8 + box 9 minus box 19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</si>
  <si>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</si>
  <si>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</si>
  <si>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</si>
  <si>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</si>
  <si>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</si>
  <si>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</si>
  <si>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</si>
  <si>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</si>
  <si>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8 or 9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</si>
  <si>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</si>
  <si>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</si>
  <si>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</si>
  <si>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29),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30 to 32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</si>
  <si>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</si>
  <si>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</si>
  <si>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</si>
  <si>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</si>
  <si>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</si>
  <si>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</si>
  <si>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</si>
  <si>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</si>
  <si>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</si>
  <si>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</si>
  <si>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</si>
  <si>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</si>
  <si>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</si>
  <si>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</si>
  <si>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</si>
  <si>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</si>
  <si>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</si>
  <si>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</si>
  <si>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</si>
  <si>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</si>
  <si>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</si>
  <si>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</si>
  <si>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</si>
  <si>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</si>
  <si>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</si>
  <si>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</si>
  <si>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</si>
  <si>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</si>
  <si>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</si>
  <si>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</si>
  <si>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</si>
  <si>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</si>
  <si>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</si>
  <si>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</si>
  <si>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</si>
  <si>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</si>
  <si>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</si>
  <si>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</si>
  <si>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</si>
  <si>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</si>
  <si>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</si>
  <si>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</si>
  <si>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</si>
  <si>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</si>
  <si>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</si>
  <si>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</si>
  <si>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</si>
  <si>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27</t>
    </r>
  </si>
  <si>
    <t>Net business profit for tax purposes (if box 20 + box 25 +</t>
  </si>
  <si>
    <t>box 26 minus boxes 21 to 24) is positive)</t>
  </si>
  <si>
    <t>Total taxable profits from this business</t>
  </si>
  <si>
    <t>Net business loss for tax purposes (if boxes 21 to 24</t>
  </si>
  <si>
    <t>if box 27 + box 29 minus box 28 is positive</t>
  </si>
  <si>
    <t>minus (box 20 + box 25 + box 26)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</si>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</sst>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s">
        <v>167</v>
      </c>
      <c r="D36" s="182"/>
      <c r="E36" s="182"/>
      <c r="F36" s="182"/>
      <c r="G36" s="182"/>
      <c r="H36" s="182"/>
      <c r="I36" s="182"/>
      <c r="J36" s="182"/>
      <c r="K36" s="182"/>
      <c r="L36" s="194">
        <v>12</v>
      </c>
      <c r="M36" s="181"/>
      <c r="N36" s="182" t="s">
        <v>168</v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s">
        <v>169</v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s">
        <v>170</v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>
        <v>11</v>
      </c>
      <c r="B41" s="181"/>
      <c r="C41" s="182" t="s">
        <v>171</v>
      </c>
      <c r="D41" s="182"/>
      <c r="E41" s="182"/>
      <c r="F41" s="182"/>
      <c r="G41" s="182"/>
      <c r="H41" s="182"/>
      <c r="I41" s="182"/>
      <c r="J41" s="182"/>
      <c r="K41" s="182"/>
      <c r="L41" s="194">
        <v>13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 t="s">
        <v>173</v>
      </c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s">
        <v>174</v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 t="s">
        <v>170</v>
      </c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96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45753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IF(D38&gt;67000,"SELF-EMPLOYMENT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8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9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10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15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Account'!B9&gt;30000,'Profit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Account'!B9&gt;30000,'Profit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11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16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Account'!B9&gt;30000,'Profit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Account'!B9&gt;30000,'Profit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12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17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Account'!B9&gt;30000,'Profit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Account'!B9&gt;30000,'Profit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13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18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Account'!B9&gt;30000,'Profit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Account'!B9&gt;30000,'Profit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14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19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Account'!B9&gt;30000,'Profit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20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21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22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24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23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25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26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28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27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29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30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31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32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35</v>
      </c>
      <c r="M111" s="220"/>
      <c r="N111" s="227" t="s">
        <v>345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398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33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36</v>
      </c>
      <c r="M116" s="220"/>
      <c r="N116" s="227" t="s">
        <v>301</v>
      </c>
      <c r="O116" s="220"/>
      <c r="P116" s="220"/>
      <c r="Q116" s="220"/>
      <c r="R116" s="370" t="str">
        <f>Admin!G2</f>
        <v>2025-26</v>
      </c>
      <c r="S116" s="371"/>
      <c r="T116" s="371"/>
      <c r="U116" s="227" t="s">
        <v>347</v>
      </c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399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 t="s">
        <v>236</v>
      </c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34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37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s">
        <v>150</v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s">
        <v>151</v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s">
        <v>152</v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s">
        <v>162</v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s">
        <v>164</v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s">
        <v>165</v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s">
        <v>167</v>
      </c>
      <c r="D39" s="227"/>
      <c r="E39" s="227"/>
      <c r="F39" s="227"/>
      <c r="G39" s="227"/>
      <c r="H39" s="227"/>
      <c r="I39" s="227"/>
      <c r="J39" s="227"/>
      <c r="K39" s="227"/>
      <c r="L39" s="236">
        <v>12</v>
      </c>
      <c r="M39" s="220"/>
      <c r="N39" s="227" t="s">
        <v>168</v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s">
        <v>169</v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s">
        <v>170</v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>
        <v>11</v>
      </c>
      <c r="B44" s="220"/>
      <c r="C44" s="227" t="s">
        <v>171</v>
      </c>
      <c r="D44" s="227"/>
      <c r="E44" s="227"/>
      <c r="F44" s="227"/>
      <c r="G44" s="227"/>
      <c r="H44" s="227"/>
      <c r="I44" s="227"/>
      <c r="J44" s="227"/>
      <c r="K44" s="227"/>
      <c r="L44" s="236">
        <v>13</v>
      </c>
      <c r="M44" s="220"/>
      <c r="N44" s="227" t="s">
        <v>172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 t="s">
        <v>173</v>
      </c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s">
        <v>174</v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 t="s">
        <v>170</v>
      </c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72" t="str">
        <f>IF('Business Details'!C45="x","x"," ")</f>
        <v xml:space="preserve"> </v>
      </c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14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15</v>
      </c>
      <c r="M52" s="220"/>
      <c r="N52" s="227" t="s">
        <v>188</v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 t="s">
        <v>190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s">
        <v>192</v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s">
        <v>193</v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s">
        <v>194</v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s">
        <v>195</v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16</v>
      </c>
      <c r="B64" s="220"/>
      <c r="C64" s="227" t="s">
        <v>197</v>
      </c>
      <c r="D64" s="227"/>
      <c r="E64" s="227"/>
      <c r="F64" s="227"/>
      <c r="G64" s="227"/>
      <c r="H64" s="227"/>
      <c r="I64" s="227"/>
      <c r="J64" s="227"/>
      <c r="K64" s="227"/>
      <c r="L64" s="236">
        <v>31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17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32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18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33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19</v>
      </c>
      <c r="B76" s="220"/>
      <c r="C76" s="227" t="s">
        <v>200</v>
      </c>
      <c r="D76" s="227"/>
      <c r="E76" s="227"/>
      <c r="F76" s="227"/>
      <c r="G76" s="227"/>
      <c r="H76" s="227"/>
      <c r="I76" s="227"/>
      <c r="J76" s="227"/>
      <c r="K76" s="227"/>
      <c r="L76" s="236">
        <v>34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20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35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21</v>
      </c>
      <c r="B84" s="220"/>
      <c r="C84" s="227" t="s">
        <v>202</v>
      </c>
      <c r="D84" s="227"/>
      <c r="E84" s="227"/>
      <c r="F84" s="227"/>
      <c r="G84" s="227"/>
      <c r="H84" s="227"/>
      <c r="I84" s="227"/>
      <c r="J84" s="227"/>
      <c r="K84" s="227"/>
      <c r="L84" s="236">
        <v>36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22</v>
      </c>
      <c r="B88" s="220"/>
      <c r="C88" s="227" t="s">
        <v>203</v>
      </c>
      <c r="D88" s="227"/>
      <c r="E88" s="227"/>
      <c r="F88" s="227"/>
      <c r="G88" s="227"/>
      <c r="H88" s="227"/>
      <c r="I88" s="227"/>
      <c r="J88" s="227"/>
      <c r="K88" s="227"/>
      <c r="L88" s="236">
        <v>37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23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38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24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39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25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40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26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41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27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42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28</v>
      </c>
      <c r="B112" s="220"/>
      <c r="C112" s="227" t="s">
        <v>209</v>
      </c>
      <c r="D112" s="227"/>
      <c r="E112" s="227"/>
      <c r="F112" s="227"/>
      <c r="G112" s="227"/>
      <c r="H112" s="227"/>
      <c r="I112" s="227"/>
      <c r="J112" s="227"/>
      <c r="K112" s="227"/>
      <c r="L112" s="236">
        <v>43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29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44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30</v>
      </c>
      <c r="B120" s="220"/>
      <c r="C120" s="227" t="s">
        <v>211</v>
      </c>
      <c r="D120" s="227"/>
      <c r="E120" s="227"/>
      <c r="F120" s="227"/>
      <c r="G120" s="227"/>
      <c r="H120" s="227"/>
      <c r="I120" s="227"/>
      <c r="J120" s="227"/>
      <c r="K120" s="227"/>
      <c r="L120" s="236">
        <v>45</v>
      </c>
      <c r="M120" s="220"/>
      <c r="N120" s="227" t="s">
        <v>212</v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46</v>
      </c>
      <c r="B126" s="220"/>
      <c r="C126" s="227" t="s">
        <v>214</v>
      </c>
      <c r="D126" s="227"/>
      <c r="E126" s="227"/>
      <c r="F126" s="227"/>
      <c r="G126" s="227"/>
      <c r="H126" s="227"/>
      <c r="I126" s="227"/>
      <c r="J126" s="227"/>
      <c r="K126" s="227"/>
      <c r="L126" s="236">
        <v>47</v>
      </c>
      <c r="M126" s="220"/>
      <c r="N126" s="227" t="s">
        <v>215</v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s">
        <v>216</v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s">
        <v>217</v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s">
        <v>219</v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s">
        <v>352</v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s">
        <v>220</v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48</v>
      </c>
      <c r="B136" s="220"/>
      <c r="C136" s="288" t="s">
        <v>349</v>
      </c>
      <c r="D136" s="227"/>
      <c r="E136" s="227"/>
      <c r="F136" s="227"/>
      <c r="G136" s="227"/>
      <c r="H136" s="379">
        <f>Admin!G4</f>
        <v>1</v>
      </c>
      <c r="I136" s="380"/>
      <c r="J136" s="227"/>
      <c r="K136" s="227"/>
      <c r="L136" s="236">
        <v>54</v>
      </c>
      <c r="M136" s="220"/>
      <c r="N136" s="227" t="s">
        <v>223</v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 t="s">
        <v>353</v>
      </c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>
        <f>IF(([1]Schedule!$R$1+[1]Schedule!$S$1)&lt;1000,[1]Schedule!$S$1,0)</f>
        <v>0</v>
      </c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49</v>
      </c>
      <c r="B141" s="220"/>
      <c r="C141" s="227" t="s">
        <v>221</v>
      </c>
      <c r="D141" s="227"/>
      <c r="E141" s="227"/>
      <c r="F141" s="227"/>
      <c r="G141" s="379">
        <f>Admin!G5</f>
        <v>0.18</v>
      </c>
      <c r="H141" s="381"/>
      <c r="I141" s="227" t="s">
        <v>222</v>
      </c>
      <c r="J141" s="227"/>
      <c r="K141" s="227"/>
      <c r="L141" s="236">
        <v>55</v>
      </c>
      <c r="M141" s="220"/>
      <c r="N141" s="227" t="s">
        <v>225</v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s">
        <v>224</v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 t="s">
        <v>226</v>
      </c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[1]Schedule!$R$1-D152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[1]Schedule!$Y$1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50</v>
      </c>
      <c r="B146" s="220"/>
      <c r="C146" s="288" t="s">
        <v>354</v>
      </c>
      <c r="D146" s="227"/>
      <c r="E146" s="227"/>
      <c r="F146" s="227"/>
      <c r="G146" s="227"/>
      <c r="H146" s="379">
        <v>0.1</v>
      </c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s">
        <v>355</v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0"/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51</v>
      </c>
      <c r="B149" s="220"/>
      <c r="C149" s="227" t="s">
        <v>227</v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D139+D144+D147+D152+D156+D160+O139+O144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 t="s">
        <v>228</v>
      </c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s">
        <v>230</v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>
        <f>SUM([1]Schedule!$R$38:$R$42)+SUM([1]Schedule!$R$91:$R$95)</f>
        <v>0</v>
      </c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 t="s">
        <v>231</v>
      </c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</v>
      </c>
      <c r="B154" s="220"/>
      <c r="C154" s="227" t="s">
        <v>229</v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/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58</v>
      </c>
      <c r="M156" s="220"/>
      <c r="N156" s="227" t="s">
        <v>356</v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s">
        <v>232</v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s">
        <v>357</v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 t="s">
        <v>358</v>
      </c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s">
        <v>359</v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s">
        <v>234</v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s">
        <v>360</v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59</v>
      </c>
      <c r="B166" s="220"/>
      <c r="C166" s="227" t="s">
        <v>361</v>
      </c>
      <c r="D166" s="227"/>
      <c r="E166" s="227"/>
      <c r="F166" s="227"/>
      <c r="G166" s="227"/>
      <c r="H166" s="227"/>
      <c r="I166" s="227"/>
      <c r="J166" s="227"/>
      <c r="K166" s="227"/>
      <c r="L166" s="236">
        <v>62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 t="s">
        <v>236</v>
      </c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s">
        <v>362</v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O149+D179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60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63</v>
      </c>
      <c r="M171" s="220"/>
      <c r="N171" s="227" t="s">
        <v>363</v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s">
        <v>364</v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s">
        <v>365</v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O122+O154+O160+D169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61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64</v>
      </c>
      <c r="M176" s="220"/>
      <c r="N176" s="227" t="s">
        <v>366</v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s">
        <v>367</v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s">
        <v>241</v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s">
        <v>242</v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s">
        <v>243</v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>
        <v>65</v>
      </c>
      <c r="B186" s="220"/>
      <c r="C186" s="227" t="s">
        <v>244</v>
      </c>
      <c r="D186" s="227"/>
      <c r="E186" s="227"/>
      <c r="F186" s="227"/>
      <c r="G186" s="227"/>
      <c r="H186" s="227"/>
      <c r="I186" s="227"/>
      <c r="J186" s="227"/>
      <c r="K186" s="227"/>
      <c r="L186" s="236">
        <v>71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382"/>
      <c r="D187" s="383"/>
      <c r="E187" s="383"/>
      <c r="F187" s="384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61"/>
      <c r="D188" s="385"/>
      <c r="E188" s="385"/>
      <c r="F188" s="385"/>
      <c r="G188" s="218"/>
      <c r="H188" s="253"/>
      <c r="I188" s="253"/>
      <c r="J188" s="220"/>
      <c r="K188" s="220"/>
      <c r="L188" s="227"/>
      <c r="M188" s="220"/>
      <c r="N188" s="248" t="s">
        <v>247</v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>
        <v>66</v>
      </c>
      <c r="B189" s="220"/>
      <c r="C189" s="227" t="s">
        <v>248</v>
      </c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382"/>
      <c r="D190" s="383"/>
      <c r="E190" s="383"/>
      <c r="F190" s="384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67</v>
      </c>
      <c r="B192" s="220"/>
      <c r="C192" s="227" t="s">
        <v>251</v>
      </c>
      <c r="D192" s="259"/>
      <c r="E192" s="259"/>
      <c r="F192" s="259"/>
      <c r="G192" s="218"/>
      <c r="H192" s="253"/>
      <c r="I192" s="253"/>
      <c r="J192" s="220"/>
      <c r="K192" s="220"/>
      <c r="L192" s="236">
        <v>72</v>
      </c>
      <c r="M192" s="220"/>
      <c r="N192" s="227" t="s">
        <v>252</v>
      </c>
      <c r="O192" s="220"/>
      <c r="P192" s="220"/>
      <c r="Q192" s="290" t="str">
        <f>Admin!G2</f>
        <v>2025-26</v>
      </c>
      <c r="R192" s="227" t="s">
        <v>368</v>
      </c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s">
        <v>253</v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s">
        <v>369</v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s">
        <v>254</v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 t="s">
        <v>255</v>
      </c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 t="s">
        <v>256</v>
      </c>
      <c r="D196" s="227"/>
      <c r="E196" s="227"/>
      <c r="F196" s="227"/>
      <c r="G196" s="227"/>
      <c r="H196" s="227"/>
      <c r="I196" s="227"/>
      <c r="J196" s="227"/>
      <c r="K196" s="227"/>
      <c r="L196" s="236">
        <v>73</v>
      </c>
      <c r="M196" s="220"/>
      <c r="N196" s="227" t="s">
        <v>257</v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s">
        <v>370</v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 t="s">
        <v>371</v>
      </c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>
        <v>68</v>
      </c>
      <c r="B199" s="220"/>
      <c r="C199" s="227" t="s">
        <v>372</v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17" t="s">
        <v>51</v>
      </c>
      <c r="D201" s="356"/>
      <c r="E201" s="357"/>
      <c r="F201" s="358"/>
      <c r="G201" s="218" t="s">
        <v>178</v>
      </c>
      <c r="H201" s="219">
        <v>0</v>
      </c>
      <c r="I201" s="219">
        <v>0</v>
      </c>
      <c r="J201" s="220"/>
      <c r="K201" s="220"/>
      <c r="L201" s="236">
        <v>74</v>
      </c>
      <c r="M201" s="220"/>
      <c r="N201" s="227" t="s">
        <v>258</v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s">
        <v>373</v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>
        <v>69</v>
      </c>
      <c r="B203" s="220"/>
      <c r="C203" s="227" t="s">
        <v>374</v>
      </c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17" t="s">
        <v>51</v>
      </c>
      <c r="D206" s="356"/>
      <c r="E206" s="357"/>
      <c r="F206" s="358"/>
      <c r="G206" s="218" t="s">
        <v>178</v>
      </c>
      <c r="H206" s="219">
        <v>0</v>
      </c>
      <c r="I206" s="219">
        <v>0</v>
      </c>
      <c r="J206" s="220"/>
      <c r="K206" s="220"/>
      <c r="L206" s="236">
        <v>75</v>
      </c>
      <c r="M206" s="220"/>
      <c r="N206" s="227" t="s">
        <v>375</v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s">
        <v>376</v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70</v>
      </c>
      <c r="B208" s="220"/>
      <c r="C208" s="227" t="s">
        <v>259</v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 t="s">
        <v>377</v>
      </c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 t="s">
        <v>378</v>
      </c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s">
        <v>261</v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s">
        <v>262</v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76</v>
      </c>
      <c r="B216" s="220"/>
      <c r="C216" s="227" t="s">
        <v>263</v>
      </c>
      <c r="D216" s="227"/>
      <c r="E216" s="227"/>
      <c r="F216" s="289" t="str">
        <f>Admin!G2</f>
        <v>2025-26</v>
      </c>
      <c r="G216" s="227" t="s">
        <v>379</v>
      </c>
      <c r="H216" s="227"/>
      <c r="I216" s="227"/>
      <c r="J216" s="220"/>
      <c r="K216" s="227"/>
      <c r="L216" s="236">
        <v>78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 t="s">
        <v>380</v>
      </c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O179+E197-D201+D210+P190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77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79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s">
        <v>270</v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80</v>
      </c>
      <c r="B228" s="220"/>
      <c r="C228" s="227" t="s">
        <v>271</v>
      </c>
      <c r="D228" s="227"/>
      <c r="E228" s="227"/>
      <c r="F228" s="227"/>
      <c r="G228" s="227"/>
      <c r="H228" s="227"/>
      <c r="I228" s="227"/>
      <c r="J228" s="227"/>
      <c r="K228" s="227"/>
      <c r="L228" s="236">
        <v>81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s">
        <v>273</v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s">
        <v>274</v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s">
        <v>382</v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82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90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83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91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84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92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85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93</v>
      </c>
      <c r="M253" s="220"/>
      <c r="N253" s="227" t="s">
        <v>285</v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86</v>
      </c>
      <c r="B255" s="220"/>
      <c r="C255" s="227" t="s">
        <v>286</v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87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94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88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95</v>
      </c>
      <c r="M263" s="220"/>
      <c r="N263" s="227" t="s">
        <v>291</v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89</v>
      </c>
      <c r="B267" s="220"/>
      <c r="C267" s="227" t="s">
        <v>292</v>
      </c>
      <c r="D267" s="227"/>
      <c r="E267" s="227"/>
      <c r="F267" s="227"/>
      <c r="G267" s="227"/>
      <c r="H267" s="227"/>
      <c r="I267" s="227"/>
      <c r="J267" s="227"/>
      <c r="K267" s="227"/>
      <c r="L267" s="236">
        <v>96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97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98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s">
        <v>295</v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s">
        <v>296</v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Admin!N4</f>
        <v>12570</v>
      </c>
      <c r="K280" s="366" t="s">
        <v>297</v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s">
        <v>383</v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99</v>
      </c>
      <c r="B283" s="220"/>
      <c r="C283" s="227" t="s">
        <v>298</v>
      </c>
      <c r="D283" s="220"/>
      <c r="E283" s="220"/>
      <c r="F283" s="220"/>
      <c r="G283" s="220"/>
      <c r="H283" s="220"/>
      <c r="I283" s="220"/>
      <c r="J283" s="220"/>
      <c r="K283" s="220"/>
      <c r="L283" s="236">
        <v>101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s">
        <v>384</v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100</v>
      </c>
      <c r="B288" s="220"/>
      <c r="C288" s="227" t="s">
        <v>301</v>
      </c>
      <c r="D288" s="220"/>
      <c r="E288" s="220"/>
      <c r="F288" s="220"/>
      <c r="G288" s="370" t="str">
        <f>Admin!G2</f>
        <v>2025-26</v>
      </c>
      <c r="H288" s="371"/>
      <c r="I288" s="371"/>
      <c r="J288" s="220" t="s">
        <v>302</v>
      </c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s">
        <v>385</v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 t="s">
        <v>303</v>
      </c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102</v>
      </c>
      <c r="B296" s="220"/>
      <c r="C296" s="227" t="s">
        <v>305</v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12570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44255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44286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44292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44316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44347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44377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44408</v>
      </c>
      <c r="C8" s="147"/>
      <c r="D8" s="147" t="s">
        <v>112</v>
      </c>
      <c r="E8" s="152">
        <v>12000</v>
      </c>
      <c r="F8" s="147" t="s">
        <v>113</v>
      </c>
      <c r="G8" s="152">
        <v>3000</v>
      </c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44439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44469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44500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44530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44561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150001</v>
      </c>
      <c r="M13" s="147"/>
      <c r="N13" s="152">
        <v>150000</v>
      </c>
      <c r="O13" s="147"/>
    </row>
    <row r="14" spans="1:15" ht="12" customHeight="1" x14ac:dyDescent="0.15">
      <c r="A14" s="147"/>
      <c r="B14" s="164">
        <v>44592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44620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44651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3.05</v>
      </c>
      <c r="M16" s="147" t="s">
        <v>436</v>
      </c>
      <c r="N16" s="147"/>
      <c r="O16" s="147"/>
    </row>
    <row r="17" spans="1:15" ht="12" customHeight="1" thickBot="1" x14ac:dyDescent="0.2">
      <c r="A17" s="147"/>
      <c r="B17" s="175">
        <v>44656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44681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44712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44742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0.09</v>
      </c>
      <c r="M20" s="451"/>
      <c r="N20" s="152">
        <v>9568</v>
      </c>
      <c r="O20" s="146" t="s">
        <v>51</v>
      </c>
    </row>
    <row r="21" spans="1:15" ht="12" customHeight="1" x14ac:dyDescent="0.15">
      <c r="A21" s="147"/>
      <c r="B21" s="164">
        <v>44957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45138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2021-22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2022-23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44773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85000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