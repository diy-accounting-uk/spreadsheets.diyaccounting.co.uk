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8CC95629-9D39-164A-9BFA-9D038F901A4E}" xr6:coauthVersionLast="47" xr6:coauthVersionMax="47" xr10:uidLastSave="{00000000-0000-0000-0000-000000000000}"/>
  <bookViews>
    <workbookView xWindow="0" yWindow="500" windowWidth="25040" windowHeight="13680" tabRatio="724" xr2:uid="{00000000-000D-0000-FFFF-FFFF00000000}"/>
  </bookViews>
  <sheets>
    <sheet name="Schedule" sheetId="11" r:id="rId1"/>
    <sheet name="FAreconciliation" sheetId="12" r:id="rId2"/>
    <sheet name="HPfinance" sheetId="13" r:id="rId3"/>
  </sheets>
  <externalReferences>
    <externalReference r:id="rId4"/>
    <externalReference r:id="rId5"/>
    <externalReference r:id="rId6"/>
  </externalReferences>
  <definedNames>
    <definedName name="_xlnm.Print_Titles" localSheetId="0">Schedule!$A:$G,Schedule!$1:$4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3" i="12" l="1"/>
  <c r="R101" i="11"/>
  <c r="R100" i="11"/>
  <c r="R99" i="11"/>
  <c r="R98" i="11"/>
  <c r="R97" i="11"/>
  <c r="R95" i="11"/>
  <c r="R94" i="11"/>
  <c r="R93" i="11"/>
  <c r="R92" i="11"/>
  <c r="R91" i="11"/>
  <c r="D59" i="11"/>
  <c r="D43" i="11"/>
  <c r="R48" i="11"/>
  <c r="R47" i="11"/>
  <c r="R46" i="11"/>
  <c r="R45" i="11"/>
  <c r="R44" i="11"/>
  <c r="R42" i="11"/>
  <c r="R41" i="11"/>
  <c r="R40" i="11"/>
  <c r="R39" i="11"/>
  <c r="R38" i="11"/>
  <c r="H37" i="11"/>
  <c r="D37" i="11"/>
  <c r="H29" i="11"/>
  <c r="H21" i="11"/>
  <c r="H13" i="11"/>
  <c r="D6" i="11"/>
  <c r="S4" i="11"/>
  <c r="R4" i="11"/>
  <c r="P4" i="11"/>
  <c r="O4" i="11"/>
  <c r="H7" i="11"/>
  <c r="K4" i="11"/>
  <c r="J4" i="11"/>
  <c r="G4" i="11"/>
  <c r="F4" i="11"/>
  <c r="Z38" i="11" l="1"/>
  <c r="Z39" i="11"/>
  <c r="Z40" i="11"/>
  <c r="Z41" i="11"/>
  <c r="Z42" i="11"/>
  <c r="Z44" i="11"/>
  <c r="Z45" i="11"/>
  <c r="Z46" i="11"/>
  <c r="Z47" i="11"/>
  <c r="Z48" i="11"/>
  <c r="Z50" i="11"/>
  <c r="Z51" i="11"/>
  <c r="Z52" i="11"/>
  <c r="Z53" i="11"/>
  <c r="Z54" i="11"/>
  <c r="Y38" i="11"/>
  <c r="Y39" i="11"/>
  <c r="Y40" i="11"/>
  <c r="Y41" i="11"/>
  <c r="Y42" i="11"/>
  <c r="Y44" i="11"/>
  <c r="Y45" i="11"/>
  <c r="Y46" i="11"/>
  <c r="Y47" i="11"/>
  <c r="Y48" i="11"/>
  <c r="Y50" i="11"/>
  <c r="Y51" i="11"/>
  <c r="Y52" i="11"/>
  <c r="Y53" i="11"/>
  <c r="Y54" i="11"/>
  <c r="X38" i="11"/>
  <c r="X39" i="11"/>
  <c r="X40" i="11"/>
  <c r="X41" i="11"/>
  <c r="X42" i="11"/>
  <c r="X44" i="11"/>
  <c r="X45" i="11"/>
  <c r="X46" i="11"/>
  <c r="X47" i="11"/>
  <c r="X48" i="11"/>
  <c r="X50" i="11"/>
  <c r="X51" i="11"/>
  <c r="X52" i="11"/>
  <c r="X53" i="11"/>
  <c r="X54" i="11"/>
  <c r="V55" i="11"/>
  <c r="S38" i="11"/>
  <c r="S39" i="11"/>
  <c r="S40" i="11"/>
  <c r="S41" i="11"/>
  <c r="S42" i="11"/>
  <c r="S44" i="11"/>
  <c r="S45" i="11"/>
  <c r="S46" i="11"/>
  <c r="S47" i="11"/>
  <c r="S48" i="11"/>
  <c r="S50" i="11"/>
  <c r="S51" i="11"/>
  <c r="S52" i="11"/>
  <c r="S53" i="11"/>
  <c r="S54" i="11"/>
  <c r="R50" i="11"/>
  <c r="R51" i="11"/>
  <c r="R52" i="11"/>
  <c r="R53" i="11"/>
  <c r="R54" i="11"/>
  <c r="Q55" i="11"/>
  <c r="O55" i="11"/>
  <c r="K38" i="11"/>
  <c r="K39" i="11"/>
  <c r="K40" i="11"/>
  <c r="K41" i="11"/>
  <c r="K42" i="11"/>
  <c r="K44" i="11"/>
  <c r="K45" i="11"/>
  <c r="K46" i="11"/>
  <c r="K47" i="11"/>
  <c r="K48" i="11"/>
  <c r="K50" i="11"/>
  <c r="K51" i="11"/>
  <c r="K52" i="11"/>
  <c r="K53" i="11"/>
  <c r="K54" i="11"/>
  <c r="J38" i="11"/>
  <c r="J39" i="11"/>
  <c r="J40" i="11"/>
  <c r="J41" i="11"/>
  <c r="J42" i="11"/>
  <c r="J44" i="11"/>
  <c r="J45" i="11"/>
  <c r="J46" i="11"/>
  <c r="J47" i="11"/>
  <c r="J48" i="11"/>
  <c r="J50" i="11"/>
  <c r="J51" i="11"/>
  <c r="J52" i="11"/>
  <c r="J53" i="11"/>
  <c r="J54" i="11"/>
  <c r="I38" i="11"/>
  <c r="I39" i="11"/>
  <c r="I40" i="11"/>
  <c r="I41" i="11"/>
  <c r="I42" i="11"/>
  <c r="I44" i="11"/>
  <c r="I45" i="11"/>
  <c r="I46" i="11"/>
  <c r="I47" i="11"/>
  <c r="I48" i="11"/>
  <c r="I50" i="11"/>
  <c r="I51" i="11"/>
  <c r="I52" i="11"/>
  <c r="I53" i="11"/>
  <c r="I54" i="11"/>
  <c r="F55" i="11"/>
  <c r="E55" i="11"/>
  <c r="Q67" i="11"/>
  <c r="Q68" i="11"/>
  <c r="Q69" i="11"/>
  <c r="Q70" i="11"/>
  <c r="Q71" i="11"/>
  <c r="Q75" i="11"/>
  <c r="Q76" i="11"/>
  <c r="Q77" i="11"/>
  <c r="Q78" i="11"/>
  <c r="Q79" i="11"/>
  <c r="Q83" i="11"/>
  <c r="Q84" i="11"/>
  <c r="Q85" i="11"/>
  <c r="Q86" i="11"/>
  <c r="Q87" i="11"/>
  <c r="Q103" i="11"/>
  <c r="Q104" i="11"/>
  <c r="Q105" i="11"/>
  <c r="Q106" i="11"/>
  <c r="Q107" i="11"/>
  <c r="R14" i="11"/>
  <c r="R15" i="11"/>
  <c r="R16" i="11"/>
  <c r="R17" i="11"/>
  <c r="R18" i="11"/>
  <c r="R22" i="11"/>
  <c r="R23" i="11"/>
  <c r="R24" i="11"/>
  <c r="R25" i="11"/>
  <c r="R26" i="11"/>
  <c r="R30" i="11"/>
  <c r="R31" i="11"/>
  <c r="R32" i="11"/>
  <c r="R33" i="11"/>
  <c r="R34" i="11"/>
  <c r="Y14" i="11"/>
  <c r="Y15" i="11"/>
  <c r="Y16" i="11"/>
  <c r="Y17" i="11"/>
  <c r="Y18" i="11"/>
  <c r="Y22" i="11"/>
  <c r="Y23" i="11"/>
  <c r="Y24" i="11"/>
  <c r="Y25" i="11"/>
  <c r="Y26" i="11"/>
  <c r="Y30" i="11"/>
  <c r="Y31" i="11"/>
  <c r="Y32" i="11"/>
  <c r="Y33" i="11"/>
  <c r="Y34" i="11"/>
  <c r="Y67" i="11"/>
  <c r="Y68" i="11"/>
  <c r="Y69" i="11"/>
  <c r="Y70" i="11"/>
  <c r="Y71" i="11"/>
  <c r="Y75" i="11"/>
  <c r="Y76" i="11"/>
  <c r="Y77" i="11"/>
  <c r="Y78" i="11"/>
  <c r="Y79" i="11"/>
  <c r="Y83" i="11"/>
  <c r="Y84" i="11"/>
  <c r="Y85" i="11"/>
  <c r="Y86" i="11"/>
  <c r="Y87" i="11"/>
  <c r="Y91" i="11"/>
  <c r="Y92" i="11"/>
  <c r="Y93" i="11"/>
  <c r="Y94" i="11"/>
  <c r="Y95" i="11"/>
  <c r="Y97" i="11"/>
  <c r="Y98" i="11"/>
  <c r="Y99" i="11"/>
  <c r="Y100" i="11"/>
  <c r="Y101" i="11"/>
  <c r="Y103" i="11"/>
  <c r="Y104" i="11"/>
  <c r="Y105" i="11"/>
  <c r="Y106" i="11"/>
  <c r="Y107" i="11"/>
  <c r="Z14" i="11"/>
  <c r="Z15" i="11"/>
  <c r="Z16" i="11"/>
  <c r="Z17" i="11"/>
  <c r="Z18" i="11"/>
  <c r="Z22" i="11"/>
  <c r="Z23" i="11"/>
  <c r="Z24" i="11"/>
  <c r="Z25" i="11"/>
  <c r="Z26" i="11"/>
  <c r="Z30" i="11"/>
  <c r="Z31" i="11"/>
  <c r="Z32" i="11"/>
  <c r="Z33" i="11"/>
  <c r="Z34" i="11"/>
  <c r="Z67" i="11"/>
  <c r="Z68" i="11"/>
  <c r="Z69" i="11"/>
  <c r="Z70" i="11"/>
  <c r="Z71" i="11"/>
  <c r="Z75" i="11"/>
  <c r="Z76" i="11"/>
  <c r="Z77" i="11"/>
  <c r="Z78" i="11"/>
  <c r="Z79" i="11"/>
  <c r="Z83" i="11"/>
  <c r="Z84" i="11"/>
  <c r="Z85" i="11"/>
  <c r="Z86" i="11"/>
  <c r="Z87" i="11"/>
  <c r="Z91" i="11"/>
  <c r="Z92" i="11"/>
  <c r="Z93" i="11"/>
  <c r="Z94" i="11"/>
  <c r="Z95" i="11"/>
  <c r="Z97" i="11"/>
  <c r="Z98" i="11"/>
  <c r="Z99" i="11"/>
  <c r="Z100" i="11"/>
  <c r="Z101" i="11"/>
  <c r="Z103" i="11"/>
  <c r="Z104" i="11"/>
  <c r="Z105" i="11"/>
  <c r="Z106" i="11"/>
  <c r="Z107" i="11"/>
  <c r="I8" i="11"/>
  <c r="I9" i="11"/>
  <c r="I10" i="11"/>
  <c r="I14" i="11"/>
  <c r="I15" i="11"/>
  <c r="I16" i="11"/>
  <c r="I17" i="11"/>
  <c r="I18" i="11"/>
  <c r="I22" i="11"/>
  <c r="I23" i="11"/>
  <c r="I24" i="11"/>
  <c r="I25" i="11"/>
  <c r="I26" i="11"/>
  <c r="I30" i="11"/>
  <c r="I31" i="11"/>
  <c r="I32" i="11"/>
  <c r="I33" i="11"/>
  <c r="I34" i="11"/>
  <c r="I61" i="11"/>
  <c r="I62" i="11"/>
  <c r="I63" i="11"/>
  <c r="I67" i="11"/>
  <c r="I68" i="11"/>
  <c r="I69" i="11"/>
  <c r="I70" i="11"/>
  <c r="I71" i="11"/>
  <c r="I75" i="11"/>
  <c r="I76" i="11"/>
  <c r="I77" i="11"/>
  <c r="I78" i="11"/>
  <c r="I79" i="11"/>
  <c r="I83" i="11"/>
  <c r="I84" i="11"/>
  <c r="I85" i="11"/>
  <c r="I86" i="11"/>
  <c r="I87" i="11"/>
  <c r="I91" i="11"/>
  <c r="I92" i="11"/>
  <c r="I93" i="11"/>
  <c r="I94" i="11"/>
  <c r="I95" i="11"/>
  <c r="I97" i="11"/>
  <c r="I98" i="11"/>
  <c r="I99" i="11"/>
  <c r="I100" i="11"/>
  <c r="I101" i="11"/>
  <c r="I103" i="11"/>
  <c r="I104" i="11"/>
  <c r="I105" i="11"/>
  <c r="I106" i="11"/>
  <c r="I107" i="11"/>
  <c r="X8" i="11"/>
  <c r="X9" i="11"/>
  <c r="X10" i="11"/>
  <c r="X14" i="11"/>
  <c r="X15" i="11"/>
  <c r="X16" i="11"/>
  <c r="X17" i="11"/>
  <c r="X18" i="11"/>
  <c r="X22" i="11"/>
  <c r="X23" i="11"/>
  <c r="X24" i="11"/>
  <c r="X25" i="11"/>
  <c r="X26" i="11"/>
  <c r="X30" i="11"/>
  <c r="X31" i="11"/>
  <c r="X32" i="11"/>
  <c r="X33" i="11"/>
  <c r="X34" i="11"/>
  <c r="X61" i="11"/>
  <c r="X62" i="11"/>
  <c r="X63" i="11"/>
  <c r="X67" i="11"/>
  <c r="X68" i="11"/>
  <c r="X69" i="11"/>
  <c r="X70" i="11"/>
  <c r="X71" i="11"/>
  <c r="X75" i="11"/>
  <c r="X76" i="11"/>
  <c r="X77" i="11"/>
  <c r="X78" i="11"/>
  <c r="X79" i="11"/>
  <c r="X83" i="11"/>
  <c r="X84" i="11"/>
  <c r="X85" i="11"/>
  <c r="X86" i="11"/>
  <c r="X87" i="11"/>
  <c r="X91" i="11"/>
  <c r="X92" i="11"/>
  <c r="X93" i="11"/>
  <c r="X94" i="11"/>
  <c r="X95" i="11"/>
  <c r="X97" i="11"/>
  <c r="X98" i="11"/>
  <c r="X99" i="11"/>
  <c r="X100" i="11"/>
  <c r="X101" i="11"/>
  <c r="X103" i="11"/>
  <c r="X104" i="11"/>
  <c r="X105" i="11"/>
  <c r="X106" i="11"/>
  <c r="X107" i="11"/>
  <c r="D110" i="11"/>
  <c r="D96" i="11"/>
  <c r="H50" i="11"/>
  <c r="D90" i="11"/>
  <c r="H33" i="11"/>
  <c r="H23" i="11"/>
  <c r="H15" i="11"/>
  <c r="D57" i="11"/>
  <c r="P85" i="11"/>
  <c r="H8" i="11"/>
  <c r="B96" i="11"/>
  <c r="B90" i="11"/>
  <c r="B57" i="11"/>
  <c r="B110" i="11"/>
  <c r="W67" i="11"/>
  <c r="S91" i="11"/>
  <c r="J91" i="11"/>
  <c r="W91" i="11"/>
  <c r="V108" i="11"/>
  <c r="K10" i="12" s="1"/>
  <c r="S92" i="11"/>
  <c r="S93" i="11"/>
  <c r="S94" i="11"/>
  <c r="S95" i="11"/>
  <c r="S97" i="11"/>
  <c r="S98" i="11"/>
  <c r="S99" i="11"/>
  <c r="S100" i="11"/>
  <c r="S101" i="11"/>
  <c r="S103" i="11"/>
  <c r="S104" i="11"/>
  <c r="S105" i="11"/>
  <c r="S106" i="11"/>
  <c r="S107" i="11"/>
  <c r="O108" i="11"/>
  <c r="K91" i="11"/>
  <c r="K92" i="11"/>
  <c r="K93" i="11"/>
  <c r="K94" i="11"/>
  <c r="K95" i="11"/>
  <c r="K97" i="11"/>
  <c r="K98" i="11"/>
  <c r="K99" i="11"/>
  <c r="K100" i="11"/>
  <c r="K101" i="11"/>
  <c r="K103" i="11"/>
  <c r="K104" i="11"/>
  <c r="K105" i="11"/>
  <c r="K106" i="11"/>
  <c r="K107" i="11"/>
  <c r="J92" i="11"/>
  <c r="J93" i="11"/>
  <c r="J94" i="11"/>
  <c r="J95" i="11"/>
  <c r="J97" i="11"/>
  <c r="J98" i="11"/>
  <c r="J99" i="11"/>
  <c r="J100" i="11"/>
  <c r="J101" i="11"/>
  <c r="J103" i="11"/>
  <c r="J104" i="11"/>
  <c r="J105" i="11"/>
  <c r="J106" i="11"/>
  <c r="J107" i="11"/>
  <c r="G108" i="11"/>
  <c r="F108" i="11"/>
  <c r="E108" i="11"/>
  <c r="E10" i="12" s="1"/>
  <c r="V88" i="11"/>
  <c r="W83" i="11"/>
  <c r="J83" i="11"/>
  <c r="S83" i="11"/>
  <c r="W95" i="11"/>
  <c r="W94" i="11"/>
  <c r="W93" i="11"/>
  <c r="W92" i="11"/>
  <c r="W42" i="11"/>
  <c r="G42" i="11"/>
  <c r="W41" i="11"/>
  <c r="G41" i="11"/>
  <c r="W40" i="11"/>
  <c r="G40" i="11"/>
  <c r="W39" i="11"/>
  <c r="G39" i="11"/>
  <c r="W38" i="11"/>
  <c r="G38" i="11"/>
  <c r="W14" i="11"/>
  <c r="W15" i="11"/>
  <c r="W16" i="11"/>
  <c r="W17" i="11"/>
  <c r="W18" i="11"/>
  <c r="W22" i="11"/>
  <c r="W23" i="11"/>
  <c r="W24" i="11"/>
  <c r="W25" i="11"/>
  <c r="W26" i="11"/>
  <c r="W30" i="11"/>
  <c r="W31" i="11"/>
  <c r="W32" i="11"/>
  <c r="W33" i="11"/>
  <c r="W34" i="11"/>
  <c r="W44" i="11"/>
  <c r="W50" i="11"/>
  <c r="W45" i="11"/>
  <c r="W46" i="11"/>
  <c r="W47" i="11"/>
  <c r="W48" i="11"/>
  <c r="W51" i="11"/>
  <c r="W52" i="11"/>
  <c r="W53" i="11"/>
  <c r="W54" i="11"/>
  <c r="W8" i="11"/>
  <c r="W9" i="11"/>
  <c r="W10" i="11"/>
  <c r="W61" i="11"/>
  <c r="W62" i="11"/>
  <c r="W63" i="11"/>
  <c r="W68" i="11"/>
  <c r="W69" i="11"/>
  <c r="W70" i="11"/>
  <c r="W71" i="11"/>
  <c r="W75" i="11"/>
  <c r="W76" i="11"/>
  <c r="W77" i="11"/>
  <c r="W78" i="11"/>
  <c r="W79" i="11"/>
  <c r="W84" i="11"/>
  <c r="W85" i="11"/>
  <c r="W86" i="11"/>
  <c r="W87" i="11"/>
  <c r="W97" i="11"/>
  <c r="W103" i="11"/>
  <c r="W98" i="11"/>
  <c r="W99" i="11"/>
  <c r="W100" i="11"/>
  <c r="W101" i="11"/>
  <c r="W104" i="11"/>
  <c r="W105" i="11"/>
  <c r="W106" i="11"/>
  <c r="W107" i="11"/>
  <c r="V64" i="11"/>
  <c r="V72" i="11"/>
  <c r="V80" i="11"/>
  <c r="V11" i="11"/>
  <c r="V19" i="11"/>
  <c r="V27" i="11"/>
  <c r="V35" i="11"/>
  <c r="K9" i="12" s="1"/>
  <c r="G14" i="11"/>
  <c r="G22" i="11"/>
  <c r="G30" i="11"/>
  <c r="G44" i="11"/>
  <c r="G50" i="11"/>
  <c r="Z64" i="11"/>
  <c r="Z11" i="11"/>
  <c r="Y64" i="11"/>
  <c r="Y11" i="11"/>
  <c r="S84" i="11"/>
  <c r="S85" i="11"/>
  <c r="S86" i="11"/>
  <c r="S87" i="11"/>
  <c r="E72" i="11"/>
  <c r="E7" i="12" s="1"/>
  <c r="E80" i="11"/>
  <c r="E8" i="12" s="1"/>
  <c r="E64" i="11"/>
  <c r="E88" i="11"/>
  <c r="E9" i="12" s="1"/>
  <c r="G48" i="11"/>
  <c r="G47" i="11"/>
  <c r="G46" i="11"/>
  <c r="K28" i="13"/>
  <c r="J28" i="13"/>
  <c r="I28" i="13"/>
  <c r="K26" i="13"/>
  <c r="J26" i="13"/>
  <c r="I26" i="13"/>
  <c r="K24" i="13"/>
  <c r="J24" i="13"/>
  <c r="I24" i="13"/>
  <c r="K22" i="13"/>
  <c r="J22" i="13"/>
  <c r="I22" i="13"/>
  <c r="I8" i="13"/>
  <c r="E2" i="13"/>
  <c r="J14" i="13"/>
  <c r="J12" i="13"/>
  <c r="J10" i="13"/>
  <c r="K8" i="13"/>
  <c r="J8" i="13"/>
  <c r="K14" i="13"/>
  <c r="I14" i="13"/>
  <c r="K12" i="13"/>
  <c r="I12" i="13"/>
  <c r="K10" i="13"/>
  <c r="I10" i="13"/>
  <c r="E35" i="11"/>
  <c r="F35" i="11"/>
  <c r="E27" i="11"/>
  <c r="F27" i="11"/>
  <c r="E19" i="11"/>
  <c r="F19" i="11"/>
  <c r="E11" i="11"/>
  <c r="F11" i="11"/>
  <c r="G51" i="11"/>
  <c r="G23" i="11"/>
  <c r="G10" i="11"/>
  <c r="G8" i="11"/>
  <c r="J87" i="11"/>
  <c r="K87" i="11"/>
  <c r="J86" i="11"/>
  <c r="K86" i="11"/>
  <c r="J85" i="11"/>
  <c r="K85" i="11"/>
  <c r="J84" i="11"/>
  <c r="K84" i="11"/>
  <c r="K83" i="11"/>
  <c r="J79" i="11"/>
  <c r="K79" i="11"/>
  <c r="J78" i="11"/>
  <c r="K78" i="11"/>
  <c r="J77" i="11"/>
  <c r="K77" i="11"/>
  <c r="J76" i="11"/>
  <c r="K76" i="11"/>
  <c r="J75" i="11"/>
  <c r="K75" i="11"/>
  <c r="J71" i="11"/>
  <c r="K71" i="11"/>
  <c r="J70" i="11"/>
  <c r="K70" i="11"/>
  <c r="J69" i="11"/>
  <c r="K69" i="11"/>
  <c r="J68" i="11"/>
  <c r="K68" i="11"/>
  <c r="J67" i="11"/>
  <c r="K67" i="11"/>
  <c r="J63" i="11"/>
  <c r="K63" i="11"/>
  <c r="J62" i="11"/>
  <c r="K62" i="11"/>
  <c r="J61" i="11"/>
  <c r="K61" i="11"/>
  <c r="K34" i="11"/>
  <c r="J34" i="11"/>
  <c r="K33" i="11"/>
  <c r="J33" i="11"/>
  <c r="K32" i="11"/>
  <c r="J32" i="11"/>
  <c r="K31" i="11"/>
  <c r="J31" i="11"/>
  <c r="J30" i="11"/>
  <c r="K30" i="11"/>
  <c r="K26" i="11"/>
  <c r="J26" i="11"/>
  <c r="K25" i="11"/>
  <c r="J25" i="11"/>
  <c r="K24" i="11"/>
  <c r="J24" i="11"/>
  <c r="J23" i="11"/>
  <c r="K23" i="11"/>
  <c r="J22" i="11"/>
  <c r="K22" i="11"/>
  <c r="K18" i="11"/>
  <c r="J18" i="11"/>
  <c r="K17" i="11"/>
  <c r="J17" i="11"/>
  <c r="K16" i="11"/>
  <c r="J16" i="11"/>
  <c r="K15" i="11"/>
  <c r="J15" i="11"/>
  <c r="J14" i="11"/>
  <c r="K14" i="11"/>
  <c r="J9" i="11"/>
  <c r="K9" i="11"/>
  <c r="J10" i="11"/>
  <c r="K10" i="11"/>
  <c r="J8" i="11"/>
  <c r="K8" i="11"/>
  <c r="G54" i="11"/>
  <c r="G53" i="11"/>
  <c r="G52" i="11"/>
  <c r="G45" i="11"/>
  <c r="G34" i="11"/>
  <c r="G33" i="11"/>
  <c r="G32" i="11"/>
  <c r="G31" i="11"/>
  <c r="G26" i="11"/>
  <c r="G25" i="11"/>
  <c r="G24" i="11"/>
  <c r="G18" i="11"/>
  <c r="G17" i="11"/>
  <c r="G16" i="11"/>
  <c r="G15" i="11"/>
  <c r="G9" i="11"/>
  <c r="S11" i="11"/>
  <c r="S14" i="11"/>
  <c r="S15" i="11"/>
  <c r="S16" i="11"/>
  <c r="S17" i="11"/>
  <c r="S18" i="11"/>
  <c r="S22" i="11"/>
  <c r="S23" i="11"/>
  <c r="S24" i="11"/>
  <c r="S25" i="11"/>
  <c r="S26" i="11"/>
  <c r="S30" i="11"/>
  <c r="S31" i="11"/>
  <c r="S32" i="11"/>
  <c r="S33" i="11"/>
  <c r="S34" i="11"/>
  <c r="S64" i="11"/>
  <c r="S69" i="11"/>
  <c r="S70" i="11"/>
  <c r="S71" i="11"/>
  <c r="S76" i="11"/>
  <c r="S77" i="11"/>
  <c r="S78" i="11"/>
  <c r="S79" i="11"/>
  <c r="R11" i="11"/>
  <c r="R64" i="11"/>
  <c r="R72" i="11"/>
  <c r="R80" i="11"/>
  <c r="R88" i="11"/>
  <c r="Q11" i="11"/>
  <c r="Q19" i="11"/>
  <c r="Q27" i="11"/>
  <c r="Q35" i="11"/>
  <c r="Q64" i="11"/>
  <c r="O11" i="11"/>
  <c r="O19" i="11"/>
  <c r="O27" i="11"/>
  <c r="O35" i="11"/>
  <c r="O64" i="11"/>
  <c r="O72" i="11"/>
  <c r="O80" i="11"/>
  <c r="O88" i="11"/>
  <c r="G64" i="11"/>
  <c r="G72" i="11"/>
  <c r="G80" i="11"/>
  <c r="G88" i="11"/>
  <c r="F64" i="11"/>
  <c r="F72" i="11"/>
  <c r="F80" i="11"/>
  <c r="F88" i="11"/>
  <c r="S68" i="11"/>
  <c r="S75" i="11"/>
  <c r="S67" i="11"/>
  <c r="E110" i="11" l="1"/>
  <c r="O110" i="11"/>
  <c r="H18" i="11"/>
  <c r="H17" i="11"/>
  <c r="Y88" i="11"/>
  <c r="P78" i="11"/>
  <c r="P67" i="11"/>
  <c r="P103" i="11"/>
  <c r="H9" i="11"/>
  <c r="H54" i="11"/>
  <c r="H52" i="11"/>
  <c r="P77" i="11"/>
  <c r="H47" i="11"/>
  <c r="P104" i="11"/>
  <c r="J11" i="11"/>
  <c r="H25" i="11"/>
  <c r="H48" i="11"/>
  <c r="K6" i="12"/>
  <c r="H42" i="11"/>
  <c r="X11" i="11"/>
  <c r="E57" i="11"/>
  <c r="E1" i="11" s="1"/>
  <c r="H44" i="11"/>
  <c r="Q57" i="11"/>
  <c r="W64" i="11"/>
  <c r="W80" i="11"/>
  <c r="W11" i="11"/>
  <c r="S27" i="11"/>
  <c r="K35" i="11"/>
  <c r="F110" i="11"/>
  <c r="G110" i="11"/>
  <c r="S80" i="11"/>
  <c r="K80" i="11"/>
  <c r="G27" i="11"/>
  <c r="V57" i="11"/>
  <c r="W27" i="11"/>
  <c r="G55" i="11"/>
  <c r="W72" i="11"/>
  <c r="X88" i="11"/>
  <c r="X19" i="11"/>
  <c r="I64" i="11"/>
  <c r="Y27" i="11"/>
  <c r="Q88" i="11"/>
  <c r="O57" i="11"/>
  <c r="O1" i="11" s="1"/>
  <c r="S35" i="11"/>
  <c r="G19" i="11"/>
  <c r="G35" i="11"/>
  <c r="K19" i="11"/>
  <c r="J27" i="11"/>
  <c r="J64" i="11"/>
  <c r="K88" i="11"/>
  <c r="G11" i="11"/>
  <c r="F57" i="11"/>
  <c r="K8" i="12"/>
  <c r="W35" i="11"/>
  <c r="W19" i="11"/>
  <c r="W55" i="11"/>
  <c r="W108" i="11"/>
  <c r="W88" i="11"/>
  <c r="I27" i="11"/>
  <c r="I11" i="11"/>
  <c r="Z72" i="11"/>
  <c r="Y108" i="11"/>
  <c r="R27" i="11"/>
  <c r="X108" i="11"/>
  <c r="X64" i="11"/>
  <c r="I88" i="11"/>
  <c r="I35" i="11"/>
  <c r="Z108" i="11"/>
  <c r="Q72" i="11"/>
  <c r="I72" i="11"/>
  <c r="I55" i="11"/>
  <c r="J55" i="11"/>
  <c r="R55" i="11"/>
  <c r="S72" i="11"/>
  <c r="S19" i="11"/>
  <c r="S88" i="11"/>
  <c r="X27" i="11"/>
  <c r="Y35" i="11"/>
  <c r="Y19" i="11"/>
  <c r="R35" i="11"/>
  <c r="R108" i="11"/>
  <c r="R110" i="11" s="1"/>
  <c r="X80" i="11"/>
  <c r="Z27" i="11"/>
  <c r="J80" i="11"/>
  <c r="H66" i="11"/>
  <c r="H70" i="11" s="1"/>
  <c r="X35" i="11"/>
  <c r="I80" i="11"/>
  <c r="R19" i="11"/>
  <c r="Y55" i="11"/>
  <c r="J108" i="11"/>
  <c r="I108" i="11"/>
  <c r="K55" i="11"/>
  <c r="J35" i="11"/>
  <c r="J72" i="11"/>
  <c r="S108" i="11"/>
  <c r="Z80" i="11"/>
  <c r="Z35" i="11"/>
  <c r="J88" i="11"/>
  <c r="I19" i="11"/>
  <c r="Z88" i="11"/>
  <c r="Q80" i="11"/>
  <c r="Z55" i="11"/>
  <c r="K11" i="11"/>
  <c r="J19" i="11"/>
  <c r="K27" i="11"/>
  <c r="K64" i="11"/>
  <c r="K72" i="11"/>
  <c r="H14" i="11"/>
  <c r="K108" i="11"/>
  <c r="X72" i="11"/>
  <c r="Z19" i="11"/>
  <c r="Y80" i="11"/>
  <c r="Y72" i="11"/>
  <c r="Q108" i="11"/>
  <c r="S55" i="11"/>
  <c r="X55" i="11"/>
  <c r="H22" i="11"/>
  <c r="H32" i="11"/>
  <c r="H45" i="11"/>
  <c r="H74" i="11"/>
  <c r="E6" i="12"/>
  <c r="E11" i="12" s="1"/>
  <c r="H41" i="11"/>
  <c r="P75" i="11"/>
  <c r="P86" i="11"/>
  <c r="H30" i="11"/>
  <c r="K7" i="12"/>
  <c r="P69" i="11"/>
  <c r="P83" i="11"/>
  <c r="P106" i="11"/>
  <c r="H10" i="11"/>
  <c r="H26" i="11"/>
  <c r="H31" i="11"/>
  <c r="H46" i="11"/>
  <c r="V110" i="11"/>
  <c r="H39" i="11"/>
  <c r="P76" i="11"/>
  <c r="P87" i="11"/>
  <c r="H24" i="11"/>
  <c r="H53" i="11"/>
  <c r="H60" i="11"/>
  <c r="H40" i="11"/>
  <c r="P68" i="11"/>
  <c r="P79" i="11"/>
  <c r="P105" i="11"/>
  <c r="H16" i="11"/>
  <c r="H34" i="11"/>
  <c r="H51" i="11"/>
  <c r="H82" i="11"/>
  <c r="H38" i="11"/>
  <c r="H90" i="11"/>
  <c r="P70" i="11"/>
  <c r="P84" i="11"/>
  <c r="P107" i="11"/>
  <c r="P71" i="11"/>
  <c r="G57" i="11" l="1"/>
  <c r="G1" i="11" s="1"/>
  <c r="K11" i="12"/>
  <c r="H71" i="11"/>
  <c r="H68" i="11"/>
  <c r="H67" i="11"/>
  <c r="W57" i="11"/>
  <c r="F1" i="11"/>
  <c r="X110" i="11"/>
  <c r="H69" i="11"/>
  <c r="R57" i="11"/>
  <c r="R1" i="11" s="1"/>
  <c r="V1" i="11"/>
  <c r="Z57" i="11"/>
  <c r="I57" i="11"/>
  <c r="I110" i="11"/>
  <c r="Y57" i="11"/>
  <c r="J57" i="11"/>
  <c r="Y110" i="11"/>
  <c r="X57" i="11"/>
  <c r="J110" i="11"/>
  <c r="S110" i="11"/>
  <c r="Q110" i="11"/>
  <c r="Q1" i="11" s="1"/>
  <c r="W110" i="11"/>
  <c r="W1" i="11" s="1"/>
  <c r="K110" i="11"/>
  <c r="K57" i="11"/>
  <c r="S57" i="11"/>
  <c r="Z110" i="11"/>
  <c r="K15" i="12"/>
  <c r="G15" i="12" s="1"/>
  <c r="H100" i="11"/>
  <c r="H97" i="11"/>
  <c r="H91" i="11"/>
  <c r="H92" i="11"/>
  <c r="H99" i="11"/>
  <c r="H95" i="11"/>
  <c r="H103" i="11"/>
  <c r="H94" i="11"/>
  <c r="H104" i="11"/>
  <c r="H105" i="11"/>
  <c r="H93" i="11"/>
  <c r="H106" i="11"/>
  <c r="H98" i="11"/>
  <c r="H101" i="11"/>
  <c r="H107" i="11"/>
  <c r="H76" i="11"/>
  <c r="H77" i="11"/>
  <c r="H79" i="11"/>
  <c r="H75" i="11"/>
  <c r="H78" i="11"/>
  <c r="H87" i="11"/>
  <c r="H85" i="11"/>
  <c r="H86" i="11"/>
  <c r="H83" i="11"/>
  <c r="H84" i="11"/>
  <c r="H62" i="11"/>
  <c r="H63" i="11"/>
  <c r="H61" i="11"/>
  <c r="Z1" i="11" l="1"/>
  <c r="I1" i="11"/>
  <c r="X1" i="11"/>
  <c r="S1" i="11"/>
  <c r="J1" i="11"/>
  <c r="Y1" i="11"/>
  <c r="K1" i="11"/>
  <c r="E13" i="12" l="1"/>
  <c r="E15" i="12" s="1"/>
  <c r="B15" i="12" s="1"/>
</calcChain>
</file>

<file path=xl/sharedStrings.xml><?xml version="1.0" encoding="utf-8"?>
<sst xmlns="http://schemas.openxmlformats.org/spreadsheetml/2006/main" count="98" uniqueCount="73">
  <si>
    <t>Date Asset Purchased</t>
  </si>
  <si>
    <t>Asset Description</t>
  </si>
  <si>
    <t>Purchase Reference</t>
  </si>
  <si>
    <t>Original Cost</t>
  </si>
  <si>
    <t>First Year Allowance</t>
  </si>
  <si>
    <t>W Down Allowance</t>
  </si>
  <si>
    <t>Enter % Personal use of vehicles</t>
  </si>
  <si>
    <t>Computers</t>
  </si>
  <si>
    <t>FIXED ASSETS</t>
  </si>
  <si>
    <t>Plant &amp; Machinery</t>
  </si>
  <si>
    <t>Land &amp; Property</t>
  </si>
  <si>
    <t>Deprn Rate %</t>
  </si>
  <si>
    <t>New Land &amp; Property</t>
  </si>
  <si>
    <t>New Plant &amp; Machinery</t>
  </si>
  <si>
    <t>New Fixtures &amp; Fittings</t>
  </si>
  <si>
    <t>New Computers</t>
  </si>
  <si>
    <t>New Motor Vehicles</t>
  </si>
  <si>
    <t>Depreciation Charge current year</t>
  </si>
  <si>
    <t>FIXED ASSET RECONCILIATION</t>
  </si>
  <si>
    <t>Fixed Asset Schedule New Additions</t>
  </si>
  <si>
    <t xml:space="preserve">  FIXED ASSETS SCHEDULE</t>
  </si>
  <si>
    <t>Fixed Asset Schedule Assets Sold</t>
  </si>
  <si>
    <t>Land &amp; Property Sold</t>
  </si>
  <si>
    <t>Plant &amp; Machinery Sold</t>
  </si>
  <si>
    <t>Fixtures &amp; Fittings Sold</t>
  </si>
  <si>
    <t>Computers Sold</t>
  </si>
  <si>
    <t>Motor Vehicles Sold</t>
  </si>
  <si>
    <t>Sales Value</t>
  </si>
  <si>
    <t xml:space="preserve">  SALES SHEET FIXED ASSETS SALES</t>
  </si>
  <si>
    <r>
      <t>Sales Value</t>
    </r>
    <r>
      <rPr>
        <sz val="9"/>
        <rFont val="Times New Roman"/>
        <family val="1"/>
      </rPr>
      <t xml:space="preserve"> Assets Sold</t>
    </r>
  </si>
  <si>
    <r>
      <t>Original Cost</t>
    </r>
    <r>
      <rPr>
        <sz val="9"/>
        <rFont val="Times New Roman"/>
        <family val="1"/>
      </rPr>
      <t xml:space="preserve">      Assets Sold</t>
    </r>
  </si>
  <si>
    <t>Date          Asset Sold</t>
  </si>
  <si>
    <r>
      <t>Accumulated Depreciation</t>
    </r>
    <r>
      <rPr>
        <sz val="9"/>
        <rFont val="Times New Roman"/>
        <family val="1"/>
      </rPr>
      <t xml:space="preserve"> Assets Sold</t>
    </r>
  </si>
  <si>
    <t>Finance Company</t>
  </si>
  <si>
    <t>Monthly Payment</t>
  </si>
  <si>
    <t>Number of Months</t>
  </si>
  <si>
    <t>Monthly Interest</t>
  </si>
  <si>
    <t>Agreement Refernce</t>
  </si>
  <si>
    <t>Total Interest Charged</t>
  </si>
  <si>
    <t>Agreement Date</t>
  </si>
  <si>
    <t>New Hire Purchase Agreements</t>
  </si>
  <si>
    <t>Hire Purchase Agreements existing at start of financial year</t>
  </si>
  <si>
    <t>Net Capital Repayment</t>
  </si>
  <si>
    <t>Required to calculate monthly interest liability</t>
  </si>
  <si>
    <t>Admin Charges</t>
  </si>
  <si>
    <t>Total Amount Financed excluding Admin &amp; Interest</t>
  </si>
  <si>
    <t>Enter Supplier Name as entered on Purchase Spreadsheet</t>
  </si>
  <si>
    <t>BANK ANALYSIS PURPOSES</t>
  </si>
  <si>
    <t>YEAR END LONG TERM CREDITORS</t>
  </si>
  <si>
    <t>Enter Finance Agreements due to end more than 12 months after the financial year end or leave blank</t>
  </si>
  <si>
    <r>
      <t xml:space="preserve">Capital </t>
    </r>
    <r>
      <rPr>
        <sz val="9"/>
        <rFont val="Times New Roman"/>
        <family val="1"/>
      </rPr>
      <t>Allowance</t>
    </r>
  </si>
  <si>
    <r>
      <t xml:space="preserve">Balancing </t>
    </r>
    <r>
      <rPr>
        <sz val="9"/>
        <rFont val="Times New Roman"/>
        <family val="1"/>
      </rPr>
      <t>Charge</t>
    </r>
  </si>
  <si>
    <t>FIXED ASSET SALES</t>
  </si>
  <si>
    <r>
      <t xml:space="preserve">Reconciliation totals on Row 15 should be zero.                               If Row 15 not zero check all Fixed Assets entered on       </t>
    </r>
    <r>
      <rPr>
        <b/>
        <sz val="10"/>
        <color indexed="18"/>
        <rFont val="Times New Roman"/>
        <family val="1"/>
      </rPr>
      <t>Purhases and Sales Spreadsheets</t>
    </r>
    <r>
      <rPr>
        <sz val="10"/>
        <color indexed="18"/>
        <rFont val="Times New Roman"/>
        <family val="1"/>
      </rPr>
      <t xml:space="preserve">           have been recorded on the                       </t>
    </r>
    <r>
      <rPr>
        <b/>
        <sz val="10"/>
        <color indexed="18"/>
        <rFont val="Times New Roman"/>
        <family val="1"/>
      </rPr>
      <t>Fixed Asset Schedule.</t>
    </r>
  </si>
  <si>
    <t>Motor Vehicles - Vans &amp; Lorries</t>
  </si>
  <si>
    <t>Fixtures &amp; Fittings</t>
  </si>
  <si>
    <t>Accumulated Depreciation</t>
  </si>
  <si>
    <r>
      <t xml:space="preserve">Written Down </t>
    </r>
    <r>
      <rPr>
        <b/>
        <sz val="9"/>
        <rFont val="Times New Roman"/>
        <family val="1"/>
      </rPr>
      <t>Book Value</t>
    </r>
  </si>
  <si>
    <r>
      <t xml:space="preserve">Written Down   </t>
    </r>
    <r>
      <rPr>
        <b/>
        <sz val="9"/>
        <rFont val="Times New Roman"/>
        <family val="1"/>
      </rPr>
      <t>Book Value</t>
    </r>
  </si>
  <si>
    <r>
      <t xml:space="preserve">Written Down </t>
    </r>
    <r>
      <rPr>
        <b/>
        <sz val="9"/>
        <rFont val="Times New Roman"/>
        <family val="1"/>
      </rPr>
      <t>Tax Value</t>
    </r>
  </si>
  <si>
    <r>
      <t xml:space="preserve">Written Down   </t>
    </r>
    <r>
      <rPr>
        <b/>
        <sz val="9"/>
        <rFont val="Times New Roman"/>
        <family val="1"/>
      </rPr>
      <t>Tax Value</t>
    </r>
  </si>
  <si>
    <t xml:space="preserve">EXISTING FIXED ASSETS at </t>
  </si>
  <si>
    <t xml:space="preserve">NEW FIXED ASSETS Bought AFTER </t>
  </si>
  <si>
    <t>Motor Vehicles - costing over £</t>
  </si>
  <si>
    <t>Motor Vehicles - costing under £</t>
  </si>
  <si>
    <t>FIXED ASSET PURCHASES</t>
  </si>
  <si>
    <t xml:space="preserve">  PURCHASE SHEET FIXED ASSETS PURCHASES</t>
  </si>
  <si>
    <t>Existing Land &amp; Property</t>
  </si>
  <si>
    <t>Existing Plant &amp; Machinery</t>
  </si>
  <si>
    <t>Existing Fixtures &amp; Fittings</t>
  </si>
  <si>
    <t>Existing Computers</t>
  </si>
  <si>
    <t>Existing Motor Vehicles</t>
  </si>
  <si>
    <t>Annual Invest Allow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</si>
</sst>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[$-F800]dddd\,\ mmmm\ dd\,\ yyyy"/>
  </numFmts>
  <fonts count="19" x14ac:knownFonts="1">
    <font>
      <sz val="10"/>
      <name val="Arial"/>
    </font>
    <font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10"/>
      <color indexed="18"/>
      <name val="Arial"/>
      <family val="2"/>
    </font>
    <font>
      <sz val="9"/>
      <color indexed="10"/>
      <name val="Times New Roman"/>
      <family val="1"/>
    </font>
    <font>
      <sz val="10"/>
      <color indexed="10"/>
      <name val="Arial"/>
      <family val="2"/>
    </font>
    <font>
      <b/>
      <i/>
      <sz val="8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8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8"/>
      <name val="Times New Roman"/>
      <family val="1"/>
    </font>
    <font>
      <sz val="10"/>
      <name val="Arial"/>
      <family val="2"/>
    </font>
    <font>
      <b/>
      <sz val="10"/>
      <color indexed="18"/>
      <name val="Times New Roman"/>
      <family val="1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86">
    <xf numFmtId="0" fontId="0" fillId="0" borderId="0" xfId="0"/>
    <xf numFmtId="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15" fontId="2" fillId="0" borderId="0" xfId="0" applyNumberFormat="1" applyFont="1"/>
    <xf numFmtId="0" fontId="2" fillId="0" borderId="0" xfId="0" applyFont="1"/>
    <xf numFmtId="0" fontId="3" fillId="0" borderId="0" xfId="0" applyFont="1"/>
    <xf numFmtId="164" fontId="2" fillId="2" borderId="0" xfId="0" applyNumberFormat="1" applyFont="1" applyFill="1"/>
    <xf numFmtId="164" fontId="2" fillId="2" borderId="0" xfId="0" applyNumberFormat="1" applyFont="1" applyFill="1" applyAlignment="1">
      <alignment horizontal="left" vertical="center" indent="2"/>
    </xf>
    <xf numFmtId="9" fontId="2" fillId="2" borderId="0" xfId="0" applyNumberFormat="1" applyFont="1" applyFill="1" applyAlignment="1">
      <alignment horizontal="center" vertical="center"/>
    </xf>
    <xf numFmtId="0" fontId="2" fillId="2" borderId="0" xfId="0" applyFont="1" applyFill="1"/>
    <xf numFmtId="164" fontId="2" fillId="2" borderId="0" xfId="0" applyNumberFormat="1" applyFont="1" applyFill="1" applyAlignment="1">
      <alignment horizontal="center"/>
    </xf>
    <xf numFmtId="15" fontId="2" fillId="2" borderId="0" xfId="0" applyNumberFormat="1" applyFont="1" applyFill="1"/>
    <xf numFmtId="9" fontId="2" fillId="2" borderId="0" xfId="0" applyNumberFormat="1" applyFont="1" applyFill="1" applyAlignment="1">
      <alignment horizontal="center"/>
    </xf>
    <xf numFmtId="15" fontId="3" fillId="2" borderId="0" xfId="0" applyNumberFormat="1" applyFont="1" applyFill="1" applyAlignment="1">
      <alignment wrapText="1"/>
    </xf>
    <xf numFmtId="9" fontId="3" fillId="2" borderId="1" xfId="0" applyNumberFormat="1" applyFont="1" applyFill="1" applyBorder="1" applyAlignment="1">
      <alignment horizontal="center"/>
    </xf>
    <xf numFmtId="14" fontId="2" fillId="0" borderId="0" xfId="0" applyNumberFormat="1" applyFont="1"/>
    <xf numFmtId="164" fontId="2" fillId="2" borderId="1" xfId="0" applyNumberFormat="1" applyFont="1" applyFill="1" applyBorder="1"/>
    <xf numFmtId="9" fontId="2" fillId="2" borderId="0" xfId="0" applyNumberFormat="1" applyFont="1" applyFill="1"/>
    <xf numFmtId="164" fontId="2" fillId="2" borderId="2" xfId="0" applyNumberFormat="1" applyFont="1" applyFill="1" applyBorder="1"/>
    <xf numFmtId="164" fontId="3" fillId="2" borderId="3" xfId="0" applyNumberFormat="1" applyFont="1" applyFill="1" applyBorder="1" applyAlignment="1">
      <alignment horizontal="center"/>
    </xf>
    <xf numFmtId="0" fontId="3" fillId="2" borderId="4" xfId="0" applyFont="1" applyFill="1" applyBorder="1"/>
    <xf numFmtId="0" fontId="2" fillId="2" borderId="5" xfId="0" applyFont="1" applyFill="1" applyBorder="1"/>
    <xf numFmtId="14" fontId="2" fillId="2" borderId="5" xfId="0" applyNumberFormat="1" applyFont="1" applyFill="1" applyBorder="1"/>
    <xf numFmtId="15" fontId="2" fillId="2" borderId="6" xfId="0" applyNumberFormat="1" applyFont="1" applyFill="1" applyBorder="1"/>
    <xf numFmtId="164" fontId="2" fillId="2" borderId="6" xfId="0" applyNumberFormat="1" applyFont="1" applyFill="1" applyBorder="1"/>
    <xf numFmtId="9" fontId="2" fillId="2" borderId="6" xfId="0" applyNumberFormat="1" applyFont="1" applyFill="1" applyBorder="1" applyAlignment="1">
      <alignment horizontal="center"/>
    </xf>
    <xf numFmtId="164" fontId="2" fillId="2" borderId="6" xfId="0" applyNumberFormat="1" applyFont="1" applyFill="1" applyBorder="1" applyAlignment="1">
      <alignment horizontal="center"/>
    </xf>
    <xf numFmtId="0" fontId="2" fillId="2" borderId="7" xfId="0" applyFont="1" applyFill="1" applyBorder="1"/>
    <xf numFmtId="9" fontId="2" fillId="0" borderId="1" xfId="0" applyNumberFormat="1" applyFont="1" applyBorder="1" applyAlignment="1">
      <alignment horizontal="center"/>
    </xf>
    <xf numFmtId="1" fontId="2" fillId="2" borderId="0" xfId="0" applyNumberFormat="1" applyFont="1" applyFill="1" applyAlignment="1">
      <alignment vertical="center"/>
    </xf>
    <xf numFmtId="1" fontId="2" fillId="0" borderId="0" xfId="0" applyNumberFormat="1" applyFont="1"/>
    <xf numFmtId="1" fontId="2" fillId="2" borderId="0" xfId="0" applyNumberFormat="1" applyFont="1" applyFill="1"/>
    <xf numFmtId="1" fontId="3" fillId="2" borderId="0" xfId="0" applyNumberFormat="1" applyFont="1" applyFill="1"/>
    <xf numFmtId="1" fontId="3" fillId="2" borderId="0" xfId="0" applyNumberFormat="1" applyFont="1" applyFill="1" applyAlignment="1">
      <alignment wrapText="1"/>
    </xf>
    <xf numFmtId="1" fontId="2" fillId="2" borderId="6" xfId="0" applyNumberFormat="1" applyFont="1" applyFill="1" applyBorder="1"/>
    <xf numFmtId="9" fontId="2" fillId="2" borderId="1" xfId="0" applyNumberFormat="1" applyFont="1" applyFill="1" applyBorder="1" applyAlignment="1">
      <alignment horizontal="center"/>
    </xf>
    <xf numFmtId="15" fontId="2" fillId="2" borderId="0" xfId="0" applyNumberFormat="1" applyFont="1" applyFill="1" applyAlignment="1">
      <alignment horizontal="left" wrapText="1" indent="6"/>
    </xf>
    <xf numFmtId="0" fontId="2" fillId="2" borderId="0" xfId="0" applyFont="1" applyFill="1" applyAlignment="1">
      <alignment horizontal="left" wrapText="1" indent="6"/>
    </xf>
    <xf numFmtId="9" fontId="2" fillId="2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64" fontId="2" fillId="2" borderId="8" xfId="0" applyNumberFormat="1" applyFont="1" applyFill="1" applyBorder="1"/>
    <xf numFmtId="15" fontId="2" fillId="0" borderId="1" xfId="0" applyNumberFormat="1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1" fontId="3" fillId="0" borderId="1" xfId="0" applyNumberFormat="1" applyFont="1" applyBorder="1"/>
    <xf numFmtId="15" fontId="2" fillId="3" borderId="0" xfId="0" applyNumberFormat="1" applyFont="1" applyFill="1"/>
    <xf numFmtId="0" fontId="2" fillId="3" borderId="0" xfId="0" applyFont="1" applyFill="1"/>
    <xf numFmtId="1" fontId="2" fillId="3" borderId="0" xfId="0" applyNumberFormat="1" applyFont="1" applyFill="1"/>
    <xf numFmtId="164" fontId="2" fillId="3" borderId="0" xfId="0" applyNumberFormat="1" applyFont="1" applyFill="1"/>
    <xf numFmtId="9" fontId="2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164" fontId="2" fillId="3" borderId="1" xfId="0" applyNumberFormat="1" applyFont="1" applyFill="1" applyBorder="1"/>
    <xf numFmtId="164" fontId="2" fillId="3" borderId="2" xfId="0" applyNumberFormat="1" applyFont="1" applyFill="1" applyBorder="1"/>
    <xf numFmtId="15" fontId="2" fillId="2" borderId="0" xfId="0" applyNumberFormat="1" applyFont="1" applyFill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9" fontId="2" fillId="2" borderId="0" xfId="0" applyNumberFormat="1" applyFont="1" applyFill="1" applyAlignment="1">
      <alignment horizontal="center" vertical="center" wrapText="1"/>
    </xf>
    <xf numFmtId="9" fontId="3" fillId="2" borderId="0" xfId="0" applyNumberFormat="1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9" fontId="0" fillId="2" borderId="0" xfId="0" applyNumberFormat="1" applyFill="1" applyAlignment="1">
      <alignment horizontal="center" wrapText="1"/>
    </xf>
    <xf numFmtId="0" fontId="2" fillId="3" borderId="9" xfId="0" applyFont="1" applyFill="1" applyBorder="1"/>
    <xf numFmtId="0" fontId="2" fillId="3" borderId="10" xfId="0" applyFont="1" applyFill="1" applyBorder="1"/>
    <xf numFmtId="15" fontId="2" fillId="3" borderId="6" xfId="0" applyNumberFormat="1" applyFont="1" applyFill="1" applyBorder="1"/>
    <xf numFmtId="0" fontId="2" fillId="3" borderId="6" xfId="0" applyFont="1" applyFill="1" applyBorder="1"/>
    <xf numFmtId="1" fontId="2" fillId="3" borderId="6" xfId="0" applyNumberFormat="1" applyFont="1" applyFill="1" applyBorder="1"/>
    <xf numFmtId="164" fontId="2" fillId="3" borderId="6" xfId="0" applyNumberFormat="1" applyFont="1" applyFill="1" applyBorder="1"/>
    <xf numFmtId="9" fontId="2" fillId="3" borderId="6" xfId="0" applyNumberFormat="1" applyFont="1" applyFill="1" applyBorder="1" applyAlignment="1">
      <alignment horizontal="center"/>
    </xf>
    <xf numFmtId="164" fontId="2" fillId="3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0" borderId="1" xfId="0" applyFont="1" applyBorder="1"/>
    <xf numFmtId="0" fontId="4" fillId="2" borderId="0" xfId="0" applyFont="1" applyFill="1" applyAlignment="1">
      <alignment horizontal="left" wrapText="1" indent="6"/>
    </xf>
    <xf numFmtId="0" fontId="4" fillId="2" borderId="0" xfId="0" applyFont="1" applyFill="1"/>
    <xf numFmtId="0" fontId="8" fillId="2" borderId="0" xfId="0" applyFont="1" applyFill="1" applyAlignment="1">
      <alignment wrapText="1"/>
    </xf>
    <xf numFmtId="0" fontId="4" fillId="2" borderId="6" xfId="0" applyFont="1" applyFill="1" applyBorder="1"/>
    <xf numFmtId="0" fontId="4" fillId="0" borderId="0" xfId="0" applyFont="1"/>
    <xf numFmtId="4" fontId="2" fillId="2" borderId="0" xfId="0" applyNumberFormat="1" applyFont="1" applyFill="1"/>
    <xf numFmtId="4" fontId="2" fillId="2" borderId="0" xfId="0" applyNumberFormat="1" applyFont="1" applyFill="1" applyAlignment="1">
      <alignment horizontal="center"/>
    </xf>
    <xf numFmtId="4" fontId="2" fillId="0" borderId="0" xfId="0" applyNumberFormat="1" applyFont="1"/>
    <xf numFmtId="4" fontId="2" fillId="0" borderId="1" xfId="0" applyNumberFormat="1" applyFont="1" applyBorder="1"/>
    <xf numFmtId="4" fontId="2" fillId="2" borderId="1" xfId="0" applyNumberFormat="1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4" fontId="2" fillId="3" borderId="0" xfId="0" applyNumberFormat="1" applyFont="1" applyFill="1"/>
    <xf numFmtId="4" fontId="2" fillId="3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4" fontId="2" fillId="3" borderId="0" xfId="0" applyNumberFormat="1" applyFont="1" applyFill="1" applyAlignment="1">
      <alignment horizontal="center" vertical="center"/>
    </xf>
    <xf numFmtId="1" fontId="10" fillId="2" borderId="0" xfId="0" applyNumberFormat="1" applyFont="1" applyFill="1"/>
    <xf numFmtId="1" fontId="9" fillId="2" borderId="0" xfId="0" applyNumberFormat="1" applyFont="1" applyFill="1"/>
    <xf numFmtId="4" fontId="11" fillId="2" borderId="0" xfId="0" applyNumberFormat="1" applyFont="1" applyFill="1" applyAlignment="1">
      <alignment wrapText="1"/>
    </xf>
    <xf numFmtId="4" fontId="2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4" fontId="2" fillId="2" borderId="11" xfId="0" applyNumberFormat="1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12" fillId="3" borderId="0" xfId="0" applyFont="1" applyFill="1" applyAlignment="1">
      <alignment horizontal="center" wrapText="1"/>
    </xf>
    <xf numFmtId="0" fontId="12" fillId="0" borderId="0" xfId="0" applyFont="1"/>
    <xf numFmtId="164" fontId="3" fillId="3" borderId="2" xfId="0" applyNumberFormat="1" applyFont="1" applyFill="1" applyBorder="1" applyAlignment="1">
      <alignment vertical="center"/>
    </xf>
    <xf numFmtId="15" fontId="3" fillId="3" borderId="1" xfId="0" applyNumberFormat="1" applyFont="1" applyFill="1" applyBorder="1" applyAlignment="1">
      <alignment horizontal="left" vertical="center" indent="1"/>
    </xf>
    <xf numFmtId="164" fontId="2" fillId="3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 vertical="center"/>
    </xf>
    <xf numFmtId="1" fontId="2" fillId="2" borderId="1" xfId="0" applyNumberFormat="1" applyFont="1" applyFill="1" applyBorder="1"/>
    <xf numFmtId="1" fontId="2" fillId="2" borderId="6" xfId="0" applyNumberFormat="1" applyFont="1" applyFill="1" applyBorder="1" applyAlignment="1">
      <alignment horizontal="center"/>
    </xf>
    <xf numFmtId="164" fontId="2" fillId="0" borderId="13" xfId="0" applyNumberFormat="1" applyFont="1" applyBorder="1"/>
    <xf numFmtId="15" fontId="4" fillId="2" borderId="1" xfId="0" applyNumberFormat="1" applyFont="1" applyFill="1" applyBorder="1" applyAlignment="1">
      <alignment horizontal="center" vertical="center" wrapText="1"/>
    </xf>
    <xf numFmtId="165" fontId="11" fillId="2" borderId="14" xfId="0" applyNumberFormat="1" applyFont="1" applyFill="1" applyBorder="1" applyAlignment="1">
      <alignment horizontal="center" vertical="center" wrapText="1"/>
    </xf>
    <xf numFmtId="3" fontId="3" fillId="2" borderId="0" xfId="0" applyNumberFormat="1" applyFont="1" applyFill="1" applyAlignment="1">
      <alignment horizontal="left"/>
    </xf>
    <xf numFmtId="4" fontId="2" fillId="3" borderId="2" xfId="0" applyNumberFormat="1" applyFont="1" applyFill="1" applyBorder="1"/>
    <xf numFmtId="9" fontId="11" fillId="2" borderId="8" xfId="0" applyNumberFormat="1" applyFont="1" applyFill="1" applyBorder="1" applyAlignment="1">
      <alignment horizontal="center" wrapText="1"/>
    </xf>
    <xf numFmtId="15" fontId="2" fillId="2" borderId="0" xfId="0" applyNumberFormat="1" applyFont="1" applyFill="1" applyAlignment="1">
      <alignment horizontal="left" wrapText="1" indent="6"/>
    </xf>
    <xf numFmtId="0" fontId="2" fillId="2" borderId="0" xfId="0" applyFont="1" applyFill="1" applyAlignment="1">
      <alignment horizontal="left" wrapText="1" indent="6"/>
    </xf>
    <xf numFmtId="0" fontId="2" fillId="2" borderId="18" xfId="0" applyFont="1" applyFill="1" applyBorder="1" applyAlignment="1">
      <alignment horizontal="left" wrapText="1" indent="6"/>
    </xf>
    <xf numFmtId="0" fontId="3" fillId="2" borderId="21" xfId="0" applyFont="1" applyFill="1" applyBorder="1" applyAlignment="1">
      <alignment horizontal="right" vertical="center" wrapText="1"/>
    </xf>
    <xf numFmtId="0" fontId="0" fillId="0" borderId="21" xfId="0" applyBorder="1" applyAlignment="1">
      <alignment horizontal="right" vertical="center" wrapText="1"/>
    </xf>
    <xf numFmtId="0" fontId="3" fillId="2" borderId="0" xfId="0" applyFont="1" applyFill="1" applyAlignment="1">
      <alignment vertical="center" wrapText="1"/>
    </xf>
    <xf numFmtId="0" fontId="3" fillId="2" borderId="1" xfId="0" applyFont="1" applyFill="1" applyBorder="1"/>
    <xf numFmtId="0" fontId="0" fillId="0" borderId="1" xfId="0" applyBorder="1"/>
    <xf numFmtId="9" fontId="2" fillId="2" borderId="3" xfId="0" applyNumberFormat="1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wrapText="1"/>
    </xf>
    <xf numFmtId="164" fontId="4" fillId="2" borderId="13" xfId="0" applyNumberFormat="1" applyFont="1" applyFill="1" applyBorder="1" applyAlignment="1">
      <alignment horizontal="center" vertical="center" wrapText="1"/>
    </xf>
    <xf numFmtId="164" fontId="4" fillId="2" borderId="8" xfId="0" applyNumberFormat="1" applyFont="1" applyFill="1" applyBorder="1" applyAlignment="1">
      <alignment horizontal="center" vertical="center" wrapText="1"/>
    </xf>
    <xf numFmtId="164" fontId="2" fillId="2" borderId="13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5" fontId="2" fillId="2" borderId="3" xfId="0" applyNumberFormat="1" applyFont="1" applyFill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19" xfId="0" applyNumberFormat="1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wrapText="1"/>
    </xf>
    <xf numFmtId="164" fontId="6" fillId="2" borderId="0" xfId="0" applyNumberFormat="1" applyFont="1" applyFill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164" fontId="3" fillId="2" borderId="19" xfId="0" applyNumberFormat="1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64" fontId="2" fillId="2" borderId="20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2" borderId="15" xfId="0" applyFont="1" applyFill="1" applyBorder="1" applyAlignment="1">
      <alignment horizontal="right" vertical="center"/>
    </xf>
    <xf numFmtId="0" fontId="18" fillId="0" borderId="16" xfId="0" applyFont="1" applyBorder="1" applyAlignment="1">
      <alignment horizontal="right" vertical="center"/>
    </xf>
    <xf numFmtId="0" fontId="0" fillId="0" borderId="16" xfId="0" applyBorder="1" applyAlignment="1">
      <alignment horizontal="right" vertical="center"/>
    </xf>
    <xf numFmtId="0" fontId="3" fillId="2" borderId="17" xfId="0" applyFont="1" applyFill="1" applyBorder="1" applyAlignment="1">
      <alignment horizontal="right" vertical="center" wrapText="1"/>
    </xf>
    <xf numFmtId="0" fontId="2" fillId="3" borderId="24" xfId="0" applyFont="1" applyFill="1" applyBorder="1"/>
    <xf numFmtId="0" fontId="12" fillId="3" borderId="25" xfId="0" applyFont="1" applyFill="1" applyBorder="1"/>
    <xf numFmtId="15" fontId="2" fillId="3" borderId="0" xfId="0" applyNumberFormat="1" applyFont="1" applyFill="1" applyAlignment="1">
      <alignment horizontal="left" wrapText="1" indent="6"/>
    </xf>
    <xf numFmtId="0" fontId="2" fillId="3" borderId="0" xfId="0" applyFont="1" applyFill="1" applyAlignment="1">
      <alignment horizontal="left" wrapText="1" indent="6"/>
    </xf>
    <xf numFmtId="0" fontId="12" fillId="3" borderId="18" xfId="0" applyFont="1" applyFill="1" applyBorder="1" applyAlignment="1">
      <alignment horizontal="left" wrapText="1" indent="6"/>
    </xf>
    <xf numFmtId="0" fontId="13" fillId="3" borderId="26" xfId="0" applyFont="1" applyFill="1" applyBorder="1" applyAlignment="1">
      <alignment horizontal="left" vertical="center" wrapText="1" indent="1"/>
    </xf>
    <xf numFmtId="0" fontId="14" fillId="3" borderId="27" xfId="0" applyFont="1" applyFill="1" applyBorder="1" applyAlignment="1">
      <alignment horizontal="left" vertical="center" wrapText="1" indent="1"/>
    </xf>
    <xf numFmtId="0" fontId="14" fillId="3" borderId="28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vertical="center" wrapText="1"/>
    </xf>
    <xf numFmtId="0" fontId="12" fillId="3" borderId="22" xfId="0" applyFont="1" applyFill="1" applyBorder="1" applyAlignment="1">
      <alignment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22" xfId="0" applyFont="1" applyFill="1" applyBorder="1" applyAlignment="1">
      <alignment vertical="center"/>
    </xf>
    <xf numFmtId="0" fontId="2" fillId="3" borderId="18" xfId="0" applyFont="1" applyFill="1" applyBorder="1" applyAlignment="1">
      <alignment horizontal="left" wrapText="1" indent="6"/>
    </xf>
    <xf numFmtId="9" fontId="15" fillId="3" borderId="1" xfId="0" applyNumberFormat="1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16" fillId="0" borderId="1" xfId="0" applyFont="1" applyBorder="1" applyAlignment="1">
      <alignment horizontal="left" vertical="center" wrapText="1" indent="1"/>
    </xf>
    <xf numFmtId="164" fontId="3" fillId="3" borderId="22" xfId="0" applyNumberFormat="1" applyFont="1" applyFill="1" applyBorder="1" applyAlignment="1">
      <alignment horizontal="left" vertical="center" wrapText="1" indent="1"/>
    </xf>
    <xf numFmtId="0" fontId="0" fillId="0" borderId="17" xfId="0" applyBorder="1" applyAlignment="1">
      <alignment horizontal="left" vertical="center" wrapText="1" indent="1"/>
    </xf>
    <xf numFmtId="0" fontId="0" fillId="0" borderId="23" xfId="0" applyBorder="1" applyAlignment="1">
      <alignment horizontal="left" vertical="center" wrapText="1" indent="1"/>
    </xf>
    <xf numFmtId="4" fontId="2" fillId="2" borderId="1" xfId="0" applyNumberFormat="1" applyFont="1" applyFill="1" applyBorder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2"/>
    </xf>
    <xf numFmtId="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45753</v>
          </cell>
          <cell r="G4">
            <v>1</v>
          </cell>
        </row>
        <row r="5">
          <cell r="G5">
            <v>0.18</v>
          </cell>
        </row>
        <row r="6">
          <cell r="G6">
            <v>0.06</v>
          </cell>
        </row>
        <row r="8"/>
        <row r="13">
          <cell r="G13">
            <v>0</v>
          </cell>
        </row>
        <row r="14">
          <cell r="G14">
            <v>0.1</v>
          </cell>
        </row>
        <row r="15">
          <cell r="G15">
            <v>0.2</v>
          </cell>
        </row>
        <row r="16">
          <cell r="G16">
            <v>0.33</v>
          </cell>
        </row>
        <row r="17">
          <cell r="B17">
            <v>46117</v>
          </cell>
          <cell r="G17">
            <v>0.25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B2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V2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121"/>
  <sheetViews>
    <sheetView tabSelected="1" zoomScaleNormal="100" workbookViewId="0">
      <pane ySplit="4" topLeftCell="A5" activePane="bottomLeft" state="frozen"/>
      <selection pane="bottomLeft" activeCell="B8" sqref="B8"/>
    </sheetView>
  </sheetViews>
  <sheetFormatPr baseColWidth="10" defaultColWidth="9.1640625" defaultRowHeight="12" x14ac:dyDescent="0.15"/>
  <cols>
    <col min="1" max="1" width="1.6640625" style="5" customWidth="1"/>
    <col min="2" max="2" width="11" style="4" customWidth="1"/>
    <col min="3" max="3" width="23.5" style="80" customWidth="1"/>
    <col min="4" max="4" width="19.5" style="31" customWidth="1"/>
    <col min="5" max="5" width="10.6640625" style="3" customWidth="1"/>
    <col min="6" max="6" width="10.1640625" style="3" customWidth="1"/>
    <col min="7" max="7" width="11.5" style="3" customWidth="1"/>
    <col min="8" max="8" width="6.6640625" style="1" customWidth="1"/>
    <col min="9" max="9" width="9.6640625" style="3" customWidth="1"/>
    <col min="10" max="10" width="9.5" style="3" customWidth="1"/>
    <col min="11" max="11" width="11" style="3" customWidth="1"/>
    <col min="12" max="12" width="0.83203125" style="3" customWidth="1"/>
    <col min="13" max="13" width="6.6640625" style="1" customWidth="1"/>
    <col min="14" max="14" width="0.83203125" style="3" customWidth="1"/>
    <col min="15" max="15" width="11" style="2" customWidth="1"/>
    <col min="16" max="16" width="5.6640625" style="89" customWidth="1"/>
    <col min="17" max="18" width="8.6640625" style="2" bestFit="1" customWidth="1"/>
    <col min="19" max="19" width="11.5" style="2" customWidth="1"/>
    <col min="20" max="20" width="0.83203125" style="2" customWidth="1"/>
    <col min="21" max="21" width="9.1640625" style="4"/>
    <col min="22" max="22" width="10.6640625" style="3" customWidth="1"/>
    <col min="23" max="23" width="10.83203125" style="3" customWidth="1"/>
    <col min="24" max="24" width="11.33203125" style="3" customWidth="1"/>
    <col min="25" max="26" width="9.1640625" style="2"/>
    <col min="27" max="27" width="1.6640625" style="5" customWidth="1"/>
    <col min="28" max="28" width="5.6640625" style="89" customWidth="1"/>
    <col min="29" max="29" width="10.6640625" style="2" customWidth="1"/>
    <col min="30" max="30" width="5.6640625" style="89" customWidth="1"/>
    <col min="31" max="35" width="10.6640625" style="2" customWidth="1"/>
    <col min="36" max="16384" width="9.1640625" style="5"/>
  </cols>
  <sheetData>
    <row r="1" spans="1:35" s="6" customFormat="1" ht="13.5" customHeight="1" x14ac:dyDescent="0.15">
      <c r="A1" s="123"/>
      <c r="B1" s="134" t="s">
        <v>0</v>
      </c>
      <c r="C1" s="145" t="s">
        <v>8</v>
      </c>
      <c r="D1" s="146"/>
      <c r="E1" s="62">
        <f>E57+E110</f>
        <v>0</v>
      </c>
      <c r="F1" s="20">
        <f>F57+F110</f>
        <v>0</v>
      </c>
      <c r="G1" s="20">
        <f>G57+G110</f>
        <v>0</v>
      </c>
      <c r="H1" s="125" t="s">
        <v>11</v>
      </c>
      <c r="I1" s="20">
        <f>I57+I110</f>
        <v>0</v>
      </c>
      <c r="J1" s="20">
        <f>J57+J110</f>
        <v>0</v>
      </c>
      <c r="K1" s="20">
        <f>K57+K110</f>
        <v>0</v>
      </c>
      <c r="L1" s="142"/>
      <c r="M1" s="125" t="s">
        <v>6</v>
      </c>
      <c r="N1" s="142"/>
      <c r="O1" s="20">
        <f>O57+O110</f>
        <v>0</v>
      </c>
      <c r="P1" s="138" t="s">
        <v>72</v>
      </c>
      <c r="Q1" s="20">
        <f>Q57+Q110</f>
        <v>0</v>
      </c>
      <c r="R1" s="20">
        <f>R57+R110</f>
        <v>0</v>
      </c>
      <c r="S1" s="20">
        <f>S57+S110</f>
        <v>0</v>
      </c>
      <c r="T1" s="142"/>
      <c r="U1" s="133" t="s">
        <v>31</v>
      </c>
      <c r="V1" s="20">
        <f>V57+V110</f>
        <v>0</v>
      </c>
      <c r="W1" s="20">
        <f>W57+W110</f>
        <v>0</v>
      </c>
      <c r="X1" s="20">
        <f>X57+X110</f>
        <v>0</v>
      </c>
      <c r="Y1" s="20">
        <f>Y57+Y110</f>
        <v>0</v>
      </c>
      <c r="Z1" s="20">
        <f>Z57+Z110</f>
        <v>0</v>
      </c>
      <c r="AA1" s="21"/>
      <c r="AB1" s="21"/>
      <c r="AC1" s="20">
        <f>AC57+AC110</f>
        <v>0</v>
      </c>
      <c r="AE1" s="20">
        <f>AE57+AE110</f>
      </c>
      <c r="AF1" s="20">
        <f>AF57+AF110</f>
      </c>
      <c r="AG1" s="20">
        <f>AG57+AG110</f>
      </c>
      <c r="AH1" s="20">
        <f>AH57+AH110</f>
      </c>
      <c r="AI1" s="20">
        <f>AI57+AI110</f>
      </c>
    </row>
    <row r="2" spans="1:35" ht="12" customHeight="1" x14ac:dyDescent="0.15">
      <c r="A2" s="124"/>
      <c r="B2" s="134"/>
      <c r="C2" s="135" t="s">
        <v>1</v>
      </c>
      <c r="D2" s="137" t="s">
        <v>2</v>
      </c>
      <c r="E2" s="132" t="s">
        <v>3</v>
      </c>
      <c r="F2" s="128" t="s">
        <v>56</v>
      </c>
      <c r="G2" s="130" t="s">
        <v>57</v>
      </c>
      <c r="H2" s="127"/>
      <c r="I2" s="147" t="s">
        <v>17</v>
      </c>
      <c r="J2" s="128" t="s">
        <v>56</v>
      </c>
      <c r="K2" s="130" t="s">
        <v>58</v>
      </c>
      <c r="L2" s="148"/>
      <c r="M2" s="126"/>
      <c r="N2" s="148"/>
      <c r="O2" s="130" t="s">
        <v>59</v>
      </c>
      <c r="P2" s="139"/>
      <c r="Q2" s="130" t="s">
        <v>4</v>
      </c>
      <c r="R2" s="132" t="s">
        <v>5</v>
      </c>
      <c r="S2" s="130" t="s">
        <v>60</v>
      </c>
      <c r="T2" s="143"/>
      <c r="U2" s="134"/>
      <c r="V2" s="144" t="s">
        <v>29</v>
      </c>
      <c r="W2" s="144" t="s">
        <v>30</v>
      </c>
      <c r="X2" s="144" t="s">
        <v>32</v>
      </c>
      <c r="Y2" s="132" t="s">
        <v>50</v>
      </c>
      <c r="Z2" s="132" t="s">
        <v>51</v>
      </c>
      <c r="AA2" s="22"/>
      <c r="AB2" s="130" t="inlineStr">
        <is>
          <t>Pool (S = special rate)</t>
        </is>
      </c>
      <c r="AC2" s="132" t="inlineStr">
        <is>
          <t>Special Rate W Down Allowance</t>
        </is>
      </c>
      <c r="AD2" s="130" t="inlineStr">
        <is>
          <t>Single asset pool (P = private use or short-life asset)</t>
        </is>
      </c>
      <c r="AE2" s="132" t="inlineStr">
        <is>
          <t>Single Asset Pool W Down Allowance main rate</t>
        </is>
      </c>
      <c r="AF2" s="132" t="inlineStr">
        <is>
          <t>Single Asset Pool W Down Allowance special rate</t>
        </is>
      </c>
      <c r="AG2" s="132" t="inlineStr">
        <is>
          <t>Single Asset Pool Written Down Tax Value</t>
        </is>
      </c>
      <c r="AH2" s="132" t="inlineStr">
        <is>
          <t>Written Down Tax Value main pool</t>
        </is>
      </c>
      <c r="AI2" s="132" t="inlineStr">
        <is>
          <t>Written Down Tax Value special rate pool</t>
        </is>
      </c>
    </row>
    <row r="3" spans="1:35" ht="12" customHeight="1" x14ac:dyDescent="0.15">
      <c r="A3" s="124"/>
      <c r="B3" s="134"/>
      <c r="C3" s="136"/>
      <c r="D3" s="137"/>
      <c r="E3" s="132"/>
      <c r="F3" s="129"/>
      <c r="G3" s="131"/>
      <c r="H3" s="127"/>
      <c r="I3" s="147"/>
      <c r="J3" s="129"/>
      <c r="K3" s="131"/>
      <c r="L3" s="148"/>
      <c r="M3" s="126"/>
      <c r="N3" s="148"/>
      <c r="O3" s="131"/>
      <c r="P3" s="139"/>
      <c r="Q3" s="150"/>
      <c r="R3" s="132"/>
      <c r="S3" s="131"/>
      <c r="T3" s="143"/>
      <c r="U3" s="134"/>
      <c r="V3" s="132"/>
      <c r="W3" s="132"/>
      <c r="X3" s="132"/>
      <c r="Y3" s="132"/>
      <c r="Z3" s="132"/>
      <c r="AA3" s="22"/>
    </row>
    <row r="4" spans="1:35" s="16" customFormat="1" ht="12.75" customHeight="1" x14ac:dyDescent="0.15">
      <c r="A4" s="124"/>
      <c r="B4" s="134"/>
      <c r="C4" s="136"/>
      <c r="D4" s="137"/>
      <c r="E4" s="132"/>
      <c r="F4" s="112">
        <f>[1]Admin!$B$4</f>
        <v>45753</v>
      </c>
      <c r="G4" s="112">
        <f>[1]Admin!$B$4</f>
        <v>45753</v>
      </c>
      <c r="H4" s="127"/>
      <c r="I4" s="147"/>
      <c r="J4" s="112">
        <f>[1]Admin!$B$17</f>
        <v>46117</v>
      </c>
      <c r="K4" s="112">
        <f>[1]Admin!$B$17</f>
        <v>46117</v>
      </c>
      <c r="L4" s="149"/>
      <c r="M4" s="126"/>
      <c r="N4" s="149"/>
      <c r="O4" s="112">
        <f>[1]Admin!$B$4</f>
        <v>45753</v>
      </c>
      <c r="P4" s="116">
        <f>[1]Admin!$G$4</f>
        <v>1</v>
      </c>
      <c r="Q4" s="151"/>
      <c r="R4" s="15">
        <f>[1]Admin!$G$5</f>
        <v>0.18</v>
      </c>
      <c r="S4" s="112">
        <f>[1]Admin!$B$17</f>
        <v>46117</v>
      </c>
      <c r="T4" s="143"/>
      <c r="U4" s="134"/>
      <c r="V4" s="132"/>
      <c r="W4" s="132"/>
      <c r="X4" s="132"/>
      <c r="Y4" s="132"/>
      <c r="Z4" s="132"/>
      <c r="AA4" s="23"/>
      <c r="AB4" s="23"/>
      <c r="AC4" s="15">
        <f>[1]Admin!$G$6</f>
        <v>0.06</v>
      </c>
    </row>
    <row r="5" spans="1:35" s="16" customFormat="1" ht="6" customHeight="1" thickBot="1" x14ac:dyDescent="0.2">
      <c r="A5" s="100"/>
      <c r="B5" s="55"/>
      <c r="C5" s="74"/>
      <c r="D5" s="56"/>
      <c r="E5" s="57"/>
      <c r="F5" s="58"/>
      <c r="G5" s="57"/>
      <c r="H5" s="63"/>
      <c r="I5" s="58"/>
      <c r="J5" s="58"/>
      <c r="K5" s="57"/>
      <c r="L5" s="59"/>
      <c r="M5" s="60"/>
      <c r="N5" s="59"/>
      <c r="O5" s="57"/>
      <c r="P5" s="56"/>
      <c r="Q5" s="108"/>
      <c r="R5" s="61"/>
      <c r="S5" s="57"/>
      <c r="T5" s="59"/>
      <c r="U5" s="55"/>
      <c r="V5" s="57"/>
      <c r="W5" s="57"/>
      <c r="X5" s="57"/>
      <c r="Y5" s="57"/>
      <c r="Z5" s="57"/>
      <c r="AA5" s="23"/>
    </row>
    <row r="6" spans="1:35" ht="13.5" customHeight="1" thickBot="1" x14ac:dyDescent="0.2">
      <c r="A6" s="101"/>
      <c r="B6" s="152" t="s">
        <v>61</v>
      </c>
      <c r="C6" s="154"/>
      <c r="D6" s="113">
        <f>[1]Admin!$B$4</f>
        <v>45753</v>
      </c>
      <c r="E6" s="8"/>
      <c r="F6" s="8"/>
      <c r="G6" s="8"/>
      <c r="H6" s="9"/>
      <c r="I6" s="8"/>
      <c r="J6" s="8"/>
      <c r="K6" s="8"/>
      <c r="L6" s="8"/>
      <c r="M6" s="9"/>
      <c r="N6" s="8"/>
      <c r="O6" s="11"/>
      <c r="P6" s="88"/>
      <c r="Q6" s="11"/>
      <c r="R6" s="11"/>
      <c r="S6" s="11"/>
      <c r="T6" s="11"/>
      <c r="U6" s="12"/>
      <c r="V6" s="7"/>
      <c r="W6" s="7"/>
      <c r="X6" s="7"/>
      <c r="Y6" s="11"/>
      <c r="Z6" s="11"/>
      <c r="AA6" s="22"/>
    </row>
    <row r="7" spans="1:35" ht="13.5" customHeight="1" x14ac:dyDescent="0.15">
      <c r="A7" s="101"/>
      <c r="B7" s="122" t="s">
        <v>10</v>
      </c>
      <c r="C7" s="122"/>
      <c r="D7" s="30"/>
      <c r="E7" s="8"/>
      <c r="F7" s="8"/>
      <c r="G7" s="8"/>
      <c r="H7" s="40">
        <f>[1]Admin!$G$13</f>
        <v>0</v>
      </c>
      <c r="I7" s="8"/>
      <c r="J7" s="8"/>
      <c r="K7" s="8"/>
      <c r="L7" s="8"/>
      <c r="M7" s="9"/>
      <c r="N7" s="8"/>
      <c r="O7" s="11"/>
      <c r="P7" s="88"/>
      <c r="Q7" s="11"/>
      <c r="R7" s="11"/>
      <c r="S7" s="11"/>
      <c r="T7" s="11"/>
      <c r="U7" s="12"/>
      <c r="V7" s="7"/>
      <c r="W7" s="7"/>
      <c r="X7" s="7"/>
      <c r="Y7" s="11"/>
      <c r="Z7" s="11"/>
      <c r="AA7" s="22"/>
    </row>
    <row r="8" spans="1:35" x14ac:dyDescent="0.15">
      <c r="A8" s="101"/>
      <c r="B8" s="42"/>
      <c r="C8" s="75"/>
      <c r="D8" s="43"/>
      <c r="E8" s="44"/>
      <c r="F8" s="44"/>
      <c r="G8" s="7" t="str">
        <f>IF(E8&gt;0,E8-F8," ")</f>
        <v xml:space="preserve"> </v>
      </c>
      <c r="H8" s="13">
        <f>H$7</f>
        <v>0</v>
      </c>
      <c r="I8" s="7" t="str">
        <f>IF(E8&gt;0,MIN(E8*H8,G8)," ")</f>
        <v xml:space="preserve"> </v>
      </c>
      <c r="J8" s="7" t="str">
        <f>IF(E8&gt;0,F8+I8," ")</f>
        <v xml:space="preserve"> </v>
      </c>
      <c r="K8" s="7" t="str">
        <f>IF(E8&gt;0,IF(V8&gt;0,0,E8-J8)," ")</f>
        <v xml:space="preserve"> </v>
      </c>
      <c r="L8" s="7"/>
      <c r="M8" s="13"/>
      <c r="N8" s="7"/>
      <c r="O8" s="11"/>
      <c r="P8" s="88"/>
      <c r="Q8" s="11"/>
      <c r="R8" s="11"/>
      <c r="S8" s="11"/>
      <c r="T8" s="11"/>
      <c r="U8" s="42"/>
      <c r="V8" s="44"/>
      <c r="W8" s="7" t="str">
        <f>IF(V8&gt;0,E8," ")</f>
        <v xml:space="preserve"> </v>
      </c>
      <c r="X8" s="7" t="str">
        <f>IF(V8&gt;0,J8," ")</f>
        <v xml:space="preserve"> </v>
      </c>
      <c r="Y8" s="11"/>
      <c r="Z8" s="11"/>
      <c r="AA8" s="22"/>
    </row>
    <row r="9" spans="1:35" x14ac:dyDescent="0.15">
      <c r="A9" s="101"/>
      <c r="B9" s="42"/>
      <c r="C9" s="75"/>
      <c r="D9" s="43"/>
      <c r="E9" s="44"/>
      <c r="F9" s="44"/>
      <c r="G9" s="7" t="str">
        <f>IF(E9&gt;0,E9-F9," ")</f>
        <v xml:space="preserve"> </v>
      </c>
      <c r="H9" s="13">
        <f>H$7</f>
        <v>0</v>
      </c>
      <c r="I9" s="7" t="str">
        <f>IF(E9&gt;0,MIN(E9*H9,G9)," ")</f>
        <v xml:space="preserve"> </v>
      </c>
      <c r="J9" s="7" t="str">
        <f>IF(E9&gt;0,F9+I9," ")</f>
        <v xml:space="preserve"> </v>
      </c>
      <c r="K9" s="7" t="str">
        <f>IF(E9&gt;0,IF(V9&gt;0,0,E9-J9)," ")</f>
        <v xml:space="preserve"> </v>
      </c>
      <c r="L9" s="7"/>
      <c r="M9" s="13"/>
      <c r="N9" s="7"/>
      <c r="O9" s="11"/>
      <c r="P9" s="88"/>
      <c r="Q9" s="11"/>
      <c r="R9" s="11"/>
      <c r="S9" s="11"/>
      <c r="T9" s="11"/>
      <c r="U9" s="42"/>
      <c r="V9" s="44"/>
      <c r="W9" s="7" t="str">
        <f>IF(V9&gt;0,E9," ")</f>
        <v xml:space="preserve"> </v>
      </c>
      <c r="X9" s="7" t="str">
        <f>IF(V9&gt;0,J9," ")</f>
        <v xml:space="preserve"> </v>
      </c>
      <c r="Y9" s="11"/>
      <c r="Z9" s="11"/>
      <c r="AA9" s="22"/>
    </row>
    <row r="10" spans="1:35" x14ac:dyDescent="0.15">
      <c r="A10" s="101"/>
      <c r="B10" s="42"/>
      <c r="C10" s="75"/>
      <c r="D10" s="43"/>
      <c r="E10" s="44"/>
      <c r="F10" s="44"/>
      <c r="G10" s="7" t="str">
        <f>IF(E10&gt;0,E10-F10," ")</f>
        <v xml:space="preserve"> </v>
      </c>
      <c r="H10" s="13">
        <f>H$7</f>
        <v>0</v>
      </c>
      <c r="I10" s="7" t="str">
        <f>IF(E10&gt;0,MIN(E10*H10,G10)," ")</f>
        <v xml:space="preserve"> </v>
      </c>
      <c r="J10" s="7" t="str">
        <f>IF(E10&gt;0,F10+I10," ")</f>
        <v xml:space="preserve"> </v>
      </c>
      <c r="K10" s="7" t="str">
        <f>IF(E10&gt;0,IF(V10&gt;0,0,E10-J10)," ")</f>
        <v xml:space="preserve"> </v>
      </c>
      <c r="L10" s="7"/>
      <c r="M10" s="13"/>
      <c r="N10" s="7"/>
      <c r="O10" s="11"/>
      <c r="P10" s="88"/>
      <c r="Q10" s="11"/>
      <c r="R10" s="11"/>
      <c r="S10" s="11"/>
      <c r="T10" s="11"/>
      <c r="U10" s="42"/>
      <c r="V10" s="44"/>
      <c r="W10" s="7" t="str">
        <f>IF(V10&gt;0,E10," ")</f>
        <v xml:space="preserve"> </v>
      </c>
      <c r="X10" s="7" t="str">
        <f>IF(V10&gt;0,J10," ")</f>
        <v xml:space="preserve"> </v>
      </c>
      <c r="Y10" s="11"/>
      <c r="Z10" s="11"/>
      <c r="AA10" s="22"/>
    </row>
    <row r="11" spans="1:35" x14ac:dyDescent="0.15">
      <c r="A11" s="101"/>
      <c r="B11" s="117" t="s">
        <v>67</v>
      </c>
      <c r="C11" s="118"/>
      <c r="D11" s="119"/>
      <c r="E11" s="41">
        <f>SUM(E8:E10)</f>
        <v>0</v>
      </c>
      <c r="F11" s="41">
        <f>SUM(F8:F10)</f>
        <v>0</v>
      </c>
      <c r="G11" s="17">
        <f>SUM(G8:G10)</f>
        <v>0</v>
      </c>
      <c r="H11" s="13"/>
      <c r="I11" s="17">
        <f>SUM(I8:I10)</f>
        <v>0</v>
      </c>
      <c r="J11" s="17">
        <f>SUM(J8:J10)</f>
        <v>0</v>
      </c>
      <c r="K11" s="17">
        <f>SUM(K8:K10)</f>
        <v>0</v>
      </c>
      <c r="L11" s="7"/>
      <c r="M11" s="13"/>
      <c r="N11" s="7"/>
      <c r="O11" s="17">
        <f>SUM(O8:O10)</f>
        <v>0</v>
      </c>
      <c r="P11" s="32"/>
      <c r="Q11" s="17">
        <f>SUM(Q8:Q10)</f>
        <v>0</v>
      </c>
      <c r="R11" s="17">
        <f>SUM(R8:R10)</f>
        <v>0</v>
      </c>
      <c r="S11" s="17">
        <f>SUM(S8:S10)</f>
        <v>0</v>
      </c>
      <c r="T11" s="11"/>
      <c r="U11" s="12"/>
      <c r="V11" s="41">
        <f>SUM(V8:V10)</f>
        <v>0</v>
      </c>
      <c r="W11" s="17">
        <f>SUM(W8:W10)</f>
        <v>0</v>
      </c>
      <c r="X11" s="17">
        <f>SUM(X8:X10)</f>
        <v>0</v>
      </c>
      <c r="Y11" s="17">
        <f>SUM(Y8:Y10)</f>
        <v>0</v>
      </c>
      <c r="Z11" s="17">
        <f>SUM(Z8:Z10)</f>
        <v>0</v>
      </c>
      <c r="AA11" s="22"/>
      <c r="AB11" s="22"/>
      <c r="AC11" s="17">
        <f>SUM(AC8:AC10)</f>
        <v>0</v>
      </c>
      <c r="AE11" s="17">
        <f>SUM(AE8:AE10)</f>
      </c>
      <c r="AF11" s="17">
        <f>SUM(AF8:AF10)</f>
      </c>
      <c r="AG11" s="17">
        <f>SUM(AG8:AG10)</f>
      </c>
      <c r="AH11" s="17">
        <f>SUM(AH8:AH10)</f>
      </c>
      <c r="AI11" s="17">
        <f>SUM(AI8:AI10)</f>
      </c>
    </row>
    <row r="12" spans="1:35" ht="6" customHeight="1" x14ac:dyDescent="0.15">
      <c r="A12" s="101"/>
      <c r="B12" s="37"/>
      <c r="C12" s="76"/>
      <c r="D12" s="38"/>
      <c r="E12" s="7"/>
      <c r="F12" s="7"/>
      <c r="G12" s="7"/>
      <c r="H12" s="13"/>
      <c r="I12" s="7"/>
      <c r="J12" s="7"/>
      <c r="K12" s="7"/>
      <c r="L12" s="7"/>
      <c r="M12" s="13"/>
      <c r="N12" s="7"/>
      <c r="O12" s="7"/>
      <c r="P12" s="32"/>
      <c r="Q12" s="7"/>
      <c r="R12" s="7"/>
      <c r="S12" s="7"/>
      <c r="T12" s="11"/>
      <c r="U12" s="12"/>
      <c r="V12" s="7"/>
      <c r="W12" s="7"/>
      <c r="X12" s="7"/>
      <c r="Y12" s="7"/>
      <c r="Z12" s="7"/>
      <c r="AA12" s="22"/>
    </row>
    <row r="13" spans="1:35" x14ac:dyDescent="0.15">
      <c r="A13" s="101"/>
      <c r="B13" s="122" t="s">
        <v>9</v>
      </c>
      <c r="C13" s="122"/>
      <c r="D13" s="32"/>
      <c r="E13" s="7"/>
      <c r="F13" s="7"/>
      <c r="G13" s="7"/>
      <c r="H13" s="29">
        <f>[1]Admin!$G$14</f>
        <v>0.1</v>
      </c>
      <c r="I13" s="7"/>
      <c r="J13" s="7"/>
      <c r="K13" s="7"/>
      <c r="L13" s="7"/>
      <c r="M13" s="13"/>
      <c r="N13" s="7"/>
      <c r="O13" s="11"/>
      <c r="P13" s="88"/>
      <c r="Q13" s="11"/>
      <c r="R13" s="11"/>
      <c r="S13" s="11"/>
      <c r="T13" s="11"/>
      <c r="U13" s="12"/>
      <c r="V13" s="7"/>
      <c r="W13" s="7"/>
      <c r="X13" s="7"/>
      <c r="Y13" s="11"/>
      <c r="Z13" s="11"/>
      <c r="AA13" s="22"/>
    </row>
    <row r="14" spans="1:35" x14ac:dyDescent="0.15">
      <c r="A14" s="101"/>
      <c r="B14" s="42"/>
      <c r="C14" s="75"/>
      <c r="D14" s="43"/>
      <c r="E14" s="44"/>
      <c r="F14" s="44"/>
      <c r="G14" s="7" t="str">
        <f>IF(E14&gt;0,E14-F14," ")</f>
        <v xml:space="preserve"> </v>
      </c>
      <c r="H14" s="13">
        <f>H$13</f>
        <v>0.1</v>
      </c>
      <c r="I14" s="7" t="str">
        <f>IF(E14&gt;0,MIN(E14*H14,G14)," ")</f>
        <v xml:space="preserve"> </v>
      </c>
      <c r="J14" s="7" t="str">
        <f>IF(E14&gt;0,F14+I14," ")</f>
        <v xml:space="preserve"> </v>
      </c>
      <c r="K14" s="7" t="str">
        <f>IF(E14&gt;0,IF(V14&gt;0,0,E14-J14)," ")</f>
        <v xml:space="preserve"> </v>
      </c>
      <c r="L14" s="7"/>
      <c r="M14" s="13"/>
      <c r="N14" s="7"/>
      <c r="O14" s="45"/>
      <c r="P14" s="88"/>
      <c r="Q14" s="11"/>
      <c r="R14" s="11" t="str">
        <f>IF(AND(O14&gt;0,AB14&lt;&gt;"S"),O14*R$4," ")</f>
        <v xml:space="preserve"> </v>
      </c>
      <c r="S14" s="11" t="str">
        <f>IF(O14&gt;0,O14-N(R14)-N(AC14)," ")</f>
        <v xml:space="preserve"> </v>
      </c>
      <c r="T14" s="11"/>
      <c r="U14" s="42"/>
      <c r="V14" s="44"/>
      <c r="W14" s="7" t="str">
        <f>IF(V14&gt;0,E14," ")</f>
        <v xml:space="preserve"> </v>
      </c>
      <c r="X14" s="7" t="str">
        <f>IF(V14&gt;0,J14," ")</f>
        <v xml:space="preserve"> </v>
      </c>
      <c r="Y14" s="11" t="str">
        <f>IF((U14+V14)&gt;0,IF(V14&lt;S14,S14-V14," ")," ")</f>
        <v xml:space="preserve"> </v>
      </c>
      <c r="Z14" s="11" t="str">
        <f>IF((U14+V14)&gt;0,IF(V14&gt;S14,V14-S14," ")," ")</f>
        <v xml:space="preserve"> </v>
      </c>
      <c r="AA14" s="22"/>
      <c r="AB14" s="42"/>
      <c r="AC14" s="11" t="str">
        <f>IF(AND(O14&gt;0,AB14="S"),O14*AC$4," ")</f>
        <v xml:space="preserve"> </v>
      </c>
      <c r="AE14" s="11" t="str">
        <f>IF(AND(AD14="P",AB14&lt;&gt;"S"),N(R14)," ")</f>
      </c>
      <c r="AF14" s="11" t="str">
        <f>IF(AND(AD14="P",AB14="S"),N(AC14)," ")</f>
      </c>
      <c r="AG14" s="11" t="str">
        <f>IF(AD14="P",N(S14)," ")</f>
      </c>
      <c r="AH14" s="11" t="str">
        <f>IF(AND(AD14&lt;&gt;"P",AB14&lt;&gt;"S"),N(S14)," ")</f>
      </c>
      <c r="AI14" s="11" t="str">
        <f>IF(AND(AD14&lt;&gt;"P",AB14="S"),N(S14)," ")</f>
      </c>
    </row>
    <row r="15" spans="1:35" x14ac:dyDescent="0.15">
      <c r="A15" s="101"/>
      <c r="B15" s="42"/>
      <c r="C15" s="75"/>
      <c r="D15" s="43"/>
      <c r="E15" s="44"/>
      <c r="F15" s="44"/>
      <c r="G15" s="7" t="str">
        <f>IF(E15&gt;0,E15-F15," ")</f>
        <v xml:space="preserve"> </v>
      </c>
      <c r="H15" s="13">
        <f>H$13</f>
        <v>0.1</v>
      </c>
      <c r="I15" s="7" t="str">
        <f>IF(E15&gt;0,MIN(E15*H15,G15)," ")</f>
        <v xml:space="preserve"> </v>
      </c>
      <c r="J15" s="7" t="str">
        <f>IF(E15&gt;0,F15+I15," ")</f>
        <v xml:space="preserve"> </v>
      </c>
      <c r="K15" s="7" t="str">
        <f>IF(E15&gt;0,IF(V15&gt;0,0,E15-J15)," ")</f>
        <v xml:space="preserve"> </v>
      </c>
      <c r="L15" s="7"/>
      <c r="M15" s="13"/>
      <c r="N15" s="7"/>
      <c r="O15" s="45"/>
      <c r="P15" s="88"/>
      <c r="Q15" s="11"/>
      <c r="R15" s="11" t="str">
        <f>IF(AND(O15&gt;0,AB15&lt;&gt;"S"),O15*R$4," ")</f>
        <v xml:space="preserve"> </v>
      </c>
      <c r="S15" s="11" t="str">
        <f>IF(O15&gt;0,O15-N(R15)-N(AC15)," ")</f>
        <v xml:space="preserve"> </v>
      </c>
      <c r="T15" s="11"/>
      <c r="U15" s="42"/>
      <c r="V15" s="44"/>
      <c r="W15" s="7" t="str">
        <f>IF(V15&gt;0,E15," ")</f>
        <v xml:space="preserve"> </v>
      </c>
      <c r="X15" s="7" t="str">
        <f>IF(V15&gt;0,J15," ")</f>
        <v xml:space="preserve"> </v>
      </c>
      <c r="Y15" s="11" t="str">
        <f>IF((U15+V15)&gt;0,IF(V15&lt;S15,S15-V15," ")," ")</f>
        <v xml:space="preserve"> </v>
      </c>
      <c r="Z15" s="11" t="str">
        <f>IF((U15+V15)&gt;0,IF(V15&gt;S15,V15-S15," ")," ")</f>
        <v xml:space="preserve"> </v>
      </c>
      <c r="AA15" s="22"/>
      <c r="AB15" s="42"/>
      <c r="AC15" s="11" t="str">
        <f>IF(AND(O15&gt;0,AB15="S"),O15*AC$4," ")</f>
        <v xml:space="preserve"> </v>
      </c>
      <c r="AE15" s="11" t="str">
        <f>IF(AND(AD15="P",AB15&lt;&gt;"S"),N(R15)," ")</f>
      </c>
      <c r="AF15" s="11" t="str">
        <f>IF(AND(AD15="P",AB15="S"),N(AC15)," ")</f>
      </c>
      <c r="AG15" s="11" t="str">
        <f>IF(AD15="P",N(S15)," ")</f>
      </c>
      <c r="AH15" s="11" t="str">
        <f>IF(AND(AD15&lt;&gt;"P",AB15&lt;&gt;"S"),N(S15)," ")</f>
      </c>
      <c r="AI15" s="11" t="str">
        <f>IF(AND(AD15&lt;&gt;"P",AB15="S"),N(S15)," ")</f>
      </c>
    </row>
    <row r="16" spans="1:35" x14ac:dyDescent="0.15">
      <c r="A16" s="101"/>
      <c r="B16" s="42"/>
      <c r="C16" s="75"/>
      <c r="D16" s="43"/>
      <c r="E16" s="44"/>
      <c r="F16" s="44"/>
      <c r="G16" s="7" t="str">
        <f>IF(E16&gt;0,E16-F16," ")</f>
        <v xml:space="preserve"> </v>
      </c>
      <c r="H16" s="13">
        <f>H$13</f>
        <v>0.1</v>
      </c>
      <c r="I16" s="7" t="str">
        <f>IF(E16&gt;0,MIN(E16*H16,G16)," ")</f>
        <v xml:space="preserve"> </v>
      </c>
      <c r="J16" s="7" t="str">
        <f>IF(E16&gt;0,F16+I16," ")</f>
        <v xml:space="preserve"> </v>
      </c>
      <c r="K16" s="7" t="str">
        <f>IF(E16&gt;0,IF(V16&gt;0,0,E16-J16)," ")</f>
        <v xml:space="preserve"> </v>
      </c>
      <c r="L16" s="7"/>
      <c r="M16" s="13"/>
      <c r="N16" s="7"/>
      <c r="O16" s="45"/>
      <c r="P16" s="88"/>
      <c r="Q16" s="11"/>
      <c r="R16" s="11" t="str">
        <f>IF(AND(O16&gt;0,AB16&lt;&gt;"S"),O16*R$4," ")</f>
        <v xml:space="preserve"> </v>
      </c>
      <c r="S16" s="11" t="str">
        <f>IF(O16&gt;0,O16-N(R16)-N(AC16)," ")</f>
        <v xml:space="preserve"> </v>
      </c>
      <c r="T16" s="11"/>
      <c r="U16" s="42"/>
      <c r="V16" s="44"/>
      <c r="W16" s="7" t="str">
        <f>IF(V16&gt;0,E16," ")</f>
        <v xml:space="preserve"> </v>
      </c>
      <c r="X16" s="7" t="str">
        <f>IF(V16&gt;0,J16," ")</f>
        <v xml:space="preserve"> </v>
      </c>
      <c r="Y16" s="11" t="str">
        <f>IF((U16+V16)&gt;0,IF(V16&lt;S16,S16-V16," ")," ")</f>
        <v xml:space="preserve"> </v>
      </c>
      <c r="Z16" s="11" t="str">
        <f>IF((U16+V16)&gt;0,IF(V16&gt;S16,V16-S16," ")," ")</f>
        <v xml:space="preserve"> </v>
      </c>
      <c r="AA16" s="22"/>
      <c r="AB16" s="42"/>
      <c r="AC16" s="11" t="str">
        <f>IF(AND(O16&gt;0,AB16="S"),O16*AC$4," ")</f>
        <v xml:space="preserve"> </v>
      </c>
      <c r="AE16" s="11" t="str">
        <f>IF(AND(AD16="P",AB16&lt;&gt;"S"),N(R16)," ")</f>
      </c>
      <c r="AF16" s="11" t="str">
        <f>IF(AND(AD16="P",AB16="S"),N(AC16)," ")</f>
      </c>
      <c r="AG16" s="11" t="str">
        <f>IF(AD16="P",N(S16)," ")</f>
      </c>
      <c r="AH16" s="11" t="str">
        <f>IF(AND(AD16&lt;&gt;"P",AB16&lt;&gt;"S"),N(S16)," ")</f>
      </c>
      <c r="AI16" s="11" t="str">
        <f>IF(AND(AD16&lt;&gt;"P",AB16="S"),N(S16)," ")</f>
      </c>
    </row>
    <row r="17" spans="1:35" x14ac:dyDescent="0.15">
      <c r="A17" s="101"/>
      <c r="B17" s="42"/>
      <c r="C17" s="75"/>
      <c r="D17" s="43"/>
      <c r="E17" s="44"/>
      <c r="F17" s="44"/>
      <c r="G17" s="7" t="str">
        <f>IF(E17&gt;0,E17-F17," ")</f>
        <v xml:space="preserve"> </v>
      </c>
      <c r="H17" s="13">
        <f>H$13</f>
        <v>0.1</v>
      </c>
      <c r="I17" s="7" t="str">
        <f>IF(E17&gt;0,MIN(E17*H17,G17)," ")</f>
        <v xml:space="preserve"> </v>
      </c>
      <c r="J17" s="7" t="str">
        <f>IF(E17&gt;0,F17+I17," ")</f>
        <v xml:space="preserve"> </v>
      </c>
      <c r="K17" s="7" t="str">
        <f>IF(E17&gt;0,IF(V17&gt;0,0,E17-J17)," ")</f>
        <v xml:space="preserve"> </v>
      </c>
      <c r="L17" s="7"/>
      <c r="M17" s="13"/>
      <c r="N17" s="7"/>
      <c r="O17" s="45"/>
      <c r="P17" s="88"/>
      <c r="Q17" s="11"/>
      <c r="R17" s="11" t="str">
        <f>IF(AND(O17&gt;0,AB17&lt;&gt;"S"),O17*R$4," ")</f>
        <v xml:space="preserve"> </v>
      </c>
      <c r="S17" s="11" t="str">
        <f>IF(O17&gt;0,O17-N(R17)-N(AC17)," ")</f>
        <v xml:space="preserve"> </v>
      </c>
      <c r="T17" s="11"/>
      <c r="U17" s="42"/>
      <c r="V17" s="44"/>
      <c r="W17" s="7" t="str">
        <f>IF(V17&gt;0,E17," ")</f>
        <v xml:space="preserve"> </v>
      </c>
      <c r="X17" s="7" t="str">
        <f>IF(V17&gt;0,J17," ")</f>
        <v xml:space="preserve"> </v>
      </c>
      <c r="Y17" s="11" t="str">
        <f>IF((U17+V17)&gt;0,IF(V17&lt;S17,S17-V17," ")," ")</f>
        <v xml:space="preserve"> </v>
      </c>
      <c r="Z17" s="11" t="str">
        <f>IF((U17+V17)&gt;0,IF(V17&gt;S17,V17-S17," ")," ")</f>
        <v xml:space="preserve"> </v>
      </c>
      <c r="AA17" s="22"/>
      <c r="AB17" s="42"/>
      <c r="AC17" s="11" t="str">
        <f>IF(AND(O17&gt;0,AB17="S"),O17*AC$4," ")</f>
        <v xml:space="preserve"> </v>
      </c>
      <c r="AE17" s="11" t="str">
        <f>IF(AND(AD17="P",AB17&lt;&gt;"S"),N(R17)," ")</f>
      </c>
      <c r="AF17" s="11" t="str">
        <f>IF(AND(AD17="P",AB17="S"),N(AC17)," ")</f>
      </c>
      <c r="AG17" s="11" t="str">
        <f>IF(AD17="P",N(S17)," ")</f>
      </c>
      <c r="AH17" s="11" t="str">
        <f>IF(AND(AD17&lt;&gt;"P",AB17&lt;&gt;"S"),N(S17)," ")</f>
      </c>
      <c r="AI17" s="11" t="str">
        <f>IF(AND(AD17&lt;&gt;"P",AB17="S"),N(S17)," ")</f>
      </c>
    </row>
    <row r="18" spans="1:35" x14ac:dyDescent="0.15">
      <c r="A18" s="101"/>
      <c r="B18" s="42"/>
      <c r="C18" s="75"/>
      <c r="D18" s="43"/>
      <c r="E18" s="44"/>
      <c r="F18" s="44"/>
      <c r="G18" s="7" t="str">
        <f>IF(E18&gt;0,E18-F18," ")</f>
        <v xml:space="preserve"> </v>
      </c>
      <c r="H18" s="13">
        <f>H$13</f>
        <v>0.1</v>
      </c>
      <c r="I18" s="7" t="str">
        <f>IF(E18&gt;0,MIN(E18*H18,G18)," ")</f>
        <v xml:space="preserve"> </v>
      </c>
      <c r="J18" s="7" t="str">
        <f>IF(E18&gt;0,F18+I18," ")</f>
        <v xml:space="preserve"> </v>
      </c>
      <c r="K18" s="7" t="str">
        <f>IF(E18&gt;0,IF(V18&gt;0,0,E18-J18)," ")</f>
        <v xml:space="preserve"> </v>
      </c>
      <c r="L18" s="7"/>
      <c r="M18" s="13"/>
      <c r="N18" s="7"/>
      <c r="O18" s="45"/>
      <c r="P18" s="88"/>
      <c r="Q18" s="11"/>
      <c r="R18" s="11" t="str">
        <f>IF(AND(O18&gt;0,AB18&lt;&gt;"S"),O18*R$4," ")</f>
        <v xml:space="preserve"> </v>
      </c>
      <c r="S18" s="11" t="str">
        <f>IF(O18&gt;0,O18-N(R18)-N(AC18)," ")</f>
        <v xml:space="preserve"> </v>
      </c>
      <c r="T18" s="11"/>
      <c r="U18" s="42"/>
      <c r="V18" s="44"/>
      <c r="W18" s="7" t="str">
        <f>IF(V18&gt;0,E18," ")</f>
        <v xml:space="preserve"> </v>
      </c>
      <c r="X18" s="7" t="str">
        <f>IF(V18&gt;0,J18," ")</f>
        <v xml:space="preserve"> </v>
      </c>
      <c r="Y18" s="11" t="str">
        <f>IF((U18+V18)&gt;0,IF(V18&lt;S18,S18-V18," ")," ")</f>
        <v xml:space="preserve"> </v>
      </c>
      <c r="Z18" s="11" t="str">
        <f>IF((U18+V18)&gt;0,IF(V18&gt;S18,V18-S18," ")," ")</f>
        <v xml:space="preserve"> </v>
      </c>
      <c r="AA18" s="22"/>
      <c r="AB18" s="42"/>
      <c r="AC18" s="11" t="str">
        <f>IF(AND(O18&gt;0,AB18="S"),O18*AC$4," ")</f>
        <v xml:space="preserve"> </v>
      </c>
      <c r="AE18" s="11" t="str">
        <f>IF(AND(AD18="P",AB18&lt;&gt;"S"),N(R18)," ")</f>
      </c>
      <c r="AF18" s="11" t="str">
        <f>IF(AND(AD18="P",AB18="S"),N(AC18)," ")</f>
      </c>
      <c r="AG18" s="11" t="str">
        <f>IF(AD18="P",N(S18)," ")</f>
      </c>
      <c r="AH18" s="11" t="str">
        <f>IF(AND(AD18&lt;&gt;"P",AB18&lt;&gt;"S"),N(S18)," ")</f>
      </c>
      <c r="AI18" s="11" t="str">
        <f>IF(AND(AD18&lt;&gt;"P",AB18="S"),N(S18)," ")</f>
      </c>
    </row>
    <row r="19" spans="1:35" x14ac:dyDescent="0.15">
      <c r="A19" s="101"/>
      <c r="B19" s="117" t="s">
        <v>68</v>
      </c>
      <c r="C19" s="118"/>
      <c r="D19" s="119"/>
      <c r="E19" s="41">
        <f>SUM(E14:E18)</f>
        <v>0</v>
      </c>
      <c r="F19" s="41">
        <f>SUM(F14:F18)</f>
        <v>0</v>
      </c>
      <c r="G19" s="17">
        <f>SUM(G14:G18)</f>
        <v>0</v>
      </c>
      <c r="H19" s="13"/>
      <c r="I19" s="17">
        <f>SUM(I14:I18)</f>
        <v>0</v>
      </c>
      <c r="J19" s="17">
        <f>SUM(J14:J18)</f>
        <v>0</v>
      </c>
      <c r="K19" s="17">
        <f>SUM(K14:K18)</f>
        <v>0</v>
      </c>
      <c r="L19" s="7"/>
      <c r="M19" s="13"/>
      <c r="N19" s="7"/>
      <c r="O19" s="17">
        <f>SUM(O14:O18)</f>
        <v>0</v>
      </c>
      <c r="P19" s="32"/>
      <c r="Q19" s="17">
        <f>SUM(Q14:Q18)</f>
        <v>0</v>
      </c>
      <c r="R19" s="17">
        <f>SUM(R14:R18)</f>
        <v>0</v>
      </c>
      <c r="S19" s="17">
        <f>SUM(S14:S18)</f>
        <v>0</v>
      </c>
      <c r="T19" s="11"/>
      <c r="U19" s="12"/>
      <c r="V19" s="41">
        <f>SUM(V14:V18)</f>
        <v>0</v>
      </c>
      <c r="W19" s="17">
        <f>SUM(W14:W18)</f>
        <v>0</v>
      </c>
      <c r="X19" s="17">
        <f>SUM(X14:X18)</f>
        <v>0</v>
      </c>
      <c r="Y19" s="17">
        <f>SUM(Y14:Y18)</f>
        <v>0</v>
      </c>
      <c r="Z19" s="17">
        <f>SUM(Z14:Z18)</f>
        <v>0</v>
      </c>
      <c r="AA19" s="22"/>
      <c r="AB19" s="22"/>
      <c r="AC19" s="17">
        <f>SUM(AC14:AC18)</f>
        <v>0</v>
      </c>
      <c r="AE19" s="17">
        <f>SUM(AE14:AE18)</f>
      </c>
      <c r="AF19" s="17">
        <f>SUM(AF14:AF18)</f>
      </c>
      <c r="AG19" s="17">
        <f>SUM(AG14:AG18)</f>
      </c>
      <c r="AH19" s="17">
        <f>SUM(AH14:AH18)</f>
      </c>
      <c r="AI19" s="17">
        <f>SUM(AI14:AI18)</f>
      </c>
    </row>
    <row r="20" spans="1:35" ht="6" customHeight="1" x14ac:dyDescent="0.15">
      <c r="A20" s="101"/>
      <c r="B20" s="37"/>
      <c r="C20" s="76"/>
      <c r="D20" s="38"/>
      <c r="E20" s="7"/>
      <c r="F20" s="7"/>
      <c r="G20" s="7"/>
      <c r="H20" s="13"/>
      <c r="I20" s="7"/>
      <c r="J20" s="7"/>
      <c r="K20" s="7"/>
      <c r="L20" s="7"/>
      <c r="M20" s="13"/>
      <c r="N20" s="7"/>
      <c r="O20" s="7"/>
      <c r="P20" s="32"/>
      <c r="Q20" s="7"/>
      <c r="R20" s="7"/>
      <c r="S20" s="7"/>
      <c r="T20" s="11"/>
      <c r="U20" s="12"/>
      <c r="V20" s="7"/>
      <c r="W20" s="7"/>
      <c r="X20" s="7"/>
      <c r="Y20" s="7"/>
      <c r="Z20" s="7"/>
      <c r="AA20" s="22"/>
    </row>
    <row r="21" spans="1:35" x14ac:dyDescent="0.15">
      <c r="A21" s="101"/>
      <c r="B21" s="122" t="s">
        <v>55</v>
      </c>
      <c r="C21" s="122"/>
      <c r="D21" s="32"/>
      <c r="E21" s="7"/>
      <c r="F21" s="7"/>
      <c r="G21" s="7"/>
      <c r="H21" s="29">
        <f>[1]Admin!$G$15</f>
        <v>0.2</v>
      </c>
      <c r="I21" s="7"/>
      <c r="J21" s="7"/>
      <c r="K21" s="7"/>
      <c r="L21" s="7"/>
      <c r="M21" s="13"/>
      <c r="N21" s="7"/>
      <c r="O21" s="11"/>
      <c r="P21" s="88"/>
      <c r="Q21" s="11"/>
      <c r="R21" s="11"/>
      <c r="S21" s="11"/>
      <c r="T21" s="11"/>
      <c r="U21" s="12"/>
      <c r="V21" s="7"/>
      <c r="W21" s="7"/>
      <c r="X21" s="7"/>
      <c r="Y21" s="11"/>
      <c r="Z21" s="11"/>
      <c r="AA21" s="22"/>
    </row>
    <row r="22" spans="1:35" x14ac:dyDescent="0.15">
      <c r="A22" s="101"/>
      <c r="B22" s="42"/>
      <c r="C22" s="75"/>
      <c r="D22" s="43"/>
      <c r="E22" s="44"/>
      <c r="F22" s="44"/>
      <c r="G22" s="7" t="str">
        <f>IF(E22&gt;0,E22-F22," ")</f>
        <v xml:space="preserve"> </v>
      </c>
      <c r="H22" s="13">
        <f>H$21</f>
        <v>0.2</v>
      </c>
      <c r="I22" s="7" t="str">
        <f>IF(E22&gt;0,MIN(E22*H22,G22)," ")</f>
        <v xml:space="preserve"> </v>
      </c>
      <c r="J22" s="7" t="str">
        <f>IF(E22&gt;0,F22+I22," ")</f>
        <v xml:space="preserve"> </v>
      </c>
      <c r="K22" s="7" t="str">
        <f>IF(E22&gt;0,IF(V22&gt;0,0,E22-J22)," ")</f>
        <v xml:space="preserve"> </v>
      </c>
      <c r="L22" s="7"/>
      <c r="M22" s="13"/>
      <c r="N22" s="7"/>
      <c r="O22" s="45"/>
      <c r="P22" s="88"/>
      <c r="Q22" s="11"/>
      <c r="R22" s="11" t="str">
        <f>IF(AND(O22&gt;0,AB22&lt;&gt;"S"),O22*R$4," ")</f>
        <v xml:space="preserve"> </v>
      </c>
      <c r="S22" s="11" t="str">
        <f>IF(O22&gt;0,O22-N(R22)-N(AC22)," ")</f>
        <v xml:space="preserve"> </v>
      </c>
      <c r="T22" s="11"/>
      <c r="U22" s="42"/>
      <c r="V22" s="44"/>
      <c r="W22" s="7" t="str">
        <f>IF(V22&gt;0,E22," ")</f>
        <v xml:space="preserve"> </v>
      </c>
      <c r="X22" s="7" t="str">
        <f>IF(V22&gt;0,J22," ")</f>
        <v xml:space="preserve"> </v>
      </c>
      <c r="Y22" s="11" t="str">
        <f>IF((U22+V22)&gt;0,IF(V22&lt;S22,S22-V22," ")," ")</f>
        <v xml:space="preserve"> </v>
      </c>
      <c r="Z22" s="11" t="str">
        <f>IF((U22+V22)&gt;0,IF(V22&gt;S22,V22-S22," ")," ")</f>
        <v xml:space="preserve"> </v>
      </c>
      <c r="AA22" s="22"/>
      <c r="AB22" s="42"/>
      <c r="AC22" s="11" t="str">
        <f>IF(AND(O22&gt;0,AB22="S"),O22*AC$4," ")</f>
        <v xml:space="preserve"> </v>
      </c>
      <c r="AE22" s="11" t="str">
        <f>IF(AND(AD22="P",AB22&lt;&gt;"S"),N(R22)," ")</f>
      </c>
      <c r="AF22" s="11" t="str">
        <f>IF(AND(AD22="P",AB22="S"),N(AC22)," ")</f>
      </c>
      <c r="AG22" s="11" t="str">
        <f>IF(AD22="P",N(S22)," ")</f>
      </c>
      <c r="AH22" s="11" t="str">
        <f>IF(AND(AD22&lt;&gt;"P",AB22&lt;&gt;"S"),N(S22)," ")</f>
      </c>
      <c r="AI22" s="11" t="str">
        <f>IF(AND(AD22&lt;&gt;"P",AB22="S"),N(S22)," ")</f>
      </c>
    </row>
    <row r="23" spans="1:35" x14ac:dyDescent="0.15">
      <c r="A23" s="101"/>
      <c r="B23" s="42"/>
      <c r="C23" s="75"/>
      <c r="D23" s="43"/>
      <c r="E23" s="44"/>
      <c r="F23" s="44"/>
      <c r="G23" s="7" t="str">
        <f>IF(E23&gt;0,E23-F23," ")</f>
        <v xml:space="preserve"> </v>
      </c>
      <c r="H23" s="13">
        <f>H$21</f>
        <v>0.2</v>
      </c>
      <c r="I23" s="7" t="str">
        <f>IF(E23&gt;0,MIN(E23*H23,G23)," ")</f>
        <v xml:space="preserve"> </v>
      </c>
      <c r="J23" s="7" t="str">
        <f>IF(E23&gt;0,F23+I23," ")</f>
        <v xml:space="preserve"> </v>
      </c>
      <c r="K23" s="7" t="str">
        <f>IF(E23&gt;0,IF(V23&gt;0,0,E23-J23)," ")</f>
        <v xml:space="preserve"> </v>
      </c>
      <c r="L23" s="7"/>
      <c r="M23" s="13"/>
      <c r="N23" s="7"/>
      <c r="O23" s="45"/>
      <c r="P23" s="88"/>
      <c r="Q23" s="11"/>
      <c r="R23" s="11" t="str">
        <f>IF(AND(O23&gt;0,AB23&lt;&gt;"S"),O23*R$4," ")</f>
        <v xml:space="preserve"> </v>
      </c>
      <c r="S23" s="11" t="str">
        <f>IF(O23&gt;0,O23-N(R23)-N(AC23)," ")</f>
        <v xml:space="preserve"> </v>
      </c>
      <c r="T23" s="11"/>
      <c r="U23" s="42"/>
      <c r="V23" s="44"/>
      <c r="W23" s="7" t="str">
        <f>IF(V23&gt;0,E23," ")</f>
        <v xml:space="preserve"> </v>
      </c>
      <c r="X23" s="7" t="str">
        <f>IF(V23&gt;0,J23," ")</f>
        <v xml:space="preserve"> </v>
      </c>
      <c r="Y23" s="11" t="str">
        <f>IF((U23+V23)&gt;0,IF(V23&lt;S23,S23-V23," ")," ")</f>
        <v xml:space="preserve"> </v>
      </c>
      <c r="Z23" s="11" t="str">
        <f>IF((U23+V23)&gt;0,IF(V23&gt;S23,V23-S23," ")," ")</f>
        <v xml:space="preserve"> </v>
      </c>
      <c r="AA23" s="22"/>
      <c r="AB23" s="42"/>
      <c r="AC23" s="11" t="str">
        <f>IF(AND(O23&gt;0,AB23="S"),O23*AC$4," ")</f>
        <v xml:space="preserve"> </v>
      </c>
      <c r="AE23" s="11" t="str">
        <f>IF(AND(AD23="P",AB23&lt;&gt;"S"),N(R23)," ")</f>
      </c>
      <c r="AF23" s="11" t="str">
        <f>IF(AND(AD23="P",AB23="S"),N(AC23)," ")</f>
      </c>
      <c r="AG23" s="11" t="str">
        <f>IF(AD23="P",N(S23)," ")</f>
      </c>
      <c r="AH23" s="11" t="str">
        <f>IF(AND(AD23&lt;&gt;"P",AB23&lt;&gt;"S"),N(S23)," ")</f>
      </c>
      <c r="AI23" s="11" t="str">
        <f>IF(AND(AD23&lt;&gt;"P",AB23="S"),N(S23)," ")</f>
      </c>
    </row>
    <row r="24" spans="1:35" x14ac:dyDescent="0.15">
      <c r="A24" s="101"/>
      <c r="B24" s="42"/>
      <c r="C24" s="75"/>
      <c r="D24" s="43"/>
      <c r="E24" s="44"/>
      <c r="F24" s="44"/>
      <c r="G24" s="7" t="str">
        <f>IF(E24&gt;0,E24-F24," ")</f>
        <v xml:space="preserve"> </v>
      </c>
      <c r="H24" s="13">
        <f>H$21</f>
        <v>0.2</v>
      </c>
      <c r="I24" s="7" t="str">
        <f>IF(E24&gt;0,MIN(E24*H24,G24)," ")</f>
        <v xml:space="preserve"> </v>
      </c>
      <c r="J24" s="7" t="str">
        <f>IF(E24&gt;0,F24+I24," ")</f>
        <v xml:space="preserve"> </v>
      </c>
      <c r="K24" s="7" t="str">
        <f>IF(E24&gt;0,IF(V24&gt;0,0,E24-J24)," ")</f>
        <v xml:space="preserve"> </v>
      </c>
      <c r="L24" s="7"/>
      <c r="M24" s="13"/>
      <c r="N24" s="7"/>
      <c r="O24" s="45"/>
      <c r="P24" s="88"/>
      <c r="Q24" s="11"/>
      <c r="R24" s="11" t="str">
        <f>IF(AND(O24&gt;0,AB24&lt;&gt;"S"),O24*R$4," ")</f>
        <v xml:space="preserve"> </v>
      </c>
      <c r="S24" s="11" t="str">
        <f>IF(O24&gt;0,O24-N(R24)-N(AC24)," ")</f>
        <v xml:space="preserve"> </v>
      </c>
      <c r="T24" s="11"/>
      <c r="U24" s="42"/>
      <c r="V24" s="44"/>
      <c r="W24" s="7" t="str">
        <f>IF(V24&gt;0,E24," ")</f>
        <v xml:space="preserve"> </v>
      </c>
      <c r="X24" s="7" t="str">
        <f>IF(V24&gt;0,J24," ")</f>
        <v xml:space="preserve"> </v>
      </c>
      <c r="Y24" s="11" t="str">
        <f>IF((U24+V24)&gt;0,IF(V24&lt;S24,S24-V24," ")," ")</f>
        <v xml:space="preserve"> </v>
      </c>
      <c r="Z24" s="11" t="str">
        <f>IF((U24+V24)&gt;0,IF(V24&gt;S24,V24-S24," ")," ")</f>
        <v xml:space="preserve"> </v>
      </c>
      <c r="AA24" s="22"/>
      <c r="AB24" s="42"/>
      <c r="AC24" s="11" t="str">
        <f>IF(AND(O24&gt;0,AB24="S"),O24*AC$4," ")</f>
        <v xml:space="preserve"> </v>
      </c>
      <c r="AE24" s="11" t="str">
        <f>IF(AND(AD24="P",AB24&lt;&gt;"S"),N(R24)," ")</f>
      </c>
      <c r="AF24" s="11" t="str">
        <f>IF(AND(AD24="P",AB24="S"),N(AC24)," ")</f>
      </c>
      <c r="AG24" s="11" t="str">
        <f>IF(AD24="P",N(S24)," ")</f>
      </c>
      <c r="AH24" s="11" t="str">
        <f>IF(AND(AD24&lt;&gt;"P",AB24&lt;&gt;"S"),N(S24)," ")</f>
      </c>
      <c r="AI24" s="11" t="str">
        <f>IF(AND(AD24&lt;&gt;"P",AB24="S"),N(S24)," ")</f>
      </c>
    </row>
    <row r="25" spans="1:35" x14ac:dyDescent="0.15">
      <c r="A25" s="101"/>
      <c r="B25" s="42"/>
      <c r="C25" s="75"/>
      <c r="D25" s="43"/>
      <c r="E25" s="44"/>
      <c r="F25" s="44"/>
      <c r="G25" s="7" t="str">
        <f>IF(E25&gt;0,E25-F25," ")</f>
        <v xml:space="preserve"> </v>
      </c>
      <c r="H25" s="13">
        <f>H$21</f>
        <v>0.2</v>
      </c>
      <c r="I25" s="7" t="str">
        <f>IF(E25&gt;0,MIN(E25*H25,G25)," ")</f>
        <v xml:space="preserve"> </v>
      </c>
      <c r="J25" s="7" t="str">
        <f>IF(E25&gt;0,F25+I25," ")</f>
        <v xml:space="preserve"> </v>
      </c>
      <c r="K25" s="7" t="str">
        <f>IF(E25&gt;0,IF(V25&gt;0,0,E25-J25)," ")</f>
        <v xml:space="preserve"> </v>
      </c>
      <c r="L25" s="7"/>
      <c r="M25" s="13"/>
      <c r="N25" s="7"/>
      <c r="O25" s="45"/>
      <c r="P25" s="88"/>
      <c r="Q25" s="11"/>
      <c r="R25" s="11" t="str">
        <f>IF(AND(O25&gt;0,AB25&lt;&gt;"S"),O25*R$4," ")</f>
        <v xml:space="preserve"> </v>
      </c>
      <c r="S25" s="11" t="str">
        <f>IF(O25&gt;0,O25-N(R25)-N(AC25)," ")</f>
        <v xml:space="preserve"> </v>
      </c>
      <c r="T25" s="11"/>
      <c r="U25" s="42"/>
      <c r="V25" s="44"/>
      <c r="W25" s="7" t="str">
        <f>IF(V25&gt;0,E25," ")</f>
        <v xml:space="preserve"> </v>
      </c>
      <c r="X25" s="7" t="str">
        <f>IF(V25&gt;0,J25," ")</f>
        <v xml:space="preserve"> </v>
      </c>
      <c r="Y25" s="11" t="str">
        <f>IF((U25+V25)&gt;0,IF(V25&lt;S25,S25-V25," ")," ")</f>
        <v xml:space="preserve"> </v>
      </c>
      <c r="Z25" s="11" t="str">
        <f>IF((U25+V25)&gt;0,IF(V25&gt;S25,V25-S25," ")," ")</f>
        <v xml:space="preserve"> </v>
      </c>
      <c r="AA25" s="22"/>
      <c r="AB25" s="42"/>
      <c r="AC25" s="11" t="str">
        <f>IF(AND(O25&gt;0,AB25="S"),O25*AC$4," ")</f>
        <v xml:space="preserve"> </v>
      </c>
      <c r="AE25" s="11" t="str">
        <f>IF(AND(AD25="P",AB25&lt;&gt;"S"),N(R25)," ")</f>
      </c>
      <c r="AF25" s="11" t="str">
        <f>IF(AND(AD25="P",AB25="S"),N(AC25)," ")</f>
      </c>
      <c r="AG25" s="11" t="str">
        <f>IF(AD25="P",N(S25)," ")</f>
      </c>
      <c r="AH25" s="11" t="str">
        <f>IF(AND(AD25&lt;&gt;"P",AB25&lt;&gt;"S"),N(S25)," ")</f>
      </c>
      <c r="AI25" s="11" t="str">
        <f>IF(AND(AD25&lt;&gt;"P",AB25="S"),N(S25)," ")</f>
      </c>
    </row>
    <row r="26" spans="1:35" x14ac:dyDescent="0.15">
      <c r="A26" s="101"/>
      <c r="B26" s="42"/>
      <c r="C26" s="75"/>
      <c r="D26" s="43"/>
      <c r="E26" s="44"/>
      <c r="F26" s="44"/>
      <c r="G26" s="7" t="str">
        <f>IF(E26&gt;0,E26-F26," ")</f>
        <v xml:space="preserve"> </v>
      </c>
      <c r="H26" s="13">
        <f>H$21</f>
        <v>0.2</v>
      </c>
      <c r="I26" s="7" t="str">
        <f>IF(E26&gt;0,MIN(E26*H26,G26)," ")</f>
        <v xml:space="preserve"> </v>
      </c>
      <c r="J26" s="7" t="str">
        <f>IF(E26&gt;0,F26+I26," ")</f>
        <v xml:space="preserve"> </v>
      </c>
      <c r="K26" s="7" t="str">
        <f>IF(E26&gt;0,IF(V26&gt;0,0,E26-J26)," ")</f>
        <v xml:space="preserve"> </v>
      </c>
      <c r="L26" s="7"/>
      <c r="M26" s="13"/>
      <c r="N26" s="7"/>
      <c r="O26" s="45"/>
      <c r="P26" s="88"/>
      <c r="Q26" s="11"/>
      <c r="R26" s="11" t="str">
        <f>IF(AND(O26&gt;0,AB26&lt;&gt;"S"),O26*R$4," ")</f>
        <v xml:space="preserve"> </v>
      </c>
      <c r="S26" s="11" t="str">
        <f>IF(O26&gt;0,O26-N(R26)-N(AC26)," ")</f>
        <v xml:space="preserve"> </v>
      </c>
      <c r="T26" s="11"/>
      <c r="U26" s="42"/>
      <c r="V26" s="44"/>
      <c r="W26" s="7" t="str">
        <f>IF(V26&gt;0,E26," ")</f>
        <v xml:space="preserve"> </v>
      </c>
      <c r="X26" s="7" t="str">
        <f>IF(V26&gt;0,J26," ")</f>
        <v xml:space="preserve"> </v>
      </c>
      <c r="Y26" s="11" t="str">
        <f>IF((U26+V26)&gt;0,IF(V26&lt;S26,S26-V26," ")," ")</f>
        <v xml:space="preserve"> </v>
      </c>
      <c r="Z26" s="11" t="str">
        <f>IF((U26+V26)&gt;0,IF(V26&gt;S26,V26-S26," ")," ")</f>
        <v xml:space="preserve"> </v>
      </c>
      <c r="AA26" s="22"/>
      <c r="AB26" s="42"/>
      <c r="AC26" s="11" t="str">
        <f>IF(AND(O26&gt;0,AB26="S"),O26*AC$4," ")</f>
        <v xml:space="preserve"> </v>
      </c>
      <c r="AE26" s="11" t="str">
        <f>IF(AND(AD26="P",AB26&lt;&gt;"S"),N(R26)," ")</f>
      </c>
      <c r="AF26" s="11" t="str">
        <f>IF(AND(AD26="P",AB26="S"),N(AC26)," ")</f>
      </c>
      <c r="AG26" s="11" t="str">
        <f>IF(AD26="P",N(S26)," ")</f>
      </c>
      <c r="AH26" s="11" t="str">
        <f>IF(AND(AD26&lt;&gt;"P",AB26&lt;&gt;"S"),N(S26)," ")</f>
      </c>
      <c r="AI26" s="11" t="str">
        <f>IF(AND(AD26&lt;&gt;"P",AB26="S"),N(S26)," ")</f>
      </c>
    </row>
    <row r="27" spans="1:35" x14ac:dyDescent="0.15">
      <c r="A27" s="101"/>
      <c r="B27" s="117" t="s">
        <v>69</v>
      </c>
      <c r="C27" s="118"/>
      <c r="D27" s="119"/>
      <c r="E27" s="41">
        <f>SUM(E22:E26)</f>
        <v>0</v>
      </c>
      <c r="F27" s="41">
        <f>SUM(F22:F26)</f>
        <v>0</v>
      </c>
      <c r="G27" s="17">
        <f>SUM(G22:G26)</f>
        <v>0</v>
      </c>
      <c r="H27" s="13"/>
      <c r="I27" s="17">
        <f>SUM(I22:I26)</f>
        <v>0</v>
      </c>
      <c r="J27" s="17">
        <f>SUM(J22:J26)</f>
        <v>0</v>
      </c>
      <c r="K27" s="17">
        <f>SUM(K22:K26)</f>
        <v>0</v>
      </c>
      <c r="L27" s="7"/>
      <c r="M27" s="13"/>
      <c r="N27" s="7"/>
      <c r="O27" s="17">
        <f>SUM(O22:O26)</f>
        <v>0</v>
      </c>
      <c r="P27" s="32"/>
      <c r="Q27" s="17">
        <f>SUM(Q22:Q26)</f>
        <v>0</v>
      </c>
      <c r="R27" s="17">
        <f>SUM(R22:R26)</f>
        <v>0</v>
      </c>
      <c r="S27" s="17">
        <f>SUM(S22:S26)</f>
        <v>0</v>
      </c>
      <c r="T27" s="11"/>
      <c r="U27" s="12"/>
      <c r="V27" s="41">
        <f>SUM(V22:V26)</f>
        <v>0</v>
      </c>
      <c r="W27" s="17">
        <f>SUM(W22:W26)</f>
        <v>0</v>
      </c>
      <c r="X27" s="17">
        <f>SUM(X22:X26)</f>
        <v>0</v>
      </c>
      <c r="Y27" s="17">
        <f>SUM(Y22:Y26)</f>
        <v>0</v>
      </c>
      <c r="Z27" s="17">
        <f>SUM(Z22:Z26)</f>
        <v>0</v>
      </c>
      <c r="AA27" s="22"/>
      <c r="AB27" s="22"/>
      <c r="AC27" s="17">
        <f>SUM(AC22:AC26)</f>
        <v>0</v>
      </c>
      <c r="AE27" s="17">
        <f>SUM(AE22:AE26)</f>
      </c>
      <c r="AF27" s="17">
        <f>SUM(AF22:AF26)</f>
      </c>
      <c r="AG27" s="17">
        <f>SUM(AG22:AG26)</f>
      </c>
      <c r="AH27" s="17">
        <f>SUM(AH22:AH26)</f>
      </c>
      <c r="AI27" s="17">
        <f>SUM(AI22:AI26)</f>
      </c>
    </row>
    <row r="28" spans="1:35" ht="6" customHeight="1" x14ac:dyDescent="0.15">
      <c r="A28" s="101"/>
      <c r="B28" s="37"/>
      <c r="C28" s="76"/>
      <c r="D28" s="38"/>
      <c r="E28" s="7"/>
      <c r="F28" s="7"/>
      <c r="G28" s="7"/>
      <c r="H28" s="13"/>
      <c r="I28" s="7"/>
      <c r="J28" s="7"/>
      <c r="K28" s="7"/>
      <c r="L28" s="7"/>
      <c r="M28" s="13"/>
      <c r="N28" s="7"/>
      <c r="O28" s="7"/>
      <c r="P28" s="32"/>
      <c r="Q28" s="7"/>
      <c r="R28" s="7"/>
      <c r="S28" s="7"/>
      <c r="T28" s="11"/>
      <c r="U28" s="12"/>
      <c r="V28" s="7"/>
      <c r="W28" s="7"/>
      <c r="X28" s="7"/>
      <c r="Y28" s="7"/>
      <c r="Z28" s="7"/>
      <c r="AA28" s="22"/>
    </row>
    <row r="29" spans="1:35" x14ac:dyDescent="0.15">
      <c r="A29" s="101"/>
      <c r="B29" s="122" t="s">
        <v>7</v>
      </c>
      <c r="C29" s="122"/>
      <c r="D29" s="33"/>
      <c r="E29" s="7"/>
      <c r="F29" s="7"/>
      <c r="G29" s="7"/>
      <c r="H29" s="29">
        <f>[1]Admin!$G$16</f>
        <v>0.33</v>
      </c>
      <c r="I29" s="7"/>
      <c r="J29" s="7"/>
      <c r="K29" s="7"/>
      <c r="L29" s="7"/>
      <c r="M29" s="13"/>
      <c r="N29" s="7"/>
      <c r="O29" s="11"/>
      <c r="P29" s="88"/>
      <c r="Q29" s="11"/>
      <c r="R29" s="11"/>
      <c r="S29" s="11"/>
      <c r="T29" s="11"/>
      <c r="U29" s="12"/>
      <c r="V29" s="7"/>
      <c r="W29" s="7"/>
      <c r="X29" s="7"/>
      <c r="Y29" s="11"/>
      <c r="Z29" s="11"/>
      <c r="AA29" s="22"/>
    </row>
    <row r="30" spans="1:35" x14ac:dyDescent="0.15">
      <c r="A30" s="101"/>
      <c r="B30" s="42"/>
      <c r="C30" s="75"/>
      <c r="D30" s="43"/>
      <c r="E30" s="44"/>
      <c r="F30" s="44"/>
      <c r="G30" s="7" t="str">
        <f>IF(E30&gt;0,E30-F30," ")</f>
        <v xml:space="preserve"> </v>
      </c>
      <c r="H30" s="13">
        <f>H$29</f>
        <v>0.33</v>
      </c>
      <c r="I30" s="7" t="str">
        <f>IF(E30&gt;0,MIN(E30*H30,G30)," ")</f>
        <v xml:space="preserve"> </v>
      </c>
      <c r="J30" s="7" t="str">
        <f>IF(E30&gt;0,F30+I30," ")</f>
        <v xml:space="preserve"> </v>
      </c>
      <c r="K30" s="7" t="str">
        <f>IF(E30&gt;0,IF(V30&gt;0,0,E30-J30)," ")</f>
        <v xml:space="preserve"> </v>
      </c>
      <c r="L30" s="7"/>
      <c r="M30" s="13"/>
      <c r="N30" s="7"/>
      <c r="O30" s="45"/>
      <c r="P30" s="88"/>
      <c r="Q30" s="11"/>
      <c r="R30" s="11" t="str">
        <f>IF(AND(O30&gt;0,AB30&lt;&gt;"S"),O30*R$4," ")</f>
        <v xml:space="preserve"> </v>
      </c>
      <c r="S30" s="11" t="str">
        <f>IF(O30&gt;0,O30-N(R30)-N(AC30)," ")</f>
        <v xml:space="preserve"> </v>
      </c>
      <c r="T30" s="11"/>
      <c r="U30" s="42"/>
      <c r="V30" s="44"/>
      <c r="W30" s="7" t="str">
        <f>IF(V30&gt;0,E30," ")</f>
        <v xml:space="preserve"> </v>
      </c>
      <c r="X30" s="7" t="str">
        <f>IF(V30&gt;0,J30," ")</f>
        <v xml:space="preserve"> </v>
      </c>
      <c r="Y30" s="11" t="str">
        <f>IF((U30+V30)&gt;0,IF(V30&lt;S30,S30-V30," ")," ")</f>
        <v xml:space="preserve"> </v>
      </c>
      <c r="Z30" s="11" t="str">
        <f>IF((U30+V30)&gt;0,IF(V30&gt;S30,V30-S30," ")," ")</f>
        <v xml:space="preserve"> </v>
      </c>
      <c r="AA30" s="22"/>
      <c r="AB30" s="42"/>
      <c r="AC30" s="11" t="str">
        <f>IF(AND(O30&gt;0,AB30="S"),O30*AC$4," ")</f>
        <v xml:space="preserve"> </v>
      </c>
      <c r="AE30" s="11" t="str">
        <f>IF(AND(AD30="P",AB30&lt;&gt;"S"),N(R30)," ")</f>
      </c>
      <c r="AF30" s="11" t="str">
        <f>IF(AND(AD30="P",AB30="S"),N(AC30)," ")</f>
      </c>
      <c r="AG30" s="11" t="str">
        <f>IF(AD30="P",N(S30)," ")</f>
      </c>
      <c r="AH30" s="11" t="str">
        <f>IF(AND(AD30&lt;&gt;"P",AB30&lt;&gt;"S"),N(S30)," ")</f>
      </c>
      <c r="AI30" s="11" t="str">
        <f>IF(AND(AD30&lt;&gt;"P",AB30="S"),N(S30)," ")</f>
      </c>
    </row>
    <row r="31" spans="1:35" x14ac:dyDescent="0.15">
      <c r="A31" s="101"/>
      <c r="B31" s="42"/>
      <c r="C31" s="75"/>
      <c r="D31" s="43"/>
      <c r="E31" s="44"/>
      <c r="F31" s="44"/>
      <c r="G31" s="7" t="str">
        <f>IF(E31&gt;0,E31-F31," ")</f>
        <v xml:space="preserve"> </v>
      </c>
      <c r="H31" s="13">
        <f>H$29</f>
        <v>0.33</v>
      </c>
      <c r="I31" s="7" t="str">
        <f>IF(E31&gt;0,MIN(E31*H31,G31)," ")</f>
        <v xml:space="preserve"> </v>
      </c>
      <c r="J31" s="7" t="str">
        <f>IF(E31&gt;0,F31+I31," ")</f>
        <v xml:space="preserve"> </v>
      </c>
      <c r="K31" s="7" t="str">
        <f>IF(E31&gt;0,IF(V31&gt;0,0,E31-J31)," ")</f>
        <v xml:space="preserve"> </v>
      </c>
      <c r="L31" s="7"/>
      <c r="M31" s="13"/>
      <c r="N31" s="7"/>
      <c r="O31" s="45"/>
      <c r="P31" s="88"/>
      <c r="Q31" s="11"/>
      <c r="R31" s="11" t="str">
        <f>IF(AND(O31&gt;0,AB31&lt;&gt;"S"),O31*R$4," ")</f>
        <v xml:space="preserve"> </v>
      </c>
      <c r="S31" s="11" t="str">
        <f>IF(O31&gt;0,O31-N(R31)-N(AC31)," ")</f>
        <v xml:space="preserve"> </v>
      </c>
      <c r="T31" s="11"/>
      <c r="U31" s="42"/>
      <c r="V31" s="44"/>
      <c r="W31" s="7" t="str">
        <f>IF(V31&gt;0,E31," ")</f>
        <v xml:space="preserve"> </v>
      </c>
      <c r="X31" s="7" t="str">
        <f>IF(V31&gt;0,J31," ")</f>
        <v xml:space="preserve"> </v>
      </c>
      <c r="Y31" s="11" t="str">
        <f>IF((U31+V31)&gt;0,IF(V31&lt;S31,S31-V31," ")," ")</f>
        <v xml:space="preserve"> </v>
      </c>
      <c r="Z31" s="11" t="str">
        <f>IF((U31+V31)&gt;0,IF(V31&gt;S31,V31-S31," ")," ")</f>
        <v xml:space="preserve"> </v>
      </c>
      <c r="AA31" s="22"/>
      <c r="AB31" s="42"/>
      <c r="AC31" s="11" t="str">
        <f>IF(AND(O31&gt;0,AB31="S"),O31*AC$4," ")</f>
        <v xml:space="preserve"> </v>
      </c>
      <c r="AE31" s="11" t="str">
        <f>IF(AND(AD31="P",AB31&lt;&gt;"S"),N(R31)," ")</f>
      </c>
      <c r="AF31" s="11" t="str">
        <f>IF(AND(AD31="P",AB31="S"),N(AC31)," ")</f>
      </c>
      <c r="AG31" s="11" t="str">
        <f>IF(AD31="P",N(S31)," ")</f>
      </c>
      <c r="AH31" s="11" t="str">
        <f>IF(AND(AD31&lt;&gt;"P",AB31&lt;&gt;"S"),N(S31)," ")</f>
      </c>
      <c r="AI31" s="11" t="str">
        <f>IF(AND(AD31&lt;&gt;"P",AB31="S"),N(S31)," ")</f>
      </c>
    </row>
    <row r="32" spans="1:35" x14ac:dyDescent="0.15">
      <c r="A32" s="101"/>
      <c r="B32" s="42"/>
      <c r="C32" s="75"/>
      <c r="D32" s="43"/>
      <c r="E32" s="44"/>
      <c r="F32" s="44"/>
      <c r="G32" s="7" t="str">
        <f>IF(E32&gt;0,E32-F32," ")</f>
        <v xml:space="preserve"> </v>
      </c>
      <c r="H32" s="13">
        <f>H$29</f>
        <v>0.33</v>
      </c>
      <c r="I32" s="7" t="str">
        <f>IF(E32&gt;0,MIN(E32*H32,G32)," ")</f>
        <v xml:space="preserve"> </v>
      </c>
      <c r="J32" s="7" t="str">
        <f>IF(E32&gt;0,F32+I32," ")</f>
        <v xml:space="preserve"> </v>
      </c>
      <c r="K32" s="7" t="str">
        <f>IF(E32&gt;0,IF(V32&gt;0,0,E32-J32)," ")</f>
        <v xml:space="preserve"> </v>
      </c>
      <c r="L32" s="7"/>
      <c r="M32" s="13"/>
      <c r="N32" s="7"/>
      <c r="O32" s="45"/>
      <c r="P32" s="88"/>
      <c r="Q32" s="11"/>
      <c r="R32" s="11" t="str">
        <f>IF(AND(O32&gt;0,AB32&lt;&gt;"S"),O32*R$4," ")</f>
        <v xml:space="preserve"> </v>
      </c>
      <c r="S32" s="11" t="str">
        <f>IF(O32&gt;0,O32-N(R32)-N(AC32)," ")</f>
        <v xml:space="preserve"> </v>
      </c>
      <c r="T32" s="11"/>
      <c r="U32" s="42"/>
      <c r="V32" s="44"/>
      <c r="W32" s="7" t="str">
        <f>IF(V32&gt;0,E32," ")</f>
        <v xml:space="preserve"> </v>
      </c>
      <c r="X32" s="7" t="str">
        <f>IF(V32&gt;0,J32," ")</f>
        <v xml:space="preserve"> </v>
      </c>
      <c r="Y32" s="11" t="str">
        <f>IF((U32+V32)&gt;0,IF(V32&lt;S32,S32-V32," ")," ")</f>
        <v xml:space="preserve"> </v>
      </c>
      <c r="Z32" s="11" t="str">
        <f>IF((U32+V32)&gt;0,IF(V32&gt;S32,V32-S32," ")," ")</f>
        <v xml:space="preserve"> </v>
      </c>
      <c r="AA32" s="22"/>
      <c r="AB32" s="42"/>
      <c r="AC32" s="11" t="str">
        <f>IF(AND(O32&gt;0,AB32="S"),O32*AC$4," ")</f>
        <v xml:space="preserve"> </v>
      </c>
      <c r="AE32" s="11" t="str">
        <f>IF(AND(AD32="P",AB32&lt;&gt;"S"),N(R32)," ")</f>
      </c>
      <c r="AF32" s="11" t="str">
        <f>IF(AND(AD32="P",AB32="S"),N(AC32)," ")</f>
      </c>
      <c r="AG32" s="11" t="str">
        <f>IF(AD32="P",N(S32)," ")</f>
      </c>
      <c r="AH32" s="11" t="str">
        <f>IF(AND(AD32&lt;&gt;"P",AB32&lt;&gt;"S"),N(S32)," ")</f>
      </c>
      <c r="AI32" s="11" t="str">
        <f>IF(AND(AD32&lt;&gt;"P",AB32="S"),N(S32)," ")</f>
      </c>
    </row>
    <row r="33" spans="1:35" x14ac:dyDescent="0.15">
      <c r="A33" s="101"/>
      <c r="B33" s="42"/>
      <c r="C33" s="75"/>
      <c r="D33" s="43"/>
      <c r="E33" s="44"/>
      <c r="F33" s="44"/>
      <c r="G33" s="7" t="str">
        <f>IF(E33&gt;0,E33-F33," ")</f>
        <v xml:space="preserve"> </v>
      </c>
      <c r="H33" s="13">
        <f>H$29</f>
        <v>0.33</v>
      </c>
      <c r="I33" s="7" t="str">
        <f>IF(E33&gt;0,MIN(E33*H33,G33)," ")</f>
        <v xml:space="preserve"> </v>
      </c>
      <c r="J33" s="7" t="str">
        <f>IF(E33&gt;0,F33+I33," ")</f>
        <v xml:space="preserve"> </v>
      </c>
      <c r="K33" s="7" t="str">
        <f>IF(E33&gt;0,IF(V33&gt;0,0,E33-J33)," ")</f>
        <v xml:space="preserve"> </v>
      </c>
      <c r="L33" s="7"/>
      <c r="M33" s="13"/>
      <c r="N33" s="7"/>
      <c r="O33" s="45"/>
      <c r="P33" s="88"/>
      <c r="Q33" s="11"/>
      <c r="R33" s="11" t="str">
        <f>IF(AND(O33&gt;0,AB33&lt;&gt;"S"),O33*R$4," ")</f>
        <v xml:space="preserve"> </v>
      </c>
      <c r="S33" s="11" t="str">
        <f>IF(O33&gt;0,O33-N(R33)-N(AC33)," ")</f>
        <v xml:space="preserve"> </v>
      </c>
      <c r="T33" s="11"/>
      <c r="U33" s="42"/>
      <c r="V33" s="44"/>
      <c r="W33" s="7" t="str">
        <f>IF(V33&gt;0,E33," ")</f>
        <v xml:space="preserve"> </v>
      </c>
      <c r="X33" s="7" t="str">
        <f>IF(V33&gt;0,J33," ")</f>
        <v xml:space="preserve"> </v>
      </c>
      <c r="Y33" s="11" t="str">
        <f>IF((U33+V33)&gt;0,IF(V33&lt;S33,S33-V33," ")," ")</f>
        <v xml:space="preserve"> </v>
      </c>
      <c r="Z33" s="11" t="str">
        <f>IF((U33+V33)&gt;0,IF(V33&gt;S33,V33-S33," ")," ")</f>
        <v xml:space="preserve"> </v>
      </c>
      <c r="AA33" s="22"/>
      <c r="AB33" s="42"/>
      <c r="AC33" s="11" t="str">
        <f>IF(AND(O33&gt;0,AB33="S"),O33*AC$4," ")</f>
        <v xml:space="preserve"> </v>
      </c>
      <c r="AE33" s="11" t="str">
        <f>IF(AND(AD33="P",AB33&lt;&gt;"S"),N(R33)," ")</f>
      </c>
      <c r="AF33" s="11" t="str">
        <f>IF(AND(AD33="P",AB33="S"),N(AC33)," ")</f>
      </c>
      <c r="AG33" s="11" t="str">
        <f>IF(AD33="P",N(S33)," ")</f>
      </c>
      <c r="AH33" s="11" t="str">
        <f>IF(AND(AD33&lt;&gt;"P",AB33&lt;&gt;"S"),N(S33)," ")</f>
      </c>
      <c r="AI33" s="11" t="str">
        <f>IF(AND(AD33&lt;&gt;"P",AB33="S"),N(S33)," ")</f>
      </c>
    </row>
    <row r="34" spans="1:35" x14ac:dyDescent="0.15">
      <c r="A34" s="101"/>
      <c r="B34" s="42"/>
      <c r="C34" s="75"/>
      <c r="D34" s="43"/>
      <c r="E34" s="44"/>
      <c r="F34" s="44"/>
      <c r="G34" s="7" t="str">
        <f>IF(E34&gt;0,E34-F34," ")</f>
        <v xml:space="preserve"> </v>
      </c>
      <c r="H34" s="13">
        <f>H$29</f>
        <v>0.33</v>
      </c>
      <c r="I34" s="7" t="str">
        <f>IF(E34&gt;0,MIN(E34*H34,G34)," ")</f>
        <v xml:space="preserve"> </v>
      </c>
      <c r="J34" s="7" t="str">
        <f>IF(E34&gt;0,F34+I34," ")</f>
        <v xml:space="preserve"> </v>
      </c>
      <c r="K34" s="7" t="str">
        <f>IF(E34&gt;0,IF(V34&gt;0,0,E34-J34)," ")</f>
        <v xml:space="preserve"> </v>
      </c>
      <c r="L34" s="7"/>
      <c r="M34" s="13"/>
      <c r="N34" s="7"/>
      <c r="O34" s="45"/>
      <c r="P34" s="88"/>
      <c r="Q34" s="11"/>
      <c r="R34" s="11" t="str">
        <f>IF(AND(O34&gt;0,AB34&lt;&gt;"S"),O34*R$4," ")</f>
        <v xml:space="preserve"> </v>
      </c>
      <c r="S34" s="11" t="str">
        <f>IF(O34&gt;0,O34-N(R34)-N(AC34)," ")</f>
        <v xml:space="preserve"> </v>
      </c>
      <c r="T34" s="11"/>
      <c r="U34" s="42"/>
      <c r="V34" s="44"/>
      <c r="W34" s="7" t="str">
        <f>IF(V34&gt;0,E34," ")</f>
        <v xml:space="preserve"> </v>
      </c>
      <c r="X34" s="7" t="str">
        <f>IF(V34&gt;0,J34," ")</f>
        <v xml:space="preserve"> </v>
      </c>
      <c r="Y34" s="11" t="str">
        <f>IF((U34+V34)&gt;0,IF(V34&lt;S34,S34-V34," ")," ")</f>
        <v xml:space="preserve"> </v>
      </c>
      <c r="Z34" s="11" t="str">
        <f>IF((U34+V34)&gt;0,IF(V34&gt;S34,V34-S34," ")," ")</f>
        <v xml:space="preserve"> </v>
      </c>
      <c r="AA34" s="22"/>
      <c r="AB34" s="42"/>
      <c r="AC34" s="11" t="str">
        <f>IF(AND(O34&gt;0,AB34="S"),O34*AC$4," ")</f>
        <v xml:space="preserve"> </v>
      </c>
      <c r="AE34" s="11" t="str">
        <f>IF(AND(AD34="P",AB34&lt;&gt;"S"),N(R34)," ")</f>
      </c>
      <c r="AF34" s="11" t="str">
        <f>IF(AND(AD34="P",AB34="S"),N(AC34)," ")</f>
      </c>
      <c r="AG34" s="11" t="str">
        <f>IF(AD34="P",N(S34)," ")</f>
      </c>
      <c r="AH34" s="11" t="str">
        <f>IF(AND(AD34&lt;&gt;"P",AB34&lt;&gt;"S"),N(S34)," ")</f>
      </c>
      <c r="AI34" s="11" t="str">
        <f>IF(AND(AD34&lt;&gt;"P",AB34="S"),N(S34)," ")</f>
      </c>
    </row>
    <row r="35" spans="1:35" x14ac:dyDescent="0.15">
      <c r="A35" s="101"/>
      <c r="B35" s="117" t="s">
        <v>70</v>
      </c>
      <c r="C35" s="118"/>
      <c r="D35" s="119"/>
      <c r="E35" s="41">
        <f>SUM(E30:E34)</f>
        <v>0</v>
      </c>
      <c r="F35" s="41">
        <f>SUM(F30:F34)</f>
        <v>0</v>
      </c>
      <c r="G35" s="17">
        <f>SUM(G30:G34)</f>
        <v>0</v>
      </c>
      <c r="H35" s="13"/>
      <c r="I35" s="17">
        <f>SUM(I30:I34)</f>
        <v>0</v>
      </c>
      <c r="J35" s="17">
        <f>SUM(J30:J34)</f>
        <v>0</v>
      </c>
      <c r="K35" s="17">
        <f>SUM(K30:K34)</f>
        <v>0</v>
      </c>
      <c r="L35" s="7"/>
      <c r="M35" s="13"/>
      <c r="N35" s="7"/>
      <c r="O35" s="17">
        <f>SUM(O30:O34)</f>
        <v>0</v>
      </c>
      <c r="P35" s="32"/>
      <c r="Q35" s="17">
        <f>SUM(Q30:Q34)</f>
        <v>0</v>
      </c>
      <c r="R35" s="17">
        <f>SUM(R30:R34)</f>
        <v>0</v>
      </c>
      <c r="S35" s="17">
        <f>SUM(S30:S34)</f>
        <v>0</v>
      </c>
      <c r="T35" s="11"/>
      <c r="U35" s="12"/>
      <c r="V35" s="41">
        <f>SUM(V30:V34)</f>
        <v>0</v>
      </c>
      <c r="W35" s="17">
        <f>SUM(W30:W34)</f>
        <v>0</v>
      </c>
      <c r="X35" s="17">
        <f>SUM(X30:X34)</f>
        <v>0</v>
      </c>
      <c r="Y35" s="17">
        <f>SUM(Y30:Y34)</f>
        <v>0</v>
      </c>
      <c r="Z35" s="17">
        <f>SUM(Z30:Z34)</f>
        <v>0</v>
      </c>
      <c r="AA35" s="22"/>
      <c r="AB35" s="22"/>
      <c r="AC35" s="17">
        <f>SUM(AC30:AC34)</f>
        <v>0</v>
      </c>
      <c r="AE35" s="17">
        <f>SUM(AE30:AE34)</f>
      </c>
      <c r="AF35" s="17">
        <f>SUM(AF30:AF34)</f>
      </c>
      <c r="AG35" s="17">
        <f>SUM(AG30:AG34)</f>
      </c>
      <c r="AH35" s="17">
        <f>SUM(AH30:AH34)</f>
      </c>
      <c r="AI35" s="17">
        <f>SUM(AI30:AI34)</f>
      </c>
    </row>
    <row r="36" spans="1:35" ht="6" customHeight="1" x14ac:dyDescent="0.15">
      <c r="A36" s="101"/>
      <c r="B36" s="37"/>
      <c r="C36" s="76"/>
      <c r="D36" s="38"/>
      <c r="E36" s="7"/>
      <c r="F36" s="7"/>
      <c r="G36" s="7"/>
      <c r="H36" s="13"/>
      <c r="I36" s="7"/>
      <c r="J36" s="7"/>
      <c r="K36" s="7"/>
      <c r="L36" s="7"/>
      <c r="M36" s="13"/>
      <c r="N36" s="7"/>
      <c r="O36" s="7"/>
      <c r="P36" s="32"/>
      <c r="Q36" s="7"/>
      <c r="R36" s="7"/>
      <c r="S36" s="7"/>
      <c r="T36" s="11"/>
      <c r="U36" s="12"/>
      <c r="V36" s="7"/>
      <c r="W36" s="7"/>
      <c r="X36" s="7"/>
      <c r="Y36" s="7"/>
      <c r="Z36" s="7"/>
      <c r="AA36" s="22"/>
    </row>
    <row r="37" spans="1:35" ht="13" x14ac:dyDescent="0.15">
      <c r="A37" s="101"/>
      <c r="B37" s="120" t="s">
        <v>63</v>
      </c>
      <c r="C37" s="121"/>
      <c r="D37" s="114">
        <f>[1]Admin!$E$8</f>
        <v>12000</v>
      </c>
      <c r="E37" s="7"/>
      <c r="F37" s="7"/>
      <c r="G37" s="7"/>
      <c r="H37" s="29">
        <f>[1]Admin!$G$17</f>
        <v>0.25</v>
      </c>
      <c r="I37" s="7"/>
      <c r="J37" s="7"/>
      <c r="K37" s="7"/>
      <c r="L37" s="7"/>
      <c r="M37" s="18"/>
      <c r="N37" s="7"/>
      <c r="O37" s="7"/>
      <c r="P37" s="32"/>
      <c r="Q37" s="7"/>
      <c r="R37" s="7"/>
      <c r="S37" s="7"/>
      <c r="T37" s="10"/>
      <c r="U37" s="12"/>
      <c r="V37" s="7"/>
      <c r="W37" s="7"/>
      <c r="X37" s="7"/>
      <c r="Y37" s="7"/>
      <c r="Z37" s="7"/>
      <c r="AA37" s="22"/>
    </row>
    <row r="38" spans="1:35" x14ac:dyDescent="0.15">
      <c r="A38" s="101"/>
      <c r="B38" s="42"/>
      <c r="C38" s="75"/>
      <c r="D38" s="43"/>
      <c r="E38" s="44"/>
      <c r="F38" s="44"/>
      <c r="G38" s="7" t="str">
        <f>IF(E38&gt;0,E38-F38," ")</f>
        <v xml:space="preserve"> </v>
      </c>
      <c r="H38" s="13">
        <f>H$37</f>
        <v>0.25</v>
      </c>
      <c r="I38" s="7" t="str">
        <f>IF(E38&gt;0,MIN(E38*H38,G38)," ")</f>
        <v xml:space="preserve"> </v>
      </c>
      <c r="J38" s="7" t="str">
        <f>IF(E38&gt;0,F38+I38," ")</f>
        <v xml:space="preserve"> </v>
      </c>
      <c r="K38" s="7" t="str">
        <f>IF(E38&gt;0,IF(V38&gt;0,0,E38-J38)," ")</f>
        <v xml:space="preserve"> </v>
      </c>
      <c r="L38" s="7"/>
      <c r="M38" s="29">
        <v>0</v>
      </c>
      <c r="N38" s="7"/>
      <c r="O38" s="45"/>
      <c r="P38" s="88"/>
      <c r="Q38" s="11"/>
      <c r="R38" s="11" t="str">
        <f>IF(AND(O38&gt;0,AB38&lt;&gt;"S"),O38*R$4*(1-M38)," ")</f>
        <v xml:space="preserve"> </v>
      </c>
      <c r="S38" s="11" t="str">
        <f>IF(O38&gt;0,O38-N(R38)-N(AC38)," ")</f>
        <v xml:space="preserve"> </v>
      </c>
      <c r="T38" s="11"/>
      <c r="U38" s="42"/>
      <c r="V38" s="44"/>
      <c r="W38" s="7" t="str">
        <f>IF(V38&gt;0,E38," ")</f>
        <v xml:space="preserve"> </v>
      </c>
      <c r="X38" s="7" t="str">
        <f>IF(V38&gt;0,J38," ")</f>
        <v xml:space="preserve"> </v>
      </c>
      <c r="Y38" s="11" t="str">
        <f>IF((U38+V38)&gt;0,IF(V38&lt;S38,(S38-V38)*(1-M38)," ")," ")</f>
        <v xml:space="preserve"> </v>
      </c>
      <c r="Z38" s="11" t="str">
        <f>IF((U38+V38)&gt;0,IF(V38&gt;S38,(V38-S38)*(1-M38)," ")," ")</f>
        <v xml:space="preserve"> </v>
      </c>
      <c r="AA38" s="22"/>
      <c r="AB38" s="42"/>
      <c r="AC38" s="11" t="str">
        <f>IF(AND(O38&gt;0,AB38="S"),O38*AC$4*(1-M38)," ")</f>
        <v xml:space="preserve"> </v>
      </c>
      <c r="AE38" s="11" t="str">
        <f>IF(AND(AD38="P",AB38&lt;&gt;"S"),N(R38)," ")</f>
      </c>
      <c r="AF38" s="11" t="str">
        <f>IF(AND(AD38="P",AB38="S"),N(AC38)," ")</f>
      </c>
      <c r="AG38" s="11" t="str">
        <f>IF(AD38="P",N(S38)," ")</f>
      </c>
      <c r="AH38" s="11" t="str">
        <f>IF(AND(AD38&lt;&gt;"P",AB38&lt;&gt;"S"),N(S38)," ")</f>
      </c>
      <c r="AI38" s="11" t="str">
        <f>IF(AND(AD38&lt;&gt;"P",AB38="S"),N(S38)," ")</f>
      </c>
    </row>
    <row r="39" spans="1:35" x14ac:dyDescent="0.15">
      <c r="A39" s="101"/>
      <c r="B39" s="42"/>
      <c r="C39" s="75"/>
      <c r="D39" s="43"/>
      <c r="E39" s="44"/>
      <c r="F39" s="44"/>
      <c r="G39" s="7" t="str">
        <f>IF(E39&gt;0,E39-F39," ")</f>
        <v xml:space="preserve"> </v>
      </c>
      <c r="H39" s="13">
        <f>H$37</f>
        <v>0.25</v>
      </c>
      <c r="I39" s="7" t="str">
        <f>IF(E39&gt;0,MIN(E39*H39,G39)," ")</f>
        <v xml:space="preserve"> </v>
      </c>
      <c r="J39" s="7" t="str">
        <f>IF(E39&gt;0,F39+I39," ")</f>
        <v xml:space="preserve"> </v>
      </c>
      <c r="K39" s="7" t="str">
        <f>IF(E39&gt;0,IF(V39&gt;0,0,E39-J39)," ")</f>
        <v xml:space="preserve"> </v>
      </c>
      <c r="L39" s="7"/>
      <c r="M39" s="29">
        <v>0</v>
      </c>
      <c r="N39" s="7"/>
      <c r="O39" s="45"/>
      <c r="P39" s="88"/>
      <c r="Q39" s="11"/>
      <c r="R39" s="11" t="str">
        <f>IF(AND(O39&gt;0,AB39&lt;&gt;"S"),O39*R$4*(1-M39)," ")</f>
        <v xml:space="preserve"> </v>
      </c>
      <c r="S39" s="11" t="str">
        <f>IF(O39&gt;0,O39-N(R39)-N(AC39)," ")</f>
        <v xml:space="preserve"> </v>
      </c>
      <c r="T39" s="11"/>
      <c r="U39" s="42"/>
      <c r="V39" s="44"/>
      <c r="W39" s="7" t="str">
        <f>IF(V39&gt;0,E39," ")</f>
        <v xml:space="preserve"> </v>
      </c>
      <c r="X39" s="7" t="str">
        <f>IF(V39&gt;0,J39," ")</f>
        <v xml:space="preserve"> </v>
      </c>
      <c r="Y39" s="11" t="str">
        <f>IF((U39+V39)&gt;0,IF(V39&lt;S39,(S39-V39)*(1-M39)," ")," ")</f>
        <v xml:space="preserve"> </v>
      </c>
      <c r="Z39" s="11" t="str">
        <f>IF((U39+V39)&gt;0,IF(V39&gt;S39,(V39-S39)*(1-M39)," ")," ")</f>
        <v xml:space="preserve"> </v>
      </c>
      <c r="AA39" s="22"/>
      <c r="AB39" s="42"/>
      <c r="AC39" s="11" t="str">
        <f>IF(AND(O39&gt;0,AB39="S"),O39*AC$4*(1-M39)," ")</f>
        <v xml:space="preserve"> </v>
      </c>
      <c r="AE39" s="11" t="str">
        <f>IF(AND(AD39="P",AB39&lt;&gt;"S"),N(R39)," ")</f>
      </c>
      <c r="AF39" s="11" t="str">
        <f>IF(AND(AD39="P",AB39="S"),N(AC39)," ")</f>
      </c>
      <c r="AG39" s="11" t="str">
        <f>IF(AD39="P",N(S39)," ")</f>
      </c>
      <c r="AH39" s="11" t="str">
        <f>IF(AND(AD39&lt;&gt;"P",AB39&lt;&gt;"S"),N(S39)," ")</f>
      </c>
      <c r="AI39" s="11" t="str">
        <f>IF(AND(AD39&lt;&gt;"P",AB39="S"),N(S39)," ")</f>
      </c>
    </row>
    <row r="40" spans="1:35" x14ac:dyDescent="0.15">
      <c r="A40" s="101"/>
      <c r="B40" s="42"/>
      <c r="C40" s="75"/>
      <c r="D40" s="43"/>
      <c r="E40" s="44"/>
      <c r="F40" s="44"/>
      <c r="G40" s="7" t="str">
        <f>IF(E40&gt;0,E40-F40," ")</f>
        <v xml:space="preserve"> </v>
      </c>
      <c r="H40" s="13">
        <f>H$37</f>
        <v>0.25</v>
      </c>
      <c r="I40" s="7" t="str">
        <f>IF(E40&gt;0,MIN(E40*H40,G40)," ")</f>
        <v xml:space="preserve"> </v>
      </c>
      <c r="J40" s="7" t="str">
        <f>IF(E40&gt;0,F40+I40," ")</f>
        <v xml:space="preserve"> </v>
      </c>
      <c r="K40" s="7" t="str">
        <f>IF(E40&gt;0,IF(V40&gt;0,0,E40-J40)," ")</f>
        <v xml:space="preserve"> </v>
      </c>
      <c r="L40" s="7"/>
      <c r="M40" s="29">
        <v>0</v>
      </c>
      <c r="N40" s="7"/>
      <c r="O40" s="45"/>
      <c r="P40" s="88"/>
      <c r="Q40" s="11"/>
      <c r="R40" s="11" t="str">
        <f>IF(AND(O40&gt;0,AB40&lt;&gt;"S"),O40*R$4*(1-M40)," ")</f>
        <v xml:space="preserve"> </v>
      </c>
      <c r="S40" s="11" t="str">
        <f>IF(O40&gt;0,O40-N(R40)-N(AC40)," ")</f>
        <v xml:space="preserve"> </v>
      </c>
      <c r="T40" s="11"/>
      <c r="U40" s="42"/>
      <c r="V40" s="44"/>
      <c r="W40" s="7" t="str">
        <f>IF(V40&gt;0,E40," ")</f>
        <v xml:space="preserve"> </v>
      </c>
      <c r="X40" s="7" t="str">
        <f>IF(V40&gt;0,J40," ")</f>
        <v xml:space="preserve"> </v>
      </c>
      <c r="Y40" s="11" t="str">
        <f>IF((U40+V40)&gt;0,IF(V40&lt;S40,(S40-V40)*(1-M40)," ")," ")</f>
        <v xml:space="preserve"> </v>
      </c>
      <c r="Z40" s="11" t="str">
        <f>IF((U40+V40)&gt;0,IF(V40&gt;S40,(V40-S40)*(1-M40)," ")," ")</f>
        <v xml:space="preserve"> </v>
      </c>
      <c r="AA40" s="22"/>
      <c r="AB40" s="42"/>
      <c r="AC40" s="11" t="str">
        <f>IF(AND(O40&gt;0,AB40="S"),O40*AC$4*(1-M40)," ")</f>
        <v xml:space="preserve"> </v>
      </c>
      <c r="AE40" s="11" t="str">
        <f>IF(AND(AD40="P",AB40&lt;&gt;"S"),N(R40)," ")</f>
      </c>
      <c r="AF40" s="11" t="str">
        <f>IF(AND(AD40="P",AB40="S"),N(AC40)," ")</f>
      </c>
      <c r="AG40" s="11" t="str">
        <f>IF(AD40="P",N(S40)," ")</f>
      </c>
      <c r="AH40" s="11" t="str">
        <f>IF(AND(AD40&lt;&gt;"P",AB40&lt;&gt;"S"),N(S40)," ")</f>
      </c>
      <c r="AI40" s="11" t="str">
        <f>IF(AND(AD40&lt;&gt;"P",AB40="S"),N(S40)," ")</f>
      </c>
    </row>
    <row r="41" spans="1:35" x14ac:dyDescent="0.15">
      <c r="A41" s="101"/>
      <c r="B41" s="42"/>
      <c r="C41" s="75"/>
      <c r="D41" s="43"/>
      <c r="E41" s="44"/>
      <c r="F41" s="44"/>
      <c r="G41" s="7" t="str">
        <f>IF(E41&gt;0,E41-F41," ")</f>
        <v xml:space="preserve"> </v>
      </c>
      <c r="H41" s="13">
        <f>H$37</f>
        <v>0.25</v>
      </c>
      <c r="I41" s="7" t="str">
        <f>IF(E41&gt;0,MIN(E41*H41,G41)," ")</f>
        <v xml:space="preserve"> </v>
      </c>
      <c r="J41" s="7" t="str">
        <f>IF(E41&gt;0,F41+I41," ")</f>
        <v xml:space="preserve"> </v>
      </c>
      <c r="K41" s="7" t="str">
        <f>IF(E41&gt;0,IF(V41&gt;0,0,E41-J41)," ")</f>
        <v xml:space="preserve"> </v>
      </c>
      <c r="L41" s="7"/>
      <c r="M41" s="29">
        <v>0</v>
      </c>
      <c r="N41" s="7"/>
      <c r="O41" s="45"/>
      <c r="P41" s="88"/>
      <c r="Q41" s="11"/>
      <c r="R41" s="11" t="str">
        <f>IF(AND(O41&gt;0,AB41&lt;&gt;"S"),O41*R$4*(1-M41)," ")</f>
        <v xml:space="preserve"> </v>
      </c>
      <c r="S41" s="11" t="str">
        <f>IF(O41&gt;0,O41-N(R41)-N(AC41)," ")</f>
        <v xml:space="preserve"> </v>
      </c>
      <c r="T41" s="11"/>
      <c r="U41" s="42"/>
      <c r="V41" s="44"/>
      <c r="W41" s="7" t="str">
        <f>IF(V41&gt;0,E41," ")</f>
        <v xml:space="preserve"> </v>
      </c>
      <c r="X41" s="7" t="str">
        <f>IF(V41&gt;0,J41," ")</f>
        <v xml:space="preserve"> </v>
      </c>
      <c r="Y41" s="11" t="str">
        <f>IF((U41+V41)&gt;0,IF(V41&lt;S41,(S41-V41)*(1-M41)," ")," ")</f>
        <v xml:space="preserve"> </v>
      </c>
      <c r="Z41" s="11" t="str">
        <f>IF((U41+V41)&gt;0,IF(V41&gt;S41,(V41-S41)*(1-M41)," ")," ")</f>
        <v xml:space="preserve"> </v>
      </c>
      <c r="AA41" s="22"/>
      <c r="AB41" s="42"/>
      <c r="AC41" s="11" t="str">
        <f>IF(AND(O41&gt;0,AB41="S"),O41*AC$4*(1-M41)," ")</f>
        <v xml:space="preserve"> </v>
      </c>
      <c r="AE41" s="11" t="str">
        <f>IF(AND(AD41="P",AB41&lt;&gt;"S"),N(R41)," ")</f>
      </c>
      <c r="AF41" s="11" t="str">
        <f>IF(AND(AD41="P",AB41="S"),N(AC41)," ")</f>
      </c>
      <c r="AG41" s="11" t="str">
        <f>IF(AD41="P",N(S41)," ")</f>
      </c>
      <c r="AH41" s="11" t="str">
        <f>IF(AND(AD41&lt;&gt;"P",AB41&lt;&gt;"S"),N(S41)," ")</f>
      </c>
      <c r="AI41" s="11" t="str">
        <f>IF(AND(AD41&lt;&gt;"P",AB41="S"),N(S41)," ")</f>
      </c>
    </row>
    <row r="42" spans="1:35" x14ac:dyDescent="0.15">
      <c r="A42" s="101"/>
      <c r="B42" s="42"/>
      <c r="C42" s="75"/>
      <c r="D42" s="43"/>
      <c r="E42" s="44"/>
      <c r="F42" s="44"/>
      <c r="G42" s="7" t="str">
        <f>IF(E42&gt;0,E42-F42," ")</f>
        <v xml:space="preserve"> </v>
      </c>
      <c r="H42" s="13">
        <f>H$37</f>
        <v>0.25</v>
      </c>
      <c r="I42" s="7" t="str">
        <f>IF(E42&gt;0,MIN(E42*H42,G42)," ")</f>
        <v xml:space="preserve"> </v>
      </c>
      <c r="J42" s="7" t="str">
        <f>IF(E42&gt;0,F42+I42," ")</f>
        <v xml:space="preserve"> </v>
      </c>
      <c r="K42" s="7" t="str">
        <f>IF(E42&gt;0,IF(V42&gt;0,0,E42-J42)," ")</f>
        <v xml:space="preserve"> </v>
      </c>
      <c r="L42" s="7"/>
      <c r="M42" s="29">
        <v>0</v>
      </c>
      <c r="N42" s="7"/>
      <c r="O42" s="45"/>
      <c r="P42" s="88"/>
      <c r="Q42" s="11"/>
      <c r="R42" s="11" t="str">
        <f>IF(AND(O42&gt;0,AB42&lt;&gt;"S"),O42*R$4*(1-M42)," ")</f>
        <v xml:space="preserve"> </v>
      </c>
      <c r="S42" s="11" t="str">
        <f>IF(O42&gt;0,O42-N(R42)-N(AC42)," ")</f>
        <v xml:space="preserve"> </v>
      </c>
      <c r="T42" s="11"/>
      <c r="U42" s="42"/>
      <c r="V42" s="44"/>
      <c r="W42" s="7" t="str">
        <f>IF(V42&gt;0,E42," ")</f>
        <v xml:space="preserve"> </v>
      </c>
      <c r="X42" s="7" t="str">
        <f>IF(V42&gt;0,J42," ")</f>
        <v xml:space="preserve"> </v>
      </c>
      <c r="Y42" s="11" t="str">
        <f>IF((U42+V42)&gt;0,IF(V42&lt;S42,(S42-V42)*(1-M42)," ")," ")</f>
        <v xml:space="preserve"> </v>
      </c>
      <c r="Z42" s="11" t="str">
        <f>IF((U42+V42)&gt;0,IF(V42&gt;S42,(V42-S42)*(1-M42)," ")," ")</f>
        <v xml:space="preserve"> </v>
      </c>
      <c r="AA42" s="22"/>
      <c r="AB42" s="42"/>
      <c r="AC42" s="11" t="str">
        <f>IF(AND(O42&gt;0,AB42="S"),O42*AC$4*(1-M42)," ")</f>
        <v xml:space="preserve"> </v>
      </c>
      <c r="AE42" s="11" t="str">
        <f>IF(AND(AD42="P",AB42&lt;&gt;"S"),N(R42)," ")</f>
      </c>
      <c r="AF42" s="11" t="str">
        <f>IF(AND(AD42="P",AB42="S"),N(AC42)," ")</f>
      </c>
      <c r="AG42" s="11" t="str">
        <f>IF(AD42="P",N(S42)," ")</f>
      </c>
      <c r="AH42" s="11" t="str">
        <f>IF(AND(AD42&lt;&gt;"P",AB42&lt;&gt;"S"),N(S42)," ")</f>
      </c>
      <c r="AI42" s="11" t="str">
        <f>IF(AND(AD42&lt;&gt;"P",AB42="S"),N(S42)," ")</f>
      </c>
    </row>
    <row r="43" spans="1:35" ht="12" customHeight="1" x14ac:dyDescent="0.15">
      <c r="A43" s="101"/>
      <c r="B43" s="120" t="s">
        <v>64</v>
      </c>
      <c r="C43" s="121"/>
      <c r="D43" s="114">
        <f>[1]Admin!$E$8</f>
        <v>12000</v>
      </c>
      <c r="E43" s="7"/>
      <c r="F43" s="7"/>
      <c r="G43" s="7"/>
      <c r="H43" s="13"/>
      <c r="I43" s="7"/>
      <c r="J43" s="7"/>
      <c r="K43" s="7"/>
      <c r="L43" s="7"/>
      <c r="M43" s="13"/>
      <c r="N43" s="7"/>
      <c r="O43" s="11"/>
      <c r="P43" s="88"/>
      <c r="Q43" s="11"/>
      <c r="R43" s="11"/>
      <c r="S43" s="11"/>
      <c r="T43" s="11"/>
      <c r="U43" s="12"/>
      <c r="V43" s="7"/>
      <c r="W43" s="7"/>
      <c r="X43" s="7"/>
      <c r="Y43" s="11"/>
      <c r="Z43" s="11"/>
      <c r="AA43" s="22"/>
    </row>
    <row r="44" spans="1:35" x14ac:dyDescent="0.15">
      <c r="A44" s="101"/>
      <c r="B44" s="42"/>
      <c r="C44" s="75"/>
      <c r="D44" s="43"/>
      <c r="E44" s="44"/>
      <c r="F44" s="44"/>
      <c r="G44" s="7" t="str">
        <f t="shared" ref="G44:G54" si="0">IF(E44&gt;0,E44-F44," ")</f>
        <v xml:space="preserve"> </v>
      </c>
      <c r="H44" s="13">
        <f t="shared" ref="H44:H54" si="1">H$37</f>
        <v>0.25</v>
      </c>
      <c r="I44" s="7" t="str">
        <f t="shared" ref="I44:I54" si="2">IF(E44&gt;0,MIN(E44*H44,G44)," ")</f>
        <v xml:space="preserve"> </v>
      </c>
      <c r="J44" s="7" t="str">
        <f t="shared" ref="J44:J54" si="3">IF(E44&gt;0,F44+I44," ")</f>
        <v xml:space="preserve"> </v>
      </c>
      <c r="K44" s="7" t="str">
        <f t="shared" ref="K44:K54" si="4">IF(E44&gt;0,IF(V44&gt;0,0,E44-J44)," ")</f>
        <v xml:space="preserve"> </v>
      </c>
      <c r="L44" s="7"/>
      <c r="M44" s="29">
        <v>0</v>
      </c>
      <c r="N44" s="7"/>
      <c r="O44" s="45"/>
      <c r="P44" s="88"/>
      <c r="Q44" s="11"/>
      <c r="R44" s="11" t="str">
        <f>IF(AND(O44&gt;0,AB44&lt;&gt;"S"),O44*R$4*(1-M44)," ")</f>
        <v xml:space="preserve"> </v>
      </c>
      <c r="S44" s="11" t="str">
        <f>IF(O44&gt;0,O44-N(R44)-N(AC44)," ")</f>
        <v xml:space="preserve"> </v>
      </c>
      <c r="T44" s="11"/>
      <c r="U44" s="42"/>
      <c r="V44" s="44"/>
      <c r="W44" s="7" t="str">
        <f t="shared" ref="W44:W54" si="5">IF(V44&gt;0,E44," ")</f>
        <v xml:space="preserve"> </v>
      </c>
      <c r="X44" s="7" t="str">
        <f t="shared" ref="X44:X54" si="6">IF(V44&gt;0,J44," ")</f>
        <v xml:space="preserve"> </v>
      </c>
      <c r="Y44" s="11" t="str">
        <f t="shared" ref="Y44:Y54" si="7">IF((U44+V44)&gt;0,IF(V44&lt;S44,(S44-V44)*(1-M44)," ")," ")</f>
        <v xml:space="preserve"> </v>
      </c>
      <c r="Z44" s="11" t="str">
        <f t="shared" ref="Z44:Z54" si="8">IF((U44+V44)&gt;0,IF(V44&gt;S44,(V44-S44)*(1-M44)," ")," ")</f>
        <v xml:space="preserve"> </v>
      </c>
      <c r="AA44" s="22"/>
      <c r="AB44" s="42"/>
      <c r="AC44" s="11" t="str">
        <f>IF(AND(O44&gt;0,AB44="S"),O44*AC$4*(1-M44)," ")</f>
        <v xml:space="preserve"> </v>
      </c>
      <c r="AE44" s="11" t="str">
        <f>IF(AND(AD44="P",AB44&lt;&gt;"S"),N(R44)," ")</f>
      </c>
      <c r="AF44" s="11" t="str">
        <f>IF(AND(AD44="P",AB44="S"),N(AC44)," ")</f>
      </c>
      <c r="AG44" s="11" t="str">
        <f>IF(AD44="P",N(S44)," ")</f>
      </c>
      <c r="AH44" s="11" t="str">
        <f>IF(AND(AD44&lt;&gt;"P",AB44&lt;&gt;"S"),N(S44)," ")</f>
      </c>
      <c r="AI44" s="11" t="str">
        <f>IF(AND(AD44&lt;&gt;"P",AB44="S"),N(S44)," ")</f>
      </c>
    </row>
    <row r="45" spans="1:35" x14ac:dyDescent="0.15">
      <c r="A45" s="101"/>
      <c r="B45" s="42"/>
      <c r="C45" s="75"/>
      <c r="D45" s="43"/>
      <c r="E45" s="44"/>
      <c r="F45" s="44"/>
      <c r="G45" s="7" t="str">
        <f t="shared" si="0"/>
        <v xml:space="preserve"> </v>
      </c>
      <c r="H45" s="13">
        <f t="shared" si="1"/>
        <v>0.25</v>
      </c>
      <c r="I45" s="7" t="str">
        <f t="shared" si="2"/>
        <v xml:space="preserve"> </v>
      </c>
      <c r="J45" s="7" t="str">
        <f t="shared" si="3"/>
        <v xml:space="preserve"> </v>
      </c>
      <c r="K45" s="7" t="str">
        <f t="shared" si="4"/>
        <v xml:space="preserve"> </v>
      </c>
      <c r="L45" s="7"/>
      <c r="M45" s="29">
        <v>0</v>
      </c>
      <c r="N45" s="7"/>
      <c r="O45" s="45"/>
      <c r="P45" s="88"/>
      <c r="Q45" s="11"/>
      <c r="R45" s="11" t="str">
        <f>IF(AND(O45&gt;0,AB45&lt;&gt;"S"),O45*R$4*(1-M45)," ")</f>
        <v xml:space="preserve"> </v>
      </c>
      <c r="S45" s="11" t="str">
        <f>IF(O45&gt;0,O45-N(R45)-N(AC45)," ")</f>
        <v xml:space="preserve"> </v>
      </c>
      <c r="T45" s="11"/>
      <c r="U45" s="42"/>
      <c r="V45" s="44"/>
      <c r="W45" s="7" t="str">
        <f t="shared" si="5"/>
        <v xml:space="preserve"> </v>
      </c>
      <c r="X45" s="7" t="str">
        <f t="shared" si="6"/>
        <v xml:space="preserve"> </v>
      </c>
      <c r="Y45" s="11" t="str">
        <f t="shared" si="7"/>
        <v xml:space="preserve"> </v>
      </c>
      <c r="Z45" s="11" t="str">
        <f t="shared" si="8"/>
        <v xml:space="preserve"> </v>
      </c>
      <c r="AA45" s="22"/>
      <c r="AB45" s="42"/>
      <c r="AC45" s="11" t="str">
        <f>IF(AND(O45&gt;0,AB45="S"),O45*AC$4*(1-M45)," ")</f>
        <v xml:space="preserve"> </v>
      </c>
      <c r="AE45" s="11" t="str">
        <f>IF(AND(AD45="P",AB45&lt;&gt;"S"),N(R45)," ")</f>
      </c>
      <c r="AF45" s="11" t="str">
        <f>IF(AND(AD45="P",AB45="S"),N(AC45)," ")</f>
      </c>
      <c r="AG45" s="11" t="str">
        <f>IF(AD45="P",N(S45)," ")</f>
      </c>
      <c r="AH45" s="11" t="str">
        <f>IF(AND(AD45&lt;&gt;"P",AB45&lt;&gt;"S"),N(S45)," ")</f>
      </c>
      <c r="AI45" s="11" t="str">
        <f>IF(AND(AD45&lt;&gt;"P",AB45="S"),N(S45)," ")</f>
      </c>
    </row>
    <row r="46" spans="1:35" x14ac:dyDescent="0.15">
      <c r="A46" s="101"/>
      <c r="B46" s="42"/>
      <c r="C46" s="75"/>
      <c r="D46" s="43"/>
      <c r="E46" s="44"/>
      <c r="F46" s="44"/>
      <c r="G46" s="7" t="str">
        <f>IF(E46&gt;0,E46-F46," ")</f>
        <v xml:space="preserve"> </v>
      </c>
      <c r="H46" s="13">
        <f t="shared" si="1"/>
        <v>0.25</v>
      </c>
      <c r="I46" s="7" t="str">
        <f>IF(E46&gt;0,MIN(E46*H46,G46)," ")</f>
        <v xml:space="preserve"> </v>
      </c>
      <c r="J46" s="7" t="str">
        <f>IF(E46&gt;0,F46+I46," ")</f>
        <v xml:space="preserve"> </v>
      </c>
      <c r="K46" s="7" t="str">
        <f>IF(E46&gt;0,IF(V46&gt;0,0,E46-J46)," ")</f>
        <v xml:space="preserve"> </v>
      </c>
      <c r="L46" s="7"/>
      <c r="M46" s="29">
        <v>0</v>
      </c>
      <c r="N46" s="7"/>
      <c r="O46" s="45"/>
      <c r="P46" s="88"/>
      <c r="Q46" s="11"/>
      <c r="R46" s="11" t="str">
        <f>IF(AND(O46&gt;0,AB46&lt;&gt;"S"),O46*R$4*(1-M46)," ")</f>
        <v xml:space="preserve"> </v>
      </c>
      <c r="S46" s="11" t="str">
        <f>IF(O46&gt;0,O46-N(R46)-N(AC46)," ")</f>
        <v xml:space="preserve"> </v>
      </c>
      <c r="T46" s="11"/>
      <c r="U46" s="42"/>
      <c r="V46" s="44"/>
      <c r="W46" s="7" t="str">
        <f>IF(V46&gt;0,E46," ")</f>
        <v xml:space="preserve"> </v>
      </c>
      <c r="X46" s="7" t="str">
        <f>IF(V46&gt;0,J46," ")</f>
        <v xml:space="preserve"> </v>
      </c>
      <c r="Y46" s="11" t="str">
        <f>IF((U46+V46)&gt;0,IF(V46&lt;S46,(S46-V46)*(1-M46)," ")," ")</f>
        <v xml:space="preserve"> </v>
      </c>
      <c r="Z46" s="11" t="str">
        <f>IF((U46+V46)&gt;0,IF(V46&gt;S46,(V46-S46)*(1-M46)," ")," ")</f>
        <v xml:space="preserve"> </v>
      </c>
      <c r="AA46" s="22"/>
      <c r="AB46" s="42"/>
      <c r="AC46" s="11" t="str">
        <f>IF(AND(O46&gt;0,AB46="S"),O46*AC$4*(1-M46)," ")</f>
        <v xml:space="preserve"> </v>
      </c>
      <c r="AE46" s="11" t="str">
        <f>IF(AND(AD46="P",AB46&lt;&gt;"S"),N(R46)," ")</f>
      </c>
      <c r="AF46" s="11" t="str">
        <f>IF(AND(AD46="P",AB46="S"),N(AC46)," ")</f>
      </c>
      <c r="AG46" s="11" t="str">
        <f>IF(AD46="P",N(S46)," ")</f>
      </c>
      <c r="AH46" s="11" t="str">
        <f>IF(AND(AD46&lt;&gt;"P",AB46&lt;&gt;"S"),N(S46)," ")</f>
      </c>
      <c r="AI46" s="11" t="str">
        <f>IF(AND(AD46&lt;&gt;"P",AB46="S"),N(S46)," ")</f>
      </c>
    </row>
    <row r="47" spans="1:35" x14ac:dyDescent="0.15">
      <c r="A47" s="101"/>
      <c r="B47" s="42"/>
      <c r="C47" s="75"/>
      <c r="D47" s="43"/>
      <c r="E47" s="44"/>
      <c r="F47" s="44"/>
      <c r="G47" s="7" t="str">
        <f>IF(E47&gt;0,E47-F47," ")</f>
        <v xml:space="preserve"> </v>
      </c>
      <c r="H47" s="13">
        <f t="shared" si="1"/>
        <v>0.25</v>
      </c>
      <c r="I47" s="7" t="str">
        <f>IF(E47&gt;0,MIN(E47*H47,G47)," ")</f>
        <v xml:space="preserve"> </v>
      </c>
      <c r="J47" s="7" t="str">
        <f>IF(E47&gt;0,F47+I47," ")</f>
        <v xml:space="preserve"> </v>
      </c>
      <c r="K47" s="7" t="str">
        <f>IF(E47&gt;0,IF(V47&gt;0,0,E47-J47)," ")</f>
        <v xml:space="preserve"> </v>
      </c>
      <c r="L47" s="7"/>
      <c r="M47" s="29">
        <v>0</v>
      </c>
      <c r="N47" s="7"/>
      <c r="O47" s="45"/>
      <c r="P47" s="88"/>
      <c r="Q47" s="11"/>
      <c r="R47" s="11" t="str">
        <f>IF(AND(O47&gt;0,AB47&lt;&gt;"S"),O47*R$4*(1-M47)," ")</f>
        <v xml:space="preserve"> </v>
      </c>
      <c r="S47" s="11" t="str">
        <f>IF(O47&gt;0,O47-N(R47)-N(AC47)," ")</f>
        <v xml:space="preserve"> </v>
      </c>
      <c r="T47" s="11"/>
      <c r="U47" s="42"/>
      <c r="V47" s="44"/>
      <c r="W47" s="7" t="str">
        <f>IF(V47&gt;0,E47," ")</f>
        <v xml:space="preserve"> </v>
      </c>
      <c r="X47" s="7" t="str">
        <f>IF(V47&gt;0,J47," ")</f>
        <v xml:space="preserve"> </v>
      </c>
      <c r="Y47" s="11" t="str">
        <f>IF((U47+V47)&gt;0,IF(V47&lt;S47,(S47-V47)*(1-M47)," ")," ")</f>
        <v xml:space="preserve"> </v>
      </c>
      <c r="Z47" s="11" t="str">
        <f>IF((U47+V47)&gt;0,IF(V47&gt;S47,(V47-S47)*(1-M47)," ")," ")</f>
        <v xml:space="preserve"> </v>
      </c>
      <c r="AA47" s="22"/>
      <c r="AB47" s="42"/>
      <c r="AC47" s="11" t="str">
        <f>IF(AND(O47&gt;0,AB47="S"),O47*AC$4*(1-M47)," ")</f>
        <v xml:space="preserve"> </v>
      </c>
      <c r="AE47" s="11" t="str">
        <f>IF(AND(AD47="P",AB47&lt;&gt;"S"),N(R47)," ")</f>
      </c>
      <c r="AF47" s="11" t="str">
        <f>IF(AND(AD47="P",AB47="S"),N(AC47)," ")</f>
      </c>
      <c r="AG47" s="11" t="str">
        <f>IF(AD47="P",N(S47)," ")</f>
      </c>
      <c r="AH47" s="11" t="str">
        <f>IF(AND(AD47&lt;&gt;"P",AB47&lt;&gt;"S"),N(S47)," ")</f>
      </c>
      <c r="AI47" s="11" t="str">
        <f>IF(AND(AD47&lt;&gt;"P",AB47="S"),N(S47)," ")</f>
      </c>
    </row>
    <row r="48" spans="1:35" x14ac:dyDescent="0.15">
      <c r="A48" s="101"/>
      <c r="B48" s="42"/>
      <c r="C48" s="75"/>
      <c r="D48" s="43"/>
      <c r="E48" s="44"/>
      <c r="F48" s="44"/>
      <c r="G48" s="7" t="str">
        <f>IF(E48&gt;0,E48-F48," ")</f>
        <v xml:space="preserve"> </v>
      </c>
      <c r="H48" s="13">
        <f t="shared" si="1"/>
        <v>0.25</v>
      </c>
      <c r="I48" s="7" t="str">
        <f>IF(E48&gt;0,MIN(E48*H48,G48)," ")</f>
        <v xml:space="preserve"> </v>
      </c>
      <c r="J48" s="7" t="str">
        <f>IF(E48&gt;0,F48+I48," ")</f>
        <v xml:space="preserve"> </v>
      </c>
      <c r="K48" s="7" t="str">
        <f>IF(E48&gt;0,IF(V48&gt;0,0,E48-J48)," ")</f>
        <v xml:space="preserve"> </v>
      </c>
      <c r="L48" s="7"/>
      <c r="M48" s="29">
        <v>0</v>
      </c>
      <c r="N48" s="7"/>
      <c r="O48" s="45"/>
      <c r="P48" s="88"/>
      <c r="Q48" s="11"/>
      <c r="R48" s="11" t="str">
        <f>IF(AND(O48&gt;0,AB48&lt;&gt;"S"),O48*R$4*(1-M48)," ")</f>
        <v xml:space="preserve"> </v>
      </c>
      <c r="S48" s="11" t="str">
        <f>IF(O48&gt;0,O48-N(R48)-N(AC48)," ")</f>
        <v xml:space="preserve"> </v>
      </c>
      <c r="T48" s="11"/>
      <c r="U48" s="42"/>
      <c r="V48" s="44"/>
      <c r="W48" s="7" t="str">
        <f>IF(V48&gt;0,E48," ")</f>
        <v xml:space="preserve"> </v>
      </c>
      <c r="X48" s="7" t="str">
        <f>IF(V48&gt;0,J48," ")</f>
        <v xml:space="preserve"> </v>
      </c>
      <c r="Y48" s="11" t="str">
        <f>IF((U48+V48)&gt;0,IF(V48&lt;S48,(S48-V48)*(1-M48)," ")," ")</f>
        <v xml:space="preserve"> </v>
      </c>
      <c r="Z48" s="11" t="str">
        <f>IF((U48+V48)&gt;0,IF(V48&gt;S48,(V48-S48)*(1-M48)," ")," ")</f>
        <v xml:space="preserve"> </v>
      </c>
      <c r="AA48" s="22"/>
      <c r="AB48" s="42"/>
      <c r="AC48" s="11" t="str">
        <f>IF(AND(O48&gt;0,AB48="S"),O48*AC$4*(1-M48)," ")</f>
        <v xml:space="preserve"> </v>
      </c>
      <c r="AE48" s="11" t="str">
        <f>IF(AND(AD48="P",AB48&lt;&gt;"S"),N(R48)," ")</f>
      </c>
      <c r="AF48" s="11" t="str">
        <f>IF(AND(AD48="P",AB48="S"),N(AC48)," ")</f>
      </c>
      <c r="AG48" s="11" t="str">
        <f>IF(AD48="P",N(S48)," ")</f>
      </c>
      <c r="AH48" s="11" t="str">
        <f>IF(AND(AD48&lt;&gt;"P",AB48&lt;&gt;"S"),N(S48)," ")</f>
      </c>
      <c r="AI48" s="11" t="str">
        <f>IF(AND(AD48&lt;&gt;"P",AB48="S"),N(S48)," ")</f>
      </c>
    </row>
    <row r="49" spans="1:35" x14ac:dyDescent="0.15">
      <c r="A49" s="101"/>
      <c r="B49" s="122" t="s">
        <v>54</v>
      </c>
      <c r="C49" s="122"/>
      <c r="D49" s="32"/>
      <c r="E49" s="7"/>
      <c r="F49" s="7"/>
      <c r="G49" s="7"/>
      <c r="H49" s="13"/>
      <c r="I49" s="7"/>
      <c r="J49" s="7"/>
      <c r="K49" s="7"/>
      <c r="L49" s="7"/>
      <c r="M49" s="13"/>
      <c r="N49" s="7"/>
      <c r="O49" s="11"/>
      <c r="P49" s="88"/>
      <c r="Q49" s="11"/>
      <c r="R49" s="11"/>
      <c r="S49" s="11"/>
      <c r="T49" s="11"/>
      <c r="U49" s="12"/>
      <c r="V49" s="7"/>
      <c r="W49" s="7"/>
      <c r="X49" s="7"/>
      <c r="Y49" s="11"/>
      <c r="Z49" s="11"/>
      <c r="AA49" s="22"/>
    </row>
    <row r="50" spans="1:35" x14ac:dyDescent="0.15">
      <c r="A50" s="101"/>
      <c r="B50" s="42"/>
      <c r="C50" s="75"/>
      <c r="D50" s="43"/>
      <c r="E50" s="44"/>
      <c r="F50" s="44"/>
      <c r="G50" s="7" t="str">
        <f t="shared" si="0"/>
        <v xml:space="preserve"> </v>
      </c>
      <c r="H50" s="13">
        <f t="shared" si="1"/>
        <v>0.25</v>
      </c>
      <c r="I50" s="7" t="str">
        <f t="shared" si="2"/>
        <v xml:space="preserve"> </v>
      </c>
      <c r="J50" s="7" t="str">
        <f t="shared" si="3"/>
        <v xml:space="preserve"> </v>
      </c>
      <c r="K50" s="7" t="str">
        <f t="shared" si="4"/>
        <v xml:space="preserve"> </v>
      </c>
      <c r="L50" s="7"/>
      <c r="M50" s="29">
        <v>0</v>
      </c>
      <c r="N50" s="7"/>
      <c r="O50" s="45"/>
      <c r="P50" s="88"/>
      <c r="Q50" s="11"/>
      <c r="R50" s="11" t="str">
        <f>IF(AND(O50&gt;0,AB50&lt;&gt;"S"),O50*R$4," ")</f>
        <v xml:space="preserve"> </v>
      </c>
      <c r="S50" s="11" t="str">
        <f>IF(O50&gt;0,O50-N(R50)-N(AC50)," ")</f>
        <v xml:space="preserve"> </v>
      </c>
      <c r="T50" s="11"/>
      <c r="U50" s="42"/>
      <c r="V50" s="44"/>
      <c r="W50" s="7" t="str">
        <f t="shared" si="5"/>
        <v xml:space="preserve"> </v>
      </c>
      <c r="X50" s="7" t="str">
        <f t="shared" si="6"/>
        <v xml:space="preserve"> </v>
      </c>
      <c r="Y50" s="11" t="str">
        <f t="shared" si="7"/>
        <v xml:space="preserve"> </v>
      </c>
      <c r="Z50" s="11" t="str">
        <f t="shared" si="8"/>
        <v xml:space="preserve"> </v>
      </c>
      <c r="AA50" s="22"/>
      <c r="AB50" s="42"/>
      <c r="AC50" s="11" t="str">
        <f>IF(AND(O50&gt;0,AB50="S"),O50*AC$4," ")</f>
        <v xml:space="preserve"> </v>
      </c>
      <c r="AE50" s="11" t="str">
        <f>IF(AND(AD50="P",AB50&lt;&gt;"S"),N(R50)," ")</f>
      </c>
      <c r="AF50" s="11" t="str">
        <f>IF(AND(AD50="P",AB50="S"),N(AC50)," ")</f>
      </c>
      <c r="AG50" s="11" t="str">
        <f>IF(AD50="P",N(S50)," ")</f>
      </c>
      <c r="AH50" s="11" t="str">
        <f>IF(AND(AD50&lt;&gt;"P",AB50&lt;&gt;"S"),N(S50)," ")</f>
      </c>
      <c r="AI50" s="11" t="str">
        <f>IF(AND(AD50&lt;&gt;"P",AB50="S"),N(S50)," ")</f>
      </c>
    </row>
    <row r="51" spans="1:35" x14ac:dyDescent="0.15">
      <c r="A51" s="101"/>
      <c r="B51" s="42"/>
      <c r="C51" s="75"/>
      <c r="D51" s="43"/>
      <c r="E51" s="44"/>
      <c r="F51" s="44"/>
      <c r="G51" s="7" t="str">
        <f t="shared" si="0"/>
        <v xml:space="preserve"> </v>
      </c>
      <c r="H51" s="13">
        <f t="shared" si="1"/>
        <v>0.25</v>
      </c>
      <c r="I51" s="7" t="str">
        <f t="shared" si="2"/>
        <v xml:space="preserve"> </v>
      </c>
      <c r="J51" s="7" t="str">
        <f t="shared" si="3"/>
        <v xml:space="preserve"> </v>
      </c>
      <c r="K51" s="7" t="str">
        <f t="shared" si="4"/>
        <v xml:space="preserve"> </v>
      </c>
      <c r="L51" s="7"/>
      <c r="M51" s="29">
        <v>0</v>
      </c>
      <c r="N51" s="7"/>
      <c r="O51" s="45"/>
      <c r="P51" s="88"/>
      <c r="Q51" s="11"/>
      <c r="R51" s="11" t="str">
        <f>IF(AND(O51&gt;0,AB51&lt;&gt;"S"),O51*R$4," ")</f>
        <v xml:space="preserve"> </v>
      </c>
      <c r="S51" s="11" t="str">
        <f>IF(O51&gt;0,O51-N(R51)-N(AC51)," ")</f>
        <v xml:space="preserve"> </v>
      </c>
      <c r="T51" s="11"/>
      <c r="U51" s="42"/>
      <c r="V51" s="44"/>
      <c r="W51" s="7" t="str">
        <f t="shared" si="5"/>
        <v xml:space="preserve"> </v>
      </c>
      <c r="X51" s="7" t="str">
        <f t="shared" si="6"/>
        <v xml:space="preserve"> </v>
      </c>
      <c r="Y51" s="11" t="str">
        <f t="shared" si="7"/>
        <v xml:space="preserve"> </v>
      </c>
      <c r="Z51" s="11" t="str">
        <f t="shared" si="8"/>
        <v xml:space="preserve"> </v>
      </c>
      <c r="AA51" s="22"/>
      <c r="AB51" s="42"/>
      <c r="AC51" s="11" t="str">
        <f>IF(AND(O51&gt;0,AB51="S"),O51*AC$4," ")</f>
        <v xml:space="preserve"> </v>
      </c>
      <c r="AE51" s="11" t="str">
        <f>IF(AND(AD51="P",AB51&lt;&gt;"S"),N(R51)," ")</f>
      </c>
      <c r="AF51" s="11" t="str">
        <f>IF(AND(AD51="P",AB51="S"),N(AC51)," ")</f>
      </c>
      <c r="AG51" s="11" t="str">
        <f>IF(AD51="P",N(S51)," ")</f>
      </c>
      <c r="AH51" s="11" t="str">
        <f>IF(AND(AD51&lt;&gt;"P",AB51&lt;&gt;"S"),N(S51)," ")</f>
      </c>
      <c r="AI51" s="11" t="str">
        <f>IF(AND(AD51&lt;&gt;"P",AB51="S"),N(S51)," ")</f>
      </c>
    </row>
    <row r="52" spans="1:35" x14ac:dyDescent="0.15">
      <c r="A52" s="101"/>
      <c r="B52" s="42"/>
      <c r="C52" s="75"/>
      <c r="D52" s="43"/>
      <c r="E52" s="44"/>
      <c r="F52" s="44"/>
      <c r="G52" s="7" t="str">
        <f t="shared" si="0"/>
        <v xml:space="preserve"> </v>
      </c>
      <c r="H52" s="13">
        <f t="shared" si="1"/>
        <v>0.25</v>
      </c>
      <c r="I52" s="7" t="str">
        <f t="shared" si="2"/>
        <v xml:space="preserve"> </v>
      </c>
      <c r="J52" s="7" t="str">
        <f t="shared" si="3"/>
        <v xml:space="preserve"> </v>
      </c>
      <c r="K52" s="7" t="str">
        <f t="shared" si="4"/>
        <v xml:space="preserve"> </v>
      </c>
      <c r="L52" s="7"/>
      <c r="M52" s="29">
        <v>0</v>
      </c>
      <c r="N52" s="7"/>
      <c r="O52" s="45"/>
      <c r="P52" s="88"/>
      <c r="Q52" s="11"/>
      <c r="R52" s="11" t="str">
        <f>IF(AND(O52&gt;0,AB52&lt;&gt;"S"),O52*R$4," ")</f>
        <v xml:space="preserve"> </v>
      </c>
      <c r="S52" s="11" t="str">
        <f>IF(O52&gt;0,O52-N(R52)-N(AC52)," ")</f>
        <v xml:space="preserve"> </v>
      </c>
      <c r="T52" s="11"/>
      <c r="U52" s="42"/>
      <c r="V52" s="44"/>
      <c r="W52" s="7" t="str">
        <f t="shared" si="5"/>
        <v xml:space="preserve"> </v>
      </c>
      <c r="X52" s="7" t="str">
        <f t="shared" si="6"/>
        <v xml:space="preserve"> </v>
      </c>
      <c r="Y52" s="11" t="str">
        <f t="shared" si="7"/>
        <v xml:space="preserve"> </v>
      </c>
      <c r="Z52" s="11" t="str">
        <f t="shared" si="8"/>
        <v xml:space="preserve"> </v>
      </c>
      <c r="AA52" s="22"/>
      <c r="AB52" s="42"/>
      <c r="AC52" s="11" t="str">
        <f>IF(AND(O52&gt;0,AB52="S"),O52*AC$4," ")</f>
        <v xml:space="preserve"> </v>
      </c>
      <c r="AE52" s="11" t="str">
        <f>IF(AND(AD52="P",AB52&lt;&gt;"S"),N(R52)," ")</f>
      </c>
      <c r="AF52" s="11" t="str">
        <f>IF(AND(AD52="P",AB52="S"),N(AC52)," ")</f>
      </c>
      <c r="AG52" s="11" t="str">
        <f>IF(AD52="P",N(S52)," ")</f>
      </c>
      <c r="AH52" s="11" t="str">
        <f>IF(AND(AD52&lt;&gt;"P",AB52&lt;&gt;"S"),N(S52)," ")</f>
      </c>
      <c r="AI52" s="11" t="str">
        <f>IF(AND(AD52&lt;&gt;"P",AB52="S"),N(S52)," ")</f>
      </c>
    </row>
    <row r="53" spans="1:35" x14ac:dyDescent="0.15">
      <c r="A53" s="101"/>
      <c r="B53" s="42"/>
      <c r="C53" s="75"/>
      <c r="D53" s="43"/>
      <c r="E53" s="44"/>
      <c r="F53" s="44"/>
      <c r="G53" s="7" t="str">
        <f t="shared" si="0"/>
        <v xml:space="preserve"> </v>
      </c>
      <c r="H53" s="13">
        <f t="shared" si="1"/>
        <v>0.25</v>
      </c>
      <c r="I53" s="7" t="str">
        <f t="shared" si="2"/>
        <v xml:space="preserve"> </v>
      </c>
      <c r="J53" s="7" t="str">
        <f t="shared" si="3"/>
        <v xml:space="preserve"> </v>
      </c>
      <c r="K53" s="7" t="str">
        <f t="shared" si="4"/>
        <v xml:space="preserve"> </v>
      </c>
      <c r="L53" s="7"/>
      <c r="M53" s="29">
        <v>0</v>
      </c>
      <c r="N53" s="7"/>
      <c r="O53" s="45"/>
      <c r="P53" s="88"/>
      <c r="Q53" s="11"/>
      <c r="R53" s="11" t="str">
        <f>IF(AND(O53&gt;0,AB53&lt;&gt;"S"),O53*R$4," ")</f>
        <v xml:space="preserve"> </v>
      </c>
      <c r="S53" s="11" t="str">
        <f>IF(O53&gt;0,O53-N(R53)-N(AC53)," ")</f>
        <v xml:space="preserve"> </v>
      </c>
      <c r="T53" s="11"/>
      <c r="U53" s="42"/>
      <c r="V53" s="44"/>
      <c r="W53" s="7" t="str">
        <f t="shared" si="5"/>
        <v xml:space="preserve"> </v>
      </c>
      <c r="X53" s="7" t="str">
        <f t="shared" si="6"/>
        <v xml:space="preserve"> </v>
      </c>
      <c r="Y53" s="11" t="str">
        <f t="shared" si="7"/>
        <v xml:space="preserve"> </v>
      </c>
      <c r="Z53" s="11" t="str">
        <f t="shared" si="8"/>
        <v xml:space="preserve"> </v>
      </c>
      <c r="AA53" s="22"/>
      <c r="AB53" s="42"/>
      <c r="AC53" s="11" t="str">
        <f>IF(AND(O53&gt;0,AB53="S"),O53*AC$4," ")</f>
        <v xml:space="preserve"> </v>
      </c>
      <c r="AE53" s="11" t="str">
        <f>IF(AND(AD53="P",AB53&lt;&gt;"S"),N(R53)," ")</f>
      </c>
      <c r="AF53" s="11" t="str">
        <f>IF(AND(AD53="P",AB53="S"),N(AC53)," ")</f>
      </c>
      <c r="AG53" s="11" t="str">
        <f>IF(AD53="P",N(S53)," ")</f>
      </c>
      <c r="AH53" s="11" t="str">
        <f>IF(AND(AD53&lt;&gt;"P",AB53&lt;&gt;"S"),N(S53)," ")</f>
      </c>
      <c r="AI53" s="11" t="str">
        <f>IF(AND(AD53&lt;&gt;"P",AB53="S"),N(S53)," ")</f>
      </c>
    </row>
    <row r="54" spans="1:35" x14ac:dyDescent="0.15">
      <c r="A54" s="101"/>
      <c r="B54" s="42"/>
      <c r="C54" s="75"/>
      <c r="D54" s="43"/>
      <c r="E54" s="44"/>
      <c r="F54" s="44"/>
      <c r="G54" s="7" t="str">
        <f t="shared" si="0"/>
        <v xml:space="preserve"> </v>
      </c>
      <c r="H54" s="13">
        <f t="shared" si="1"/>
        <v>0.25</v>
      </c>
      <c r="I54" s="7" t="str">
        <f t="shared" si="2"/>
        <v xml:space="preserve"> </v>
      </c>
      <c r="J54" s="7" t="str">
        <f t="shared" si="3"/>
        <v xml:space="preserve"> </v>
      </c>
      <c r="K54" s="7" t="str">
        <f t="shared" si="4"/>
        <v xml:space="preserve"> </v>
      </c>
      <c r="L54" s="7"/>
      <c r="M54" s="29">
        <v>0</v>
      </c>
      <c r="N54" s="7"/>
      <c r="O54" s="45"/>
      <c r="P54" s="88"/>
      <c r="Q54" s="11"/>
      <c r="R54" s="11" t="str">
        <f>IF(AND(O54&gt;0,AB54&lt;&gt;"S"),O54*R$4," ")</f>
        <v xml:space="preserve"> </v>
      </c>
      <c r="S54" s="11" t="str">
        <f>IF(O54&gt;0,O54-N(R54)-N(AC54)," ")</f>
        <v xml:space="preserve"> </v>
      </c>
      <c r="T54" s="11"/>
      <c r="U54" s="42"/>
      <c r="V54" s="44"/>
      <c r="W54" s="7" t="str">
        <f t="shared" si="5"/>
        <v xml:space="preserve"> </v>
      </c>
      <c r="X54" s="7" t="str">
        <f t="shared" si="6"/>
        <v xml:space="preserve"> </v>
      </c>
      <c r="Y54" s="11" t="str">
        <f t="shared" si="7"/>
        <v xml:space="preserve"> </v>
      </c>
      <c r="Z54" s="11" t="str">
        <f t="shared" si="8"/>
        <v xml:space="preserve"> </v>
      </c>
      <c r="AA54" s="22"/>
      <c r="AB54" s="42"/>
      <c r="AC54" s="11" t="str">
        <f>IF(AND(O54&gt;0,AB54="S"),O54*AC$4," ")</f>
        <v xml:space="preserve"> </v>
      </c>
      <c r="AE54" s="11" t="str">
        <f>IF(AND(AD54="P",AB54&lt;&gt;"S"),N(R54)," ")</f>
      </c>
      <c r="AF54" s="11" t="str">
        <f>IF(AND(AD54="P",AB54="S"),N(AC54)," ")</f>
      </c>
      <c r="AG54" s="11" t="str">
        <f>IF(AD54="P",N(S54)," ")</f>
      </c>
      <c r="AH54" s="11" t="str">
        <f>IF(AND(AD54&lt;&gt;"P",AB54&lt;&gt;"S"),N(S54)," ")</f>
      </c>
      <c r="AI54" s="11" t="str">
        <f>IF(AND(AD54&lt;&gt;"P",AB54="S"),N(S54)," ")</f>
      </c>
    </row>
    <row r="55" spans="1:35" x14ac:dyDescent="0.15">
      <c r="A55" s="101"/>
      <c r="B55" s="117" t="s">
        <v>71</v>
      </c>
      <c r="C55" s="118"/>
      <c r="D55" s="119"/>
      <c r="E55" s="17">
        <f>SUM(E38:E54)</f>
        <v>0</v>
      </c>
      <c r="F55" s="17">
        <f>SUM(F38:F54)</f>
        <v>0</v>
      </c>
      <c r="G55" s="17">
        <f>SUM(G38:G54)</f>
        <v>0</v>
      </c>
      <c r="H55" s="13"/>
      <c r="I55" s="17">
        <f>SUM(I38:I54)</f>
        <v>0</v>
      </c>
      <c r="J55" s="17">
        <f>SUM(J38:J54)</f>
        <v>0</v>
      </c>
      <c r="K55" s="17">
        <f>SUM(K38:K54)</f>
        <v>0</v>
      </c>
      <c r="L55" s="7"/>
      <c r="M55" s="18"/>
      <c r="N55" s="7"/>
      <c r="O55" s="17">
        <f>SUM(O38:O54)</f>
        <v>0</v>
      </c>
      <c r="P55" s="32"/>
      <c r="Q55" s="17">
        <f>SUM(Q38:Q54)</f>
        <v>0</v>
      </c>
      <c r="R55" s="17">
        <f>SUM(R38:R54)</f>
        <v>0</v>
      </c>
      <c r="S55" s="17">
        <f>SUM(S38:S54)</f>
        <v>0</v>
      </c>
      <c r="T55" s="7"/>
      <c r="U55" s="12"/>
      <c r="V55" s="17">
        <f>SUM(V38:V54)</f>
        <v>0</v>
      </c>
      <c r="W55" s="17">
        <f>SUM(W38:W54)</f>
        <v>0</v>
      </c>
      <c r="X55" s="17">
        <f>SUM(X38:X54)</f>
        <v>0</v>
      </c>
      <c r="Y55" s="17">
        <f>SUM(Y38:Y54)</f>
        <v>0</v>
      </c>
      <c r="Z55" s="17">
        <f>SUM(Z38:Z54)</f>
        <v>0</v>
      </c>
      <c r="AA55" s="22"/>
      <c r="AB55" s="22"/>
      <c r="AC55" s="17">
        <f>SUM(AC38:AC54)</f>
        <v>0</v>
      </c>
      <c r="AE55" s="17">
        <f>SUM(AE38:AE54)</f>
      </c>
      <c r="AF55" s="17">
        <f>SUM(AF38:AF54)</f>
      </c>
      <c r="AG55" s="17">
        <f>SUM(AG38:AG54)</f>
      </c>
      <c r="AH55" s="17">
        <f>SUM(AH38:AH54)</f>
      </c>
      <c r="AI55" s="17">
        <f>SUM(AI38:AI54)</f>
      </c>
    </row>
    <row r="56" spans="1:35" ht="6" customHeight="1" thickBot="1" x14ac:dyDescent="0.2">
      <c r="A56" s="101"/>
      <c r="B56" s="12"/>
      <c r="C56" s="77"/>
      <c r="D56" s="32"/>
      <c r="E56" s="7"/>
      <c r="F56" s="7"/>
      <c r="G56" s="7"/>
      <c r="H56" s="13"/>
      <c r="I56" s="7"/>
      <c r="J56" s="7"/>
      <c r="K56" s="7"/>
      <c r="L56" s="7"/>
      <c r="M56" s="13"/>
      <c r="N56" s="7"/>
      <c r="O56" s="11"/>
      <c r="P56" s="88"/>
      <c r="Q56" s="11"/>
      <c r="R56" s="11"/>
      <c r="S56" s="11"/>
      <c r="T56" s="11"/>
      <c r="U56" s="12"/>
      <c r="V56" s="7"/>
      <c r="W56" s="11"/>
      <c r="X56" s="11"/>
      <c r="Y56" s="11"/>
      <c r="Z56" s="11"/>
      <c r="AA56" s="22"/>
    </row>
    <row r="57" spans="1:35" ht="13.5" customHeight="1" thickBot="1" x14ac:dyDescent="0.2">
      <c r="A57" s="101"/>
      <c r="B57" s="152" t="str">
        <f>B6</f>
        <v xml:space="preserve">EXISTING FIXED ASSETS at </v>
      </c>
      <c r="C57" s="154"/>
      <c r="D57" s="113">
        <f>D6</f>
        <v>45753</v>
      </c>
      <c r="E57" s="19">
        <f>E11+E19+E27+E35+E55</f>
        <v>0</v>
      </c>
      <c r="F57" s="19">
        <f>F11+F19+F27+F35+F55</f>
        <v>0</v>
      </c>
      <c r="G57" s="19">
        <f>G11+G19+G27+G35+G55</f>
        <v>0</v>
      </c>
      <c r="H57" s="13"/>
      <c r="I57" s="19">
        <f>I11+I19+I27+I35+I55</f>
        <v>0</v>
      </c>
      <c r="J57" s="19">
        <f>J11+J19+J27+J35+J55</f>
        <v>0</v>
      </c>
      <c r="K57" s="19">
        <f>K11+K19+K27+K35+K55</f>
        <v>0</v>
      </c>
      <c r="L57" s="7"/>
      <c r="M57" s="13"/>
      <c r="N57" s="7"/>
      <c r="O57" s="19">
        <f>O11+O19+O27+O35+O55</f>
        <v>0</v>
      </c>
      <c r="P57" s="32"/>
      <c r="Q57" s="19">
        <f>Q11+Q19+Q27+Q35+Q55</f>
        <v>0</v>
      </c>
      <c r="R57" s="19">
        <f>R11+R19+R27+R35+R55</f>
        <v>0</v>
      </c>
      <c r="S57" s="19">
        <f>S11+S19+S27+S35+S55</f>
        <v>0</v>
      </c>
      <c r="T57" s="11"/>
      <c r="U57" s="12"/>
      <c r="V57" s="19">
        <f>V11+V19+V27+V35+V55</f>
        <v>0</v>
      </c>
      <c r="W57" s="19">
        <f>W11+W19+W27+W35+W55</f>
        <v>0</v>
      </c>
      <c r="X57" s="19">
        <f>X11+X19+X27+X35+X55</f>
        <v>0</v>
      </c>
      <c r="Y57" s="19">
        <f>Y11+Y19+Y27+Y35+Y55</f>
        <v>0</v>
      </c>
      <c r="Z57" s="19">
        <f>Z11+Z19+Z27+Z35+Z55</f>
        <v>0</v>
      </c>
      <c r="AA57" s="22"/>
      <c r="AB57" s="22"/>
      <c r="AC57" s="19">
        <f>AC11+AC19+AC27+AC35+AC55</f>
        <v>0</v>
      </c>
      <c r="AE57" s="19">
        <f>AE11+AE19+AE27+AE35+AE55</f>
      </c>
      <c r="AF57" s="19">
        <f>AF11+AF19+AF27+AF35+AF55</f>
      </c>
      <c r="AG57" s="19">
        <f>AG11+AG19+AG27+AG35+AG55</f>
      </c>
      <c r="AH57" s="19">
        <f>AH11+AH19+AH27+AH35+AH55</f>
      </c>
      <c r="AI57" s="19">
        <f>AI11+AI19+AI27+AI35+AI55</f>
      </c>
    </row>
    <row r="58" spans="1:35" ht="9" customHeight="1" thickBot="1" x14ac:dyDescent="0.2">
      <c r="A58" s="101"/>
      <c r="B58" s="14"/>
      <c r="C58" s="78"/>
      <c r="D58" s="34"/>
      <c r="E58" s="7"/>
      <c r="F58" s="7"/>
      <c r="G58" s="7"/>
      <c r="H58" s="13"/>
      <c r="I58" s="7"/>
      <c r="J58" s="7"/>
      <c r="K58" s="7"/>
      <c r="L58" s="7"/>
      <c r="M58" s="13"/>
      <c r="N58" s="7"/>
      <c r="O58" s="11"/>
      <c r="P58" s="88"/>
      <c r="Q58" s="11"/>
      <c r="R58" s="11"/>
      <c r="S58" s="11"/>
      <c r="T58" s="11"/>
      <c r="U58" s="12"/>
      <c r="V58" s="7"/>
      <c r="W58" s="7"/>
      <c r="X58" s="7"/>
      <c r="Y58" s="11"/>
      <c r="Z58" s="11"/>
      <c r="AA58" s="22"/>
    </row>
    <row r="59" spans="1:35" ht="13.5" customHeight="1" thickBot="1" x14ac:dyDescent="0.2">
      <c r="A59" s="101"/>
      <c r="B59" s="152" t="s">
        <v>62</v>
      </c>
      <c r="C59" s="153"/>
      <c r="D59" s="113">
        <f>[1]Admin!$B$4</f>
        <v>45753</v>
      </c>
      <c r="E59" s="11"/>
      <c r="F59" s="140"/>
      <c r="G59" s="141"/>
      <c r="H59" s="13"/>
      <c r="I59" s="11"/>
      <c r="J59" s="11"/>
      <c r="K59" s="11"/>
      <c r="L59" s="11"/>
      <c r="M59" s="13"/>
      <c r="N59" s="11"/>
      <c r="O59" s="11"/>
      <c r="P59" s="88"/>
      <c r="Q59" s="11"/>
      <c r="R59" s="11"/>
      <c r="S59" s="11"/>
      <c r="T59" s="11"/>
      <c r="U59" s="12"/>
      <c r="V59" s="7"/>
      <c r="W59" s="7"/>
      <c r="X59" s="7"/>
      <c r="Y59" s="11"/>
      <c r="Z59" s="11"/>
      <c r="AA59" s="22"/>
    </row>
    <row r="60" spans="1:35" ht="12.75" customHeight="1" x14ac:dyDescent="0.15">
      <c r="A60" s="101"/>
      <c r="B60" s="122" t="s">
        <v>10</v>
      </c>
      <c r="C60" s="122"/>
      <c r="D60" s="30"/>
      <c r="E60" s="8"/>
      <c r="F60" s="141"/>
      <c r="G60" s="141"/>
      <c r="H60" s="39">
        <f>H$7</f>
        <v>0</v>
      </c>
      <c r="I60" s="8"/>
      <c r="J60" s="8"/>
      <c r="K60" s="8"/>
      <c r="L60" s="8"/>
      <c r="M60" s="13"/>
      <c r="N60" s="8"/>
      <c r="O60" s="11"/>
      <c r="P60" s="88"/>
      <c r="Q60" s="11"/>
      <c r="R60" s="11"/>
      <c r="S60" s="11"/>
      <c r="T60" s="11"/>
      <c r="U60" s="12"/>
      <c r="V60" s="7"/>
      <c r="W60" s="7"/>
      <c r="X60" s="7"/>
      <c r="Y60" s="11"/>
      <c r="Z60" s="11"/>
      <c r="AA60" s="22"/>
    </row>
    <row r="61" spans="1:35" x14ac:dyDescent="0.15">
      <c r="A61" s="101"/>
      <c r="B61" s="42"/>
      <c r="C61" s="75"/>
      <c r="D61" s="46"/>
      <c r="E61" s="44"/>
      <c r="F61" s="7"/>
      <c r="G61" s="7"/>
      <c r="H61" s="13">
        <f>H$60</f>
        <v>0</v>
      </c>
      <c r="I61" s="7" t="str">
        <f>IF(E61&gt;0,MIN(E61*H61,G61)," ")</f>
        <v xml:space="preserve"> </v>
      </c>
      <c r="J61" s="7" t="str">
        <f>IF(E61&gt;0,F61+I61," ")</f>
        <v xml:space="preserve"> </v>
      </c>
      <c r="K61" s="7" t="str">
        <f>IF(E61&gt;0,IF(V61&gt;0,0,E61-J61)," ")</f>
        <v xml:space="preserve"> </v>
      </c>
      <c r="L61" s="7"/>
      <c r="M61" s="13"/>
      <c r="N61" s="7"/>
      <c r="O61" s="11"/>
      <c r="P61" s="88"/>
      <c r="Q61" s="11"/>
      <c r="R61" s="11"/>
      <c r="S61" s="11"/>
      <c r="T61" s="11"/>
      <c r="U61" s="42"/>
      <c r="V61" s="44"/>
      <c r="W61" s="7" t="str">
        <f>IF(V61&gt;0,E61," ")</f>
        <v xml:space="preserve"> </v>
      </c>
      <c r="X61" s="7" t="str">
        <f>IF(V61&gt;0,J61," ")</f>
        <v xml:space="preserve"> </v>
      </c>
      <c r="Y61" s="11"/>
      <c r="Z61" s="11"/>
      <c r="AA61" s="22"/>
    </row>
    <row r="62" spans="1:35" x14ac:dyDescent="0.15">
      <c r="A62" s="101"/>
      <c r="B62" s="42"/>
      <c r="C62" s="75"/>
      <c r="D62" s="46"/>
      <c r="E62" s="44"/>
      <c r="F62" s="7"/>
      <c r="G62" s="7"/>
      <c r="H62" s="13">
        <f>H$60</f>
        <v>0</v>
      </c>
      <c r="I62" s="7" t="str">
        <f>IF(E62&gt;0,MIN(E62*H62,G62)," ")</f>
        <v xml:space="preserve"> </v>
      </c>
      <c r="J62" s="7" t="str">
        <f>IF(E62&gt;0,F62+I62," ")</f>
        <v xml:space="preserve"> </v>
      </c>
      <c r="K62" s="7" t="str">
        <f>IF(E62&gt;0,IF(V62&gt;0,0,E62-J62)," ")</f>
        <v xml:space="preserve"> </v>
      </c>
      <c r="L62" s="7"/>
      <c r="M62" s="13"/>
      <c r="N62" s="7"/>
      <c r="O62" s="11"/>
      <c r="P62" s="88"/>
      <c r="Q62" s="11"/>
      <c r="R62" s="11"/>
      <c r="S62" s="11"/>
      <c r="T62" s="11"/>
      <c r="U62" s="42"/>
      <c r="V62" s="44"/>
      <c r="W62" s="7" t="str">
        <f>IF(V62&gt;0,E62," ")</f>
        <v xml:space="preserve"> </v>
      </c>
      <c r="X62" s="7" t="str">
        <f>IF(V62&gt;0,J62," ")</f>
        <v xml:space="preserve"> </v>
      </c>
      <c r="Y62" s="11"/>
      <c r="Z62" s="11"/>
      <c r="AA62" s="22"/>
    </row>
    <row r="63" spans="1:35" x14ac:dyDescent="0.15">
      <c r="A63" s="101"/>
      <c r="B63" s="42"/>
      <c r="C63" s="75"/>
      <c r="D63" s="46"/>
      <c r="E63" s="44"/>
      <c r="F63" s="7"/>
      <c r="G63" s="7"/>
      <c r="H63" s="13">
        <f>H$60</f>
        <v>0</v>
      </c>
      <c r="I63" s="7" t="str">
        <f>IF(E63&gt;0,MIN(E63*H63,G63)," ")</f>
        <v xml:space="preserve"> </v>
      </c>
      <c r="J63" s="7" t="str">
        <f>IF(E63&gt;0,F63+I63," ")</f>
        <v xml:space="preserve"> </v>
      </c>
      <c r="K63" s="7" t="str">
        <f>IF(E63&gt;0,IF(V63&gt;0,0,E63-J63)," ")</f>
        <v xml:space="preserve"> </v>
      </c>
      <c r="L63" s="7"/>
      <c r="M63" s="13"/>
      <c r="N63" s="7"/>
      <c r="O63" s="11"/>
      <c r="P63" s="88"/>
      <c r="Q63" s="11"/>
      <c r="R63" s="11"/>
      <c r="S63" s="11"/>
      <c r="T63" s="11"/>
      <c r="U63" s="42"/>
      <c r="V63" s="44"/>
      <c r="W63" s="7" t="str">
        <f>IF(V63&gt;0,E63," ")</f>
        <v xml:space="preserve"> </v>
      </c>
      <c r="X63" s="7" t="str">
        <f>IF(V63&gt;0,J63," ")</f>
        <v xml:space="preserve"> </v>
      </c>
      <c r="Y63" s="11"/>
      <c r="Z63" s="11"/>
      <c r="AA63" s="22"/>
    </row>
    <row r="64" spans="1:35" x14ac:dyDescent="0.15">
      <c r="A64" s="101"/>
      <c r="B64" s="117" t="s">
        <v>12</v>
      </c>
      <c r="C64" s="118"/>
      <c r="D64" s="119"/>
      <c r="E64" s="41">
        <f>SUM(E61:E63)</f>
        <v>0</v>
      </c>
      <c r="F64" s="17">
        <f>SUM(F61:F63)</f>
        <v>0</v>
      </c>
      <c r="G64" s="17">
        <f>SUM(G61:G63)</f>
        <v>0</v>
      </c>
      <c r="H64" s="13"/>
      <c r="I64" s="17">
        <f>SUM(I61:I63)</f>
        <v>0</v>
      </c>
      <c r="J64" s="17">
        <f>SUM(J61:J63)</f>
        <v>0</v>
      </c>
      <c r="K64" s="17">
        <f>SUM(K61:K63)</f>
        <v>0</v>
      </c>
      <c r="L64" s="7"/>
      <c r="M64" s="13"/>
      <c r="N64" s="7"/>
      <c r="O64" s="17">
        <f>SUM(O61:O63)</f>
        <v>0</v>
      </c>
      <c r="P64" s="109"/>
      <c r="Q64" s="17">
        <f>SUM(Q61:Q63)</f>
        <v>0</v>
      </c>
      <c r="R64" s="17">
        <f>SUM(R61:R63)</f>
        <v>0</v>
      </c>
      <c r="S64" s="17">
        <f>SUM(S61:S63)</f>
        <v>0</v>
      </c>
      <c r="T64" s="11"/>
      <c r="U64" s="12"/>
      <c r="V64" s="41">
        <f>SUM(V61:V63)</f>
        <v>0</v>
      </c>
      <c r="W64" s="17">
        <f>SUM(W61:W63)</f>
        <v>0</v>
      </c>
      <c r="X64" s="17">
        <f>SUM(X61:X63)</f>
        <v>0</v>
      </c>
      <c r="Y64" s="17">
        <f>SUM(Y61:Y63)</f>
        <v>0</v>
      </c>
      <c r="Z64" s="17">
        <f>SUM(Z61:Z63)</f>
        <v>0</v>
      </c>
      <c r="AA64" s="22"/>
      <c r="AB64" s="22"/>
      <c r="AC64" s="17">
        <f>SUM(AC61:AC63)</f>
        <v>0</v>
      </c>
      <c r="AE64" s="17">
        <f>SUM(AE61:AE63)</f>
      </c>
      <c r="AF64" s="17">
        <f>SUM(AF61:AF63)</f>
      </c>
      <c r="AG64" s="17">
        <f>SUM(AG61:AG63)</f>
      </c>
      <c r="AH64" s="17">
        <f>SUM(AH61:AH63)</f>
      </c>
      <c r="AI64" s="17">
        <f>SUM(AI61:AI63)</f>
      </c>
    </row>
    <row r="65" spans="1:35" ht="6" customHeight="1" x14ac:dyDescent="0.15">
      <c r="A65" s="101"/>
      <c r="B65" s="37"/>
      <c r="C65" s="76"/>
      <c r="D65" s="38"/>
      <c r="E65" s="7"/>
      <c r="F65" s="7"/>
      <c r="G65" s="7"/>
      <c r="H65" s="13"/>
      <c r="I65" s="7"/>
      <c r="J65" s="7"/>
      <c r="K65" s="7"/>
      <c r="L65" s="7"/>
      <c r="M65" s="13"/>
      <c r="N65" s="7"/>
      <c r="O65" s="7"/>
      <c r="P65" s="32"/>
      <c r="Q65" s="7"/>
      <c r="R65" s="7"/>
      <c r="S65" s="7"/>
      <c r="T65" s="11"/>
      <c r="U65" s="12"/>
      <c r="V65" s="7"/>
      <c r="W65" s="7"/>
      <c r="X65" s="7"/>
      <c r="Y65" s="7"/>
      <c r="Z65" s="7"/>
      <c r="AA65" s="22"/>
    </row>
    <row r="66" spans="1:35" ht="12" customHeight="1" x14ac:dyDescent="0.15">
      <c r="A66" s="101"/>
      <c r="B66" s="122" t="s">
        <v>9</v>
      </c>
      <c r="C66" s="122"/>
      <c r="D66" s="32"/>
      <c r="E66" s="7"/>
      <c r="F66" s="7"/>
      <c r="G66" s="7"/>
      <c r="H66" s="36">
        <f>H$13</f>
        <v>0.1</v>
      </c>
      <c r="I66" s="7"/>
      <c r="J66" s="7"/>
      <c r="K66" s="7"/>
      <c r="L66" s="7"/>
      <c r="M66" s="13"/>
      <c r="N66" s="7"/>
      <c r="O66" s="11"/>
      <c r="P66" s="88"/>
      <c r="Q66" s="11"/>
      <c r="R66" s="11"/>
      <c r="S66" s="11"/>
      <c r="T66" s="11"/>
      <c r="U66" s="12"/>
      <c r="V66" s="7"/>
      <c r="W66" s="7"/>
      <c r="X66" s="7"/>
      <c r="Y66" s="11"/>
      <c r="Z66" s="11"/>
      <c r="AA66" s="22"/>
    </row>
    <row r="67" spans="1:35" x14ac:dyDescent="0.15">
      <c r="A67" s="101"/>
      <c r="B67" s="42"/>
      <c r="C67" s="75"/>
      <c r="D67" s="43"/>
      <c r="E67" s="44"/>
      <c r="F67" s="7"/>
      <c r="G67" s="7"/>
      <c r="H67" s="13">
        <f>H$66</f>
        <v>0.1</v>
      </c>
      <c r="I67" s="7" t="str">
        <f>IF(E67&gt;0,MIN(E67*H67,G67)," ")</f>
        <v xml:space="preserve"> </v>
      </c>
      <c r="J67" s="7" t="str">
        <f>IF(E67&gt;0,F67+I67," ")</f>
        <v xml:space="preserve"> </v>
      </c>
      <c r="K67" s="7" t="str">
        <f>IF(E67&gt;0,IF(V67&gt;0,0,E67-J67)," ")</f>
        <v xml:space="preserve"> </v>
      </c>
      <c r="L67" s="7"/>
      <c r="M67" s="13"/>
      <c r="N67" s="7"/>
      <c r="O67" s="11"/>
      <c r="P67" s="13">
        <f>P$4</f>
        <v>1</v>
      </c>
      <c r="Q67" s="11" t="str">
        <f>IF(E67&gt;0,E67*P67," ")</f>
        <v xml:space="preserve"> </v>
      </c>
      <c r="R67" s="11"/>
      <c r="S67" s="11" t="str">
        <f>IF(E67&gt;0,E67-Q67," ")</f>
        <v xml:space="preserve"> </v>
      </c>
      <c r="T67" s="11"/>
      <c r="U67" s="42"/>
      <c r="V67" s="44"/>
      <c r="W67" s="7" t="str">
        <f>IF(V67&gt;0,E67," ")</f>
        <v xml:space="preserve"> </v>
      </c>
      <c r="X67" s="7" t="str">
        <f>IF(V67&gt;0,J67," ")</f>
        <v xml:space="preserve"> </v>
      </c>
      <c r="Y67" s="11" t="str">
        <f>IF((U67+V67)&gt;0,IF(V67&lt;S67,S67-V67," ")," ")</f>
        <v xml:space="preserve"> </v>
      </c>
      <c r="Z67" s="11" t="str">
        <f>IF((U67+V67)&gt;0,IF(V67&gt;S67,V67-S67," ")," ")</f>
        <v xml:space="preserve"> </v>
      </c>
      <c r="AA67" s="22"/>
    </row>
    <row r="68" spans="1:35" x14ac:dyDescent="0.15">
      <c r="A68" s="101"/>
      <c r="B68" s="42"/>
      <c r="C68" s="75"/>
      <c r="D68" s="43"/>
      <c r="E68" s="44"/>
      <c r="F68" s="7"/>
      <c r="G68" s="7"/>
      <c r="H68" s="13">
        <f>H$66</f>
        <v>0.1</v>
      </c>
      <c r="I68" s="7" t="str">
        <f>IF(E68&gt;0,MIN(E68*H68,G68)," ")</f>
        <v xml:space="preserve"> </v>
      </c>
      <c r="J68" s="7" t="str">
        <f>IF(E68&gt;0,F68+I68," ")</f>
        <v xml:space="preserve"> </v>
      </c>
      <c r="K68" s="7" t="str">
        <f>IF(E68&gt;0,IF(V68&gt;0,0,E68-J68)," ")</f>
        <v xml:space="preserve"> </v>
      </c>
      <c r="L68" s="7"/>
      <c r="M68" s="13"/>
      <c r="N68" s="7"/>
      <c r="O68" s="11"/>
      <c r="P68" s="13">
        <f>P$4</f>
        <v>1</v>
      </c>
      <c r="Q68" s="11" t="str">
        <f>IF(E68&gt;0,E68*P68," ")</f>
        <v xml:space="preserve"> </v>
      </c>
      <c r="R68" s="11"/>
      <c r="S68" s="11" t="str">
        <f>IF(E68&gt;0,E68-Q68," ")</f>
        <v xml:space="preserve"> </v>
      </c>
      <c r="T68" s="11"/>
      <c r="U68" s="42"/>
      <c r="V68" s="44"/>
      <c r="W68" s="7" t="str">
        <f>IF(V68&gt;0,E68," ")</f>
        <v xml:space="preserve"> </v>
      </c>
      <c r="X68" s="7" t="str">
        <f>IF(V68&gt;0,J68," ")</f>
        <v xml:space="preserve"> </v>
      </c>
      <c r="Y68" s="11" t="str">
        <f>IF((U68+V68)&gt;0,IF(V68&lt;S68,S68-V68," ")," ")</f>
        <v xml:space="preserve"> </v>
      </c>
      <c r="Z68" s="11" t="str">
        <f>IF((U68+V68)&gt;0,IF(V68&gt;S68,V68-S68," ")," ")</f>
        <v xml:space="preserve"> </v>
      </c>
      <c r="AA68" s="22"/>
    </row>
    <row r="69" spans="1:35" x14ac:dyDescent="0.15">
      <c r="A69" s="101"/>
      <c r="B69" s="42"/>
      <c r="C69" s="75"/>
      <c r="D69" s="43"/>
      <c r="E69" s="44"/>
      <c r="F69" s="7"/>
      <c r="G69" s="7"/>
      <c r="H69" s="13">
        <f>H$66</f>
        <v>0.1</v>
      </c>
      <c r="I69" s="7" t="str">
        <f>IF(E69&gt;0,MIN(E69*H69,G69)," ")</f>
        <v xml:space="preserve"> </v>
      </c>
      <c r="J69" s="7" t="str">
        <f>IF(E69&gt;0,F69+I69," ")</f>
        <v xml:space="preserve"> </v>
      </c>
      <c r="K69" s="7" t="str">
        <f>IF(E69&gt;0,IF(V69&gt;0,0,E69-J69)," ")</f>
        <v xml:space="preserve"> </v>
      </c>
      <c r="L69" s="7"/>
      <c r="M69" s="13"/>
      <c r="N69" s="7"/>
      <c r="O69" s="11"/>
      <c r="P69" s="13">
        <f>P$4</f>
        <v>1</v>
      </c>
      <c r="Q69" s="11" t="str">
        <f>IF(E69&gt;0,E69*P69," ")</f>
        <v xml:space="preserve"> </v>
      </c>
      <c r="R69" s="11"/>
      <c r="S69" s="11" t="str">
        <f>IF(E69&gt;0,E69-Q69," ")</f>
        <v xml:space="preserve"> </v>
      </c>
      <c r="T69" s="11"/>
      <c r="U69" s="42"/>
      <c r="V69" s="44"/>
      <c r="W69" s="7" t="str">
        <f>IF(V69&gt;0,E69," ")</f>
        <v xml:space="preserve"> </v>
      </c>
      <c r="X69" s="7" t="str">
        <f>IF(V69&gt;0,J69," ")</f>
        <v xml:space="preserve"> </v>
      </c>
      <c r="Y69" s="11" t="str">
        <f>IF((U69+V69)&gt;0,IF(V69&lt;S69,S69-V69," ")," ")</f>
        <v xml:space="preserve"> </v>
      </c>
      <c r="Z69" s="11" t="str">
        <f>IF((U69+V69)&gt;0,IF(V69&gt;S69,V69-S69," ")," ")</f>
        <v xml:space="preserve"> </v>
      </c>
      <c r="AA69" s="22"/>
    </row>
    <row r="70" spans="1:35" x14ac:dyDescent="0.15">
      <c r="A70" s="101"/>
      <c r="B70" s="42"/>
      <c r="C70" s="75"/>
      <c r="D70" s="43"/>
      <c r="E70" s="44"/>
      <c r="F70" s="7"/>
      <c r="G70" s="7"/>
      <c r="H70" s="13">
        <f>H$66</f>
        <v>0.1</v>
      </c>
      <c r="I70" s="7" t="str">
        <f>IF(E70&gt;0,MIN(E70*H70,G70)," ")</f>
        <v xml:space="preserve"> </v>
      </c>
      <c r="J70" s="7" t="str">
        <f>IF(E70&gt;0,F70+I70," ")</f>
        <v xml:space="preserve"> </v>
      </c>
      <c r="K70" s="7" t="str">
        <f>IF(E70&gt;0,IF(V70&gt;0,0,E70-J70)," ")</f>
        <v xml:space="preserve"> </v>
      </c>
      <c r="L70" s="7"/>
      <c r="M70" s="13"/>
      <c r="N70" s="7"/>
      <c r="O70" s="11"/>
      <c r="P70" s="13">
        <f>P$4</f>
        <v>1</v>
      </c>
      <c r="Q70" s="11" t="str">
        <f>IF(E70&gt;0,E70*P70," ")</f>
        <v xml:space="preserve"> </v>
      </c>
      <c r="R70" s="11"/>
      <c r="S70" s="11" t="str">
        <f>IF(E70&gt;0,E70-Q70," ")</f>
        <v xml:space="preserve"> </v>
      </c>
      <c r="T70" s="11"/>
      <c r="U70" s="42"/>
      <c r="V70" s="44"/>
      <c r="W70" s="7" t="str">
        <f>IF(V70&gt;0,E70," ")</f>
        <v xml:space="preserve"> </v>
      </c>
      <c r="X70" s="7" t="str">
        <f>IF(V70&gt;0,J70," ")</f>
        <v xml:space="preserve"> </v>
      </c>
      <c r="Y70" s="11" t="str">
        <f>IF((U70+V70)&gt;0,IF(V70&lt;S70,S70-V70," ")," ")</f>
        <v xml:space="preserve"> </v>
      </c>
      <c r="Z70" s="11" t="str">
        <f>IF((U70+V70)&gt;0,IF(V70&gt;S70,V70-S70," ")," ")</f>
        <v xml:space="preserve"> </v>
      </c>
      <c r="AA70" s="22"/>
    </row>
    <row r="71" spans="1:35" x14ac:dyDescent="0.15">
      <c r="A71" s="101"/>
      <c r="B71" s="42"/>
      <c r="C71" s="75"/>
      <c r="D71" s="43"/>
      <c r="E71" s="44"/>
      <c r="F71" s="7"/>
      <c r="G71" s="7"/>
      <c r="H71" s="13">
        <f>H$66</f>
        <v>0.1</v>
      </c>
      <c r="I71" s="7" t="str">
        <f>IF(E71&gt;0,MIN(E71*H71,G71)," ")</f>
        <v xml:space="preserve"> </v>
      </c>
      <c r="J71" s="7" t="str">
        <f>IF(E71&gt;0,F71+I71," ")</f>
        <v xml:space="preserve"> </v>
      </c>
      <c r="K71" s="7" t="str">
        <f>IF(E71&gt;0,IF(V71&gt;0,0,E71-J71)," ")</f>
        <v xml:space="preserve"> </v>
      </c>
      <c r="L71" s="7"/>
      <c r="M71" s="13"/>
      <c r="N71" s="7"/>
      <c r="O71" s="11"/>
      <c r="P71" s="13">
        <f>P$4</f>
        <v>1</v>
      </c>
      <c r="Q71" s="11" t="str">
        <f>IF(E71&gt;0,E71*P71," ")</f>
        <v xml:space="preserve"> </v>
      </c>
      <c r="R71" s="11"/>
      <c r="S71" s="11" t="str">
        <f>IF(E71&gt;0,E71-Q71," ")</f>
        <v xml:space="preserve"> </v>
      </c>
      <c r="T71" s="11"/>
      <c r="U71" s="42"/>
      <c r="V71" s="44"/>
      <c r="W71" s="7" t="str">
        <f>IF(V71&gt;0,E71," ")</f>
        <v xml:space="preserve"> </v>
      </c>
      <c r="X71" s="7" t="str">
        <f>IF(V71&gt;0,J71," ")</f>
        <v xml:space="preserve"> </v>
      </c>
      <c r="Y71" s="11" t="str">
        <f>IF((U71+V71)&gt;0,IF(V71&lt;S71,S71-V71," ")," ")</f>
        <v xml:space="preserve"> </v>
      </c>
      <c r="Z71" s="11" t="str">
        <f>IF((U71+V71)&gt;0,IF(V71&gt;S71,V71-S71," ")," ")</f>
        <v xml:space="preserve"> </v>
      </c>
      <c r="AA71" s="22"/>
    </row>
    <row r="72" spans="1:35" x14ac:dyDescent="0.15">
      <c r="A72" s="101"/>
      <c r="B72" s="117" t="s">
        <v>13</v>
      </c>
      <c r="C72" s="118"/>
      <c r="D72" s="119"/>
      <c r="E72" s="41">
        <f>SUM(E67:E71)</f>
        <v>0</v>
      </c>
      <c r="F72" s="17">
        <f>SUM(F67:F71)</f>
        <v>0</v>
      </c>
      <c r="G72" s="17">
        <f>SUM(G67:G71)</f>
        <v>0</v>
      </c>
      <c r="H72" s="13"/>
      <c r="I72" s="17">
        <f>SUM(I67:I71)</f>
        <v>0</v>
      </c>
      <c r="J72" s="17">
        <f>SUM(J67:J71)</f>
        <v>0</v>
      </c>
      <c r="K72" s="17">
        <f>SUM(K67:K71)</f>
        <v>0</v>
      </c>
      <c r="L72" s="7"/>
      <c r="M72" s="13"/>
      <c r="N72" s="7"/>
      <c r="O72" s="17">
        <f>SUM(O67:O71)</f>
        <v>0</v>
      </c>
      <c r="P72" s="32"/>
      <c r="Q72" s="17">
        <f>SUM(Q67:Q71)</f>
        <v>0</v>
      </c>
      <c r="R72" s="17">
        <f>SUM(R67:R71)</f>
        <v>0</v>
      </c>
      <c r="S72" s="17">
        <f>SUM(S67:S71)</f>
        <v>0</v>
      </c>
      <c r="T72" s="11"/>
      <c r="U72" s="12"/>
      <c r="V72" s="41">
        <f>SUM(V67:V71)</f>
        <v>0</v>
      </c>
      <c r="W72" s="17">
        <f>SUM(W67:W71)</f>
        <v>0</v>
      </c>
      <c r="X72" s="17">
        <f>SUM(X67:X71)</f>
        <v>0</v>
      </c>
      <c r="Y72" s="17">
        <f>SUM(Y67:Y71)</f>
        <v>0</v>
      </c>
      <c r="Z72" s="17">
        <f>SUM(Z67:Z71)</f>
        <v>0</v>
      </c>
      <c r="AA72" s="22"/>
      <c r="AB72" s="22"/>
      <c r="AC72" s="17">
        <f>SUM(AC67:AC71)</f>
        <v>0</v>
      </c>
      <c r="AE72" s="17">
        <f>SUM(AE67:AE71)</f>
      </c>
      <c r="AF72" s="17">
        <f>SUM(AF67:AF71)</f>
      </c>
      <c r="AG72" s="17">
        <f>SUM(AG67:AG71)</f>
      </c>
      <c r="AH72" s="17">
        <f>SUM(AH67:AH71)</f>
      </c>
      <c r="AI72" s="17">
        <f>SUM(AI67:AI71)</f>
      </c>
    </row>
    <row r="73" spans="1:35" ht="6" customHeight="1" x14ac:dyDescent="0.15">
      <c r="A73" s="101"/>
      <c r="B73" s="37"/>
      <c r="C73" s="76"/>
      <c r="D73" s="38"/>
      <c r="E73" s="7"/>
      <c r="F73" s="7"/>
      <c r="G73" s="7"/>
      <c r="H73" s="13"/>
      <c r="I73" s="7"/>
      <c r="J73" s="7"/>
      <c r="K73" s="7"/>
      <c r="L73" s="7"/>
      <c r="M73" s="13"/>
      <c r="N73" s="7"/>
      <c r="O73" s="7"/>
      <c r="P73" s="32"/>
      <c r="Q73" s="7"/>
      <c r="R73" s="7"/>
      <c r="S73" s="7"/>
      <c r="T73" s="11"/>
      <c r="U73" s="12"/>
      <c r="V73" s="7"/>
      <c r="W73" s="7"/>
      <c r="X73" s="7"/>
      <c r="Y73" s="7"/>
      <c r="Z73" s="7"/>
      <c r="AA73" s="22"/>
    </row>
    <row r="74" spans="1:35" x14ac:dyDescent="0.15">
      <c r="A74" s="101"/>
      <c r="B74" s="122" t="s">
        <v>55</v>
      </c>
      <c r="C74" s="122"/>
      <c r="D74" s="32"/>
      <c r="E74" s="7"/>
      <c r="F74" s="7"/>
      <c r="G74" s="7"/>
      <c r="H74" s="36">
        <f>H$21</f>
        <v>0.2</v>
      </c>
      <c r="I74" s="7"/>
      <c r="J74" s="7"/>
      <c r="K74" s="7"/>
      <c r="L74" s="7"/>
      <c r="M74" s="13"/>
      <c r="N74" s="7"/>
      <c r="O74" s="11"/>
      <c r="P74" s="88"/>
      <c r="Q74" s="11"/>
      <c r="R74" s="11"/>
      <c r="S74" s="11"/>
      <c r="T74" s="11"/>
      <c r="U74" s="12"/>
      <c r="V74" s="7"/>
      <c r="W74" s="7"/>
      <c r="X74" s="7"/>
      <c r="Y74" s="11"/>
      <c r="Z74" s="11"/>
      <c r="AA74" s="22"/>
    </row>
    <row r="75" spans="1:35" ht="12" customHeight="1" x14ac:dyDescent="0.15">
      <c r="A75" s="101"/>
      <c r="B75" s="42"/>
      <c r="C75" s="75"/>
      <c r="D75" s="46"/>
      <c r="E75" s="44"/>
      <c r="F75" s="7"/>
      <c r="G75" s="7"/>
      <c r="H75" s="13">
        <f>H$74</f>
        <v>0.2</v>
      </c>
      <c r="I75" s="7" t="str">
        <f>IF(E75&gt;0,MIN(E75*H75,G75)," ")</f>
        <v xml:space="preserve"> </v>
      </c>
      <c r="J75" s="7" t="str">
        <f>IF(E75&gt;0,F75+I75," ")</f>
        <v xml:space="preserve"> </v>
      </c>
      <c r="K75" s="7" t="str">
        <f>IF(E75&gt;0,IF(V75&gt;0,0,E75-J75)," ")</f>
        <v xml:space="preserve"> </v>
      </c>
      <c r="L75" s="7"/>
      <c r="M75" s="13"/>
      <c r="N75" s="7"/>
      <c r="O75" s="11"/>
      <c r="P75" s="13">
        <f>P$4</f>
        <v>1</v>
      </c>
      <c r="Q75" s="11" t="str">
        <f>IF(E75&gt;0,E75*P75," ")</f>
        <v xml:space="preserve"> </v>
      </c>
      <c r="R75" s="11"/>
      <c r="S75" s="11" t="str">
        <f>IF(E75&gt;0,E75-Q75," ")</f>
        <v xml:space="preserve"> </v>
      </c>
      <c r="T75" s="11"/>
      <c r="U75" s="42"/>
      <c r="V75" s="44"/>
      <c r="W75" s="7" t="str">
        <f>IF(V75&gt;0,E75," ")</f>
        <v xml:space="preserve"> </v>
      </c>
      <c r="X75" s="7" t="str">
        <f>IF(V75&gt;0,J75," ")</f>
        <v xml:space="preserve"> </v>
      </c>
      <c r="Y75" s="11" t="str">
        <f>IF((U75+V75)&gt;0,IF(V75&lt;S75,S75-V75," ")," ")</f>
        <v xml:space="preserve"> </v>
      </c>
      <c r="Z75" s="11" t="str">
        <f>IF((U75+V75)&gt;0,IF(V75&gt;S75,V75-S75," ")," ")</f>
        <v xml:space="preserve"> </v>
      </c>
      <c r="AA75" s="22"/>
    </row>
    <row r="76" spans="1:35" x14ac:dyDescent="0.15">
      <c r="A76" s="101"/>
      <c r="B76" s="42"/>
      <c r="C76" s="75"/>
      <c r="D76" s="46"/>
      <c r="E76" s="44"/>
      <c r="F76" s="7"/>
      <c r="G76" s="7"/>
      <c r="H76" s="13">
        <f>H$74</f>
        <v>0.2</v>
      </c>
      <c r="I76" s="7" t="str">
        <f>IF(E76&gt;0,MIN(E76*H76,G76)," ")</f>
        <v xml:space="preserve"> </v>
      </c>
      <c r="J76" s="7" t="str">
        <f>IF(E76&gt;0,F76+I76," ")</f>
        <v xml:space="preserve"> </v>
      </c>
      <c r="K76" s="7" t="str">
        <f>IF(E76&gt;0,IF(V76&gt;0,0,E76-J76)," ")</f>
        <v xml:space="preserve"> </v>
      </c>
      <c r="L76" s="7"/>
      <c r="M76" s="13"/>
      <c r="N76" s="7"/>
      <c r="O76" s="11"/>
      <c r="P76" s="13">
        <f>P$4</f>
        <v>1</v>
      </c>
      <c r="Q76" s="11" t="str">
        <f>IF(E76&gt;0,E76*P76," ")</f>
        <v xml:space="preserve"> </v>
      </c>
      <c r="R76" s="11"/>
      <c r="S76" s="11" t="str">
        <f>IF(E76&gt;0,E76-Q76," ")</f>
        <v xml:space="preserve"> </v>
      </c>
      <c r="T76" s="11"/>
      <c r="U76" s="42"/>
      <c r="V76" s="44"/>
      <c r="W76" s="7" t="str">
        <f>IF(V76&gt;0,E76," ")</f>
        <v xml:space="preserve"> </v>
      </c>
      <c r="X76" s="7" t="str">
        <f>IF(V76&gt;0,J76," ")</f>
        <v xml:space="preserve"> </v>
      </c>
      <c r="Y76" s="11" t="str">
        <f>IF((U76+V76)&gt;0,IF(V76&lt;S76,S76-V76," ")," ")</f>
        <v xml:space="preserve"> </v>
      </c>
      <c r="Z76" s="11" t="str">
        <f>IF((U76+V76)&gt;0,IF(V76&gt;S76,V76-S76," ")," ")</f>
        <v xml:space="preserve"> </v>
      </c>
      <c r="AA76" s="22"/>
    </row>
    <row r="77" spans="1:35" x14ac:dyDescent="0.15">
      <c r="A77" s="101"/>
      <c r="B77" s="42"/>
      <c r="C77" s="75"/>
      <c r="D77" s="46"/>
      <c r="E77" s="44"/>
      <c r="F77" s="7"/>
      <c r="G77" s="7"/>
      <c r="H77" s="13">
        <f>H$74</f>
        <v>0.2</v>
      </c>
      <c r="I77" s="7" t="str">
        <f>IF(E77&gt;0,MIN(E77*H77,G77)," ")</f>
        <v xml:space="preserve"> </v>
      </c>
      <c r="J77" s="7" t="str">
        <f>IF(E77&gt;0,F77+I77," ")</f>
        <v xml:space="preserve"> </v>
      </c>
      <c r="K77" s="7" t="str">
        <f>IF(E77&gt;0,IF(V77&gt;0,0,E77-J77)," ")</f>
        <v xml:space="preserve"> </v>
      </c>
      <c r="L77" s="7"/>
      <c r="M77" s="13"/>
      <c r="N77" s="7"/>
      <c r="O77" s="11"/>
      <c r="P77" s="13">
        <f>P$4</f>
        <v>1</v>
      </c>
      <c r="Q77" s="11" t="str">
        <f>IF(E77&gt;0,E77*P77," ")</f>
        <v xml:space="preserve"> </v>
      </c>
      <c r="R77" s="11"/>
      <c r="S77" s="11" t="str">
        <f>IF(E77&gt;0,E77-Q77," ")</f>
        <v xml:space="preserve"> </v>
      </c>
      <c r="T77" s="11"/>
      <c r="U77" s="42"/>
      <c r="V77" s="44"/>
      <c r="W77" s="7" t="str">
        <f>IF(V77&gt;0,E77," ")</f>
        <v xml:space="preserve"> </v>
      </c>
      <c r="X77" s="7" t="str">
        <f>IF(V77&gt;0,J77," ")</f>
        <v xml:space="preserve"> </v>
      </c>
      <c r="Y77" s="11" t="str">
        <f>IF((U77+V77)&gt;0,IF(V77&lt;S77,S77-V77," ")," ")</f>
        <v xml:space="preserve"> </v>
      </c>
      <c r="Z77" s="11" t="str">
        <f>IF((U77+V77)&gt;0,IF(V77&gt;S77,V77-S77," ")," ")</f>
        <v xml:space="preserve"> </v>
      </c>
      <c r="AA77" s="22"/>
    </row>
    <row r="78" spans="1:35" x14ac:dyDescent="0.15">
      <c r="A78" s="101"/>
      <c r="B78" s="42"/>
      <c r="C78" s="75"/>
      <c r="D78" s="46"/>
      <c r="E78" s="44"/>
      <c r="F78" s="7"/>
      <c r="G78" s="7"/>
      <c r="H78" s="13">
        <f>H$74</f>
        <v>0.2</v>
      </c>
      <c r="I78" s="7" t="str">
        <f>IF(E78&gt;0,MIN(E78*H78,G78)," ")</f>
        <v xml:space="preserve"> </v>
      </c>
      <c r="J78" s="7" t="str">
        <f>IF(E78&gt;0,F78+I78," ")</f>
        <v xml:space="preserve"> </v>
      </c>
      <c r="K78" s="7" t="str">
        <f>IF(E78&gt;0,IF(V78&gt;0,0,E78-J78)," ")</f>
        <v xml:space="preserve"> </v>
      </c>
      <c r="L78" s="7"/>
      <c r="M78" s="13"/>
      <c r="N78" s="7"/>
      <c r="O78" s="11"/>
      <c r="P78" s="13">
        <f>P$4</f>
        <v>1</v>
      </c>
      <c r="Q78" s="11" t="str">
        <f>IF(E78&gt;0,E78*P78," ")</f>
        <v xml:space="preserve"> </v>
      </c>
      <c r="R78" s="11"/>
      <c r="S78" s="11" t="str">
        <f>IF(E78&gt;0,E78-Q78," ")</f>
        <v xml:space="preserve"> </v>
      </c>
      <c r="T78" s="11"/>
      <c r="U78" s="42"/>
      <c r="V78" s="44"/>
      <c r="W78" s="7" t="str">
        <f>IF(V78&gt;0,E78," ")</f>
        <v xml:space="preserve"> </v>
      </c>
      <c r="X78" s="7" t="str">
        <f>IF(V78&gt;0,J78," ")</f>
        <v xml:space="preserve"> </v>
      </c>
      <c r="Y78" s="11" t="str">
        <f>IF((U78+V78)&gt;0,IF(V78&lt;S78,S78-V78," ")," ")</f>
        <v xml:space="preserve"> </v>
      </c>
      <c r="Z78" s="11" t="str">
        <f>IF((U78+V78)&gt;0,IF(V78&gt;S78,V78-S78," ")," ")</f>
        <v xml:space="preserve"> </v>
      </c>
      <c r="AA78" s="22"/>
    </row>
    <row r="79" spans="1:35" x14ac:dyDescent="0.15">
      <c r="A79" s="101"/>
      <c r="B79" s="42"/>
      <c r="C79" s="75"/>
      <c r="D79" s="46"/>
      <c r="E79" s="44"/>
      <c r="F79" s="7"/>
      <c r="G79" s="7"/>
      <c r="H79" s="13">
        <f>H$74</f>
        <v>0.2</v>
      </c>
      <c r="I79" s="7" t="str">
        <f>IF(E79&gt;0,MIN(E79*H79,G79)," ")</f>
        <v xml:space="preserve"> </v>
      </c>
      <c r="J79" s="7" t="str">
        <f>IF(E79&gt;0,F79+I79," ")</f>
        <v xml:space="preserve"> </v>
      </c>
      <c r="K79" s="7" t="str">
        <f>IF(E79&gt;0,IF(V79&gt;0,0,E79-J79)," ")</f>
        <v xml:space="preserve"> </v>
      </c>
      <c r="L79" s="7"/>
      <c r="M79" s="13"/>
      <c r="N79" s="7"/>
      <c r="O79" s="11"/>
      <c r="P79" s="13">
        <f>P$4</f>
        <v>1</v>
      </c>
      <c r="Q79" s="11" t="str">
        <f>IF(E79&gt;0,E79*P79," ")</f>
        <v xml:space="preserve"> </v>
      </c>
      <c r="R79" s="11"/>
      <c r="S79" s="11" t="str">
        <f>IF(E79&gt;0,E79-Q79," ")</f>
        <v xml:space="preserve"> </v>
      </c>
      <c r="T79" s="11"/>
      <c r="U79" s="42"/>
      <c r="V79" s="44"/>
      <c r="W79" s="7" t="str">
        <f>IF(V79&gt;0,E79," ")</f>
        <v xml:space="preserve"> </v>
      </c>
      <c r="X79" s="7" t="str">
        <f>IF(V79&gt;0,J79," ")</f>
        <v xml:space="preserve"> </v>
      </c>
      <c r="Y79" s="11" t="str">
        <f>IF((U79+V79)&gt;0,IF(V79&lt;S79,S79-V79," ")," ")</f>
        <v xml:space="preserve"> </v>
      </c>
      <c r="Z79" s="11" t="str">
        <f>IF((U79+V79)&gt;0,IF(V79&gt;S79,V79-S79," ")," ")</f>
        <v xml:space="preserve"> </v>
      </c>
      <c r="AA79" s="22"/>
    </row>
    <row r="80" spans="1:35" x14ac:dyDescent="0.15">
      <c r="A80" s="101"/>
      <c r="B80" s="117" t="s">
        <v>14</v>
      </c>
      <c r="C80" s="118"/>
      <c r="D80" s="119"/>
      <c r="E80" s="41">
        <f>SUM(E75:E79)</f>
        <v>0</v>
      </c>
      <c r="F80" s="17">
        <f>SUM(F75:F79)</f>
        <v>0</v>
      </c>
      <c r="G80" s="17">
        <f>SUM(G75:G79)</f>
        <v>0</v>
      </c>
      <c r="H80" s="13"/>
      <c r="I80" s="17">
        <f>SUM(I75:I79)</f>
        <v>0</v>
      </c>
      <c r="J80" s="17">
        <f>SUM(J75:J79)</f>
        <v>0</v>
      </c>
      <c r="K80" s="17">
        <f>SUM(K75:K79)</f>
        <v>0</v>
      </c>
      <c r="L80" s="7"/>
      <c r="M80" s="13"/>
      <c r="N80" s="7"/>
      <c r="O80" s="17">
        <f>SUM(O75:O79)</f>
        <v>0</v>
      </c>
      <c r="P80" s="32"/>
      <c r="Q80" s="17">
        <f>SUM(Q75:Q79)</f>
        <v>0</v>
      </c>
      <c r="R80" s="17">
        <f>SUM(R75:R79)</f>
        <v>0</v>
      </c>
      <c r="S80" s="17">
        <f>SUM(S75:S79)</f>
        <v>0</v>
      </c>
      <c r="T80" s="11"/>
      <c r="U80" s="12"/>
      <c r="V80" s="41">
        <f>SUM(V75:V79)</f>
        <v>0</v>
      </c>
      <c r="W80" s="17">
        <f>SUM(W75:W79)</f>
        <v>0</v>
      </c>
      <c r="X80" s="17">
        <f>SUM(X75:X79)</f>
        <v>0</v>
      </c>
      <c r="Y80" s="17">
        <f>SUM(Y75:Y79)</f>
        <v>0</v>
      </c>
      <c r="Z80" s="17">
        <f>SUM(Z75:Z79)</f>
        <v>0</v>
      </c>
      <c r="AA80" s="22"/>
      <c r="AB80" s="22"/>
      <c r="AC80" s="17">
        <f>SUM(AC75:AC79)</f>
        <v>0</v>
      </c>
      <c r="AE80" s="17">
        <f>SUM(AE75:AE79)</f>
      </c>
      <c r="AF80" s="17">
        <f>SUM(AF75:AF79)</f>
      </c>
      <c r="AG80" s="17">
        <f>SUM(AG75:AG79)</f>
      </c>
      <c r="AH80" s="17">
        <f>SUM(AH75:AH79)</f>
      </c>
      <c r="AI80" s="17">
        <f>SUM(AI75:AI79)</f>
      </c>
    </row>
    <row r="81" spans="1:35" ht="6" customHeight="1" x14ac:dyDescent="0.15">
      <c r="A81" s="101"/>
      <c r="B81" s="37"/>
      <c r="C81" s="76"/>
      <c r="D81" s="38"/>
      <c r="E81" s="7"/>
      <c r="F81" s="7"/>
      <c r="G81" s="7"/>
      <c r="H81" s="13"/>
      <c r="I81" s="7"/>
      <c r="J81" s="7"/>
      <c r="K81" s="7"/>
      <c r="L81" s="7"/>
      <c r="M81" s="13"/>
      <c r="N81" s="7"/>
      <c r="O81" s="7"/>
      <c r="P81" s="32"/>
      <c r="Q81" s="7"/>
      <c r="R81" s="7"/>
      <c r="S81" s="7"/>
      <c r="T81" s="11"/>
      <c r="U81" s="12"/>
      <c r="V81" s="7"/>
      <c r="W81" s="7"/>
      <c r="X81" s="7"/>
      <c r="Y81" s="7"/>
      <c r="Z81" s="7"/>
      <c r="AA81" s="22"/>
    </row>
    <row r="82" spans="1:35" x14ac:dyDescent="0.15">
      <c r="A82" s="101"/>
      <c r="B82" s="122" t="s">
        <v>7</v>
      </c>
      <c r="C82" s="122"/>
      <c r="D82" s="33"/>
      <c r="E82" s="7"/>
      <c r="F82" s="7"/>
      <c r="G82" s="7"/>
      <c r="H82" s="36">
        <f>H$29</f>
        <v>0.33</v>
      </c>
      <c r="I82" s="7"/>
      <c r="J82" s="7"/>
      <c r="K82" s="7"/>
      <c r="L82" s="7"/>
      <c r="M82" s="13"/>
      <c r="N82" s="7"/>
      <c r="O82" s="11"/>
      <c r="P82" s="88"/>
      <c r="Q82" s="11"/>
      <c r="R82" s="11"/>
      <c r="S82" s="11"/>
      <c r="T82" s="11"/>
      <c r="U82" s="12"/>
      <c r="V82" s="7"/>
      <c r="W82" s="7"/>
      <c r="X82" s="7"/>
      <c r="Y82" s="11"/>
      <c r="Z82" s="11"/>
      <c r="AA82" s="22"/>
    </row>
    <row r="83" spans="1:35" x14ac:dyDescent="0.15">
      <c r="A83" s="101"/>
      <c r="B83" s="42"/>
      <c r="C83" s="75"/>
      <c r="D83" s="46"/>
      <c r="E83" s="44"/>
      <c r="F83" s="7"/>
      <c r="G83" s="7"/>
      <c r="H83" s="13">
        <f>H$82</f>
        <v>0.33</v>
      </c>
      <c r="I83" s="7" t="str">
        <f>IF(E83&gt;0,MIN(E83*H83,G83)," ")</f>
        <v xml:space="preserve"> </v>
      </c>
      <c r="J83" s="7" t="str">
        <f>IF(E83&gt;0,F83+I83," ")</f>
        <v xml:space="preserve"> </v>
      </c>
      <c r="K83" s="7" t="str">
        <f>IF(E83&gt;0,IF(V83&gt;0,0,E83-J83)," ")</f>
        <v xml:space="preserve"> </v>
      </c>
      <c r="L83" s="7"/>
      <c r="M83" s="13"/>
      <c r="N83" s="7"/>
      <c r="O83" s="11"/>
      <c r="P83" s="13">
        <f>P$4</f>
        <v>1</v>
      </c>
      <c r="Q83" s="11" t="str">
        <f>IF(E83&gt;0,E83*P83," ")</f>
        <v xml:space="preserve"> </v>
      </c>
      <c r="R83" s="11"/>
      <c r="S83" s="11" t="str">
        <f>IF(E83&gt;0,E83-Q83," ")</f>
        <v xml:space="preserve"> </v>
      </c>
      <c r="T83" s="11"/>
      <c r="U83" s="42"/>
      <c r="V83" s="44"/>
      <c r="W83" s="7" t="str">
        <f>IF(V83&gt;0,E83," ")</f>
        <v xml:space="preserve"> </v>
      </c>
      <c r="X83" s="7" t="str">
        <f>IF(V83&gt;0,J83," ")</f>
        <v xml:space="preserve"> </v>
      </c>
      <c r="Y83" s="11" t="str">
        <f>IF((U83+V83)&gt;0,IF(V83&lt;S83,S83-V83," ")," ")</f>
        <v xml:space="preserve"> </v>
      </c>
      <c r="Z83" s="11" t="str">
        <f>IF((U83+V83)&gt;0,IF(V83&gt;S83,V83-S83," ")," ")</f>
        <v xml:space="preserve"> </v>
      </c>
      <c r="AA83" s="22"/>
    </row>
    <row r="84" spans="1:35" x14ac:dyDescent="0.15">
      <c r="A84" s="101"/>
      <c r="B84" s="42"/>
      <c r="C84" s="75"/>
      <c r="D84" s="46"/>
      <c r="E84" s="44"/>
      <c r="F84" s="7"/>
      <c r="G84" s="7"/>
      <c r="H84" s="13">
        <f>H$82</f>
        <v>0.33</v>
      </c>
      <c r="I84" s="7" t="str">
        <f>IF(E84&gt;0,MIN(E84*H84,G84)," ")</f>
        <v xml:space="preserve"> </v>
      </c>
      <c r="J84" s="7" t="str">
        <f>IF(E84&gt;0,F84+I84," ")</f>
        <v xml:space="preserve"> </v>
      </c>
      <c r="K84" s="7" t="str">
        <f>IF(E84&gt;0,IF(V84&gt;0,0,E84-J84)," ")</f>
        <v xml:space="preserve"> </v>
      </c>
      <c r="L84" s="7"/>
      <c r="M84" s="13"/>
      <c r="N84" s="7"/>
      <c r="O84" s="11"/>
      <c r="P84" s="13">
        <f>P$4</f>
        <v>1</v>
      </c>
      <c r="Q84" s="11" t="str">
        <f>IF(E84&gt;0,E84*P84," ")</f>
        <v xml:space="preserve"> </v>
      </c>
      <c r="R84" s="11"/>
      <c r="S84" s="11" t="str">
        <f>IF(E84&gt;0,E84-Q84," ")</f>
        <v xml:space="preserve"> </v>
      </c>
      <c r="T84" s="11"/>
      <c r="U84" s="42"/>
      <c r="V84" s="44"/>
      <c r="W84" s="7" t="str">
        <f>IF(V84&gt;0,E84," ")</f>
        <v xml:space="preserve"> </v>
      </c>
      <c r="X84" s="7" t="str">
        <f>IF(V84&gt;0,J84," ")</f>
        <v xml:space="preserve"> </v>
      </c>
      <c r="Y84" s="11" t="str">
        <f>IF((U84+V84)&gt;0,IF(V84&lt;S84,S84-V84," ")," ")</f>
        <v xml:space="preserve"> </v>
      </c>
      <c r="Z84" s="11" t="str">
        <f>IF((U84+V84)&gt;0,IF(V84&gt;S84,V84-S84," ")," ")</f>
        <v xml:space="preserve"> </v>
      </c>
      <c r="AA84" s="22"/>
    </row>
    <row r="85" spans="1:35" x14ac:dyDescent="0.15">
      <c r="A85" s="101"/>
      <c r="B85" s="42"/>
      <c r="C85" s="75"/>
      <c r="D85" s="46"/>
      <c r="E85" s="44"/>
      <c r="F85" s="7"/>
      <c r="G85" s="7"/>
      <c r="H85" s="13">
        <f>H$82</f>
        <v>0.33</v>
      </c>
      <c r="I85" s="7" t="str">
        <f>IF(E85&gt;0,MIN(E85*H85,G85)," ")</f>
        <v xml:space="preserve"> </v>
      </c>
      <c r="J85" s="7" t="str">
        <f>IF(E85&gt;0,F85+I85," ")</f>
        <v xml:space="preserve"> </v>
      </c>
      <c r="K85" s="7" t="str">
        <f>IF(E85&gt;0,IF(V85&gt;0,0,E85-J85)," ")</f>
        <v xml:space="preserve"> </v>
      </c>
      <c r="L85" s="7"/>
      <c r="M85" s="13"/>
      <c r="N85" s="7"/>
      <c r="O85" s="11"/>
      <c r="P85" s="13">
        <f>P$4</f>
        <v>1</v>
      </c>
      <c r="Q85" s="11" t="str">
        <f>IF(E85&gt;0,E85*P85," ")</f>
        <v xml:space="preserve"> </v>
      </c>
      <c r="R85" s="11"/>
      <c r="S85" s="11" t="str">
        <f>IF(E85&gt;0,E85-Q85," ")</f>
        <v xml:space="preserve"> </v>
      </c>
      <c r="T85" s="11"/>
      <c r="U85" s="42"/>
      <c r="V85" s="44"/>
      <c r="W85" s="7" t="str">
        <f>IF(V85&gt;0,E85," ")</f>
        <v xml:space="preserve"> </v>
      </c>
      <c r="X85" s="7" t="str">
        <f>IF(V85&gt;0,J85," ")</f>
        <v xml:space="preserve"> </v>
      </c>
      <c r="Y85" s="11" t="str">
        <f>IF((U85+V85)&gt;0,IF(V85&lt;S85,S85-V85," ")," ")</f>
        <v xml:space="preserve"> </v>
      </c>
      <c r="Z85" s="11" t="str">
        <f>IF((U85+V85)&gt;0,IF(V85&gt;S85,V85-S85," ")," ")</f>
        <v xml:space="preserve"> </v>
      </c>
      <c r="AA85" s="22"/>
    </row>
    <row r="86" spans="1:35" x14ac:dyDescent="0.15">
      <c r="A86" s="101"/>
      <c r="B86" s="42"/>
      <c r="C86" s="75"/>
      <c r="D86" s="46"/>
      <c r="E86" s="44"/>
      <c r="F86" s="7"/>
      <c r="G86" s="7"/>
      <c r="H86" s="13">
        <f>H$82</f>
        <v>0.33</v>
      </c>
      <c r="I86" s="7" t="str">
        <f>IF(E86&gt;0,MIN(E86*H86,G86)," ")</f>
        <v xml:space="preserve"> </v>
      </c>
      <c r="J86" s="7" t="str">
        <f>IF(E86&gt;0,F86+I86," ")</f>
        <v xml:space="preserve"> </v>
      </c>
      <c r="K86" s="7" t="str">
        <f>IF(E86&gt;0,IF(V86&gt;0,0,E86-J86)," ")</f>
        <v xml:space="preserve"> </v>
      </c>
      <c r="L86" s="7"/>
      <c r="M86" s="13"/>
      <c r="N86" s="7"/>
      <c r="O86" s="11"/>
      <c r="P86" s="13">
        <f>P$4</f>
        <v>1</v>
      </c>
      <c r="Q86" s="11" t="str">
        <f>IF(E86&gt;0,E86*P86," ")</f>
        <v xml:space="preserve"> </v>
      </c>
      <c r="R86" s="11"/>
      <c r="S86" s="11" t="str">
        <f>IF(E86&gt;0,E86-Q86," ")</f>
        <v xml:space="preserve"> </v>
      </c>
      <c r="T86" s="11"/>
      <c r="U86" s="42"/>
      <c r="V86" s="44"/>
      <c r="W86" s="7" t="str">
        <f>IF(V86&gt;0,E86," ")</f>
        <v xml:space="preserve"> </v>
      </c>
      <c r="X86" s="7" t="str">
        <f>IF(V86&gt;0,J86," ")</f>
        <v xml:space="preserve"> </v>
      </c>
      <c r="Y86" s="11" t="str">
        <f>IF((U86+V86)&gt;0,IF(V86&lt;S86,S86-V86," ")," ")</f>
        <v xml:space="preserve"> </v>
      </c>
      <c r="Z86" s="11" t="str">
        <f>IF((U86+V86)&gt;0,IF(V86&gt;S86,V86-S86," ")," ")</f>
        <v xml:space="preserve"> </v>
      </c>
      <c r="AA86" s="22"/>
    </row>
    <row r="87" spans="1:35" x14ac:dyDescent="0.15">
      <c r="A87" s="101"/>
      <c r="B87" s="42"/>
      <c r="C87" s="75"/>
      <c r="D87" s="46"/>
      <c r="E87" s="44"/>
      <c r="F87" s="7"/>
      <c r="G87" s="7"/>
      <c r="H87" s="13">
        <f>H$82</f>
        <v>0.33</v>
      </c>
      <c r="I87" s="7" t="str">
        <f>IF(E87&gt;0,MIN(E87*H87,G87)," ")</f>
        <v xml:space="preserve"> </v>
      </c>
      <c r="J87" s="7" t="str">
        <f>IF(E87&gt;0,F87+I87," ")</f>
        <v xml:space="preserve"> </v>
      </c>
      <c r="K87" s="7" t="str">
        <f>IF(E87&gt;0,IF(V87&gt;0,0,E87-J87)," ")</f>
        <v xml:space="preserve"> </v>
      </c>
      <c r="L87" s="7"/>
      <c r="M87" s="13"/>
      <c r="N87" s="7"/>
      <c r="O87" s="11"/>
      <c r="P87" s="13">
        <f>P$4</f>
        <v>1</v>
      </c>
      <c r="Q87" s="11" t="str">
        <f>IF(E87&gt;0,E87*P87," ")</f>
        <v xml:space="preserve"> </v>
      </c>
      <c r="R87" s="11"/>
      <c r="S87" s="11" t="str">
        <f>IF(E87&gt;0,E87-Q87," ")</f>
        <v xml:space="preserve"> </v>
      </c>
      <c r="T87" s="11"/>
      <c r="U87" s="42"/>
      <c r="V87" s="44"/>
      <c r="W87" s="7" t="str">
        <f>IF(V87&gt;0,E87," ")</f>
        <v xml:space="preserve"> </v>
      </c>
      <c r="X87" s="7" t="str">
        <f>IF(V87&gt;0,J87," ")</f>
        <v xml:space="preserve"> </v>
      </c>
      <c r="Y87" s="11" t="str">
        <f>IF((U87+V87)&gt;0,IF(V87&lt;S87,S87-V87," ")," ")</f>
        <v xml:space="preserve"> </v>
      </c>
      <c r="Z87" s="11" t="str">
        <f>IF((U87+V87)&gt;0,IF(V87&gt;S87,V87-S87," ")," ")</f>
        <v xml:space="preserve"> </v>
      </c>
      <c r="AA87" s="22"/>
    </row>
    <row r="88" spans="1:35" x14ac:dyDescent="0.15">
      <c r="A88" s="101"/>
      <c r="B88" s="117" t="s">
        <v>15</v>
      </c>
      <c r="C88" s="118"/>
      <c r="D88" s="119"/>
      <c r="E88" s="41">
        <f>SUM(E83:E87)</f>
        <v>0</v>
      </c>
      <c r="F88" s="17">
        <f>SUM(F83:F87)</f>
        <v>0</v>
      </c>
      <c r="G88" s="17">
        <f>SUM(G83:G87)</f>
        <v>0</v>
      </c>
      <c r="H88" s="13"/>
      <c r="I88" s="17">
        <f>SUM(I83:I87)</f>
        <v>0</v>
      </c>
      <c r="J88" s="17">
        <f>SUM(J83:J87)</f>
        <v>0</v>
      </c>
      <c r="K88" s="17">
        <f>SUM(K83:K87)</f>
        <v>0</v>
      </c>
      <c r="L88" s="7"/>
      <c r="M88" s="13"/>
      <c r="N88" s="7"/>
      <c r="O88" s="17">
        <f>SUM(O83:O87)</f>
        <v>0</v>
      </c>
      <c r="P88" s="32"/>
      <c r="Q88" s="17">
        <f>SUM(Q83:Q87)</f>
        <v>0</v>
      </c>
      <c r="R88" s="17">
        <f>SUM(R83:R87)</f>
        <v>0</v>
      </c>
      <c r="S88" s="17">
        <f>SUM(S83:S87)</f>
        <v>0</v>
      </c>
      <c r="T88" s="11"/>
      <c r="U88" s="12"/>
      <c r="V88" s="41">
        <f>SUM(V83:V87)</f>
        <v>0</v>
      </c>
      <c r="W88" s="17">
        <f>SUM(W83:W87)</f>
        <v>0</v>
      </c>
      <c r="X88" s="17">
        <f>SUM(X83:X87)</f>
        <v>0</v>
      </c>
      <c r="Y88" s="17">
        <f>SUM(Y83:Y87)</f>
        <v>0</v>
      </c>
      <c r="Z88" s="17">
        <f>SUM(Z83:Z87)</f>
        <v>0</v>
      </c>
      <c r="AA88" s="22"/>
      <c r="AB88" s="22"/>
      <c r="AC88" s="17">
        <f>SUM(AC83:AC87)</f>
        <v>0</v>
      </c>
      <c r="AE88" s="17">
        <f>SUM(AE83:AE87)</f>
      </c>
      <c r="AF88" s="17">
        <f>SUM(AF83:AF87)</f>
      </c>
      <c r="AG88" s="17">
        <f>SUM(AG83:AG87)</f>
      </c>
      <c r="AH88" s="17">
        <f>SUM(AH83:AH87)</f>
      </c>
      <c r="AI88" s="17">
        <f>SUM(AI83:AI87)</f>
      </c>
    </row>
    <row r="89" spans="1:35" ht="6" customHeight="1" x14ac:dyDescent="0.15">
      <c r="A89" s="101"/>
      <c r="B89" s="37"/>
      <c r="C89" s="76"/>
      <c r="D89" s="38"/>
      <c r="E89" s="7"/>
      <c r="F89" s="7"/>
      <c r="G89" s="7"/>
      <c r="H89" s="13"/>
      <c r="I89" s="7"/>
      <c r="J89" s="7"/>
      <c r="K89" s="7"/>
      <c r="L89" s="7"/>
      <c r="M89" s="13"/>
      <c r="N89" s="7"/>
      <c r="O89" s="7"/>
      <c r="P89" s="32"/>
      <c r="Q89" s="7"/>
      <c r="R89" s="7"/>
      <c r="S89" s="7"/>
      <c r="T89" s="11"/>
      <c r="U89" s="12"/>
      <c r="V89" s="7"/>
      <c r="W89" s="7"/>
      <c r="X89" s="7"/>
      <c r="Y89" s="7"/>
      <c r="Z89" s="7"/>
      <c r="AA89" s="22"/>
    </row>
    <row r="90" spans="1:35" ht="12" customHeight="1" x14ac:dyDescent="0.15">
      <c r="A90" s="101"/>
      <c r="B90" s="120" t="str">
        <f>B37</f>
        <v>Motor Vehicles - costing over £</v>
      </c>
      <c r="C90" s="120"/>
      <c r="D90" s="114">
        <f>D37</f>
        <v>12000</v>
      </c>
      <c r="E90" s="7"/>
      <c r="F90" s="7"/>
      <c r="G90" s="7"/>
      <c r="H90" s="36">
        <f>H$37</f>
        <v>0.25</v>
      </c>
      <c r="I90" s="7"/>
      <c r="J90" s="7"/>
      <c r="K90" s="7"/>
      <c r="L90" s="7"/>
      <c r="M90" s="13"/>
      <c r="N90" s="7"/>
      <c r="O90" s="11"/>
      <c r="P90" s="32"/>
      <c r="Q90" s="11"/>
      <c r="R90" s="11"/>
      <c r="S90" s="11"/>
      <c r="T90" s="11"/>
      <c r="U90" s="12"/>
      <c r="V90" s="7"/>
      <c r="W90" s="7"/>
      <c r="X90" s="7"/>
      <c r="Y90" s="11"/>
      <c r="Z90" s="11"/>
      <c r="AA90" s="22"/>
    </row>
    <row r="91" spans="1:35" x14ac:dyDescent="0.15">
      <c r="A91" s="101"/>
      <c r="B91" s="42"/>
      <c r="C91" s="75"/>
      <c r="D91" s="46"/>
      <c r="E91" s="44"/>
      <c r="F91" s="7"/>
      <c r="G91" s="7"/>
      <c r="H91" s="13">
        <f>H$90</f>
        <v>0.25</v>
      </c>
      <c r="I91" s="7" t="str">
        <f>IF(E91&gt;0,MIN(E91*H91,G91)," ")</f>
        <v xml:space="preserve"> </v>
      </c>
      <c r="J91" s="7" t="str">
        <f>IF(E91&gt;0,F91+I91," ")</f>
        <v xml:space="preserve"> </v>
      </c>
      <c r="K91" s="7" t="str">
        <f>IF(E91&gt;0,IF(V91&gt;0,0,E91-J91)," ")</f>
        <v xml:space="preserve"> </v>
      </c>
      <c r="L91" s="7"/>
      <c r="M91" s="29">
        <v>0</v>
      </c>
      <c r="N91" s="7"/>
      <c r="O91" s="11"/>
      <c r="P91" s="88"/>
      <c r="Q91" s="11"/>
      <c r="R91" s="11" t="str">
        <f>IF(AND(E91&gt;0,AB91&lt;&gt;"S"),E91*R$4*(1-M91)," ")</f>
        <v xml:space="preserve"> </v>
      </c>
      <c r="S91" s="11" t="str">
        <f>IF(E91&gt;0,E91-N(R91)-N(AC91)," ")</f>
        <v xml:space="preserve"> </v>
      </c>
      <c r="T91" s="11"/>
      <c r="U91" s="42"/>
      <c r="V91" s="44"/>
      <c r="W91" s="7" t="str">
        <f>IF(V91&gt;0,E91," ")</f>
        <v xml:space="preserve"> </v>
      </c>
      <c r="X91" s="7" t="str">
        <f>IF(V91&gt;0,J91," ")</f>
        <v xml:space="preserve"> </v>
      </c>
      <c r="Y91" s="11" t="str">
        <f>IF((U91+V91)&gt;0,IF(V91&lt;S91,(S91-V91)*(1-M91)," ")," ")</f>
        <v xml:space="preserve"> </v>
      </c>
      <c r="Z91" s="11" t="str">
        <f>IF((U91+V91)&gt;0,IF(V91&gt;S91,(V91-S91)*(1-M91)," ")," ")</f>
        <v xml:space="preserve"> </v>
      </c>
      <c r="AA91" s="22"/>
      <c r="AB91" s="42"/>
      <c r="AC91" s="11" t="str">
        <f>IF(AND(E91&gt;0,AB91="S"),E91*AC$4*(1-M91)," ")</f>
        <v xml:space="preserve"> </v>
      </c>
      <c r="AE91" s="11" t="str">
        <f>IF(AND(AD91="P",AB91&lt;&gt;"S"),N(R91)," ")</f>
      </c>
      <c r="AF91" s="11" t="str">
        <f>IF(AND(AD91="P",AB91="S"),N(AC91)," ")</f>
      </c>
      <c r="AG91" s="11" t="str">
        <f>IF(AD91="P",N(S91)," ")</f>
      </c>
      <c r="AH91" s="11" t="str">
        <f>IF(AND(AD91&lt;&gt;"P",AB91&lt;&gt;"S"),N(S91)," ")</f>
      </c>
      <c r="AI91" s="11" t="str">
        <f>IF(AND(AD91&lt;&gt;"P",AB91="S"),N(S91)," ")</f>
      </c>
    </row>
    <row r="92" spans="1:35" x14ac:dyDescent="0.15">
      <c r="A92" s="101"/>
      <c r="B92" s="42"/>
      <c r="C92" s="75"/>
      <c r="D92" s="46"/>
      <c r="E92" s="44"/>
      <c r="F92" s="7"/>
      <c r="G92" s="7"/>
      <c r="H92" s="13">
        <f>H$90</f>
        <v>0.25</v>
      </c>
      <c r="I92" s="7" t="str">
        <f>IF(E92&gt;0,MIN(E92*H92,G92)," ")</f>
        <v xml:space="preserve"> </v>
      </c>
      <c r="J92" s="7" t="str">
        <f>IF(E92&gt;0,F92+I92," ")</f>
        <v xml:space="preserve"> </v>
      </c>
      <c r="K92" s="7" t="str">
        <f>IF(E92&gt;0,IF(V92&gt;0,0,E92-J92)," ")</f>
        <v xml:space="preserve"> </v>
      </c>
      <c r="L92" s="7"/>
      <c r="M92" s="29">
        <v>0</v>
      </c>
      <c r="N92" s="7"/>
      <c r="O92" s="11"/>
      <c r="P92" s="88"/>
      <c r="Q92" s="11"/>
      <c r="R92" s="11" t="str">
        <f>IF(AND(E92&gt;0,AB92&lt;&gt;"S"),E92*R$4*(1-M92)," ")</f>
        <v xml:space="preserve"> </v>
      </c>
      <c r="S92" s="11" t="str">
        <f>IF(E92&gt;0,E92-N(R92)-N(AC92)," ")</f>
        <v xml:space="preserve"> </v>
      </c>
      <c r="T92" s="11"/>
      <c r="U92" s="42"/>
      <c r="V92" s="44"/>
      <c r="W92" s="7" t="str">
        <f>IF(V92&gt;0,E92," ")</f>
        <v xml:space="preserve"> </v>
      </c>
      <c r="X92" s="7" t="str">
        <f>IF(V92&gt;0,J92," ")</f>
        <v xml:space="preserve"> </v>
      </c>
      <c r="Y92" s="11" t="str">
        <f>IF((U92+V92)&gt;0,IF(V92&lt;S92,(S92-V92)*(1-M92)," ")," ")</f>
        <v xml:space="preserve"> </v>
      </c>
      <c r="Z92" s="11" t="str">
        <f>IF((U92+V92)&gt;0,IF(V92&gt;S92,(V92-S92)*(1-M92)," ")," ")</f>
        <v xml:space="preserve"> </v>
      </c>
      <c r="AA92" s="22"/>
      <c r="AB92" s="42"/>
      <c r="AC92" s="11" t="str">
        <f>IF(AND(E92&gt;0,AB92="S"),E92*AC$4*(1-M92)," ")</f>
        <v xml:space="preserve"> </v>
      </c>
      <c r="AE92" s="11" t="str">
        <f>IF(AND(AD92="P",AB92&lt;&gt;"S"),N(R92)," ")</f>
      </c>
      <c r="AF92" s="11" t="str">
        <f>IF(AND(AD92="P",AB92="S"),N(AC92)," ")</f>
      </c>
      <c r="AG92" s="11" t="str">
        <f>IF(AD92="P",N(S92)," ")</f>
      </c>
      <c r="AH92" s="11" t="str">
        <f>IF(AND(AD92&lt;&gt;"P",AB92&lt;&gt;"S"),N(S92)," ")</f>
      </c>
      <c r="AI92" s="11" t="str">
        <f>IF(AND(AD92&lt;&gt;"P",AB92="S"),N(S92)," ")</f>
      </c>
    </row>
    <row r="93" spans="1:35" x14ac:dyDescent="0.15">
      <c r="A93" s="101"/>
      <c r="B93" s="42"/>
      <c r="C93" s="75"/>
      <c r="D93" s="46"/>
      <c r="E93" s="44"/>
      <c r="F93" s="7"/>
      <c r="G93" s="7"/>
      <c r="H93" s="13">
        <f>H$90</f>
        <v>0.25</v>
      </c>
      <c r="I93" s="7" t="str">
        <f>IF(E93&gt;0,MIN(E93*H93,G93)," ")</f>
        <v xml:space="preserve"> </v>
      </c>
      <c r="J93" s="7" t="str">
        <f>IF(E93&gt;0,F93+I93," ")</f>
        <v xml:space="preserve"> </v>
      </c>
      <c r="K93" s="7" t="str">
        <f>IF(E93&gt;0,IF(V93&gt;0,0,E93-J93)," ")</f>
        <v xml:space="preserve"> </v>
      </c>
      <c r="L93" s="7"/>
      <c r="M93" s="29">
        <v>0</v>
      </c>
      <c r="N93" s="7"/>
      <c r="O93" s="11"/>
      <c r="P93" s="88"/>
      <c r="Q93" s="11"/>
      <c r="R93" s="11" t="str">
        <f>IF(AND(E93&gt;0,AB93&lt;&gt;"S"),E93*R$4*(1-M93)," ")</f>
        <v xml:space="preserve"> </v>
      </c>
      <c r="S93" s="11" t="str">
        <f>IF(E93&gt;0,E93-N(R93)-N(AC93)," ")</f>
        <v xml:space="preserve"> </v>
      </c>
      <c r="T93" s="11"/>
      <c r="U93" s="42"/>
      <c r="V93" s="44"/>
      <c r="W93" s="7" t="str">
        <f>IF(V93&gt;0,E93," ")</f>
        <v xml:space="preserve"> </v>
      </c>
      <c r="X93" s="7" t="str">
        <f>IF(V93&gt;0,J93," ")</f>
        <v xml:space="preserve"> </v>
      </c>
      <c r="Y93" s="11" t="str">
        <f>IF((U93+V93)&gt;0,IF(V93&lt;S93,(S93-V93)*(1-M93)," ")," ")</f>
        <v xml:space="preserve"> </v>
      </c>
      <c r="Z93" s="11" t="str">
        <f>IF((U93+V93)&gt;0,IF(V93&gt;S93,(V93-S93)*(1-M93)," ")," ")</f>
        <v xml:space="preserve"> </v>
      </c>
      <c r="AA93" s="22"/>
      <c r="AB93" s="42"/>
      <c r="AC93" s="11" t="str">
        <f>IF(AND(E93&gt;0,AB93="S"),E93*AC$4*(1-M93)," ")</f>
        <v xml:space="preserve"> </v>
      </c>
      <c r="AE93" s="11" t="str">
        <f>IF(AND(AD93="P",AB93&lt;&gt;"S"),N(R93)," ")</f>
      </c>
      <c r="AF93" s="11" t="str">
        <f>IF(AND(AD93="P",AB93="S"),N(AC93)," ")</f>
      </c>
      <c r="AG93" s="11" t="str">
        <f>IF(AD93="P",N(S93)," ")</f>
      </c>
      <c r="AH93" s="11" t="str">
        <f>IF(AND(AD93&lt;&gt;"P",AB93&lt;&gt;"S"),N(S93)," ")</f>
      </c>
      <c r="AI93" s="11" t="str">
        <f>IF(AND(AD93&lt;&gt;"P",AB93="S"),N(S93)," ")</f>
      </c>
    </row>
    <row r="94" spans="1:35" x14ac:dyDescent="0.15">
      <c r="A94" s="101"/>
      <c r="B94" s="42"/>
      <c r="C94" s="75"/>
      <c r="D94" s="46"/>
      <c r="E94" s="44"/>
      <c r="F94" s="7"/>
      <c r="G94" s="7"/>
      <c r="H94" s="13">
        <f>H$90</f>
        <v>0.25</v>
      </c>
      <c r="I94" s="7" t="str">
        <f>IF(E94&gt;0,MIN(E94*H94,G94)," ")</f>
        <v xml:space="preserve"> </v>
      </c>
      <c r="J94" s="7" t="str">
        <f>IF(E94&gt;0,F94+I94," ")</f>
        <v xml:space="preserve"> </v>
      </c>
      <c r="K94" s="7" t="str">
        <f>IF(E94&gt;0,IF(V94&gt;0,0,E94-J94)," ")</f>
        <v xml:space="preserve"> </v>
      </c>
      <c r="L94" s="7"/>
      <c r="M94" s="29">
        <v>0</v>
      </c>
      <c r="N94" s="7"/>
      <c r="O94" s="11"/>
      <c r="P94" s="88"/>
      <c r="Q94" s="11"/>
      <c r="R94" s="11" t="str">
        <f>IF(AND(E94&gt;0,AB94&lt;&gt;"S"),E94*R$4*(1-M94)," ")</f>
        <v xml:space="preserve"> </v>
      </c>
      <c r="S94" s="11" t="str">
        <f>IF(E94&gt;0,E94-N(R94)-N(AC94)," ")</f>
        <v xml:space="preserve"> </v>
      </c>
      <c r="T94" s="11"/>
      <c r="U94" s="42"/>
      <c r="V94" s="44"/>
      <c r="W94" s="7" t="str">
        <f>IF(V94&gt;0,E94," ")</f>
        <v xml:space="preserve"> </v>
      </c>
      <c r="X94" s="7" t="str">
        <f>IF(V94&gt;0,J94," ")</f>
        <v xml:space="preserve"> </v>
      </c>
      <c r="Y94" s="11" t="str">
        <f>IF((U94+V94)&gt;0,IF(V94&lt;S94,(S94-V94)*(1-M94)," ")," ")</f>
        <v xml:space="preserve"> </v>
      </c>
      <c r="Z94" s="11" t="str">
        <f>IF((U94+V94)&gt;0,IF(V94&gt;S94,(V94-S94)*(1-M94)," ")," ")</f>
        <v xml:space="preserve"> </v>
      </c>
      <c r="AA94" s="22"/>
      <c r="AB94" s="42"/>
      <c r="AC94" s="11" t="str">
        <f>IF(AND(E94&gt;0,AB94="S"),E94*AC$4*(1-M94)," ")</f>
        <v xml:space="preserve"> </v>
      </c>
      <c r="AE94" s="11" t="str">
        <f>IF(AND(AD94="P",AB94&lt;&gt;"S"),N(R94)," ")</f>
      </c>
      <c r="AF94" s="11" t="str">
        <f>IF(AND(AD94="P",AB94="S"),N(AC94)," ")</f>
      </c>
      <c r="AG94" s="11" t="str">
        <f>IF(AD94="P",N(S94)," ")</f>
      </c>
      <c r="AH94" s="11" t="str">
        <f>IF(AND(AD94&lt;&gt;"P",AB94&lt;&gt;"S"),N(S94)," ")</f>
      </c>
      <c r="AI94" s="11" t="str">
        <f>IF(AND(AD94&lt;&gt;"P",AB94="S"),N(S94)," ")</f>
      </c>
    </row>
    <row r="95" spans="1:35" x14ac:dyDescent="0.15">
      <c r="A95" s="101"/>
      <c r="B95" s="42"/>
      <c r="C95" s="75"/>
      <c r="D95" s="46"/>
      <c r="E95" s="44"/>
      <c r="F95" s="7"/>
      <c r="G95" s="7"/>
      <c r="H95" s="13">
        <f>H$90</f>
        <v>0.25</v>
      </c>
      <c r="I95" s="7" t="str">
        <f>IF(E95&gt;0,MIN(E95*H95,G95)," ")</f>
        <v xml:space="preserve"> </v>
      </c>
      <c r="J95" s="7" t="str">
        <f>IF(E95&gt;0,F95+I95," ")</f>
        <v xml:space="preserve"> </v>
      </c>
      <c r="K95" s="7" t="str">
        <f>IF(E95&gt;0,IF(V95&gt;0,0,E95-J95)," ")</f>
        <v xml:space="preserve"> </v>
      </c>
      <c r="L95" s="7"/>
      <c r="M95" s="29">
        <v>0</v>
      </c>
      <c r="N95" s="7"/>
      <c r="O95" s="11"/>
      <c r="P95" s="88"/>
      <c r="Q95" s="11"/>
      <c r="R95" s="11" t="str">
        <f>IF(AND(E95&gt;0,AB95&lt;&gt;"S"),E95*R$4*(1-M95)," ")</f>
        <v xml:space="preserve"> </v>
      </c>
      <c r="S95" s="11" t="str">
        <f>IF(E95&gt;0,E95-N(R95)-N(AC95)," ")</f>
        <v xml:space="preserve"> </v>
      </c>
      <c r="T95" s="11"/>
      <c r="U95" s="42"/>
      <c r="V95" s="44"/>
      <c r="W95" s="7" t="str">
        <f>IF(V95&gt;0,E95," ")</f>
        <v xml:space="preserve"> </v>
      </c>
      <c r="X95" s="7" t="str">
        <f>IF(V95&gt;0,J95," ")</f>
        <v xml:space="preserve"> </v>
      </c>
      <c r="Y95" s="11" t="str">
        <f>IF((U95+V95)&gt;0,IF(V95&lt;S95,(S95-V95)*(1-M95)," ")," ")</f>
        <v xml:space="preserve"> </v>
      </c>
      <c r="Z95" s="11" t="str">
        <f>IF((U95+V95)&gt;0,IF(V95&gt;S95,(V95-S95)*(1-M95)," ")," ")</f>
        <v xml:space="preserve"> </v>
      </c>
      <c r="AA95" s="22"/>
      <c r="AB95" s="42"/>
      <c r="AC95" s="11" t="str">
        <f>IF(AND(E95&gt;0,AB95="S"),E95*AC$4*(1-M95)," ")</f>
        <v xml:space="preserve"> </v>
      </c>
      <c r="AE95" s="11" t="str">
        <f>IF(AND(AD95="P",AB95&lt;&gt;"S"),N(R95)," ")</f>
      </c>
      <c r="AF95" s="11" t="str">
        <f>IF(AND(AD95="P",AB95="S"),N(AC95)," ")</f>
      </c>
      <c r="AG95" s="11" t="str">
        <f>IF(AD95="P",N(S95)," ")</f>
      </c>
      <c r="AH95" s="11" t="str">
        <f>IF(AND(AD95&lt;&gt;"P",AB95&lt;&gt;"S"),N(S95)," ")</f>
      </c>
      <c r="AI95" s="11" t="str">
        <f>IF(AND(AD95&lt;&gt;"P",AB95="S"),N(S95)," ")</f>
      </c>
    </row>
    <row r="96" spans="1:35" ht="12" customHeight="1" x14ac:dyDescent="0.15">
      <c r="A96" s="101"/>
      <c r="B96" s="155" t="str">
        <f>B43</f>
        <v>Motor Vehicles - costing under £</v>
      </c>
      <c r="C96" s="155"/>
      <c r="D96" s="114">
        <f>D43</f>
        <v>12000</v>
      </c>
      <c r="E96" s="7"/>
      <c r="F96" s="7"/>
      <c r="G96" s="7"/>
      <c r="H96" s="13"/>
      <c r="I96" s="7"/>
      <c r="J96" s="7"/>
      <c r="K96" s="7"/>
      <c r="L96" s="7"/>
      <c r="M96" s="13"/>
      <c r="N96" s="7"/>
      <c r="O96" s="11"/>
      <c r="P96" s="88"/>
      <c r="Q96" s="11"/>
      <c r="R96" s="11"/>
      <c r="S96" s="11"/>
      <c r="T96" s="11"/>
      <c r="U96" s="12"/>
      <c r="V96" s="7"/>
      <c r="W96" s="7"/>
      <c r="X96" s="7"/>
      <c r="Y96" s="11"/>
      <c r="Z96" s="11"/>
      <c r="AA96" s="22"/>
    </row>
    <row r="97" spans="1:35" x14ac:dyDescent="0.15">
      <c r="A97" s="101"/>
      <c r="B97" s="42"/>
      <c r="C97" s="75"/>
      <c r="D97" s="46"/>
      <c r="E97" s="44"/>
      <c r="F97" s="7"/>
      <c r="G97" s="7"/>
      <c r="H97" s="13">
        <f t="shared" ref="H97:H107" si="9">H$90</f>
        <v>0.25</v>
      </c>
      <c r="I97" s="7" t="str">
        <f t="shared" ref="I97:I107" si="10">IF(E97&gt;0,MIN(E97*H97,G97)," ")</f>
        <v xml:space="preserve"> </v>
      </c>
      <c r="J97" s="7" t="str">
        <f t="shared" ref="J97:J107" si="11">IF(E97&gt;0,F97+I97," ")</f>
        <v xml:space="preserve"> </v>
      </c>
      <c r="K97" s="7" t="str">
        <f t="shared" ref="K97:K107" si="12">IF(E97&gt;0,IF(V97&gt;0,0,E97-J97)," ")</f>
        <v xml:space="preserve"> </v>
      </c>
      <c r="L97" s="7"/>
      <c r="M97" s="29">
        <v>0</v>
      </c>
      <c r="N97" s="7"/>
      <c r="O97" s="11"/>
      <c r="P97" s="88"/>
      <c r="Q97" s="11"/>
      <c r="R97" s="11" t="str">
        <f>IF(AND(E97&gt;0,AB97&lt;&gt;"S"),E97*R$4*(1-M97)," ")</f>
        <v xml:space="preserve"> </v>
      </c>
      <c r="S97" s="11" t="str">
        <f>IF(E97&gt;0,E97-N(R97)-N(AC97)," ")</f>
        <v xml:space="preserve"> </v>
      </c>
      <c r="T97" s="11"/>
      <c r="U97" s="42"/>
      <c r="V97" s="44"/>
      <c r="W97" s="7" t="str">
        <f t="shared" ref="W97:W107" si="13">IF(V97&gt;0,E97," ")</f>
        <v xml:space="preserve"> </v>
      </c>
      <c r="X97" s="7" t="str">
        <f t="shared" ref="X97:X107" si="14">IF(V97&gt;0,J97," ")</f>
        <v xml:space="preserve"> </v>
      </c>
      <c r="Y97" s="11" t="str">
        <f t="shared" ref="Y97:Y107" si="15">IF((U97+V97)&gt;0,IF(V97&lt;S97,(S97-V97)*(1-M97)," ")," ")</f>
        <v xml:space="preserve"> </v>
      </c>
      <c r="Z97" s="11" t="str">
        <f t="shared" ref="Z97:Z107" si="16">IF((U97+V97)&gt;0,IF(V97&gt;S97,(V97-S97)*(1-M97)," ")," ")</f>
        <v xml:space="preserve"> </v>
      </c>
      <c r="AA97" s="22"/>
      <c r="AB97" s="42"/>
      <c r="AC97" s="11" t="str">
        <f>IF(AND(E97&gt;0,AB97="S"),E97*AC$4*(1-M97)," ")</f>
        <v xml:space="preserve"> </v>
      </c>
      <c r="AE97" s="11" t="str">
        <f>IF(AND(AD97="P",AB97&lt;&gt;"S"),N(R97)," ")</f>
      </c>
      <c r="AF97" s="11" t="str">
        <f>IF(AND(AD97="P",AB97="S"),N(AC97)," ")</f>
      </c>
      <c r="AG97" s="11" t="str">
        <f>IF(AD97="P",N(S97)," ")</f>
      </c>
      <c r="AH97" s="11" t="str">
        <f>IF(AND(AD97&lt;&gt;"P",AB97&lt;&gt;"S"),N(S97)," ")</f>
      </c>
      <c r="AI97" s="11" t="str">
        <f>IF(AND(AD97&lt;&gt;"P",AB97="S"),N(S97)," ")</f>
      </c>
    </row>
    <row r="98" spans="1:35" x14ac:dyDescent="0.15">
      <c r="A98" s="101"/>
      <c r="B98" s="42"/>
      <c r="C98" s="75"/>
      <c r="D98" s="46"/>
      <c r="E98" s="44"/>
      <c r="F98" s="7"/>
      <c r="G98" s="7"/>
      <c r="H98" s="13">
        <f t="shared" si="9"/>
        <v>0.25</v>
      </c>
      <c r="I98" s="7" t="str">
        <f t="shared" si="10"/>
        <v xml:space="preserve"> </v>
      </c>
      <c r="J98" s="7" t="str">
        <f t="shared" si="11"/>
        <v xml:space="preserve"> </v>
      </c>
      <c r="K98" s="7" t="str">
        <f t="shared" si="12"/>
        <v xml:space="preserve"> </v>
      </c>
      <c r="L98" s="7"/>
      <c r="M98" s="29">
        <v>0</v>
      </c>
      <c r="N98" s="7"/>
      <c r="O98" s="11"/>
      <c r="P98" s="88"/>
      <c r="Q98" s="11"/>
      <c r="R98" s="11" t="str">
        <f>IF(AND(E98&gt;0,AB98&lt;&gt;"S"),E98*R$4*(1-M98)," ")</f>
        <v xml:space="preserve"> </v>
      </c>
      <c r="S98" s="11" t="str">
        <f>IF(E98&gt;0,E98-N(R98)-N(AC98)," ")</f>
        <v xml:space="preserve"> </v>
      </c>
      <c r="T98" s="11"/>
      <c r="U98" s="42"/>
      <c r="V98" s="44"/>
      <c r="W98" s="7" t="str">
        <f t="shared" si="13"/>
        <v xml:space="preserve"> </v>
      </c>
      <c r="X98" s="7" t="str">
        <f t="shared" si="14"/>
        <v xml:space="preserve"> </v>
      </c>
      <c r="Y98" s="11" t="str">
        <f t="shared" si="15"/>
        <v xml:space="preserve"> </v>
      </c>
      <c r="Z98" s="11" t="str">
        <f t="shared" si="16"/>
        <v xml:space="preserve"> </v>
      </c>
      <c r="AA98" s="22"/>
      <c r="AB98" s="42"/>
      <c r="AC98" s="11" t="str">
        <f>IF(AND(E98&gt;0,AB98="S"),E98*AC$4*(1-M98)," ")</f>
        <v xml:space="preserve"> </v>
      </c>
      <c r="AE98" s="11" t="str">
        <f>IF(AND(AD98="P",AB98&lt;&gt;"S"),N(R98)," ")</f>
      </c>
      <c r="AF98" s="11" t="str">
        <f>IF(AND(AD98="P",AB98="S"),N(AC98)," ")</f>
      </c>
      <c r="AG98" s="11" t="str">
        <f>IF(AD98="P",N(S98)," ")</f>
      </c>
      <c r="AH98" s="11" t="str">
        <f>IF(AND(AD98&lt;&gt;"P",AB98&lt;&gt;"S"),N(S98)," ")</f>
      </c>
      <c r="AI98" s="11" t="str">
        <f>IF(AND(AD98&lt;&gt;"P",AB98="S"),N(S98)," ")</f>
      </c>
    </row>
    <row r="99" spans="1:35" x14ac:dyDescent="0.15">
      <c r="A99" s="101"/>
      <c r="B99" s="42"/>
      <c r="C99" s="75"/>
      <c r="D99" s="46"/>
      <c r="E99" s="44"/>
      <c r="F99" s="7"/>
      <c r="G99" s="7"/>
      <c r="H99" s="13">
        <f t="shared" si="9"/>
        <v>0.25</v>
      </c>
      <c r="I99" s="7" t="str">
        <f>IF(E99&gt;0,MIN(E99*H99,G99)," ")</f>
        <v xml:space="preserve"> </v>
      </c>
      <c r="J99" s="7" t="str">
        <f>IF(E99&gt;0,F99+I99," ")</f>
        <v xml:space="preserve"> </v>
      </c>
      <c r="K99" s="7" t="str">
        <f>IF(E99&gt;0,IF(V99&gt;0,0,E99-J99)," ")</f>
        <v xml:space="preserve"> </v>
      </c>
      <c r="L99" s="7"/>
      <c r="M99" s="29">
        <v>0</v>
      </c>
      <c r="N99" s="7"/>
      <c r="O99" s="11"/>
      <c r="P99" s="88"/>
      <c r="Q99" s="11"/>
      <c r="R99" s="11" t="str">
        <f>IF(AND(E99&gt;0,AB99&lt;&gt;"S"),E99*R$4*(1-M99)," ")</f>
        <v xml:space="preserve"> </v>
      </c>
      <c r="S99" s="11" t="str">
        <f>IF(E99&gt;0,E99-N(R99)-N(AC99)," ")</f>
        <v xml:space="preserve"> </v>
      </c>
      <c r="T99" s="11"/>
      <c r="U99" s="42"/>
      <c r="V99" s="44"/>
      <c r="W99" s="7" t="str">
        <f>IF(V99&gt;0,E99," ")</f>
        <v xml:space="preserve"> </v>
      </c>
      <c r="X99" s="7" t="str">
        <f>IF(V99&gt;0,J99," ")</f>
        <v xml:space="preserve"> </v>
      </c>
      <c r="Y99" s="11" t="str">
        <f>IF((U99+V99)&gt;0,IF(V99&lt;S99,(S99-V99)*(1-M99)," ")," ")</f>
        <v xml:space="preserve"> </v>
      </c>
      <c r="Z99" s="11" t="str">
        <f>IF((U99+V99)&gt;0,IF(V99&gt;S99,(V99-S99)*(1-M99)," ")," ")</f>
        <v xml:space="preserve"> </v>
      </c>
      <c r="AA99" s="22"/>
      <c r="AB99" s="42"/>
      <c r="AC99" s="11" t="str">
        <f>IF(AND(E99&gt;0,AB99="S"),E99*AC$4*(1-M99)," ")</f>
        <v xml:space="preserve"> </v>
      </c>
      <c r="AE99" s="11" t="str">
        <f>IF(AND(AD99="P",AB99&lt;&gt;"S"),N(R99)," ")</f>
      </c>
      <c r="AF99" s="11" t="str">
        <f>IF(AND(AD99="P",AB99="S"),N(AC99)," ")</f>
      </c>
      <c r="AG99" s="11" t="str">
        <f>IF(AD99="P",N(S99)," ")</f>
      </c>
      <c r="AH99" s="11" t="str">
        <f>IF(AND(AD99&lt;&gt;"P",AB99&lt;&gt;"S"),N(S99)," ")</f>
      </c>
      <c r="AI99" s="11" t="str">
        <f>IF(AND(AD99&lt;&gt;"P",AB99="S"),N(S99)," ")</f>
      </c>
    </row>
    <row r="100" spans="1:35" x14ac:dyDescent="0.15">
      <c r="A100" s="101"/>
      <c r="B100" s="42"/>
      <c r="C100" s="75"/>
      <c r="D100" s="46"/>
      <c r="E100" s="44"/>
      <c r="F100" s="7"/>
      <c r="G100" s="7"/>
      <c r="H100" s="13">
        <f t="shared" si="9"/>
        <v>0.25</v>
      </c>
      <c r="I100" s="7" t="str">
        <f>IF(E100&gt;0,MIN(E100*H100,G100)," ")</f>
        <v xml:space="preserve"> </v>
      </c>
      <c r="J100" s="7" t="str">
        <f>IF(E100&gt;0,F100+I100," ")</f>
        <v xml:space="preserve"> </v>
      </c>
      <c r="K100" s="7" t="str">
        <f>IF(E100&gt;0,IF(V100&gt;0,0,E100-J100)," ")</f>
        <v xml:space="preserve"> </v>
      </c>
      <c r="L100" s="7"/>
      <c r="M100" s="29">
        <v>0</v>
      </c>
      <c r="N100" s="7"/>
      <c r="O100" s="11"/>
      <c r="P100" s="88"/>
      <c r="Q100" s="11"/>
      <c r="R100" s="11" t="str">
        <f>IF(AND(E100&gt;0,AB100&lt;&gt;"S"),E100*R$4*(1-M100)," ")</f>
        <v xml:space="preserve"> </v>
      </c>
      <c r="S100" s="11" t="str">
        <f>IF(E100&gt;0,E100-N(R100)-N(AC100)," ")</f>
        <v xml:space="preserve"> </v>
      </c>
      <c r="T100" s="11"/>
      <c r="U100" s="42"/>
      <c r="V100" s="44"/>
      <c r="W100" s="7" t="str">
        <f>IF(V100&gt;0,E100," ")</f>
        <v xml:space="preserve"> </v>
      </c>
      <c r="X100" s="7" t="str">
        <f>IF(V100&gt;0,J100," ")</f>
        <v xml:space="preserve"> </v>
      </c>
      <c r="Y100" s="11" t="str">
        <f>IF((U100+V100)&gt;0,IF(V100&lt;S100,(S100-V100)*(1-M100)," ")," ")</f>
        <v xml:space="preserve"> </v>
      </c>
      <c r="Z100" s="11" t="str">
        <f>IF((U100+V100)&gt;0,IF(V100&gt;S100,(V100-S100)*(1-M100)," ")," ")</f>
        <v xml:space="preserve"> </v>
      </c>
      <c r="AA100" s="22"/>
      <c r="AB100" s="42"/>
      <c r="AC100" s="11" t="str">
        <f>IF(AND(E100&gt;0,AB100="S"),E100*AC$4*(1-M100)," ")</f>
        <v xml:space="preserve"> </v>
      </c>
      <c r="AE100" s="11" t="str">
        <f>IF(AND(AD100="P",AB100&lt;&gt;"S"),N(R100)," ")</f>
      </c>
      <c r="AF100" s="11" t="str">
        <f>IF(AND(AD100="P",AB100="S"),N(AC100)," ")</f>
      </c>
      <c r="AG100" s="11" t="str">
        <f>IF(AD100="P",N(S100)," ")</f>
      </c>
      <c r="AH100" s="11" t="str">
        <f>IF(AND(AD100&lt;&gt;"P",AB100&lt;&gt;"S"),N(S100)," ")</f>
      </c>
      <c r="AI100" s="11" t="str">
        <f>IF(AND(AD100&lt;&gt;"P",AB100="S"),N(S100)," ")</f>
      </c>
    </row>
    <row r="101" spans="1:35" x14ac:dyDescent="0.15">
      <c r="A101" s="101"/>
      <c r="B101" s="42"/>
      <c r="C101" s="75"/>
      <c r="D101" s="46"/>
      <c r="E101" s="44"/>
      <c r="F101" s="7"/>
      <c r="G101" s="7"/>
      <c r="H101" s="13">
        <f t="shared" si="9"/>
        <v>0.25</v>
      </c>
      <c r="I101" s="7" t="str">
        <f>IF(E101&gt;0,MIN(E101*H101,G101)," ")</f>
        <v xml:space="preserve"> </v>
      </c>
      <c r="J101" s="7" t="str">
        <f>IF(E101&gt;0,F101+I101," ")</f>
        <v xml:space="preserve"> </v>
      </c>
      <c r="K101" s="7" t="str">
        <f>IF(E101&gt;0,IF(V101&gt;0,0,E101-J101)," ")</f>
        <v xml:space="preserve"> </v>
      </c>
      <c r="L101" s="7"/>
      <c r="M101" s="29">
        <v>0</v>
      </c>
      <c r="N101" s="7"/>
      <c r="O101" s="11"/>
      <c r="P101" s="88"/>
      <c r="Q101" s="11"/>
      <c r="R101" s="11" t="str">
        <f>IF(AND(E101&gt;0,AB101&lt;&gt;"S"),E101*R$4*(1-M101)," ")</f>
        <v xml:space="preserve"> </v>
      </c>
      <c r="S101" s="11" t="str">
        <f>IF(E101&gt;0,E101-N(R101)-N(AC101)," ")</f>
        <v xml:space="preserve"> </v>
      </c>
      <c r="T101" s="11"/>
      <c r="U101" s="42"/>
      <c r="V101" s="44"/>
      <c r="W101" s="7" t="str">
        <f>IF(V101&gt;0,E101," ")</f>
        <v xml:space="preserve"> </v>
      </c>
      <c r="X101" s="7" t="str">
        <f>IF(V101&gt;0,J101," ")</f>
        <v xml:space="preserve"> </v>
      </c>
      <c r="Y101" s="11" t="str">
        <f>IF((U101+V101)&gt;0,IF(V101&lt;S101,(S101-V101)*(1-M101)," ")," ")</f>
        <v xml:space="preserve"> </v>
      </c>
      <c r="Z101" s="11" t="str">
        <f>IF((U101+V101)&gt;0,IF(V101&gt;S101,(V101-S101)*(1-M101)," ")," ")</f>
        <v xml:space="preserve"> </v>
      </c>
      <c r="AA101" s="22"/>
      <c r="AB101" s="42"/>
      <c r="AC101" s="11" t="str">
        <f>IF(AND(E101&gt;0,AB101="S"),E101*AC$4*(1-M101)," ")</f>
        <v xml:space="preserve"> </v>
      </c>
      <c r="AE101" s="11" t="str">
        <f>IF(AND(AD101="P",AB101&lt;&gt;"S"),N(R101)," ")</f>
      </c>
      <c r="AF101" s="11" t="str">
        <f>IF(AND(AD101="P",AB101="S"),N(AC101)," ")</f>
      </c>
      <c r="AG101" s="11" t="str">
        <f>IF(AD101="P",N(S101)," ")</f>
      </c>
      <c r="AH101" s="11" t="str">
        <f>IF(AND(AD101&lt;&gt;"P",AB101&lt;&gt;"S"),N(S101)," ")</f>
      </c>
      <c r="AI101" s="11" t="str">
        <f>IF(AND(AD101&lt;&gt;"P",AB101="S"),N(S101)," ")</f>
      </c>
    </row>
    <row r="102" spans="1:35" x14ac:dyDescent="0.15">
      <c r="A102" s="101"/>
      <c r="B102" s="122" t="s">
        <v>54</v>
      </c>
      <c r="C102" s="122"/>
      <c r="D102" s="33"/>
      <c r="E102" s="7"/>
      <c r="F102" s="7"/>
      <c r="G102" s="7"/>
      <c r="H102" s="13"/>
      <c r="I102" s="7"/>
      <c r="J102" s="7"/>
      <c r="K102" s="7"/>
      <c r="L102" s="7"/>
      <c r="M102" s="13"/>
      <c r="N102" s="7"/>
      <c r="O102" s="11"/>
      <c r="P102" s="88"/>
      <c r="Q102" s="11"/>
      <c r="R102" s="11"/>
      <c r="S102" s="11"/>
      <c r="T102" s="11"/>
      <c r="U102" s="12"/>
      <c r="V102" s="7"/>
      <c r="W102" s="7"/>
      <c r="X102" s="7"/>
      <c r="Y102" s="11"/>
      <c r="Z102" s="11"/>
      <c r="AA102" s="22"/>
    </row>
    <row r="103" spans="1:35" x14ac:dyDescent="0.15">
      <c r="A103" s="101"/>
      <c r="B103" s="42"/>
      <c r="C103" s="75"/>
      <c r="D103" s="46"/>
      <c r="E103" s="44"/>
      <c r="F103" s="7"/>
      <c r="G103" s="7"/>
      <c r="H103" s="13">
        <f t="shared" si="9"/>
        <v>0.25</v>
      </c>
      <c r="I103" s="7" t="str">
        <f t="shared" si="10"/>
        <v xml:space="preserve"> </v>
      </c>
      <c r="J103" s="7" t="str">
        <f t="shared" si="11"/>
        <v xml:space="preserve"> </v>
      </c>
      <c r="K103" s="7" t="str">
        <f t="shared" si="12"/>
        <v xml:space="preserve"> </v>
      </c>
      <c r="L103" s="7"/>
      <c r="M103" s="29">
        <v>0</v>
      </c>
      <c r="N103" s="7"/>
      <c r="O103" s="11"/>
      <c r="P103" s="13">
        <f>P$4</f>
        <v>1</v>
      </c>
      <c r="Q103" s="11" t="str">
        <f>IF(E103&gt;0,E103*P103," ")</f>
        <v xml:space="preserve"> </v>
      </c>
      <c r="R103" s="11"/>
      <c r="S103" s="11" t="str">
        <f>IF(E103&gt;0,E103-Q103," ")</f>
        <v xml:space="preserve"> </v>
      </c>
      <c r="T103" s="11"/>
      <c r="U103" s="42"/>
      <c r="V103" s="44"/>
      <c r="W103" s="7" t="str">
        <f t="shared" si="13"/>
        <v xml:space="preserve"> </v>
      </c>
      <c r="X103" s="7" t="str">
        <f t="shared" si="14"/>
        <v xml:space="preserve"> </v>
      </c>
      <c r="Y103" s="11" t="str">
        <f t="shared" si="15"/>
        <v xml:space="preserve"> </v>
      </c>
      <c r="Z103" s="11" t="str">
        <f t="shared" si="16"/>
        <v xml:space="preserve"> </v>
      </c>
      <c r="AA103" s="22"/>
    </row>
    <row r="104" spans="1:35" x14ac:dyDescent="0.15">
      <c r="A104" s="101"/>
      <c r="B104" s="42"/>
      <c r="C104" s="75"/>
      <c r="D104" s="46"/>
      <c r="E104" s="44"/>
      <c r="F104" s="7"/>
      <c r="G104" s="7"/>
      <c r="H104" s="13">
        <f t="shared" si="9"/>
        <v>0.25</v>
      </c>
      <c r="I104" s="7" t="str">
        <f t="shared" si="10"/>
        <v xml:space="preserve"> </v>
      </c>
      <c r="J104" s="7" t="str">
        <f t="shared" si="11"/>
        <v xml:space="preserve"> </v>
      </c>
      <c r="K104" s="7" t="str">
        <f t="shared" si="12"/>
        <v xml:space="preserve"> </v>
      </c>
      <c r="L104" s="7"/>
      <c r="M104" s="29">
        <v>0</v>
      </c>
      <c r="N104" s="7"/>
      <c r="O104" s="11"/>
      <c r="P104" s="13">
        <f>P$4</f>
        <v>1</v>
      </c>
      <c r="Q104" s="11" t="str">
        <f>IF(E104&gt;0,E104*P104," ")</f>
        <v xml:space="preserve"> </v>
      </c>
      <c r="R104" s="11"/>
      <c r="S104" s="11" t="str">
        <f>IF(E104&gt;0,E104-Q104," ")</f>
        <v xml:space="preserve"> </v>
      </c>
      <c r="T104" s="11"/>
      <c r="U104" s="42"/>
      <c r="V104" s="44"/>
      <c r="W104" s="7" t="str">
        <f t="shared" si="13"/>
        <v xml:space="preserve"> </v>
      </c>
      <c r="X104" s="7" t="str">
        <f t="shared" si="14"/>
        <v xml:space="preserve"> </v>
      </c>
      <c r="Y104" s="11" t="str">
        <f t="shared" si="15"/>
        <v xml:space="preserve"> </v>
      </c>
      <c r="Z104" s="11" t="str">
        <f t="shared" si="16"/>
        <v xml:space="preserve"> </v>
      </c>
      <c r="AA104" s="22"/>
    </row>
    <row r="105" spans="1:35" x14ac:dyDescent="0.15">
      <c r="A105" s="101"/>
      <c r="B105" s="42"/>
      <c r="C105" s="75"/>
      <c r="D105" s="46"/>
      <c r="E105" s="44"/>
      <c r="F105" s="7"/>
      <c r="G105" s="7"/>
      <c r="H105" s="13">
        <f t="shared" si="9"/>
        <v>0.25</v>
      </c>
      <c r="I105" s="7" t="str">
        <f t="shared" si="10"/>
        <v xml:space="preserve"> </v>
      </c>
      <c r="J105" s="7" t="str">
        <f t="shared" si="11"/>
        <v xml:space="preserve"> </v>
      </c>
      <c r="K105" s="7" t="str">
        <f t="shared" si="12"/>
        <v xml:space="preserve"> </v>
      </c>
      <c r="L105" s="7"/>
      <c r="M105" s="29">
        <v>0</v>
      </c>
      <c r="N105" s="7"/>
      <c r="O105" s="11"/>
      <c r="P105" s="13">
        <f>P$4</f>
        <v>1</v>
      </c>
      <c r="Q105" s="11" t="str">
        <f>IF(E105&gt;0,E105*P105," ")</f>
        <v xml:space="preserve"> </v>
      </c>
      <c r="R105" s="11"/>
      <c r="S105" s="11" t="str">
        <f>IF(E105&gt;0,E105-Q105," ")</f>
        <v xml:space="preserve"> </v>
      </c>
      <c r="T105" s="11"/>
      <c r="U105" s="42"/>
      <c r="V105" s="44"/>
      <c r="W105" s="7" t="str">
        <f t="shared" si="13"/>
        <v xml:space="preserve"> </v>
      </c>
      <c r="X105" s="7" t="str">
        <f t="shared" si="14"/>
        <v xml:space="preserve"> </v>
      </c>
      <c r="Y105" s="11" t="str">
        <f t="shared" si="15"/>
        <v xml:space="preserve"> </v>
      </c>
      <c r="Z105" s="11" t="str">
        <f t="shared" si="16"/>
        <v xml:space="preserve"> </v>
      </c>
      <c r="AA105" s="22"/>
    </row>
    <row r="106" spans="1:35" x14ac:dyDescent="0.15">
      <c r="A106" s="101"/>
      <c r="B106" s="42"/>
      <c r="C106" s="75"/>
      <c r="D106" s="46"/>
      <c r="E106" s="44"/>
      <c r="F106" s="7"/>
      <c r="G106" s="7"/>
      <c r="H106" s="13">
        <f t="shared" si="9"/>
        <v>0.25</v>
      </c>
      <c r="I106" s="7" t="str">
        <f t="shared" si="10"/>
        <v xml:space="preserve"> </v>
      </c>
      <c r="J106" s="7" t="str">
        <f t="shared" si="11"/>
        <v xml:space="preserve"> </v>
      </c>
      <c r="K106" s="7" t="str">
        <f t="shared" si="12"/>
        <v xml:space="preserve"> </v>
      </c>
      <c r="L106" s="7"/>
      <c r="M106" s="29">
        <v>0</v>
      </c>
      <c r="N106" s="7"/>
      <c r="O106" s="11"/>
      <c r="P106" s="13">
        <f>P$4</f>
        <v>1</v>
      </c>
      <c r="Q106" s="11" t="str">
        <f>IF(E106&gt;0,E106*P106," ")</f>
        <v xml:space="preserve"> </v>
      </c>
      <c r="R106" s="11"/>
      <c r="S106" s="11" t="str">
        <f>IF(E106&gt;0,E106-Q106," ")</f>
        <v xml:space="preserve"> </v>
      </c>
      <c r="T106" s="11"/>
      <c r="U106" s="42"/>
      <c r="V106" s="44"/>
      <c r="W106" s="7" t="str">
        <f t="shared" si="13"/>
        <v xml:space="preserve"> </v>
      </c>
      <c r="X106" s="7" t="str">
        <f t="shared" si="14"/>
        <v xml:space="preserve"> </v>
      </c>
      <c r="Y106" s="11" t="str">
        <f t="shared" si="15"/>
        <v xml:space="preserve"> </v>
      </c>
      <c r="Z106" s="11" t="str">
        <f t="shared" si="16"/>
        <v xml:space="preserve"> </v>
      </c>
      <c r="AA106" s="22"/>
    </row>
    <row r="107" spans="1:35" x14ac:dyDescent="0.15">
      <c r="A107" s="101"/>
      <c r="B107" s="42"/>
      <c r="C107" s="75"/>
      <c r="D107" s="46"/>
      <c r="E107" s="111"/>
      <c r="F107" s="7"/>
      <c r="G107" s="7"/>
      <c r="H107" s="13">
        <f t="shared" si="9"/>
        <v>0.25</v>
      </c>
      <c r="I107" s="7" t="str">
        <f t="shared" si="10"/>
        <v xml:space="preserve"> </v>
      </c>
      <c r="J107" s="7" t="str">
        <f t="shared" si="11"/>
        <v xml:space="preserve"> </v>
      </c>
      <c r="K107" s="7" t="str">
        <f t="shared" si="12"/>
        <v xml:space="preserve"> </v>
      </c>
      <c r="L107" s="7"/>
      <c r="M107" s="29">
        <v>0</v>
      </c>
      <c r="N107" s="7"/>
      <c r="O107" s="11"/>
      <c r="P107" s="13">
        <f>P$4</f>
        <v>1</v>
      </c>
      <c r="Q107" s="11" t="str">
        <f>IF(E107&gt;0,E107*P107," ")</f>
        <v xml:space="preserve"> </v>
      </c>
      <c r="R107" s="11"/>
      <c r="S107" s="11" t="str">
        <f>IF(E107&gt;0,E107-Q107," ")</f>
        <v xml:space="preserve"> </v>
      </c>
      <c r="T107" s="11"/>
      <c r="U107" s="42"/>
      <c r="V107" s="111"/>
      <c r="W107" s="7" t="str">
        <f t="shared" si="13"/>
        <v xml:space="preserve"> </v>
      </c>
      <c r="X107" s="7" t="str">
        <f t="shared" si="14"/>
        <v xml:space="preserve"> </v>
      </c>
      <c r="Y107" s="11" t="str">
        <f t="shared" si="15"/>
        <v xml:space="preserve"> </v>
      </c>
      <c r="Z107" s="11" t="str">
        <f t="shared" si="16"/>
        <v xml:space="preserve"> </v>
      </c>
      <c r="AA107" s="22"/>
    </row>
    <row r="108" spans="1:35" x14ac:dyDescent="0.15">
      <c r="A108" s="101"/>
      <c r="B108" s="117" t="s">
        <v>16</v>
      </c>
      <c r="C108" s="118"/>
      <c r="D108" s="119"/>
      <c r="E108" s="17">
        <f>SUM(E91:E107)</f>
        <v>0</v>
      </c>
      <c r="F108" s="17">
        <f>SUM(F91:F107)</f>
        <v>0</v>
      </c>
      <c r="G108" s="17">
        <f>SUM(G91:G107)</f>
        <v>0</v>
      </c>
      <c r="H108" s="13"/>
      <c r="I108" s="17">
        <f>SUM(I91:I107)</f>
        <v>0</v>
      </c>
      <c r="J108" s="17">
        <f>SUM(J91:J107)</f>
        <v>0</v>
      </c>
      <c r="K108" s="17">
        <f>SUM(K91:K107)</f>
        <v>0</v>
      </c>
      <c r="L108" s="7"/>
      <c r="M108" s="13"/>
      <c r="N108" s="7"/>
      <c r="O108" s="17">
        <f>SUM(O91:O107)</f>
        <v>0</v>
      </c>
      <c r="P108" s="32"/>
      <c r="Q108" s="17">
        <f>SUM(Q91:Q107)</f>
        <v>0</v>
      </c>
      <c r="R108" s="17">
        <f>SUM(R91:R107)</f>
        <v>0</v>
      </c>
      <c r="S108" s="17">
        <f>SUM(S91:S107)</f>
        <v>0</v>
      </c>
      <c r="T108" s="11"/>
      <c r="U108" s="12"/>
      <c r="V108" s="17">
        <f>SUM(V91:V107)</f>
        <v>0</v>
      </c>
      <c r="W108" s="17">
        <f>SUM(W91:W107)</f>
        <v>0</v>
      </c>
      <c r="X108" s="17">
        <f>SUM(X91:X107)</f>
        <v>0</v>
      </c>
      <c r="Y108" s="17">
        <f>SUM(Y91:Y107)</f>
        <v>0</v>
      </c>
      <c r="Z108" s="17">
        <f>SUM(Z91:Z107)</f>
        <v>0</v>
      </c>
      <c r="AA108" s="22"/>
      <c r="AB108" s="22"/>
      <c r="AC108" s="17">
        <f>SUM(AC91:AC107)</f>
        <v>0</v>
      </c>
      <c r="AE108" s="17">
        <f>SUM(AE91:AE107)</f>
      </c>
      <c r="AF108" s="17">
        <f>SUM(AF91:AF107)</f>
      </c>
      <c r="AG108" s="17">
        <f>SUM(AG91:AG107)</f>
      </c>
      <c r="AH108" s="17">
        <f>SUM(AH91:AH107)</f>
      </c>
      <c r="AI108" s="17">
        <f>SUM(AI91:AI107)</f>
      </c>
    </row>
    <row r="109" spans="1:35" ht="9" customHeight="1" thickBot="1" x14ac:dyDescent="0.2">
      <c r="A109" s="101"/>
      <c r="B109" s="12"/>
      <c r="C109" s="77"/>
      <c r="D109" s="33"/>
      <c r="E109" s="7"/>
      <c r="F109" s="7"/>
      <c r="G109" s="7"/>
      <c r="H109" s="13"/>
      <c r="I109" s="7"/>
      <c r="J109" s="7"/>
      <c r="K109" s="7"/>
      <c r="L109" s="7"/>
      <c r="M109" s="13"/>
      <c r="N109" s="7"/>
      <c r="O109" s="11"/>
      <c r="P109" s="88"/>
      <c r="Q109" s="11"/>
      <c r="R109" s="11"/>
      <c r="S109" s="11"/>
      <c r="T109" s="11"/>
      <c r="U109" s="12"/>
      <c r="V109" s="7"/>
      <c r="W109" s="11"/>
      <c r="X109" s="11"/>
      <c r="Y109" s="11"/>
      <c r="Z109" s="11"/>
      <c r="AA109" s="22"/>
    </row>
    <row r="110" spans="1:35" ht="13.5" customHeight="1" thickBot="1" x14ac:dyDescent="0.2">
      <c r="A110" s="101"/>
      <c r="B110" s="152" t="str">
        <f>B59</f>
        <v xml:space="preserve">NEW FIXED ASSETS Bought AFTER </v>
      </c>
      <c r="C110" s="153"/>
      <c r="D110" s="113">
        <f>D59</f>
        <v>45753</v>
      </c>
      <c r="E110" s="19">
        <f>E64+E72+E80+E88+E108</f>
        <v>0</v>
      </c>
      <c r="F110" s="19">
        <f>F64+F72+F80+F88+F108</f>
        <v>0</v>
      </c>
      <c r="G110" s="19">
        <f>G64+G72+G80+G88+G108</f>
        <v>0</v>
      </c>
      <c r="H110" s="13"/>
      <c r="I110" s="19">
        <f>I64+I72+I80+I88+I108</f>
        <v>0</v>
      </c>
      <c r="J110" s="19">
        <f>J64+J72+J80+J88+J108</f>
        <v>0</v>
      </c>
      <c r="K110" s="19">
        <f>K64+K72+K80+K88+K108</f>
        <v>0</v>
      </c>
      <c r="L110" s="7"/>
      <c r="M110" s="13"/>
      <c r="N110" s="7"/>
      <c r="O110" s="19">
        <f>O64+O72+O80+O88+O108</f>
        <v>0</v>
      </c>
      <c r="P110" s="32"/>
      <c r="Q110" s="19">
        <f>Q64+Q72+Q80+Q88+Q108</f>
        <v>0</v>
      </c>
      <c r="R110" s="19">
        <f>R64+R72+R80+R88+R108</f>
        <v>0</v>
      </c>
      <c r="S110" s="19">
        <f>S64+S72+S80+S88+S108</f>
        <v>0</v>
      </c>
      <c r="T110" s="11"/>
      <c r="U110" s="12"/>
      <c r="V110" s="19">
        <f>V64+V72+V80+V88+V108</f>
        <v>0</v>
      </c>
      <c r="W110" s="19">
        <f>W64+W72+W80+W88+W108</f>
        <v>0</v>
      </c>
      <c r="X110" s="19">
        <f>X64+X72+X80+X88+X108</f>
        <v>0</v>
      </c>
      <c r="Y110" s="19">
        <f>Y64+Y72+Y80+Y88+Y108</f>
        <v>0</v>
      </c>
      <c r="Z110" s="19">
        <f>Z64+Z72+Z80+Z88+Z108</f>
        <v>0</v>
      </c>
      <c r="AA110" s="22"/>
      <c r="AB110" s="22"/>
      <c r="AC110" s="19">
        <f>AC64+AC72+AC80+AC88+AC108</f>
        <v>0</v>
      </c>
      <c r="AE110" s="19">
        <f>AE64+AE72+AE80+AE88+AE108</f>
      </c>
      <c r="AF110" s="19">
        <f>AF64+AF72+AF80+AF88+AF108</f>
      </c>
      <c r="AG110" s="19">
        <f>AG64+AG72+AG80+AG88+AG108</f>
      </c>
      <c r="AH110" s="19">
        <f>AH64+AH72+AH80+AH88+AH108</f>
      </c>
      <c r="AI110" s="19">
        <f>AI64+AI72+AI80+AI88+AI108</f>
      </c>
    </row>
    <row r="111" spans="1:35" ht="7.5" customHeight="1" thickBot="1" x14ac:dyDescent="0.2">
      <c r="A111" s="102"/>
      <c r="B111" s="24"/>
      <c r="C111" s="79"/>
      <c r="D111" s="35"/>
      <c r="E111" s="25"/>
      <c r="F111" s="25"/>
      <c r="G111" s="25"/>
      <c r="H111" s="26"/>
      <c r="I111" s="25"/>
      <c r="J111" s="25"/>
      <c r="K111" s="25"/>
      <c r="L111" s="25"/>
      <c r="M111" s="26"/>
      <c r="N111" s="25"/>
      <c r="O111" s="27"/>
      <c r="P111" s="110"/>
      <c r="Q111" s="27"/>
      <c r="R111" s="27"/>
      <c r="S111" s="27"/>
      <c r="T111" s="27"/>
      <c r="U111" s="24"/>
      <c r="V111" s="25"/>
      <c r="W111" s="25"/>
      <c r="X111" s="25"/>
      <c r="Y111" s="27"/>
      <c r="Z111" s="27"/>
      <c r="AA111" s="28"/>
    </row>
    <row r="113" spans="1:35" ht="13.5" customHeight="1" x14ac:dyDescent="0.15">
      <c r="B113" s="152" t="inlineStr">
        <is>
          <t xml:space="preserve">STRUCTURES AND BUILDINGS ALLOWANCE (SA103F boxes 53 and 53.1)</t>
        </is>
      </c>
    </row>
    <row r="114" spans="1:35" ht="24" customHeight="1" x14ac:dyDescent="0.15">
      <c r="B114" s="130" t="inlineStr">
        <is>
          <t xml:space="preserve">Date first in qualifying use</t>
        </is>
      </c>
      <c r="C114" s="130" t="inlineStr">
        <is>
          <t xml:space="preserve">Building name</t>
        </is>
      </c>
      <c r="D114" s="130" t="inlineStr">
        <is>
          <t xml:space="preserve">Number</t>
        </is>
      </c>
      <c r="E114" s="130" t="inlineStr">
        <is>
          <t xml:space="preserve">Qualifying expenditure</t>
        </is>
      </c>
      <c r="F114" s="130" t="inlineStr">
        <is>
          <t xml:space="preserve">Postcode</t>
        </is>
      </c>
      <c r="G114" s="130" t="inlineStr">
        <is>
          <t xml:space="preserve">Tax site (F = Freeport or Investment Zone)</t>
        </is>
      </c>
      <c r="H114" s="130" t="inlineStr">
        <is>
          <t xml:space="preserve">Rate</t>
        </is>
      </c>
      <c r="I114" s="130" t="inlineStr">
        <is>
          <t xml:space="preserve">Date qualifying use ceased</t>
        </is>
      </c>
      <c r="J114" s="130" t="inlineStr">
        <is>
          <t xml:space="preserve">Days claimed this year</t>
        </is>
      </c>
      <c r="K114" s="130" t="inlineStr">
        <is>
          <t xml:space="preserve">Allowance this year</t>
        </is>
      </c>
    </row>
    <row r="115" spans="1:35" x14ac:dyDescent="0.15">
      <c r="B115" s="112"/>
      <c r="C115" s="42"/>
      <c r="D115" s="42"/>
      <c r="E115" s="44"/>
      <c r="F115" s="42"/>
      <c r="G115" s="42"/>
      <c r="H115" s="15" t="str">
        <f>IF(E115&gt;0,IF(G115="F",[1]Admin!$G$10,[1]Admin!$G$9)," ")</f>
        <v xml:space="preserve"> </v>
      </c>
      <c r="I115" s="112"/>
      <c r="J115" s="11" t="str">
        <f>IF(E115&gt;0,MAX(0,MIN($S$4,IF(N(I115)&gt;0,I115,$S$4),EDATE(B115,IF(G115="F",120,400))-1)-MAX($D$6,B115)+1)," ")</f>
        <v xml:space="preserve"> </v>
      </c>
      <c r="K115" s="11" t="str">
        <f>IF(E115&gt;0,E115*H115*J115/($S$4-$D$6+1)," ")</f>
        <v xml:space="preserve"> </v>
      </c>
    </row>
    <row r="116" spans="1:35" x14ac:dyDescent="0.15">
      <c r="B116" s="112"/>
      <c r="C116" s="42"/>
      <c r="D116" s="42"/>
      <c r="E116" s="44"/>
      <c r="F116" s="42"/>
      <c r="G116" s="42"/>
      <c r="H116" s="15" t="str">
        <f>IF(E116&gt;0,IF(G116="F",[1]Admin!$G$10,[1]Admin!$G$9)," ")</f>
        <v xml:space="preserve"> </v>
      </c>
      <c r="I116" s="112"/>
      <c r="J116" s="11" t="str">
        <f>IF(E116&gt;0,MAX(0,MIN($S$4,IF(N(I116)&gt;0,I116,$S$4),EDATE(B116,IF(G116="F",120,400))-1)-MAX($D$6,B116)+1)," ")</f>
        <v xml:space="preserve"> </v>
      </c>
      <c r="K116" s="11" t="str">
        <f>IF(E116&gt;0,E116*H116*J116/($S$4-$D$6+1)," ")</f>
        <v xml:space="preserve"> </v>
      </c>
    </row>
    <row r="117" spans="1:35" x14ac:dyDescent="0.15">
      <c r="B117" s="112"/>
      <c r="C117" s="42"/>
      <c r="D117" s="42"/>
      <c r="E117" s="44"/>
      <c r="F117" s="42"/>
      <c r="G117" s="42"/>
      <c r="H117" s="15" t="str">
        <f>IF(E117&gt;0,IF(G117="F",[1]Admin!$G$10,[1]Admin!$G$9)," ")</f>
        <v xml:space="preserve"> </v>
      </c>
      <c r="I117" s="112"/>
      <c r="J117" s="11" t="str">
        <f>IF(E117&gt;0,MAX(0,MIN($S$4,IF(N(I117)&gt;0,I117,$S$4),EDATE(B117,IF(G117="F",120,400))-1)-MAX($D$6,B117)+1)," ")</f>
        <v xml:space="preserve"> </v>
      </c>
      <c r="K117" s="11" t="str">
        <f>IF(E117&gt;0,E117*H117*J117/($S$4-$D$6+1)," ")</f>
        <v xml:space="preserve"> </v>
      </c>
    </row>
    <row r="118" spans="1:35" x14ac:dyDescent="0.15">
      <c r="B118" s="112"/>
      <c r="C118" s="42"/>
      <c r="D118" s="42"/>
      <c r="E118" s="44"/>
      <c r="F118" s="42"/>
      <c r="G118" s="42"/>
      <c r="H118" s="15" t="str">
        <f>IF(E118&gt;0,IF(G118="F",[1]Admin!$G$10,[1]Admin!$G$9)," ")</f>
        <v xml:space="preserve"> </v>
      </c>
      <c r="I118" s="112"/>
      <c r="J118" s="11" t="str">
        <f>IF(E118&gt;0,MAX(0,MIN($S$4,IF(N(I118)&gt;0,I118,$S$4),EDATE(B118,IF(G118="F",120,400))-1)-MAX($D$6,B118)+1)," ")</f>
        <v xml:space="preserve"> </v>
      </c>
      <c r="K118" s="11" t="str">
        <f>IF(E118&gt;0,E118*H118*J118/($S$4-$D$6+1)," ")</f>
        <v xml:space="preserve"> </v>
      </c>
    </row>
    <row r="119" spans="1:35" x14ac:dyDescent="0.15">
      <c r="B119" s="112"/>
      <c r="C119" s="42"/>
      <c r="D119" s="42"/>
      <c r="E119" s="44"/>
      <c r="F119" s="42"/>
      <c r="G119" s="42"/>
      <c r="H119" s="15" t="str">
        <f>IF(E119&gt;0,IF(G119="F",[1]Admin!$G$10,[1]Admin!$G$9)," ")</f>
        <v xml:space="preserve"> </v>
      </c>
      <c r="I119" s="112"/>
      <c r="J119" s="11" t="str">
        <f>IF(E119&gt;0,MAX(0,MIN($S$4,IF(N(I119)&gt;0,I119,$S$4),EDATE(B119,IF(G119="F",120,400))-1)-MAX($D$6,B119)+1)," ")</f>
        <v xml:space="preserve"> </v>
      </c>
      <c r="K119" s="11" t="str">
        <f>IF(E119&gt;0,E119*H119*J119/($S$4-$D$6+1)," ")</f>
        <v xml:space="preserve"> </v>
      </c>
    </row>
    <row r="120" spans="1:35" x14ac:dyDescent="0.15">
      <c r="B120" s="117" t="inlineStr">
        <is>
          <t xml:space="preserve">Structures and Buildings Allowance (box 53)</t>
        </is>
      </c>
      <c r="K120" s="17">
        <f>SUMIF(G115:G119,"&lt;&gt;F",K115:K119)</f>
        <v>0</v>
      </c>
    </row>
    <row r="121" spans="1:35" x14ac:dyDescent="0.15">
      <c r="B121" s="117" t="inlineStr">
        <is>
          <t xml:space="preserve">Freeport and Investment Zone SBA (box 53.1)</t>
        </is>
      </c>
      <c r="K121" s="17">
        <f>SUMIF(G115:G119,"F",K115:K119)</f>
        <v>0</v>
      </c>
    </row>
  </sheetData>
  <mergeCells count="56">
    <mergeCell ref="B110:C110"/>
    <mergeCell ref="S2:S3"/>
    <mergeCell ref="B6:C6"/>
    <mergeCell ref="B59:C59"/>
    <mergeCell ref="B57:C57"/>
    <mergeCell ref="B96:C96"/>
    <mergeCell ref="B29:C29"/>
    <mergeCell ref="B35:D35"/>
    <mergeCell ref="B80:D80"/>
    <mergeCell ref="B49:C49"/>
    <mergeCell ref="B11:D11"/>
    <mergeCell ref="B19:D19"/>
    <mergeCell ref="B1:B4"/>
    <mergeCell ref="N1:N4"/>
    <mergeCell ref="J2:J3"/>
    <mergeCell ref="K2:K3"/>
    <mergeCell ref="F59:G60"/>
    <mergeCell ref="B55:D55"/>
    <mergeCell ref="B60:C60"/>
    <mergeCell ref="Y2:Y4"/>
    <mergeCell ref="T1:T4"/>
    <mergeCell ref="X2:X4"/>
    <mergeCell ref="V2:V4"/>
    <mergeCell ref="W2:W4"/>
    <mergeCell ref="C1:D1"/>
    <mergeCell ref="I2:I4"/>
    <mergeCell ref="L1:L4"/>
    <mergeCell ref="Q2:Q4"/>
    <mergeCell ref="O2:O3"/>
    <mergeCell ref="Z2:Z4"/>
    <mergeCell ref="U1:U4"/>
    <mergeCell ref="C2:C4"/>
    <mergeCell ref="D2:D4"/>
    <mergeCell ref="E2:E4"/>
    <mergeCell ref="R2:R3"/>
    <mergeCell ref="P1:P3"/>
    <mergeCell ref="A1:A4"/>
    <mergeCell ref="M1:M4"/>
    <mergeCell ref="H1:H4"/>
    <mergeCell ref="F2:F3"/>
    <mergeCell ref="G2:G3"/>
    <mergeCell ref="B108:D108"/>
    <mergeCell ref="B37:C37"/>
    <mergeCell ref="B7:C7"/>
    <mergeCell ref="B13:C13"/>
    <mergeCell ref="B21:C21"/>
    <mergeCell ref="B102:C102"/>
    <mergeCell ref="B27:D27"/>
    <mergeCell ref="B88:D88"/>
    <mergeCell ref="B90:C90"/>
    <mergeCell ref="B72:D72"/>
    <mergeCell ref="B74:C74"/>
    <mergeCell ref="B82:C82"/>
    <mergeCell ref="B43:C43"/>
    <mergeCell ref="B64:D64"/>
    <mergeCell ref="B66:C66"/>
  </mergeCells>
  <phoneticPr fontId="1" type="noConversion"/>
  <printOptions horizontalCentered="1" verticalCentered="1"/>
  <pageMargins left="0.15748031496062992" right="0.15748031496062992" top="0.55118110236220474" bottom="0.6692913385826772" header="0.31496062992125984" footer="0.11811023622047245"/>
  <pageSetup paperSize="9" scale="75" fitToWidth="2" fitToHeight="2" orientation="landscape" horizontalDpi="0" verticalDpi="0" r:id="rId1"/>
  <headerFooter alignWithMargins="0">
    <oddHeader xml:space="preserve">&amp;C&amp;"Arial,Bold"&amp;12Fixed Assets Capital Allowances&amp;"Arial,Regular"&amp;10
</oddHeader>
    <oddFooter>&amp;L&amp;D  &amp;T&amp;C&amp;P  of  &amp;N&amp;R&amp;F  &amp;A</oddFooter>
  </headerFooter>
  <rowBreaks count="2" manualBreakCount="2">
    <brk id="57" max="16383" man="1"/>
    <brk id="111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16"/>
  <sheetViews>
    <sheetView workbookViewId="0">
      <selection activeCell="E13" sqref="E13"/>
    </sheetView>
  </sheetViews>
  <sheetFormatPr baseColWidth="10" defaultColWidth="9.1640625" defaultRowHeight="12" x14ac:dyDescent="0.15"/>
  <cols>
    <col min="1" max="1" width="1.6640625" style="104" customWidth="1"/>
    <col min="2" max="2" width="27.1640625" style="104" bestFit="1" customWidth="1"/>
    <col min="3" max="3" width="9.1640625" style="104"/>
    <col min="4" max="4" width="3.6640625" style="104" customWidth="1"/>
    <col min="5" max="5" width="11.5" style="104" customWidth="1"/>
    <col min="6" max="6" width="5.5" style="104" customWidth="1"/>
    <col min="7" max="9" width="9.1640625" style="104"/>
    <col min="10" max="10" width="6.5" style="104" customWidth="1"/>
    <col min="11" max="11" width="11.6640625" style="104" customWidth="1"/>
    <col min="12" max="12" width="2.6640625" style="104" customWidth="1"/>
    <col min="13" max="14" width="9.6640625" style="104" customWidth="1"/>
    <col min="15" max="15" width="1.5" style="104" customWidth="1"/>
    <col min="16" max="16384" width="9.1640625" style="104"/>
  </cols>
  <sheetData>
    <row r="1" spans="1:24" s="5" customFormat="1" ht="9" customHeight="1" x14ac:dyDescent="0.15">
      <c r="A1" s="156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71"/>
      <c r="P1" s="2"/>
      <c r="Q1" s="2"/>
      <c r="R1" s="2"/>
      <c r="S1" s="2"/>
      <c r="T1" s="4"/>
      <c r="U1" s="3"/>
      <c r="V1" s="3"/>
      <c r="W1" s="2"/>
      <c r="X1" s="2"/>
    </row>
    <row r="2" spans="1:24" s="5" customFormat="1" ht="15" customHeight="1" x14ac:dyDescent="0.15">
      <c r="A2" s="64"/>
      <c r="B2" s="47"/>
      <c r="C2" s="48"/>
      <c r="D2" s="49"/>
      <c r="E2" s="166" t="s">
        <v>18</v>
      </c>
      <c r="F2" s="167"/>
      <c r="G2" s="168"/>
      <c r="H2" s="169"/>
      <c r="I2" s="50"/>
      <c r="J2" s="50"/>
      <c r="K2" s="50"/>
      <c r="L2" s="50"/>
      <c r="M2" s="51"/>
      <c r="N2" s="50"/>
      <c r="O2" s="72"/>
      <c r="P2" s="2"/>
      <c r="Q2" s="2"/>
      <c r="R2" s="2"/>
      <c r="S2" s="2"/>
      <c r="T2" s="4"/>
      <c r="U2" s="3"/>
      <c r="V2" s="3"/>
      <c r="W2" s="2"/>
      <c r="X2" s="2"/>
    </row>
    <row r="3" spans="1:24" s="5" customFormat="1" ht="15" customHeight="1" x14ac:dyDescent="0.15">
      <c r="A3" s="64"/>
      <c r="B3" s="47"/>
      <c r="C3" s="48"/>
      <c r="D3" s="49"/>
      <c r="E3" s="52"/>
      <c r="F3" s="52"/>
      <c r="G3" s="103"/>
      <c r="H3" s="103"/>
      <c r="I3" s="50"/>
      <c r="J3" s="50"/>
      <c r="K3" s="50"/>
      <c r="L3" s="50"/>
      <c r="M3" s="51"/>
      <c r="N3" s="50"/>
      <c r="O3" s="72"/>
      <c r="P3" s="2"/>
      <c r="Q3" s="2"/>
      <c r="R3" s="2"/>
      <c r="S3" s="2"/>
      <c r="T3" s="4"/>
      <c r="U3" s="3"/>
      <c r="V3" s="3"/>
      <c r="W3" s="2"/>
      <c r="X3" s="2"/>
    </row>
    <row r="4" spans="1:24" s="5" customFormat="1" ht="15" customHeight="1" x14ac:dyDescent="0.15">
      <c r="A4" s="64"/>
      <c r="B4" s="106" t="s">
        <v>65</v>
      </c>
      <c r="C4" s="48"/>
      <c r="D4" s="49"/>
      <c r="E4" s="107" t="s">
        <v>3</v>
      </c>
      <c r="F4" s="50"/>
      <c r="G4" s="176" t="s">
        <v>52</v>
      </c>
      <c r="H4" s="177"/>
      <c r="I4" s="178"/>
      <c r="J4" s="50"/>
      <c r="K4" s="107" t="s">
        <v>27</v>
      </c>
      <c r="L4" s="50"/>
      <c r="M4" s="173" t="s">
        <v>53</v>
      </c>
      <c r="N4" s="174"/>
      <c r="O4" s="72"/>
      <c r="P4" s="2"/>
      <c r="Q4" s="2"/>
      <c r="R4" s="2"/>
      <c r="S4" s="2"/>
      <c r="T4" s="4"/>
      <c r="U4" s="3"/>
      <c r="V4" s="3"/>
      <c r="W4" s="2"/>
      <c r="X4" s="2"/>
    </row>
    <row r="5" spans="1:24" s="5" customFormat="1" ht="15" customHeight="1" x14ac:dyDescent="0.15">
      <c r="A5" s="64"/>
      <c r="B5" s="47" t="s">
        <v>19</v>
      </c>
      <c r="C5" s="48"/>
      <c r="D5" s="49"/>
      <c r="E5" s="50"/>
      <c r="F5" s="50"/>
      <c r="G5" s="47" t="s">
        <v>21</v>
      </c>
      <c r="H5" s="48"/>
      <c r="I5" s="49"/>
      <c r="J5" s="50"/>
      <c r="K5" s="50"/>
      <c r="L5" s="50"/>
      <c r="M5" s="174"/>
      <c r="N5" s="174"/>
      <c r="O5" s="72"/>
      <c r="P5" s="2"/>
      <c r="Q5" s="2"/>
      <c r="R5" s="2"/>
      <c r="S5" s="2"/>
      <c r="T5" s="4"/>
      <c r="U5" s="3"/>
      <c r="V5" s="3"/>
      <c r="W5" s="2"/>
      <c r="X5" s="2"/>
    </row>
    <row r="6" spans="1:24" s="5" customFormat="1" ht="15" customHeight="1" x14ac:dyDescent="0.15">
      <c r="A6" s="64"/>
      <c r="B6" s="158" t="s">
        <v>12</v>
      </c>
      <c r="C6" s="159"/>
      <c r="D6" s="172"/>
      <c r="E6" s="53">
        <f>Schedule!E64</f>
        <v>0</v>
      </c>
      <c r="F6" s="50"/>
      <c r="G6" s="158" t="s">
        <v>22</v>
      </c>
      <c r="H6" s="159"/>
      <c r="I6" s="159"/>
      <c r="J6" s="160"/>
      <c r="K6" s="53">
        <f>Schedule!V11+Schedule!V64</f>
        <v>0</v>
      </c>
      <c r="L6" s="50"/>
      <c r="M6" s="174"/>
      <c r="N6" s="174"/>
      <c r="O6" s="72"/>
      <c r="P6" s="2"/>
      <c r="Q6" s="2"/>
      <c r="R6" s="2"/>
      <c r="S6" s="2"/>
      <c r="T6" s="4"/>
      <c r="U6" s="3"/>
      <c r="V6" s="3"/>
      <c r="W6" s="2"/>
      <c r="X6" s="2"/>
    </row>
    <row r="7" spans="1:24" s="5" customFormat="1" ht="15" customHeight="1" x14ac:dyDescent="0.15">
      <c r="A7" s="64"/>
      <c r="B7" s="158" t="s">
        <v>13</v>
      </c>
      <c r="C7" s="159"/>
      <c r="D7" s="172"/>
      <c r="E7" s="53">
        <f>Schedule!E72</f>
        <v>0</v>
      </c>
      <c r="F7" s="50"/>
      <c r="G7" s="158" t="s">
        <v>23</v>
      </c>
      <c r="H7" s="159"/>
      <c r="I7" s="159"/>
      <c r="J7" s="160"/>
      <c r="K7" s="53">
        <f>Schedule!V19+Schedule!V72</f>
        <v>0</v>
      </c>
      <c r="L7" s="50"/>
      <c r="M7" s="174"/>
      <c r="N7" s="174"/>
      <c r="O7" s="72"/>
      <c r="P7" s="2"/>
      <c r="Q7" s="2"/>
      <c r="R7" s="2"/>
      <c r="S7" s="2"/>
      <c r="T7" s="4"/>
      <c r="U7" s="3"/>
      <c r="V7" s="3"/>
      <c r="W7" s="2"/>
      <c r="X7" s="2"/>
    </row>
    <row r="8" spans="1:24" s="5" customFormat="1" ht="15" customHeight="1" x14ac:dyDescent="0.15">
      <c r="A8" s="64"/>
      <c r="B8" s="158" t="s">
        <v>14</v>
      </c>
      <c r="C8" s="159"/>
      <c r="D8" s="172"/>
      <c r="E8" s="53">
        <f>Schedule!E80</f>
        <v>0</v>
      </c>
      <c r="F8" s="50"/>
      <c r="G8" s="158" t="s">
        <v>24</v>
      </c>
      <c r="H8" s="159"/>
      <c r="I8" s="159"/>
      <c r="J8" s="160"/>
      <c r="K8" s="53">
        <f>Schedule!V27+Schedule!V80</f>
        <v>0</v>
      </c>
      <c r="L8" s="50"/>
      <c r="M8" s="174"/>
      <c r="N8" s="174"/>
      <c r="O8" s="72"/>
      <c r="P8" s="2"/>
      <c r="Q8" s="2"/>
      <c r="R8" s="2"/>
      <c r="S8" s="2"/>
      <c r="T8" s="4"/>
      <c r="U8" s="3"/>
      <c r="V8" s="3"/>
      <c r="W8" s="2"/>
      <c r="X8" s="2"/>
    </row>
    <row r="9" spans="1:24" s="5" customFormat="1" ht="15" customHeight="1" x14ac:dyDescent="0.15">
      <c r="A9" s="64"/>
      <c r="B9" s="158" t="s">
        <v>15</v>
      </c>
      <c r="C9" s="159"/>
      <c r="D9" s="172"/>
      <c r="E9" s="53">
        <f>Schedule!E88</f>
        <v>0</v>
      </c>
      <c r="F9" s="50"/>
      <c r="G9" s="158" t="s">
        <v>25</v>
      </c>
      <c r="H9" s="159"/>
      <c r="I9" s="159"/>
      <c r="J9" s="160"/>
      <c r="K9" s="53">
        <f>Schedule!V35+Schedule!V88</f>
        <v>0</v>
      </c>
      <c r="L9" s="50"/>
      <c r="M9" s="174"/>
      <c r="N9" s="174"/>
      <c r="O9" s="72"/>
      <c r="P9" s="2"/>
      <c r="Q9" s="2"/>
      <c r="R9" s="2"/>
      <c r="S9" s="2"/>
      <c r="T9" s="4"/>
      <c r="U9" s="3"/>
      <c r="V9" s="3"/>
      <c r="W9" s="2"/>
      <c r="X9" s="2"/>
    </row>
    <row r="10" spans="1:24" s="5" customFormat="1" ht="15" customHeight="1" thickBot="1" x14ac:dyDescent="0.2">
      <c r="A10" s="64"/>
      <c r="B10" s="158" t="s">
        <v>16</v>
      </c>
      <c r="C10" s="159"/>
      <c r="D10" s="172"/>
      <c r="E10" s="53">
        <f>Schedule!E108</f>
        <v>0</v>
      </c>
      <c r="F10" s="50"/>
      <c r="G10" s="158" t="s">
        <v>26</v>
      </c>
      <c r="H10" s="159"/>
      <c r="I10" s="159"/>
      <c r="J10" s="160"/>
      <c r="K10" s="53">
        <f>Schedule!V55+Schedule!V108</f>
        <v>0</v>
      </c>
      <c r="L10" s="50"/>
      <c r="M10" s="174"/>
      <c r="N10" s="174"/>
      <c r="O10" s="72"/>
      <c r="P10" s="2"/>
      <c r="Q10" s="2"/>
      <c r="R10" s="2"/>
      <c r="S10" s="2"/>
      <c r="T10" s="4"/>
      <c r="U10" s="3"/>
      <c r="V10" s="3"/>
      <c r="W10" s="2"/>
      <c r="X10" s="2"/>
    </row>
    <row r="11" spans="1:24" s="5" customFormat="1" ht="15" customHeight="1" thickBot="1" x14ac:dyDescent="0.2">
      <c r="A11" s="64"/>
      <c r="B11" s="170" t="s">
        <v>20</v>
      </c>
      <c r="C11" s="170"/>
      <c r="D11" s="171"/>
      <c r="E11" s="54">
        <f>SUM(E6:E10)</f>
        <v>0</v>
      </c>
      <c r="F11" s="50"/>
      <c r="G11" s="164" t="s">
        <v>20</v>
      </c>
      <c r="H11" s="164"/>
      <c r="I11" s="164"/>
      <c r="J11" s="165"/>
      <c r="K11" s="54">
        <f>SUM(K6:K10)</f>
        <v>0</v>
      </c>
      <c r="L11" s="50"/>
      <c r="M11" s="174"/>
      <c r="N11" s="174"/>
      <c r="O11" s="72"/>
      <c r="P11" s="2"/>
      <c r="Q11" s="2"/>
      <c r="R11" s="2"/>
      <c r="S11" s="2"/>
      <c r="T11" s="4"/>
      <c r="U11" s="3"/>
      <c r="V11" s="3"/>
      <c r="W11" s="2"/>
      <c r="X11" s="2"/>
    </row>
    <row r="12" spans="1:24" s="5" customFormat="1" ht="15" customHeight="1" thickBot="1" x14ac:dyDescent="0.2">
      <c r="A12" s="64"/>
      <c r="B12" s="47"/>
      <c r="C12" s="48"/>
      <c r="D12" s="49"/>
      <c r="E12" s="50"/>
      <c r="F12" s="50"/>
      <c r="G12" s="47"/>
      <c r="H12" s="48"/>
      <c r="I12" s="49"/>
      <c r="J12" s="50"/>
      <c r="K12" s="50"/>
      <c r="L12" s="50"/>
      <c r="M12" s="174"/>
      <c r="N12" s="174"/>
      <c r="O12" s="72"/>
      <c r="P12" s="2"/>
      <c r="Q12" s="2"/>
      <c r="R12" s="2"/>
      <c r="S12" s="2"/>
      <c r="T12" s="4"/>
      <c r="U12" s="3"/>
      <c r="V12" s="3"/>
      <c r="W12" s="2"/>
      <c r="X12" s="2"/>
    </row>
    <row r="13" spans="1:24" s="5" customFormat="1" ht="15" customHeight="1" thickBot="1" x14ac:dyDescent="0.2">
      <c r="A13" s="64"/>
      <c r="B13" s="170" t="s">
        <v>66</v>
      </c>
      <c r="C13" s="170"/>
      <c r="D13" s="171"/>
      <c r="E13" s="115">
        <f>[2]Mar!$AB$2</f>
        <v>0</v>
      </c>
      <c r="F13" s="50"/>
      <c r="G13" s="164" t="s">
        <v>28</v>
      </c>
      <c r="H13" s="164"/>
      <c r="I13" s="164"/>
      <c r="J13" s="165"/>
      <c r="K13" s="115">
        <f>[3]Mar!$V$2</f>
        <v>0</v>
      </c>
      <c r="L13" s="50"/>
      <c r="M13" s="175"/>
      <c r="N13" s="175"/>
      <c r="O13" s="72"/>
      <c r="P13" s="2"/>
      <c r="Q13" s="2"/>
      <c r="R13" s="2"/>
      <c r="S13" s="2"/>
      <c r="T13" s="4"/>
      <c r="U13" s="3"/>
      <c r="V13" s="3"/>
      <c r="W13" s="2"/>
      <c r="X13" s="2"/>
    </row>
    <row r="14" spans="1:24" s="5" customFormat="1" ht="15" customHeight="1" thickBot="1" x14ac:dyDescent="0.2">
      <c r="A14" s="64"/>
      <c r="B14" s="47"/>
      <c r="C14" s="48"/>
      <c r="D14" s="49"/>
      <c r="E14" s="50"/>
      <c r="F14" s="50"/>
      <c r="G14" s="47"/>
      <c r="H14" s="48"/>
      <c r="I14" s="49"/>
      <c r="J14" s="50"/>
      <c r="K14" s="50"/>
      <c r="L14" s="50"/>
      <c r="M14" s="175"/>
      <c r="N14" s="175"/>
      <c r="O14" s="72"/>
      <c r="P14" s="2"/>
      <c r="Q14" s="2"/>
      <c r="R14" s="2"/>
      <c r="S14" s="2"/>
      <c r="T14" s="4"/>
      <c r="U14" s="3"/>
      <c r="V14" s="3"/>
      <c r="W14" s="2"/>
      <c r="X14" s="2"/>
    </row>
    <row r="15" spans="1:24" s="5" customFormat="1" ht="30" customHeight="1" thickTop="1" thickBot="1" x14ac:dyDescent="0.2">
      <c r="A15" s="64"/>
      <c r="B15" s="161" t="str">
        <f>IF(E15&gt;0,"Purchases exceed Assets listed on Schedule",IF(E15&lt;0,"Assets listed on Schedule exceed Purchase values","Purchases reconcile with Fixed asset Schedule"))</f>
        <v>Purchases reconcile with Fixed asset Schedule</v>
      </c>
      <c r="C15" s="162"/>
      <c r="D15" s="163"/>
      <c r="E15" s="105">
        <f>E13-E11</f>
        <v>0</v>
      </c>
      <c r="F15" s="50"/>
      <c r="G15" s="161" t="str">
        <f>IF(K15&gt;0,"Sales exceed Assets listed on Schedule",IF(K15&lt;0,"Assets listed on Schedule exceed Sales values","Sales reconcile with Fixed asset Schedule"))</f>
        <v>Sales reconcile with Fixed asset Schedule</v>
      </c>
      <c r="H15" s="162"/>
      <c r="I15" s="162"/>
      <c r="J15" s="163"/>
      <c r="K15" s="105">
        <f>K13-K11</f>
        <v>0</v>
      </c>
      <c r="L15" s="50"/>
      <c r="M15" s="175"/>
      <c r="N15" s="175"/>
      <c r="O15" s="72"/>
      <c r="P15" s="2"/>
      <c r="Q15" s="2"/>
      <c r="R15" s="2"/>
      <c r="S15" s="2"/>
      <c r="T15" s="4"/>
      <c r="U15" s="3"/>
      <c r="V15" s="3"/>
      <c r="W15" s="2"/>
      <c r="X15" s="2"/>
    </row>
    <row r="16" spans="1:24" s="5" customFormat="1" ht="9" customHeight="1" thickTop="1" thickBot="1" x14ac:dyDescent="0.2">
      <c r="A16" s="65"/>
      <c r="B16" s="66"/>
      <c r="C16" s="67"/>
      <c r="D16" s="68"/>
      <c r="E16" s="69"/>
      <c r="F16" s="69"/>
      <c r="G16" s="66"/>
      <c r="H16" s="67"/>
      <c r="I16" s="68"/>
      <c r="J16" s="69"/>
      <c r="K16" s="69"/>
      <c r="L16" s="69"/>
      <c r="M16" s="70"/>
      <c r="N16" s="69"/>
      <c r="O16" s="73"/>
      <c r="P16" s="2"/>
      <c r="Q16" s="2"/>
      <c r="R16" s="2"/>
      <c r="S16" s="2"/>
      <c r="T16" s="4"/>
      <c r="U16" s="3"/>
      <c r="V16" s="3"/>
      <c r="W16" s="2"/>
      <c r="X16" s="2"/>
    </row>
  </sheetData>
  <mergeCells count="20">
    <mergeCell ref="B8:D8"/>
    <mergeCell ref="B9:D9"/>
    <mergeCell ref="M4:N15"/>
    <mergeCell ref="G4:I4"/>
    <mergeCell ref="A1:N1"/>
    <mergeCell ref="G6:J6"/>
    <mergeCell ref="G15:J15"/>
    <mergeCell ref="G7:J7"/>
    <mergeCell ref="G8:J8"/>
    <mergeCell ref="G9:J9"/>
    <mergeCell ref="G10:J10"/>
    <mergeCell ref="G13:J13"/>
    <mergeCell ref="B15:D15"/>
    <mergeCell ref="G11:J11"/>
    <mergeCell ref="E2:H2"/>
    <mergeCell ref="B13:D13"/>
    <mergeCell ref="B10:D10"/>
    <mergeCell ref="B11:D11"/>
    <mergeCell ref="B6:D6"/>
    <mergeCell ref="B7:D7"/>
  </mergeCells>
  <phoneticPr fontId="1" type="noConversion"/>
  <printOptions horizontalCentered="1"/>
  <pageMargins left="0.35433070866141736" right="0.35433070866141736" top="0.78740157480314965" bottom="0.78740157480314965" header="0.51181102362204722" footer="0.51181102362204722"/>
  <pageSetup paperSize="9" orientation="landscape" r:id="rId1"/>
  <headerFooter alignWithMargins="0">
    <oddHeader xml:space="preserve">&amp;CReconciliation between Fixed Assets entered on Sales and Purchase spreadsheets with the Fixed Asset Schedule
</oddHeader>
    <oddFooter>&amp;L&amp;D  &amp;T&amp;C&amp;P  of  &amp;N&amp;R&amp;F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30"/>
  <sheetViews>
    <sheetView workbookViewId="0">
      <selection activeCell="C2" sqref="C2:D2"/>
    </sheetView>
  </sheetViews>
  <sheetFormatPr baseColWidth="10" defaultColWidth="9.1640625" defaultRowHeight="12" x14ac:dyDescent="0.15"/>
  <cols>
    <col min="1" max="1" width="1.5" style="83" customWidth="1"/>
    <col min="2" max="2" width="10.6640625" style="4" customWidth="1"/>
    <col min="3" max="4" width="18.6640625" style="31" customWidth="1"/>
    <col min="5" max="5" width="13.83203125" style="83" customWidth="1"/>
    <col min="6" max="7" width="8.6640625" style="83" customWidth="1"/>
    <col min="8" max="8" width="6.6640625" style="89" customWidth="1"/>
    <col min="9" max="11" width="8.6640625" style="87" customWidth="1"/>
    <col min="12" max="12" width="18.6640625" style="31" customWidth="1"/>
    <col min="13" max="13" width="1.5" style="83" customWidth="1"/>
    <col min="14" max="16384" width="9.1640625" style="83"/>
  </cols>
  <sheetData>
    <row r="1" spans="1:13" ht="6" customHeight="1" x14ac:dyDescent="0.15">
      <c r="A1" s="91"/>
      <c r="B1" s="47"/>
      <c r="C1" s="49"/>
      <c r="D1" s="49"/>
      <c r="E1" s="91"/>
      <c r="F1" s="91"/>
      <c r="G1" s="91"/>
      <c r="H1" s="93"/>
      <c r="I1" s="92"/>
      <c r="J1" s="92"/>
      <c r="K1" s="92"/>
      <c r="L1" s="49"/>
      <c r="M1" s="91"/>
    </row>
    <row r="2" spans="1:13" ht="15" customHeight="1" x14ac:dyDescent="0.15">
      <c r="A2" s="91"/>
      <c r="B2" s="81"/>
      <c r="C2" s="183" t="s">
        <v>48</v>
      </c>
      <c r="D2" s="184"/>
      <c r="E2" s="84">
        <f>SUM(E8:E14)</f>
        <v>0</v>
      </c>
      <c r="F2" s="82"/>
      <c r="G2" s="179" t="s">
        <v>49</v>
      </c>
      <c r="H2" s="180"/>
      <c r="I2" s="180"/>
      <c r="J2" s="180"/>
      <c r="K2" s="180"/>
      <c r="L2" s="88"/>
      <c r="M2" s="91"/>
    </row>
    <row r="3" spans="1:13" ht="18" customHeight="1" x14ac:dyDescent="0.15">
      <c r="A3" s="91"/>
      <c r="B3" s="95" t="s">
        <v>40</v>
      </c>
      <c r="C3" s="32"/>
      <c r="D3" s="96"/>
      <c r="E3" s="82"/>
      <c r="F3" s="82"/>
      <c r="G3" s="180"/>
      <c r="H3" s="180"/>
      <c r="I3" s="180"/>
      <c r="J3" s="180"/>
      <c r="K3" s="180"/>
      <c r="L3" s="88"/>
      <c r="M3" s="91"/>
    </row>
    <row r="4" spans="1:13" ht="9" customHeight="1" x14ac:dyDescent="0.15">
      <c r="A4" s="91"/>
      <c r="B4" s="12"/>
      <c r="C4" s="32"/>
      <c r="D4" s="32"/>
      <c r="E4" s="81"/>
      <c r="F4" s="81"/>
      <c r="G4" s="81"/>
      <c r="H4" s="88"/>
      <c r="I4" s="82"/>
      <c r="J4" s="82"/>
      <c r="K4" s="82"/>
      <c r="L4" s="97"/>
      <c r="M4" s="91"/>
    </row>
    <row r="5" spans="1:13" s="86" customFormat="1" ht="15" customHeight="1" x14ac:dyDescent="0.15">
      <c r="A5" s="94"/>
      <c r="B5" s="134" t="s">
        <v>39</v>
      </c>
      <c r="C5" s="137" t="s">
        <v>33</v>
      </c>
      <c r="D5" s="137" t="s">
        <v>37</v>
      </c>
      <c r="E5" s="181" t="s">
        <v>45</v>
      </c>
      <c r="F5" s="181" t="s">
        <v>44</v>
      </c>
      <c r="G5" s="181" t="s">
        <v>38</v>
      </c>
      <c r="H5" s="137" t="s">
        <v>35</v>
      </c>
      <c r="I5" s="181" t="s">
        <v>47</v>
      </c>
      <c r="J5" s="182"/>
      <c r="K5" s="182"/>
      <c r="L5" s="137" t="s">
        <v>46</v>
      </c>
      <c r="M5" s="94"/>
    </row>
    <row r="6" spans="1:13" s="86" customFormat="1" ht="30.75" customHeight="1" x14ac:dyDescent="0.15">
      <c r="A6" s="94"/>
      <c r="B6" s="185"/>
      <c r="C6" s="185"/>
      <c r="D6" s="185"/>
      <c r="E6" s="185"/>
      <c r="F6" s="185"/>
      <c r="G6" s="185"/>
      <c r="H6" s="185"/>
      <c r="I6" s="85" t="s">
        <v>34</v>
      </c>
      <c r="J6" s="85" t="s">
        <v>42</v>
      </c>
      <c r="K6" s="85" t="s">
        <v>36</v>
      </c>
      <c r="L6" s="185"/>
      <c r="M6" s="94"/>
    </row>
    <row r="7" spans="1:13" x14ac:dyDescent="0.15">
      <c r="A7" s="91"/>
      <c r="B7" s="12"/>
      <c r="C7" s="32"/>
      <c r="D7" s="32"/>
      <c r="E7" s="81"/>
      <c r="F7" s="81"/>
      <c r="G7" s="81"/>
      <c r="H7" s="88"/>
      <c r="I7" s="82"/>
      <c r="J7" s="82"/>
      <c r="K7" s="82"/>
      <c r="L7" s="32"/>
      <c r="M7" s="91"/>
    </row>
    <row r="8" spans="1:13" ht="15" customHeight="1" x14ac:dyDescent="0.15">
      <c r="A8" s="91"/>
      <c r="B8" s="42"/>
      <c r="C8" s="43"/>
      <c r="D8" s="43"/>
      <c r="E8" s="84"/>
      <c r="F8" s="84"/>
      <c r="G8" s="84"/>
      <c r="H8" s="90"/>
      <c r="I8" s="82" t="str">
        <f>IF(E8&gt;0,(E8+F8+G8)/H8," ")</f>
        <v xml:space="preserve"> </v>
      </c>
      <c r="J8" s="82" t="str">
        <f>IF(H8&gt;0,I8-K8," ")</f>
        <v xml:space="preserve"> </v>
      </c>
      <c r="K8" s="82" t="str">
        <f>IF(H8&gt;0,G8/H8," ")</f>
        <v xml:space="preserve"> </v>
      </c>
      <c r="L8" s="43"/>
      <c r="M8" s="91"/>
    </row>
    <row r="9" spans="1:13" x14ac:dyDescent="0.15">
      <c r="A9" s="91"/>
      <c r="B9" s="12"/>
      <c r="C9" s="32"/>
      <c r="D9" s="32"/>
      <c r="E9" s="81"/>
      <c r="F9" s="81"/>
      <c r="G9" s="81"/>
      <c r="H9" s="88"/>
      <c r="I9" s="82"/>
      <c r="J9" s="82"/>
      <c r="K9" s="82"/>
      <c r="L9" s="32"/>
      <c r="M9" s="91"/>
    </row>
    <row r="10" spans="1:13" ht="15" customHeight="1" x14ac:dyDescent="0.15">
      <c r="A10" s="91"/>
      <c r="B10" s="42"/>
      <c r="C10" s="43"/>
      <c r="D10" s="43"/>
      <c r="E10" s="84"/>
      <c r="F10" s="84"/>
      <c r="G10" s="84"/>
      <c r="H10" s="90"/>
      <c r="I10" s="82" t="str">
        <f>IF(E10&gt;0,(E10+F10+G10)/H10," ")</f>
        <v xml:space="preserve"> </v>
      </c>
      <c r="J10" s="82" t="str">
        <f>IF(H10&gt;0,I10-K10," ")</f>
        <v xml:space="preserve"> </v>
      </c>
      <c r="K10" s="82" t="str">
        <f>IF(H10&gt;0,G10/H10," ")</f>
        <v xml:space="preserve"> </v>
      </c>
      <c r="L10" s="43"/>
      <c r="M10" s="91"/>
    </row>
    <row r="11" spans="1:13" x14ac:dyDescent="0.15">
      <c r="A11" s="91"/>
      <c r="B11" s="12"/>
      <c r="C11" s="32"/>
      <c r="D11" s="32"/>
      <c r="E11" s="81"/>
      <c r="F11" s="81"/>
      <c r="G11" s="81"/>
      <c r="H11" s="88"/>
      <c r="I11" s="82"/>
      <c r="J11" s="82"/>
      <c r="K11" s="82"/>
      <c r="L11" s="32"/>
      <c r="M11" s="91"/>
    </row>
    <row r="12" spans="1:13" ht="15" customHeight="1" x14ac:dyDescent="0.15">
      <c r="A12" s="91"/>
      <c r="B12" s="42"/>
      <c r="C12" s="43"/>
      <c r="D12" s="43"/>
      <c r="E12" s="84"/>
      <c r="F12" s="84"/>
      <c r="G12" s="84"/>
      <c r="H12" s="90"/>
      <c r="I12" s="82" t="str">
        <f>IF(E12&gt;0,(E12+F12+G12)/H12," ")</f>
        <v xml:space="preserve"> </v>
      </c>
      <c r="J12" s="82" t="str">
        <f>IF(H12&gt;0,I12-K12," ")</f>
        <v xml:space="preserve"> </v>
      </c>
      <c r="K12" s="82" t="str">
        <f>IF(H12&gt;0,G12/H12," ")</f>
        <v xml:space="preserve"> </v>
      </c>
      <c r="L12" s="43"/>
      <c r="M12" s="91"/>
    </row>
    <row r="13" spans="1:13" x14ac:dyDescent="0.15">
      <c r="A13" s="91"/>
      <c r="B13" s="12"/>
      <c r="C13" s="32"/>
      <c r="D13" s="32"/>
      <c r="E13" s="81"/>
      <c r="F13" s="81"/>
      <c r="G13" s="81"/>
      <c r="H13" s="88"/>
      <c r="I13" s="82"/>
      <c r="J13" s="82"/>
      <c r="K13" s="82"/>
      <c r="L13" s="32"/>
      <c r="M13" s="91"/>
    </row>
    <row r="14" spans="1:13" ht="15" customHeight="1" x14ac:dyDescent="0.15">
      <c r="A14" s="91"/>
      <c r="B14" s="42"/>
      <c r="C14" s="43"/>
      <c r="D14" s="43"/>
      <c r="E14" s="84"/>
      <c r="F14" s="84"/>
      <c r="G14" s="84"/>
      <c r="H14" s="90"/>
      <c r="I14" s="82" t="str">
        <f>IF(E14&gt;0,(E14+F14+G14)/H14," ")</f>
        <v xml:space="preserve"> </v>
      </c>
      <c r="J14" s="82" t="str">
        <f>IF(H14&gt;0,I14-K14," ")</f>
        <v xml:space="preserve"> </v>
      </c>
      <c r="K14" s="82" t="str">
        <f>IF(H14&gt;0,G14/H14," ")</f>
        <v xml:space="preserve"> </v>
      </c>
      <c r="L14" s="43"/>
      <c r="M14" s="91"/>
    </row>
    <row r="15" spans="1:13" x14ac:dyDescent="0.15">
      <c r="A15" s="91"/>
      <c r="B15" s="12"/>
      <c r="C15" s="32"/>
      <c r="D15" s="32"/>
      <c r="E15" s="81"/>
      <c r="F15" s="81"/>
      <c r="G15" s="81"/>
      <c r="H15" s="88"/>
      <c r="I15" s="82"/>
      <c r="J15" s="82"/>
      <c r="K15" s="82"/>
      <c r="L15" s="32"/>
      <c r="M15" s="91"/>
    </row>
    <row r="16" spans="1:13" ht="6" customHeight="1" x14ac:dyDescent="0.15">
      <c r="A16" s="91"/>
      <c r="B16" s="47"/>
      <c r="C16" s="49"/>
      <c r="D16" s="49"/>
      <c r="E16" s="91"/>
      <c r="F16" s="91"/>
      <c r="G16" s="91"/>
      <c r="H16" s="93"/>
      <c r="I16" s="92"/>
      <c r="J16" s="92"/>
      <c r="K16" s="92"/>
      <c r="L16" s="49"/>
      <c r="M16" s="91"/>
    </row>
    <row r="17" spans="1:13" ht="19.5" customHeight="1" x14ac:dyDescent="0.15">
      <c r="A17" s="91"/>
      <c r="B17" s="95" t="s">
        <v>41</v>
      </c>
      <c r="C17" s="32"/>
      <c r="D17" s="96"/>
      <c r="E17" s="81"/>
      <c r="F17" s="81"/>
      <c r="G17" s="81"/>
      <c r="H17" s="32" t="s">
        <v>43</v>
      </c>
      <c r="I17" s="81"/>
      <c r="J17" s="81"/>
      <c r="K17" s="81"/>
      <c r="L17" s="32"/>
      <c r="M17" s="91"/>
    </row>
    <row r="18" spans="1:13" x14ac:dyDescent="0.15">
      <c r="A18" s="91"/>
      <c r="B18" s="12"/>
      <c r="C18" s="32"/>
      <c r="D18" s="32"/>
      <c r="E18" s="81"/>
      <c r="F18" s="81"/>
      <c r="G18" s="81"/>
      <c r="H18" s="88"/>
      <c r="I18" s="82"/>
      <c r="J18" s="82"/>
      <c r="K18" s="82"/>
      <c r="L18" s="32"/>
      <c r="M18" s="91"/>
    </row>
    <row r="19" spans="1:13" s="86" customFormat="1" ht="15" customHeight="1" x14ac:dyDescent="0.15">
      <c r="A19" s="94"/>
      <c r="B19" s="134" t="s">
        <v>39</v>
      </c>
      <c r="C19" s="137" t="s">
        <v>33</v>
      </c>
      <c r="D19" s="137" t="s">
        <v>37</v>
      </c>
      <c r="E19" s="181" t="s">
        <v>45</v>
      </c>
      <c r="F19" s="181" t="s">
        <v>44</v>
      </c>
      <c r="G19" s="181" t="s">
        <v>38</v>
      </c>
      <c r="H19" s="137" t="s">
        <v>35</v>
      </c>
      <c r="I19" s="181" t="s">
        <v>47</v>
      </c>
      <c r="J19" s="182"/>
      <c r="K19" s="182"/>
      <c r="L19" s="137" t="s">
        <v>46</v>
      </c>
      <c r="M19" s="94"/>
    </row>
    <row r="20" spans="1:13" s="86" customFormat="1" ht="30.75" customHeight="1" x14ac:dyDescent="0.15">
      <c r="A20" s="94"/>
      <c r="B20" s="185"/>
      <c r="C20" s="185"/>
      <c r="D20" s="185"/>
      <c r="E20" s="185"/>
      <c r="F20" s="185"/>
      <c r="G20" s="185"/>
      <c r="H20" s="185"/>
      <c r="I20" s="85" t="s">
        <v>34</v>
      </c>
      <c r="J20" s="85" t="s">
        <v>42</v>
      </c>
      <c r="K20" s="85" t="s">
        <v>36</v>
      </c>
      <c r="L20" s="185"/>
      <c r="M20" s="94"/>
    </row>
    <row r="21" spans="1:13" s="86" customFormat="1" ht="12.75" customHeight="1" x14ac:dyDescent="0.15">
      <c r="A21" s="94"/>
      <c r="B21" s="99"/>
      <c r="C21" s="99"/>
      <c r="D21" s="99"/>
      <c r="E21" s="99"/>
      <c r="F21" s="99"/>
      <c r="G21" s="99"/>
      <c r="H21" s="99"/>
      <c r="I21" s="98"/>
      <c r="J21" s="98"/>
      <c r="K21" s="98"/>
      <c r="L21" s="99"/>
      <c r="M21" s="94"/>
    </row>
    <row r="22" spans="1:13" ht="15" customHeight="1" x14ac:dyDescent="0.15">
      <c r="A22" s="91"/>
      <c r="B22" s="42"/>
      <c r="C22" s="43"/>
      <c r="D22" s="43"/>
      <c r="E22" s="84"/>
      <c r="F22" s="84"/>
      <c r="G22" s="84"/>
      <c r="H22" s="90"/>
      <c r="I22" s="82" t="str">
        <f>IF(E22&gt;0,(E22+F22+G22)/H22," ")</f>
        <v xml:space="preserve"> </v>
      </c>
      <c r="J22" s="82" t="str">
        <f>IF(H22&gt;0,I22-K22," ")</f>
        <v xml:space="preserve"> </v>
      </c>
      <c r="K22" s="82" t="str">
        <f>IF(H22&gt;0,G22/H22," ")</f>
        <v xml:space="preserve"> </v>
      </c>
      <c r="L22" s="43"/>
      <c r="M22" s="91"/>
    </row>
    <row r="23" spans="1:13" ht="12.75" customHeight="1" x14ac:dyDescent="0.15">
      <c r="A23" s="91"/>
      <c r="B23" s="12"/>
      <c r="C23" s="32"/>
      <c r="D23" s="32"/>
      <c r="E23" s="81"/>
      <c r="F23" s="81"/>
      <c r="G23" s="81"/>
      <c r="H23" s="88"/>
      <c r="I23" s="82"/>
      <c r="J23" s="82"/>
      <c r="K23" s="82"/>
      <c r="L23" s="32"/>
      <c r="M23" s="91"/>
    </row>
    <row r="24" spans="1:13" ht="15" customHeight="1" x14ac:dyDescent="0.15">
      <c r="A24" s="91"/>
      <c r="B24" s="42"/>
      <c r="C24" s="43"/>
      <c r="D24" s="43"/>
      <c r="E24" s="84"/>
      <c r="F24" s="84"/>
      <c r="G24" s="84"/>
      <c r="H24" s="90"/>
      <c r="I24" s="82" t="str">
        <f>IF(E24&gt;0,(E24+F24+G24)/H24," ")</f>
        <v xml:space="preserve"> </v>
      </c>
      <c r="J24" s="82" t="str">
        <f>IF(H24&gt;0,I24-K24," ")</f>
        <v xml:space="preserve"> </v>
      </c>
      <c r="K24" s="82" t="str">
        <f>IF(H24&gt;0,G24/H24," ")</f>
        <v xml:space="preserve"> </v>
      </c>
      <c r="L24" s="43"/>
      <c r="M24" s="91"/>
    </row>
    <row r="25" spans="1:13" x14ac:dyDescent="0.15">
      <c r="A25" s="91"/>
      <c r="B25" s="12"/>
      <c r="C25" s="32"/>
      <c r="D25" s="32"/>
      <c r="E25" s="81"/>
      <c r="F25" s="81"/>
      <c r="G25" s="81"/>
      <c r="H25" s="88"/>
      <c r="I25" s="82"/>
      <c r="J25" s="82"/>
      <c r="K25" s="82"/>
      <c r="L25" s="32"/>
      <c r="M25" s="91"/>
    </row>
    <row r="26" spans="1:13" ht="15" customHeight="1" x14ac:dyDescent="0.15">
      <c r="A26" s="91"/>
      <c r="B26" s="42"/>
      <c r="C26" s="43"/>
      <c r="D26" s="43"/>
      <c r="E26" s="84"/>
      <c r="F26" s="84"/>
      <c r="G26" s="84"/>
      <c r="H26" s="90"/>
      <c r="I26" s="82" t="str">
        <f>IF(E26&gt;0,(E26+F26+G26)/H26," ")</f>
        <v xml:space="preserve"> </v>
      </c>
      <c r="J26" s="82" t="str">
        <f>IF(H26&gt;0,I26-K26," ")</f>
        <v xml:space="preserve"> </v>
      </c>
      <c r="K26" s="82" t="str">
        <f>IF(H26&gt;0,G26/H26," ")</f>
        <v xml:space="preserve"> </v>
      </c>
      <c r="L26" s="43"/>
      <c r="M26" s="91"/>
    </row>
    <row r="27" spans="1:13" x14ac:dyDescent="0.15">
      <c r="A27" s="91"/>
      <c r="B27" s="12"/>
      <c r="C27" s="32"/>
      <c r="D27" s="32"/>
      <c r="E27" s="81"/>
      <c r="F27" s="81"/>
      <c r="G27" s="81"/>
      <c r="H27" s="88"/>
      <c r="I27" s="82"/>
      <c r="J27" s="82"/>
      <c r="K27" s="82"/>
      <c r="L27" s="32"/>
      <c r="M27" s="91"/>
    </row>
    <row r="28" spans="1:13" ht="15" customHeight="1" x14ac:dyDescent="0.15">
      <c r="A28" s="91"/>
      <c r="B28" s="42"/>
      <c r="C28" s="43"/>
      <c r="D28" s="43"/>
      <c r="E28" s="84"/>
      <c r="F28" s="84"/>
      <c r="G28" s="84"/>
      <c r="H28" s="90"/>
      <c r="I28" s="82" t="str">
        <f>IF(E28&gt;0,(E28+F28+G28)/H28," ")</f>
        <v xml:space="preserve"> </v>
      </c>
      <c r="J28" s="82" t="str">
        <f>IF(H28&gt;0,I28-K28," ")</f>
        <v xml:space="preserve"> </v>
      </c>
      <c r="K28" s="82" t="str">
        <f>IF(H28&gt;0,G28/H28," ")</f>
        <v xml:space="preserve"> </v>
      </c>
      <c r="L28" s="43"/>
      <c r="M28" s="91"/>
    </row>
    <row r="29" spans="1:13" x14ac:dyDescent="0.15">
      <c r="A29" s="91"/>
      <c r="B29" s="12"/>
      <c r="C29" s="32"/>
      <c r="D29" s="32"/>
      <c r="E29" s="81"/>
      <c r="F29" s="81"/>
      <c r="G29" s="81"/>
      <c r="H29" s="88"/>
      <c r="I29" s="82"/>
      <c r="J29" s="82"/>
      <c r="K29" s="82"/>
      <c r="L29" s="32"/>
      <c r="M29" s="91"/>
    </row>
    <row r="30" spans="1:13" ht="6" customHeight="1" x14ac:dyDescent="0.15">
      <c r="A30" s="91"/>
      <c r="B30" s="47"/>
      <c r="C30" s="49"/>
      <c r="D30" s="49"/>
      <c r="E30" s="91"/>
      <c r="F30" s="91"/>
      <c r="G30" s="91"/>
      <c r="H30" s="93"/>
      <c r="I30" s="92"/>
      <c r="J30" s="92"/>
      <c r="K30" s="92"/>
      <c r="L30" s="49"/>
      <c r="M30" s="91"/>
    </row>
  </sheetData>
  <mergeCells count="20">
    <mergeCell ref="L19:L20"/>
    <mergeCell ref="L5:L6"/>
    <mergeCell ref="I5:K5"/>
    <mergeCell ref="B19:B20"/>
    <mergeCell ref="C19:C20"/>
    <mergeCell ref="D19:D20"/>
    <mergeCell ref="E19:E20"/>
    <mergeCell ref="F19:F20"/>
    <mergeCell ref="G19:G20"/>
    <mergeCell ref="H19:H20"/>
    <mergeCell ref="G2:K3"/>
    <mergeCell ref="I19:K19"/>
    <mergeCell ref="C2:D2"/>
    <mergeCell ref="B5:B6"/>
    <mergeCell ref="C5:C6"/>
    <mergeCell ref="D5:D6"/>
    <mergeCell ref="E5:E6"/>
    <mergeCell ref="F5:F6"/>
    <mergeCell ref="G5:G6"/>
    <mergeCell ref="H5:H6"/>
  </mergeCells>
  <phoneticPr fontId="1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&amp;C&amp;"Arial,Bold"&amp;11LONG TERM FINANCE AGREEMENTS</oddHeader>
    <oddFooter>&amp;L&amp;D  &amp;T&amp;C&amp;P  of  &amp;N&amp;R&amp;F  &amp;A</oddFooter>
  </headerFooter>
  <rowBreaks count="1" manualBreakCount="1">
    <brk id="1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Schedule</vt:lpstr>
      <vt:lpstr>FAreconciliation</vt:lpstr>
      <vt:lpstr>HPfinance</vt:lpstr>
      <vt:lpstr>Schedule!Print_Titles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Fixed assets spreadsheet</dc:title>
  <dc:creator>DIY Accounting Limited</dc:creator>
  <cp:lastModifiedBy>DIY Accounting Limited</cp:lastModifiedBy>
  <cp:lastPrinted>2007-03-03T22:52:10Z</cp:lastPrinted>
  <dcterms:created xsi:type="dcterms:W3CDTF">2002-12-30T15:31:19Z</dcterms:created>
  <dcterms:modified xsi:type="dcterms:W3CDTF">2025-04-03T22:50:09Z</dcterms:modified>
  <dc:description>Copyright (C) 2006-2026 DIY Accounting Limited. Licensed under the PolyForm Internal Use License 1.0.0 with an additional grant for accountants.</dc:description>
</cp:coreProperties>
</file>