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<sst xmlns="http://schemas.openxmlformats.org/spreadsheetml/2006/main" count="1383" uniqueCount="138">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</sst>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9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44717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44743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44769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44795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44662</v>
      </c>
      <c r="L19" s="200" t="s">
        <v>76</v>
      </c>
      <c r="M19" s="202">
        <f>K19+6</f>
        <v>44668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44669</v>
      </c>
      <c r="L29" s="200" t="s">
        <v>76</v>
      </c>
      <c r="M29" s="202">
        <f>K29+6</f>
        <v>44675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44676</v>
      </c>
      <c r="L39" s="200" t="s">
        <v>76</v>
      </c>
      <c r="M39" s="202">
        <f>K39+6</f>
        <v>44682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DATE(2022,4,6)</f>
        <v>44657</v>
      </c>
      <c r="L49" s="203" t="s">
        <v>76</v>
      </c>
      <c r="M49" s="205">
        <f>DATE(2022,4,30)</f>
        <v>44681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44683</v>
      </c>
      <c r="L9" s="203" t="s">
        <v>76</v>
      </c>
      <c r="M9" s="205">
        <f>K9+6</f>
        <v>44689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44690</v>
      </c>
      <c r="L19" s="203" t="s">
        <v>76</v>
      </c>
      <c r="M19" s="205">
        <f>K19+6</f>
        <v>44696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44697</v>
      </c>
      <c r="L29" s="203" t="s">
        <v>76</v>
      </c>
      <c r="M29" s="205">
        <f>K29+6</f>
        <v>44703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44704</v>
      </c>
      <c r="L39" s="203" t="s">
        <v>76</v>
      </c>
      <c r="M39" s="205">
        <f>K39+6</f>
        <v>44710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DATE(2022,5,1)</f>
        <v>44682</v>
      </c>
      <c r="L49" s="203" t="s">
        <v>76</v>
      </c>
      <c r="M49" s="205">
        <f>DATE(2022,5,31)</f>
        <v>44712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44711</v>
      </c>
      <c r="L9" s="203" t="s">
        <v>76</v>
      </c>
      <c r="M9" s="205">
        <f>K9+6</f>
        <v>44717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44718</v>
      </c>
      <c r="L19" s="203" t="s">
        <v>76</v>
      </c>
      <c r="M19" s="205">
        <f>K19+6</f>
        <v>44724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44725</v>
      </c>
      <c r="L29" s="203" t="s">
        <v>76</v>
      </c>
      <c r="M29" s="205">
        <f>K29+6</f>
        <v>44731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44732</v>
      </c>
      <c r="L39" s="203" t="s">
        <v>76</v>
      </c>
      <c r="M39" s="205">
        <f>K39+6</f>
        <v>44738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44739</v>
      </c>
      <c r="L49" s="203" t="s">
        <v>76</v>
      </c>
      <c r="M49" s="205">
        <f>K49+6</f>
        <v>44745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DATE(2022,6,1)</f>
        <v>44713</v>
      </c>
      <c r="L59" s="203" t="s">
        <v>76</v>
      </c>
      <c r="M59" s="205">
        <f>DATE(2022,6,30)</f>
        <v>44742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44746</v>
      </c>
      <c r="L9" s="203" t="s">
        <v>76</v>
      </c>
      <c r="M9" s="205">
        <f>K9+6</f>
        <v>44752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44753</v>
      </c>
      <c r="L19" s="203" t="s">
        <v>76</v>
      </c>
      <c r="M19" s="205">
        <f>K19+6</f>
        <v>44759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44760</v>
      </c>
      <c r="L29" s="203" t="s">
        <v>76</v>
      </c>
      <c r="M29" s="205">
        <f>K29+6</f>
        <v>44766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44767</v>
      </c>
      <c r="L39" s="203" t="s">
        <v>76</v>
      </c>
      <c r="M39" s="205">
        <f>K39+6</f>
        <v>44773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DATE(2022,7,1)</f>
        <v>44743</v>
      </c>
      <c r="L49" s="203" t="s">
        <v>76</v>
      </c>
      <c r="M49" s="205">
        <f>DATE(2022,7,31)</f>
        <v>44773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44774</v>
      </c>
      <c r="L9" s="203" t="s">
        <v>76</v>
      </c>
      <c r="M9" s="205">
        <f>K9+6</f>
        <v>44780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44781</v>
      </c>
      <c r="L19" s="203" t="s">
        <v>76</v>
      </c>
      <c r="M19" s="205">
        <f>K19+6</f>
        <v>44787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44788</v>
      </c>
      <c r="L29" s="203" t="s">
        <v>76</v>
      </c>
      <c r="M29" s="205">
        <f>K29+6</f>
        <v>44794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44795</v>
      </c>
      <c r="L39" s="203" t="s">
        <v>76</v>
      </c>
      <c r="M39" s="205">
        <f>K39+6</f>
        <v>44801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DATE(2022,8,1)</f>
        <v>44774</v>
      </c>
      <c r="L49" s="203" t="s">
        <v>76</v>
      </c>
      <c r="M49" s="205">
        <f>DATE(2022,8,31)</f>
        <v>44804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44802</v>
      </c>
      <c r="L9" s="203" t="s">
        <v>76</v>
      </c>
      <c r="M9" s="205">
        <f>K9+6</f>
        <v>44808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44809</v>
      </c>
      <c r="L19" s="203" t="s">
        <v>76</v>
      </c>
      <c r="M19" s="205">
        <f>K19+6</f>
        <v>44815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44816</v>
      </c>
      <c r="L29" s="203" t="s">
        <v>76</v>
      </c>
      <c r="M29" s="205">
        <f>K29+6</f>
        <v>44822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44823</v>
      </c>
      <c r="L39" s="203" t="s">
        <v>76</v>
      </c>
      <c r="M39" s="205">
        <f>K39+6</f>
        <v>44829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44830</v>
      </c>
      <c r="L49" s="203" t="s">
        <v>76</v>
      </c>
      <c r="M49" s="205">
        <f>K49+6</f>
        <v>44836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DATE(2022,9,1)</f>
        <v>44805</v>
      </c>
      <c r="L59" s="203" t="s">
        <v>76</v>
      </c>
      <c r="M59" s="205">
        <f>DATE(2022,9,30)</f>
        <v>44834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44837</v>
      </c>
      <c r="L9" s="203" t="s">
        <v>76</v>
      </c>
      <c r="M9" s="205">
        <f>Admin!B188</f>
        <v>44843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44844</v>
      </c>
      <c r="L19" s="203" t="s">
        <v>76</v>
      </c>
      <c r="M19" s="205">
        <f>K19+6</f>
        <v>44850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44851</v>
      </c>
      <c r="L29" s="203" t="s">
        <v>76</v>
      </c>
      <c r="M29" s="205">
        <f>K29+6</f>
        <v>44857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44858</v>
      </c>
      <c r="L39" s="203" t="s">
        <v>76</v>
      </c>
      <c r="M39" s="205">
        <f>K39+6</f>
        <v>44864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DATE(2022,10,1)</f>
        <v>44835</v>
      </c>
      <c r="L49" s="203" t="s">
        <v>76</v>
      </c>
      <c r="M49" s="205">
        <f>DATE(2022,10,31)</f>
        <v>44865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44865</v>
      </c>
      <c r="L9" s="203" t="s">
        <v>76</v>
      </c>
      <c r="M9" s="205">
        <f>K9+6</f>
        <v>44871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44872</v>
      </c>
      <c r="L19" s="203" t="s">
        <v>76</v>
      </c>
      <c r="M19" s="205">
        <f>K19+6</f>
        <v>44878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44879</v>
      </c>
      <c r="L29" s="203" t="s">
        <v>76</v>
      </c>
      <c r="M29" s="205">
        <f>K29+6</f>
        <v>44885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44886</v>
      </c>
      <c r="L39" s="203" t="s">
        <v>76</v>
      </c>
      <c r="M39" s="205">
        <f>K39+6</f>
        <v>44892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DATE(2022,11,1)</f>
        <v>44866</v>
      </c>
      <c r="L49" s="203" t="s">
        <v>76</v>
      </c>
      <c r="M49" s="205">
        <f>DATE(2022,11,30)</f>
        <v>44895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44893</v>
      </c>
      <c r="L9" s="203" t="s">
        <v>76</v>
      </c>
      <c r="M9" s="205">
        <f>K9+6</f>
        <v>44899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44900</v>
      </c>
      <c r="L19" s="203" t="s">
        <v>76</v>
      </c>
      <c r="M19" s="205">
        <f>K19+6</f>
        <v>44906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44907</v>
      </c>
      <c r="L29" s="203" t="s">
        <v>76</v>
      </c>
      <c r="M29" s="205">
        <f>K29+6</f>
        <v>44913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44914</v>
      </c>
      <c r="L39" s="203" t="s">
        <v>76</v>
      </c>
      <c r="M39" s="205">
        <f>K39+6</f>
        <v>44920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44921</v>
      </c>
      <c r="L49" s="203" t="s">
        <v>76</v>
      </c>
      <c r="M49" s="205">
        <f>K49+6</f>
        <v>44927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DATE(2022,12,1)</f>
        <v>44896</v>
      </c>
      <c r="L59" s="203" t="s">
        <v>76</v>
      </c>
      <c r="M59" s="205">
        <f>DATE(2022,12,31)</f>
        <v>44926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44928</v>
      </c>
      <c r="L9" s="203" t="s">
        <v>76</v>
      </c>
      <c r="M9" s="205">
        <f>K9+6</f>
        <v>44934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44935</v>
      </c>
      <c r="L19" s="203" t="s">
        <v>76</v>
      </c>
      <c r="M19" s="205">
        <f>K19+6</f>
        <v>44941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44942</v>
      </c>
      <c r="L29" s="203" t="s">
        <v>76</v>
      </c>
      <c r="M29" s="205">
        <f>K29+6</f>
        <v>44948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44949</v>
      </c>
      <c r="L39" s="203" t="s">
        <v>76</v>
      </c>
      <c r="M39" s="205">
        <f>K39+6</f>
        <v>44955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DATE(2023,1,1)</f>
        <v>44927</v>
      </c>
      <c r="L49" s="203" t="s">
        <v>76</v>
      </c>
      <c r="M49" s="205">
        <f>DATE(2023,1,31)</f>
        <v>44957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44956</v>
      </c>
      <c r="L9" s="203" t="s">
        <v>76</v>
      </c>
      <c r="M9" s="205">
        <f>K9+6</f>
        <v>44962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44963</v>
      </c>
      <c r="L19" s="203" t="s">
        <v>76</v>
      </c>
      <c r="M19" s="205">
        <f>K19+6</f>
        <v>44969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44970</v>
      </c>
      <c r="L29" s="203" t="s">
        <v>76</v>
      </c>
      <c r="M29" s="205">
        <f>K29+6</f>
        <v>44976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44977</v>
      </c>
      <c r="L39" s="203" t="s">
        <v>76</v>
      </c>
      <c r="M39" s="205">
        <f>K39+6</f>
        <v>44983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DATE(2023,2,1)</f>
        <v>44958</v>
      </c>
      <c r="L49" s="203" t="s">
        <v>76</v>
      </c>
      <c r="M49" s="205">
        <f>DATE(2023,2,28)</f>
        <v>44985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44984</v>
      </c>
      <c r="L9" s="203" t="s">
        <v>76</v>
      </c>
      <c r="M9" s="205">
        <f>K9+6</f>
        <v>44990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44991</v>
      </c>
      <c r="L19" s="203" t="s">
        <v>76</v>
      </c>
      <c r="M19" s="205">
        <f>K19+6</f>
        <v>44997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44998</v>
      </c>
      <c r="L29" s="203" t="s">
        <v>76</v>
      </c>
      <c r="M29" s="205">
        <f>K29+6</f>
        <v>45004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45005</v>
      </c>
      <c r="L39" s="203" t="s">
        <v>76</v>
      </c>
      <c r="M39" s="205">
        <f>K39+6</f>
        <v>45011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45012</v>
      </c>
      <c r="L49" s="203" t="s">
        <v>76</v>
      </c>
      <c r="M49" s="205">
        <f>K49+6</f>
        <v>45018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45019</v>
      </c>
      <c r="L59" s="203" t="s">
        <v>76</v>
      </c>
      <c r="M59" s="205">
        <f>K59+4</f>
        <v>45023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DATE(2023,3,1)</f>
        <v>44986</v>
      </c>
      <c r="L69" s="203" t="s">
        <v>76</v>
      </c>
      <c r="M69" s="205">
        <f>DATE(2023,3,31)</f>
        <v>45016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INDIRECT(ADDRESS($H$4,2,1,TRUE,$H$3))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INDIRECT(ADDRESS($H$4+1,5,1,TRUE,$H$3))</f>
        <v>1</v>
      </c>
      <c r="J10" s="467" t="str">
        <f ca="1">IF(M8=" "," ",INDIRECT(ADDRESS($H$4+2+C10,4,1,TRUE,$H$3)))</f>
        <v xml:space="preserve"> </v>
      </c>
      <c r="K10" s="46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75" t="str">
        <f ca="1">IF(M8=" "," ",INDIRECT(ADDRESS($H$4+2+C10,16,1,TRUE,$H$3)))</f>
        <v xml:space="preserve"> </v>
      </c>
      <c r="K14" s="475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75" t="str">
        <f ca="1">IF(M8=" "," ",INDIRECT(ADDRESS($H$4+2+C10,25,1,TRUE,$H$3)))</f>
        <v xml:space="preserve"> </v>
      </c>
      <c r="K16" s="475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",INDIRECT(ADDRESS($H$4+2+C24,4,1,TRUE,$H$3)))</f>
        <v xml:space="preserve"> </v>
      </c>
      <c r="K24" s="46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75" t="str">
        <f ca="1">IF(M22=" "," ",INDIRECT(ADDRESS($H$4+2+C24,16,1,TRUE,$H$3)))</f>
        <v xml:space="preserve"> </v>
      </c>
      <c r="K28" s="475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75" t="str">
        <f ca="1">IF(M22=" "," ",INDIRECT(ADDRESS($H$4+2+C24,25,1,TRUE,$H$3)))</f>
        <v xml:space="preserve"> </v>
      </c>
      <c r="K30" s="475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",INDIRECT(ADDRESS($H$4+2+C39,4,1,TRUE,$H$3)))</f>
        <v xml:space="preserve"> </v>
      </c>
      <c r="K39" s="46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75" t="str">
        <f ca="1">IF(M37=" "," ",INDIRECT(ADDRESS($H$4+2+C39,16,1,TRUE,$H$3)))</f>
        <v xml:space="preserve"> </v>
      </c>
      <c r="K43" s="475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75" t="str">
        <f ca="1">IF(M37=" "," ",INDIRECT(ADDRESS($H$4+2+C39,25,1,TRUE,$H$3)))</f>
        <v xml:space="preserve"> </v>
      </c>
      <c r="K45" s="475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",INDIRECT(ADDRESS($H$4+2+C53,4,1,TRUE,$H$3)))</f>
        <v xml:space="preserve"> </v>
      </c>
      <c r="K53" s="46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75" t="str">
        <f ca="1">IF(M51=" "," ",INDIRECT(ADDRESS($H$4+2+C53,16,1,TRUE,$H$3)))</f>
        <v xml:space="preserve"> </v>
      </c>
      <c r="K57" s="475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75" t="str">
        <f ca="1">IF(M51=" "," ",INDIRECT(ADDRESS($H$4+2+C53,25,1,TRUE,$H$3)))</f>
        <v xml:space="preserve"> </v>
      </c>
      <c r="K59" s="475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",INDIRECT(ADDRESS($H$4+2+C68,4,1,TRUE,$H$3)))</f>
        <v xml:space="preserve"> </v>
      </c>
      <c r="K68" s="46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75" t="str">
        <f ca="1">IF(M66=" "," ",INDIRECT(ADDRESS($H$4+2+C68,16,1,TRUE,$H$3)))</f>
        <v xml:space="preserve"> </v>
      </c>
      <c r="K72" s="475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75" t="str">
        <f ca="1">IF(M66=" "," ",INDIRECT(ADDRESS($H$4+2+C68,25,1,TRUE,$H$3)))</f>
        <v xml:space="preserve"> </v>
      </c>
      <c r="K74" s="475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