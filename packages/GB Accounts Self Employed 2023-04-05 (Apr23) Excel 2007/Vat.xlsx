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2C4183DA-A7C5-3D4A-9D99-70E02ED87853}" xr6:coauthVersionLast="47" xr6:coauthVersionMax="47" xr10:uidLastSave="{00000000-0000-0000-0000-000000000000}"/>
  <bookViews>
    <workbookView xWindow="2060" yWindow="1160" windowWidth="27820" windowHeight="1722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7" i="19" l="1"/>
  <c r="C16" i="19"/>
  <c r="C13" i="19"/>
  <c r="C12" i="19"/>
  <c r="C11" i="19"/>
  <c r="C9" i="19"/>
  <c r="C8" i="19"/>
  <c r="C7" i="19"/>
  <c r="C5" i="19"/>
  <c r="C4" i="19"/>
  <c r="F180" i="24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E1" i="25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E1" i="26"/>
  <c r="F188" i="20"/>
  <c r="F170" i="20"/>
  <c r="F151" i="20"/>
  <c r="F133" i="20"/>
  <c r="F115" i="20"/>
  <c r="F96" i="20"/>
  <c r="F78" i="20"/>
  <c r="F60" i="20"/>
  <c r="F42" i="20"/>
  <c r="F23" i="20"/>
  <c r="F5" i="20"/>
  <c r="E1" i="20"/>
  <c r="C6" i="19"/>
  <c r="C10" i="19"/>
  <c r="C14" i="19"/>
  <c r="C18" i="19"/>
  <c r="F11" i="20" l="1"/>
  <c r="F29" i="20"/>
  <c r="F47" i="20"/>
  <c r="F66" i="20"/>
  <c r="F84" i="20"/>
  <c r="F102" i="20"/>
  <c r="F120" i="20"/>
  <c r="F139" i="20"/>
  <c r="F157" i="20"/>
  <c r="F175" i="20"/>
  <c r="F194" i="20"/>
  <c r="F6" i="20"/>
  <c r="F24" i="20"/>
  <c r="F43" i="20"/>
  <c r="F61" i="20"/>
  <c r="F79" i="20"/>
  <c r="F98" i="20"/>
  <c r="F116" i="20"/>
  <c r="F134" i="20"/>
  <c r="F152" i="20"/>
  <c r="F171" i="20"/>
  <c r="F189" i="20"/>
  <c r="F14" i="20"/>
  <c r="F32" i="20"/>
  <c r="F51" i="20"/>
  <c r="F69" i="20"/>
  <c r="F87" i="20"/>
  <c r="F106" i="20"/>
  <c r="F124" i="20"/>
  <c r="F142" i="20"/>
  <c r="F160" i="20"/>
  <c r="F179" i="20"/>
  <c r="F197" i="20"/>
  <c r="B19" i="11"/>
  <c r="H1" i="27"/>
  <c r="J19" i="19" s="1"/>
  <c r="G12" i="19"/>
  <c r="I1" i="27"/>
  <c r="B2" i="27" s="1"/>
  <c r="F134" i="24"/>
  <c r="F198" i="24"/>
  <c r="E19" i="2"/>
  <c r="G8" i="19"/>
  <c r="H1" i="22"/>
  <c r="J5" i="19" s="1"/>
  <c r="E9" i="19"/>
  <c r="E16" i="19"/>
  <c r="E8" i="19"/>
  <c r="G21" i="11" s="1"/>
  <c r="G14" i="19"/>
  <c r="G9" i="5" s="1"/>
  <c r="G13" i="5" s="1"/>
  <c r="H1" i="21"/>
  <c r="J18" i="19" s="1"/>
  <c r="H1" i="23"/>
  <c r="J4" i="19" s="1"/>
  <c r="F1" i="26"/>
  <c r="F5" i="19" s="1"/>
  <c r="G7" i="19" s="1"/>
  <c r="G10" i="19"/>
  <c r="F12" i="20"/>
  <c r="F30" i="20"/>
  <c r="F48" i="20"/>
  <c r="F67" i="20"/>
  <c r="F85" i="20"/>
  <c r="F103" i="20"/>
  <c r="F122" i="20"/>
  <c r="F140" i="20"/>
  <c r="F158" i="20"/>
  <c r="F176" i="20"/>
  <c r="F195" i="20"/>
  <c r="G17" i="19"/>
  <c r="G9" i="2" s="1"/>
  <c r="G13" i="2" s="1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E18" i="19" s="1"/>
  <c r="F20" i="20"/>
  <c r="F38" i="20"/>
  <c r="F56" i="20"/>
  <c r="F75" i="20"/>
  <c r="F93" i="20"/>
  <c r="F111" i="20"/>
  <c r="F130" i="20"/>
  <c r="F148" i="20"/>
  <c r="F166" i="20"/>
  <c r="F184" i="20"/>
  <c r="F6" i="24"/>
  <c r="F21" i="20"/>
  <c r="F39" i="20"/>
  <c r="F58" i="20"/>
  <c r="F76" i="20"/>
  <c r="F94" i="20"/>
  <c r="F112" i="20"/>
  <c r="F131" i="20"/>
  <c r="F149" i="20"/>
  <c r="F167" i="20"/>
  <c r="F186" i="20"/>
  <c r="F70" i="24"/>
  <c r="F100" i="24"/>
  <c r="F164" i="24"/>
  <c r="F22" i="24"/>
  <c r="F150" i="24"/>
  <c r="E14" i="19"/>
  <c r="G21" i="5" s="1"/>
  <c r="E15" i="19"/>
  <c r="F52" i="24"/>
  <c r="F116" i="24"/>
  <c r="B21" i="8"/>
  <c r="B19" i="2"/>
  <c r="B21" i="11"/>
  <c r="B19" i="5"/>
  <c r="E19" i="18"/>
  <c r="B19" i="8"/>
  <c r="B21" i="18"/>
  <c r="E19" i="8"/>
  <c r="E19" i="5"/>
  <c r="G7" i="8"/>
  <c r="E19" i="11"/>
  <c r="C15" i="19"/>
  <c r="G9" i="11"/>
  <c r="G13" i="11" s="1"/>
  <c r="G7" i="11"/>
  <c r="B21" i="2"/>
  <c r="G7" i="2"/>
  <c r="B21" i="5"/>
  <c r="B19" i="18"/>
  <c r="G7" i="18"/>
  <c r="H19" i="19"/>
  <c r="G1" i="20"/>
  <c r="D4" i="19" s="1"/>
  <c r="F199" i="24"/>
  <c r="F195" i="24"/>
  <c r="F191" i="24"/>
  <c r="F187" i="24"/>
  <c r="F183" i="24"/>
  <c r="F179" i="24"/>
  <c r="F175" i="24"/>
  <c r="F171" i="24"/>
  <c r="F167" i="24"/>
  <c r="F163" i="24"/>
  <c r="F159" i="24"/>
  <c r="F155" i="24"/>
  <c r="F151" i="24"/>
  <c r="F147" i="24"/>
  <c r="F143" i="24"/>
  <c r="F139" i="24"/>
  <c r="F135" i="24"/>
  <c r="F131" i="24"/>
  <c r="F127" i="24"/>
  <c r="F123" i="24"/>
  <c r="F119" i="24"/>
  <c r="F115" i="24"/>
  <c r="F111" i="24"/>
  <c r="F107" i="24"/>
  <c r="F103" i="24"/>
  <c r="F99" i="24"/>
  <c r="F95" i="24"/>
  <c r="F91" i="24"/>
  <c r="F87" i="24"/>
  <c r="F83" i="24"/>
  <c r="F79" i="24"/>
  <c r="F75" i="24"/>
  <c r="F71" i="24"/>
  <c r="F67" i="24"/>
  <c r="F63" i="24"/>
  <c r="F59" i="24"/>
  <c r="F55" i="24"/>
  <c r="F51" i="24"/>
  <c r="F47" i="24"/>
  <c r="F43" i="24"/>
  <c r="F39" i="24"/>
  <c r="F35" i="24"/>
  <c r="F31" i="24"/>
  <c r="F27" i="24"/>
  <c r="F23" i="24"/>
  <c r="F19" i="24"/>
  <c r="F15" i="24"/>
  <c r="F11" i="24"/>
  <c r="F7" i="24"/>
  <c r="F197" i="24"/>
  <c r="F193" i="24"/>
  <c r="F189" i="24"/>
  <c r="F185" i="24"/>
  <c r="F181" i="24"/>
  <c r="F177" i="24"/>
  <c r="F173" i="24"/>
  <c r="F169" i="24"/>
  <c r="F165" i="24"/>
  <c r="F161" i="24"/>
  <c r="F157" i="24"/>
  <c r="F153" i="24"/>
  <c r="F149" i="24"/>
  <c r="F145" i="24"/>
  <c r="F141" i="24"/>
  <c r="F137" i="24"/>
  <c r="F133" i="24"/>
  <c r="F129" i="24"/>
  <c r="F125" i="24"/>
  <c r="F121" i="24"/>
  <c r="F117" i="24"/>
  <c r="F113" i="24"/>
  <c r="F109" i="24"/>
  <c r="F105" i="24"/>
  <c r="F101" i="24"/>
  <c r="F97" i="24"/>
  <c r="F93" i="24"/>
  <c r="F89" i="24"/>
  <c r="F85" i="24"/>
  <c r="F81" i="24"/>
  <c r="F77" i="24"/>
  <c r="F73" i="24"/>
  <c r="F69" i="24"/>
  <c r="F65" i="24"/>
  <c r="F61" i="24"/>
  <c r="F57" i="24"/>
  <c r="F53" i="24"/>
  <c r="F49" i="24"/>
  <c r="F45" i="24"/>
  <c r="F41" i="24"/>
  <c r="F37" i="24"/>
  <c r="F33" i="24"/>
  <c r="F29" i="24"/>
  <c r="F25" i="24"/>
  <c r="F21" i="24"/>
  <c r="F17" i="24"/>
  <c r="F13" i="24"/>
  <c r="F9" i="24"/>
  <c r="F5" i="24"/>
  <c r="F190" i="24"/>
  <c r="F174" i="24"/>
  <c r="F158" i="24"/>
  <c r="F142" i="24"/>
  <c r="F126" i="24"/>
  <c r="F110" i="24"/>
  <c r="F94" i="24"/>
  <c r="F78" i="24"/>
  <c r="F62" i="24"/>
  <c r="F46" i="24"/>
  <c r="F30" i="24"/>
  <c r="F14" i="24"/>
  <c r="F108" i="24"/>
  <c r="F44" i="24"/>
  <c r="F200" i="24"/>
  <c r="F184" i="24"/>
  <c r="F168" i="24"/>
  <c r="F152" i="24"/>
  <c r="F136" i="24"/>
  <c r="F120" i="24"/>
  <c r="F104" i="24"/>
  <c r="F88" i="24"/>
  <c r="F72" i="24"/>
  <c r="F56" i="24"/>
  <c r="F40" i="24"/>
  <c r="F24" i="24"/>
  <c r="F8" i="24"/>
  <c r="F156" i="24"/>
  <c r="F140" i="24"/>
  <c r="F124" i="24"/>
  <c r="F92" i="24"/>
  <c r="F76" i="24"/>
  <c r="F60" i="24"/>
  <c r="F28" i="24"/>
  <c r="F194" i="24"/>
  <c r="F178" i="24"/>
  <c r="F162" i="24"/>
  <c r="F146" i="24"/>
  <c r="F130" i="24"/>
  <c r="F114" i="24"/>
  <c r="F98" i="24"/>
  <c r="F82" i="24"/>
  <c r="F66" i="24"/>
  <c r="F50" i="24"/>
  <c r="F34" i="24"/>
  <c r="F18" i="24"/>
  <c r="F188" i="24"/>
  <c r="F172" i="24"/>
  <c r="F12" i="24"/>
  <c r="F192" i="24"/>
  <c r="F176" i="24"/>
  <c r="F160" i="24"/>
  <c r="F144" i="24"/>
  <c r="F128" i="24"/>
  <c r="F112" i="24"/>
  <c r="F96" i="24"/>
  <c r="F80" i="24"/>
  <c r="F64" i="24"/>
  <c r="F48" i="24"/>
  <c r="F32" i="24"/>
  <c r="F16" i="24"/>
  <c r="F186" i="24"/>
  <c r="F170" i="24"/>
  <c r="F154" i="24"/>
  <c r="F138" i="24"/>
  <c r="F122" i="24"/>
  <c r="F106" i="24"/>
  <c r="F90" i="24"/>
  <c r="F74" i="24"/>
  <c r="F58" i="24"/>
  <c r="F42" i="24"/>
  <c r="F26" i="24"/>
  <c r="F10" i="24"/>
  <c r="F36" i="24"/>
  <c r="F86" i="24"/>
  <c r="G7" i="5"/>
  <c r="G1" i="24"/>
  <c r="D19" i="19" s="1"/>
  <c r="F38" i="24"/>
  <c r="F102" i="24"/>
  <c r="F166" i="24"/>
  <c r="I1" i="23"/>
  <c r="E12" i="19"/>
  <c r="E11" i="19"/>
  <c r="G21" i="8" s="1"/>
  <c r="E10" i="19"/>
  <c r="E13" i="19"/>
  <c r="F68" i="24"/>
  <c r="F132" i="24"/>
  <c r="F196" i="24"/>
  <c r="E17" i="19"/>
  <c r="G21" i="2" s="1"/>
  <c r="F54" i="24"/>
  <c r="F118" i="24"/>
  <c r="F182" i="24"/>
  <c r="G16" i="19"/>
  <c r="F1" i="25"/>
  <c r="F18" i="19" s="1"/>
  <c r="G18" i="19" s="1"/>
  <c r="F20" i="24"/>
  <c r="F84" i="24"/>
  <c r="F148" i="24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G15" i="19"/>
  <c r="G13" i="19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E7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G11" i="19"/>
  <c r="G9" i="8" s="1"/>
  <c r="G13" i="8" s="1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G9" i="19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E19" i="19" l="1"/>
  <c r="F1" i="20"/>
  <c r="F4" i="19" s="1"/>
  <c r="G6" i="19" s="1"/>
  <c r="E6" i="19"/>
  <c r="H18" i="19"/>
  <c r="B2" i="21"/>
  <c r="H5" i="19"/>
  <c r="B2" i="22"/>
  <c r="B2" i="23"/>
  <c r="H4" i="19"/>
  <c r="F1" i="24"/>
  <c r="F19" i="19" s="1"/>
  <c r="G19" i="19" s="1"/>
  <c r="G9" i="18" s="1"/>
  <c r="G13" i="18" s="1"/>
  <c r="G21" i="18" l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J13" i="19"/>
  <c r="J15" i="19"/>
  <c r="J10" i="19"/>
  <c r="K15" i="19" l="1"/>
  <c r="K9" i="19"/>
  <c r="K16" i="19"/>
  <c r="K6" i="19"/>
  <c r="K8" i="19"/>
  <c r="G15" i="11" s="1"/>
  <c r="G17" i="11" s="1"/>
  <c r="B17" i="11" s="1"/>
  <c r="K7" i="19"/>
  <c r="K17" i="19"/>
  <c r="G15" i="2" s="1"/>
  <c r="G17" i="2" s="1"/>
  <c r="B17" i="2" s="1"/>
  <c r="K14" i="19"/>
  <c r="G15" i="5" s="1"/>
  <c r="G17" i="5" s="1"/>
  <c r="B17" i="5" s="1"/>
  <c r="K10" i="19"/>
  <c r="K11" i="19"/>
  <c r="G15" i="8" s="1"/>
  <c r="G17" i="8" s="1"/>
  <c r="B17" i="8" s="1"/>
  <c r="K13" i="19"/>
  <c r="K12" i="19"/>
  <c r="K18" i="19"/>
  <c r="G15" i="18" s="1"/>
  <c r="G17" i="18" s="1"/>
  <c r="B17" i="18" s="1"/>
  <c r="H6" i="19" l="1"/>
  <c r="H7" i="19"/>
  <c r="I6" i="19" l="1"/>
  <c r="I7" i="19"/>
  <c r="H8" i="19"/>
  <c r="I8" i="19" s="1"/>
  <c r="G23" i="11" s="1"/>
  <c r="H2" i="27" l="1"/>
  <c r="H2" i="21"/>
  <c r="H9" i="19"/>
  <c r="I9" i="19" s="1"/>
  <c r="H10" i="19" l="1"/>
  <c r="I10" i="19" l="1"/>
  <c r="H11" i="19"/>
  <c r="I11" i="19" l="1"/>
  <c r="G23" i="8" s="1"/>
  <c r="H12" i="19"/>
  <c r="I12" i="19" l="1"/>
  <c r="H13" i="19"/>
  <c r="I13" i="19" l="1"/>
  <c r="H14" i="19"/>
  <c r="I14" i="19" l="1"/>
  <c r="G23" i="5" s="1"/>
  <c r="H15" i="19"/>
  <c r="I15" i="19" s="1"/>
  <c r="H16" i="19" l="1"/>
  <c r="H17" i="19"/>
  <c r="I19" i="19" s="1"/>
  <c r="I18" i="19" l="1"/>
  <c r="G23" i="18" s="1"/>
  <c r="I16" i="19"/>
  <c r="I17" i="19"/>
  <c r="G23" i="2" s="1"/>
</calcChain>
</file>

<file path=xl/sharedStrings.xml><?xml version="1.0" encoding="utf-8"?>
<sst xmlns="http://schemas.openxmlformats.org/spreadsheetml/2006/main" count="168" uniqueCount="42">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</sst>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6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44620</v>
          </cell>
        </row>
        <row r="3">
          <cell r="B3">
            <v>44651</v>
          </cell>
        </row>
        <row r="5">
          <cell r="B5">
            <v>44681</v>
          </cell>
        </row>
        <row r="6">
          <cell r="B6">
            <v>44712</v>
          </cell>
        </row>
        <row r="7">
          <cell r="B7">
            <v>44742</v>
          </cell>
        </row>
        <row r="8">
          <cell r="B8">
            <v>44773</v>
          </cell>
        </row>
        <row r="9">
          <cell r="B9">
            <v>44804</v>
          </cell>
        </row>
        <row r="10">
          <cell r="B10">
            <v>44834</v>
          </cell>
        </row>
        <row r="11">
          <cell r="B11">
            <v>44865</v>
          </cell>
        </row>
        <row r="12">
          <cell r="B12">
            <v>44895</v>
          </cell>
        </row>
        <row r="13">
          <cell r="B13">
            <v>44926</v>
          </cell>
        </row>
        <row r="14">
          <cell r="B14">
            <v>44957</v>
          </cell>
        </row>
        <row r="15">
          <cell r="B15">
            <v>44985</v>
          </cell>
        </row>
        <row r="16">
          <cell r="B16">
            <v>45016</v>
          </cell>
        </row>
        <row r="18">
          <cell r="B18">
            <v>45046</v>
          </cell>
        </row>
        <row r="19">
          <cell r="B19">
            <v>45077</v>
          </cell>
        </row>
        <row r="20">
          <cell r="B20">
            <v>45107</v>
          </cell>
        </row>
        <row r="25">
          <cell r="B25">
            <v>45138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44681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44712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44742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44742</v>
      </c>
      <c r="H5" s="10"/>
      <c r="I5" s="13"/>
      <c r="K5" s="69">
        <f>[1]Admin!$B$8</f>
        <v>44773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44804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44773</v>
      </c>
      <c r="H7" s="10"/>
      <c r="I7" s="13"/>
      <c r="K7" s="69">
        <f>[1]Admin!$B$10</f>
        <v>44834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44865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44895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44926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44957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44985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45016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45046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45077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45107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44681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44712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44742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44834</v>
      </c>
      <c r="H5" s="10"/>
      <c r="I5" s="13"/>
      <c r="K5" s="69">
        <f>[1]Admin!$B$8</f>
        <v>44773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44804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44865</v>
      </c>
      <c r="H7" s="10"/>
      <c r="I7" s="13"/>
      <c r="K7" s="69">
        <f>[1]Admin!$B$10</f>
        <v>44834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44865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44895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44926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44957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44985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45016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45046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45077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45107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44681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44712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44742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44926</v>
      </c>
      <c r="H5" s="10"/>
      <c r="I5" s="13"/>
      <c r="K5" s="69">
        <f>[1]Admin!$B$8</f>
        <v>44773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44804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44957</v>
      </c>
      <c r="H7" s="10"/>
      <c r="I7" s="13"/>
      <c r="K7" s="69">
        <f>[1]Admin!$B$10</f>
        <v>44834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44865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44895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44926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44957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44985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45016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45046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45077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45107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44681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44712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44742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45016</v>
      </c>
      <c r="H5" s="10"/>
      <c r="I5" s="13"/>
      <c r="K5" s="69">
        <f>[1]Admin!$B$8</f>
        <v>44773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44804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45046</v>
      </c>
      <c r="H7" s="10"/>
      <c r="I7" s="13"/>
      <c r="K7" s="69">
        <f>[1]Admin!$B$10</f>
        <v>44834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44865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44895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44926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44957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44985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45016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45046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45077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45107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44681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44712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44742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45107</v>
      </c>
      <c r="H5" s="10"/>
      <c r="I5" s="13"/>
      <c r="K5" s="69">
        <f>[1]Admin!$B$8</f>
        <v>44773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44804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45138</v>
      </c>
      <c r="H7" s="10"/>
      <c r="I7" s="13"/>
      <c r="K7" s="69">
        <f>[1]Admin!$B$10</f>
        <v>44834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44865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44895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44926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44957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44985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45016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45046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45077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45107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A17" sqref="A17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44620</v>
      </c>
      <c r="C4" s="62">
        <f>B5</f>
        <v>44651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44651</v>
      </c>
      <c r="C5" s="62">
        <f t="shared" ref="C5:C18" si="0">B6</f>
        <v>44681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44681</v>
      </c>
      <c r="C6" s="62">
        <f t="shared" si="0"/>
        <v>44712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44712</v>
      </c>
      <c r="C7" s="62">
        <f t="shared" si="0"/>
        <v>44742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44742</v>
      </c>
      <c r="C8" s="62">
        <f t="shared" si="0"/>
        <v>44773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44773</v>
      </c>
      <c r="C9" s="62">
        <f t="shared" si="0"/>
        <v>44804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44804</v>
      </c>
      <c r="C10" s="62">
        <f t="shared" si="0"/>
        <v>44834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44834</v>
      </c>
      <c r="C11" s="62">
        <f t="shared" si="0"/>
        <v>44865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44865</v>
      </c>
      <c r="C12" s="62">
        <f t="shared" si="0"/>
        <v>44895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44895</v>
      </c>
      <c r="C13" s="62">
        <f t="shared" si="0"/>
        <v>44926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44926</v>
      </c>
      <c r="C14" s="62">
        <f t="shared" si="0"/>
        <v>44957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44957</v>
      </c>
      <c r="C15" s="62">
        <f t="shared" si="0"/>
        <v>44985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44985</v>
      </c>
      <c r="C16" s="62">
        <f t="shared" si="0"/>
        <v>45016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45016</v>
      </c>
      <c r="C17" s="62">
        <f t="shared" si="0"/>
        <v>45046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45046</v>
      </c>
      <c r="C18" s="62">
        <f t="shared" si="0"/>
        <v>45077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45077</v>
      </c>
      <c r="C19" s="62">
        <f>[1]Admin!$B$20</f>
        <v>45107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x14ac:dyDescent="0.15">
      <c r="A20" s="56"/>
      <c r="B20" s="62">
        <f>[1]Admin!$B$20</f>
        <v>45107</v>
      </c>
      <c r="C20" s="63">
        <f>[1]Admin!$B$25</f>
        <v>45138</v>
      </c>
      <c r="D20" s="107">
        <f>S06Y2!$G$1</f>
        <v>0</v>
      </c>
      <c r="E20" s="108">
        <f>SUM(D18:D20)</f>
        <v>0</v>
      </c>
      <c r="F20" s="108">
        <f>S06Y2!$F$1</f>
        <v>0</v>
      </c>
      <c r="G20" s="108">
        <f>SUM(F18:F20)</f>
        <v>0</v>
      </c>
      <c r="H20" s="108">
        <f>P06Y2!$I$1</f>
        <v>0</v>
      </c>
      <c r="I20" s="108">
        <f>SUM(H18:H20)</f>
        <v>0</v>
      </c>
      <c r="J20" s="108">
        <f>P06Y2!$H$1</f>
        <v>0</v>
      </c>
      <c r="K20" s="108">
        <f>SUM(J18:J20)</f>
        <v>0</v>
      </c>
      <c r="L20" s="121"/>
      <c r="M20" s="122">
        <f>IF([2]Mar!$H$4&gt;0,[2]Mar!$H$4,0)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23"/>
      <c r="M21" s="124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2025-04-03T22:49:40Z</dcterms:modified>
  <dc:description>Copyright (C) 2006-2026 DIY Accounting Limited. Licensed under the PolyForm Internal Use License 1.0.0 with an additional grant for accountants.</dc:description>
</cp:coreProperties>
</file>