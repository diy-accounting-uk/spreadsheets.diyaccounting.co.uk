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<sst xmlns="http://schemas.openxmlformats.org/spreadsheetml/2006/main" count="818" uniqueCount="442">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</sst>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44657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44657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2022-23 are less than £6,725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2024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44657</v>
      </c>
      <c r="R2" s="341"/>
      <c r="S2" s="341"/>
      <c r="T2" s="341"/>
      <c r="U2" s="222" t="s">
        <v>185</v>
      </c>
      <c r="V2" s="340">
        <f>Admin!B17</f>
        <v>45021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IF(([1]Schedule!$R$1+[1]Schedule!$S$1)&lt;1000,[1]Schedule!$S$1,0)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O179-N(D197)-D210-N(O190)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44620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44651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44657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44681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44712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44742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44773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44804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44834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44865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44895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44926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150001</v>
      </c>
      <c r="M13" s="147"/>
      <c r="N13" s="152">
        <v>150000</v>
      </c>
      <c r="O13" s="147"/>
    </row>
    <row r="14" spans="1:15" ht="12" customHeight="1" x14ac:dyDescent="0.15">
      <c r="A14" s="147"/>
      <c r="B14" s="164">
        <v>44957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44985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45016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3.15</v>
      </c>
      <c r="M16" s="147" t="s">
        <v>436</v>
      </c>
      <c r="N16" s="152">
        <v>6725</v>
      </c>
      <c r="O16" s="146" t="s">
        <v>51</v>
      </c>
    </row>
    <row r="17" spans="1:15" ht="12" customHeight="1" thickBot="1" x14ac:dyDescent="0.2">
      <c r="A17" s="147"/>
      <c r="B17" s="175">
        <v>45021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45046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45077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45107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0.0973</v>
      </c>
      <c r="M20" s="451"/>
      <c r="N20" s="152">
        <v>11908</v>
      </c>
      <c r="O20" s="146" t="s">
        <v>51</v>
      </c>
    </row>
    <row r="21" spans="1:15" ht="12" customHeight="1" x14ac:dyDescent="0.15">
      <c r="A21" s="147"/>
      <c r="B21" s="164">
        <v>45322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45504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2022-23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0.0273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2023-24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45138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