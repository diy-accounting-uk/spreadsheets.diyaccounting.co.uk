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<sst xmlns="http://schemas.openxmlformats.org/spreadsheetml/2006/main" count="1383" uniqueCount="138">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</sst>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DATE(2024,7,1)</f>
        <v>45474</v>
      </c>
      <c r="L49" s="203" t="s">
        <v>76</v>
      </c>
      <c r="M49" s="205">
        <f>DATE(2024,7,31)</f>
        <v>45504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Jul!M39+1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DATE(2024,8,1)</f>
        <v>45505</v>
      </c>
      <c r="L49" s="203" t="s">
        <v>76</v>
      </c>
      <c r="M49" s="205">
        <f>DATE(2024,8,31)</f>
        <v>45535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Aug!M39+1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DATE(2024,9,1)</f>
        <v>45536</v>
      </c>
      <c r="L59" s="203" t="s">
        <v>76</v>
      </c>
      <c r="M59" s="205">
        <f>DATE(2024,9,30)</f>
        <v>45565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89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92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92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92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5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DATE(2024,10,1)</f>
        <v>45566</v>
      </c>
      <c r="L49" s="203" t="s">
        <v>76</v>
      </c>
      <c r="M49" s="205">
        <f>DATE(2024,10,31)</f>
        <v>45596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IF(T$9="Y",Oct!H41,0)</f>
        <v>0</v>
      </c>
      <c r="I12" s="92">
        <f>IF(T$9="Y",Oct!I41,0)</f>
        <v>0</v>
      </c>
      <c r="J12" s="92">
        <f>IF(T$9="Y",Oct!J41,0)</f>
        <v>0</v>
      </c>
      <c r="K12" s="92">
        <f>IF(T$9="Y",Oct!K41,I12*J12)</f>
        <v>0</v>
      </c>
      <c r="L12" s="111">
        <f>IF(T$9="Y",Oct!L41,0)</f>
        <v>0</v>
      </c>
      <c r="M12" s="111" t="str">
        <f>IF(E12=" "," ",IF(T$9="Y",Oct!M41,IF((H12+K12+L12)&gt;0,H12+K12+L12,"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IF(T$9="Y",Oct!H41,0)</f>
        <v>0</v>
      </c>
      <c r="I13" s="92">
        <f>IF(T$9="Y",Oct!I41,0)</f>
        <v>0</v>
      </c>
      <c r="J13" s="92">
        <f>IF(T$9="Y",Oct!J41,0)</f>
        <v>0</v>
      </c>
      <c r="K13" s="92">
        <f>IF(T$9="Y",Oct!K41,I13*J13)</f>
        <v>0</v>
      </c>
      <c r="L13" s="111">
        <f>IF(T$9="Y",Oct!L41,0)</f>
        <v>0</v>
      </c>
      <c r="M13" s="111" t="str">
        <f>IF(E13=" "," ",IF(T$9="Y",Oct!M41,IF((H13+K13+L13)&gt;0,H13+K13+L13,"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IF(T$9="Y",Oct!H41,0)</f>
        <v>0</v>
      </c>
      <c r="I14" s="92">
        <f>IF(T$9="Y",Oct!I41,0)</f>
        <v>0</v>
      </c>
      <c r="J14" s="92">
        <f>IF(T$9="Y",Oct!J41,0)</f>
        <v>0</v>
      </c>
      <c r="K14" s="92">
        <f>IF(T$9="Y",Oct!K41,I14*J14)</f>
        <v>0</v>
      </c>
      <c r="L14" s="111">
        <f>IF(T$9="Y",Oct!L41,0)</f>
        <v>0</v>
      </c>
      <c r="M14" s="111" t="str">
        <f>IF(E14=" "," ",IF(T$9="Y",Oct!M41,IF((H14+K14+L14)&gt;0,H14+K14+L14,"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IF(T$9="Y",Oct!H41,0)</f>
        <v>0</v>
      </c>
      <c r="I15" s="245">
        <f>IF(T$9="Y",Oct!I41,0)</f>
        <v>0</v>
      </c>
      <c r="J15" s="245">
        <f>IF(T$9="Y",Oct!J41,0)</f>
        <v>0</v>
      </c>
      <c r="K15" s="245">
        <f>IF(T$9="Y",Oct!K41,I15*J15)</f>
        <v>0</v>
      </c>
      <c r="L15" s="246">
        <f>IF(T$9="Y",Oct!L41,0)</f>
        <v>0</v>
      </c>
      <c r="M15" s="246" t="str">
        <f>IF(E15=" "," ",IF(T$9="Y",Oct!M41,IF((H15+K15+L15)&gt;0,H15+K15+L15,"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DATE(2024,11,1)</f>
        <v>45597</v>
      </c>
      <c r="L49" s="203" t="s">
        <v>76</v>
      </c>
      <c r="M49" s="205">
        <f>DATE(2024,11,30)</f>
        <v>45626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89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92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92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92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IF(T$49="Y",Oct!H55,0)</f>
        <v>0</v>
      </c>
      <c r="I55" s="92">
        <f>IF(T$49="Y",Oct!I55,0)</f>
        <v>0</v>
      </c>
      <c r="J55" s="92">
        <f>IF(T$49="Y",Oct!J55,0)</f>
        <v>0</v>
      </c>
      <c r="K55" s="92">
        <f>IF(T$49="Y",Oct!K55,I55*J55)</f>
        <v>0</v>
      </c>
      <c r="L55" s="92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Nov!M39+1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DATE(2024,12,1)</f>
        <v>45627</v>
      </c>
      <c r="L59" s="203" t="s">
        <v>76</v>
      </c>
      <c r="M59" s="205">
        <f>DATE(2024,12,31)</f>
        <v>45657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99" t="str">
        <f>IF(E11=" "," ",IF(T$9="Y",Dec!M51,IF((H11+K11+L11)&gt;0,H11+K11+L11,"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00" t="str">
        <f>IF(E12=" "," ",IF(T$9="Y",Dec!M52,IF((H12+K12+L12)&gt;0,H12+K12+L12,"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00" t="str">
        <f>IF(E13=" "," ",IF(T$9="Y",Dec!M53,IF((H13+K13+L13)&gt;0,H13+K13+L13,"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00" t="str">
        <f>IF(E14=" "," ",IF(T$9="Y",Dec!M54,IF((H14+K14+L14)&gt;0,H14+K14+L14,"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247" t="str">
        <f>IF(E15=" "," ",IF(T$9="Y",Dec!M55,IF((H15+K15+L15)&gt;0,H15+K15+L15,"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DATE(2025,1,1)</f>
        <v>45658</v>
      </c>
      <c r="L49" s="203" t="s">
        <v>76</v>
      </c>
      <c r="M49" s="205">
        <f>DATE(2025,1,31)</f>
        <v>45688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DATE(2025,2,1)</f>
        <v>45689</v>
      </c>
      <c r="L49" s="203" t="s">
        <v>76</v>
      </c>
      <c r="M49" s="205">
        <f>DATE(2025,2,28)</f>
        <v>45716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Feb!M39+1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DATE(2025,3,1)</f>
        <v>45717</v>
      </c>
      <c r="L59" s="203" t="s">
        <v>76</v>
      </c>
      <c r="M59" s="205">
        <f>DATE(2025,3,31)</f>
        <v>45747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Mar!M49+1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110" t="str">
        <f>IF(E11=" "," ",IF(T$9="Y",Mar!M51,IF((H11+K11+L11)&gt;0,H11+K11+L11,"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11" t="str">
        <f>IF(E12=" "," ",IF(T$9="Y",Mar!M52,IF((H12+K12+L12)&gt;0,H12+K12+L12,"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11" t="str">
        <f>IF(E13=" "," ",IF(T$9="Y",Mar!M53,IF((H13+K13+L13)&gt;0,H13+K13+L13,"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11" t="str">
        <f>IF(E14=" "," ",IF(T$9="Y",Mar!M54,IF((H14+K14+L14)&gt;0,H14+K14+L14,"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111" t="str">
        <f>IF(E15=" "," ",IF(T$9="Y",Mar!M55,IF((H15+K15+L15)&gt;0,H15+K15+L15,"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DATE(2025,4,1)</f>
        <v>45748</v>
      </c>
      <c r="L49" s="203" t="s">
        <v>76</v>
      </c>
      <c r="M49" s="205">
        <f>DATE(2025,4,30)</f>
        <v>45777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Apr!M39+1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IF(T$19="Y",Apr!L45,0)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DATE(2025,5,1)</f>
        <v>45778</v>
      </c>
      <c r="L49" s="203" t="s">
        <v>76</v>
      </c>
      <c r="M49" s="205">
        <f>DATE(2025,5,31)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May!M39+1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DATE(2025,6,1)</f>
        <v>45809</v>
      </c>
      <c r="L69" s="203" t="s">
        <v>76</v>
      </c>
      <c r="M69" s="205">
        <f>DATE(2025,6,30)</f>
        <v>45838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IF(T$69="Y",May!H51,0)</f>
        <v>0</v>
      </c>
      <c r="I71" s="89">
        <f>IF(T$69="Y",May!I51,0)</f>
        <v>0</v>
      </c>
      <c r="J71" s="89">
        <f>IF(T$69="Y",May!J51,0)</f>
        <v>0</v>
      </c>
      <c r="K71" s="89">
        <f>IF(T$69="Y",May!K51,I71*J71)</f>
        <v>0</v>
      </c>
      <c r="L71" s="110">
        <f>IF(T$69="Y",May!L51,0)</f>
        <v>0</v>
      </c>
      <c r="M71" s="99" t="str">
        <f>IF(E71=" "," ",IF(T$69="Y",May!M51,IF((H71+K71+L71)&gt;0,H71+K71+L71,"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IF(Employee!H$35=E$69,Employee!D$34+SUM(M71)+May!V51,SUM(M71)+May!V51)</f>
        <v>0</v>
      </c>
      <c r="W71" s="49">
        <f>IF(Employee!H$35=E$69,Employee!D$35+SUM(N71)+May!W51,SUM(N71)+May!W51)</f>
        <v>0</v>
      </c>
      <c r="X71" s="49">
        <f>IF(O71=" ",May!X51,O71+May!X51)</f>
        <v>0</v>
      </c>
      <c r="Y71" s="49">
        <f>IF(P71=" ",May!Y51,P71+May!Y51)</f>
        <v>0</v>
      </c>
      <c r="Z71" s="49">
        <f>IF(Q71=" ",May!Z51,Q71+May!Z51)</f>
        <v>0</v>
      </c>
      <c r="AA71" s="49">
        <f>IF(R71=" ",May!AA51,R71+May!AA51)</f>
        <v>0</v>
      </c>
      <c r="AC71" s="49">
        <f>IF(T71=" ",May!AC51,T71+May!AC51)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IF(T$69="Y",May!H52,0)</f>
        <v>0</v>
      </c>
      <c r="I72" s="92">
        <f>IF(T$69="Y",May!I52,0)</f>
        <v>0</v>
      </c>
      <c r="J72" s="92">
        <f>IF(T$69="Y",May!J52,0)</f>
        <v>0</v>
      </c>
      <c r="K72" s="92">
        <f>IF(T$69="Y",May!K52,I72*J72)</f>
        <v>0</v>
      </c>
      <c r="L72" s="111">
        <f>IF(T$69="Y",May!L52,0)</f>
        <v>0</v>
      </c>
      <c r="M72" s="100" t="str">
        <f>IF(E72=" "," ",IF(T$69="Y",May!M52,IF((H72+K72+L72)&gt;0,H72+K72+L72,"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IF(Employee!H$61=E$69,Employee!D$60+SUM(M72)+May!V52,SUM(M72)+May!V52)</f>
        <v>0</v>
      </c>
      <c r="W72" s="49">
        <f>IF(Employee!H$61=E$69,Employee!D$61+SUM(N72)+May!W52,SUM(N72)+May!W52)</f>
        <v>0</v>
      </c>
      <c r="X72" s="49">
        <f>IF(O72=" ",May!X52,O72+May!X52)</f>
        <v>0</v>
      </c>
      <c r="Y72" s="49">
        <f>IF(P72=" ",May!Y52,P72+May!Y52)</f>
        <v>0</v>
      </c>
      <c r="Z72" s="49">
        <f>IF(Q72=" ",May!Z52,Q72+May!Z52)</f>
        <v>0</v>
      </c>
      <c r="AA72" s="49">
        <f>IF(R72=" ",May!AA52,R72+May!AA52)</f>
        <v>0</v>
      </c>
      <c r="AC72" s="49">
        <f>IF(T72=" ",May!AC52,T72+May!AC52)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IF(T$69="Y",May!H53,0)</f>
        <v>0</v>
      </c>
      <c r="I73" s="92">
        <f>IF(T$69="Y",May!I53,0)</f>
        <v>0</v>
      </c>
      <c r="J73" s="92">
        <f>IF(T$69="Y",May!J53,0)</f>
        <v>0</v>
      </c>
      <c r="K73" s="92">
        <f>IF(T$69="Y",May!K53,I73*J73)</f>
        <v>0</v>
      </c>
      <c r="L73" s="111">
        <f>IF(T$69="Y",May!L53,0)</f>
        <v>0</v>
      </c>
      <c r="M73" s="100" t="str">
        <f>IF(E73=" "," ",IF(T$69="Y",May!M53,IF((H73+K73+L73)&gt;0,H73+K73+L73,"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IF(Employee!H$87=E$69,Employee!D$86+SUM(M73)+May!V53,SUM(M73)+May!V53)</f>
        <v>0</v>
      </c>
      <c r="W73" s="49">
        <f>IF(Employee!H$87=E$69,Employee!D$87+SUM(N73)+May!W53,SUM(N73)+May!W53)</f>
        <v>0</v>
      </c>
      <c r="X73" s="49">
        <f>IF(O73=" ",May!X53,O73+May!X53)</f>
        <v>0</v>
      </c>
      <c r="Y73" s="49">
        <f>IF(P73=" ",May!Y53,P73+May!Y53)</f>
        <v>0</v>
      </c>
      <c r="Z73" s="49">
        <f>IF(Q73=" ",May!Z53,Q73+May!Z53)</f>
        <v>0</v>
      </c>
      <c r="AA73" s="49">
        <f>IF(R73=" ",May!AA53,R73+May!AA53)</f>
        <v>0</v>
      </c>
      <c r="AC73" s="49">
        <f>IF(T73=" ",May!AC53,T73+May!AC53)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IF(T$69="Y",May!H54,0)</f>
        <v>0</v>
      </c>
      <c r="I74" s="92">
        <f>IF(T$69="Y",May!I54,0)</f>
        <v>0</v>
      </c>
      <c r="J74" s="92">
        <f>IF(T$69="Y",May!J54,0)</f>
        <v>0</v>
      </c>
      <c r="K74" s="92">
        <f>IF(T$69="Y",May!K54,I74*J74)</f>
        <v>0</v>
      </c>
      <c r="L74" s="111">
        <f>IF(T$69="Y",May!L54,0)</f>
        <v>0</v>
      </c>
      <c r="M74" s="100" t="str">
        <f>IF(E74=" "," ",IF(T$69="Y",May!M54,IF((H74+K74+L74)&gt;0,H74+K74+L74,"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IF(Employee!H$113=E$69,Employee!D$112+SUM(M74)+May!V54,SUM(M74)+May!V54)</f>
        <v>0</v>
      </c>
      <c r="W74" s="49">
        <f>IF(Employee!H$113=E$69,Employee!D$113+SUM(N74)+May!W54,SUM(N74)+May!W54)</f>
        <v>0</v>
      </c>
      <c r="X74" s="49">
        <f>IF(O74=" ",May!X54,O74+May!X54)</f>
        <v>0</v>
      </c>
      <c r="Y74" s="49">
        <f>IF(P74=" ",May!Y54,P74+May!Y54)</f>
        <v>0</v>
      </c>
      <c r="Z74" s="49">
        <f>IF(Q74=" ",May!Z54,Q74+May!Z54)</f>
        <v>0</v>
      </c>
      <c r="AA74" s="49">
        <f>IF(R74=" ",May!AA54,R74+May!AA54)</f>
        <v>0</v>
      </c>
      <c r="AC74" s="49">
        <f>IF(T74=" ",May!AC54,T74+May!AC54)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IF(T$69="Y",May!H55,0)</f>
        <v>0</v>
      </c>
      <c r="I75" s="245">
        <f>IF(T$69="Y",May!I55,0)</f>
        <v>0</v>
      </c>
      <c r="J75" s="245">
        <f>IF(T$69="Y",May!J55,0)</f>
        <v>0</v>
      </c>
      <c r="K75" s="245">
        <f>IF(T$69="Y",May!K55,I75*J75)</f>
        <v>0</v>
      </c>
      <c r="L75" s="246">
        <f>IF(T$69="Y",May!L55,0)</f>
        <v>0</v>
      </c>
      <c r="M75" s="100" t="str">
        <f>IF(E75=" "," ",IF(T$69="Y",May!M55,IF((H75+K75+L75)&gt;0,H75+K75+L75,"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IF(Employee!H$139=E$69,Employee!D$138+SUM(M75)+May!V55,SUM(M75)+May!V55)</f>
        <v>0</v>
      </c>
      <c r="W75" s="49">
        <f>IF(Employee!H$139=E$69,Employee!D$139+SUM(N75)+May!W55,SUM(N75)+May!W55)</f>
        <v>0</v>
      </c>
      <c r="X75" s="49">
        <f>IF(O75=" ",May!X55,O75+May!X55)</f>
        <v>0</v>
      </c>
      <c r="Y75" s="49">
        <f>IF(P75=" ",May!Y55,P75+May!Y55)</f>
        <v>0</v>
      </c>
      <c r="Z75" s="49">
        <f>IF(Q75=" ",May!Z55,Q75+May!Z55)</f>
        <v>0</v>
      </c>
      <c r="AA75" s="49">
        <f>IF(R75=" ",May!AA55,R75+May!AA55)</f>
        <v>0</v>
      </c>
      <c r="AC75" s="49">
        <f>IF(T75=" ",May!AC55,T75+May!AC55)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AD80+May!AD65</f>
        <v>0</v>
      </c>
      <c r="AE85" s="158">
        <f>AE80+May!AE65</f>
        <v>0</v>
      </c>
      <c r="AF85" s="158">
        <f>AF80+May!AF65</f>
        <v>0</v>
      </c>
      <c r="AG85" s="158">
        <f>AG80+May!AG65</f>
        <v>0</v>
      </c>
    </row>
    <row r="86" spans="6:33" ht="14" thickTop="1" x14ac:dyDescent="0.15"/>
    <row r="87" spans="6:33" x14ac:dyDescent="0.15">
      <c r="AD87" s="162"/>
      <c r="AE87" s="158">
        <f>AE82+May!AE67</f>
        <v>0</v>
      </c>
      <c r="AF87" s="158">
        <f>AF82+May!AF67</f>
        <v>0</v>
      </c>
      <c r="AG87" s="158">
        <f>AG82+May!AG67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Jul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DATE(2025,4,30)</f>
        <v>45777</v>
      </c>
      <c r="C4" s="229">
        <f>DATE(2025,5,19)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DATE(2025,5,31)</f>
        <v>45808</v>
      </c>
      <c r="C5" s="229">
        <f>DATE(2025,6,19)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DATE(2025,6,30)</f>
        <v>45838</v>
      </c>
      <c r="C6" s="229">
        <f>DATE(2025,7,19)</f>
        <v>45857</v>
      </c>
      <c r="D6" s="227">
        <f>Jun!T1+Jun!O1</f>
        <v>0</v>
      </c>
      <c r="E6" s="228">
        <f>Jun!N1</f>
        <v>0</v>
      </c>
      <c r="F6" s="228">
        <f>Jun!AD80+Jun!AE80+Jun!AF80+Jun!AG80</f>
        <v>0</v>
      </c>
      <c r="G6" s="228">
        <f>Jun!AE82+Jun!AF82+Jun!AG82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DATE(2025,7,31)</f>
        <v>45869</v>
      </c>
      <c r="C7" s="229">
        <f>DATE(2025,8,19)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DATE(2025,8,31)</f>
        <v>45900</v>
      </c>
      <c r="C8" s="229">
        <f>DATE(2025,9,19)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DATE(2025,9,30)</f>
        <v>45930</v>
      </c>
      <c r="C9" s="229">
        <f>DATE(2025,10,19)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DATE(2025,10,31)</f>
        <v>45961</v>
      </c>
      <c r="C10" s="229">
        <f>DATE(2025,11,19)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DATE(2025,11,30)</f>
        <v>45991</v>
      </c>
      <c r="C11" s="229">
        <f>DATE(2025,12,19)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DATE(2025,12,31)</f>
        <v>46022</v>
      </c>
      <c r="C12" s="229">
        <f>DATE(2026,1,19)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DATE(2026,1,31)</f>
        <v>46053</v>
      </c>
      <c r="C13" s="229">
        <f>DATE(2026,2,19)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DATE(2026,2,28)</f>
        <v>46081</v>
      </c>
      <c r="C14" s="229">
        <f>DATE(2026,3,19)</f>
        <v>46100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DATE(2026,3,31)</f>
        <v>46112</v>
      </c>
      <c r="C15" s="229">
        <f>DATE(2026,4,19)</f>
        <v>46131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TEXT(DATE(YEAR(B$2),MONTH(B$2)+(D2-1)+3,1),"Mmm")</f>
        <v>Jul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TEXT(DATE(YEAR(B$2),MONTH(B$2)+(D3-1)+3,1),"Mmm")</f>
        <v>Jul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Jul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Jul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Jul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Jul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Jul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Jul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Jul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Jul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Jul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Jul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Jul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Jul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Jul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Jul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Jul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Jul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Jul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Jul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Jul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Jul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Jul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Jul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Jul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Jul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Aug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Aug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Aug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Aug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Aug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Aug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Aug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Aug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Aug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Aug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Aug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Aug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Aug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Aug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Aug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Aug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Aug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Aug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Aug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Aug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Aug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Aug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Aug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Aug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Aug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Aug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Aug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Aug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Sep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Sep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Sep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Sep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Sep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Sep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Sep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Sep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Sep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Sep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Sep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TEXT(DATE(YEAR(B$2),MONTH(B$2)+(D67-1)+3,1),"Mmm")</f>
        <v>Sep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Sep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Sep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Sep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Sep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Sep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Sep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Sep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Sep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Sep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Sep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Sep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Sep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Sep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Sep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Sep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Sep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Sep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Sep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Sep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Sep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Sep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Sep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Sep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Oct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Oct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Oct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Oct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Oct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Oct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Oct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Oct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Oct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Oct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Oct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Oct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Oct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Oct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Oct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Oct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Oct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Oct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Oct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Oct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Oct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Oct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Oct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Oct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Oct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Oct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Oct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Oct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Nov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Nov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Nov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Nov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Nov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Nov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Nov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Nov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Nov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Nov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Nov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Nov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TEXT(DATE(YEAR(B$2),MONTH(B$2)+(D131-1)+3,1),"Mmm")</f>
        <v>Nov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Nov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Nov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Nov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Nov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Nov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Nov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Nov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Nov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Nov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Nov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Nov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Nov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Nov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Nov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Nov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Dec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Dec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Dec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Dec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Dec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Dec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Dec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Dec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Dec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Dec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Dec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Dec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Dec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Dec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Dec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Dec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Dec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Dec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Dec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Dec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Dec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Dec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Dec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Dec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Dec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Dec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Dec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Dec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Dec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Dec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Dec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Dec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Dec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Dec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Dec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Jan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Jan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Jan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Jan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Jan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Jan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Jan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Jan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Jan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Jan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Jan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Jan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Jan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TEXT(DATE(YEAR(B$2),MONTH(B$2)+(D195-1)+3,1),"Mmm")</f>
        <v>Jan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Jan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Jan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Jan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Jan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Jan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Jan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Jan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Jan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Jan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Jan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Jan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Jan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Jan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Jan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Feb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Feb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Feb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Feb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Feb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Feb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Feb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Feb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Feb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Feb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Feb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Feb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Feb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Feb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Feb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Feb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Feb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Feb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Feb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Feb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Feb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Feb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Feb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Feb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Feb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Feb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Feb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Feb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Mar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Mar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Mar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Mar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Mar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Mar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Mar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Mar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Mar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Mar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Mar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Mar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Mar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Mar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Mar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Mar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Mar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Mar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Mar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Mar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Mar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TEXT(DATE(YEAR(B$2),MONTH(B$2)+(D259-1)+3,1),"Mmm")</f>
        <v>Mar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Mar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Mar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Mar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Mar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Mar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Mar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Mar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Mar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Mar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Mar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Mar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Mar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Mar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Apr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Apr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Apr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Apr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Apr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Apr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Apr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Apr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Apr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Apr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Apr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Apr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Apr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Apr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Apr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Apr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Apr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Apr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Apr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Apr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Apr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Apr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Apr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Apr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Apr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Apr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Apr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Apr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May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May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May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May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May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May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May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May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May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May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May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May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May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May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May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May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May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May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May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May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May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May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TEXT(DATE(YEAR(B$2),MONTH(B$2)+(D323-1)+3,1),"Mmm")</f>
        <v>May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May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May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May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May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May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Jun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Jun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Jun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Jun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Jun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Jun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Jun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Jun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Jun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Jun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Jun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Jun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Jun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Jun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Jun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Jun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Jun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Jun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Jun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Jun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Jun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Jun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Jun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Jun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Jun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Jun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Jun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Jun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Jun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Jun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Jun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Jun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Jun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Jun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Jun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Jun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Jun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Jun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Jun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Jun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Jun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Jun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Jun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Jun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Jun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Jun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Jun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Jun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Jun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Jun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Jun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Jun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Jun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