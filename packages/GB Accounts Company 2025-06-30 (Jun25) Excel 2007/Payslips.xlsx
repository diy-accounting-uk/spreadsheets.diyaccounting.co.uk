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<sst xmlns="http://schemas.openxmlformats.org/spreadsheetml/2006/main" count="1383" uniqueCount="138">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</sst>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DATE(2024,7,1)</f>
        <v>45474</v>
      </c>
      <c r="L49" s="203" t="s">
        <v>76</v>
      </c>
      <c r="M49" s="205">
        <f>DATE(2024,7,31)</f>
        <v>45504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DATE(2024,8,1)</f>
        <v>45505</v>
      </c>
      <c r="L49" s="203" t="s">
        <v>76</v>
      </c>
      <c r="M49" s="205">
        <f>DATE(2024,8,31)</f>
        <v>45535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DATE(2024,9,1)</f>
        <v>45536</v>
      </c>
      <c r="L59" s="203" t="s">
        <v>76</v>
      </c>
      <c r="M59" s="205">
        <f>DATE(2024,9,30)</f>
        <v>45565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DATE(2024,10,1)</f>
        <v>45566</v>
      </c>
      <c r="L49" s="203" t="s">
        <v>76</v>
      </c>
      <c r="M49" s="205">
        <f>DATE(2024,10,31)</f>
        <v>45596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IF(T$9="Y",Oct!H41,0)</f>
        <v>0</v>
      </c>
      <c r="I12" s="92">
        <f>IF(T$9="Y",Oct!I41,0)</f>
        <v>0</v>
      </c>
      <c r="J12" s="92">
        <f>IF(T$9="Y",Oct!J41,0)</f>
        <v>0</v>
      </c>
      <c r="K12" s="92">
        <f>IF(T$9="Y",Oct!K41,I12*J12)</f>
        <v>0</v>
      </c>
      <c r="L12" s="111">
        <f>IF(T$9="Y",Oct!L41,0)</f>
        <v>0</v>
      </c>
      <c r="M12" s="111" t="str">
        <f>IF(E12=" "," ",IF(T$9="Y",Oct!M41,IF((H12+K12+L12)&gt;0,H12+K12+L12,"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IF(T$9="Y",Oct!H41,0)</f>
        <v>0</v>
      </c>
      <c r="I13" s="92">
        <f>IF(T$9="Y",Oct!I41,0)</f>
        <v>0</v>
      </c>
      <c r="J13" s="92">
        <f>IF(T$9="Y",Oct!J41,0)</f>
        <v>0</v>
      </c>
      <c r="K13" s="92">
        <f>IF(T$9="Y",Oct!K41,I13*J13)</f>
        <v>0</v>
      </c>
      <c r="L13" s="111">
        <f>IF(T$9="Y",Oct!L41,0)</f>
        <v>0</v>
      </c>
      <c r="M13" s="111" t="str">
        <f>IF(E13=" "," ",IF(T$9="Y",Oct!M41,IF((H13+K13+L13)&gt;0,H13+K13+L13,"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IF(T$9="Y",Oct!H41,0)</f>
        <v>0</v>
      </c>
      <c r="I14" s="92">
        <f>IF(T$9="Y",Oct!I41,0)</f>
        <v>0</v>
      </c>
      <c r="J14" s="92">
        <f>IF(T$9="Y",Oct!J41,0)</f>
        <v>0</v>
      </c>
      <c r="K14" s="92">
        <f>IF(T$9="Y",Oct!K41,I14*J14)</f>
        <v>0</v>
      </c>
      <c r="L14" s="111">
        <f>IF(T$9="Y",Oct!L41,0)</f>
        <v>0</v>
      </c>
      <c r="M14" s="111" t="str">
        <f>IF(E14=" "," ",IF(T$9="Y",Oct!M41,IF((H14+K14+L14)&gt;0,H14+K14+L14,"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IF(T$9="Y",Oct!H41,0)</f>
        <v>0</v>
      </c>
      <c r="I15" s="245">
        <f>IF(T$9="Y",Oct!I41,0)</f>
        <v>0</v>
      </c>
      <c r="J15" s="245">
        <f>IF(T$9="Y",Oct!J41,0)</f>
        <v>0</v>
      </c>
      <c r="K15" s="245">
        <f>IF(T$9="Y",Oct!K41,I15*J15)</f>
        <v>0</v>
      </c>
      <c r="L15" s="246">
        <f>IF(T$9="Y",Oct!L41,0)</f>
        <v>0</v>
      </c>
      <c r="M15" s="246" t="str">
        <f>IF(E15=" "," ",IF(T$9="Y",Oct!M41,IF((H15+K15+L15)&gt;0,H15+K15+L15,"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DATE(2024,11,1)</f>
        <v>45597</v>
      </c>
      <c r="L49" s="203" t="s">
        <v>76</v>
      </c>
      <c r="M49" s="205">
        <f>DATE(2024,11,30)</f>
        <v>45626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DATE(2024,12,1)</f>
        <v>45627</v>
      </c>
      <c r="L59" s="203" t="s">
        <v>76</v>
      </c>
      <c r="M59" s="205">
        <f>DATE(2024,12,31)</f>
        <v>45657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DATE(2025,1,1)</f>
        <v>45658</v>
      </c>
      <c r="L49" s="203" t="s">
        <v>76</v>
      </c>
      <c r="M49" s="205">
        <f>DATE(2025,1,31)</f>
        <v>45688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DATE(2025,2,1)</f>
        <v>45689</v>
      </c>
      <c r="L49" s="203" t="s">
        <v>76</v>
      </c>
      <c r="M49" s="205">
        <f>DATE(2025,2,28)</f>
        <v>45716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DATE(2025,3,1)</f>
        <v>45717</v>
      </c>
      <c r="L59" s="203" t="s">
        <v>76</v>
      </c>
      <c r="M59" s="205">
        <f>DATE(2025,3,31)</f>
        <v>45747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DATE(2025,4,1)</f>
        <v>45748</v>
      </c>
      <c r="L49" s="203" t="s">
        <v>76</v>
      </c>
      <c r="M49" s="205">
        <f>DATE(2025,4,30)</f>
        <v>45777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DATE(2025,5,1)</f>
        <v>45778</v>
      </c>
      <c r="L49" s="203" t="s">
        <v>76</v>
      </c>
      <c r="M49" s="205">
        <f>DATE(2025,5,31)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DATE(2025,6,1)</f>
        <v>45809</v>
      </c>
      <c r="L69" s="203" t="s">
        <v>76</v>
      </c>
      <c r="M69" s="205">
        <f>DATE(2025,6,30)</f>
        <v>45838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Jul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DATE(2025,4,30)</f>
        <v>45777</v>
      </c>
      <c r="C4" s="229">
        <f>DATE(2025,5,19)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DATE(2025,5,31)</f>
        <v>45808</v>
      </c>
      <c r="C5" s="229">
        <f>DATE(2025,6,19)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DATE(2025,6,30)</f>
        <v>45838</v>
      </c>
      <c r="C6" s="229">
        <f>DATE(2025,7,19)</f>
        <v>45857</v>
      </c>
      <c r="D6" s="227">
        <f>Jun!T1+Jun!O1</f>
        <v>0</v>
      </c>
      <c r="E6" s="228">
        <f>Jun!N1</f>
        <v>0</v>
      </c>
      <c r="F6" s="228">
        <f>Jun!AD80+Jun!AE80+Jun!AF80+Jun!AG80</f>
        <v>0</v>
      </c>
      <c r="G6" s="228">
        <f>Jun!AE82+Jun!AF82+Jun!AG82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DATE(2025,7,31)</f>
        <v>45869</v>
      </c>
      <c r="C7" s="229">
        <f>DATE(2025,8,19)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DATE(2025,8,31)</f>
        <v>45900</v>
      </c>
      <c r="C8" s="229">
        <f>DATE(2025,9,19)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DATE(2025,9,30)</f>
        <v>45930</v>
      </c>
      <c r="C9" s="229">
        <f>DATE(2025,10,19)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DATE(2025,10,31)</f>
        <v>45961</v>
      </c>
      <c r="C10" s="229">
        <f>DATE(2025,11,19)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DATE(2025,11,30)</f>
        <v>45991</v>
      </c>
      <c r="C11" s="229">
        <f>DATE(2025,12,19)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DATE(2025,12,31)</f>
        <v>46022</v>
      </c>
      <c r="C12" s="229">
        <f>DATE(2026,1,19)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DATE(2026,1,31)</f>
        <v>46053</v>
      </c>
      <c r="C13" s="229">
        <f>DATE(2026,2,19)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DATE(2026,2,28)</f>
        <v>46081</v>
      </c>
      <c r="C14" s="229">
        <f>DATE(2026,3,19)</f>
        <v>46100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DATE(2026,3,31)</f>
        <v>46112</v>
      </c>
      <c r="C15" s="229">
        <f>DATE(2026,4,19)</f>
        <v>46131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TEXT(DATE(YEAR(B$2),MONTH(B$2)+(D2-1)+3,1),"Mmm")</f>
        <v>Jul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TEXT(DATE(YEAR(B$2),MONTH(B$2)+(D3-1)+3,1),"Mmm")</f>
        <v>Jul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Jul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Jul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Jul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Jul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Jul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Jul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Jul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Jul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Jul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Jul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Jul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Jul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Jul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Jul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Jul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Jul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Jul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Jul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Jul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Jul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Jul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Jul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Jul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Jul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Aug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Aug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Aug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Aug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Aug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Aug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Aug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Aug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Aug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Aug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Aug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Aug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Aug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Aug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Aug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Aug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Aug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Aug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Aug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Aug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Aug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Aug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Aug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Aug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Aug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Aug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Aug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Aug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Sep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Sep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Sep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Sep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Sep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Sep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Sep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Sep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Sep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Sep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Sep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TEXT(DATE(YEAR(B$2),MONTH(B$2)+(D67-1)+3,1),"Mmm")</f>
        <v>Sep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Sep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Sep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Sep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Sep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Sep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Sep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Sep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Sep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Sep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Sep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Sep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Sep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Sep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Sep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Sep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Sep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Sep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Sep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Sep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Sep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Sep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Sep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Sep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Oct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Oct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Oct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Oct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Oct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Oct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Oct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Oct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Oct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Oct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Oct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Oct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Oct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Oct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Oct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Oct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Oct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Oct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Oct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Oct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Oct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Oct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Oct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Oct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Oct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Oct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Oct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Oct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Nov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Nov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Nov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Nov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Nov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Nov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Nov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Nov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Nov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Nov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Nov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Nov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TEXT(DATE(YEAR(B$2),MONTH(B$2)+(D131-1)+3,1),"Mmm")</f>
        <v>Nov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Nov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Nov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Nov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Nov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Nov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Nov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Nov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Nov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Nov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Nov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Nov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Nov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Nov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Nov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Nov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Dec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Dec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Dec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Dec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Dec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Dec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Dec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Dec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Dec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Dec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Dec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Dec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Dec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Dec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Dec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Dec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Dec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Dec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Dec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Dec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Dec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Dec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Dec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Dec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Dec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Dec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Dec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Dec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Dec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Dec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Dec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Dec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Dec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Dec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Dec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Jan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Jan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Jan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Jan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Jan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Jan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Jan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Jan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Jan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Jan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Jan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Jan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Jan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TEXT(DATE(YEAR(B$2),MONTH(B$2)+(D195-1)+3,1),"Mmm")</f>
        <v>Jan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Jan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Jan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Jan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Jan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Jan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Jan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Jan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Jan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Jan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Jan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Jan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Jan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Jan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Jan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Feb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Feb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Feb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Feb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Feb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Feb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Feb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Feb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Feb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Feb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Feb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Feb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Feb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Feb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Feb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Feb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Feb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Feb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Feb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Feb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Feb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Feb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Feb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Feb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Feb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Feb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Feb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Feb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Mar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Mar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Mar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Mar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Mar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Mar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Mar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Mar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Mar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Mar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Mar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Mar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Mar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Mar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Mar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Mar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Mar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Mar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Mar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Mar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Mar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TEXT(DATE(YEAR(B$2),MONTH(B$2)+(D259-1)+3,1),"Mmm")</f>
        <v>Mar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Mar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Mar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Mar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Mar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Mar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Mar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Mar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Mar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Mar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Mar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Mar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Mar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Mar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Apr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Apr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Apr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Apr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Apr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Apr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Apr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Apr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Apr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Apr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Apr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Apr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Apr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Apr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Apr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Apr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Apr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Apr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Apr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Apr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Apr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Apr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Apr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Apr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Apr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Apr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Apr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Apr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May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May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May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May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May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May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May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May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May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May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May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May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May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May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May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May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May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May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May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May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May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May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TEXT(DATE(YEAR(B$2),MONTH(B$2)+(D323-1)+3,1),"Mmm")</f>
        <v>May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May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May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May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May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May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Jun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Jun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Jun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Jun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Jun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Jun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Jun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Jun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Jun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Jun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Jun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Jun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Jun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Jun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Jun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Jun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Jun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Jun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Jun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Jun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Jun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Jun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Jun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Jun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Jun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Jun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Jun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Jun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Jun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Jun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Jun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Jun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Jun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Jun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Jun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Jun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Jun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Jun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Jun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Jun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Jun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Jun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Jun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Jun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Jun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Jun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Jun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Jun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Jun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Jun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Jun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Jun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Jun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