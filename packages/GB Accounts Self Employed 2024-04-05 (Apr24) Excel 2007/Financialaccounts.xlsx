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<sst xmlns="http://schemas.openxmlformats.org/spreadsheetml/2006/main" count="819" uniqueCount="439">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</sst>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IF(([1]Schedule!$R$1+[1]Schedule!$S$1)&lt;1000,[1]Schedule!$S$1,0)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[1]Schedule!$Y$1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SUM([1]Schedule!$R$38:$R$42)+SUM([1]Schedule!$R$91:$R$95)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IF((E5&gt;0),Admin!N$4,0)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ht="14" thickBot="1" x14ac:dyDescent="0.2">
      <c r="A9" s="96"/>
      <c r="B9" s="108" t="s">
        <v>128</v>
      </c>
      <c r="C9" s="108">
        <f>Admin!N$12</f>
        <v>37701</v>
      </c>
      <c r="D9" s="144">
        <f>Admin!N$7</f>
        <v>0.4</v>
      </c>
      <c r="E9" s="99">
        <f>IF((E7&gt;C9),((E7-C9)*D9),0)</f>
        <v>0</v>
      </c>
      <c r="F9" s="122"/>
      <c r="G9" s="120"/>
      <c r="M9" s="293"/>
    </row>
    <row r="10" spans="1:13" ht="14" thickBot="1" x14ac:dyDescent="0.2">
      <c r="A10" s="96"/>
      <c r="B10" s="114" t="s">
        <v>101</v>
      </c>
      <c r="C10" s="139"/>
      <c r="D10" s="136"/>
      <c r="E10" s="292">
        <f>SUM(E8:E9)</f>
        <v>0</v>
      </c>
      <c r="F10" s="122"/>
      <c r="G10" s="120"/>
      <c r="M10" s="293"/>
    </row>
    <row r="11" spans="1:13" x14ac:dyDescent="0.15">
      <c r="A11" s="96"/>
      <c r="B11" s="108" t="s">
        <v>4</v>
      </c>
      <c r="C11" s="108"/>
      <c r="D11" s="101"/>
      <c r="E11" s="99">
        <f>-[2]Mar!$X$1</f>
        <v>0</v>
      </c>
      <c r="F11" s="123"/>
      <c r="G11" s="121"/>
      <c r="M11" s="293"/>
    </row>
    <row r="12" spans="1:13" x14ac:dyDescent="0.15">
      <c r="A12" s="96"/>
      <c r="B12" s="108"/>
      <c r="C12" s="108"/>
      <c r="D12" s="101"/>
      <c r="E12" s="99"/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SUM(E10:E17)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Admin!N$4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IF((C41&gt;0),(IF((C41&lt;Admin!N$12),C41*Admin!N$6,Admin!N$12*Admin!N$6)),0)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IF((C41&gt;Admin!N$12),((C41-Admin!N$12)*Admin!N$7),0)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s">
        <v>93</v>
      </c>
      <c r="C44" s="128">
        <f>IF((C41&gt;0),IF(C41&gt;Admin!N12,Admin!N12*Admin!L20+(C41-Admin!N12)*Admin!L23,C41*Admin!L$20),0)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ht="6" customHeight="1" x14ac:dyDescent="0.15">
      <c r="A45" s="23"/>
      <c r="B45" s="87"/>
      <c r="C45" s="128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44985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45016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45022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45046</v>
      </c>
      <c r="C5" s="147"/>
      <c r="D5" s="450" t="s">
        <v>104</v>
      </c>
      <c r="E5" s="450"/>
      <c r="F5" s="450"/>
      <c r="G5" s="148">
        <v>0.18</v>
      </c>
      <c r="H5" s="147"/>
      <c r="I5" s="147"/>
      <c r="J5" s="147"/>
      <c r="K5" s="147"/>
      <c r="L5" s="147"/>
      <c r="M5" s="147"/>
      <c r="N5" s="146"/>
      <c r="O5" s="146"/>
    </row>
    <row r="6" spans="1:15" ht="12" customHeight="1" x14ac:dyDescent="0.15">
      <c r="A6" s="147"/>
      <c r="B6" s="164">
        <v>45077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45107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45138</v>
      </c>
      <c r="C8" s="147"/>
      <c r="D8" s="147" t="s">
        <v>112</v>
      </c>
      <c r="E8" s="152">
        <v>12000</v>
      </c>
      <c r="F8" s="147" t="s">
        <v>113</v>
      </c>
      <c r="G8" s="152">
        <v>3000</v>
      </c>
      <c r="H8" s="147"/>
      <c r="I8" s="147"/>
      <c r="J8" s="147"/>
      <c r="K8" s="147"/>
      <c r="L8" s="147"/>
      <c r="M8" s="147"/>
      <c r="N8" s="146"/>
      <c r="O8" s="146"/>
    </row>
    <row r="9" spans="1:15" ht="12" customHeight="1" x14ac:dyDescent="0.15">
      <c r="A9" s="147"/>
      <c r="B9" s="164">
        <v>45169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45199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45230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45260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45291</v>
      </c>
      <c r="C13" s="147"/>
      <c r="D13" s="450" t="s">
        <v>106</v>
      </c>
      <c r="E13" s="450"/>
      <c r="F13" s="450"/>
      <c r="G13" s="148">
        <v>0</v>
      </c>
      <c r="H13" s="147"/>
      <c r="I13" s="147"/>
      <c r="J13" s="147"/>
      <c r="K13" s="147"/>
      <c r="L13" s="147"/>
      <c r="M13" s="147"/>
      <c r="N13" s="147"/>
      <c r="O13" s="147"/>
    </row>
    <row r="14" spans="1:15" ht="12" customHeight="1" x14ac:dyDescent="0.15">
      <c r="A14" s="147"/>
      <c r="B14" s="164">
        <v>45322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45351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45382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3.45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45387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45412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45443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45473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45688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45869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2023-24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2024-25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71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6"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