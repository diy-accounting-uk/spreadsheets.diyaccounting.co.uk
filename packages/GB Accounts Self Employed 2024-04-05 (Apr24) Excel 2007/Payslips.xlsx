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<sst xmlns="http://schemas.openxmlformats.org/spreadsheetml/2006/main" count="1383" uniqueCount="138">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</sst>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9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45082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45108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45134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45160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45026</v>
      </c>
      <c r="L19" s="200" t="s">
        <v>76</v>
      </c>
      <c r="M19" s="202">
        <f>K19+6</f>
        <v>45032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45033</v>
      </c>
      <c r="L29" s="200" t="s">
        <v>76</v>
      </c>
      <c r="M29" s="202">
        <f>K29+6</f>
        <v>45039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45040</v>
      </c>
      <c r="L39" s="200" t="s">
        <v>76</v>
      </c>
      <c r="M39" s="202">
        <f>K39+6</f>
        <v>45046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DATE(2023,4,6)</f>
        <v>45022</v>
      </c>
      <c r="L49" s="203" t="s">
        <v>76</v>
      </c>
      <c r="M49" s="205">
        <f>DATE(2023,4,30)</f>
        <v>45046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45047</v>
      </c>
      <c r="L9" s="203" t="s">
        <v>76</v>
      </c>
      <c r="M9" s="205">
        <f>K9+6</f>
        <v>45053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45054</v>
      </c>
      <c r="L19" s="203" t="s">
        <v>76</v>
      </c>
      <c r="M19" s="205">
        <f>K19+6</f>
        <v>45060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45061</v>
      </c>
      <c r="L29" s="203" t="s">
        <v>76</v>
      </c>
      <c r="M29" s="205">
        <f>K29+6</f>
        <v>45067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45068</v>
      </c>
      <c r="L39" s="203" t="s">
        <v>76</v>
      </c>
      <c r="M39" s="205">
        <f>K39+6</f>
        <v>45074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DATE(2023,5,1)</f>
        <v>45047</v>
      </c>
      <c r="L49" s="203" t="s">
        <v>76</v>
      </c>
      <c r="M49" s="205">
        <f>DATE(2023,5,31)</f>
        <v>45077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45075</v>
      </c>
      <c r="L9" s="203" t="s">
        <v>76</v>
      </c>
      <c r="M9" s="205">
        <f>K9+6</f>
        <v>45081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45082</v>
      </c>
      <c r="L19" s="203" t="s">
        <v>76</v>
      </c>
      <c r="M19" s="205">
        <f>K19+6</f>
        <v>45088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45089</v>
      </c>
      <c r="L29" s="203" t="s">
        <v>76</v>
      </c>
      <c r="M29" s="205">
        <f>K29+6</f>
        <v>45095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45096</v>
      </c>
      <c r="L39" s="203" t="s">
        <v>76</v>
      </c>
      <c r="M39" s="205">
        <f>K39+6</f>
        <v>45102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45103</v>
      </c>
      <c r="L49" s="203" t="s">
        <v>76</v>
      </c>
      <c r="M49" s="205">
        <f>K49+6</f>
        <v>45109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DATE(2023,6,1)</f>
        <v>45078</v>
      </c>
      <c r="L59" s="203" t="s">
        <v>76</v>
      </c>
      <c r="M59" s="205">
        <f>DATE(2023,6,30)</f>
        <v>45107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45111</v>
      </c>
      <c r="L9" s="203" t="s">
        <v>76</v>
      </c>
      <c r="M9" s="205">
        <f>K9+6</f>
        <v>45117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45118</v>
      </c>
      <c r="L19" s="203" t="s">
        <v>76</v>
      </c>
      <c r="M19" s="205">
        <f>K19+6</f>
        <v>45124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45125</v>
      </c>
      <c r="L29" s="203" t="s">
        <v>76</v>
      </c>
      <c r="M29" s="205">
        <f>K29+6</f>
        <v>45131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45132</v>
      </c>
      <c r="L39" s="203" t="s">
        <v>76</v>
      </c>
      <c r="M39" s="205">
        <f>K39+6</f>
        <v>45138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DATE(2023,7,1)</f>
        <v>45108</v>
      </c>
      <c r="L49" s="203" t="s">
        <v>76</v>
      </c>
      <c r="M49" s="205">
        <f>DATE(2023,7,31)</f>
        <v>45138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45139</v>
      </c>
      <c r="L9" s="203" t="s">
        <v>76</v>
      </c>
      <c r="M9" s="205">
        <f>K9+6</f>
        <v>45145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45146</v>
      </c>
      <c r="L19" s="203" t="s">
        <v>76</v>
      </c>
      <c r="M19" s="205">
        <f>K19+6</f>
        <v>45152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45153</v>
      </c>
      <c r="L29" s="203" t="s">
        <v>76</v>
      </c>
      <c r="M29" s="205">
        <f>K29+6</f>
        <v>45159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45160</v>
      </c>
      <c r="L39" s="203" t="s">
        <v>76</v>
      </c>
      <c r="M39" s="205">
        <f>K39+6</f>
        <v>45166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DATE(2023,8,1)</f>
        <v>45139</v>
      </c>
      <c r="L49" s="203" t="s">
        <v>76</v>
      </c>
      <c r="M49" s="205">
        <f>DATE(2023,8,31)</f>
        <v>45169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45167</v>
      </c>
      <c r="L9" s="203" t="s">
        <v>76</v>
      </c>
      <c r="M9" s="205">
        <f>K9+6</f>
        <v>45173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45174</v>
      </c>
      <c r="L19" s="203" t="s">
        <v>76</v>
      </c>
      <c r="M19" s="205">
        <f>K19+6</f>
        <v>45180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45181</v>
      </c>
      <c r="L29" s="203" t="s">
        <v>76</v>
      </c>
      <c r="M29" s="205">
        <f>K29+6</f>
        <v>45187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45188</v>
      </c>
      <c r="L39" s="203" t="s">
        <v>76</v>
      </c>
      <c r="M39" s="205">
        <f>K39+6</f>
        <v>45194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45195</v>
      </c>
      <c r="L49" s="203" t="s">
        <v>76</v>
      </c>
      <c r="M49" s="205">
        <f>K49+6</f>
        <v>45201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DATE(2023,9,1)</f>
        <v>45170</v>
      </c>
      <c r="L59" s="203" t="s">
        <v>76</v>
      </c>
      <c r="M59" s="205">
        <f>DATE(2023,9,30)</f>
        <v>45199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45202</v>
      </c>
      <c r="L9" s="203" t="s">
        <v>76</v>
      </c>
      <c r="M9" s="205">
        <f>Admin!B188</f>
        <v>45208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45209</v>
      </c>
      <c r="L19" s="203" t="s">
        <v>76</v>
      </c>
      <c r="M19" s="205">
        <f>K19+6</f>
        <v>45215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45216</v>
      </c>
      <c r="L29" s="203" t="s">
        <v>76</v>
      </c>
      <c r="M29" s="205">
        <f>K29+6</f>
        <v>45222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45223</v>
      </c>
      <c r="L39" s="203" t="s">
        <v>76</v>
      </c>
      <c r="M39" s="205">
        <f>K39+6</f>
        <v>45229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DATE(2023,10,1)</f>
        <v>45200</v>
      </c>
      <c r="L49" s="203" t="s">
        <v>76</v>
      </c>
      <c r="M49" s="205">
        <f>DATE(2023,10,31)</f>
        <v>45230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45230</v>
      </c>
      <c r="L9" s="203" t="s">
        <v>76</v>
      </c>
      <c r="M9" s="205">
        <f>K9+6</f>
        <v>45236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45237</v>
      </c>
      <c r="L19" s="203" t="s">
        <v>76</v>
      </c>
      <c r="M19" s="205">
        <f>K19+6</f>
        <v>45243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45244</v>
      </c>
      <c r="L29" s="203" t="s">
        <v>76</v>
      </c>
      <c r="M29" s="205">
        <f>K29+6</f>
        <v>45250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45251</v>
      </c>
      <c r="L39" s="203" t="s">
        <v>76</v>
      </c>
      <c r="M39" s="205">
        <f>K39+6</f>
        <v>45257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DATE(2023,11,1)</f>
        <v>45231</v>
      </c>
      <c r="L49" s="203" t="s">
        <v>76</v>
      </c>
      <c r="M49" s="205">
        <f>DATE(2023,11,30)</f>
        <v>45260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45258</v>
      </c>
      <c r="L9" s="203" t="s">
        <v>76</v>
      </c>
      <c r="M9" s="205">
        <f>K9+6</f>
        <v>45264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45265</v>
      </c>
      <c r="L19" s="203" t="s">
        <v>76</v>
      </c>
      <c r="M19" s="205">
        <f>K19+6</f>
        <v>45271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45272</v>
      </c>
      <c r="L29" s="203" t="s">
        <v>76</v>
      </c>
      <c r="M29" s="205">
        <f>K29+6</f>
        <v>45278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45279</v>
      </c>
      <c r="L39" s="203" t="s">
        <v>76</v>
      </c>
      <c r="M39" s="205">
        <f>K39+6</f>
        <v>45285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45286</v>
      </c>
      <c r="L49" s="203" t="s">
        <v>76</v>
      </c>
      <c r="M49" s="205">
        <f>K49+6</f>
        <v>45292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DATE(2023,12,1)</f>
        <v>45261</v>
      </c>
      <c r="L59" s="203" t="s">
        <v>76</v>
      </c>
      <c r="M59" s="205">
        <f>DATE(2023,12,31)</f>
        <v>45291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45293</v>
      </c>
      <c r="L9" s="203" t="s">
        <v>76</v>
      </c>
      <c r="M9" s="205">
        <f>K9+6</f>
        <v>45299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45300</v>
      </c>
      <c r="L19" s="203" t="s">
        <v>76</v>
      </c>
      <c r="M19" s="205">
        <f>K19+6</f>
        <v>45306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45307</v>
      </c>
      <c r="L29" s="203" t="s">
        <v>76</v>
      </c>
      <c r="M29" s="205">
        <f>K29+6</f>
        <v>45313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45314</v>
      </c>
      <c r="L39" s="203" t="s">
        <v>76</v>
      </c>
      <c r="M39" s="205">
        <f>K39+6</f>
        <v>45320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DATE(2024,1,1)</f>
        <v>45292</v>
      </c>
      <c r="L49" s="203" t="s">
        <v>76</v>
      </c>
      <c r="M49" s="205">
        <f>DATE(2024,1,31)</f>
        <v>45322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45321</v>
      </c>
      <c r="L9" s="203" t="s">
        <v>76</v>
      </c>
      <c r="M9" s="205">
        <f>K9+6</f>
        <v>45327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45328</v>
      </c>
      <c r="L19" s="203" t="s">
        <v>76</v>
      </c>
      <c r="M19" s="205">
        <f>K19+6</f>
        <v>45334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45335</v>
      </c>
      <c r="L29" s="203" t="s">
        <v>76</v>
      </c>
      <c r="M29" s="205">
        <f>K29+6</f>
        <v>45341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45342</v>
      </c>
      <c r="L39" s="203" t="s">
        <v>76</v>
      </c>
      <c r="M39" s="205">
        <f>K39+6</f>
        <v>45348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DATE(2024,2,1)</f>
        <v>45323</v>
      </c>
      <c r="L49" s="203" t="s">
        <v>76</v>
      </c>
      <c r="M49" s="205">
        <f>DATE(2024,2,29)</f>
        <v>45351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45349</v>
      </c>
      <c r="L9" s="203" t="s">
        <v>76</v>
      </c>
      <c r="M9" s="205">
        <f>K9+6</f>
        <v>45355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45356</v>
      </c>
      <c r="L19" s="203" t="s">
        <v>76</v>
      </c>
      <c r="M19" s="205">
        <f>K19+6</f>
        <v>45362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45363</v>
      </c>
      <c r="L29" s="203" t="s">
        <v>76</v>
      </c>
      <c r="M29" s="205">
        <f>K29+6</f>
        <v>45369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45370</v>
      </c>
      <c r="L39" s="203" t="s">
        <v>76</v>
      </c>
      <c r="M39" s="205">
        <f>K39+6</f>
        <v>45376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45377</v>
      </c>
      <c r="L49" s="203" t="s">
        <v>76</v>
      </c>
      <c r="M49" s="205">
        <f>K49+6</f>
        <v>45383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45384</v>
      </c>
      <c r="L59" s="203" t="s">
        <v>76</v>
      </c>
      <c r="M59" s="205">
        <f>K59+4</f>
        <v>45388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DATE(2024,3,1)</f>
        <v>45352</v>
      </c>
      <c r="L69" s="203" t="s">
        <v>76</v>
      </c>
      <c r="M69" s="205">
        <f>DATE(2024,3,31)</f>
        <v>45382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2025-04-03T22:50:03Z</dcterms:modified>
  <dc:description>Copyright (C) 2006-2026 DIY Accounting Limited. Licensed under the PolyForm Internal Use License 1.0.0 with an additional grant for accountants.</dc:description>
</cp:coreProperties>
</file>