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Dec" sheetId="12" r:id="rId2"/>
    <sheet name="Jan" sheetId="11" r:id="rId3"/>
    <sheet name="Feb" sheetId="10" r:id="rId4"/>
    <sheet name="Mar" sheetId="9" r:id="rId5"/>
    <sheet name="Apr" sheetId="8" r:id="rId6"/>
    <sheet name="May" sheetId="17" r:id="rId7"/>
    <sheet name="Jun" sheetId="16" r:id="rId8"/>
    <sheet name="Jul" sheetId="15" r:id="rId9"/>
    <sheet name="Aug" sheetId="14" r:id="rId10"/>
    <sheet name="Sep" sheetId="13" r:id="rId11"/>
    <sheet name="Oct" sheetId="19" r:id="rId12"/>
    <sheet name="Nov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<sst xmlns="http://schemas.openxmlformats.org/spreadsheetml/2006/main" count="1383" uniqueCount="138">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</sst>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Dec!M39+1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IF(T$9="Y",Dec!H41,0)</f>
        <v>0</v>
      </c>
      <c r="I11" s="89">
        <f>IF(T$9="Y",Dec!I41,0)</f>
        <v>0</v>
      </c>
      <c r="J11" s="89">
        <f>IF(T$9="Y",Dec!J41,0)</f>
        <v>0</v>
      </c>
      <c r="K11" s="89">
        <f>IF(T$9="Y",Dec!K41,I11*J11)</f>
        <v>0</v>
      </c>
      <c r="L11" s="110">
        <f>IF(T$9="Y",Dec!L41,0)</f>
        <v>0</v>
      </c>
      <c r="M11" s="110" t="str">
        <f>IF(E11=" "," ",IF(T$9="Y",Dec!M41,IF((H11+K11+L11)&gt;0,H11+K11+L11,"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IF(Employee!H$34=E$9,Employee!D$34+SUM(M11)+Dec!V41,SUM(M11)+Dec!V41)</f>
        <v>0</v>
      </c>
      <c r="W11" s="49">
        <f>IF(Employee!H$34=E$9,Employee!D$35+SUM(N11)+Dec!W41,SUM(N11)+Dec!W41)</f>
        <v>0</v>
      </c>
      <c r="X11" s="49">
        <f>IF(O11=" ",Dec!X41,O11+Dec!X41)</f>
        <v>0</v>
      </c>
      <c r="Y11" s="49">
        <f>IF(P11=" ",Dec!Y41,P11+Dec!Y41)</f>
        <v>0</v>
      </c>
      <c r="Z11" s="49">
        <f>IF(Q11=" ",Dec!Z41,Q11+Dec!Z41)</f>
        <v>0</v>
      </c>
      <c r="AA11" s="49">
        <f>IF(R11=" ",Dec!AA41,R11+Dec!AA41)</f>
        <v>0</v>
      </c>
      <c r="AC11" s="49">
        <f>IF(T11=" ",Dec!AC41,T11+Dec!AC41)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IF(T$9="Y",Dec!H42,0)</f>
        <v>0</v>
      </c>
      <c r="I12" s="92">
        <f>IF(T$9="Y",Dec!I42,0)</f>
        <v>0</v>
      </c>
      <c r="J12" s="92">
        <f>IF(T$9="Y",Dec!J42,0)</f>
        <v>0</v>
      </c>
      <c r="K12" s="92">
        <f>IF(T$9="Y",Dec!K42,I12*J12)</f>
        <v>0</v>
      </c>
      <c r="L12" s="111">
        <f>IF(T$9="Y",Dec!L42,0)</f>
        <v>0</v>
      </c>
      <c r="M12" s="111" t="str">
        <f>IF(E12=" "," ",IF(T$9="Y",Dec!M42,IF((H12+K12+L12)&gt;0,H12+K12+L12,"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IF(Employee!H$60=E$9,Employee!D$60+SUM(M12)+Dec!V42,SUM(M12)+Dec!V42)</f>
        <v>0</v>
      </c>
      <c r="W12" s="49">
        <f>IF(Employee!H$60=E$9,Employee!D$61+SUM(N12)+Dec!W42,SUM(N12)+Dec!W42)</f>
        <v>0</v>
      </c>
      <c r="X12" s="49">
        <f>IF(O12=" ",Dec!X42,O12+Dec!X42)</f>
        <v>0</v>
      </c>
      <c r="Y12" s="49">
        <f>IF(P12=" ",Dec!Y42,P12+Dec!Y42)</f>
        <v>0</v>
      </c>
      <c r="Z12" s="49">
        <f>IF(Q12=" ",Dec!Z42,Q12+Dec!Z42)</f>
        <v>0</v>
      </c>
      <c r="AA12" s="49">
        <f>IF(R12=" ",Dec!AA42,R12+Dec!AA42)</f>
        <v>0</v>
      </c>
      <c r="AC12" s="49">
        <f>IF(T12=" ",Dec!AC42,T12+Dec!AC42)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IF(T$9="Y",Dec!H43,0)</f>
        <v>0</v>
      </c>
      <c r="I13" s="92">
        <f>IF(T$9="Y",Dec!I43,0)</f>
        <v>0</v>
      </c>
      <c r="J13" s="92">
        <f>IF(T$9="Y",Dec!J43,0)</f>
        <v>0</v>
      </c>
      <c r="K13" s="92">
        <f>IF(T$9="Y",Dec!K43,I13*J13)</f>
        <v>0</v>
      </c>
      <c r="L13" s="111">
        <f>IF(T$9="Y",Dec!L43,0)</f>
        <v>0</v>
      </c>
      <c r="M13" s="111" t="str">
        <f>IF(E13=" "," ",IF(T$9="Y",Dec!M43,IF((H13+K13+L13)&gt;0,H13+K13+L13,"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IF(Employee!H$86=E$9,Employee!D$86+SUM(M13)+Dec!V43,SUM(M13)+Dec!V43)</f>
        <v>0</v>
      </c>
      <c r="W13" s="49">
        <f>IF(Employee!H$86=E$9,Employee!D$87+SUM(N13)+Dec!W43,SUM(N13)+Dec!W43)</f>
        <v>0</v>
      </c>
      <c r="X13" s="49">
        <f>IF(O13=" ",Dec!X43,O13+Dec!X43)</f>
        <v>0</v>
      </c>
      <c r="Y13" s="49">
        <f>IF(P13=" ",Dec!Y43,P13+Dec!Y43)</f>
        <v>0</v>
      </c>
      <c r="Z13" s="49">
        <f>IF(Q13=" ",Dec!Z43,Q13+Dec!Z43)</f>
        <v>0</v>
      </c>
      <c r="AA13" s="49">
        <f>IF(R13=" ",Dec!AA43,R13+Dec!AA43)</f>
        <v>0</v>
      </c>
      <c r="AC13" s="49">
        <f>IF(T13=" ",Dec!AC43,T13+Dec!AC43)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IF(T$9="Y",Dec!H44,0)</f>
        <v>0</v>
      </c>
      <c r="I14" s="92">
        <f>IF(T$9="Y",Dec!I44,0)</f>
        <v>0</v>
      </c>
      <c r="J14" s="92">
        <f>IF(T$9="Y",Dec!J44,0)</f>
        <v>0</v>
      </c>
      <c r="K14" s="92">
        <f>IF(T$9="Y",Dec!K44,I14*J14)</f>
        <v>0</v>
      </c>
      <c r="L14" s="111">
        <f>IF(T$9="Y",Dec!L44,0)</f>
        <v>0</v>
      </c>
      <c r="M14" s="111" t="str">
        <f>IF(E14=" "," ",IF(T$9="Y",Dec!M44,IF((H14+K14+L14)&gt;0,H14+K14+L14,"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IF(Employee!H$112=E$9,Employee!D$112+SUM(M14)+Dec!V44,SUM(M14)+Dec!V44)</f>
        <v>0</v>
      </c>
      <c r="W14" s="49">
        <f>IF(Employee!H$112=E$9,Employee!D$113+SUM(N14)+Dec!W44,SUM(N14)+Dec!W44)</f>
        <v>0</v>
      </c>
      <c r="X14" s="49">
        <f>IF(O14=" ",Dec!X44,O14+Dec!X44)</f>
        <v>0</v>
      </c>
      <c r="Y14" s="49">
        <f>IF(P14=" ",Dec!Y44,P14+Dec!Y44)</f>
        <v>0</v>
      </c>
      <c r="Z14" s="49">
        <f>IF(Q14=" ",Dec!Z44,Q14+Dec!Z44)</f>
        <v>0</v>
      </c>
      <c r="AA14" s="49">
        <f>IF(R14=" ",Dec!AA44,R14+Dec!AA44)</f>
        <v>0</v>
      </c>
      <c r="AC14" s="49">
        <f>IF(T14=" ",Dec!AC44,T14+Dec!AC44)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IF(T$9="Y",Dec!H45,0)</f>
        <v>0</v>
      </c>
      <c r="I15" s="245">
        <f>IF(T$9="Y",Dec!I45,0)</f>
        <v>0</v>
      </c>
      <c r="J15" s="245">
        <f>IF(T$9="Y",Dec!J45,0)</f>
        <v>0</v>
      </c>
      <c r="K15" s="245">
        <f>IF(T$9="Y",Dec!K45,I15*J15)</f>
        <v>0</v>
      </c>
      <c r="L15" s="246">
        <f>IF(T$9="Y",Dec!L45,0)</f>
        <v>0</v>
      </c>
      <c r="M15" s="111" t="str">
        <f>IF(E15=" "," ",IF(T$9="Y",Dec!M45,IF((H15+K15+L15)&gt;0,H15+K15+L15,"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IF(Employee!H$138=E$9,Employee!D$138+SUM(M15)+Dec!V45,SUM(M15)+Dec!V45)</f>
        <v>0</v>
      </c>
      <c r="W15" s="49">
        <f>IF(Employee!H$138=E$9,Employee!D$139+SUM(N15)+Dec!W45,SUM(N15)+Dec!W45)</f>
        <v>0</v>
      </c>
      <c r="X15" s="49">
        <f>IF(O15=" ",Dec!X45,O15+Dec!X45)</f>
        <v>0</v>
      </c>
      <c r="Y15" s="49">
        <f>IF(P15=" ",Dec!Y45,P15+Dec!Y45)</f>
        <v>0</v>
      </c>
      <c r="Z15" s="49">
        <f>IF(Q15=" ",Dec!Z45,Q15+Dec!Z45)</f>
        <v>0</v>
      </c>
      <c r="AA15" s="49">
        <f>IF(R15=" ",Dec!AA45,R15+Dec!AA45)</f>
        <v>0</v>
      </c>
      <c r="AC15" s="49">
        <f>IF(T15=" ",Dec!AC45,T15+Dec!AC45)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IF(T$49="Y",Dec!H51,0)</f>
        <v>0</v>
      </c>
      <c r="I51" s="89">
        <f>IF(T$49="Y",Dec!I51,0)</f>
        <v>0</v>
      </c>
      <c r="J51" s="89">
        <f>IF(T$49="Y",Dec!J51,0)</f>
        <v>0</v>
      </c>
      <c r="K51" s="89">
        <f>IF(T$49="Y",Dec!K51,I51*J51)</f>
        <v>0</v>
      </c>
      <c r="L51" s="110">
        <f>IF(T$49="Y",Dec!L51,0)</f>
        <v>0</v>
      </c>
      <c r="M51" s="99" t="str">
        <f>IF(E51=" "," ",IF(T$49="Y",Dec!M51,IF((H51+K51+L51)&gt;0,H51+K51+L51,"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IF(Employee!H$35=E$49,Employee!D$34+SUM(M51)+Dec!V51,SUM(M51)+Dec!V51)</f>
        <v>0</v>
      </c>
      <c r="W51" s="49">
        <f>IF(Employee!H$35=E$49,Employee!D$35+SUM(N51)+Dec!W51,SUM(N51)+Dec!W51)</f>
        <v>0</v>
      </c>
      <c r="X51" s="49">
        <f>IF(O51=" ",Dec!X51,O51+Dec!X51)</f>
        <v>0</v>
      </c>
      <c r="Y51" s="49">
        <f>IF(P51=" ",Dec!Y51,P51+Dec!Y51)</f>
        <v>0</v>
      </c>
      <c r="Z51" s="49">
        <f>IF(Q51=" ",Dec!Z51,Q51+Dec!Z51)</f>
        <v>0</v>
      </c>
      <c r="AA51" s="49">
        <f>IF(R51=" ",Dec!AA51,R51+Dec!AA51)</f>
        <v>0</v>
      </c>
      <c r="AC51" s="49">
        <f>IF(T51=" ",Dec!AC51,T51+Dec!AC51)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IF(T$49="Y",Dec!H52,0)</f>
        <v>0</v>
      </c>
      <c r="I52" s="92">
        <f>IF(T$49="Y",Dec!I52,0)</f>
        <v>0</v>
      </c>
      <c r="J52" s="92">
        <f>IF(T$49="Y",Dec!J52,0)</f>
        <v>0</v>
      </c>
      <c r="K52" s="92">
        <f>IF(T$49="Y",Dec!K52,I52*J52)</f>
        <v>0</v>
      </c>
      <c r="L52" s="111">
        <f>IF(T$49="Y",Dec!L52,0)</f>
        <v>0</v>
      </c>
      <c r="M52" s="100" t="str">
        <f>IF(E52=" "," ",IF(T$49="Y",Dec!M52,IF((H52+K52+L52)&gt;0,H52+K52+L52,"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IF(Employee!H$61=E$49,Employee!D$60+SUM(M52)+Dec!V52,SUM(M52)+Dec!V52)</f>
        <v>0</v>
      </c>
      <c r="W52" s="49">
        <f>IF(Employee!H$61=E$49,Employee!D$61+SUM(N52)+Dec!W52,SUM(N52)+Dec!W52)</f>
        <v>0</v>
      </c>
      <c r="X52" s="49">
        <f>IF(O52=" ",Dec!X52,O52+Dec!X52)</f>
        <v>0</v>
      </c>
      <c r="Y52" s="49">
        <f>IF(P52=" ",Dec!Y52,P52+Dec!Y52)</f>
        <v>0</v>
      </c>
      <c r="Z52" s="49">
        <f>IF(Q52=" ",Dec!Z52,Q52+Dec!Z52)</f>
        <v>0</v>
      </c>
      <c r="AA52" s="49">
        <f>IF(R52=" ",Dec!AA52,R52+Dec!AA52)</f>
        <v>0</v>
      </c>
      <c r="AC52" s="49">
        <f>IF(T52=" ",Dec!AC52,T52+Dec!AC52)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IF(T$49="Y",Dec!H53,0)</f>
        <v>0</v>
      </c>
      <c r="I53" s="92">
        <f>IF(T$49="Y",Dec!I53,0)</f>
        <v>0</v>
      </c>
      <c r="J53" s="92">
        <f>IF(T$49="Y",Dec!J53,0)</f>
        <v>0</v>
      </c>
      <c r="K53" s="92">
        <f>IF(T$49="Y",Dec!K53,I53*J53)</f>
        <v>0</v>
      </c>
      <c r="L53" s="111">
        <f>IF(T$49="Y",Dec!L53,0)</f>
        <v>0</v>
      </c>
      <c r="M53" s="100" t="str">
        <f>IF(E53=" "," ",IF(T$49="Y",Dec!M53,IF((H53+K53+L53)&gt;0,H53+K53+L53,"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IF(Employee!H$87=E$49,Employee!D$86+SUM(M53)+Dec!V53,SUM(M53)+Dec!V53)</f>
        <v>0</v>
      </c>
      <c r="W53" s="49">
        <f>IF(Employee!H$87=E$49,Employee!D$7+SUM(N53)+Dec!W53,SUM(N53)+Dec!W53)</f>
        <v>0</v>
      </c>
      <c r="X53" s="49">
        <f>IF(O53=" ",Dec!X53,O53+Dec!X53)</f>
        <v>0</v>
      </c>
      <c r="Y53" s="49">
        <f>IF(P53=" ",Dec!Y53,P53+Dec!Y53)</f>
        <v>0</v>
      </c>
      <c r="Z53" s="49">
        <f>IF(Q53=" ",Dec!Z53,Q53+Dec!Z53)</f>
        <v>0</v>
      </c>
      <c r="AA53" s="49">
        <f>IF(R53=" ",Dec!AA53,R53+Dec!AA53)</f>
        <v>0</v>
      </c>
      <c r="AC53" s="49">
        <f>IF(T53=" ",Dec!AC53,T53+Dec!AC53)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IF(T$49="Y",Dec!H54,0)</f>
        <v>0</v>
      </c>
      <c r="I54" s="92">
        <f>IF(T$49="Y",Dec!I54,0)</f>
        <v>0</v>
      </c>
      <c r="J54" s="92">
        <f>IF(T$49="Y",Dec!J54,0)</f>
        <v>0</v>
      </c>
      <c r="K54" s="92">
        <f>IF(T$49="Y",Dec!K54,I54*J54)</f>
        <v>0</v>
      </c>
      <c r="L54" s="111">
        <f>IF(T$49="Y",Dec!L54,0)</f>
        <v>0</v>
      </c>
      <c r="M54" s="100" t="str">
        <f>IF(E54=" "," ",IF(T$49="Y",Dec!M54,IF((H54+K54+L54)&gt;0,H54+K54+L54,"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IF(Employee!H$113=E$49,Employee!D$112+SUM(M54)+Dec!V54,SUM(M54)+Dec!V54)</f>
        <v>0</v>
      </c>
      <c r="W54" s="49">
        <f>IF(Employee!H$113=E$49,Employee!D$113+SUM(N54)+Dec!W54,SUM(N54)+Dec!W54)</f>
        <v>0</v>
      </c>
      <c r="X54" s="49">
        <f>IF(O54=" ",Dec!X54,O54+Dec!X54)</f>
        <v>0</v>
      </c>
      <c r="Y54" s="49">
        <f>IF(P54=" ",Dec!Y54,P54+Dec!Y54)</f>
        <v>0</v>
      </c>
      <c r="Z54" s="49">
        <f>IF(Q54=" ",Dec!Z54,Q54+Dec!Z54)</f>
        <v>0</v>
      </c>
      <c r="AA54" s="49">
        <f>IF(R54=" ",Dec!AA54,R54+Dec!AA54)</f>
        <v>0</v>
      </c>
      <c r="AC54" s="49">
        <f>IF(T54=" ",Dec!AC54,T54+Dec!AC54)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IF(T$49="Y",Dec!H55,0)</f>
        <v>0</v>
      </c>
      <c r="I55" s="245">
        <f>IF(T$49="Y",Dec!I55,0)</f>
        <v>0</v>
      </c>
      <c r="J55" s="245">
        <f>IF(T$49="Y",Dec!J55,0)</f>
        <v>0</v>
      </c>
      <c r="K55" s="245">
        <f>IF(T$49="Y",Dec!K55,I55*J55)</f>
        <v>0</v>
      </c>
      <c r="L55" s="246">
        <f>IF(T$49="Y",Dec!L55,0)</f>
        <v>0</v>
      </c>
      <c r="M55" s="100" t="str">
        <f>IF(E55=" "," ",IF(T$49="Y",Dec!M55,IF((H55+K55+L55)&gt;0,H55+K55+L55,"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IF(Employee!H$139=E$49,Employee!D$138+SUM(M55)+Dec!V55,SUM(M55)+Dec!V55)</f>
        <v>0</v>
      </c>
      <c r="W55" s="49">
        <f>IF(Employee!H$139=E$49,Employee!D$139+SUM(N55)+Dec!W55,SUM(N55)+Dec!W55)</f>
        <v>0</v>
      </c>
      <c r="X55" s="49">
        <f>IF(O55=" ",Dec!X55,O55+Dec!X55)</f>
        <v>0</v>
      </c>
      <c r="Y55" s="49">
        <f>IF(P55=" ",Dec!Y55,P55+Dec!Y55)</f>
        <v>0</v>
      </c>
      <c r="Z55" s="49">
        <f>IF(Q55=" ",Dec!Z55,Q55+Dec!Z55)</f>
        <v>0</v>
      </c>
      <c r="AA55" s="49">
        <f>IF(R55=" ",Dec!AA55,R55+Dec!AA55)</f>
        <v>0</v>
      </c>
      <c r="AC55" s="49">
        <f>IF(T55=" ",Dec!AC55,T55+Dec!AC55)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AD60+Dec!AD65</f>
        <v>0</v>
      </c>
      <c r="AE65" s="158">
        <f>AE60+Dec!AE65</f>
        <v>0</v>
      </c>
      <c r="AF65" s="158">
        <f>AF60+Dec!AF65</f>
        <v>0</v>
      </c>
      <c r="AG65" s="158">
        <f>AG60+Dec!AG65</f>
        <v>0</v>
      </c>
    </row>
    <row r="66" spans="6:33" ht="14" thickTop="1" x14ac:dyDescent="0.15"/>
    <row r="67" spans="6:33" x14ac:dyDescent="0.15">
      <c r="AD67" s="162"/>
      <c r="AE67" s="158">
        <f>AE62+Dec!AE67</f>
        <v>0</v>
      </c>
      <c r="AF67" s="158">
        <f>AF62+Dec!AF67</f>
        <v>0</v>
      </c>
      <c r="AG67" s="158">
        <f>AG62+Dec!AG67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Jan!M39+1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IF(T$59="Y",Jan!H51,0)</f>
        <v>0</v>
      </c>
      <c r="I61" s="89">
        <f>IF(T$59="Y",Jan!I51,0)</f>
        <v>0</v>
      </c>
      <c r="J61" s="89">
        <f>IF(T$59="Y",Jan!J51,0)</f>
        <v>0</v>
      </c>
      <c r="K61" s="89">
        <f>IF(T$59="Y",Jan!K51,I61*J61)</f>
        <v>0</v>
      </c>
      <c r="L61" s="110">
        <f>IF(T$59="Y",Jan!L51,0)</f>
        <v>0</v>
      </c>
      <c r="M61" s="99" t="str">
        <f>IF(E61=" "," ",IF(T$59="Y",Jan!M51,IF((H61+K61+L61)&gt;0,H61+K61+L61,"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IF(Employee!H$35=E$59,Employee!D$34+SUM(M61)+Jan!V51,SUM(M61)+Jan!V51)</f>
        <v>0</v>
      </c>
      <c r="W61" s="49">
        <f>IF(Employee!H$35=E$59,Employee!D$35+SUM(N61)+Jan!W51,SUM(N61)+Jan!W51)</f>
        <v>0</v>
      </c>
      <c r="X61" s="49">
        <f>IF(O61=" ",Jan!X51,O61+Jan!X51)</f>
        <v>0</v>
      </c>
      <c r="Y61" s="49">
        <f>IF(P61=" ",Jan!Y51,P61+Jan!Y51)</f>
        <v>0</v>
      </c>
      <c r="Z61" s="49">
        <f>IF(Q61=" ",Jan!Z51,Q61+Jan!Z51)</f>
        <v>0</v>
      </c>
      <c r="AA61" s="49">
        <f>IF(R61=" ",Jan!AA51,R61+Jan!AA51)</f>
        <v>0</v>
      </c>
      <c r="AC61" s="49">
        <f>IF(T61=" ",Jan!AC51,T61+Jan!AC51)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IF(T$59="Y",Jan!H52,0)</f>
        <v>0</v>
      </c>
      <c r="I62" s="92">
        <f>IF(T$59="Y",Jan!I52,0)</f>
        <v>0</v>
      </c>
      <c r="J62" s="92">
        <f>IF(T$59="Y",Jan!J52,0)</f>
        <v>0</v>
      </c>
      <c r="K62" s="92">
        <f>IF(T$59="Y",Jan!K52,I62*J62)</f>
        <v>0</v>
      </c>
      <c r="L62" s="111">
        <f>IF(T$59="Y",Jan!L52,0)</f>
        <v>0</v>
      </c>
      <c r="M62" s="100" t="str">
        <f>IF(E62=" "," ",IF(T$59="Y",Jan!M52,IF((H62+K62+L62)&gt;0,H62+K62+L62,"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IF(Employee!H$61=E$59,Employee!D$60+SUM(M62)+Jan!V52,SUM(M62)+Jan!V52)</f>
        <v>0</v>
      </c>
      <c r="W62" s="49">
        <f>IF(Employee!H$61=E$59,Employee!D$61+SUM(N62)+Jan!W52,SUM(N62)+Jan!W52)</f>
        <v>0</v>
      </c>
      <c r="X62" s="49">
        <f>IF(O62=" ",Jan!X52,O62+Jan!X52)</f>
        <v>0</v>
      </c>
      <c r="Y62" s="49">
        <f>IF(P62=" ",Jan!Y52,P62+Jan!Y52)</f>
        <v>0</v>
      </c>
      <c r="Z62" s="49">
        <f>IF(Q62=" ",Jan!Z52,Q62+Jan!Z52)</f>
        <v>0</v>
      </c>
      <c r="AA62" s="49">
        <f>IF(R62=" ",Jan!AA52,R62+Jan!AA52)</f>
        <v>0</v>
      </c>
      <c r="AC62" s="49">
        <f>IF(T62=" ",Jan!AC52,T62+Jan!AC52)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IF(T$59="Y",Jan!H53,0)</f>
        <v>0</v>
      </c>
      <c r="I63" s="92">
        <f>IF(T$59="Y",Jan!I53,0)</f>
        <v>0</v>
      </c>
      <c r="J63" s="92">
        <f>IF(T$59="Y",Jan!J53,0)</f>
        <v>0</v>
      </c>
      <c r="K63" s="92">
        <f>IF(T$59="Y",Jan!K53,I63*J63)</f>
        <v>0</v>
      </c>
      <c r="L63" s="111">
        <f>IF(T$59="Y",Jan!L53,0)</f>
        <v>0</v>
      </c>
      <c r="M63" s="100" t="str">
        <f>IF(E63=" "," ",IF(T$59="Y",Jan!M53,IF((H63+K63+L63)&gt;0,H63+K63+L63,"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IF(Employee!H$87=E$59,Employee!D$86+SUM(M63)+Jan!V53,SUM(M63)+Jan!V53)</f>
        <v>0</v>
      </c>
      <c r="W63" s="49">
        <f>IF(Employee!H$87=E$59,Employee!D$87+SUM(N63)+Jan!W53,SUM(N63)+Jan!W53)</f>
        <v>0</v>
      </c>
      <c r="X63" s="49">
        <f>IF(O63=" ",Jan!X53,O63+Jan!X53)</f>
        <v>0</v>
      </c>
      <c r="Y63" s="49">
        <f>IF(P63=" ",Jan!Y53,P63+Jan!Y53)</f>
        <v>0</v>
      </c>
      <c r="Z63" s="49">
        <f>IF(Q63=" ",Jan!Z53,Q63+Jan!Z53)</f>
        <v>0</v>
      </c>
      <c r="AA63" s="49">
        <f>IF(R63=" ",Jan!AA53,R63+Jan!AA53)</f>
        <v>0</v>
      </c>
      <c r="AC63" s="49">
        <f>IF(T63=" ",Jan!AC53,T63+Jan!AC53)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IF(T$59="Y",Jan!H54,0)</f>
        <v>0</v>
      </c>
      <c r="I64" s="92">
        <f>IF(T$59="Y",Jan!I54,0)</f>
        <v>0</v>
      </c>
      <c r="J64" s="92">
        <f>IF(T$59="Y",Jan!J54,0)</f>
        <v>0</v>
      </c>
      <c r="K64" s="92">
        <f>IF(T$59="Y",Jan!K54,I64*J64)</f>
        <v>0</v>
      </c>
      <c r="L64" s="111">
        <f>IF(T$59="Y",Jan!L54,0)</f>
        <v>0</v>
      </c>
      <c r="M64" s="100" t="str">
        <f>IF(E64=" "," ",IF(T$59="Y",Jan!M54,IF((H64+K64+L64)&gt;0,H64+K64+L64,"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IF(Employee!H$113=E$59,Employee!D$112+SUM(M64)+Jan!V54,SUM(M64)+Jan!V54)</f>
        <v>0</v>
      </c>
      <c r="W64" s="49">
        <f>IF(Employee!H$113=E$59,Employee!D$113+SUM(N64)+Jan!W54,SUM(N64)+Jan!W54)</f>
        <v>0</v>
      </c>
      <c r="X64" s="49">
        <f>IF(O64=" ",Jan!X54,O64+Jan!X54)</f>
        <v>0</v>
      </c>
      <c r="Y64" s="49">
        <f>IF(P64=" ",Jan!Y54,P64+Jan!Y54)</f>
        <v>0</v>
      </c>
      <c r="Z64" s="49">
        <f>IF(Q64=" ",Jan!Z54,Q64+Jan!Z54)</f>
        <v>0</v>
      </c>
      <c r="AA64" s="49">
        <f>IF(R64=" ",Jan!AA54,R64+Jan!AA54)</f>
        <v>0</v>
      </c>
      <c r="AC64" s="49">
        <f>IF(T64=" ",Jan!AC54,T64+Jan!AC54)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IF(T$59="Y",Jan!H55,0)</f>
        <v>0</v>
      </c>
      <c r="I65" s="245">
        <f>IF(T$59="Y",Jan!I55,0)</f>
        <v>0</v>
      </c>
      <c r="J65" s="245">
        <f>IF(T$59="Y",Jan!J55,0)</f>
        <v>0</v>
      </c>
      <c r="K65" s="245">
        <f>IF(T$59="Y",Jan!K55,I65*J65)</f>
        <v>0</v>
      </c>
      <c r="L65" s="246">
        <f>IF(T$59="Y",Jan!L55,0)</f>
        <v>0</v>
      </c>
      <c r="M65" s="100" t="str">
        <f>IF(E65=" "," ",IF(T$59="Y",Jan!M55,IF((H65+K65+L65)&gt;0,H65+K65+L65,"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IF(Employee!H$139=E$59,Employee!D$138+SUM(M65)+Jan!V55,SUM(M65)+Jan!V55)</f>
        <v>0</v>
      </c>
      <c r="W65" s="49">
        <f>IF(Employee!H$139=E$59,Employee!D$139+SUM(N65)+Jan!W55,SUM(N65)+Jan!W55)</f>
        <v>0</v>
      </c>
      <c r="X65" s="49">
        <f>IF(O65=" ",Jan!X55,O65+Jan!X55)</f>
        <v>0</v>
      </c>
      <c r="Y65" s="49">
        <f>IF(P65=" ",Jan!Y55,P65+Jan!Y55)</f>
        <v>0</v>
      </c>
      <c r="Z65" s="49">
        <f>IF(Q65=" ",Jan!Z55,Q65+Jan!Z55)</f>
        <v>0</v>
      </c>
      <c r="AA65" s="49">
        <f>IF(R65=" ",Jan!AA55,R65+Jan!AA55)</f>
        <v>0</v>
      </c>
      <c r="AC65" s="49">
        <f>IF(T65=" ",Jan!AC55,T65+Jan!AC55)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AD70+Jan!AD65</f>
        <v>0</v>
      </c>
      <c r="AE75" s="158">
        <f>AE70+Jan!AE65</f>
        <v>0</v>
      </c>
      <c r="AF75" s="158">
        <f>AF70+Jan!AF65</f>
        <v>0</v>
      </c>
      <c r="AG75" s="158">
        <f>AG70+Jan!AG65</f>
        <v>0</v>
      </c>
    </row>
    <row r="76" spans="1:34" ht="14" thickTop="1" x14ac:dyDescent="0.15"/>
    <row r="77" spans="1:34" x14ac:dyDescent="0.15">
      <c r="AD77" s="162"/>
      <c r="AE77" s="158">
        <f>AE72+Jan!AE67</f>
        <v>0</v>
      </c>
      <c r="AF77" s="158">
        <f>AF72+Jan!AF67</f>
        <v>0</v>
      </c>
      <c r="AG77" s="158">
        <f>AG72+Jan!AG67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89">
        <f>IF(T$9="Y",Feb!L41,0)</f>
        <v>0</v>
      </c>
      <c r="M11" s="99" t="str">
        <f>IF(E11=" "," ",IF(T$9="Y",Feb!M41,IF((H11+K11+L11)&gt;0,H11+K11+L11,"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IF(Employee!H$34=E$9,Employee!D$34+SUM(M11)+Feb!V51,SUM(M11)+Feb!V51)</f>
        <v>0</v>
      </c>
      <c r="W11" s="49">
        <f>IF(Employee!H$34=E$9,Employee!D$35+SUM(N11)+Feb!W51,SUM(N11)+Feb!W51)</f>
        <v>0</v>
      </c>
      <c r="X11" s="49">
        <f>IF(O11=" ",Feb!X51,O11+Feb!X51)</f>
        <v>0</v>
      </c>
      <c r="Y11" s="49">
        <f>IF(P11=" ",Feb!Y51,P11+Feb!Y51)</f>
        <v>0</v>
      </c>
      <c r="Z11" s="49">
        <f>IF(Q11=" ",Feb!Z51,Q11+Feb!Z51)</f>
        <v>0</v>
      </c>
      <c r="AA11" s="49">
        <f>IF(R11=" ",Feb!AA51,R11+Feb!AA51)</f>
        <v>0</v>
      </c>
      <c r="AC11" s="49">
        <f>IF(T11=" ",Feb!AC51,T11+Feb!AC51)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92">
        <f>IF(T$9="Y",Feb!L42,0)</f>
        <v>0</v>
      </c>
      <c r="M12" s="100" t="str">
        <f>IF(E12=" "," ",IF(T$9="Y",Feb!M42,IF((H12+K12+L12)&gt;0,H12+K12+L12,"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IF(Employee!H$60=E$9,Employee!D$60+SUM(M12)+Feb!V52,SUM(M12)+Feb!V52)</f>
        <v>0</v>
      </c>
      <c r="W12" s="49">
        <f>IF(Employee!H$60=E$9,Employee!D$61+SUM(N12)+Feb!W52,SUM(N12)+Feb!W52)</f>
        <v>0</v>
      </c>
      <c r="X12" s="49">
        <f>IF(O12=" ",Feb!X52,O12+Feb!X52)</f>
        <v>0</v>
      </c>
      <c r="Y12" s="49">
        <f>IF(P12=" ",Feb!Y52,P12+Feb!Y52)</f>
        <v>0</v>
      </c>
      <c r="Z12" s="49">
        <f>IF(Q12=" ",Feb!Z52,Q12+Feb!Z52)</f>
        <v>0</v>
      </c>
      <c r="AA12" s="49">
        <f>IF(R12=" ",Feb!AA52,R12+Feb!AA52)</f>
        <v>0</v>
      </c>
      <c r="AC12" s="49">
        <f>IF(T12=" ",Feb!AC52,T12+Feb!AC52)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92">
        <f>IF(T$9="Y",Feb!L43,0)</f>
        <v>0</v>
      </c>
      <c r="M13" s="100" t="str">
        <f>IF(E13=" "," ",IF(T$9="Y",Feb!M43,IF((H13+K13+L13)&gt;0,H13+K13+L13,"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IF(Employee!H$86=E$9,Employee!D$86+SUM(M13)+Feb!V53,SUM(M13)+Feb!V53)</f>
        <v>0</v>
      </c>
      <c r="W13" s="49">
        <f>IF(Employee!H$86=E$9,Employee!D$87+SUM(N13)+Feb!W53,SUM(N13)+Feb!W53)</f>
        <v>0</v>
      </c>
      <c r="X13" s="49">
        <f>IF(O13=" ",Feb!X53,O13+Feb!X53)</f>
        <v>0</v>
      </c>
      <c r="Y13" s="49">
        <f>IF(P13=" ",Feb!Y53,P13+Feb!Y53)</f>
        <v>0</v>
      </c>
      <c r="Z13" s="49">
        <f>IF(Q13=" ",Feb!Z53,Q13+Feb!Z53)</f>
        <v>0</v>
      </c>
      <c r="AA13" s="49">
        <f>IF(R13=" ",Feb!AA53,R13+Feb!AA53)</f>
        <v>0</v>
      </c>
      <c r="AC13" s="49">
        <f>IF(T13=" ",Feb!AC53,T13+Feb!AC53)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92">
        <f>IF(T$9="Y",Feb!L44,0)</f>
        <v>0</v>
      </c>
      <c r="M14" s="100" t="str">
        <f>IF(E14=" "," ",IF(T$9="Y",Feb!M44,IF((H14+K14+L14)&gt;0,H14+K14+L14,"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IF(Employee!H$112=E$9,Employee!D$112+SUM(M14)+Feb!V54,SUM(M14)+Feb!V54)</f>
        <v>0</v>
      </c>
      <c r="W14" s="49">
        <f>IF(Employee!H$112=E$9,Employee!D$113+SUM(N14)+Feb!W54,SUM(N14)+Feb!W54)</f>
        <v>0</v>
      </c>
      <c r="X14" s="49">
        <f>IF(O14=" ",Feb!X54,O14+Feb!X54)</f>
        <v>0</v>
      </c>
      <c r="Y14" s="49">
        <f>IF(P14=" ",Feb!Y54,P14+Feb!Y54)</f>
        <v>0</v>
      </c>
      <c r="Z14" s="49">
        <f>IF(Q14=" ",Feb!Z54,Q14+Feb!Z54)</f>
        <v>0</v>
      </c>
      <c r="AA14" s="49">
        <f>IF(R14=" ",Feb!AA54,R14+Feb!AA54)</f>
        <v>0</v>
      </c>
      <c r="AC14" s="49">
        <f>IF(T14=" ",Feb!AC54,T14+Feb!AC54)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5">
        <f>IF(T$9="Y",Feb!L45,0)</f>
        <v>0</v>
      </c>
      <c r="M15" s="247" t="str">
        <f>IF(E15=" "," ",IF(T$9="Y",Feb!M45,IF((H15+K15+L15)&gt;0,H15+K15+L15,"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IF(Employee!H$138=E$9,Employee!D$138+SUM(M15)+Feb!V55,SUM(M15)+Feb!V55)</f>
        <v>0</v>
      </c>
      <c r="W15" s="49">
        <f>IF(Employee!H$138=E$9,Employee!D$139+SUM(N15)+Feb!W55,SUM(N15)+Feb!W55)</f>
        <v>0</v>
      </c>
      <c r="X15" s="49">
        <f>IF(O15=" ",Feb!X55,O15+Feb!X55)</f>
        <v>0</v>
      </c>
      <c r="Y15" s="49">
        <f>IF(P15=" ",Feb!Y55,P15+Feb!Y55)</f>
        <v>0</v>
      </c>
      <c r="Z15" s="49">
        <f>IF(Q15=" ",Feb!Z55,Q15+Feb!Z55)</f>
        <v>0</v>
      </c>
      <c r="AA15" s="49">
        <f>IF(R15=" ",Feb!AA55,R15+Feb!AA55)</f>
        <v>0</v>
      </c>
      <c r="AC15" s="49">
        <f>IF(T15=" ",Feb!AC55,T15+Feb!AC55)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IF(T$49="Y",Feb!H61,0)</f>
        <v>0</v>
      </c>
      <c r="I51" s="89">
        <f>IF(T$49="Y",Feb!I61,0)</f>
        <v>0</v>
      </c>
      <c r="J51" s="89">
        <f>IF(T$49="Y",Feb!J61,0)</f>
        <v>0</v>
      </c>
      <c r="K51" s="89">
        <f>IF(T$49="Y",Feb!K61,I51*J51)</f>
        <v>0</v>
      </c>
      <c r="L51" s="110">
        <f>IF(T$49="Y",Feb!L61,0)</f>
        <v>0</v>
      </c>
      <c r="M51" s="99" t="str">
        <f>IF(E51=" "," ",IF(T$49="Y",Feb!M61,IF((H51+K51+L51)&gt;0,H51+K51+L51,"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IF(Employee!H$35=E$49,Employee!D$34+SUM(M51)+Feb!V61,SUM(M51)+Feb!V61)</f>
        <v>0</v>
      </c>
      <c r="W51" s="49">
        <f>IF(Employee!H$35=E$49,Employee!D$35+SUM(N51)+Feb!W61,SUM(N51)+Feb!W61)</f>
        <v>0</v>
      </c>
      <c r="X51" s="49">
        <f>IF(O51=" ",Feb!X61,O51+Feb!X61)</f>
        <v>0</v>
      </c>
      <c r="Y51" s="49">
        <f>IF(P51=" ",Feb!Y61,P51+Feb!Y61)</f>
        <v>0</v>
      </c>
      <c r="Z51" s="49">
        <f>IF(Q51=" ",Feb!Z61,Q51+Feb!Z61)</f>
        <v>0</v>
      </c>
      <c r="AA51" s="49">
        <f>IF(R51=" ",Feb!AA61,R51+Feb!AA61)</f>
        <v>0</v>
      </c>
      <c r="AC51" s="49">
        <f>IF(T51=" ",Feb!AC61,T51+Feb!AC61)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IF(T$49="Y",Feb!H62,0)</f>
        <v>0</v>
      </c>
      <c r="I52" s="92">
        <f>IF(T$49="Y",Feb!I62,0)</f>
        <v>0</v>
      </c>
      <c r="J52" s="92">
        <f>IF(T$49="Y",Feb!J62,0)</f>
        <v>0</v>
      </c>
      <c r="K52" s="92">
        <f>IF(T$49="Y",Feb!K62,I52*J52)</f>
        <v>0</v>
      </c>
      <c r="L52" s="111">
        <f>IF(T$49="Y",Feb!L62,0)</f>
        <v>0</v>
      </c>
      <c r="M52" s="100" t="str">
        <f>IF(E52=" "," ",IF(T$49="Y",Feb!M62,IF((H52+K52+L52)&gt;0,H52+K52+L52,"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IF(Employee!H$61=E$49,Employee!D$60+SUM(M52)+Feb!V62,SUM(M52)+Feb!V62)</f>
        <v>0</v>
      </c>
      <c r="W52" s="49">
        <f>IF(Employee!H$61=E$49,Employee!D$61+SUM(N52)+Feb!W62,SUM(N52)+Feb!W62)</f>
        <v>0</v>
      </c>
      <c r="X52" s="49">
        <f>IF(O52=" ",Feb!X62,O52+Feb!X62)</f>
        <v>0</v>
      </c>
      <c r="Y52" s="49">
        <f>IF(P52=" ",Feb!Y62,P52+Feb!Y62)</f>
        <v>0</v>
      </c>
      <c r="Z52" s="49">
        <f>IF(Q52=" ",Feb!Z62,Q52+Feb!Z62)</f>
        <v>0</v>
      </c>
      <c r="AA52" s="49">
        <f>IF(R52=" ",Feb!AA62,R52+Feb!AA62)</f>
        <v>0</v>
      </c>
      <c r="AC52" s="49">
        <f>IF(T52=" ",Feb!AC62,T52+Feb!AC62)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IF(T$49="Y",Feb!H63,0)</f>
        <v>0</v>
      </c>
      <c r="I53" s="92">
        <f>IF(T$49="Y",Feb!I63,0)</f>
        <v>0</v>
      </c>
      <c r="J53" s="92">
        <f>IF(T$49="Y",Feb!J63,0)</f>
        <v>0</v>
      </c>
      <c r="K53" s="92">
        <f>IF(T$49="Y",Feb!K63,I53*J53)</f>
        <v>0</v>
      </c>
      <c r="L53" s="111">
        <f>IF(T$49="Y",Feb!L63,0)</f>
        <v>0</v>
      </c>
      <c r="M53" s="100" t="str">
        <f>IF(E53=" "," ",IF(T$49="Y",Feb!M63,IF((H53+K53+L53)&gt;0,H53+K53+L53,"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IF(Employee!H$87=E$49,Employee!D$86+SUM(M53)+Feb!V63,SUM(M53)+Feb!V63)</f>
        <v>0</v>
      </c>
      <c r="W53" s="49">
        <f>IF(Employee!H$87=E$49,Employee!D$87+SUM(N53)+Feb!W63,SUM(N53)+Feb!W63)</f>
        <v>0</v>
      </c>
      <c r="X53" s="49">
        <f>IF(O53=" ",Feb!X63,O53+Feb!X63)</f>
        <v>0</v>
      </c>
      <c r="Y53" s="49">
        <f>IF(P53=" ",Feb!Y63,P53+Feb!Y63)</f>
        <v>0</v>
      </c>
      <c r="Z53" s="49">
        <f>IF(Q53=" ",Feb!Z63,Q53+Feb!Z63)</f>
        <v>0</v>
      </c>
      <c r="AA53" s="49">
        <f>IF(R53=" ",Feb!AA63,R53+Feb!AA63)</f>
        <v>0</v>
      </c>
      <c r="AC53" s="49">
        <f>IF(T53=" ",Feb!AC63,T53+Feb!AC63)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IF(T$49="Y",Feb!H64,0)</f>
        <v>0</v>
      </c>
      <c r="I54" s="92">
        <f>IF(T$49="Y",Feb!I64,0)</f>
        <v>0</v>
      </c>
      <c r="J54" s="92">
        <f>IF(T$49="Y",Feb!J64,0)</f>
        <v>0</v>
      </c>
      <c r="K54" s="92">
        <f>IF(T$49="Y",Feb!K64,I54*J54)</f>
        <v>0</v>
      </c>
      <c r="L54" s="111">
        <f>IF(T$49="Y",Feb!L64,0)</f>
        <v>0</v>
      </c>
      <c r="M54" s="100" t="str">
        <f>IF(E54=" "," ",IF(T$49="Y",Feb!M64,IF((H54+K54+L54)&gt;0,H54+K54+L54,"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IF(Employee!H$113=E$49,Employee!D$112+SUM(M54)+Feb!V64,SUM(M54)+Feb!V64)</f>
        <v>0</v>
      </c>
      <c r="W54" s="49">
        <f>IF(Employee!H$113=E$49,Employee!D$113+SUM(N54)+Feb!W64,SUM(N54)+Feb!W64)</f>
        <v>0</v>
      </c>
      <c r="X54" s="49">
        <f>IF(O54=" ",Feb!X64,O54+Feb!X64)</f>
        <v>0</v>
      </c>
      <c r="Y54" s="49">
        <f>IF(P54=" ",Feb!Y64,P54+Feb!Y64)</f>
        <v>0</v>
      </c>
      <c r="Z54" s="49">
        <f>IF(Q54=" ",Feb!Z64,Q54+Feb!Z64)</f>
        <v>0</v>
      </c>
      <c r="AA54" s="49">
        <f>IF(R54=" ",Feb!AA64,R54+Feb!AA64)</f>
        <v>0</v>
      </c>
      <c r="AC54" s="49">
        <f>IF(T54=" ",Feb!AC64,T54+Feb!AC64)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IF(T$49="Y",Feb!H65,0)</f>
        <v>0</v>
      </c>
      <c r="I55" s="245">
        <f>IF(T$49="Y",Feb!I65,0)</f>
        <v>0</v>
      </c>
      <c r="J55" s="245">
        <f>IF(T$49="Y",Feb!J65,0)</f>
        <v>0</v>
      </c>
      <c r="K55" s="245">
        <f>IF(T$49="Y",Feb!K65,I55*J55)</f>
        <v>0</v>
      </c>
      <c r="L55" s="246">
        <f>IF(T$49="Y",Feb!L65,0)</f>
        <v>0</v>
      </c>
      <c r="M55" s="100" t="str">
        <f>IF(E55=" "," ",IF(T$49="Y",Feb!M65,IF((H55+K55+L55)&gt;0,H55+K55+L55,"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IF(Employee!H$139=E$49,Employee!D$138+SUM(M55)+Feb!V65,SUM(M55)+Feb!V65)</f>
        <v>0</v>
      </c>
      <c r="W55" s="49">
        <f>IF(Employee!H$139=E$49,Employee!D$139+SUM(N55)+Feb!W65,SUM(N55)+Feb!W65)</f>
        <v>0</v>
      </c>
      <c r="X55" s="49">
        <f>IF(O55=" ",Feb!X65,O55+Feb!X65)</f>
        <v>0</v>
      </c>
      <c r="Y55" s="49">
        <f>IF(P55=" ",Feb!Y65,P55+Feb!Y65)</f>
        <v>0</v>
      </c>
      <c r="Z55" s="49">
        <f>IF(Q55=" ",Feb!Z65,Q55+Feb!Z65)</f>
        <v>0</v>
      </c>
      <c r="AA55" s="49">
        <f>IF(R55=" ",Feb!AA65,R55+Feb!AA65)</f>
        <v>0</v>
      </c>
      <c r="AC55" s="49">
        <f>IF(T55=" ",Feb!AC65,T55+Feb!AC65)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AD60+Feb!AD75</f>
        <v>0</v>
      </c>
      <c r="AE65" s="158">
        <f>AE60+Feb!AE75</f>
        <v>0</v>
      </c>
      <c r="AF65" s="158">
        <f>AF60+Feb!AF75</f>
        <v>0</v>
      </c>
      <c r="AG65" s="158">
        <f>AG60+Feb!AG75</f>
        <v>0</v>
      </c>
    </row>
    <row r="66" spans="6:33" ht="14" thickTop="1" x14ac:dyDescent="0.15"/>
    <row r="67" spans="6:33" x14ac:dyDescent="0.15">
      <c r="AD67" s="162"/>
      <c r="AE67" s="158">
        <f>AE62+Feb!AE77</f>
        <v>0</v>
      </c>
      <c r="AF67" s="158">
        <f>AF62+Feb!AF77</f>
        <v>0</v>
      </c>
      <c r="AG67" s="158">
        <f>AG62+Feb!AG77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IF(T$9="Y",Mar!#REF!,0)</f>
        <v>0</v>
      </c>
      <c r="I11" s="89">
        <f>IF(T$9="Y",Mar!#REF!,0)</f>
        <v>0</v>
      </c>
      <c r="J11" s="89">
        <f>IF(T$9="Y",Mar!#REF!,0)</f>
        <v>0</v>
      </c>
      <c r="K11" s="89">
        <v>0</v>
      </c>
      <c r="L11" s="110">
        <f>IF(T$9="Y",Mar!#REF!,0)</f>
        <v>0</v>
      </c>
      <c r="M11" s="110" t="str">
        <f>IF(E11=" "," ",IF(T$9="Y",Mar!#REF!,IF((H11+K11+L11)&gt;0,H11+K11+L11,"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IF(Employee!H$34=E$9,Employee!D$34+SUM(M11)+Mar!V41,SUM(M11)+Mar!V41)</f>
        <v>0</v>
      </c>
      <c r="W11" s="49">
        <f>IF(Employee!H$34=E$9,Employee!D$35+SUM(N11)+Mar!W41,SUM(N11)+Mar!W41)</f>
        <v>0</v>
      </c>
      <c r="X11" s="49">
        <f>IF(O11=" ",Mar!X41,O11+Mar!X41)</f>
        <v>0</v>
      </c>
      <c r="Y11" s="49">
        <f>IF(P11=" ",Mar!Y41,P11+Mar!Y41)</f>
        <v>0</v>
      </c>
      <c r="Z11" s="49">
        <f>IF(Q11=" ",Mar!Z41,Q11+Mar!Z41)</f>
        <v>0</v>
      </c>
      <c r="AA11" s="49">
        <f>IF(R11=" ",Mar!AA41,R11+Mar!AA41)</f>
        <v>0</v>
      </c>
      <c r="AC11" s="49">
        <f>IF(T11=" ",Mar!AC41,T11+Mar!AC41)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IF(T$9="Y",Mar!#REF!,0)</f>
        <v>0</v>
      </c>
      <c r="I12" s="92">
        <f>IF(T$9="Y",Mar!#REF!,0)</f>
        <v>0</v>
      </c>
      <c r="J12" s="92">
        <f>IF(T$9="Y",Mar!#REF!,0)</f>
        <v>0</v>
      </c>
      <c r="K12" s="92">
        <f>IF(T$9="Y",Mar!#REF!,I12*J12)</f>
        <v>0</v>
      </c>
      <c r="L12" s="111">
        <f>IF(T$9="Y",Mar!#REF!,0)</f>
        <v>0</v>
      </c>
      <c r="M12" s="111" t="str">
        <f>IF(E12=" "," ",IF(T$9="Y",Mar!#REF!,IF((H12+K12+L12)&gt;0,H12+K12+L12,"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IF(Employee!H$60=E$9,Employee!D$60+SUM(M12)+Mar!V42,SUM(M12)+Mar!V42)</f>
        <v>0</v>
      </c>
      <c r="W12" s="49">
        <f>IF(Employee!H$60=E$9,Employee!D$61+SUM(N12)+Mar!W42,SUM(N12)+Mar!W42)</f>
        <v>0</v>
      </c>
      <c r="X12" s="49">
        <f>IF(O12=" ",Mar!X42,O12+Mar!X42)</f>
        <v>0</v>
      </c>
      <c r="Y12" s="49">
        <f>IF(P12=" ",Mar!Y42,P12+Mar!Y42)</f>
        <v>0</v>
      </c>
      <c r="Z12" s="49">
        <f>IF(Q12=" ",Mar!Z42,Q12+Mar!Z42)</f>
        <v>0</v>
      </c>
      <c r="AA12" s="49">
        <f>IF(R12=" ",Mar!AA42,R12+Mar!AA42)</f>
        <v>0</v>
      </c>
      <c r="AC12" s="49">
        <f>IF(T12=" ",Mar!AC42,T12+Mar!AC42)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IF(T$9="Y",Mar!#REF!,0)</f>
        <v>0</v>
      </c>
      <c r="I13" s="92">
        <f>IF(T$9="Y",Mar!#REF!,0)</f>
        <v>0</v>
      </c>
      <c r="J13" s="92">
        <f>IF(T$9="Y",Mar!#REF!,0)</f>
        <v>0</v>
      </c>
      <c r="K13" s="92">
        <f>IF(T$9="Y",Mar!#REF!,I13*J13)</f>
        <v>0</v>
      </c>
      <c r="L13" s="111">
        <f>IF(T$9="Y",Mar!#REF!,0)</f>
        <v>0</v>
      </c>
      <c r="M13" s="111" t="str">
        <f>IF(E13=" "," ",IF(T$9="Y",Mar!#REF!,IF((H13+K13+L13)&gt;0,H13+K13+L13,"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IF(Employee!H$86=E$9,Employee!D$86+SUM(M13)+Mar!V43,SUM(M13)+Mar!V43)</f>
        <v>0</v>
      </c>
      <c r="W13" s="49">
        <f>IF(Employee!H$86=E$9,Employee!D$87+SUM(N13)+Mar!W43,SUM(N13)+Mar!W43)</f>
        <v>0</v>
      </c>
      <c r="X13" s="49">
        <f>IF(O13=" ",Mar!X43,O13+Mar!X43)</f>
        <v>0</v>
      </c>
      <c r="Y13" s="49">
        <f>IF(P13=" ",Mar!Y43,P13+Mar!Y43)</f>
        <v>0</v>
      </c>
      <c r="Z13" s="49">
        <f>IF(Q13=" ",Mar!Z43,Q13+Mar!Z43)</f>
        <v>0</v>
      </c>
      <c r="AA13" s="49">
        <f>IF(R13=" ",Mar!AA43,R13+Mar!AA43)</f>
        <v>0</v>
      </c>
      <c r="AC13" s="49">
        <f>IF(T13=" ",Mar!AC43,T13+Mar!AC43)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IF(T$9="Y",Mar!#REF!,0)</f>
        <v>0</v>
      </c>
      <c r="I14" s="92">
        <f>IF(T$9="Y",Mar!#REF!,0)</f>
        <v>0</v>
      </c>
      <c r="J14" s="92">
        <f>IF(T$9="Y",Mar!#REF!,0)</f>
        <v>0</v>
      </c>
      <c r="K14" s="92">
        <f>IF(T$9="Y",Mar!#REF!,I14*J14)</f>
        <v>0</v>
      </c>
      <c r="L14" s="111">
        <f>IF(T$9="Y",Mar!#REF!,0)</f>
        <v>0</v>
      </c>
      <c r="M14" s="111" t="str">
        <f>IF(E14=" "," ",IF(T$9="Y",Mar!#REF!,IF((H14+K14+L14)&gt;0,H14+K14+L14,"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IF(Employee!H$112=E$9,Employee!D$112+SUM(M14)+Mar!V44,SUM(M14)+Mar!V44)</f>
        <v>0</v>
      </c>
      <c r="W14" s="49">
        <f>IF(Employee!H$112=E$9,Employee!D$113+SUM(N14)+Mar!W44,SUM(N14)+Mar!W44)</f>
        <v>0</v>
      </c>
      <c r="X14" s="49">
        <f>IF(O14=" ",Mar!X44,O14+Mar!X44)</f>
        <v>0</v>
      </c>
      <c r="Y14" s="49">
        <f>IF(P14=" ",Mar!Y44,P14+Mar!Y44)</f>
        <v>0</v>
      </c>
      <c r="Z14" s="49">
        <f>IF(Q14=" ",Mar!Z44,Q14+Mar!Z44)</f>
        <v>0</v>
      </c>
      <c r="AA14" s="49">
        <f>IF(R14=" ",Mar!AA44,R14+Mar!AA44)</f>
        <v>0</v>
      </c>
      <c r="AC14" s="49">
        <f>IF(T14=" ",Mar!AC44,T14+Mar!AC44)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IF(T$9="Y",Mar!#REF!,0)</f>
        <v>0</v>
      </c>
      <c r="I15" s="245">
        <f>IF(T$9="Y",Mar!#REF!,0)</f>
        <v>0</v>
      </c>
      <c r="J15" s="245">
        <f>IF(T$9="Y",Mar!#REF!,0)</f>
        <v>0</v>
      </c>
      <c r="K15" s="245">
        <f>IF(T$9="Y",Mar!#REF!,I15*J15)</f>
        <v>0</v>
      </c>
      <c r="L15" s="246">
        <f>IF(T$9="Y",Mar!#REF!,0)</f>
        <v>0</v>
      </c>
      <c r="M15" s="246" t="str">
        <f>IF(E15=" "," ",IF(T$9="Y",Mar!#REF!,IF((H15+K15+L15)&gt;0,H15+K15+L15,"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IF(Employee!H$138=E$9,Employee!D$138+SUM(M15)+Mar!V45,SUM(M15)+Mar!V45)</f>
        <v>0</v>
      </c>
      <c r="W15" s="49">
        <f>IF(Employee!H$138=E$9,Employee!D$139+SUM(N15)+Mar!W45,SUM(N15)+Mar!W45)</f>
        <v>0</v>
      </c>
      <c r="X15" s="49">
        <f>IF(O15=" ",Mar!X45,O15+Mar!X45)</f>
        <v>0</v>
      </c>
      <c r="Y15" s="49">
        <f>IF(P15=" ",Mar!Y45,P15+Mar!Y45)</f>
        <v>0</v>
      </c>
      <c r="Z15" s="49">
        <f>IF(Q15=" ",Mar!Z45,Q15+Mar!Z45)</f>
        <v>0</v>
      </c>
      <c r="AA15" s="49">
        <f>IF(R15=" ",Mar!AA45,R15+Mar!AA45)</f>
        <v>0</v>
      </c>
      <c r="AC15" s="49">
        <f>IF(T15=" ",Mar!AC45,T15+Mar!AC45)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IF(T$49="Y",Mar!H51,0)</f>
        <v>0</v>
      </c>
      <c r="I51" s="89">
        <f>IF(T$49="Y",Mar!I51,0)</f>
        <v>0</v>
      </c>
      <c r="J51" s="89">
        <f>IF(T$49="Y",Mar!J51,0)</f>
        <v>0</v>
      </c>
      <c r="K51" s="89">
        <f>IF(T$49="Y",Mar!K51,I51*J51)</f>
        <v>0</v>
      </c>
      <c r="L51" s="89">
        <f>IF(T$49="Y",Mar!L51,0)</f>
        <v>0</v>
      </c>
      <c r="M51" s="99" t="str">
        <f>IF(E51=" "," ",IF(T$49="Y",Mar!M51,IF((H51+K51+L51)&gt;0,H51+K51+L51,"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IF(Employee!H$35=E$49,Employee!D$34+SUM(M51)+Mar!V51,SUM(M51)+Mar!V51)</f>
        <v>0</v>
      </c>
      <c r="W51" s="49">
        <f>IF(Employee!H$35=E$49,Employee!D$35+SUM(N51)+Mar!W51,SUM(N51)+Mar!W51)</f>
        <v>0</v>
      </c>
      <c r="X51" s="49">
        <f>IF(O51=" ",Mar!X51,O51+Mar!X51)</f>
        <v>0</v>
      </c>
      <c r="Y51" s="49">
        <f>IF(P51=" ",Mar!Y51,P51+Mar!Y51)</f>
        <v>0</v>
      </c>
      <c r="Z51" s="49">
        <f>IF(Q51=" ",Mar!Z51,Q51+Mar!Z51)</f>
        <v>0</v>
      </c>
      <c r="AA51" s="49">
        <f>IF(R51=" ",Mar!AA51,R51+Mar!AA51)</f>
        <v>0</v>
      </c>
      <c r="AC51" s="49">
        <f>IF(T51=" ",Mar!AC51,T51+Mar!AC51)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IF(T$49="Y",Mar!H52,0)</f>
        <v>0</v>
      </c>
      <c r="I52" s="92">
        <f>IF(T$49="Y",Mar!I52,0)</f>
        <v>0</v>
      </c>
      <c r="J52" s="92">
        <f>IF(T$49="Y",Mar!J52,0)</f>
        <v>0</v>
      </c>
      <c r="K52" s="92">
        <f>IF(T$49="Y",Mar!K52,I52*J52)</f>
        <v>0</v>
      </c>
      <c r="L52" s="92">
        <f>IF(T$49="Y",Mar!L52,0)</f>
        <v>0</v>
      </c>
      <c r="M52" s="100" t="str">
        <f>IF(E52=" "," ",IF(T$49="Y",Mar!M52,IF((H52+K52+L52)&gt;0,H52+K52+L52,"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IF(Employee!H$61=E$49,Employee!D$60+SUM(M52)+Mar!V52,SUM(M52)+Mar!V52)</f>
        <v>0</v>
      </c>
      <c r="W52" s="49">
        <f>IF(Employee!H$61=E$49,Employee!D$61+SUM(N52)+Mar!W52,SUM(N52)+Mar!W52)</f>
        <v>0</v>
      </c>
      <c r="X52" s="49">
        <f>IF(O52=" ",Mar!X52,O52+Mar!X52)</f>
        <v>0</v>
      </c>
      <c r="Y52" s="49">
        <f>IF(P52=" ",Mar!Y52,P52+Mar!Y52)</f>
        <v>0</v>
      </c>
      <c r="Z52" s="49">
        <f>IF(Q52=" ",Mar!Z52,Q52+Mar!Z52)</f>
        <v>0</v>
      </c>
      <c r="AA52" s="49">
        <f>IF(R52=" ",Mar!AA52,R52+Mar!AA52)</f>
        <v>0</v>
      </c>
      <c r="AC52" s="49">
        <f>IF(T52=" ",Mar!AC52,T52+Mar!AC52)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IF(T$49="Y",Mar!H53,0)</f>
        <v>0</v>
      </c>
      <c r="I53" s="92">
        <f>IF(T$49="Y",Mar!I53,0)</f>
        <v>0</v>
      </c>
      <c r="J53" s="92">
        <f>IF(T$49="Y",Mar!J53,0)</f>
        <v>0</v>
      </c>
      <c r="K53" s="92">
        <f>IF(T$49="Y",Mar!K53,I53*J53)</f>
        <v>0</v>
      </c>
      <c r="L53" s="92">
        <f>IF(T$49="Y",Mar!L53,0)</f>
        <v>0</v>
      </c>
      <c r="M53" s="100" t="str">
        <f>IF(E53=" "," ",IF(T$49="Y",Mar!M53,IF((H53+K53+L53)&gt;0,H53+K53+L53,"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IF(Employee!H$87=E$49,Employee!D$86+SUM(M53)+Mar!V53,SUM(M53)+Mar!V53)</f>
        <v>0</v>
      </c>
      <c r="W53" s="49">
        <f>IF(Employee!H$87=E$49,Employee!D$87+SUM(N53)+Mar!W53,SUM(N53)+Mar!W53)</f>
        <v>0</v>
      </c>
      <c r="X53" s="49">
        <f>IF(O53=" ",Mar!X53,O53+Mar!X53)</f>
        <v>0</v>
      </c>
      <c r="Y53" s="49">
        <f>IF(P53=" ",Mar!Y53,P53+Mar!Y53)</f>
        <v>0</v>
      </c>
      <c r="Z53" s="49">
        <f>IF(Q53=" ",Mar!Z53,Q53+Mar!Z53)</f>
        <v>0</v>
      </c>
      <c r="AA53" s="49">
        <f>IF(R53=" ",Mar!AA53,R53+Mar!AA53)</f>
        <v>0</v>
      </c>
      <c r="AC53" s="49">
        <f>IF(T53=" ",Mar!AC53,T53+Mar!AC53)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IF(T$49="Y",Mar!H54,0)</f>
        <v>0</v>
      </c>
      <c r="I54" s="92">
        <f>IF(T$49="Y",Mar!I54,0)</f>
        <v>0</v>
      </c>
      <c r="J54" s="92">
        <f>IF(T$49="Y",Mar!J54,0)</f>
        <v>0</v>
      </c>
      <c r="K54" s="92">
        <f>IF(T$49="Y",Mar!K54,I54*J54)</f>
        <v>0</v>
      </c>
      <c r="L54" s="92">
        <f>IF(T$49="Y",Mar!L54,0)</f>
        <v>0</v>
      </c>
      <c r="M54" s="100" t="str">
        <f>IF(E54=" "," ",IF(T$49="Y",Mar!M54,IF((H54+K54+L54)&gt;0,H54+K54+L54,"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IF(Employee!H$113=E$49,Employee!D$112+SUM(M54)+Mar!V54,SUM(M54)+Mar!V54)</f>
        <v>0</v>
      </c>
      <c r="W54" s="49">
        <f>IF(Employee!H$113=E$49,Employee!D$113+SUM(N54)+Mar!W54,SUM(N54)+Mar!W54)</f>
        <v>0</v>
      </c>
      <c r="X54" s="49">
        <f>IF(O54=" ",Mar!X54,O54+Mar!X54)</f>
        <v>0</v>
      </c>
      <c r="Y54" s="49">
        <f>IF(P54=" ",Mar!Y54,P54+Mar!Y54)</f>
        <v>0</v>
      </c>
      <c r="Z54" s="49">
        <f>IF(Q54=" ",Mar!Z54,Q54+Mar!Z54)</f>
        <v>0</v>
      </c>
      <c r="AA54" s="49">
        <f>IF(R54=" ",Mar!AA54,R54+Mar!AA54)</f>
        <v>0</v>
      </c>
      <c r="AC54" s="49">
        <f>IF(T54=" ",Mar!AC54,T54+Mar!AC54)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IF(T$49="Y",Mar!H55,0)</f>
        <v>0</v>
      </c>
      <c r="I55" s="92">
        <f>IF(T$49="Y",Mar!I55,0)</f>
        <v>0</v>
      </c>
      <c r="J55" s="92">
        <f>IF(T$49="Y",Mar!J55,0)</f>
        <v>0</v>
      </c>
      <c r="K55" s="92">
        <f>IF(T$49="Y",Mar!K55,I55*J55)</f>
        <v>0</v>
      </c>
      <c r="L55" s="92">
        <f>IF(T$49="Y",Mar!L55,0)</f>
        <v>0</v>
      </c>
      <c r="M55" s="100" t="str">
        <f>IF(E55=" "," ",IF(T$49="Y",Mar!M55,IF((H55+K55+L55)&gt;0,H55+K55+L55,"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IF(Employee!H$139=E$49,Employee!D$138+SUM(M55)+Mar!V55,SUM(M55)+Mar!V55)</f>
        <v>0</v>
      </c>
      <c r="W55" s="49">
        <f>IF(Employee!H$139=E$49,Employee!D$139+SUM(N55)+Mar!W55,SUM(N55)+Mar!W55)</f>
        <v>0</v>
      </c>
      <c r="X55" s="49">
        <f>IF(O55=" ",Mar!X55,O55+Mar!X55)</f>
        <v>0</v>
      </c>
      <c r="Y55" s="49">
        <f>IF(P55=" ",Mar!Y55,P55+Mar!Y55)</f>
        <v>0</v>
      </c>
      <c r="Z55" s="49">
        <f>IF(Q55=" ",Mar!Z55,Q55+Mar!Z55)</f>
        <v>0</v>
      </c>
      <c r="AA55" s="49">
        <f>IF(R55=" ",Mar!AA55,R55+Mar!AA55)</f>
        <v>0</v>
      </c>
      <c r="AC55" s="49">
        <f>IF(T55=" ",Mar!AC55,T55+Mar!AC55)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AD60+Mar!AD65</f>
        <v>0</v>
      </c>
      <c r="AE65" s="158">
        <f>AE60+Mar!AE65</f>
        <v>0</v>
      </c>
      <c r="AF65" s="158">
        <f>AF60+Mar!AF65</f>
        <v>0</v>
      </c>
      <c r="AG65" s="158">
        <f>AG60+Mar!AG65</f>
        <v>0</v>
      </c>
    </row>
    <row r="66" spans="6:33" ht="14" thickTop="1" x14ac:dyDescent="0.15"/>
    <row r="67" spans="6:33" x14ac:dyDescent="0.15">
      <c r="AD67" s="162"/>
      <c r="AE67" s="158">
        <f>AE62+Mar!AE67</f>
        <v>0</v>
      </c>
      <c r="AF67" s="158">
        <f>AF62+Mar!AF67</f>
        <v>0</v>
      </c>
      <c r="AG67" s="158">
        <f>AG62+Mar!AG67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Apr!M39+1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IF(T$59="Y",Apr!H51,0)</f>
        <v>0</v>
      </c>
      <c r="I61" s="89">
        <f>IF(T$59="Y",Apr!I51,0)</f>
        <v>0</v>
      </c>
      <c r="J61" s="89">
        <f>IF(T$59="Y",Apr!J51,0)</f>
        <v>0</v>
      </c>
      <c r="K61" s="89">
        <f>IF(T$59="Y",Apr!K51,I61*J61)</f>
        <v>0</v>
      </c>
      <c r="L61" s="110">
        <f>IF(T$59="Y",Apr!L51,0)</f>
        <v>0</v>
      </c>
      <c r="M61" s="99" t="str">
        <f>IF(E61=" "," ",IF(T$59="Y",Apr!M51,IF((H61+K61+L61)&gt;0,H61+K61+L61,"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IF(Employee!H$35=E$59,Employee!D$34+SUM(M61)+Apr!V51,SUM(M61)+Apr!V51)</f>
        <v>0</v>
      </c>
      <c r="W61" s="49">
        <f>IF(Employee!H$35=E$59,Employee!D$35+SUM(N61)+Apr!W51,SUM(N61)+Apr!W51)</f>
        <v>0</v>
      </c>
      <c r="X61" s="49">
        <f>IF(O61=" ",Apr!X51,O61+Apr!X51)</f>
        <v>0</v>
      </c>
      <c r="Y61" s="49">
        <f>IF(P61=" ",Apr!Y51,P61+Apr!Y51)</f>
        <v>0</v>
      </c>
      <c r="Z61" s="49">
        <f>IF(Q61=" ",Apr!Z51,Q61+Apr!Z51)</f>
        <v>0</v>
      </c>
      <c r="AA61" s="49">
        <f>IF(R61=" ",Apr!AA51,R61+Apr!AA51)</f>
        <v>0</v>
      </c>
      <c r="AC61" s="49">
        <f>IF(T61=" ",Apr!AC51,T61+Apr!AC51)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IF(T$59="Y",Apr!H52,0)</f>
        <v>0</v>
      </c>
      <c r="I62" s="92">
        <f>IF(T$59="Y",Apr!I52,0)</f>
        <v>0</v>
      </c>
      <c r="J62" s="92">
        <f>IF(T$59="Y",Apr!J52,0)</f>
        <v>0</v>
      </c>
      <c r="K62" s="92">
        <f>IF(T$59="Y",Apr!K52,I62*J62)</f>
        <v>0</v>
      </c>
      <c r="L62" s="111">
        <f>IF(T$59="Y",Apr!L52,0)</f>
        <v>0</v>
      </c>
      <c r="M62" s="100" t="str">
        <f>IF(E62=" "," ",IF(T$59="Y",Apr!M52,IF((H62+K62+L62)&gt;0,H62+K62+L62,"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IF(Employee!H$61=E$59,Employee!D$60+SUM(M62)+Apr!V52,SUM(M62)+Apr!V52)</f>
        <v>0</v>
      </c>
      <c r="W62" s="49">
        <f>IF(Employee!H$61=E$59,Employee!D$61+SUM(N62)+Apr!W52,SUM(N62)+Apr!W52)</f>
        <v>0</v>
      </c>
      <c r="X62" s="49">
        <f>IF(O62=" ",Apr!X52,O62+Apr!X52)</f>
        <v>0</v>
      </c>
      <c r="Y62" s="49">
        <f>IF(P62=" ",Apr!Y52,P62+Apr!Y52)</f>
        <v>0</v>
      </c>
      <c r="Z62" s="49">
        <f>IF(Q62=" ",Apr!Z52,Q62+Apr!Z52)</f>
        <v>0</v>
      </c>
      <c r="AA62" s="49">
        <f>IF(R62=" ",Apr!AA52,R62+Apr!AA52)</f>
        <v>0</v>
      </c>
      <c r="AC62" s="49">
        <f>IF(T62=" ",Apr!AC52,T62+Apr!AC52)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IF(T$59="Y",Apr!H53,0)</f>
        <v>0</v>
      </c>
      <c r="I63" s="92">
        <f>IF(T$59="Y",Apr!I53,0)</f>
        <v>0</v>
      </c>
      <c r="J63" s="92">
        <f>IF(T$59="Y",Apr!J53,0)</f>
        <v>0</v>
      </c>
      <c r="K63" s="92">
        <f>IF(T$59="Y",Apr!K53,I63*J63)</f>
        <v>0</v>
      </c>
      <c r="L63" s="111">
        <f>IF(T$59="Y",Apr!L53,0)</f>
        <v>0</v>
      </c>
      <c r="M63" s="100" t="str">
        <f>IF(E63=" "," ",IF(T$59="Y",Apr!M53,IF((H63+K63+L63)&gt;0,H63+K63+L63,"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IF(Employee!H$87=E$59,Employee!D$86+SUM(M63)+Apr!V53,SUM(M63)+Apr!V53)</f>
        <v>0</v>
      </c>
      <c r="W63" s="49">
        <f>IF(Employee!H$87=E$59,Employee!D$87+SUM(N63)+Apr!W53,SUM(N63)+Apr!W53)</f>
        <v>0</v>
      </c>
      <c r="X63" s="49">
        <f>IF(O63=" ",Apr!X53,O63+Apr!X53)</f>
        <v>0</v>
      </c>
      <c r="Y63" s="49">
        <f>IF(P63=" ",Apr!Y53,P63+Apr!Y53)</f>
        <v>0</v>
      </c>
      <c r="Z63" s="49">
        <f>IF(Q63=" ",Apr!Z53,Q63+Apr!Z53)</f>
        <v>0</v>
      </c>
      <c r="AA63" s="49">
        <f>IF(R63=" ",Apr!AA53,R63+Apr!AA53)</f>
        <v>0</v>
      </c>
      <c r="AC63" s="49">
        <f>IF(T63=" ",Apr!AC53,T63+Apr!AC53)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IF(T$59="Y",Apr!H54,0)</f>
        <v>0</v>
      </c>
      <c r="I64" s="92">
        <f>IF(T$59="Y",Apr!I54,0)</f>
        <v>0</v>
      </c>
      <c r="J64" s="92">
        <f>IF(T$59="Y",Apr!J54,0)</f>
        <v>0</v>
      </c>
      <c r="K64" s="92">
        <f>IF(T$59="Y",Apr!K54,I64*J64)</f>
        <v>0</v>
      </c>
      <c r="L64" s="111">
        <f>IF(T$59="Y",Apr!L54,0)</f>
        <v>0</v>
      </c>
      <c r="M64" s="100" t="str">
        <f>IF(E64=" "," ",IF(T$59="Y",Apr!M54,IF((H64+K64+L64)&gt;0,H64+K64+L64,"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IF(Employee!H$113=E$59,Employee!D$112+SUM(M64)+Apr!V54,SUM(M64)+Apr!V54)</f>
        <v>0</v>
      </c>
      <c r="W64" s="49">
        <f>IF(Employee!H$113=E$59,Employee!D$113+SUM(N64)+Apr!W54,SUM(N64)+Apr!W54)</f>
        <v>0</v>
      </c>
      <c r="X64" s="49">
        <f>IF(O64=" ",Apr!X54,O64+Apr!X54)</f>
        <v>0</v>
      </c>
      <c r="Y64" s="49">
        <f>IF(P64=" ",Apr!Y54,P64+Apr!Y54)</f>
        <v>0</v>
      </c>
      <c r="Z64" s="49">
        <f>IF(Q64=" ",Apr!Z54,Q64+Apr!Z54)</f>
        <v>0</v>
      </c>
      <c r="AA64" s="49">
        <f>IF(R64=" ",Apr!AA54,R64+Apr!AA54)</f>
        <v>0</v>
      </c>
      <c r="AC64" s="49">
        <f>IF(T64=" ",Apr!AC54,T64+Apr!AC54)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IF(T$59="Y",Apr!H55,0)</f>
        <v>0</v>
      </c>
      <c r="I65" s="245">
        <f>IF(T$59="Y",Apr!I55,0)</f>
        <v>0</v>
      </c>
      <c r="J65" s="245">
        <f>IF(T$59="Y",Apr!J55,0)</f>
        <v>0</v>
      </c>
      <c r="K65" s="245">
        <f>IF(T$59="Y",Apr!K55,I65*J65)</f>
        <v>0</v>
      </c>
      <c r="L65" s="246">
        <f>IF(T$59="Y",Apr!L55,0)</f>
        <v>0</v>
      </c>
      <c r="M65" s="100" t="str">
        <f>IF(E65=" "," ",IF(T$59="Y",Apr!M55,IF((H65+K65+L65)&gt;0,H65+K65+L65,"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IF(Employee!H$139=E$59,Employee!D$138+SUM(M65)+Apr!V55,SUM(M65)+Apr!V55)</f>
        <v>0</v>
      </c>
      <c r="W65" s="49">
        <f>IF(Employee!H$139=E$59,Employee!D$139+SUM(N65)+Apr!W55,SUM(N65)+Apr!W55)</f>
        <v>0</v>
      </c>
      <c r="X65" s="49">
        <f>IF(O65=" ",Apr!X55,O65+Apr!X55)</f>
        <v>0</v>
      </c>
      <c r="Y65" s="49">
        <f>IF(P65=" ",Apr!Y55,P65+Apr!Y55)</f>
        <v>0</v>
      </c>
      <c r="Z65" s="49">
        <f>IF(Q65=" ",Apr!Z55,Q65+Apr!Z55)</f>
        <v>0</v>
      </c>
      <c r="AA65" s="49">
        <f>IF(R65=" ",Apr!AA55,R65+Apr!AA55)</f>
        <v>0</v>
      </c>
      <c r="AC65" s="49">
        <f>IF(T65=" ",Apr!AC55,T65+Apr!AC55)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AD70+Apr!AD65</f>
        <v>0</v>
      </c>
      <c r="AE75" s="158">
        <f>AE70+Apr!AE65</f>
        <v>0</v>
      </c>
      <c r="AF75" s="158">
        <f>AF70+Apr!AF65</f>
        <v>0</v>
      </c>
      <c r="AG75" s="158">
        <f>AG70+Apr!AG65</f>
        <v>0</v>
      </c>
    </row>
    <row r="76" spans="1:34" ht="14" thickTop="1" x14ac:dyDescent="0.15"/>
    <row r="77" spans="1:34" x14ac:dyDescent="0.15">
      <c r="AD77" s="162"/>
      <c r="AE77" s="158">
        <f>AE72+Apr!AE67</f>
        <v>0</v>
      </c>
      <c r="AF77" s="158">
        <f>AF72+Apr!AF67</f>
        <v>0</v>
      </c>
      <c r="AG77" s="158">
        <f>AG72+Apr!AG67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IF(T$9="Y",May!H51,0)</f>
        <v>0</v>
      </c>
      <c r="I11" s="89">
        <f>IF(T$9="Y",May!I51,0)</f>
        <v>0</v>
      </c>
      <c r="J11" s="89">
        <f>IF(T$9="Y",May!J51,0)</f>
        <v>0</v>
      </c>
      <c r="K11" s="89">
        <f>IF(T$9="Y",May!K51,I11*J11)</f>
        <v>0</v>
      </c>
      <c r="L11" s="110">
        <f>IF(T$9="Y",May!L51,0)</f>
        <v>0</v>
      </c>
      <c r="M11" s="99" t="str">
        <f>IF(E11=" "," ",IF(T$9="Y",May!M51,IF((H11+K11+L11)&gt;0,H11+K11+L11,"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IF(Employee!H$34=E$9,Employee!D$34+SUM(M11)+May!V51,SUM(M11)+May!V51)</f>
        <v>0</v>
      </c>
      <c r="W11" s="49">
        <f>IF(Employee!H$34=E$9,Employee!D$35+SUM(N11)+May!W51,SUM(N11)+May!W51)</f>
        <v>0</v>
      </c>
      <c r="X11" s="49">
        <f>IF(O11=" ",May!X51,O11+May!X51)</f>
        <v>0</v>
      </c>
      <c r="Y11" s="49">
        <f>IF(P11=" ",May!Y51,P11+May!Y51)</f>
        <v>0</v>
      </c>
      <c r="Z11" s="49">
        <f>IF(Q11=" ",May!Z51,Q11+May!Z51)</f>
        <v>0</v>
      </c>
      <c r="AA11" s="49">
        <f>IF(R11=" ",May!AA51,R11+May!AA51)</f>
        <v>0</v>
      </c>
      <c r="AC11" s="49">
        <f>IF(T11=" ",May!AC51,T11+May!AC51)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IF(T$9="Y",May!H52,0)</f>
        <v>0</v>
      </c>
      <c r="I12" s="92">
        <f>IF(T$9="Y",May!I52,0)</f>
        <v>0</v>
      </c>
      <c r="J12" s="92">
        <f>IF(T$9="Y",May!J52,0)</f>
        <v>0</v>
      </c>
      <c r="K12" s="92">
        <f>IF(T$9="Y",May!K52,I12*J12)</f>
        <v>0</v>
      </c>
      <c r="L12" s="111">
        <f>IF(T$9="Y",May!L52,0)</f>
        <v>0</v>
      </c>
      <c r="M12" s="100" t="str">
        <f>IF(E12=" "," ",IF(T$9="Y",May!M52,IF((H12+K12+L12)&gt;0,H12+K12+L12,"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IF(Employee!H$60=E$9,Employee!D$60+SUM(M12)+May!V52,SUM(M12)+May!V52)</f>
        <v>0</v>
      </c>
      <c r="W12" s="49">
        <f>IF(Employee!H$60=E$9,Employee!D$61+SUM(N12)+May!W52,SUM(N12)+May!W52)</f>
        <v>0</v>
      </c>
      <c r="X12" s="49">
        <f>IF(O12=" ",May!X52,O12+May!X52)</f>
        <v>0</v>
      </c>
      <c r="Y12" s="49">
        <f>IF(P12=" ",May!Y52,P12+May!Y52)</f>
        <v>0</v>
      </c>
      <c r="Z12" s="49">
        <f>IF(Q12=" ",May!Z52,Q12+May!Z52)</f>
        <v>0</v>
      </c>
      <c r="AA12" s="49">
        <f>IF(R12=" ",May!AA52,R12+May!AA52)</f>
        <v>0</v>
      </c>
      <c r="AC12" s="49">
        <f>IF(T12=" ",May!AC52,T12+May!AC52)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IF(T$9="Y",May!H53,0)</f>
        <v>0</v>
      </c>
      <c r="I13" s="92">
        <f>IF(T$9="Y",May!I53,0)</f>
        <v>0</v>
      </c>
      <c r="J13" s="92">
        <f>IF(T$9="Y",May!J53,0)</f>
        <v>0</v>
      </c>
      <c r="K13" s="92">
        <f>IF(T$9="Y",May!K53,I13*J13)</f>
        <v>0</v>
      </c>
      <c r="L13" s="111">
        <f>IF(T$9="Y",May!L53,0)</f>
        <v>0</v>
      </c>
      <c r="M13" s="100" t="str">
        <f>IF(E13=" "," ",IF(T$9="Y",May!M53,IF((H13+K13+L13)&gt;0,H13+K13+L13,"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IF(Employee!H$86=E$9,Employee!D$86+SUM(M13)+May!V53,SUM(M13)+May!V53)</f>
        <v>0</v>
      </c>
      <c r="W13" s="49">
        <f>IF(Employee!H$86=E$9,Employee!D$87+SUM(N13)+May!W53,SUM(N13)+May!W53)</f>
        <v>0</v>
      </c>
      <c r="X13" s="49">
        <f>IF(O13=" ",May!X53,O13+May!X53)</f>
        <v>0</v>
      </c>
      <c r="Y13" s="49">
        <f>IF(P13=" ",May!Y53,P13+May!Y53)</f>
        <v>0</v>
      </c>
      <c r="Z13" s="49">
        <f>IF(Q13=" ",May!Z53,Q13+May!Z53)</f>
        <v>0</v>
      </c>
      <c r="AA13" s="49">
        <f>IF(R13=" ",May!AA53,R13+May!AA53)</f>
        <v>0</v>
      </c>
      <c r="AC13" s="49">
        <f>IF(T13=" ",May!AC53,T13+May!AC53)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IF(T$9="Y",May!H54,0)</f>
        <v>0</v>
      </c>
      <c r="I14" s="92">
        <f>IF(T$9="Y",May!I54,0)</f>
        <v>0</v>
      </c>
      <c r="J14" s="92">
        <f>IF(T$9="Y",May!J54,0)</f>
        <v>0</v>
      </c>
      <c r="K14" s="92">
        <f>IF(T$9="Y",May!K54,I14*J14)</f>
        <v>0</v>
      </c>
      <c r="L14" s="111">
        <f>IF(T$9="Y",May!L54,0)</f>
        <v>0</v>
      </c>
      <c r="M14" s="100" t="str">
        <f>IF(E14=" "," ",IF(T$9="Y",May!M54,IF((H14+K14+L14)&gt;0,H14+K14+L14,"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IF(Employee!H$112=E$9,Employee!D$112+SUM(M14)+May!V54,SUM(M14)+May!V54)</f>
        <v>0</v>
      </c>
      <c r="W14" s="49">
        <f>IF(Employee!H$112=E$9,Employee!D$113+SUM(N14)+May!W54,SUM(N14)+May!W54)</f>
        <v>0</v>
      </c>
      <c r="X14" s="49">
        <f>IF(O14=" ",May!X54,O14+May!X54)</f>
        <v>0</v>
      </c>
      <c r="Y14" s="49">
        <f>IF(P14=" ",May!Y54,P14+May!Y54)</f>
        <v>0</v>
      </c>
      <c r="Z14" s="49">
        <f>IF(Q14=" ",May!Z54,Q14+May!Z54)</f>
        <v>0</v>
      </c>
      <c r="AA14" s="49">
        <f>IF(R14=" ",May!AA54,R14+May!AA54)</f>
        <v>0</v>
      </c>
      <c r="AC14" s="49">
        <f>IF(T14=" ",May!AC54,T14+May!AC54)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IF(T$9="Y",May!H55,0)</f>
        <v>0</v>
      </c>
      <c r="I15" s="245">
        <f>IF(T$9="Y",May!I55,0)</f>
        <v>0</v>
      </c>
      <c r="J15" s="245">
        <f>IF(T$9="Y",May!J55,0)</f>
        <v>0</v>
      </c>
      <c r="K15" s="245">
        <f>IF(T$9="Y",May!K55,I15*J15)</f>
        <v>0</v>
      </c>
      <c r="L15" s="246">
        <f>IF(T$9="Y",May!L55,0)</f>
        <v>0</v>
      </c>
      <c r="M15" s="247" t="str">
        <f>IF(E15=" "," ",IF(T$9="Y",May!M55,IF((H15+K15+L15)&gt;0,H15+K15+L15,"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IF(Employee!H$138=E$9,Employee!D$138+SUM(M15)+May!V55,SUM(M15)+May!V55)</f>
        <v>0</v>
      </c>
      <c r="W15" s="49">
        <f>IF(Employee!H$138=E$9,Employee!D$139+SUM(N15)+May!W55,SUM(N15)+May!W55)</f>
        <v>0</v>
      </c>
      <c r="X15" s="49">
        <f>IF(O15=" ",May!X55,O15+May!X55)</f>
        <v>0</v>
      </c>
      <c r="Y15" s="49">
        <f>IF(P15=" ",May!Y55,P15+May!Y55)</f>
        <v>0</v>
      </c>
      <c r="Z15" s="49">
        <f>IF(Q15=" ",May!Z55,Q15+May!Z55)</f>
        <v>0</v>
      </c>
      <c r="AA15" s="49">
        <f>IF(R15=" ",May!AA55,R15+May!AA55)</f>
        <v>0</v>
      </c>
      <c r="AC15" s="49">
        <f>IF(T15=" ",May!AC55,T15+May!AC55)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IF(T$49="Y",May!H61,0)</f>
        <v>0</v>
      </c>
      <c r="I51" s="89">
        <f>IF(T$49="Y",May!I61,0)</f>
        <v>0</v>
      </c>
      <c r="J51" s="89">
        <f>IF(T$49="Y",May!J61,0)</f>
        <v>0</v>
      </c>
      <c r="K51" s="89">
        <f>IF(T$49="Y",May!K61,I51*J51)</f>
        <v>0</v>
      </c>
      <c r="L51" s="110">
        <f>IF(T$49="Y",May!L61,0)</f>
        <v>0</v>
      </c>
      <c r="M51" s="99" t="str">
        <f>IF(E51=" "," ",IF(T$49="Y",May!M61,IF((H51+K51+L51)&gt;0,H51+K51+L51,"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IF(Employee!H$35=E$49,Employee!D$34+SUM(M51)+May!V61,SUM(M51)+May!V61)</f>
        <v>0</v>
      </c>
      <c r="W51" s="49">
        <f>IF(Employee!H$35=E$49,Employee!D$35+SUM(N51)+May!W61,SUM(N51)+May!W61)</f>
        <v>0</v>
      </c>
      <c r="X51" s="49">
        <f>IF(O51=" ",May!X61,O51+May!X61)</f>
        <v>0</v>
      </c>
      <c r="Y51" s="49">
        <f>IF(P51=" ",May!Y61,P51+May!Y61)</f>
        <v>0</v>
      </c>
      <c r="Z51" s="49">
        <f>IF(Q51=" ",May!Z61,Q51+May!Z61)</f>
        <v>0</v>
      </c>
      <c r="AA51" s="49">
        <f>IF(R51=" ",May!AA61,R51+May!AA61)</f>
        <v>0</v>
      </c>
      <c r="AC51" s="49">
        <f>IF(T51=" ",May!AC61,T51+May!AC61)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IF(T$49="Y",May!H62,0)</f>
        <v>0</v>
      </c>
      <c r="I52" s="92">
        <f>IF(T$49="Y",May!I62,0)</f>
        <v>0</v>
      </c>
      <c r="J52" s="92">
        <f>IF(T$49="Y",May!J62,0)</f>
        <v>0</v>
      </c>
      <c r="K52" s="92">
        <f>IF(T$49="Y",May!K62,I52*J52)</f>
        <v>0</v>
      </c>
      <c r="L52" s="111">
        <f>IF(T$49="Y",May!L62,0)</f>
        <v>0</v>
      </c>
      <c r="M52" s="100" t="str">
        <f>IF(E52=" "," ",IF(T$49="Y",May!M62,IF((H52+K52+L52)&gt;0,H52+K52+L52,"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IF(Employee!H$61=E$49,Employee!D$60+SUM(M52)+May!V62,SUM(M52)+May!V62)</f>
        <v>0</v>
      </c>
      <c r="W52" s="49">
        <f>IF(Employee!H$61=E$49,Employee!D$61+SUM(N52)+May!W62,SUM(N52)+May!W62)</f>
        <v>0</v>
      </c>
      <c r="X52" s="49">
        <f>IF(O52=" ",May!X62,O52+May!X62)</f>
        <v>0</v>
      </c>
      <c r="Y52" s="49">
        <f>IF(P52=" ",May!Y62,P52+May!Y62)</f>
        <v>0</v>
      </c>
      <c r="Z52" s="49">
        <f>IF(Q52=" ",May!Z62,Q52+May!Z62)</f>
        <v>0</v>
      </c>
      <c r="AA52" s="49">
        <f>IF(R52=" ",May!AA62,R52+May!AA62)</f>
        <v>0</v>
      </c>
      <c r="AC52" s="49">
        <f>IF(T52=" ",May!AC62,T52+May!AC62)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IF(T$49="Y",May!H63,0)</f>
        <v>0</v>
      </c>
      <c r="I53" s="92">
        <f>IF(T$49="Y",May!I63,0)</f>
        <v>0</v>
      </c>
      <c r="J53" s="92">
        <f>IF(T$49="Y",May!J63,0)</f>
        <v>0</v>
      </c>
      <c r="K53" s="92">
        <f>IF(T$49="Y",May!K63,I53*J53)</f>
        <v>0</v>
      </c>
      <c r="L53" s="111">
        <f>IF(T$49="Y",May!L63,0)</f>
        <v>0</v>
      </c>
      <c r="M53" s="100" t="str">
        <f>IF(E53=" "," ",IF(T$49="Y",May!M63,IF((H53+K53+L53)&gt;0,H53+K53+L53,"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IF(Employee!H$87=E$49,Employee!D$86+SUM(M53)+May!V63,SUM(M53)+May!V63)</f>
        <v>0</v>
      </c>
      <c r="W53" s="49">
        <f>IF(Employee!H$87=E$49,Employee!D$87+SUM(N53)+May!W63,SUM(N53)+May!W63)</f>
        <v>0</v>
      </c>
      <c r="X53" s="49">
        <f>IF(O53=" ",May!X63,O53+May!X63)</f>
        <v>0</v>
      </c>
      <c r="Y53" s="49">
        <f>IF(P53=" ",May!Y63,P53+May!Y63)</f>
        <v>0</v>
      </c>
      <c r="Z53" s="49">
        <f>IF(Q53=" ",May!Z63,Q53+May!Z63)</f>
        <v>0</v>
      </c>
      <c r="AA53" s="49">
        <f>IF(R53=" ",May!AA63,R53+May!AA63)</f>
        <v>0</v>
      </c>
      <c r="AC53" s="49">
        <f>IF(T53=" ",May!AC63,T53+May!AC63)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IF(T$49="Y",May!H64,0)</f>
        <v>0</v>
      </c>
      <c r="I54" s="92">
        <f>IF(T$49="Y",May!I64,0)</f>
        <v>0</v>
      </c>
      <c r="J54" s="92">
        <f>IF(T$49="Y",May!J64,0)</f>
        <v>0</v>
      </c>
      <c r="K54" s="92">
        <f>IF(T$49="Y",May!K64,I54*J54)</f>
        <v>0</v>
      </c>
      <c r="L54" s="111">
        <f>IF(T$49="Y",May!L64,0)</f>
        <v>0</v>
      </c>
      <c r="M54" s="100" t="str">
        <f>IF(E54=" "," ",IF(T$49="Y",May!M64,IF((H54+K54+L54)&gt;0,H54+K54+L54,"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IF(Employee!H$113=E$49,Employee!D$112+SUM(M54)+May!V64,SUM(M54)+May!V64)</f>
        <v>0</v>
      </c>
      <c r="W54" s="49">
        <f>IF(Employee!H$113=E$49,Employee!D$113+SUM(N54)+May!W64,SUM(N54)+May!W64)</f>
        <v>0</v>
      </c>
      <c r="X54" s="49">
        <f>IF(O54=" ",May!X64,O54+May!X64)</f>
        <v>0</v>
      </c>
      <c r="Y54" s="49">
        <f>IF(P54=" ",May!Y64,P54+May!Y64)</f>
        <v>0</v>
      </c>
      <c r="Z54" s="49">
        <f>IF(Q54=" ",May!Z64,Q54+May!Z64)</f>
        <v>0</v>
      </c>
      <c r="AA54" s="49">
        <f>IF(R54=" ",May!AA64,R54+May!AA64)</f>
        <v>0</v>
      </c>
      <c r="AC54" s="49">
        <f>IF(T54=" ",May!AC64,T54+May!AC64)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IF(T$49="Y",May!H65,0)</f>
        <v>0</v>
      </c>
      <c r="I55" s="245">
        <f>IF(T$49="Y",May!I65,0)</f>
        <v>0</v>
      </c>
      <c r="J55" s="245">
        <f>IF(T$49="Y",May!J65,0)</f>
        <v>0</v>
      </c>
      <c r="K55" s="245">
        <f>IF(T$49="Y",May!K65,I55*J55)</f>
        <v>0</v>
      </c>
      <c r="L55" s="246">
        <f>IF(T$49="Y",May!L65,0)</f>
        <v>0</v>
      </c>
      <c r="M55" s="100" t="str">
        <f>IF(E55=" "," ",IF(T$49="Y",May!M65,IF((H55+K55+L55)&gt;0,H55+K55+L55,"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IF(Employee!H$139=E$49,Employee!D$138+SUM(M55)+May!V65,SUM(M55)+May!V65)</f>
        <v>0</v>
      </c>
      <c r="W55" s="49">
        <f>IF(Employee!H$139=E$49,Employee!D$139+SUM(N55)+May!W65,SUM(N55)+May!W65)</f>
        <v>0</v>
      </c>
      <c r="X55" s="49">
        <f>IF(O55=" ",May!X65,O55+May!X65)</f>
        <v>0</v>
      </c>
      <c r="Y55" s="49">
        <f>IF(P55=" ",May!Y65,P55+May!Y65)</f>
        <v>0</v>
      </c>
      <c r="Z55" s="49">
        <f>IF(Q55=" ",May!Z65,Q55+May!Z65)</f>
        <v>0</v>
      </c>
      <c r="AA55" s="49">
        <f>IF(R55=" ",May!AA65,R55+May!AA65)</f>
        <v>0</v>
      </c>
      <c r="AC55" s="49">
        <f>IF(T55=" ",May!AC65,T55+May!AC65)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AD60+May!AD75</f>
        <v>0</v>
      </c>
      <c r="AE65" s="158">
        <f>AE60+May!AE75</f>
        <v>0</v>
      </c>
      <c r="AF65" s="158">
        <f>AF60+May!AF75</f>
        <v>0</v>
      </c>
      <c r="AG65" s="158">
        <f>AG60+May!AG75</f>
        <v>0</v>
      </c>
    </row>
    <row r="66" spans="6:33" ht="14" thickTop="1" x14ac:dyDescent="0.15"/>
    <row r="67" spans="6:33" x14ac:dyDescent="0.15">
      <c r="AD67" s="162"/>
      <c r="AE67" s="158">
        <f>AE62+May!AE77</f>
        <v>0</v>
      </c>
      <c r="AF67" s="158">
        <f>AF62+May!AF77</f>
        <v>0</v>
      </c>
      <c r="AG67" s="158">
        <f>AG62+May!AG77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110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IF(Employee!H$34=E$9,Employee!D$34+SUM(M11)+Jun!V41,SUM(M11)+Jun!V41)</f>
        <v>0</v>
      </c>
      <c r="W11" s="49">
        <f>IF(Employee!H$34=E$9,Employee!D$35+SUM(N11)+Jun!W41,SUM(N11)+Jun!W41)</f>
        <v>0</v>
      </c>
      <c r="X11" s="49">
        <f>IF(O11=" ",Jun!X41,O11+Jun!X41)</f>
        <v>0</v>
      </c>
      <c r="Y11" s="49">
        <f>IF(P11=" ",Jun!Y41,P11+Jun!Y41)</f>
        <v>0</v>
      </c>
      <c r="Z11" s="49">
        <f>IF(Q11=" ",Jun!Z41,Q11+Jun!Z41)</f>
        <v>0</v>
      </c>
      <c r="AA11" s="49">
        <f>IF(R11=" ",Jun!AA41,R11+Jun!AA41)</f>
        <v>0</v>
      </c>
      <c r="AC11" s="49">
        <f>IF(T11=" ",Jun!AC41,T11+Jun!AC41)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111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IF(Employee!H$60=E$9,Employee!D$60+SUM(M12)+Jun!V42,SUM(M12)+Jun!V42)</f>
        <v>0</v>
      </c>
      <c r="W12" s="49">
        <f>IF(Employee!H$60=E$9,Employee!D$61+SUM(N12)+Jun!W42,SUM(N12)+Jun!W42)</f>
        <v>0</v>
      </c>
      <c r="X12" s="49">
        <f>IF(O12=" ",Jun!X42,O12+Jun!X42)</f>
        <v>0</v>
      </c>
      <c r="Y12" s="49">
        <f>IF(P12=" ",Jun!Y42,P12+Jun!Y42)</f>
        <v>0</v>
      </c>
      <c r="Z12" s="49">
        <f>IF(Q12=" ",Jun!Z42,Q12+Jun!Z42)</f>
        <v>0</v>
      </c>
      <c r="AA12" s="49">
        <f>IF(R12=" ",Jun!AA42,R12+Jun!AA42)</f>
        <v>0</v>
      </c>
      <c r="AC12" s="49">
        <f>IF(T12=" ",Jun!AC42,T12+Jun!AC42)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111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IF(Employee!H$86=E$9,Employee!D$86+SUM(M13)+Jun!V43,SUM(M13)+Jun!V43)</f>
        <v>0</v>
      </c>
      <c r="W13" s="49">
        <f>IF(Employee!H$86=E$9,Employee!D$87+SUM(N13)+Jun!W43,SUM(N13)+Jun!W43)</f>
        <v>0</v>
      </c>
      <c r="X13" s="49">
        <f>IF(O13=" ",Jun!X43,O13+Jun!X43)</f>
        <v>0</v>
      </c>
      <c r="Y13" s="49">
        <f>IF(P13=" ",Jun!Y43,P13+Jun!Y43)</f>
        <v>0</v>
      </c>
      <c r="Z13" s="49">
        <f>IF(Q13=" ",Jun!Z43,Q13+Jun!Z43)</f>
        <v>0</v>
      </c>
      <c r="AA13" s="49">
        <f>IF(R13=" ",Jun!AA43,R13+Jun!AA43)</f>
        <v>0</v>
      </c>
      <c r="AC13" s="49">
        <f>IF(T13=" ",Jun!AC43,T13+Jun!AC43)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111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IF(Employee!H$112=E$9,Employee!D$112+SUM(M14)+Jun!V44,SUM(M14)+Jun!V44)</f>
        <v>0</v>
      </c>
      <c r="W14" s="49">
        <f>IF(Employee!H$112=E$9,Employee!D$113+SUM(N14)+Jun!W44,SUM(N14)+Jun!W44)</f>
        <v>0</v>
      </c>
      <c r="X14" s="49">
        <f>IF(O14=" ",Jun!X44,O14+Jun!X44)</f>
        <v>0</v>
      </c>
      <c r="Y14" s="49">
        <f>IF(P14=" ",Jun!Y44,P14+Jun!Y44)</f>
        <v>0</v>
      </c>
      <c r="Z14" s="49">
        <f>IF(Q14=" ",Jun!Z44,Q14+Jun!Z44)</f>
        <v>0</v>
      </c>
      <c r="AA14" s="49">
        <f>IF(R14=" ",Jun!AA44,R14+Jun!AA44)</f>
        <v>0</v>
      </c>
      <c r="AC14" s="49">
        <f>IF(T14=" ",Jun!AC44,T14+Jun!AC44)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6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IF(Employee!H$138=E$9,Employee!D$138+SUM(M15)+Jun!V45,SUM(M15)+Jun!V45)</f>
        <v>0</v>
      </c>
      <c r="W15" s="49">
        <f>IF(Employee!H$138=E$9,Employee!D$139+SUM(N15)+Jun!W45,SUM(N15)+Jun!W45)</f>
        <v>0</v>
      </c>
      <c r="X15" s="49">
        <f>IF(O15=" ",Jun!X45,O15+Jun!X45)</f>
        <v>0</v>
      </c>
      <c r="Y15" s="49">
        <f>IF(P15=" ",Jun!Y45,P15+Jun!Y45)</f>
        <v>0</v>
      </c>
      <c r="Z15" s="49">
        <f>IF(Q15=" ",Jun!Z45,Q15+Jun!Z45)</f>
        <v>0</v>
      </c>
      <c r="AA15" s="49">
        <f>IF(R15=" ",Jun!AA45,R15+Jun!AA45)</f>
        <v>0</v>
      </c>
      <c r="AC15" s="49">
        <f>IF(T15=" ",Jun!AC45,T15+Jun!AC45)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IF(T$49="Y",Jun!H51,0)</f>
        <v>0</v>
      </c>
      <c r="I51" s="89">
        <f>IF(T$49="Y",Jun!I51,0)</f>
        <v>0</v>
      </c>
      <c r="J51" s="89">
        <f>IF(T$49="Y",Jun!J51,0)</f>
        <v>0</v>
      </c>
      <c r="K51" s="89">
        <f>IF(T$49="Y",Jun!K51,I51*J51)</f>
        <v>0</v>
      </c>
      <c r="L51" s="110">
        <f>IF(T$49="Y",Jun!L51,0)</f>
        <v>0</v>
      </c>
      <c r="M51" s="99" t="str">
        <f>IF(E51=" "," ",IF(T$49="Y",Jun!M51,IF((H51+K51+L51)&gt;0,H51+K51+L51,"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IF(Employee!H$35=E$49,Employee!D$34+SUM(M51)+Jun!V51,SUM(M51)+Jun!V51)</f>
        <v>0</v>
      </c>
      <c r="W51" s="49">
        <f>IF(Employee!H$35=E$49,Employee!D$35+SUM(N51)+Jun!W51,SUM(N51)+Jun!W51)</f>
        <v>0</v>
      </c>
      <c r="X51" s="49">
        <f>IF(O51=" ",Jun!X51,O51+Jun!X51)</f>
        <v>0</v>
      </c>
      <c r="Y51" s="49">
        <f>IF(P51=" ",Jun!Y51,P51+Jun!Y51)</f>
        <v>0</v>
      </c>
      <c r="Z51" s="49">
        <f>IF(Q51=" ",Jun!Z51,Q51+Jun!Z51)</f>
        <v>0</v>
      </c>
      <c r="AA51" s="49">
        <f>IF(R51=" ",Jun!AA51,R51+Jun!AA51)</f>
        <v>0</v>
      </c>
      <c r="AC51" s="49">
        <f>IF(T51=" ",Jun!AC51,T51+Jun!AC51)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IF(T$49="Y",Jun!H52,0)</f>
        <v>0</v>
      </c>
      <c r="I52" s="92">
        <f>IF(T$49="Y",Jun!I52,0)</f>
        <v>0</v>
      </c>
      <c r="J52" s="92">
        <f>IF(T$49="Y",Jun!J52,0)</f>
        <v>0</v>
      </c>
      <c r="K52" s="92">
        <f>IF(T$49="Y",Jun!K52,I52*J52)</f>
        <v>0</v>
      </c>
      <c r="L52" s="111">
        <f>IF(T$49="Y",Jun!L52,0)</f>
        <v>0</v>
      </c>
      <c r="M52" s="100" t="str">
        <f>IF(E52=" "," ",IF(T$49="Y",Jun!M52,IF((H52+K52+L52)&gt;0,H52+K52+L52,"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IF(Employee!H$61=E$49,Employee!D$60+SUM(M52)+Jun!V52,SUM(M52)+Jun!V52)</f>
        <v>0</v>
      </c>
      <c r="W52" s="49">
        <f>IF(Employee!H$61=E$49,Employee!D$61+SUM(N52)+Jun!W52,SUM(N52)+Jun!W52)</f>
        <v>0</v>
      </c>
      <c r="X52" s="49">
        <f>IF(O52=" ",Jun!X52,O52+Jun!X52)</f>
        <v>0</v>
      </c>
      <c r="Y52" s="49">
        <f>IF(P52=" ",Jun!Y52,P52+Jun!Y52)</f>
        <v>0</v>
      </c>
      <c r="Z52" s="49">
        <f>IF(Q52=" ",Jun!Z52,Q52+Jun!Z52)</f>
        <v>0</v>
      </c>
      <c r="AA52" s="49">
        <f>IF(R52=" ",Jun!AA52,R52+Jun!AA52)</f>
        <v>0</v>
      </c>
      <c r="AC52" s="49">
        <f>IF(T52=" ",Jun!AC52,T52+Jun!AC52)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IF(T$49="Y",Jun!H53,0)</f>
        <v>0</v>
      </c>
      <c r="I53" s="92">
        <f>IF(T$49="Y",Jun!I53,0)</f>
        <v>0</v>
      </c>
      <c r="J53" s="92">
        <f>IF(T$49="Y",Jun!J53,0)</f>
        <v>0</v>
      </c>
      <c r="K53" s="92">
        <f>IF(T$49="Y",Jun!K53,I53*J53)</f>
        <v>0</v>
      </c>
      <c r="L53" s="111">
        <f>IF(T$49="Y",Jun!L53,0)</f>
        <v>0</v>
      </c>
      <c r="M53" s="100" t="str">
        <f>IF(E53=" "," ",IF(T$49="Y",Jun!M53,IF((H53+K53+L53)&gt;0,H53+K53+L53,"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IF(Employee!H$87=E$49,Employee!D$86+SUM(M53)+Jun!V53,SUM(M53)+Jun!V53)</f>
        <v>0</v>
      </c>
      <c r="W53" s="49">
        <f>IF(Employee!H$87=E$49,Employee!D$87+SUM(N53)+Jun!W53,SUM(N53)+Jun!W53)</f>
        <v>0</v>
      </c>
      <c r="X53" s="49">
        <f>IF(O53=" ",Jun!X53,O53+Jun!X53)</f>
        <v>0</v>
      </c>
      <c r="Y53" s="49">
        <f>IF(P53=" ",Jun!Y53,P53+Jun!Y53)</f>
        <v>0</v>
      </c>
      <c r="Z53" s="49">
        <f>IF(Q53=" ",Jun!Z53,Q53+Jun!Z53)</f>
        <v>0</v>
      </c>
      <c r="AA53" s="49">
        <f>IF(R53=" ",Jun!AA53,R53+Jun!AA53)</f>
        <v>0</v>
      </c>
      <c r="AC53" s="49">
        <f>IF(T53=" ",Jun!AC53,T53+Jun!AC53)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IF(T$49="Y",Jun!H54,0)</f>
        <v>0</v>
      </c>
      <c r="I54" s="92">
        <f>IF(T$49="Y",Jun!I54,0)</f>
        <v>0</v>
      </c>
      <c r="J54" s="92">
        <f>IF(T$49="Y",Jun!J54,0)</f>
        <v>0</v>
      </c>
      <c r="K54" s="92">
        <f>IF(T$49="Y",Jun!K54,I54*J54)</f>
        <v>0</v>
      </c>
      <c r="L54" s="111">
        <f>IF(T$49="Y",Jun!L54,0)</f>
        <v>0</v>
      </c>
      <c r="M54" s="100" t="str">
        <f>IF(E54=" "," ",IF(T$49="Y",Jun!M54,IF((H54+K54+L54)&gt;0,H54+K54+L54,"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IF(Employee!H$113=E$49,Employee!D$112+SUM(M54)+Jun!V54,SUM(M54)+Jun!V54)</f>
        <v>0</v>
      </c>
      <c r="W54" s="49">
        <f>IF(Employee!H$113=E$49,Employee!D$113+SUM(N54)+Jun!W54,SUM(N54)+Jun!W54)</f>
        <v>0</v>
      </c>
      <c r="X54" s="49">
        <f>IF(O54=" ",Jun!X54,O54+Jun!X54)</f>
        <v>0</v>
      </c>
      <c r="Y54" s="49">
        <f>IF(P54=" ",Jun!Y54,P54+Jun!Y54)</f>
        <v>0</v>
      </c>
      <c r="Z54" s="49">
        <f>IF(Q54=" ",Jun!Z54,Q54+Jun!Z54)</f>
        <v>0</v>
      </c>
      <c r="AA54" s="49">
        <f>IF(R54=" ",Jun!AA54,R54+Jun!AA54)</f>
        <v>0</v>
      </c>
      <c r="AC54" s="49">
        <f>IF(T54=" ",Jun!AC54,T54+Jun!AC54)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IF(T$49="Y",Jun!H55,0)</f>
        <v>0</v>
      </c>
      <c r="I55" s="245">
        <f>IF(T$49="Y",Jun!I55,0)</f>
        <v>0</v>
      </c>
      <c r="J55" s="245">
        <f>IF(T$49="Y",Jun!J55,0)</f>
        <v>0</v>
      </c>
      <c r="K55" s="245">
        <f>IF(T$49="Y",Jun!K55,I55*J55)</f>
        <v>0</v>
      </c>
      <c r="L55" s="246">
        <f>IF(T$49="Y",Jun!L55,0)</f>
        <v>0</v>
      </c>
      <c r="M55" s="100" t="str">
        <f>IF(E55=" "," ",IF(T$49="Y",Jun!M55,IF((H55+K55+L55)&gt;0,H55+K55+L55,"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IF(Employee!H$139=E$49,Employee!D$138+SUM(M55)+Jun!V55,SUM(M55)+Jun!V55)</f>
        <v>0</v>
      </c>
      <c r="W55" s="49">
        <f>IF(Employee!H$139=E$49,Employee!D$139+SUM(N55)+Jun!W55,SUM(N55)+Jun!W55)</f>
        <v>0</v>
      </c>
      <c r="X55" s="49">
        <f>IF(O55=" ",Jun!X55,O55+Jun!X55)</f>
        <v>0</v>
      </c>
      <c r="Y55" s="49">
        <f>IF(P55=" ",Jun!Y55,P55+Jun!Y55)</f>
        <v>0</v>
      </c>
      <c r="Z55" s="49">
        <f>IF(Q55=" ",Jun!Z55,Q55+Jun!Z55)</f>
        <v>0</v>
      </c>
      <c r="AA55" s="49">
        <f>IF(R55=" ",Jun!AA55,R55+Jun!AA55)</f>
        <v>0</v>
      </c>
      <c r="AC55" s="49">
        <f>IF(T55=" ",Jun!AC55,T55+Jun!AC55)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AD60+Jun!AD65</f>
        <v>0</v>
      </c>
      <c r="AE65" s="158">
        <f>AE60+Jun!AE65</f>
        <v>0</v>
      </c>
      <c r="AF65" s="158">
        <f>AF60+Jun!AF65</f>
        <v>0</v>
      </c>
      <c r="AG65" s="158">
        <f>AG60+Jun!AG65</f>
        <v>0</v>
      </c>
    </row>
    <row r="66" spans="6:33" ht="14" thickTop="1" x14ac:dyDescent="0.15"/>
    <row r="67" spans="6:33" x14ac:dyDescent="0.15">
      <c r="AD67" s="162"/>
      <c r="AE67" s="158">
        <f>AE62+Jun!AE67</f>
        <v>0</v>
      </c>
      <c r="AF67" s="158">
        <f>AF62+Jun!AF67</f>
        <v>0</v>
      </c>
      <c r="AG67" s="158">
        <f>AG62+Jun!AG67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Jul!M39+1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f>IF(T$9="Y",Jul!K41,I11*J11)</f>
        <v>0</v>
      </c>
      <c r="L11" s="110">
        <f>IF(T$9="Y",Jul!L41,0)</f>
        <v>0</v>
      </c>
      <c r="M11" s="110" t="str">
        <f>IF(E11=" "," ",IF(T$9="Y",Jul!M41,IF((H11+K11+L11)&gt;0,H11+K11+L11,"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IF(T$9="Y",Jul!H42,0)</f>
        <v>0</v>
      </c>
      <c r="I12" s="92">
        <f>IF(T$9="Y",Jul!I42,0)</f>
        <v>0</v>
      </c>
      <c r="J12" s="92">
        <f>IF(T$9="Y",Jul!J42,0)</f>
        <v>0</v>
      </c>
      <c r="K12" s="92">
        <f>IF(T$9="Y",Jul!K42,I12*J12)</f>
        <v>0</v>
      </c>
      <c r="L12" s="111">
        <f>IF(T$9="Y",Jul!L42,0)</f>
        <v>0</v>
      </c>
      <c r="M12" s="111" t="str">
        <f>IF(E12=" "," ",IF(T$9="Y",Jul!M42,IF((H12+K12+L12)&gt;0,H12+K12+L12,"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IF(T$9="Y",Jul!H43,0)</f>
        <v>0</v>
      </c>
      <c r="I13" s="92">
        <f>IF(T$9="Y",Jul!I43,0)</f>
        <v>0</v>
      </c>
      <c r="J13" s="92">
        <f>IF(T$9="Y",Jul!J43,0)</f>
        <v>0</v>
      </c>
      <c r="K13" s="92">
        <f>IF(T$9="Y",Jul!K43,I13*J13)</f>
        <v>0</v>
      </c>
      <c r="L13" s="111">
        <f>IF(T$9="Y",Jul!L43,0)</f>
        <v>0</v>
      </c>
      <c r="M13" s="111" t="str">
        <f>IF(E13=" "," ",IF(T$9="Y",Jul!M43,IF((H13+K13+L13)&gt;0,H13+K13+L13,"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IF(T$9="Y",Jul!H44,0)</f>
        <v>0</v>
      </c>
      <c r="I14" s="92">
        <f>IF(T$9="Y",Jul!I44,0)</f>
        <v>0</v>
      </c>
      <c r="J14" s="92">
        <f>IF(T$9="Y",Jul!J44,0)</f>
        <v>0</v>
      </c>
      <c r="K14" s="92">
        <f>IF(T$9="Y",Jul!K44,I14*J14)</f>
        <v>0</v>
      </c>
      <c r="L14" s="111">
        <f>IF(T$9="Y",Jul!L44,0)</f>
        <v>0</v>
      </c>
      <c r="M14" s="111" t="str">
        <f>IF(E14=" "," ",IF(T$9="Y",Jul!M44,IF((H14+K14+L14)&gt;0,H14+K14+L14,"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IF(T$9="Y",Jul!H45,0)</f>
        <v>0</v>
      </c>
      <c r="I15" s="245">
        <f>IF(T$9="Y",Jul!I45,0)</f>
        <v>0</v>
      </c>
      <c r="J15" s="245">
        <f>IF(T$9="Y",Jul!J45,0)</f>
        <v>0</v>
      </c>
      <c r="K15" s="245">
        <f>IF(T$9="Y",Jul!K45,I15*J15)</f>
        <v>0</v>
      </c>
      <c r="L15" s="246">
        <f>IF(T$9="Y",Jul!L45,0)</f>
        <v>0</v>
      </c>
      <c r="M15" s="111" t="str">
        <f>IF(E15=" "," ",IF(T$9="Y",Jul!M45,IF((H15+K15+L15)&gt;0,H15+K15+L15,"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IF(T$59="Y",Jul!H51,0)</f>
        <v>0</v>
      </c>
      <c r="I61" s="89">
        <f>IF(T$59="Y",Jul!I51,0)</f>
        <v>0</v>
      </c>
      <c r="J61" s="89">
        <f>IF(T$59="Y",Jul!J51,0)</f>
        <v>0</v>
      </c>
      <c r="K61" s="89">
        <f>IF(T$59="Y",Jul!K51,I61*J61)</f>
        <v>0</v>
      </c>
      <c r="L61" s="110">
        <f>IF(T$59="Y",Jul!L51,0)</f>
        <v>0</v>
      </c>
      <c r="M61" s="99" t="str">
        <f>IF(E61=" "," ",IF(T$59="Y",Jul!M51,IF((H61+K61+L61)&gt;0,H61+K61+L61,"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IF(Employee!H$35=E$59,Employee!D$34+SUM(M61)+Jul!V51,SUM(M61)+Jul!V51)</f>
        <v>0</v>
      </c>
      <c r="W61" s="49">
        <f>IF(Employee!H$35=E$59,Employee!D$35+SUM(N61)+Jul!W51,SUM(N61)+Jul!W51)</f>
        <v>0</v>
      </c>
      <c r="X61" s="49">
        <f>IF(O61=" ",Jul!X51,O61+Jul!X51)</f>
        <v>0</v>
      </c>
      <c r="Y61" s="49">
        <f>IF(P61=" ",Jul!Y51,P61+Jul!Y51)</f>
        <v>0</v>
      </c>
      <c r="Z61" s="49">
        <f>IF(Q61=" ",Jul!Z51,Q61+Jul!Z51)</f>
        <v>0</v>
      </c>
      <c r="AA61" s="49">
        <f>IF(R61=" ",Jul!AA51,R61+Jul!AA51)</f>
        <v>0</v>
      </c>
      <c r="AC61" s="49">
        <f>IF(T61=" ",Jul!AC51,T61+Jul!AC51)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IF(T$59="Y",Jul!H52,0)</f>
        <v>0</v>
      </c>
      <c r="I62" s="92">
        <f>IF(T$59="Y",Jul!I52,0)</f>
        <v>0</v>
      </c>
      <c r="J62" s="92">
        <f>IF(T$59="Y",Jul!J52,0)</f>
        <v>0</v>
      </c>
      <c r="K62" s="92">
        <f>IF(T$59="Y",Jul!K52,I62*J62)</f>
        <v>0</v>
      </c>
      <c r="L62" s="111">
        <f>IF(T$59="Y",Jul!L52,0)</f>
        <v>0</v>
      </c>
      <c r="M62" s="100" t="str">
        <f>IF(E62=" "," ",IF(T$59="Y",Jul!M52,IF((H62+K62+L62)&gt;0,H62+K62+L62,"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IF(Employee!H$61=E$59,Employee!D$60+SUM(M62)+Jul!V52,SUM(M62)+Jul!V52)</f>
        <v>0</v>
      </c>
      <c r="W62" s="49">
        <f>IF(Employee!H$61=E$59,Employee!D$61+SUM(N62)+Jul!W52,SUM(N62)+Jul!W52)</f>
        <v>0</v>
      </c>
      <c r="X62" s="49">
        <f>IF(O62=" ",Jul!X52,O62+Jul!X52)</f>
        <v>0</v>
      </c>
      <c r="Y62" s="49">
        <f>IF(P62=" ",Jul!Y52,P62+Jul!Y52)</f>
        <v>0</v>
      </c>
      <c r="Z62" s="49">
        <f>IF(Q62=" ",Jul!Z52,Q62+Jul!Z52)</f>
        <v>0</v>
      </c>
      <c r="AA62" s="49">
        <f>IF(R62=" ",Jul!AA52,R62+Jul!AA52)</f>
        <v>0</v>
      </c>
      <c r="AC62" s="49">
        <f>IF(T62=" ",Jul!AC52,T62+Jul!AC52)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IF(T$59="Y",Jul!H53,0)</f>
        <v>0</v>
      </c>
      <c r="I63" s="92">
        <f>IF(T$59="Y",Jul!I53,0)</f>
        <v>0</v>
      </c>
      <c r="J63" s="92">
        <f>IF(T$59="Y",Jul!J53,0)</f>
        <v>0</v>
      </c>
      <c r="K63" s="92">
        <f>IF(T$59="Y",Jul!K53,I63*J63)</f>
        <v>0</v>
      </c>
      <c r="L63" s="111">
        <f>IF(T$59="Y",Jul!L53,0)</f>
        <v>0</v>
      </c>
      <c r="M63" s="100" t="str">
        <f>IF(E63=" "," ",IF(T$59="Y",Jul!M53,IF((H63+K63+L63)&gt;0,H63+K63+L63,"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IF(Employee!H$87=E$59,Employee!D$86+SUM(M63)+Jul!V53,SUM(M63)+Jul!V53)</f>
        <v>0</v>
      </c>
      <c r="W63" s="49">
        <f>IF(Employee!H$87=E$59,Employee!D$87+SUM(N63)+Jul!W53,SUM(N63)+Jul!W53)</f>
        <v>0</v>
      </c>
      <c r="X63" s="49">
        <f>IF(O63=" ",Jul!X53,O63+Jul!X53)</f>
        <v>0</v>
      </c>
      <c r="Y63" s="49">
        <f>IF(P63=" ",Jul!Y53,P63+Jul!Y53)</f>
        <v>0</v>
      </c>
      <c r="Z63" s="49">
        <f>IF(Q63=" ",Jul!Z53,Q63+Jul!Z53)</f>
        <v>0</v>
      </c>
      <c r="AA63" s="49">
        <f>IF(R63=" ",Jul!AA53,R63+Jul!AA53)</f>
        <v>0</v>
      </c>
      <c r="AC63" s="49">
        <f>IF(T63=" ",Jul!AC53,T63+Jul!AC53)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IF(T$59="Y",Jul!H54,0)</f>
        <v>0</v>
      </c>
      <c r="I64" s="92">
        <f>IF(T$59="Y",Jul!I54,0)</f>
        <v>0</v>
      </c>
      <c r="J64" s="92">
        <f>IF(T$59="Y",Jul!J54,0)</f>
        <v>0</v>
      </c>
      <c r="K64" s="92">
        <f>IF(T$59="Y",Jul!K54,I64*J64)</f>
        <v>0</v>
      </c>
      <c r="L64" s="111">
        <f>IF(T$59="Y",Jul!L54,0)</f>
        <v>0</v>
      </c>
      <c r="M64" s="100" t="str">
        <f>IF(E64=" "," ",IF(T$59="Y",Jul!M54,IF((H64+K64+L64)&gt;0,H64+K64+L64,"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IF(Employee!H$113=E$59,Employee!D$112+SUM(M64)+Jul!V54,SUM(M64)+Jul!V54)</f>
        <v>0</v>
      </c>
      <c r="W64" s="49">
        <f>IF(Employee!H$113=E$59,Employee!D$113+SUM(N64)+Jul!W54,SUM(N64)+Jul!W54)</f>
        <v>0</v>
      </c>
      <c r="X64" s="49">
        <f>IF(O64=" ",Jul!X54,O64+Jul!X54)</f>
        <v>0</v>
      </c>
      <c r="Y64" s="49">
        <f>IF(P64=" ",Jul!Y54,P64+Jul!Y54)</f>
        <v>0</v>
      </c>
      <c r="Z64" s="49">
        <f>IF(Q64=" ",Jul!Z54,Q64+Jul!Z54)</f>
        <v>0</v>
      </c>
      <c r="AA64" s="49">
        <f>IF(R64=" ",Jul!AA54,R64+Jul!AA54)</f>
        <v>0</v>
      </c>
      <c r="AC64" s="49">
        <f>IF(T64=" ",Jul!AC54,T64+Jul!AC54)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IF(T$59="Y",Jul!H55,0)</f>
        <v>0</v>
      </c>
      <c r="I65" s="245">
        <f>IF(T$59="Y",Jul!I55,0)</f>
        <v>0</v>
      </c>
      <c r="J65" s="245">
        <f>IF(T$59="Y",Jul!J55,0)</f>
        <v>0</v>
      </c>
      <c r="K65" s="245">
        <f>IF(T$59="Y",Jul!K55,I65*J65)</f>
        <v>0</v>
      </c>
      <c r="L65" s="246">
        <f>IF(T$59="Y",Jul!L55,0)</f>
        <v>0</v>
      </c>
      <c r="M65" s="100" t="str">
        <f>IF(E65=" "," ",IF(T$59="Y",Jul!M55,IF((H65+K65+L65)&gt;0,H65+K65+L65,"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IF(Employee!H$139=E$59,Employee!D$138+SUM(M65)+Jul!V55,SUM(M65)+Jul!V55)</f>
        <v>0</v>
      </c>
      <c r="W65" s="49">
        <f>IF(Employee!H$139=E$59,Employee!D$139+SUM(N65)+Jul!W55,SUM(N65)+Jul!W55)</f>
        <v>0</v>
      </c>
      <c r="X65" s="49">
        <f>IF(O65=" ",Jul!X55,O65+Jul!X55)</f>
        <v>0</v>
      </c>
      <c r="Y65" s="49">
        <f>IF(P65=" ",Jul!Y55,P65+Jul!Y55)</f>
        <v>0</v>
      </c>
      <c r="Z65" s="49">
        <f>IF(Q65=" ",Jul!Z55,Q65+Jul!Z55)</f>
        <v>0</v>
      </c>
      <c r="AA65" s="49">
        <f>IF(R65=" ",Jul!AA55,R65+Jul!AA55)</f>
        <v>0</v>
      </c>
      <c r="AC65" s="49">
        <f>IF(T65=" ",Jul!AC55,T65+Jul!AC55)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AD70+Jul!AD65</f>
        <v>0</v>
      </c>
      <c r="AE75" s="158">
        <f>AE70+Jul!AE65</f>
        <v>0</v>
      </c>
      <c r="AF75" s="158">
        <f>AF70+Jul!AF65</f>
        <v>0</v>
      </c>
      <c r="AG75" s="158">
        <f>AG70+Jul!AG65</f>
        <v>0</v>
      </c>
    </row>
    <row r="76" spans="1:34" ht="14" thickTop="1" x14ac:dyDescent="0.15"/>
    <row r="77" spans="1:34" x14ac:dyDescent="0.15">
      <c r="AD77" s="162"/>
      <c r="AE77" s="158">
        <f>AE72+Jul!AE67</f>
        <v>0</v>
      </c>
      <c r="AF77" s="158">
        <f>AF72+Jul!AF67</f>
        <v>0</v>
      </c>
      <c r="AG77" s="158">
        <f>AG72+Jul!AG67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Aug!M49+1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IF(T$9="Y",Aug!H51,0)</f>
        <v>0</v>
      </c>
      <c r="I11" s="89">
        <f>IF(T$9="Y",Aug!I51,0)</f>
        <v>0</v>
      </c>
      <c r="J11" s="89">
        <f>IF(T$9="Y",Aug!J51,0)</f>
        <v>0</v>
      </c>
      <c r="K11" s="89">
        <f>IF(T$9="Y",Aug!K51,I11*J11)</f>
        <v>0</v>
      </c>
      <c r="L11" s="110">
        <f>IF(T$9="Y",Aug!L51,0)</f>
        <v>0</v>
      </c>
      <c r="M11" s="110" t="str">
        <f>IF(E11=" "," ",IF(T$9="Y",Aug!M51,IF((H11+K11+L11)&gt;0,H11+K11+L11,"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IF(Employee!H$34=E$9,Employee!D$34+SUM(M11)+Aug!V51,SUM(M11)+Aug!V51)</f>
        <v>0</v>
      </c>
      <c r="W11" s="49">
        <f>IF(Employee!H$34=E$9,Employee!D$35+SUM(N11)+Aug!W51,SUM(N11)+Aug!W51)</f>
        <v>0</v>
      </c>
      <c r="X11" s="49">
        <f>IF(O11=" ",Aug!X51,O11+Aug!X51)</f>
        <v>0</v>
      </c>
      <c r="Y11" s="49">
        <f>IF(P11=" ",Aug!Y51,P11+Aug!Y51)</f>
        <v>0</v>
      </c>
      <c r="Z11" s="49">
        <f>IF(Q11=" ",Aug!Z51,Q11+Aug!Z51)</f>
        <v>0</v>
      </c>
      <c r="AA11" s="49">
        <f>IF(R11=" ",Aug!AA51,R11+Aug!AA51)</f>
        <v>0</v>
      </c>
      <c r="AC11" s="49">
        <f>IF(T11=" ",Aug!AC51,T11+Aug!AC51)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IF(T$9="Y",Aug!H52,0)</f>
        <v>0</v>
      </c>
      <c r="I12" s="92">
        <f>IF(T$9="Y",Aug!I52,0)</f>
        <v>0</v>
      </c>
      <c r="J12" s="92">
        <f>IF(T$9="Y",Aug!J52,0)</f>
        <v>0</v>
      </c>
      <c r="K12" s="92">
        <f>IF(T$9="Y",Aug!K52,I12*J12)</f>
        <v>0</v>
      </c>
      <c r="L12" s="111">
        <f>IF(T$9="Y",Aug!L52,0)</f>
        <v>0</v>
      </c>
      <c r="M12" s="111" t="str">
        <f>IF(E12=" "," ",IF(T$9="Y",Aug!M52,IF((H12+K12+L12)&gt;0,H12+K12+L12,"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IF(Employee!H$60=E$9,Employee!D$60+SUM(M12)+Aug!V52,SUM(M12)+Aug!V52)</f>
        <v>0</v>
      </c>
      <c r="W12" s="49">
        <f>IF(Employee!H$60=E$9,Employee!D$61+SUM(N12)+Aug!W52,SUM(N12)+Aug!W52)</f>
        <v>0</v>
      </c>
      <c r="X12" s="49">
        <f>IF(O12=" ",Aug!X52,O12+Aug!X52)</f>
        <v>0</v>
      </c>
      <c r="Y12" s="49">
        <f>IF(P12=" ",Aug!Y52,P12+Aug!Y52)</f>
        <v>0</v>
      </c>
      <c r="Z12" s="49">
        <f>IF(Q12=" ",Aug!Z52,Q12+Aug!Z52)</f>
        <v>0</v>
      </c>
      <c r="AA12" s="49">
        <f>IF(R12=" ",Aug!AA52,R12+Aug!AA52)</f>
        <v>0</v>
      </c>
      <c r="AC12" s="49">
        <f>IF(T12=" ",Aug!AC52,T12+Aug!AC52)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IF(T$9="Y",Aug!H53,0)</f>
        <v>0</v>
      </c>
      <c r="I13" s="92">
        <f>IF(T$9="Y",Aug!I53,0)</f>
        <v>0</v>
      </c>
      <c r="J13" s="92">
        <f>IF(T$9="Y",Aug!J53,0)</f>
        <v>0</v>
      </c>
      <c r="K13" s="92">
        <f>IF(T$9="Y",Aug!K53,I13*J13)</f>
        <v>0</v>
      </c>
      <c r="L13" s="111">
        <f>IF(T$9="Y",Aug!L53,0)</f>
        <v>0</v>
      </c>
      <c r="M13" s="111" t="str">
        <f>IF(E13=" "," ",IF(T$9="Y",Aug!M53,IF((H13+K13+L13)&gt;0,H13+K13+L13,"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IF(Employee!H$86=E$9,Employee!D$86+SUM(M13)+Aug!V53,SUM(M13)+Aug!V53)</f>
        <v>0</v>
      </c>
      <c r="W13" s="49">
        <f>IF(Employee!H$86=E$9,Employee!D$87+SUM(N13)+Aug!W53,SUM(N13)+Aug!W53)</f>
        <v>0</v>
      </c>
      <c r="X13" s="49">
        <f>IF(O13=" ",Aug!X53,O13+Aug!X53)</f>
        <v>0</v>
      </c>
      <c r="Y13" s="49">
        <f>IF(P13=" ",Aug!Y53,P13+Aug!Y53)</f>
        <v>0</v>
      </c>
      <c r="Z13" s="49">
        <f>IF(Q13=" ",Aug!Z53,Q13+Aug!Z53)</f>
        <v>0</v>
      </c>
      <c r="AA13" s="49">
        <f>IF(R13=" ",Aug!AA53,R13+Aug!AA53)</f>
        <v>0</v>
      </c>
      <c r="AC13" s="49">
        <f>IF(T13=" ",Aug!AC53,T13+Aug!AC53)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IF(T$9="Y",Aug!H54,0)</f>
        <v>0</v>
      </c>
      <c r="I14" s="92">
        <f>IF(T$9="Y",Aug!I54,0)</f>
        <v>0</v>
      </c>
      <c r="J14" s="92">
        <f>IF(T$9="Y",Aug!J54,0)</f>
        <v>0</v>
      </c>
      <c r="K14" s="92">
        <f>IF(T$9="Y",Aug!K54,I14*J14)</f>
        <v>0</v>
      </c>
      <c r="L14" s="111">
        <f>IF(T$9="Y",Aug!L54,0)</f>
        <v>0</v>
      </c>
      <c r="M14" s="111" t="str">
        <f>IF(E14=" "," ",IF(T$9="Y",Aug!M54,IF((H14+K14+L14)&gt;0,H14+K14+L14,"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IF(Employee!H$112=E$9,Employee!D$112+SUM(M14)+Aug!V54,SUM(M14)+Aug!V54)</f>
        <v>0</v>
      </c>
      <c r="W14" s="49">
        <f>IF(Employee!H$112=E$9,Employee!D$113+SUM(N14)+Aug!W54,SUM(N14)+Aug!W54)</f>
        <v>0</v>
      </c>
      <c r="X14" s="49">
        <f>IF(O14=" ",Aug!X54,O14+Aug!X54)</f>
        <v>0</v>
      </c>
      <c r="Y14" s="49">
        <f>IF(P14=" ",Aug!Y54,P14+Aug!Y54)</f>
        <v>0</v>
      </c>
      <c r="Z14" s="49">
        <f>IF(Q14=" ",Aug!Z54,Q14+Aug!Z54)</f>
        <v>0</v>
      </c>
      <c r="AA14" s="49">
        <f>IF(R14=" ",Aug!AA54,R14+Aug!AA54)</f>
        <v>0</v>
      </c>
      <c r="AC14" s="49">
        <f>IF(T14=" ",Aug!AC54,T14+Aug!AC54)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IF(T$9="Y",Aug!H55,0)</f>
        <v>0</v>
      </c>
      <c r="I15" s="245">
        <f>IF(T$9="Y",Aug!I55,0)</f>
        <v>0</v>
      </c>
      <c r="J15" s="245">
        <f>IF(T$9="Y",Aug!J55,0)</f>
        <v>0</v>
      </c>
      <c r="K15" s="245">
        <f>IF(T$9="Y",Aug!K55,I15*J15)</f>
        <v>0</v>
      </c>
      <c r="L15" s="246">
        <f>IF(T$9="Y",Aug!L55,0)</f>
        <v>0</v>
      </c>
      <c r="M15" s="111" t="str">
        <f>IF(E15=" "," ",IF(T$9="Y",Aug!M55,IF((H15+K15+L15)&gt;0,H15+K15+L15,"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IF(Employee!H$138=E$9,Employee!D$138+SUM(M15)+Aug!V55,SUM(M15)+Aug!V55)</f>
        <v>0</v>
      </c>
      <c r="W15" s="49">
        <f>IF(Employee!H$138=E$9,Employee!D$139+SUM(N15)+Aug!W55,SUM(N15)+Aug!W55)</f>
        <v>0</v>
      </c>
      <c r="X15" s="49">
        <f>IF(O15=" ",Aug!X55,O15+Aug!X55)</f>
        <v>0</v>
      </c>
      <c r="Y15" s="49">
        <f>IF(P15=" ",Aug!Y55,P15+Aug!Y55)</f>
        <v>0</v>
      </c>
      <c r="Z15" s="49">
        <f>IF(Q15=" ",Aug!Z55,Q15+Aug!Z55)</f>
        <v>0</v>
      </c>
      <c r="AA15" s="49">
        <f>IF(R15=" ",Aug!AA55,R15+Aug!AA55)</f>
        <v>0</v>
      </c>
      <c r="AC15" s="49">
        <f>IF(T15=" ",Aug!AC55,T15+Aug!AC55)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IF(T$49="Y",Aug!H61,0)</f>
        <v>0</v>
      </c>
      <c r="I51" s="89">
        <f>IF(T$49="Y",Aug!I61,0)</f>
        <v>0</v>
      </c>
      <c r="J51" s="89">
        <f>IF(T$49="Y",Aug!J61,0)</f>
        <v>0</v>
      </c>
      <c r="K51" s="89">
        <f>IF(T$49="Y",Aug!K61,I51*J51)</f>
        <v>0</v>
      </c>
      <c r="L51" s="110">
        <f>IF(T$49="Y",Aug!L61,0)</f>
        <v>0</v>
      </c>
      <c r="M51" s="99" t="str">
        <f>IF(E51=" "," ",IF(T$49="Y",Aug!M61,IF((H51+K51+L51)&gt;0,H51+K51+L51,"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IF(Employee!H$35=E$49,Employee!D$34+SUM(M51)+Aug!V61,SUM(M51)+Aug!V61)</f>
        <v>0</v>
      </c>
      <c r="W51" s="49">
        <f>IF(Employee!H$35=E$49,Employee!D$35+SUM(N51)+Aug!W61,SUM(N51)+Aug!W61)</f>
        <v>0</v>
      </c>
      <c r="X51" s="49">
        <f>IF(O51=" ",Aug!X61,O51+Aug!X61)</f>
        <v>0</v>
      </c>
      <c r="Y51" s="49">
        <f>IF(P51=" ",Aug!Y61,P51+Aug!Y61)</f>
        <v>0</v>
      </c>
      <c r="Z51" s="49">
        <f>IF(Q51=" ",Aug!Z61,Q51+Aug!Z61)</f>
        <v>0</v>
      </c>
      <c r="AA51" s="49">
        <f>IF(R51=" ",Aug!AA61,R51+Aug!AA61)</f>
        <v>0</v>
      </c>
      <c r="AC51" s="49">
        <f>IF(T51=" ",Aug!AC61,T51+Aug!AC61)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IF(T$49="Y",Aug!H62,0)</f>
        <v>0</v>
      </c>
      <c r="I52" s="92">
        <f>IF(T$49="Y",Aug!I62,0)</f>
        <v>0</v>
      </c>
      <c r="J52" s="92">
        <f>IF(T$49="Y",Aug!J62,0)</f>
        <v>0</v>
      </c>
      <c r="K52" s="92">
        <f>IF(T$49="Y",Aug!K62,I52*J52)</f>
        <v>0</v>
      </c>
      <c r="L52" s="111">
        <f>IF(T$49="Y",Aug!L62,0)</f>
        <v>0</v>
      </c>
      <c r="M52" s="100" t="str">
        <f>IF(E52=" "," ",IF(T$49="Y",Aug!M62,IF((H52+K52+L52)&gt;0,H52+K52+L52,"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IF(Employee!H$61=E$49,Employee!D$60+SUM(M52)+Aug!V62,SUM(M52)+Aug!V62)</f>
        <v>0</v>
      </c>
      <c r="W52" s="49">
        <f>IF(Employee!H$61=E$49,Employee!D$61+SUM(N52)+Aug!W62,SUM(N52)+Aug!W62)</f>
        <v>0</v>
      </c>
      <c r="X52" s="49">
        <f>IF(O52=" ",Aug!X62,O52+Aug!X62)</f>
        <v>0</v>
      </c>
      <c r="Y52" s="49">
        <f>IF(P52=" ",Aug!Y62,P52+Aug!Y62)</f>
        <v>0</v>
      </c>
      <c r="Z52" s="49">
        <f>IF(Q52=" ",Aug!Z62,Q52+Aug!Z62)</f>
        <v>0</v>
      </c>
      <c r="AA52" s="49">
        <f>IF(R52=" ",Aug!AA62,R52+Aug!AA62)</f>
        <v>0</v>
      </c>
      <c r="AC52" s="49">
        <f>IF(T52=" ",Aug!AC62,T52+Aug!AC62)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IF(T$49="Y",Aug!H63,0)</f>
        <v>0</v>
      </c>
      <c r="I53" s="92">
        <f>IF(T$49="Y",Aug!I63,0)</f>
        <v>0</v>
      </c>
      <c r="J53" s="92">
        <f>IF(T$49="Y",Aug!J63,0)</f>
        <v>0</v>
      </c>
      <c r="K53" s="92">
        <f>IF(T$49="Y",Aug!K63,I53*J53)</f>
        <v>0</v>
      </c>
      <c r="L53" s="111">
        <f>IF(T$49="Y",Aug!L63,0)</f>
        <v>0</v>
      </c>
      <c r="M53" s="100" t="str">
        <f>IF(E53=" "," ",IF(T$49="Y",Aug!M63,IF((H53+K53+L53)&gt;0,H53+K53+L53,"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IF(Employee!H$87=E$49,Employee!D$86+SUM(M53)+Aug!V63,SUM(M53)+Aug!V63)</f>
        <v>0</v>
      </c>
      <c r="W53" s="49">
        <f>IF(Employee!H$87=E$49,Employee!D$87+SUM(N53)+Aug!W63,SUM(N53)+Aug!W63)</f>
        <v>0</v>
      </c>
      <c r="X53" s="49">
        <f>IF(O53=" ",Aug!X63,O53+Aug!X63)</f>
        <v>0</v>
      </c>
      <c r="Y53" s="49">
        <f>IF(P53=" ",Aug!Y63,P53+Aug!Y63)</f>
        <v>0</v>
      </c>
      <c r="Z53" s="49">
        <f>IF(Q53=" ",Aug!Z63,Q53+Aug!Z63)</f>
        <v>0</v>
      </c>
      <c r="AA53" s="49">
        <f>IF(R53=" ",Aug!AA63,R53+Aug!AA63)</f>
        <v>0</v>
      </c>
      <c r="AC53" s="49">
        <f>IF(T53=" ",Aug!AC63,T53+Aug!AC63)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IF(T$49="Y",Aug!H64,0)</f>
        <v>0</v>
      </c>
      <c r="I54" s="92">
        <f>IF(T$49="Y",Aug!I64,0)</f>
        <v>0</v>
      </c>
      <c r="J54" s="92">
        <f>IF(T$49="Y",Aug!J64,0)</f>
        <v>0</v>
      </c>
      <c r="K54" s="92">
        <f>IF(T$49="Y",Aug!K64,I54*J54)</f>
        <v>0</v>
      </c>
      <c r="L54" s="111">
        <f>IF(T$49="Y",Aug!L64,0)</f>
        <v>0</v>
      </c>
      <c r="M54" s="100" t="str">
        <f>IF(E54=" "," ",IF(T$49="Y",Aug!M64,IF((H54+K54+L54)&gt;0,H54+K54+L54,"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IF(Employee!H$113=E$49,Employee!D$112+SUM(M54)+Aug!V64,SUM(M54)+Aug!V64)</f>
        <v>0</v>
      </c>
      <c r="W54" s="49">
        <f>IF(Employee!H$113=E$49,Employee!D$113+SUM(N54)+Aug!W64,SUM(N54)+Aug!W64)</f>
        <v>0</v>
      </c>
      <c r="X54" s="49">
        <f>IF(O54=" ",Aug!X64,O54+Aug!X64)</f>
        <v>0</v>
      </c>
      <c r="Y54" s="49">
        <f>IF(P54=" ",Aug!Y64,P54+Aug!Y64)</f>
        <v>0</v>
      </c>
      <c r="Z54" s="49">
        <f>IF(Q54=" ",Aug!Z64,Q54+Aug!Z64)</f>
        <v>0</v>
      </c>
      <c r="AA54" s="49">
        <f>IF(R54=" ",Aug!AA64,R54+Aug!AA64)</f>
        <v>0</v>
      </c>
      <c r="AC54" s="49">
        <f>IF(T54=" ",Aug!AC64,T54+Aug!AC64)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IF(T$49="Y",Aug!H65,0)</f>
        <v>0</v>
      </c>
      <c r="I55" s="245">
        <f>IF(T$49="Y",Aug!I65,0)</f>
        <v>0</v>
      </c>
      <c r="J55" s="245">
        <f>IF(T$49="Y",Aug!J65,0)</f>
        <v>0</v>
      </c>
      <c r="K55" s="245">
        <f>IF(T$49="Y",Aug!K65,I55*J55)</f>
        <v>0</v>
      </c>
      <c r="L55" s="246">
        <f>IF(T$49="Y",Aug!L65,0)</f>
        <v>0</v>
      </c>
      <c r="M55" s="100" t="str">
        <f>IF(E55=" "," ",IF(T$49="Y",Aug!M65,IF((H55+K55+L55)&gt;0,H55+K55+L55,"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IF(Employee!H$139=E$49,Employee!D$138+SUM(M55)+Aug!V65,SUM(M55)+Aug!V65)</f>
        <v>0</v>
      </c>
      <c r="W55" s="49">
        <f>IF(Employee!H$139=E$49,Employee!D$139+SUM(N55)+Aug!W65,SUM(N55)+Aug!W65)</f>
        <v>0</v>
      </c>
      <c r="X55" s="49">
        <f>IF(O55=" ",Aug!X65,O55+Aug!X65)</f>
        <v>0</v>
      </c>
      <c r="Y55" s="49">
        <f>IF(P55=" ",Aug!Y65,P55+Aug!Y65)</f>
        <v>0</v>
      </c>
      <c r="Z55" s="49">
        <f>IF(Q55=" ",Aug!Z65,Q55+Aug!Z65)</f>
        <v>0</v>
      </c>
      <c r="AA55" s="49">
        <f>IF(R55=" ",Aug!AA65,R55+Aug!AA65)</f>
        <v>0</v>
      </c>
      <c r="AC55" s="49">
        <f>IF(T55=" ",Aug!AC65,T55+Aug!AC65)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AD60+Aug!AD75</f>
        <v>0</v>
      </c>
      <c r="AE65" s="158">
        <f>AE60+Aug!AE75</f>
        <v>0</v>
      </c>
      <c r="AF65" s="158">
        <f>AF60+Aug!AF75</f>
        <v>0</v>
      </c>
      <c r="AG65" s="158">
        <f>AG60+Aug!AG75</f>
        <v>0</v>
      </c>
    </row>
    <row r="66" spans="6:33" ht="14" thickTop="1" x14ac:dyDescent="0.15"/>
    <row r="67" spans="6:33" x14ac:dyDescent="0.15">
      <c r="AD67" s="162"/>
      <c r="AE67" s="158">
        <f>AE62+Aug!AE77</f>
        <v>0</v>
      </c>
      <c r="AF67" s="158">
        <f>AF62+Aug!AF77</f>
        <v>0</v>
      </c>
      <c r="AG67" s="158">
        <f>AG62+Aug!AG77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Sep!M39+1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IF(T$9="Y",Sep!H41,0)</f>
        <v>0</v>
      </c>
      <c r="I11" s="89">
        <f>IF(T$9="Y",Sep!I41,0)</f>
        <v>0</v>
      </c>
      <c r="J11" s="89">
        <f>IF(T$9="Y",Sep!J41,0)</f>
        <v>0</v>
      </c>
      <c r="K11" s="89">
        <f>IF(T$9="Y",Sep!K41,I11*J11)</f>
        <v>0</v>
      </c>
      <c r="L11" s="110">
        <f>IF(T$9="Y",Sep!L41,0)</f>
        <v>0</v>
      </c>
      <c r="M11" s="110" t="str">
        <f>IF(E11=" "," ",IF(T$9="Y",Sep!M41,IF((H11+K11+L11)&gt;0,H11+K11+L11,"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IF(Employee!H$34=E$9,Employee!D$34+SUM(M11)+Sep!V41,SUM(M11)+Sep!V41)</f>
        <v>0</v>
      </c>
      <c r="W11" s="49">
        <f>IF(Employee!H$34=E$9,Employee!D$35+SUM(N11)+Sep!W41,SUM(N11)+Sep!W41)</f>
        <v>0</v>
      </c>
      <c r="X11" s="49">
        <f>IF(O11=" ",Sep!X41,O11+Sep!X41)</f>
        <v>0</v>
      </c>
      <c r="Y11" s="49">
        <f>IF(P11=" ",Sep!Y41,P11+Sep!Y41)</f>
        <v>0</v>
      </c>
      <c r="Z11" s="49">
        <f>IF(Q11=" ",Sep!Z41,Q11+Sep!Z41)</f>
        <v>0</v>
      </c>
      <c r="AA11" s="49">
        <f>IF(R11=" ",Sep!AA41,R11+Sep!AA41)</f>
        <v>0</v>
      </c>
      <c r="AC11" s="49">
        <f>IF(T11=" ",Sep!AC41,T11+Sep!AC41)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IF(T$9="Y",Sep!H42,0)</f>
        <v>0</v>
      </c>
      <c r="I12" s="92">
        <f>IF(T$9="Y",Sep!I42,0)</f>
        <v>0</v>
      </c>
      <c r="J12" s="92">
        <f>IF(T$9="Y",Sep!J42,0)</f>
        <v>0</v>
      </c>
      <c r="K12" s="92">
        <f>IF(T$9="Y",Sep!K42,I12*J12)</f>
        <v>0</v>
      </c>
      <c r="L12" s="111">
        <f>IF(T$9="Y",Sep!L42,0)</f>
        <v>0</v>
      </c>
      <c r="M12" s="111" t="str">
        <f>IF(E12=" "," ",IF(T$9="Y",Sep!M42,IF((H12+K12+L12)&gt;0,H12+K12+L12,"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IF(Employee!H$60=E$9,Employee!D$60+SUM(M12)+Sep!V42,SUM(M12)+Sep!V42)</f>
        <v>0</v>
      </c>
      <c r="W12" s="49">
        <f>IF(Employee!H$60=E$9,Employee!D$61+SUM(N12)+Sep!W42,SUM(N12)+Sep!W42)</f>
        <v>0</v>
      </c>
      <c r="X12" s="49">
        <f>IF(O12=" ",Sep!X42,O12+Sep!X42)</f>
        <v>0</v>
      </c>
      <c r="Y12" s="49">
        <f>IF(P12=" ",Sep!Y42,P12+Sep!Y42)</f>
        <v>0</v>
      </c>
      <c r="Z12" s="49">
        <f>IF(Q12=" ",Sep!Z42,Q12+Sep!Z42)</f>
        <v>0</v>
      </c>
      <c r="AA12" s="49">
        <f>IF(R12=" ",Sep!AA42,R12+Sep!AA42)</f>
        <v>0</v>
      </c>
      <c r="AC12" s="49">
        <f>IF(T12=" ",Sep!AC42,T12+Sep!AC42)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IF(T$9="Y",Sep!H43,0)</f>
        <v>0</v>
      </c>
      <c r="I13" s="92">
        <f>IF(T$9="Y",Sep!I43,0)</f>
        <v>0</v>
      </c>
      <c r="J13" s="92">
        <f>IF(T$9="Y",Sep!J43,0)</f>
        <v>0</v>
      </c>
      <c r="K13" s="92">
        <f>IF(T$9="Y",Sep!K43,I13*J13)</f>
        <v>0</v>
      </c>
      <c r="L13" s="111">
        <f>IF(T$9="Y",Sep!L43,0)</f>
        <v>0</v>
      </c>
      <c r="M13" s="111" t="str">
        <f>IF(E13=" "," ",IF(T$9="Y",Sep!M43,IF((H13+K13+L13)&gt;0,H13+K13+L13,"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IF(Employee!H$86=E$9,Employee!D$86+SUM(M13)+Sep!V43,SUM(M13)+Sep!V43)</f>
        <v>0</v>
      </c>
      <c r="W13" s="49">
        <f>IF(Employee!H$86=E$9,Employee!D$87+SUM(N13)+Sep!W43,SUM(N13)+Sep!W43)</f>
        <v>0</v>
      </c>
      <c r="X13" s="49">
        <f>IF(O13=" ",Sep!X43,O13+Sep!X43)</f>
        <v>0</v>
      </c>
      <c r="Y13" s="49">
        <f>IF(P13=" ",Sep!Y43,P13+Sep!Y43)</f>
        <v>0</v>
      </c>
      <c r="Z13" s="49">
        <f>IF(Q13=" ",Sep!Z43,Q13+Sep!Z43)</f>
        <v>0</v>
      </c>
      <c r="AA13" s="49">
        <f>IF(R13=" ",Sep!AA43,R13+Sep!AA43)</f>
        <v>0</v>
      </c>
      <c r="AC13" s="49">
        <f>IF(T13=" ",Sep!AC43,T13+Sep!AC43)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IF(T$9="Y",Sep!H44,0)</f>
        <v>0</v>
      </c>
      <c r="I14" s="92">
        <f>IF(T$9="Y",Sep!I44,0)</f>
        <v>0</v>
      </c>
      <c r="J14" s="92">
        <f>IF(T$9="Y",Sep!J44,0)</f>
        <v>0</v>
      </c>
      <c r="K14" s="92">
        <f>IF(T$9="Y",Sep!K44,I14*J14)</f>
        <v>0</v>
      </c>
      <c r="L14" s="111">
        <f>IF(T$9="Y",Sep!L44,0)</f>
        <v>0</v>
      </c>
      <c r="M14" s="111" t="str">
        <f>IF(E14=" "," ",IF(T$9="Y",Sep!M44,IF((H14+K14+L14)&gt;0,H14+K14+L14,"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IF(Employee!H$112=E$9,Employee!D$112+SUM(M14)+Sep!V44,SUM(M14)+Sep!V44)</f>
        <v>0</v>
      </c>
      <c r="W14" s="49">
        <f>IF(Employee!H$112=E$9,Employee!D$113+SUM(N14)+Sep!W44,SUM(N14)+Sep!W44)</f>
        <v>0</v>
      </c>
      <c r="X14" s="49">
        <f>IF(O14=" ",Sep!X44,O14+Sep!X44)</f>
        <v>0</v>
      </c>
      <c r="Y14" s="49">
        <f>IF(P14=" ",Sep!Y44,P14+Sep!Y44)</f>
        <v>0</v>
      </c>
      <c r="Z14" s="49">
        <f>IF(Q14=" ",Sep!Z44,Q14+Sep!Z44)</f>
        <v>0</v>
      </c>
      <c r="AA14" s="49">
        <f>IF(R14=" ",Sep!AA44,R14+Sep!AA44)</f>
        <v>0</v>
      </c>
      <c r="AC14" s="49">
        <f>IF(T14=" ",Sep!AC44,T14+Sep!AC44)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IF(T$9="Y",Sep!H45,0)</f>
        <v>0</v>
      </c>
      <c r="I15" s="245">
        <f>IF(T$9="Y",Sep!I45,0)</f>
        <v>0</v>
      </c>
      <c r="J15" s="245">
        <f>IF(T$9="Y",Sep!J45,0)</f>
        <v>0</v>
      </c>
      <c r="K15" s="245">
        <f>IF(T$9="Y",Sep!K45,I15*J15)</f>
        <v>0</v>
      </c>
      <c r="L15" s="246">
        <f>IF(T$19="Y",Sep!L45,0)</f>
        <v>0</v>
      </c>
      <c r="M15" s="111" t="str">
        <f>IF(E15=" "," ",IF(T$9="Y",Sep!M45,IF((H15+K15+L15)&gt;0,H15+K15+L15,"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IF(Employee!H$138=E$9,Employee!D$138+SUM(M15)+Sep!V45,SUM(M15)+Sep!V45)</f>
        <v>0</v>
      </c>
      <c r="W15" s="49">
        <f>IF(Employee!H$138=E$9,Employee!D$139+SUM(N15)+Sep!W45,SUM(N15)+Sep!W45)</f>
        <v>0</v>
      </c>
      <c r="X15" s="49">
        <f>IF(O15=" ",Sep!X45,O15+Sep!X45)</f>
        <v>0</v>
      </c>
      <c r="Y15" s="49">
        <f>IF(P15=" ",Sep!Y45,P15+Sep!Y45)</f>
        <v>0</v>
      </c>
      <c r="Z15" s="49">
        <f>IF(Q15=" ",Sep!Z45,Q15+Sep!Z45)</f>
        <v>0</v>
      </c>
      <c r="AA15" s="49">
        <f>IF(R15=" ",Sep!AA45,R15+Sep!AA45)</f>
        <v>0</v>
      </c>
      <c r="AC15" s="49">
        <f>IF(T15=" ",Sep!AC45,T15+Sep!AC45)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IF(T$49="Y",Sep!H51,0)</f>
        <v>0</v>
      </c>
      <c r="I51" s="89">
        <f>IF(T$49="Y",Sep!I51,0)</f>
        <v>0</v>
      </c>
      <c r="J51" s="89">
        <f>IF(T$49="Y",Sep!J51,0)</f>
        <v>0</v>
      </c>
      <c r="K51" s="89">
        <f>IF(T$49="Y",Sep!K51,I51*J51)</f>
        <v>0</v>
      </c>
      <c r="L51" s="110">
        <f>IF(T$49="Y",Sep!L51,0)</f>
        <v>0</v>
      </c>
      <c r="M51" s="99" t="str">
        <f>IF(E51=" "," ",IF(T$49="Y",Sep!M51,IF((H51+K51+L51)&gt;0,H51+K51+L51,"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IF(Employee!H$35=E$49,Employee!D$34+SUM(M51)+Sep!V51,SUM(M51)+Sep!V51)</f>
        <v>0</v>
      </c>
      <c r="W51" s="49">
        <f>IF(Employee!H$35=E$49,Employee!D$35+SUM(N51)+Sep!W51,SUM(N51)+Sep!W51)</f>
        <v>0</v>
      </c>
      <c r="X51" s="49">
        <f>IF(O51=" ",Sep!X51,O51+Sep!X51)</f>
        <v>0</v>
      </c>
      <c r="Y51" s="49">
        <f>IF(P51=" ",Sep!Y51,P51+Sep!Y51)</f>
        <v>0</v>
      </c>
      <c r="Z51" s="49">
        <f>IF(Q51=" ",Sep!Z51,Q51+Sep!Z51)</f>
        <v>0</v>
      </c>
      <c r="AA51" s="49">
        <f>IF(R51=" ",Sep!AA51,R51+Sep!AA51)</f>
        <v>0</v>
      </c>
      <c r="AC51" s="49">
        <f>IF(T51=" ",Sep!AC51,T51+Sep!AC51)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IF(T$49="Y",Sep!H52,0)</f>
        <v>0</v>
      </c>
      <c r="I52" s="92">
        <f>IF(T$49="Y",Sep!I52,0)</f>
        <v>0</v>
      </c>
      <c r="J52" s="92">
        <f>IF(T$49="Y",Sep!J52,0)</f>
        <v>0</v>
      </c>
      <c r="K52" s="92">
        <f>IF(T$49="Y",Sep!K52,I52*J52)</f>
        <v>0</v>
      </c>
      <c r="L52" s="111">
        <f>IF(T$49="Y",Sep!L52,0)</f>
        <v>0</v>
      </c>
      <c r="M52" s="100" t="str">
        <f>IF(E52=" "," ",IF(T$49="Y",Sep!M52,IF((H52+K52+L52)&gt;0,H52+K52+L52,"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IF(Employee!H$61=E$49,Employee!D$60+SUM(M52)+Sep!V52,SUM(M52)+Sep!V52)</f>
        <v>0</v>
      </c>
      <c r="W52" s="49">
        <f>IF(Employee!H$61=E$49,Employee!D$61+SUM(N52)+Sep!W52,SUM(N52)+Sep!W52)</f>
        <v>0</v>
      </c>
      <c r="X52" s="49">
        <f>IF(O52=" ",Sep!X52,O52+Sep!X52)</f>
        <v>0</v>
      </c>
      <c r="Y52" s="49">
        <f>IF(P52=" ",Sep!Y52,P52+Sep!Y52)</f>
        <v>0</v>
      </c>
      <c r="Z52" s="49">
        <f>IF(Q52=" ",Sep!Z52,Q52+Sep!Z52)</f>
        <v>0</v>
      </c>
      <c r="AA52" s="49">
        <f>IF(R52=" ",Sep!AA52,R52+Sep!AA52)</f>
        <v>0</v>
      </c>
      <c r="AC52" s="49">
        <f>IF(T52=" ",Sep!AC52,T52+Sep!AC52)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IF(T$49="Y",Sep!H53,0)</f>
        <v>0</v>
      </c>
      <c r="I53" s="92">
        <f>IF(T$49="Y",Sep!I53,0)</f>
        <v>0</v>
      </c>
      <c r="J53" s="92">
        <f>IF(T$49="Y",Sep!J53,0)</f>
        <v>0</v>
      </c>
      <c r="K53" s="92">
        <f>IF(T$49="Y",Sep!K53,I53*J53)</f>
        <v>0</v>
      </c>
      <c r="L53" s="111">
        <f>IF(T$49="Y",Sep!L53,0)</f>
        <v>0</v>
      </c>
      <c r="M53" s="100" t="str">
        <f>IF(E53=" "," ",IF(T$49="Y",Sep!M53,IF((H53+K53+L53)&gt;0,H53+K53+L53,"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IF(Employee!H$87=E$49,Employee!D$86+SUM(M53)+Sep!V53,SUM(M53)+Sep!V53)</f>
        <v>0</v>
      </c>
      <c r="W53" s="49">
        <f>IF(Employee!H$87=E$49,Employee!D$87+SUM(N53)+Sep!W53,SUM(N53)+Sep!W53)</f>
        <v>0</v>
      </c>
      <c r="X53" s="49">
        <f>IF(O53=" ",Sep!X53,O53+Sep!X53)</f>
        <v>0</v>
      </c>
      <c r="Y53" s="49">
        <f>IF(P53=" ",Sep!Y53,P53+Sep!Y53)</f>
        <v>0</v>
      </c>
      <c r="Z53" s="49">
        <f>IF(Q53=" ",Sep!Z53,Q53+Sep!Z53)</f>
        <v>0</v>
      </c>
      <c r="AA53" s="49">
        <f>IF(R53=" ",Sep!AA53,R53+Sep!AA53)</f>
        <v>0</v>
      </c>
      <c r="AC53" s="49">
        <f>IF(T53=" ",Sep!AC53,T53+Sep!AC53)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IF(T$49="Y",Sep!H54,0)</f>
        <v>0</v>
      </c>
      <c r="I54" s="92">
        <f>IF(T$49="Y",Sep!I54,0)</f>
        <v>0</v>
      </c>
      <c r="J54" s="92">
        <f>IF(T$49="Y",Sep!J54,0)</f>
        <v>0</v>
      </c>
      <c r="K54" s="92">
        <f>IF(T$49="Y",Sep!K54,I54*J54)</f>
        <v>0</v>
      </c>
      <c r="L54" s="111">
        <f>IF(T$49="Y",Sep!L54,0)</f>
        <v>0</v>
      </c>
      <c r="M54" s="100" t="str">
        <f>IF(E54=" "," ",IF(T$49="Y",Sep!M54,IF((H54+K54+L54)&gt;0,H54+K54+L54,"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IF(Employee!H$113=E$49,Employee!D$112+SUM(M54)+Sep!V54,SUM(M54)+Sep!V54)</f>
        <v>0</v>
      </c>
      <c r="W54" s="49">
        <f>IF(Employee!H$113=E$49,Employee!D$113+SUM(N54)+Sep!W54,SUM(N54)+Sep!W54)</f>
        <v>0</v>
      </c>
      <c r="X54" s="49">
        <f>IF(O54=" ",Sep!X54,O54+Sep!X54)</f>
        <v>0</v>
      </c>
      <c r="Y54" s="49">
        <f>IF(P54=" ",Sep!Y54,P54+Sep!Y54)</f>
        <v>0</v>
      </c>
      <c r="Z54" s="49">
        <f>IF(Q54=" ",Sep!Z54,Q54+Sep!Z54)</f>
        <v>0</v>
      </c>
      <c r="AA54" s="49">
        <f>IF(R54=" ",Sep!AA54,R54+Sep!AA54)</f>
        <v>0</v>
      </c>
      <c r="AC54" s="49">
        <f>IF(T54=" ",Sep!AC54,T54+Sep!AC54)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IF(T$49="Y",Sep!H55,0)</f>
        <v>0</v>
      </c>
      <c r="I55" s="245">
        <f>IF(T$49="Y",Sep!I55,0)</f>
        <v>0</v>
      </c>
      <c r="J55" s="245">
        <f>IF(T$49="Y",Sep!J55,0)</f>
        <v>0</v>
      </c>
      <c r="K55" s="245">
        <f>IF(T$49="Y",Sep!K55,I55*J55)</f>
        <v>0</v>
      </c>
      <c r="L55" s="246">
        <f>IF(T$49="Y",Sep!L55,0)</f>
        <v>0</v>
      </c>
      <c r="M55" s="100" t="str">
        <f>IF(E55=" "," ",IF(T$49="Y",Sep!M55,IF((H55+K55+L55)&gt;0,H55+K55+L55,"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IF(Employee!H$139=E$49,Employee!D$138+SUM(M55)+Sep!V55,SUM(M55)+Sep!V55)</f>
        <v>0</v>
      </c>
      <c r="W55" s="49">
        <f>IF(Employee!H$139=E$49,Employee!D$139+SUM(N55)+Sep!W55,SUM(N55)+Sep!W55)</f>
        <v>0</v>
      </c>
      <c r="X55" s="49">
        <f>IF(O55=" ",Sep!X55,O55+Sep!X55)</f>
        <v>0</v>
      </c>
      <c r="Y55" s="49">
        <f>IF(P55=" ",Sep!Y55,P55+Sep!Y55)</f>
        <v>0</v>
      </c>
      <c r="Z55" s="49">
        <f>IF(Q55=" ",Sep!Z55,Q55+Sep!Z55)</f>
        <v>0</v>
      </c>
      <c r="AA55" s="49">
        <f>IF(R55=" ",Sep!AA55,R55+Sep!AA55)</f>
        <v>0</v>
      </c>
      <c r="AC55" s="49">
        <f>IF(T55=" ",Sep!AC55,T55+Sep!AC55)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AD60+Sep!AD65</f>
        <v>0</v>
      </c>
      <c r="AE65" s="158">
        <f>AE60+Sep!AE65</f>
        <v>0</v>
      </c>
      <c r="AF65" s="158">
        <f>AF60+Sep!AF65</f>
        <v>0</v>
      </c>
      <c r="AG65" s="158">
        <f>AG60+Sep!AG65</f>
        <v>0</v>
      </c>
    </row>
    <row r="66" spans="6:33" ht="14" thickTop="1" x14ac:dyDescent="0.15"/>
    <row r="67" spans="6:33" x14ac:dyDescent="0.15">
      <c r="AD67" s="162"/>
      <c r="AE67" s="158">
        <f>AE62+Sep!AE67</f>
        <v>0</v>
      </c>
      <c r="AF67" s="158">
        <f>AF62+Sep!AF67</f>
        <v>0</v>
      </c>
      <c r="AG67" s="158">
        <f>AG62+Sep!AG67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Oct!M39+1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110" t="str">
        <f>IF(E11=" "," ",IF(T$9="Y",Oct!M41,IF((H11+K11+L11)&gt;0,H11+K11+L11,"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11" t="str">
        <f>IF(E12=" "," ",IF(T$9="Y",Oct!M42,IF((H12+K12+L12)&gt;0,H12+K12+L12,"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11" t="str">
        <f>IF(E13=" "," ",IF(T$9="Y",Oct!M43,IF((H13+K13+L13)&gt;0,H13+K13+L13,"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11" t="str">
        <f>IF(E14=" "," ",IF(T$9="Y",Oct!M44,IF((H14+K14+L14)&gt;0,H14+K14+L14,"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111" t="str">
        <f>IF(E15=" "," ",IF(T$9="Y",Oct!M45,IF((H15+K15+L15)&gt;0,H15+K15+L15,"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IF(T$69="Y",Oct!H51,0)</f>
        <v>0</v>
      </c>
      <c r="I71" s="89">
        <f>IF(T$69="Y",Oct!I51,0)</f>
        <v>0</v>
      </c>
      <c r="J71" s="89">
        <f>IF(T$69="Y",Oct!J51,0)</f>
        <v>0</v>
      </c>
      <c r="K71" s="89">
        <f>IF(T$69="Y",Oct!K51,I71*J71)</f>
        <v>0</v>
      </c>
      <c r="L71" s="110">
        <f>IF(T$69="Y",Oct!L51,0)</f>
        <v>0</v>
      </c>
      <c r="M71" s="99" t="str">
        <f>IF(E71=" "," ",IF(T$69="Y",Oct!M51,IF((H71+K71+L71)&gt;0,H71+K71+L71,"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IF(Employee!H$35=E$69,Employee!D$34+SUM(M71)+Oct!V51,SUM(M71)+Oct!V51)</f>
        <v>0</v>
      </c>
      <c r="W71" s="49">
        <f>IF(Employee!H$35=E$69,Employee!D$35+SUM(N71)+Oct!W51,SUM(N71)+Oct!W51)</f>
        <v>0</v>
      </c>
      <c r="X71" s="49">
        <f>IF(O71=" ",Oct!X51,O71+Oct!X51)</f>
        <v>0</v>
      </c>
      <c r="Y71" s="49">
        <f>IF(P71=" ",Oct!Y51,P71+Oct!Y51)</f>
        <v>0</v>
      </c>
      <c r="Z71" s="49">
        <f>IF(Q71=" ",Oct!Z51,Q71+Oct!Z51)</f>
        <v>0</v>
      </c>
      <c r="AA71" s="49">
        <f>IF(R71=" ",Oct!AA51,R71+Oct!AA51)</f>
        <v>0</v>
      </c>
      <c r="AC71" s="49">
        <f>IF(T71=" ",Oct!AC51,T71+Oct!AC51)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IF(T$69="Y",Oct!H52,0)</f>
        <v>0</v>
      </c>
      <c r="I72" s="92">
        <f>IF(T$69="Y",Oct!I52,0)</f>
        <v>0</v>
      </c>
      <c r="J72" s="92">
        <f>IF(T$69="Y",Oct!J52,0)</f>
        <v>0</v>
      </c>
      <c r="K72" s="92">
        <f>IF(T$69="Y",Oct!K52,I72*J72)</f>
        <v>0</v>
      </c>
      <c r="L72" s="111">
        <f>IF(T$69="Y",Oct!L52,0)</f>
        <v>0</v>
      </c>
      <c r="M72" s="100" t="str">
        <f>IF(E72=" "," ",IF(T$69="Y",Oct!M52,IF((H72+K72+L72)&gt;0,H72+K72+L72,"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IF(Employee!H$61=E$69,Employee!D$60+SUM(M72)+Oct!V52,SUM(M72)+Oct!V52)</f>
        <v>0</v>
      </c>
      <c r="W72" s="49">
        <f>IF(Employee!H$61=E$69,Employee!D$61+SUM(N72)+Oct!W52,SUM(N72)+Oct!W52)</f>
        <v>0</v>
      </c>
      <c r="X72" s="49">
        <f>IF(O72=" ",Oct!X52,O72+Oct!X52)</f>
        <v>0</v>
      </c>
      <c r="Y72" s="49">
        <f>IF(P72=" ",Oct!Y52,P72+Oct!Y52)</f>
        <v>0</v>
      </c>
      <c r="Z72" s="49">
        <f>IF(Q72=" ",Oct!Z52,Q72+Oct!Z52)</f>
        <v>0</v>
      </c>
      <c r="AA72" s="49">
        <f>IF(R72=" ",Oct!AA52,R72+Oct!AA52)</f>
        <v>0</v>
      </c>
      <c r="AC72" s="49">
        <f>IF(T72=" ",Oct!AC52,T72+Oct!AC52)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IF(T$69="Y",Oct!H53,0)</f>
        <v>0</v>
      </c>
      <c r="I73" s="92">
        <f>IF(T$69="Y",Oct!I53,0)</f>
        <v>0</v>
      </c>
      <c r="J73" s="92">
        <f>IF(T$69="Y",Oct!J53,0)</f>
        <v>0</v>
      </c>
      <c r="K73" s="92">
        <f>IF(T$69="Y",Oct!K53,I73*J73)</f>
        <v>0</v>
      </c>
      <c r="L73" s="111">
        <f>IF(T$69="Y",Oct!L53,0)</f>
        <v>0</v>
      </c>
      <c r="M73" s="100" t="str">
        <f>IF(E73=" "," ",IF(T$69="Y",Oct!M53,IF((H73+K73+L73)&gt;0,H73+K73+L73,"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IF(Employee!H$87=E$69,Employee!D$86+SUM(M73)+Oct!V53,SUM(M73)+Oct!V53)</f>
        <v>0</v>
      </c>
      <c r="W73" s="49">
        <f>IF(Employee!H$87=E$69,Employee!D$87+SUM(N73)+Oct!W53,SUM(N73)+Oct!W53)</f>
        <v>0</v>
      </c>
      <c r="X73" s="49">
        <f>IF(O73=" ",Oct!X53,O73+Oct!X53)</f>
        <v>0</v>
      </c>
      <c r="Y73" s="49">
        <f>IF(P73=" ",Oct!Y53,P73+Oct!Y53)</f>
        <v>0</v>
      </c>
      <c r="Z73" s="49">
        <f>IF(Q73=" ",Oct!Z53,Q73+Oct!Z53)</f>
        <v>0</v>
      </c>
      <c r="AA73" s="49">
        <f>IF(R73=" ",Oct!AA53,R73+Oct!AA53)</f>
        <v>0</v>
      </c>
      <c r="AC73" s="49">
        <f>IF(T73=" ",Oct!AC53,T73+Oct!AC53)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IF(T$69="Y",Oct!H54,0)</f>
        <v>0</v>
      </c>
      <c r="I74" s="92">
        <f>IF(T$69="Y",Oct!I54,0)</f>
        <v>0</v>
      </c>
      <c r="J74" s="92">
        <f>IF(T$69="Y",Oct!J54,0)</f>
        <v>0</v>
      </c>
      <c r="K74" s="92">
        <f>IF(T$69="Y",Oct!K54,I74*J74)</f>
        <v>0</v>
      </c>
      <c r="L74" s="111">
        <f>IF(T$69="Y",Oct!L54,0)</f>
        <v>0</v>
      </c>
      <c r="M74" s="100" t="str">
        <f>IF(E74=" "," ",IF(T$69="Y",Oct!M54,IF((H74+K74+L74)&gt;0,H74+K74+L74,"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IF(Employee!H$113=E$69,Employee!D$112+SUM(M74)+Oct!V54,SUM(M74)+Oct!V54)</f>
        <v>0</v>
      </c>
      <c r="W74" s="49">
        <f>IF(Employee!H$113=E$69,Employee!D$113+SUM(N74)+Oct!W54,SUM(N74)+Oct!W54)</f>
        <v>0</v>
      </c>
      <c r="X74" s="49">
        <f>IF(O74=" ",Oct!X54,O74+Oct!X54)</f>
        <v>0</v>
      </c>
      <c r="Y74" s="49">
        <f>IF(P74=" ",Oct!Y54,P74+Oct!Y54)</f>
        <v>0</v>
      </c>
      <c r="Z74" s="49">
        <f>IF(Q74=" ",Oct!Z54,Q74+Oct!Z54)</f>
        <v>0</v>
      </c>
      <c r="AA74" s="49">
        <f>IF(R74=" ",Oct!AA54,R74+Oct!AA54)</f>
        <v>0</v>
      </c>
      <c r="AC74" s="49">
        <f>IF(T74=" ",Oct!AC54,T74+Oct!AC54)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IF(T$69="Y",Oct!H55,0)</f>
        <v>0</v>
      </c>
      <c r="I75" s="245">
        <f>IF(T$69="Y",Oct!I55,0)</f>
        <v>0</v>
      </c>
      <c r="J75" s="245">
        <f>IF(T$69="Y",Oct!J55,0)</f>
        <v>0</v>
      </c>
      <c r="K75" s="245">
        <f>IF(T$69="Y",Oct!K55,I75*J75)</f>
        <v>0</v>
      </c>
      <c r="L75" s="246">
        <f>IF(T$69="Y",Oct!L55,0)</f>
        <v>0</v>
      </c>
      <c r="M75" s="100" t="str">
        <f>IF(E75=" "," ",IF(T$69="Y",Oct!M55,IF((H75+K75+L75)&gt;0,H75+K75+L75,"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IF(Employee!H$139=E$69,Employee!D$138+SUM(M75)+Oct!V55,SUM(M75)+Oct!V55)</f>
        <v>0</v>
      </c>
      <c r="W75" s="49">
        <f>IF(Employee!H$139=E$69,Employee!D$139+SUM(N75)+Oct!W55,SUM(N75)+Oct!W55)</f>
        <v>0</v>
      </c>
      <c r="X75" s="49">
        <f>IF(O75=" ",Oct!X55,O75+Oct!X55)</f>
        <v>0</v>
      </c>
      <c r="Y75" s="49">
        <f>IF(P75=" ",Oct!Y55,P75+Oct!Y55)</f>
        <v>0</v>
      </c>
      <c r="Z75" s="49">
        <f>IF(Q75=" ",Oct!Z55,Q75+Oct!Z55)</f>
        <v>0</v>
      </c>
      <c r="AA75" s="49">
        <f>IF(R75=" ",Oct!AA55,R75+Oct!AA55)</f>
        <v>0</v>
      </c>
      <c r="AC75" s="49">
        <f>IF(T75=" ",Oct!AC55,T75+Oct!AC55)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AD80+Oct!AD65</f>
        <v>0</v>
      </c>
      <c r="AE85" s="158">
        <f>AE80+Oct!AE65</f>
        <v>0</v>
      </c>
      <c r="AF85" s="158">
        <f>AF80+Oct!AF65</f>
        <v>0</v>
      </c>
      <c r="AG85" s="158">
        <f>AG80+Oct!AG65</f>
        <v>0</v>
      </c>
    </row>
    <row r="86" spans="6:33" ht="14" thickTop="1" x14ac:dyDescent="0.15"/>
    <row r="87" spans="6:33" x14ac:dyDescent="0.15">
      <c r="AD87" s="162"/>
      <c r="AE87" s="158">
        <f>AE82+Oct!AE67</f>
        <v>0</v>
      </c>
      <c r="AF87" s="158">
        <f>AF82+Oct!AF67</f>
        <v>0</v>
      </c>
      <c r="AG87" s="158">
        <f>AG82+Oct!AG67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Dec!T1+Dec!O1</f>
        <v>0</v>
      </c>
      <c r="E4" s="228">
        <f>Dec!N1</f>
        <v>0</v>
      </c>
      <c r="F4" s="228">
        <f>Dec!AD60+Dec!AE60+Dec!AF60+Dec!AG60</f>
        <v>0</v>
      </c>
      <c r="G4" s="228">
        <f>Dec!AE62+Dec!AF62+Dec!AG62</f>
        <v>0</v>
      </c>
      <c r="H4" s="228">
        <f>Dec!P1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Jan!T1+Jan!O1</f>
        <v>0</v>
      </c>
      <c r="E5" s="228">
        <f>Jan!N1</f>
        <v>0</v>
      </c>
      <c r="F5" s="228">
        <f>Jan!AD60+Jan!AE60+Jan!AF60+Jan!AG60</f>
        <v>0</v>
      </c>
      <c r="G5" s="228">
        <f>Jan!AE62+Jan!AF62+Jan!AG62</f>
        <v>0</v>
      </c>
      <c r="H5" s="228">
        <f>Jan!P1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Feb!T1+Feb!O1</f>
        <v>0</v>
      </c>
      <c r="E6" s="228">
        <f>Feb!N1</f>
        <v>0</v>
      </c>
      <c r="F6" s="228">
        <f>Feb!AD70+Feb!AE70+Feb!AF70+Feb!AG70</f>
        <v>0</v>
      </c>
      <c r="G6" s="228">
        <f>Feb!AE72+Feb!AF72+Feb!AG72</f>
        <v>0</v>
      </c>
      <c r="H6" s="228">
        <f>Feb!P1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Mar!T1+Mar!O1</f>
        <v>0</v>
      </c>
      <c r="E7" s="228">
        <f>Mar!N1</f>
        <v>0</v>
      </c>
      <c r="F7" s="228">
        <f>Mar!AD60+Mar!AE60+Mar!AF60+Mar!AG60</f>
        <v>0</v>
      </c>
      <c r="G7" s="228">
        <f>Mar!AE62+Mar!AF62+Mar!AG62</f>
        <v>0</v>
      </c>
      <c r="H7" s="228">
        <f>Mar!P1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Apr!T1+Apr!O1</f>
        <v>0</v>
      </c>
      <c r="E8" s="228">
        <f>Apr!N1</f>
        <v>0</v>
      </c>
      <c r="F8" s="228">
        <f>Apr!AD60+Apr!AE60+Apr!AF60+Apr!AG60</f>
        <v>0</v>
      </c>
      <c r="G8" s="228">
        <f>Apr!AE62+Apr!AF62+Apr!AG62</f>
        <v>0</v>
      </c>
      <c r="H8" s="228">
        <f>Apr!P1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May!T1+May!O1</f>
        <v>0</v>
      </c>
      <c r="E9" s="228">
        <f>May!N1</f>
        <v>0</v>
      </c>
      <c r="F9" s="228">
        <f>May!AD70+May!AE70+May!AF70+May!AG70</f>
        <v>0</v>
      </c>
      <c r="G9" s="228">
        <f>May!AE72+May!AF72+May!AG72</f>
        <v>0</v>
      </c>
      <c r="H9" s="228">
        <f>May!P1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Jun!T1+Jun!O1</f>
        <v>0</v>
      </c>
      <c r="E10" s="228">
        <f>Jun!N1</f>
        <v>0</v>
      </c>
      <c r="F10" s="228">
        <f>Jun!AD60+Jun!AE60+Jun!AF60+Jun!AG60</f>
        <v>0</v>
      </c>
      <c r="G10" s="228">
        <f>Jun!AE62+Jun!AF62+Jun!AG62</f>
        <v>0</v>
      </c>
      <c r="H10" s="228">
        <f>Jun!P1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Jul!T1+Jul!O1</f>
        <v>0</v>
      </c>
      <c r="E11" s="228">
        <f>Jul!N1</f>
        <v>0</v>
      </c>
      <c r="F11" s="228">
        <f>Jul!AD60+Jul!AE60+Jul!AF60+Jul!AG60</f>
        <v>0</v>
      </c>
      <c r="G11" s="228">
        <f>Jul!AE62+Jul!AF62+Jul!AG62</f>
        <v>0</v>
      </c>
      <c r="H11" s="228">
        <f>Jul!P1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Aug!T1+Aug!O1</f>
        <v>0</v>
      </c>
      <c r="E12" s="228">
        <f>Aug!N1</f>
        <v>0</v>
      </c>
      <c r="F12" s="228">
        <f>Aug!AD70+Aug!AE70+Aug!AF70+Aug!AG70</f>
        <v>0</v>
      </c>
      <c r="G12" s="228">
        <f>Aug!AE72+Aug!AF72+Aug!AG72</f>
        <v>0</v>
      </c>
      <c r="H12" s="228">
        <f>Aug!P1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Sep!T1+Sep!O1</f>
        <v>0</v>
      </c>
      <c r="E13" s="228">
        <f>Sep!N1</f>
        <v>0</v>
      </c>
      <c r="F13" s="228">
        <f>Sep!AD60+Sep!AE60+Sep!AF60+Sep!AG60</f>
        <v>0</v>
      </c>
      <c r="G13" s="228">
        <f>Sep!AE62+Sep!AF62+Sep!AG62</f>
        <v>0</v>
      </c>
      <c r="H13" s="228">
        <f>Sep!P1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Oct!T1+Oct!O1</f>
        <v>0</v>
      </c>
      <c r="E14" s="228">
        <f>Oct!N1</f>
        <v>0</v>
      </c>
      <c r="F14" s="228">
        <f>Oct!AD60+Oct!AE60+Oct!AF60+Oct!AG60</f>
        <v>0</v>
      </c>
      <c r="G14" s="228">
        <f>Oct!AE62+Oct!AF62+Oct!AG62</f>
        <v>0</v>
      </c>
      <c r="H14" s="228">
        <f>Oct!P1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Nov!T1+Nov!O1</f>
        <v>0</v>
      </c>
      <c r="E15" s="228">
        <f>Nov!N1</f>
        <v>0</v>
      </c>
      <c r="F15" s="228">
        <f>Nov!AD80+Nov!AE80+Nov!AF80+Nov!AG80</f>
        <v>0</v>
      </c>
      <c r="G15" s="228">
        <f>Nov!AE82+Nov!AF82+Nov!AG82</f>
        <v>0</v>
      </c>
      <c r="H15" s="228">
        <f>Nov!P1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45388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