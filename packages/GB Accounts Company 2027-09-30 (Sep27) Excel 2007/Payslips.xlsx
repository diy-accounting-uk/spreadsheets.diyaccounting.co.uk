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<sst xmlns="http://schemas.openxmlformats.org/spreadsheetml/2006/main" count="1383" uniqueCount="138">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</sst>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46848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46488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46489</v>
      </c>
      <c r="L19" s="200" t="s">
        <v>76</v>
      </c>
      <c r="M19" s="202">
        <f>K19+6</f>
        <v>46495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46496</v>
      </c>
      <c r="L29" s="200" t="s">
        <v>76</v>
      </c>
      <c r="M29" s="202">
        <f>K29+6</f>
        <v>46502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46503</v>
      </c>
      <c r="L39" s="200" t="s">
        <v>76</v>
      </c>
      <c r="M39" s="202">
        <f>K39+6</f>
        <v>46509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DATE(2026,10,1)</f>
        <v>46296</v>
      </c>
      <c r="L49" s="203" t="s">
        <v>76</v>
      </c>
      <c r="M49" s="205">
        <f>DATE(2026,10,31)</f>
        <v>46326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46510</v>
      </c>
      <c r="L9" s="203" t="s">
        <v>76</v>
      </c>
      <c r="M9" s="205">
        <f>K9+6</f>
        <v>46516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46517</v>
      </c>
      <c r="L19" s="203" t="s">
        <v>76</v>
      </c>
      <c r="M19" s="205">
        <f>K19+6</f>
        <v>46523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46524</v>
      </c>
      <c r="L29" s="203" t="s">
        <v>76</v>
      </c>
      <c r="M29" s="205">
        <f>K29+6</f>
        <v>46530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46531</v>
      </c>
      <c r="L39" s="203" t="s">
        <v>76</v>
      </c>
      <c r="M39" s="205">
        <f>K39+6</f>
        <v>46537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46538</v>
      </c>
      <c r="L9" s="203" t="s">
        <v>76</v>
      </c>
      <c r="M9" s="205">
        <f>K9+6</f>
        <v>46544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46545</v>
      </c>
      <c r="L19" s="203" t="s">
        <v>76</v>
      </c>
      <c r="M19" s="205">
        <f>K19+6</f>
        <v>46551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46552</v>
      </c>
      <c r="L29" s="203" t="s">
        <v>76</v>
      </c>
      <c r="M29" s="205">
        <f>K29+6</f>
        <v>46558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46559</v>
      </c>
      <c r="L39" s="203" t="s">
        <v>76</v>
      </c>
      <c r="M39" s="205">
        <f>K39+6</f>
        <v>46565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46566</v>
      </c>
      <c r="L49" s="203" t="s">
        <v>76</v>
      </c>
      <c r="M49" s="205">
        <f>K49+6</f>
        <v>46572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DATE(2026,12,1)</f>
        <v>46357</v>
      </c>
      <c r="L59" s="203" t="s">
        <v>76</v>
      </c>
      <c r="M59" s="205">
        <f>DATE(2026,12,31)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46578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46579</v>
      </c>
      <c r="L19" s="203" t="s">
        <v>76</v>
      </c>
      <c r="M19" s="205">
        <f>K19+6</f>
        <v>46585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46586</v>
      </c>
      <c r="L29" s="203" t="s">
        <v>76</v>
      </c>
      <c r="M29" s="205">
        <f>K29+6</f>
        <v>46592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46593</v>
      </c>
      <c r="L39" s="203" t="s">
        <v>76</v>
      </c>
      <c r="M39" s="205">
        <f>K39+6</f>
        <v>46599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DATE(2027,1,1)</f>
        <v>46388</v>
      </c>
      <c r="L49" s="203" t="s">
        <v>76</v>
      </c>
      <c r="M49" s="205">
        <f>DATE(2027,1,31)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46606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46607</v>
      </c>
      <c r="L19" s="203" t="s">
        <v>76</v>
      </c>
      <c r="M19" s="205">
        <f>K19+6</f>
        <v>46613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46614</v>
      </c>
      <c r="L29" s="203" t="s">
        <v>76</v>
      </c>
      <c r="M29" s="205">
        <f>K29+6</f>
        <v>46620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46621</v>
      </c>
      <c r="L39" s="203" t="s">
        <v>76</v>
      </c>
      <c r="M39" s="205">
        <f>K39+6</f>
        <v>46627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DATE(2027,2,1)</f>
        <v>46419</v>
      </c>
      <c r="L49" s="203" t="s">
        <v>76</v>
      </c>
      <c r="M49" s="205">
        <f>DATE(2027,2,28)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46628</v>
      </c>
      <c r="L9" s="203" t="s">
        <v>76</v>
      </c>
      <c r="M9" s="205">
        <f>K9+6</f>
        <v>46634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46635</v>
      </c>
      <c r="L19" s="203" t="s">
        <v>76</v>
      </c>
      <c r="M19" s="205">
        <f>K19+6</f>
        <v>46641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46642</v>
      </c>
      <c r="L29" s="203" t="s">
        <v>76</v>
      </c>
      <c r="M29" s="205">
        <f>K29+6</f>
        <v>46648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46649</v>
      </c>
      <c r="L39" s="203" t="s">
        <v>76</v>
      </c>
      <c r="M39" s="205">
        <f>K39+6</f>
        <v>46655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46662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DATE(2027,3,1)</f>
        <v>46447</v>
      </c>
      <c r="L59" s="203" t="s">
        <v>76</v>
      </c>
      <c r="M59" s="205">
        <f>DATE(2027,3,31)</f>
        <v>46477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46670</v>
      </c>
      <c r="L19" s="203" t="s">
        <v>76</v>
      </c>
      <c r="M19" s="205">
        <f>K19+6</f>
        <v>46676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46677</v>
      </c>
      <c r="L29" s="203" t="s">
        <v>76</v>
      </c>
      <c r="M29" s="205">
        <f>K29+6</f>
        <v>46683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46684</v>
      </c>
      <c r="L39" s="203" t="s">
        <v>76</v>
      </c>
      <c r="M39" s="205">
        <f>K39+6</f>
        <v>46690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DATE(2027,4,1)</f>
        <v>46478</v>
      </c>
      <c r="L49" s="203" t="s">
        <v>76</v>
      </c>
      <c r="M49" s="205">
        <f>DATE(2027,4,30)</f>
        <v>46507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46697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46698</v>
      </c>
      <c r="L19" s="203" t="s">
        <v>76</v>
      </c>
      <c r="M19" s="205">
        <f>K19+6</f>
        <v>46704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46705</v>
      </c>
      <c r="L29" s="203" t="s">
        <v>76</v>
      </c>
      <c r="M29" s="205">
        <f>K29+6</f>
        <v>46711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46712</v>
      </c>
      <c r="L39" s="203" t="s">
        <v>76</v>
      </c>
      <c r="M39" s="205">
        <f>K39+6</f>
        <v>46718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DATE(2027,5,1)</f>
        <v>46508</v>
      </c>
      <c r="L49" s="203" t="s">
        <v>76</v>
      </c>
      <c r="M49" s="205">
        <f>DATE(2027,5,31)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46719</v>
      </c>
      <c r="L9" s="203" t="s">
        <v>76</v>
      </c>
      <c r="M9" s="205">
        <f>K9+6</f>
        <v>46725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46726</v>
      </c>
      <c r="L19" s="203" t="s">
        <v>76</v>
      </c>
      <c r="M19" s="205">
        <f>K19+6</f>
        <v>46732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46733</v>
      </c>
      <c r="L29" s="203" t="s">
        <v>76</v>
      </c>
      <c r="M29" s="205">
        <f>K29+6</f>
        <v>46739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46740</v>
      </c>
      <c r="L39" s="203" t="s">
        <v>76</v>
      </c>
      <c r="M39" s="205">
        <f>K39+6</f>
        <v>46746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46747</v>
      </c>
      <c r="L49" s="203" t="s">
        <v>76</v>
      </c>
      <c r="M49" s="205">
        <f>K49+6</f>
        <v>46753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DATE(2027,6,1)</f>
        <v>46539</v>
      </c>
      <c r="L59" s="203" t="s">
        <v>76</v>
      </c>
      <c r="M59" s="205">
        <f>DATE(2027,6,30)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46754</v>
      </c>
      <c r="L9" s="203" t="s">
        <v>76</v>
      </c>
      <c r="M9" s="205">
        <f>K9+6</f>
        <v>46760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46761</v>
      </c>
      <c r="L19" s="203" t="s">
        <v>76</v>
      </c>
      <c r="M19" s="205">
        <f>K19+6</f>
        <v>46767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46768</v>
      </c>
      <c r="L29" s="203" t="s">
        <v>76</v>
      </c>
      <c r="M29" s="205">
        <f>K29+6</f>
        <v>46774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46775</v>
      </c>
      <c r="L39" s="203" t="s">
        <v>76</v>
      </c>
      <c r="M39" s="205">
        <f>K39+6</f>
        <v>46781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DATE(2027,7,1)</f>
        <v>46569</v>
      </c>
      <c r="L49" s="203" t="s">
        <v>76</v>
      </c>
      <c r="M49" s="205">
        <f>DATE(2027,7,31)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46782</v>
      </c>
      <c r="L9" s="203" t="s">
        <v>76</v>
      </c>
      <c r="M9" s="205">
        <f>K9+6</f>
        <v>46788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46789</v>
      </c>
      <c r="L19" s="203" t="s">
        <v>76</v>
      </c>
      <c r="M19" s="205">
        <f>K19+6</f>
        <v>46795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46796</v>
      </c>
      <c r="L29" s="203" t="s">
        <v>76</v>
      </c>
      <c r="M29" s="205">
        <f>K29+6</f>
        <v>46802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46803</v>
      </c>
      <c r="L39" s="203" t="s">
        <v>76</v>
      </c>
      <c r="M39" s="205">
        <f>K39+6</f>
        <v>46809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DATE(2027,8,1)</f>
        <v>46600</v>
      </c>
      <c r="L49" s="203" t="s">
        <v>76</v>
      </c>
      <c r="M49" s="205">
        <f>DATE(2027,8,31)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46810</v>
      </c>
      <c r="L9" s="203" t="s">
        <v>76</v>
      </c>
      <c r="M9" s="205">
        <f>K9+6</f>
        <v>46816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46817</v>
      </c>
      <c r="L19" s="203" t="s">
        <v>76</v>
      </c>
      <c r="M19" s="205">
        <f>K19+6</f>
        <v>46823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46824</v>
      </c>
      <c r="L29" s="203" t="s">
        <v>76</v>
      </c>
      <c r="M29" s="205">
        <f>K29+6</f>
        <v>46830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46831</v>
      </c>
      <c r="L39" s="203" t="s">
        <v>76</v>
      </c>
      <c r="M39" s="205">
        <f>K39+6</f>
        <v>46837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46838</v>
      </c>
      <c r="L49" s="203" t="s">
        <v>76</v>
      </c>
      <c r="M49" s="205">
        <f>K49+6</f>
        <v>46844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46845</v>
      </c>
      <c r="L59" s="203" t="s">
        <v>76</v>
      </c>
      <c r="M59" s="205">
        <f>K59+4</f>
        <v>46849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DATE(2027,9,1)</f>
        <v>46631</v>
      </c>
      <c r="L69" s="203" t="s">
        <v>76</v>
      </c>
      <c r="M69" s="205">
        <f>DATE(2027,9,30)</f>
        <v>46660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46488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46488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46488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46488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46488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DATE(2027,4,30)</f>
        <v>46507</v>
      </c>
      <c r="C4" s="229">
        <f>DATE(2027,5,19)</f>
        <v>46526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2801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DATE(2027,5,31)</f>
        <v>46538</v>
      </c>
      <c r="C5" s="229">
        <f>DATE(2027,6,19)</f>
        <v>46557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2802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DATE(2027,6,30)</f>
        <v>46568</v>
      </c>
      <c r="C6" s="229">
        <f>DATE(2027,7,19)</f>
        <v>46587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2803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DATE(2027,7,31)</f>
        <v>46599</v>
      </c>
      <c r="C7" s="229">
        <f>DATE(2027,8,19)</f>
        <v>46618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2804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DATE(2027,8,31)</f>
        <v>46630</v>
      </c>
      <c r="C8" s="229">
        <f>DATE(2027,9,19)</f>
        <v>46649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2805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DATE(2027,9,30)</f>
        <v>46660</v>
      </c>
      <c r="C9" s="229">
        <f>DATE(2027,10,19)</f>
        <v>46679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2806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DATE(2027,10,31)</f>
        <v>46691</v>
      </c>
      <c r="C10" s="229">
        <f>DATE(2027,11,19)</f>
        <v>46710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2807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DATE(2027,11,30)</f>
        <v>46721</v>
      </c>
      <c r="C11" s="229">
        <f>DATE(2027,12,19)</f>
        <v>46740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2808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DATE(2027,12,31)</f>
        <v>46752</v>
      </c>
      <c r="C12" s="229">
        <f>DATE(2028,1,19)</f>
        <v>46771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2809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DATE(2028,1,31)</f>
        <v>46783</v>
      </c>
      <c r="C13" s="229">
        <f>DATE(2028,2,19)</f>
        <v>46802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2810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DATE(2028,2,29)</f>
        <v>46812</v>
      </c>
      <c r="C14" s="229">
        <f>DATE(2028,3,19)</f>
        <v>46831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2811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DATE(2028,3,31)</f>
        <v>46843</v>
      </c>
      <c r="C15" s="229">
        <f>DATE(2028,4,19)</f>
        <v>46862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2812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46483</v>
      </c>
      <c r="C2" s="309">
        <v>1</v>
      </c>
      <c r="D2" s="309">
        <v>1</v>
      </c>
      <c r="E2" s="310">
        <f>B2</f>
        <v>46483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46847</v>
      </c>
      <c r="C366" s="309">
        <v>53</v>
      </c>
      <c r="D366" s="309">
        <v>12</v>
      </c>
      <c r="E366" s="310">
        <f>B366</f>
        <v>46847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