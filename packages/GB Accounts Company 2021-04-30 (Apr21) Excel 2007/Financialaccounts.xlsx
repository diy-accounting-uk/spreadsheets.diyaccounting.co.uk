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<sst xmlns="http://schemas.openxmlformats.org/spreadsheetml/2006/main" count="1027" uniqueCount="624">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</sst>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44316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44316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44316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44316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44316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43952</v>
      </c>
      <c r="F5" s="392"/>
      <c r="G5" s="176" t="s">
        <v>550</v>
      </c>
      <c r="H5" s="434">
        <f>Admin!N7</f>
        <v>44316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335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2020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30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2021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43952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44316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2020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43861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43862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43890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43891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43921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2020</v>
      </c>
      <c r="L6" s="638">
        <f>B9</f>
        <v>43952</v>
      </c>
      <c r="M6" s="639"/>
      <c r="N6" s="638">
        <f>MIN(IF(DATE(YEAR(L6),3,31)&gt;=L6,DATE(YEAR(L6),3,31),DATE(YEAR(L6)+1,3,31)),F21)</f>
        <v>44286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43922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2021</v>
      </c>
      <c r="L7" s="638">
        <f>N6+1</f>
        <v>44287</v>
      </c>
      <c r="M7" s="639"/>
      <c r="N7" s="638">
        <f>F21</f>
        <v>44316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43951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19</v>
      </c>
      <c r="Q8" s="255" t="s">
        <v>268</v>
      </c>
    </row>
    <row r="9" spans="1:17" ht="12" customHeight="1" x14ac:dyDescent="0.15">
      <c r="A9" s="253"/>
      <c r="B9" s="330">
        <f>DATE(YEAR(B10),MONTH(B10),1)</f>
        <v>43952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</v>
      </c>
      <c r="Q9" s="255"/>
    </row>
    <row r="10" spans="1:17" ht="12" customHeight="1" x14ac:dyDescent="0.15">
      <c r="A10" s="253"/>
      <c r="B10" s="330">
        <f>DATE(YEAR(B12),MONTH(B12),1)-1</f>
        <v>43982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43983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44012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0</v>
      </c>
      <c r="Q12" s="255"/>
    </row>
    <row r="13" spans="1:17" ht="12" customHeight="1" x14ac:dyDescent="0.15">
      <c r="A13" s="253"/>
      <c r="B13" s="330">
        <f>DATE(YEAR(B14),MONTH(B14),1)</f>
        <v>44013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0</v>
      </c>
      <c r="Q13" s="253"/>
    </row>
    <row r="14" spans="1:17" ht="12" customHeight="1" x14ac:dyDescent="0.15">
      <c r="A14" s="253"/>
      <c r="B14" s="330">
        <f>DATE(YEAR(B16),MONTH(B16),1)-1</f>
        <v>44043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44044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44074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44075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44104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44105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44135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44136</v>
      </c>
      <c r="C21" s="253"/>
      <c r="D21" s="9" t="s">
        <v>520</v>
      </c>
      <c r="E21" s="3"/>
      <c r="F21" s="328">
        <v>44316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44165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44166</v>
      </c>
      <c r="C23" s="253"/>
      <c r="F23" s="293"/>
    </row>
    <row r="24" spans="1:17" ht="12" customHeight="1" x14ac:dyDescent="0.15">
      <c r="A24" s="253"/>
      <c r="B24" s="330">
        <f>DATE(YEAR(B26),MONTH(B26),1)-1</f>
        <v>44196</v>
      </c>
      <c r="C24" s="253"/>
    </row>
    <row r="25" spans="1:17" ht="12" customHeight="1" x14ac:dyDescent="0.15">
      <c r="A25" s="253"/>
      <c r="B25" s="330">
        <f>DATE(YEAR(B26),MONTH(B26),1)</f>
        <v>44197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44227</v>
      </c>
      <c r="C26" s="253"/>
      <c r="G26" s="256"/>
    </row>
    <row r="27" spans="1:17" x14ac:dyDescent="0.15">
      <c r="A27" s="253"/>
      <c r="B27" s="330">
        <f>DATE(YEAR(B28),MONTH(B28),1)</f>
        <v>44228</v>
      </c>
      <c r="C27" s="253"/>
      <c r="G27" s="256"/>
    </row>
    <row r="28" spans="1:17" x14ac:dyDescent="0.15">
      <c r="A28" s="253"/>
      <c r="B28" s="330">
        <f>DATE(YEAR(B30),MONTH(B30),1)-1</f>
        <v>44255</v>
      </c>
      <c r="C28" s="253"/>
    </row>
    <row r="29" spans="1:17" x14ac:dyDescent="0.15">
      <c r="A29" s="253"/>
      <c r="B29" s="330">
        <f>DATE(YEAR(B30),MONTH(B30),1)</f>
        <v>44256</v>
      </c>
      <c r="C29" s="253"/>
    </row>
    <row r="30" spans="1:17" x14ac:dyDescent="0.15">
      <c r="A30" s="253"/>
      <c r="B30" s="330">
        <f>DATE(YEAR(B32),MONTH(B32),1)-1</f>
        <v>44286</v>
      </c>
      <c r="C30" s="253"/>
    </row>
    <row r="31" spans="1:17" x14ac:dyDescent="0.15">
      <c r="A31" s="253"/>
      <c r="B31" s="330">
        <f>DATE(YEAR(B32),MONTH(B32),1)</f>
        <v>44287</v>
      </c>
      <c r="C31" s="253"/>
    </row>
    <row r="32" spans="1:17" x14ac:dyDescent="0.15">
      <c r="A32" s="253"/>
      <c r="B32" s="331">
        <f>F21</f>
        <v>44316</v>
      </c>
      <c r="C32" s="253"/>
    </row>
    <row r="33" spans="1:3" x14ac:dyDescent="0.15">
      <c r="A33" s="253"/>
      <c r="B33" s="330">
        <f>DATE(YEAR(B34),MONTH(B34),1)</f>
        <v>44317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44347</v>
      </c>
      <c r="C34" s="253"/>
    </row>
    <row r="35" spans="1:3" x14ac:dyDescent="0.15">
      <c r="A35" s="253"/>
      <c r="B35" s="330">
        <f>DATE(YEAR(B36),MONTH(B36),1)</f>
        <v>44348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44377</v>
      </c>
      <c r="C36" s="253"/>
    </row>
    <row r="37" spans="1:3" x14ac:dyDescent="0.15">
      <c r="A37" s="253"/>
      <c r="B37" s="330">
        <f>DATE(YEAR(B38),MONTH(B38),1)</f>
        <v>44378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44408</v>
      </c>
      <c r="C38" s="253"/>
    </row>
    <row r="39" spans="1:3" x14ac:dyDescent="0.15">
      <c r="A39" s="253"/>
      <c r="B39" s="330">
        <f>DATE(YEAR(B40),MONTH(B40),1)</f>
        <v>44409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44439</v>
      </c>
      <c r="C40" s="253"/>
    </row>
    <row r="41" spans="1:3" x14ac:dyDescent="0.15">
      <c r="A41" s="253"/>
      <c r="B41" s="330">
        <f>DATE(YEAR(B42),MONTH(B42),1)</f>
        <v>44440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44469</v>
      </c>
      <c r="C42" s="253"/>
    </row>
    <row r="43" spans="1:3" x14ac:dyDescent="0.15">
      <c r="A43" s="253"/>
      <c r="B43" s="330">
        <f>DATE(YEAR(B44),MONTH(B44),1)</f>
        <v>44470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44500</v>
      </c>
      <c r="C44" s="253"/>
    </row>
    <row r="45" spans="1:3" x14ac:dyDescent="0.15">
      <c r="A45" s="253"/>
      <c r="B45" s="330">
        <f>DATE(YEAR(B46),MONTH(B46),1)</f>
        <v>44501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44530</v>
      </c>
      <c r="C46" s="253"/>
    </row>
    <row r="47" spans="1:3" x14ac:dyDescent="0.15">
      <c r="A47" s="253"/>
      <c r="B47" s="330">
        <f>DATE(YEAR(B48),MONTH(B48),1)</f>
        <v>44531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44561</v>
      </c>
      <c r="C48" s="253"/>
    </row>
    <row r="49" spans="1:3" x14ac:dyDescent="0.15">
      <c r="A49" s="253"/>
      <c r="B49" s="330">
        <f>DATE(YEAR(B50),MONTH(B50),1)</f>
        <v>44562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44592</v>
      </c>
      <c r="C50" s="253"/>
    </row>
    <row r="51" spans="1:3" x14ac:dyDescent="0.15">
      <c r="A51" s="253"/>
      <c r="B51" s="330">
        <f>DATE(YEAR(B52),MONTH(B52),1)</f>
        <v>44593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44620</v>
      </c>
      <c r="C52" s="253"/>
    </row>
    <row r="53" spans="1:3" x14ac:dyDescent="0.15">
      <c r="A53" s="253"/>
      <c r="B53" s="330">
        <f>DATE(YEAR(B54),MONTH(B54),1)</f>
        <v>44621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44651</v>
      </c>
      <c r="C54" s="253"/>
    </row>
    <row r="55" spans="1:3" x14ac:dyDescent="0.15">
      <c r="A55" s="253"/>
      <c r="B55" s="330">
        <f>DATE(YEAR(B56),MONTH(B56),1)</f>
        <v>44652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44681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