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<sst xmlns="http://schemas.openxmlformats.org/spreadsheetml/2006/main" count="1383" uniqueCount="138">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</sst>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5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44352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44378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44404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44430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44298</v>
      </c>
      <c r="L19" s="200" t="s">
        <v>76</v>
      </c>
      <c r="M19" s="202">
        <f>K19+6</f>
        <v>44304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44305</v>
      </c>
      <c r="L29" s="200" t="s">
        <v>76</v>
      </c>
      <c r="M29" s="202">
        <f>K29+6</f>
        <v>44311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44312</v>
      </c>
      <c r="L39" s="200" t="s">
        <v>76</v>
      </c>
      <c r="M39" s="202">
        <f>K39+6</f>
        <v>44318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DATE(2020,5,1)</f>
        <v>43952</v>
      </c>
      <c r="L49" s="203" t="s">
        <v>76</v>
      </c>
      <c r="M49" s="205">
        <f>DATE(2020,5,31)</f>
        <v>43982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May!M39+1</f>
        <v>44319</v>
      </c>
      <c r="L9" s="203" t="s">
        <v>76</v>
      </c>
      <c r="M9" s="205">
        <f>K9+6</f>
        <v>44325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44326</v>
      </c>
      <c r="L19" s="203" t="s">
        <v>76</v>
      </c>
      <c r="M19" s="205">
        <f>K19+6</f>
        <v>44332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44333</v>
      </c>
      <c r="L29" s="203" t="s">
        <v>76</v>
      </c>
      <c r="M29" s="205">
        <f>K29+6</f>
        <v>44339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44340</v>
      </c>
      <c r="L39" s="203" t="s">
        <v>76</v>
      </c>
      <c r="M39" s="205">
        <f>K39+6</f>
        <v>44346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DATE(2020,6,1)</f>
        <v>43983</v>
      </c>
      <c r="L49" s="203" t="s">
        <v>76</v>
      </c>
      <c r="M49" s="205">
        <f>DATE(2020,6,30)</f>
        <v>44012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Jun!M39+1</f>
        <v>44347</v>
      </c>
      <c r="L9" s="203" t="s">
        <v>76</v>
      </c>
      <c r="M9" s="205">
        <f>K9+6</f>
        <v>44353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44354</v>
      </c>
      <c r="L19" s="203" t="s">
        <v>76</v>
      </c>
      <c r="M19" s="205">
        <f>K19+6</f>
        <v>44360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44361</v>
      </c>
      <c r="L29" s="203" t="s">
        <v>76</v>
      </c>
      <c r="M29" s="205">
        <f>K29+6</f>
        <v>44367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44368</v>
      </c>
      <c r="L39" s="203" t="s">
        <v>76</v>
      </c>
      <c r="M39" s="205">
        <f>K39+6</f>
        <v>44374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44375</v>
      </c>
      <c r="L49" s="203" t="s">
        <v>76</v>
      </c>
      <c r="M49" s="205">
        <f>K49+6</f>
        <v>44381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DATE(2020,7,1)</f>
        <v>44013</v>
      </c>
      <c r="L59" s="203" t="s">
        <v>76</v>
      </c>
      <c r="M59" s="205">
        <f>DATE(2020,7,31)</f>
        <v>44043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44381</v>
      </c>
      <c r="L9" s="203" t="s">
        <v>76</v>
      </c>
      <c r="M9" s="205">
        <f>K9+6</f>
        <v>44387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89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92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92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92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5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44388</v>
      </c>
      <c r="L19" s="203" t="s">
        <v>76</v>
      </c>
      <c r="M19" s="205">
        <f>K19+6</f>
        <v>44394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44395</v>
      </c>
      <c r="L29" s="203" t="s">
        <v>76</v>
      </c>
      <c r="M29" s="205">
        <f>K29+6</f>
        <v>44401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44402</v>
      </c>
      <c r="L39" s="203" t="s">
        <v>76</v>
      </c>
      <c r="M39" s="205">
        <f>K39+6</f>
        <v>44408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DATE(2020,8,1)</f>
        <v>44044</v>
      </c>
      <c r="L49" s="203" t="s">
        <v>76</v>
      </c>
      <c r="M49" s="205">
        <f>DATE(2020,8,31)</f>
        <v>44074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44409</v>
      </c>
      <c r="L9" s="203" t="s">
        <v>76</v>
      </c>
      <c r="M9" s="205">
        <f>K9+6</f>
        <v>44415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IF(T$9="Y",Aug!H41,0)</f>
        <v>0</v>
      </c>
      <c r="I12" s="92">
        <f>IF(T$9="Y",Aug!I41,0)</f>
        <v>0</v>
      </c>
      <c r="J12" s="92">
        <f>IF(T$9="Y",Aug!J41,0)</f>
        <v>0</v>
      </c>
      <c r="K12" s="92">
        <f>IF(T$9="Y",Aug!K41,I12*J12)</f>
        <v>0</v>
      </c>
      <c r="L12" s="111">
        <f>IF(T$9="Y",Aug!L41,0)</f>
        <v>0</v>
      </c>
      <c r="M12" s="111" t="str">
        <f>IF(E12=" "," ",IF(T$9="Y",Aug!M41,IF((H12+K12+L12)&gt;0,H12+K12+L12,"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IF(T$9="Y",Aug!H41,0)</f>
        <v>0</v>
      </c>
      <c r="I13" s="92">
        <f>IF(T$9="Y",Aug!I41,0)</f>
        <v>0</v>
      </c>
      <c r="J13" s="92">
        <f>IF(T$9="Y",Aug!J41,0)</f>
        <v>0</v>
      </c>
      <c r="K13" s="92">
        <f>IF(T$9="Y",Aug!K41,I13*J13)</f>
        <v>0</v>
      </c>
      <c r="L13" s="111">
        <f>IF(T$9="Y",Aug!L41,0)</f>
        <v>0</v>
      </c>
      <c r="M13" s="111" t="str">
        <f>IF(E13=" "," ",IF(T$9="Y",Aug!M41,IF((H13+K13+L13)&gt;0,H13+K13+L13,"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IF(T$9="Y",Aug!H41,0)</f>
        <v>0</v>
      </c>
      <c r="I14" s="92">
        <f>IF(T$9="Y",Aug!I41,0)</f>
        <v>0</v>
      </c>
      <c r="J14" s="92">
        <f>IF(T$9="Y",Aug!J41,0)</f>
        <v>0</v>
      </c>
      <c r="K14" s="92">
        <f>IF(T$9="Y",Aug!K41,I14*J14)</f>
        <v>0</v>
      </c>
      <c r="L14" s="111">
        <f>IF(T$9="Y",Aug!L41,0)</f>
        <v>0</v>
      </c>
      <c r="M14" s="111" t="str">
        <f>IF(E14=" "," ",IF(T$9="Y",Aug!M41,IF((H14+K14+L14)&gt;0,H14+K14+L14,"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IF(T$9="Y",Aug!H41,0)</f>
        <v>0</v>
      </c>
      <c r="I15" s="245">
        <f>IF(T$9="Y",Aug!I41,0)</f>
        <v>0</v>
      </c>
      <c r="J15" s="245">
        <f>IF(T$9="Y",Aug!J41,0)</f>
        <v>0</v>
      </c>
      <c r="K15" s="245">
        <f>IF(T$9="Y",Aug!K41,I15*J15)</f>
        <v>0</v>
      </c>
      <c r="L15" s="246">
        <f>IF(T$9="Y",Aug!L41,0)</f>
        <v>0</v>
      </c>
      <c r="M15" s="246" t="str">
        <f>IF(E15=" "," ",IF(T$9="Y",Aug!M41,IF((H15+K15+L15)&gt;0,H15+K15+L15,"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44416</v>
      </c>
      <c r="L19" s="203" t="s">
        <v>76</v>
      </c>
      <c r="M19" s="205">
        <f>K19+6</f>
        <v>44422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44423</v>
      </c>
      <c r="L29" s="203" t="s">
        <v>76</v>
      </c>
      <c r="M29" s="205">
        <f>K29+6</f>
        <v>44429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44430</v>
      </c>
      <c r="L39" s="203" t="s">
        <v>76</v>
      </c>
      <c r="M39" s="205">
        <f>K39+6</f>
        <v>44436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DATE(2020,9,1)</f>
        <v>44075</v>
      </c>
      <c r="L49" s="203" t="s">
        <v>76</v>
      </c>
      <c r="M49" s="205">
        <f>DATE(2020,9,30)</f>
        <v>44104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89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92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92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92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IF(T$49="Y",Aug!H55,0)</f>
        <v>0</v>
      </c>
      <c r="I55" s="92">
        <f>IF(T$49="Y",Aug!I55,0)</f>
        <v>0</v>
      </c>
      <c r="J55" s="92">
        <f>IF(T$49="Y",Aug!J55,0)</f>
        <v>0</v>
      </c>
      <c r="K55" s="92">
        <f>IF(T$49="Y",Aug!K55,I55*J55)</f>
        <v>0</v>
      </c>
      <c r="L55" s="92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Sep!M39+1</f>
        <v>44437</v>
      </c>
      <c r="L9" s="203" t="s">
        <v>76</v>
      </c>
      <c r="M9" s="205">
        <f>K9+6</f>
        <v>44443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44444</v>
      </c>
      <c r="L19" s="203" t="s">
        <v>76</v>
      </c>
      <c r="M19" s="205">
        <f>K19+6</f>
        <v>44450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44451</v>
      </c>
      <c r="L29" s="203" t="s">
        <v>76</v>
      </c>
      <c r="M29" s="205">
        <f>K29+6</f>
        <v>44457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44458</v>
      </c>
      <c r="L39" s="203" t="s">
        <v>76</v>
      </c>
      <c r="M39" s="205">
        <f>K39+6</f>
        <v>44464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44465</v>
      </c>
      <c r="L49" s="203" t="s">
        <v>76</v>
      </c>
      <c r="M49" s="205">
        <f>K49+6</f>
        <v>44471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DATE(2020,10,1)</f>
        <v>44105</v>
      </c>
      <c r="L59" s="203" t="s">
        <v>76</v>
      </c>
      <c r="M59" s="205">
        <f>DATE(2020,10,31)</f>
        <v>44135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44472</v>
      </c>
      <c r="L9" s="203" t="s">
        <v>76</v>
      </c>
      <c r="M9" s="205">
        <f>Admin!B188</f>
        <v>44478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99" t="str">
        <f>IF(E11=" "," ",IF(T$9="Y",Oct!M51,IF((H11+K11+L11)&gt;0,H11+K11+L11,"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00" t="str">
        <f>IF(E12=" "," ",IF(T$9="Y",Oct!M52,IF((H12+K12+L12)&gt;0,H12+K12+L12,"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00" t="str">
        <f>IF(E13=" "," ",IF(T$9="Y",Oct!M53,IF((H13+K13+L13)&gt;0,H13+K13+L13,"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00" t="str">
        <f>IF(E14=" "," ",IF(T$9="Y",Oct!M54,IF((H14+K14+L14)&gt;0,H14+K14+L14,"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247" t="str">
        <f>IF(E15=" "," ",IF(T$9="Y",Oct!M55,IF((H15+K15+L15)&gt;0,H15+K15+L15,"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44479</v>
      </c>
      <c r="L19" s="203" t="s">
        <v>76</v>
      </c>
      <c r="M19" s="205">
        <f>K19+6</f>
        <v>44485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44486</v>
      </c>
      <c r="L29" s="203" t="s">
        <v>76</v>
      </c>
      <c r="M29" s="205">
        <f>K29+6</f>
        <v>44492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44493</v>
      </c>
      <c r="L39" s="203" t="s">
        <v>76</v>
      </c>
      <c r="M39" s="205">
        <f>K39+6</f>
        <v>44499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DATE(2020,11,1)</f>
        <v>44136</v>
      </c>
      <c r="L49" s="203" t="s">
        <v>76</v>
      </c>
      <c r="M49" s="205">
        <f>DATE(2020,11,30)</f>
        <v>44165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44500</v>
      </c>
      <c r="L9" s="203" t="s">
        <v>76</v>
      </c>
      <c r="M9" s="205">
        <f>K9+6</f>
        <v>44506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44507</v>
      </c>
      <c r="L19" s="203" t="s">
        <v>76</v>
      </c>
      <c r="M19" s="205">
        <f>K19+6</f>
        <v>44513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44514</v>
      </c>
      <c r="L29" s="203" t="s">
        <v>76</v>
      </c>
      <c r="M29" s="205">
        <f>K29+6</f>
        <v>44520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44521</v>
      </c>
      <c r="L39" s="203" t="s">
        <v>76</v>
      </c>
      <c r="M39" s="205">
        <f>K39+6</f>
        <v>44527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DATE(2020,12,1)</f>
        <v>44166</v>
      </c>
      <c r="L49" s="203" t="s">
        <v>76</v>
      </c>
      <c r="M49" s="205">
        <f>DATE(2020,12,31)</f>
        <v>44196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Dec!M39+1</f>
        <v>44528</v>
      </c>
      <c r="L9" s="203" t="s">
        <v>76</v>
      </c>
      <c r="M9" s="205">
        <f>K9+6</f>
        <v>44534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44535</v>
      </c>
      <c r="L19" s="203" t="s">
        <v>76</v>
      </c>
      <c r="M19" s="205">
        <f>K19+6</f>
        <v>44541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44542</v>
      </c>
      <c r="L29" s="203" t="s">
        <v>76</v>
      </c>
      <c r="M29" s="205">
        <f>K29+6</f>
        <v>44548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44549</v>
      </c>
      <c r="L39" s="203" t="s">
        <v>76</v>
      </c>
      <c r="M39" s="205">
        <f>K39+6</f>
        <v>44555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44556</v>
      </c>
      <c r="L49" s="203" t="s">
        <v>76</v>
      </c>
      <c r="M49" s="205">
        <f>K49+6</f>
        <v>44562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DATE(2021,1,1)</f>
        <v>44197</v>
      </c>
      <c r="L59" s="203" t="s">
        <v>76</v>
      </c>
      <c r="M59" s="205">
        <f>DATE(2021,1,31)</f>
        <v>44227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Jan!M49+1</f>
        <v>44563</v>
      </c>
      <c r="L9" s="203" t="s">
        <v>76</v>
      </c>
      <c r="M9" s="205">
        <f>K9+6</f>
        <v>44569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110" t="str">
        <f>IF(E11=" "," ",IF(T$9="Y",Jan!M51,IF((H11+K11+L11)&gt;0,H11+K11+L11,"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11" t="str">
        <f>IF(E12=" "," ",IF(T$9="Y",Jan!M52,IF((H12+K12+L12)&gt;0,H12+K12+L12,"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11" t="str">
        <f>IF(E13=" "," ",IF(T$9="Y",Jan!M53,IF((H13+K13+L13)&gt;0,H13+K13+L13,"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11" t="str">
        <f>IF(E14=" "," ",IF(T$9="Y",Jan!M54,IF((H14+K14+L14)&gt;0,H14+K14+L14,"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111" t="str">
        <f>IF(E15=" "," ",IF(T$9="Y",Jan!M55,IF((H15+K15+L15)&gt;0,H15+K15+L15,"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44570</v>
      </c>
      <c r="L19" s="203" t="s">
        <v>76</v>
      </c>
      <c r="M19" s="205">
        <f>K19+6</f>
        <v>44576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44577</v>
      </c>
      <c r="L29" s="203" t="s">
        <v>76</v>
      </c>
      <c r="M29" s="205">
        <f>K29+6</f>
        <v>44583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44584</v>
      </c>
      <c r="L39" s="203" t="s">
        <v>76</v>
      </c>
      <c r="M39" s="205">
        <f>K39+6</f>
        <v>44590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DATE(2021,2,1)</f>
        <v>44228</v>
      </c>
      <c r="L49" s="203" t="s">
        <v>76</v>
      </c>
      <c r="M49" s="205">
        <f>DATE(2021,2,28)</f>
        <v>44255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Feb!M39+1</f>
        <v>44591</v>
      </c>
      <c r="L9" s="203" t="s">
        <v>76</v>
      </c>
      <c r="M9" s="205">
        <f>K9+6</f>
        <v>44597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IF(T$19="Y",Feb!L45,0)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44598</v>
      </c>
      <c r="L19" s="203" t="s">
        <v>76</v>
      </c>
      <c r="M19" s="205">
        <f>K19+6</f>
        <v>44604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44605</v>
      </c>
      <c r="L29" s="203" t="s">
        <v>76</v>
      </c>
      <c r="M29" s="205">
        <f>K29+6</f>
        <v>44611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44612</v>
      </c>
      <c r="L39" s="203" t="s">
        <v>76</v>
      </c>
      <c r="M39" s="205">
        <f>K39+6</f>
        <v>44618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DATE(2021,3,1)</f>
        <v>44256</v>
      </c>
      <c r="L49" s="203" t="s">
        <v>76</v>
      </c>
      <c r="M49" s="205">
        <f>DATE(2021,3,31)</f>
        <v>44286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Mar!M39+1</f>
        <v>44619</v>
      </c>
      <c r="L9" s="203" t="s">
        <v>76</v>
      </c>
      <c r="M9" s="205">
        <f>K9+6</f>
        <v>44625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44626</v>
      </c>
      <c r="L19" s="203" t="s">
        <v>76</v>
      </c>
      <c r="M19" s="205">
        <f>K19+6</f>
        <v>44632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44633</v>
      </c>
      <c r="L29" s="203" t="s">
        <v>76</v>
      </c>
      <c r="M29" s="205">
        <f>K29+6</f>
        <v>44639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44640</v>
      </c>
      <c r="L39" s="203" t="s">
        <v>76</v>
      </c>
      <c r="M39" s="205">
        <f>K39+6</f>
        <v>44646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44647</v>
      </c>
      <c r="L49" s="203" t="s">
        <v>76</v>
      </c>
      <c r="M49" s="205">
        <f>K49+6</f>
        <v>44653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44654</v>
      </c>
      <c r="L59" s="203" t="s">
        <v>76</v>
      </c>
      <c r="M59" s="205">
        <f>K59+4</f>
        <v>44658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DATE(2021,4,1)</f>
        <v>44287</v>
      </c>
      <c r="L69" s="203" t="s">
        <v>76</v>
      </c>
      <c r="M69" s="205">
        <f>DATE(2021,4,30)</f>
        <v>44316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IF(T$69="Y",Mar!H51,0)</f>
        <v>0</v>
      </c>
      <c r="I71" s="89">
        <f>IF(T$69="Y",Mar!I51,0)</f>
        <v>0</v>
      </c>
      <c r="J71" s="89">
        <f>IF(T$69="Y",Mar!J51,0)</f>
        <v>0</v>
      </c>
      <c r="K71" s="89">
        <f>IF(T$69="Y",Mar!K51,I71*J71)</f>
        <v>0</v>
      </c>
      <c r="L71" s="110">
        <f>IF(T$69="Y",Mar!L51,0)</f>
        <v>0</v>
      </c>
      <c r="M71" s="99" t="str">
        <f>IF(E71=" "," ",IF(T$69="Y",Mar!M51,IF((H71+K71+L71)&gt;0,H71+K71+L71,"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IF(Employee!H$35=E$69,Employee!D$34+SUM(M71)+Mar!V51,SUM(M71)+Mar!V51)</f>
        <v>0</v>
      </c>
      <c r="W71" s="49">
        <f>IF(Employee!H$35=E$69,Employee!D$35+SUM(N71)+Mar!W51,SUM(N71)+Mar!W51)</f>
        <v>0</v>
      </c>
      <c r="X71" s="49">
        <f>IF(O71=" ",Mar!X51,O71+Mar!X51)</f>
        <v>0</v>
      </c>
      <c r="Y71" s="49">
        <f>IF(P71=" ",Mar!Y51,P71+Mar!Y51)</f>
        <v>0</v>
      </c>
      <c r="Z71" s="49">
        <f>IF(Q71=" ",Mar!Z51,Q71+Mar!Z51)</f>
        <v>0</v>
      </c>
      <c r="AA71" s="49">
        <f>IF(R71=" ",Mar!AA51,R71+Mar!AA51)</f>
        <v>0</v>
      </c>
      <c r="AC71" s="49">
        <f>IF(T71=" ",Mar!AC51,T71+Mar!AC51)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IF(T$69="Y",Mar!H52,0)</f>
        <v>0</v>
      </c>
      <c r="I72" s="92">
        <f>IF(T$69="Y",Mar!I52,0)</f>
        <v>0</v>
      </c>
      <c r="J72" s="92">
        <f>IF(T$69="Y",Mar!J52,0)</f>
        <v>0</v>
      </c>
      <c r="K72" s="92">
        <f>IF(T$69="Y",Mar!K52,I72*J72)</f>
        <v>0</v>
      </c>
      <c r="L72" s="111">
        <f>IF(T$69="Y",Mar!L52,0)</f>
        <v>0</v>
      </c>
      <c r="M72" s="100" t="str">
        <f>IF(E72=" "," ",IF(T$69="Y",Mar!M52,IF((H72+K72+L72)&gt;0,H72+K72+L72,"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IF(Employee!H$61=E$69,Employee!D$60+SUM(M72)+Mar!V52,SUM(M72)+Mar!V52)</f>
        <v>0</v>
      </c>
      <c r="W72" s="49">
        <f>IF(Employee!H$61=E$69,Employee!D$61+SUM(N72)+Mar!W52,SUM(N72)+Mar!W52)</f>
        <v>0</v>
      </c>
      <c r="X72" s="49">
        <f>IF(O72=" ",Mar!X52,O72+Mar!X52)</f>
        <v>0</v>
      </c>
      <c r="Y72" s="49">
        <f>IF(P72=" ",Mar!Y52,P72+Mar!Y52)</f>
        <v>0</v>
      </c>
      <c r="Z72" s="49">
        <f>IF(Q72=" ",Mar!Z52,Q72+Mar!Z52)</f>
        <v>0</v>
      </c>
      <c r="AA72" s="49">
        <f>IF(R72=" ",Mar!AA52,R72+Mar!AA52)</f>
        <v>0</v>
      </c>
      <c r="AC72" s="49">
        <f>IF(T72=" ",Mar!AC52,T72+Mar!AC52)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IF(T$69="Y",Mar!H53,0)</f>
        <v>0</v>
      </c>
      <c r="I73" s="92">
        <f>IF(T$69="Y",Mar!I53,0)</f>
        <v>0</v>
      </c>
      <c r="J73" s="92">
        <f>IF(T$69="Y",Mar!J53,0)</f>
        <v>0</v>
      </c>
      <c r="K73" s="92">
        <f>IF(T$69="Y",Mar!K53,I73*J73)</f>
        <v>0</v>
      </c>
      <c r="L73" s="111">
        <f>IF(T$69="Y",Mar!L53,0)</f>
        <v>0</v>
      </c>
      <c r="M73" s="100" t="str">
        <f>IF(E73=" "," ",IF(T$69="Y",Mar!M53,IF((H73+K73+L73)&gt;0,H73+K73+L73,"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IF(Employee!H$87=E$69,Employee!D$86+SUM(M73)+Mar!V53,SUM(M73)+Mar!V53)</f>
        <v>0</v>
      </c>
      <c r="W73" s="49">
        <f>IF(Employee!H$87=E$69,Employee!D$87+SUM(N73)+Mar!W53,SUM(N73)+Mar!W53)</f>
        <v>0</v>
      </c>
      <c r="X73" s="49">
        <f>IF(O73=" ",Mar!X53,O73+Mar!X53)</f>
        <v>0</v>
      </c>
      <c r="Y73" s="49">
        <f>IF(P73=" ",Mar!Y53,P73+Mar!Y53)</f>
        <v>0</v>
      </c>
      <c r="Z73" s="49">
        <f>IF(Q73=" ",Mar!Z53,Q73+Mar!Z53)</f>
        <v>0</v>
      </c>
      <c r="AA73" s="49">
        <f>IF(R73=" ",Mar!AA53,R73+Mar!AA53)</f>
        <v>0</v>
      </c>
      <c r="AC73" s="49">
        <f>IF(T73=" ",Mar!AC53,T73+Mar!AC53)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IF(T$69="Y",Mar!H54,0)</f>
        <v>0</v>
      </c>
      <c r="I74" s="92">
        <f>IF(T$69="Y",Mar!I54,0)</f>
        <v>0</v>
      </c>
      <c r="J74" s="92">
        <f>IF(T$69="Y",Mar!J54,0)</f>
        <v>0</v>
      </c>
      <c r="K74" s="92">
        <f>IF(T$69="Y",Mar!K54,I74*J74)</f>
        <v>0</v>
      </c>
      <c r="L74" s="111">
        <f>IF(T$69="Y",Mar!L54,0)</f>
        <v>0</v>
      </c>
      <c r="M74" s="100" t="str">
        <f>IF(E74=" "," ",IF(T$69="Y",Mar!M54,IF((H74+K74+L74)&gt;0,H74+K74+L74,"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IF(Employee!H$113=E$69,Employee!D$112+SUM(M74)+Mar!V54,SUM(M74)+Mar!V54)</f>
        <v>0</v>
      </c>
      <c r="W74" s="49">
        <f>IF(Employee!H$113=E$69,Employee!D$113+SUM(N74)+Mar!W54,SUM(N74)+Mar!W54)</f>
        <v>0</v>
      </c>
      <c r="X74" s="49">
        <f>IF(O74=" ",Mar!X54,O74+Mar!X54)</f>
        <v>0</v>
      </c>
      <c r="Y74" s="49">
        <f>IF(P74=" ",Mar!Y54,P74+Mar!Y54)</f>
        <v>0</v>
      </c>
      <c r="Z74" s="49">
        <f>IF(Q74=" ",Mar!Z54,Q74+Mar!Z54)</f>
        <v>0</v>
      </c>
      <c r="AA74" s="49">
        <f>IF(R74=" ",Mar!AA54,R74+Mar!AA54)</f>
        <v>0</v>
      </c>
      <c r="AC74" s="49">
        <f>IF(T74=" ",Mar!AC54,T74+Mar!AC54)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IF(T$69="Y",Mar!H55,0)</f>
        <v>0</v>
      </c>
      <c r="I75" s="245">
        <f>IF(T$69="Y",Mar!I55,0)</f>
        <v>0</v>
      </c>
      <c r="J75" s="245">
        <f>IF(T$69="Y",Mar!J55,0)</f>
        <v>0</v>
      </c>
      <c r="K75" s="245">
        <f>IF(T$69="Y",Mar!K55,I75*J75)</f>
        <v>0</v>
      </c>
      <c r="L75" s="246">
        <f>IF(T$69="Y",Mar!L55,0)</f>
        <v>0</v>
      </c>
      <c r="M75" s="100" t="str">
        <f>IF(E75=" "," ",IF(T$69="Y",Mar!M55,IF((H75+K75+L75)&gt;0,H75+K75+L75,"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IF(Employee!H$139=E$69,Employee!D$138+SUM(M75)+Mar!V55,SUM(M75)+Mar!V55)</f>
        <v>0</v>
      </c>
      <c r="W75" s="49">
        <f>IF(Employee!H$139=E$69,Employee!D$139+SUM(N75)+Mar!W55,SUM(N75)+Mar!W55)</f>
        <v>0</v>
      </c>
      <c r="X75" s="49">
        <f>IF(O75=" ",Mar!X55,O75+Mar!X55)</f>
        <v>0</v>
      </c>
      <c r="Y75" s="49">
        <f>IF(P75=" ",Mar!Y55,P75+Mar!Y55)</f>
        <v>0</v>
      </c>
      <c r="Z75" s="49">
        <f>IF(Q75=" ",Mar!Z55,Q75+Mar!Z55)</f>
        <v>0</v>
      </c>
      <c r="AA75" s="49">
        <f>IF(R75=" ",Mar!AA55,R75+Mar!AA55)</f>
        <v>0</v>
      </c>
      <c r="AC75" s="49">
        <f>IF(T75=" ",Mar!AC55,T75+Mar!AC55)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AD80+Mar!AD65</f>
        <v>0</v>
      </c>
      <c r="AE85" s="158">
        <f>AE80+Mar!AE65</f>
        <v>0</v>
      </c>
      <c r="AF85" s="158">
        <f>AF80+Mar!AF65</f>
        <v>0</v>
      </c>
      <c r="AG85" s="158">
        <f>AG80+Mar!AG65</f>
        <v>0</v>
      </c>
    </row>
    <row r="86" spans="6:33" ht="14" thickTop="1" x14ac:dyDescent="0.15"/>
    <row r="87" spans="6:33" x14ac:dyDescent="0.15">
      <c r="AD87" s="162"/>
      <c r="AE87" s="158">
        <f>AE82+Mar!AE67</f>
        <v>0</v>
      </c>
      <c r="AF87" s="158">
        <f>AF82+Mar!AF67</f>
        <v>0</v>
      </c>
      <c r="AG87" s="158">
        <f>AG82+Mar!AG67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May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Apr!AD80+Apr!AE80+Apr!AF80+Apr!AG80</f>
        <v>0</v>
      </c>
      <c r="G4" s="228">
        <f>Apr!AE82+Apr!AF82+Apr!AG82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TEXT(DATE(YEAR(B$2),MONTH(B$2)+(D2-1)+1,1),"Mmm")</f>
        <v>May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TEXT(DATE(YEAR(B$2),MONTH(B$2)+(D3-1)+1,1),"Mmm")</f>
        <v>May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May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May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May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May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May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May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May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May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May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May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May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May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May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May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May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May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May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May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May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May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May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May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May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May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Jun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Jun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Jun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Jun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Jun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Jun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Jun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Jun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Jun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Jun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Jun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Jun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Jun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Jun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Jun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Jun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Jun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Jun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Jun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Jun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Jun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Jun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Jun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Jun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Jun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Jun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Jun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Jun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Jul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Jul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Jul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Jul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Jul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Jul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Jul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Jul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Jul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Jul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Jul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TEXT(DATE(YEAR(B$2),MONTH(B$2)+(D67-1)+1,1),"Mmm")</f>
        <v>Jul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Jul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Jul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Jul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Jul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Jul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Jul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Jul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Jul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Jul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Jul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Jul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Jul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Jul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Jul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Jul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Jul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Jul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Jul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Jul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Jul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Jul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Jul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Jul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Aug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Aug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Aug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Aug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Aug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Aug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Aug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Aug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Aug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Aug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Aug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Aug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Aug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Aug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Aug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Aug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Aug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Aug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Aug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Aug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Aug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Aug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Aug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Aug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Aug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Aug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Aug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Aug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Sep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Sep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Sep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Sep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Sep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Sep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Sep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Sep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Sep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Sep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Sep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Sep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TEXT(DATE(YEAR(B$2),MONTH(B$2)+(D131-1)+1,1),"Mmm")</f>
        <v>Sep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Sep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Sep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Sep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Sep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Sep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Sep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Sep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Sep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Sep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Sep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Sep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Sep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Sep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Sep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Sep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Oct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Oct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Oct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Oct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Oct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Oct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Oct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Oct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Oct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Oct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Oct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Oct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Oct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Oct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Oct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Oct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Oct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Oct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Oct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Oct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Oct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Oct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Oct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Oct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Oct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Oct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Oct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Oct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Oct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Oct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Oct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Oct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Oct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Oct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Oct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Nov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Nov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Nov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Nov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Nov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Nov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Nov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Nov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Nov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Nov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Nov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Nov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Nov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TEXT(DATE(YEAR(B$2),MONTH(B$2)+(D195-1)+1,1),"Mmm")</f>
        <v>Nov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Nov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Nov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Nov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Nov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Nov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Nov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Nov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Nov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Nov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Nov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Nov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Nov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Nov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Nov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Dec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Dec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Dec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Dec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Dec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Dec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Dec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Dec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Dec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Dec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Dec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Dec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Dec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Dec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Dec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Dec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Dec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Dec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Dec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Dec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Dec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Dec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Dec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Dec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Dec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Dec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Dec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Dec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Jan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Jan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Jan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Jan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Jan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Jan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Jan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Jan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Jan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Jan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Jan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Jan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Jan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Jan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Jan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Jan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Jan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Jan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Jan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Jan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Jan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TEXT(DATE(YEAR(B$2),MONTH(B$2)+(D259-1)+1,1),"Mmm")</f>
        <v>Jan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Jan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Jan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Jan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Jan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Jan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Jan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Jan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Jan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Jan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Jan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Jan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Jan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Jan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Feb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Feb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Feb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Feb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Feb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Feb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Feb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Feb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Feb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Feb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Feb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Feb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Feb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Feb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Feb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Feb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Feb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Feb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Feb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Feb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Feb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Feb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Feb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Feb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Feb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Feb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Feb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Feb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Mar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Mar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Mar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Mar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Mar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Mar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Mar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Mar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Mar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Mar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Mar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Mar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Mar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Mar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Mar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Mar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Mar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Mar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Mar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Mar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Mar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Mar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TEXT(DATE(YEAR(B$2),MONTH(B$2)+(D323-1)+1,1),"Mmm")</f>
        <v>Mar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Mar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Mar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Mar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Mar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Mar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Apr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Apr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Apr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Apr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Apr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Apr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Apr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Apr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Apr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Apr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Apr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Apr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Apr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Apr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Apr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Apr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Apr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Apr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Apr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Apr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Apr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Apr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Apr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Apr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Apr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Apr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Apr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Apr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Apr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Apr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Apr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Apr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Apr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Apr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Apr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Apr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Apr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Apr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Apr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Apr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Apr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Apr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Apr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Apr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Apr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Apr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Apr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Apr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Apr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Apr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Apr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Apr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Apr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