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698134E-8B32-AE44-93FF-96CA521A7C56}" xr6:coauthVersionLast="47" xr6:coauthVersionMax="47" xr10:uidLastSave="{00000000-0000-0000-0000-000000000000}"/>
  <bookViews>
    <workbookView xWindow="0" yWindow="500" windowWidth="27660" windowHeight="17920" tabRatio="909" xr2:uid="{00000000-000D-0000-FFFF-FFFF00000000}"/>
  </bookViews>
  <sheets>
    <sheet name="Employee" sheetId="25" r:id="rId1"/>
    <sheet name="Jun" sheetId="12" r:id="rId2"/>
    <sheet name="Jul" sheetId="11" r:id="rId3"/>
    <sheet name="Aug" sheetId="10" r:id="rId4"/>
    <sheet name="Sep" sheetId="9" r:id="rId5"/>
    <sheet name="Oct" sheetId="8" r:id="rId6"/>
    <sheet name="Nov" sheetId="17" r:id="rId7"/>
    <sheet name="Dec" sheetId="16" r:id="rId8"/>
    <sheet name="Jan" sheetId="15" r:id="rId9"/>
    <sheet name="Feb" sheetId="14" r:id="rId10"/>
    <sheet name="Mar" sheetId="13" r:id="rId11"/>
    <sheet name="Apr" sheetId="19" r:id="rId12"/>
    <sheet name="May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22" i="40"/>
  <c r="M37" i="40"/>
  <c r="M66" i="40"/>
  <c r="M51" i="40"/>
  <c r="M8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<sst xmlns="http://schemas.openxmlformats.org/spreadsheetml/2006/main" count="1383" uniqueCount="138">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</sst>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3" borderId="0" xfId="0" applyFont="1" applyFill="1" applyAlignment="1">
      <alignment horizontal="center"/>
    </xf>
    <xf numFmtId="0" fontId="0" fillId="0" borderId="0" xfId="0"/>
    <xf numFmtId="0" fontId="7" fillId="0" borderId="38" xfId="0" applyFont="1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0" borderId="0" xfId="0" applyFont="1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14" fontId="7" fillId="2" borderId="0" xfId="0" applyNumberFormat="1" applyFont="1" applyFill="1" applyAlignment="1">
      <alignment horizontal="left" wrapText="1"/>
    </xf>
    <xf numFmtId="0" fontId="17" fillId="2" borderId="32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164" fontId="8" fillId="3" borderId="21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27" fillId="0" borderId="0" xfId="0" applyFont="1"/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3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1" fillId="0" borderId="0" xfId="0" applyFont="1" applyProtection="1"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6" fillId="3" borderId="0" xfId="0" applyFont="1" applyFill="1" applyAlignment="1" applyProtection="1">
      <alignment horizontal="left" vertical="center" indent="1"/>
      <protection hidden="1"/>
    </xf>
    <xf numFmtId="0" fontId="43" fillId="0" borderId="0" xfId="0" applyFont="1" applyAlignment="1">
      <alignment horizontal="left" vertical="center" indent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48"/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5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5"/>
      <c r="W2" s="206">
        <f>Admin!B2</f>
        <v>45753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53" t="s">
        <v>135</v>
      </c>
      <c r="I3" s="353"/>
      <c r="J3" s="353"/>
      <c r="K3" s="353"/>
      <c r="L3" s="353"/>
      <c r="M3" s="353"/>
      <c r="N3" s="5"/>
      <c r="O3" s="62"/>
      <c r="P3" s="143"/>
      <c r="Q3" s="350" t="s">
        <v>66</v>
      </c>
      <c r="R3" s="351"/>
      <c r="S3" s="352"/>
      <c r="T3" s="80"/>
      <c r="U3" s="345"/>
      <c r="W3" s="206">
        <f>Admin!B3</f>
        <v>45754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5"/>
      <c r="W4" s="206">
        <f>Admin!B4</f>
        <v>45755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54"/>
      <c r="E5" s="355"/>
      <c r="F5" s="356"/>
      <c r="G5" s="5"/>
      <c r="H5" s="357" t="s">
        <v>137</v>
      </c>
      <c r="I5" s="357"/>
      <c r="J5" s="357"/>
      <c r="K5" s="357"/>
      <c r="L5" s="357"/>
      <c r="M5" s="357"/>
      <c r="N5" s="357"/>
      <c r="O5" s="357"/>
      <c r="P5" s="68"/>
      <c r="Q5" s="5"/>
      <c r="R5" s="79"/>
      <c r="S5" s="79"/>
      <c r="T5" s="80"/>
      <c r="U5" s="345"/>
      <c r="V5" s="3" t="s">
        <v>78</v>
      </c>
      <c r="W5" s="206">
        <f>Admin!B5</f>
        <v>45756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54"/>
      <c r="E6" s="355"/>
      <c r="F6" s="356"/>
      <c r="G6" s="5"/>
      <c r="H6" s="357"/>
      <c r="I6" s="357"/>
      <c r="J6" s="357"/>
      <c r="K6" s="357"/>
      <c r="L6" s="357"/>
      <c r="M6" s="357"/>
      <c r="N6" s="357"/>
      <c r="O6" s="357"/>
      <c r="P6" s="68"/>
      <c r="Q6" s="5"/>
      <c r="R6" s="79"/>
      <c r="S6" s="79"/>
      <c r="T6" s="80"/>
      <c r="U6" s="345"/>
      <c r="V6" s="3" t="s">
        <v>79</v>
      </c>
      <c r="W6" s="206">
        <f>Admin!B6</f>
        <v>45757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54"/>
      <c r="E7" s="355"/>
      <c r="F7" s="356"/>
      <c r="G7" s="5"/>
      <c r="H7" s="357"/>
      <c r="I7" s="357"/>
      <c r="J7" s="357"/>
      <c r="K7" s="357"/>
      <c r="L7" s="357"/>
      <c r="M7" s="357"/>
      <c r="N7" s="357"/>
      <c r="O7" s="357"/>
      <c r="P7" s="68"/>
      <c r="Q7" s="5"/>
      <c r="R7" s="79"/>
      <c r="S7" s="79"/>
      <c r="T7" s="80"/>
      <c r="U7" s="345"/>
      <c r="V7" s="3" t="s">
        <v>80</v>
      </c>
      <c r="W7" s="206">
        <f>Admin!B7</f>
        <v>45758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5"/>
      <c r="V8" s="3" t="s">
        <v>78</v>
      </c>
      <c r="W8" s="206">
        <f>Admin!B8</f>
        <v>45759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45753</v>
      </c>
      <c r="N9" s="5"/>
      <c r="O9" s="163">
        <f>Admin!I1</f>
        <v>46117</v>
      </c>
      <c r="P9" s="145"/>
      <c r="Q9" s="140"/>
      <c r="R9" s="141"/>
      <c r="S9" s="141"/>
      <c r="T9" s="80"/>
      <c r="U9" s="345"/>
      <c r="W9" s="206">
        <f>Admin!B9</f>
        <v>45760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5"/>
      <c r="V10" s="3" t="s">
        <v>81</v>
      </c>
      <c r="W10" s="206">
        <f>Admin!B10</f>
        <v>45761</v>
      </c>
      <c r="X10" s="3">
        <f t="shared" si="0"/>
        <v>9</v>
      </c>
    </row>
    <row r="11" spans="1:24" ht="15" customHeight="1" thickBot="1" x14ac:dyDescent="0.2">
      <c r="A11" s="346"/>
      <c r="B11" s="346"/>
      <c r="C11" s="346"/>
      <c r="D11" s="346"/>
      <c r="E11" s="346"/>
      <c r="F11" s="346"/>
      <c r="G11" s="346"/>
      <c r="H11" s="346"/>
      <c r="I11" s="346"/>
      <c r="J11" s="346"/>
      <c r="K11" s="346"/>
      <c r="L11" s="346"/>
      <c r="M11" s="346"/>
      <c r="N11" s="346"/>
      <c r="O11" s="346"/>
      <c r="P11" s="346"/>
      <c r="Q11" s="346"/>
      <c r="R11" s="347"/>
      <c r="S11" s="347"/>
      <c r="T11" s="347"/>
      <c r="U11" s="345"/>
      <c r="W11" s="206">
        <f>Admin!B11</f>
        <v>45762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5"/>
      <c r="V12" s="3" t="s">
        <v>82</v>
      </c>
      <c r="W12" s="206">
        <f>Admin!B12</f>
        <v>45763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38" t="s">
        <v>50</v>
      </c>
      <c r="I13" s="14"/>
      <c r="J13" s="22"/>
      <c r="K13" s="83" t="s">
        <v>20</v>
      </c>
      <c r="L13" s="52"/>
      <c r="M13" s="70"/>
      <c r="N13" s="13"/>
      <c r="O13" s="343"/>
      <c r="P13" s="344"/>
      <c r="Q13" s="340"/>
      <c r="R13" s="53"/>
      <c r="S13" s="330"/>
      <c r="T13" s="15"/>
      <c r="U13" s="345"/>
      <c r="V13" s="3" t="s">
        <v>83</v>
      </c>
      <c r="W13" s="206">
        <f>Admin!B13</f>
        <v>45764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38"/>
      <c r="I14" s="14"/>
      <c r="J14" s="22"/>
      <c r="K14" s="52"/>
      <c r="L14" s="52"/>
      <c r="M14" s="70"/>
      <c r="N14" s="13"/>
      <c r="O14" s="14"/>
      <c r="P14" s="148"/>
      <c r="Q14" s="341"/>
      <c r="R14" s="14"/>
      <c r="S14" s="331"/>
      <c r="T14" s="15"/>
      <c r="U14" s="345"/>
      <c r="W14" s="206">
        <f>Admin!B14</f>
        <v>45765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2"/>
      <c r="E15" s="333"/>
      <c r="F15" s="334"/>
      <c r="G15" s="14"/>
      <c r="H15" s="21" t="s">
        <v>51</v>
      </c>
      <c r="I15" s="14"/>
      <c r="J15" s="51"/>
      <c r="K15" s="14" t="s">
        <v>17</v>
      </c>
      <c r="L15" s="14"/>
      <c r="M15" s="335"/>
      <c r="N15" s="336"/>
      <c r="O15" s="337"/>
      <c r="P15" s="148"/>
      <c r="Q15" s="138"/>
      <c r="R15" s="136"/>
      <c r="S15" s="139"/>
      <c r="T15" s="15"/>
      <c r="U15" s="345"/>
      <c r="W15" s="206">
        <f>Admin!B15</f>
        <v>45766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2"/>
      <c r="E16" s="333"/>
      <c r="F16" s="334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5"/>
      <c r="W16" s="206">
        <f>Admin!B16</f>
        <v>45767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5"/>
      <c r="W17" s="206">
        <f>Admin!B17</f>
        <v>45768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5"/>
      <c r="W18" s="206">
        <f>Admin!B18</f>
        <v>45769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5"/>
      <c r="W19" s="206">
        <f>Admin!B19</f>
        <v>45770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5"/>
      <c r="W20" s="206">
        <f>Admin!B20</f>
        <v>45771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5"/>
      <c r="W21" s="206">
        <f>Admin!B21</f>
        <v>45772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5"/>
      <c r="W22" s="206">
        <f>Admin!B22</f>
        <v>45773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5"/>
      <c r="W23" s="206">
        <f>Admin!B23</f>
        <v>45774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5"/>
      <c r="W24" s="206">
        <f>Admin!B24</f>
        <v>45775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5"/>
      <c r="W25" s="206">
        <f>Admin!B25</f>
        <v>45776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5"/>
      <c r="W26" s="206">
        <f>Admin!B26</f>
        <v>45777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5"/>
      <c r="W27" s="206">
        <f>Admin!B27</f>
        <v>45778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5"/>
      <c r="W28" s="206">
        <f>Admin!B28</f>
        <v>45779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5"/>
      <c r="W29" s="206">
        <f>Admin!B29</f>
        <v>45780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5"/>
      <c r="W30" s="206">
        <f>Admin!B30</f>
        <v>45781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5"/>
      <c r="W31" s="206">
        <f>Admin!B31</f>
        <v>45782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5"/>
      <c r="W32" s="206">
        <f>Admin!B32</f>
        <v>45783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5"/>
      <c r="W33" s="206">
        <f>Admin!B33</f>
        <v>45784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5"/>
      <c r="W34" s="206">
        <f>Admin!B34</f>
        <v>45785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5"/>
      <c r="W35" s="206">
        <f>Admin!B35</f>
        <v>45786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5"/>
      <c r="W36" s="206">
        <f>Admin!B36</f>
        <v>45787</v>
      </c>
      <c r="X36" s="3">
        <f t="shared" si="0"/>
        <v>35</v>
      </c>
    </row>
    <row r="37" spans="1:24" ht="22.5" customHeight="1" thickBot="1" x14ac:dyDescent="0.2">
      <c r="A37" s="342"/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1"/>
      <c r="W37" s="206">
        <f>Admin!B37</f>
        <v>45788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41"/>
      <c r="W38" s="206">
        <f>Admin!B38</f>
        <v>45789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38" t="s">
        <v>50</v>
      </c>
      <c r="I39" s="14"/>
      <c r="J39" s="22"/>
      <c r="K39" s="83" t="s">
        <v>20</v>
      </c>
      <c r="L39" s="52"/>
      <c r="M39" s="70"/>
      <c r="N39" s="13"/>
      <c r="O39" s="343"/>
      <c r="P39" s="344"/>
      <c r="Q39" s="340"/>
      <c r="R39" s="53"/>
      <c r="S39" s="330"/>
      <c r="T39" s="15"/>
      <c r="U39" s="341"/>
      <c r="W39" s="206">
        <f>Admin!B39</f>
        <v>45790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38"/>
      <c r="I40" s="14"/>
      <c r="J40" s="22"/>
      <c r="K40" s="52"/>
      <c r="L40" s="52"/>
      <c r="M40" s="70"/>
      <c r="N40" s="13"/>
      <c r="O40" s="14"/>
      <c r="P40" s="148"/>
      <c r="Q40" s="341"/>
      <c r="R40" s="14"/>
      <c r="S40" s="331"/>
      <c r="T40" s="15"/>
      <c r="U40" s="341"/>
      <c r="W40" s="206">
        <f>Admin!B40</f>
        <v>45791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2"/>
      <c r="E41" s="333"/>
      <c r="F41" s="334"/>
      <c r="G41" s="14"/>
      <c r="H41" s="21" t="s">
        <v>51</v>
      </c>
      <c r="I41" s="14"/>
      <c r="J41" s="51"/>
      <c r="K41" s="14" t="s">
        <v>17</v>
      </c>
      <c r="L41" s="14"/>
      <c r="M41" s="335"/>
      <c r="N41" s="336"/>
      <c r="O41" s="337"/>
      <c r="P41" s="148"/>
      <c r="Q41" s="138"/>
      <c r="R41" s="136"/>
      <c r="S41" s="139"/>
      <c r="T41" s="15"/>
      <c r="U41" s="341"/>
      <c r="W41" s="206">
        <f>Admin!B41</f>
        <v>45792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2"/>
      <c r="E42" s="333"/>
      <c r="F42" s="334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41"/>
      <c r="W42" s="206">
        <f>Admin!B42</f>
        <v>45793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41"/>
      <c r="W43" s="206">
        <f>Admin!B43</f>
        <v>45794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41"/>
      <c r="W44" s="206">
        <f>Admin!B44</f>
        <v>45795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41"/>
      <c r="W45" s="206">
        <f>Admin!B45</f>
        <v>45796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41"/>
      <c r="W46" s="206">
        <f>Admin!B46</f>
        <v>45797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41"/>
      <c r="W47" s="206">
        <f>Admin!B47</f>
        <v>45798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41"/>
      <c r="W48" s="206">
        <f>Admin!B48</f>
        <v>45799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41"/>
      <c r="W49" s="206">
        <f>Admin!B49</f>
        <v>45800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41"/>
      <c r="W50" s="206">
        <f>Admin!B50</f>
        <v>45801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41"/>
      <c r="W51" s="206">
        <f>Admin!B51</f>
        <v>45802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41"/>
      <c r="W52" s="206">
        <f>Admin!B52</f>
        <v>45803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41"/>
      <c r="W53" s="206">
        <f>Admin!B53</f>
        <v>45804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41"/>
      <c r="W54" s="206">
        <f>Admin!B54</f>
        <v>45805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41"/>
      <c r="W55" s="206">
        <f>Admin!B55</f>
        <v>45806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41"/>
      <c r="W56" s="206">
        <f>Admin!B56</f>
        <v>45807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41"/>
      <c r="W57" s="206">
        <f>Admin!B57</f>
        <v>45808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41"/>
      <c r="W58" s="206">
        <f>Admin!B58</f>
        <v>45809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41"/>
      <c r="W59" s="206">
        <f>Admin!B59</f>
        <v>45810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41"/>
      <c r="W60" s="206">
        <f>Admin!B60</f>
        <v>45811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38"/>
      <c r="L61" s="338"/>
      <c r="M61" s="339"/>
      <c r="N61" s="339"/>
      <c r="O61" s="339"/>
      <c r="P61" s="339"/>
      <c r="Q61" s="339"/>
      <c r="R61" s="339"/>
      <c r="S61" s="339"/>
      <c r="T61" s="15"/>
      <c r="U61" s="341"/>
      <c r="W61" s="206">
        <f>Admin!B61</f>
        <v>45812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41"/>
      <c r="W62" s="206">
        <f>Admin!B62</f>
        <v>45813</v>
      </c>
    </row>
    <row r="63" spans="1:24" ht="22.5" customHeight="1" thickBot="1" x14ac:dyDescent="0.2">
      <c r="A63" s="342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1"/>
      <c r="W63" s="206">
        <f>Admin!B63</f>
        <v>45814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41"/>
      <c r="W64" s="206">
        <f>Admin!B64</f>
        <v>45815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38" t="s">
        <v>50</v>
      </c>
      <c r="I65" s="14"/>
      <c r="J65" s="22"/>
      <c r="K65" s="83" t="s">
        <v>20</v>
      </c>
      <c r="L65" s="52"/>
      <c r="M65" s="70"/>
      <c r="N65" s="13"/>
      <c r="O65" s="343"/>
      <c r="P65" s="344"/>
      <c r="Q65" s="340"/>
      <c r="R65" s="53"/>
      <c r="S65" s="330"/>
      <c r="T65" s="15"/>
      <c r="U65" s="341"/>
      <c r="W65" s="206">
        <f>Admin!B65</f>
        <v>45816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38"/>
      <c r="I66" s="14"/>
      <c r="J66" s="22"/>
      <c r="K66" s="52"/>
      <c r="L66" s="52"/>
      <c r="M66" s="70"/>
      <c r="N66" s="13"/>
      <c r="O66" s="14"/>
      <c r="P66" s="148"/>
      <c r="Q66" s="341"/>
      <c r="R66" s="14"/>
      <c r="S66" s="331"/>
      <c r="T66" s="15"/>
      <c r="U66" s="341"/>
      <c r="W66" s="206">
        <f>Admin!B66</f>
        <v>45817</v>
      </c>
    </row>
    <row r="67" spans="1:23" ht="15" thickTop="1" thickBot="1" x14ac:dyDescent="0.2">
      <c r="A67" s="12"/>
      <c r="B67" s="14" t="s">
        <v>11</v>
      </c>
      <c r="C67" s="14"/>
      <c r="D67" s="332"/>
      <c r="E67" s="333"/>
      <c r="F67" s="334"/>
      <c r="G67" s="14"/>
      <c r="H67" s="21" t="s">
        <v>51</v>
      </c>
      <c r="I67" s="14"/>
      <c r="J67" s="51"/>
      <c r="K67" s="14" t="s">
        <v>17</v>
      </c>
      <c r="L67" s="14"/>
      <c r="M67" s="335"/>
      <c r="N67" s="336"/>
      <c r="O67" s="337"/>
      <c r="P67" s="148"/>
      <c r="Q67" s="138"/>
      <c r="R67" s="136"/>
      <c r="S67" s="139"/>
      <c r="T67" s="15"/>
      <c r="U67" s="341"/>
      <c r="W67" s="206">
        <f>Admin!B67</f>
        <v>45818</v>
      </c>
    </row>
    <row r="68" spans="1:23" ht="14" thickTop="1" thickBot="1" x14ac:dyDescent="0.2">
      <c r="A68" s="12"/>
      <c r="B68" s="14" t="s">
        <v>12</v>
      </c>
      <c r="C68" s="14"/>
      <c r="D68" s="332"/>
      <c r="E68" s="333"/>
      <c r="F68" s="334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41"/>
      <c r="W68" s="206">
        <f>Admin!B68</f>
        <v>45819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41"/>
      <c r="W69" s="206">
        <f>Admin!B69</f>
        <v>45820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41"/>
      <c r="W70" s="206">
        <f>Admin!B70</f>
        <v>45821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41"/>
      <c r="W71" s="206">
        <f>Admin!B71</f>
        <v>45822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41"/>
      <c r="W72" s="206">
        <f>Admin!B72</f>
        <v>45823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41"/>
      <c r="W73" s="206">
        <f>Admin!B73</f>
        <v>45824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41"/>
      <c r="W74" s="206">
        <f>Admin!B74</f>
        <v>45825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41"/>
      <c r="W75" s="206">
        <f>Admin!B75</f>
        <v>45826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41"/>
      <c r="W76" s="206">
        <f>Admin!B76</f>
        <v>45827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41"/>
      <c r="W77" s="206">
        <f>Admin!B77</f>
        <v>45828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41"/>
      <c r="W78" s="206">
        <f>Admin!B78</f>
        <v>45829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41"/>
      <c r="W79" s="206">
        <f>Admin!B79</f>
        <v>45830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41"/>
      <c r="W80" s="206">
        <f>Admin!B80</f>
        <v>45831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41"/>
      <c r="W81" s="206">
        <f>Admin!B81</f>
        <v>45832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41"/>
      <c r="W82" s="206">
        <f>Admin!B82</f>
        <v>45833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41"/>
      <c r="W83" s="206">
        <f>Admin!B83</f>
        <v>45834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41"/>
      <c r="W84" s="206">
        <f>Admin!B84</f>
        <v>45835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41"/>
      <c r="W85" s="206">
        <f>Admin!B85</f>
        <v>45836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41"/>
      <c r="W86" s="206">
        <f>Admin!B86</f>
        <v>45837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41"/>
      <c r="W87" s="206">
        <f>Admin!B87</f>
        <v>45838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41"/>
      <c r="W88" s="206">
        <f>Admin!B88</f>
        <v>45839</v>
      </c>
    </row>
    <row r="89" spans="1:23" ht="22.5" customHeight="1" thickBot="1" x14ac:dyDescent="0.2">
      <c r="A89" s="342"/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1"/>
      <c r="W89" s="206">
        <f>Admin!B89</f>
        <v>45840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41"/>
      <c r="W90" s="206">
        <f>Admin!B90</f>
        <v>45841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38" t="s">
        <v>50</v>
      </c>
      <c r="I91" s="14"/>
      <c r="J91" s="22"/>
      <c r="K91" s="83" t="s">
        <v>20</v>
      </c>
      <c r="L91" s="52"/>
      <c r="M91" s="70"/>
      <c r="N91" s="13"/>
      <c r="O91" s="343"/>
      <c r="P91" s="344"/>
      <c r="Q91" s="340"/>
      <c r="R91" s="53"/>
      <c r="S91" s="330"/>
      <c r="T91" s="15"/>
      <c r="U91" s="341"/>
      <c r="W91" s="206">
        <f>Admin!B91</f>
        <v>45842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38"/>
      <c r="I92" s="14"/>
      <c r="J92" s="22"/>
      <c r="K92" s="52"/>
      <c r="L92" s="52"/>
      <c r="M92" s="70"/>
      <c r="N92" s="13"/>
      <c r="O92" s="14"/>
      <c r="P92" s="148"/>
      <c r="Q92" s="341"/>
      <c r="R92" s="14"/>
      <c r="S92" s="331"/>
      <c r="T92" s="15"/>
      <c r="U92" s="341"/>
      <c r="W92" s="206">
        <f>Admin!B92</f>
        <v>45843</v>
      </c>
    </row>
    <row r="93" spans="1:23" ht="15" thickTop="1" thickBot="1" x14ac:dyDescent="0.2">
      <c r="A93" s="12"/>
      <c r="B93" s="14" t="s">
        <v>11</v>
      </c>
      <c r="C93" s="14"/>
      <c r="D93" s="332"/>
      <c r="E93" s="333"/>
      <c r="F93" s="334"/>
      <c r="G93" s="14"/>
      <c r="H93" s="21" t="s">
        <v>51</v>
      </c>
      <c r="I93" s="14"/>
      <c r="J93" s="51"/>
      <c r="K93" s="14" t="s">
        <v>17</v>
      </c>
      <c r="L93" s="14"/>
      <c r="M93" s="335"/>
      <c r="N93" s="336"/>
      <c r="O93" s="337"/>
      <c r="P93" s="148"/>
      <c r="Q93" s="138"/>
      <c r="R93" s="136"/>
      <c r="S93" s="139"/>
      <c r="T93" s="15"/>
      <c r="U93" s="341"/>
      <c r="W93" s="206">
        <f>Admin!B93</f>
        <v>45844</v>
      </c>
    </row>
    <row r="94" spans="1:23" ht="14" thickTop="1" thickBot="1" x14ac:dyDescent="0.2">
      <c r="A94" s="12"/>
      <c r="B94" s="14" t="s">
        <v>12</v>
      </c>
      <c r="C94" s="14"/>
      <c r="D94" s="332"/>
      <c r="E94" s="333"/>
      <c r="F94" s="334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41"/>
      <c r="W94" s="206">
        <f>Admin!B94</f>
        <v>45845</v>
      </c>
    </row>
    <row r="95" spans="1:23" ht="14" thickTop="1" thickBot="1" x14ac:dyDescent="0.2">
      <c r="A95" s="12"/>
      <c r="B95" s="14" t="s">
        <v>13</v>
      </c>
      <c r="C95" s="14"/>
      <c r="D95" s="332"/>
      <c r="E95" s="333"/>
      <c r="F95" s="334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41"/>
      <c r="W95" s="206">
        <f>Admin!B95</f>
        <v>45846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41"/>
      <c r="W96" s="206">
        <f>Admin!B96</f>
        <v>45847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41"/>
      <c r="W97" s="206">
        <f>Admin!B97</f>
        <v>45848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41"/>
      <c r="W98" s="206">
        <f>Admin!B98</f>
        <v>45849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41"/>
      <c r="W99" s="206">
        <f>Admin!B99</f>
        <v>45850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41"/>
      <c r="W100" s="206">
        <f>Admin!B100</f>
        <v>45851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41"/>
      <c r="W101" s="206">
        <f>Admin!B101</f>
        <v>45852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41"/>
      <c r="W102" s="206">
        <f>Admin!B102</f>
        <v>45853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41"/>
      <c r="W103" s="206">
        <f>Admin!B103</f>
        <v>45854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41"/>
      <c r="W104" s="206">
        <f>Admin!B104</f>
        <v>45855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41"/>
      <c r="W105" s="206">
        <f>Admin!B105</f>
        <v>45856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41"/>
      <c r="W106" s="206">
        <f>Admin!B106</f>
        <v>45857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41"/>
      <c r="W107" s="206">
        <f>Admin!B107</f>
        <v>45858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41"/>
      <c r="W108" s="206">
        <f>Admin!B108</f>
        <v>45859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41"/>
      <c r="W109" s="206">
        <f>Admin!B109</f>
        <v>45860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41"/>
      <c r="W110" s="206">
        <f>Admin!B110</f>
        <v>45861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41"/>
      <c r="W111" s="206">
        <f>Admin!B111</f>
        <v>45862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41"/>
      <c r="W112" s="206">
        <f>Admin!B112</f>
        <v>45863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41"/>
      <c r="W113" s="206">
        <f>Admin!B113</f>
        <v>45864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41"/>
      <c r="W114" s="206">
        <f>Admin!B114</f>
        <v>45865</v>
      </c>
    </row>
    <row r="115" spans="1:23" ht="22.5" customHeight="1" thickBot="1" x14ac:dyDescent="0.2">
      <c r="A115" s="342"/>
      <c r="B115" s="342"/>
      <c r="C115" s="342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1"/>
      <c r="W115" s="206">
        <f>Admin!B115</f>
        <v>45866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41"/>
      <c r="W116" s="206">
        <f>Admin!B116</f>
        <v>45867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38" t="s">
        <v>50</v>
      </c>
      <c r="I117" s="14"/>
      <c r="J117" s="22"/>
      <c r="K117" s="83" t="s">
        <v>20</v>
      </c>
      <c r="L117" s="52"/>
      <c r="M117" s="70"/>
      <c r="N117" s="13"/>
      <c r="O117" s="343"/>
      <c r="P117" s="344"/>
      <c r="Q117" s="340"/>
      <c r="R117" s="53"/>
      <c r="S117" s="330"/>
      <c r="T117" s="15"/>
      <c r="U117" s="341"/>
      <c r="W117" s="206">
        <f>Admin!B117</f>
        <v>45868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38"/>
      <c r="I118" s="14"/>
      <c r="J118" s="22"/>
      <c r="K118" s="52"/>
      <c r="L118" s="52"/>
      <c r="M118" s="70"/>
      <c r="N118" s="13"/>
      <c r="O118" s="14"/>
      <c r="P118" s="148"/>
      <c r="Q118" s="341"/>
      <c r="R118" s="14"/>
      <c r="S118" s="331"/>
      <c r="T118" s="15"/>
      <c r="U118" s="341"/>
      <c r="W118" s="206">
        <f>Admin!B118</f>
        <v>45869</v>
      </c>
    </row>
    <row r="119" spans="1:23" ht="15" thickTop="1" thickBot="1" x14ac:dyDescent="0.2">
      <c r="A119" s="12"/>
      <c r="B119" s="14" t="s">
        <v>11</v>
      </c>
      <c r="C119" s="14"/>
      <c r="D119" s="332"/>
      <c r="E119" s="333"/>
      <c r="F119" s="334"/>
      <c r="G119" s="14"/>
      <c r="H119" s="21" t="s">
        <v>51</v>
      </c>
      <c r="I119" s="14"/>
      <c r="J119" s="51"/>
      <c r="K119" s="14" t="s">
        <v>17</v>
      </c>
      <c r="L119" s="14"/>
      <c r="M119" s="335"/>
      <c r="N119" s="336"/>
      <c r="O119" s="337"/>
      <c r="P119" s="148"/>
      <c r="Q119" s="29"/>
      <c r="R119" s="136"/>
      <c r="S119" s="139"/>
      <c r="T119" s="15"/>
      <c r="U119" s="341"/>
      <c r="W119" s="206">
        <f>Admin!B119</f>
        <v>45870</v>
      </c>
    </row>
    <row r="120" spans="1:23" ht="14" thickTop="1" thickBot="1" x14ac:dyDescent="0.2">
      <c r="A120" s="12"/>
      <c r="B120" s="14" t="s">
        <v>12</v>
      </c>
      <c r="C120" s="14"/>
      <c r="D120" s="332"/>
      <c r="E120" s="333"/>
      <c r="F120" s="334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41"/>
      <c r="W120" s="206">
        <f>Admin!B120</f>
        <v>45871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41"/>
      <c r="W121" s="206">
        <f>Admin!B121</f>
        <v>45872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41"/>
      <c r="W122" s="206">
        <f>Admin!B122</f>
        <v>45873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41"/>
      <c r="W123" s="206">
        <f>Admin!B123</f>
        <v>45874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41"/>
      <c r="W124" s="206">
        <f>Admin!B124</f>
        <v>45875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41"/>
      <c r="W125" s="206">
        <f>Admin!B125</f>
        <v>45876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41"/>
      <c r="W126" s="206">
        <f>Admin!B126</f>
        <v>45877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41"/>
      <c r="W127" s="206">
        <f>Admin!B127</f>
        <v>45878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41"/>
      <c r="W128" s="206">
        <f>Admin!B128</f>
        <v>45879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41"/>
      <c r="W129" s="206">
        <f>Admin!B129</f>
        <v>45880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41"/>
      <c r="W130" s="206">
        <f>Admin!B130</f>
        <v>45881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41"/>
      <c r="W131" s="206">
        <f>Admin!B131</f>
        <v>45882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41"/>
      <c r="W132" s="206">
        <f>Admin!B132</f>
        <v>45883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41"/>
      <c r="W133" s="206">
        <f>Admin!B133</f>
        <v>45884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41"/>
      <c r="W134" s="206">
        <f>Admin!B134</f>
        <v>45885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41"/>
      <c r="W135" s="206">
        <f>Admin!B135</f>
        <v>45886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41"/>
      <c r="W136" s="206">
        <f>Admin!B136</f>
        <v>45887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41"/>
      <c r="W137" s="206">
        <f>Admin!B137</f>
        <v>45888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41"/>
      <c r="W138" s="206">
        <f>Admin!B138</f>
        <v>45889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41"/>
      <c r="W139" s="206">
        <f>Admin!B139</f>
        <v>45890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41"/>
      <c r="W140" s="206">
        <f>Admin!B140</f>
        <v>45891</v>
      </c>
    </row>
    <row r="141" spans="1:23" ht="22.5" customHeight="1" thickBot="1" x14ac:dyDescent="0.2">
      <c r="A141" s="342"/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1"/>
      <c r="W141" s="206">
        <f>Admin!B141</f>
        <v>45892</v>
      </c>
    </row>
    <row r="142" spans="1:23" x14ac:dyDescent="0.15">
      <c r="W142" s="206">
        <f>Admin!B142</f>
        <v>45893</v>
      </c>
    </row>
    <row r="143" spans="1:23" x14ac:dyDescent="0.15">
      <c r="W143" s="206">
        <f>Admin!B143</f>
        <v>45894</v>
      </c>
    </row>
    <row r="144" spans="1:23" x14ac:dyDescent="0.15">
      <c r="W144" s="206">
        <f>Admin!B144</f>
        <v>45895</v>
      </c>
    </row>
    <row r="145" spans="23:23" x14ac:dyDescent="0.15">
      <c r="W145" s="206">
        <f>Admin!B145</f>
        <v>45896</v>
      </c>
    </row>
    <row r="146" spans="23:23" x14ac:dyDescent="0.15">
      <c r="W146" s="206">
        <f>Admin!B146</f>
        <v>45897</v>
      </c>
    </row>
    <row r="147" spans="23:23" x14ac:dyDescent="0.15">
      <c r="W147" s="206">
        <f>Admin!B147</f>
        <v>45898</v>
      </c>
    </row>
    <row r="148" spans="23:23" x14ac:dyDescent="0.15">
      <c r="W148" s="206">
        <f>Admin!B148</f>
        <v>45899</v>
      </c>
    </row>
    <row r="149" spans="23:23" x14ac:dyDescent="0.15">
      <c r="W149" s="206">
        <f>Admin!B149</f>
        <v>45900</v>
      </c>
    </row>
    <row r="150" spans="23:23" x14ac:dyDescent="0.15">
      <c r="W150" s="206">
        <f>Admin!B150</f>
        <v>45901</v>
      </c>
    </row>
    <row r="151" spans="23:23" x14ac:dyDescent="0.15">
      <c r="W151" s="206">
        <f>Admin!B151</f>
        <v>45902</v>
      </c>
    </row>
    <row r="152" spans="23:23" x14ac:dyDescent="0.15">
      <c r="W152" s="206">
        <f>Admin!B152</f>
        <v>45903</v>
      </c>
    </row>
    <row r="153" spans="23:23" x14ac:dyDescent="0.15">
      <c r="W153" s="206">
        <f>Admin!B153</f>
        <v>45904</v>
      </c>
    </row>
    <row r="154" spans="23:23" x14ac:dyDescent="0.15">
      <c r="W154" s="206">
        <f>Admin!B154</f>
        <v>45905</v>
      </c>
    </row>
    <row r="155" spans="23:23" x14ac:dyDescent="0.15">
      <c r="W155" s="206">
        <f>Admin!B155</f>
        <v>45906</v>
      </c>
    </row>
    <row r="156" spans="23:23" x14ac:dyDescent="0.15">
      <c r="W156" s="206">
        <f>Admin!B156</f>
        <v>45907</v>
      </c>
    </row>
    <row r="157" spans="23:23" x14ac:dyDescent="0.15">
      <c r="W157" s="206">
        <f>Admin!B157</f>
        <v>45908</v>
      </c>
    </row>
    <row r="158" spans="23:23" x14ac:dyDescent="0.15">
      <c r="W158" s="206">
        <f>Admin!B158</f>
        <v>45909</v>
      </c>
    </row>
    <row r="159" spans="23:23" x14ac:dyDescent="0.15">
      <c r="W159" s="206">
        <f>Admin!B159</f>
        <v>45910</v>
      </c>
    </row>
    <row r="160" spans="23:23" x14ac:dyDescent="0.15">
      <c r="W160" s="206">
        <f>Admin!B160</f>
        <v>45911</v>
      </c>
    </row>
    <row r="161" spans="23:23" x14ac:dyDescent="0.15">
      <c r="W161" s="206">
        <f>Admin!B161</f>
        <v>45912</v>
      </c>
    </row>
    <row r="162" spans="23:23" x14ac:dyDescent="0.15">
      <c r="W162" s="206">
        <f>Admin!B162</f>
        <v>45913</v>
      </c>
    </row>
    <row r="163" spans="23:23" x14ac:dyDescent="0.15">
      <c r="W163" s="206">
        <f>Admin!B163</f>
        <v>45914</v>
      </c>
    </row>
    <row r="164" spans="23:23" x14ac:dyDescent="0.15">
      <c r="W164" s="206">
        <f>Admin!B164</f>
        <v>45915</v>
      </c>
    </row>
    <row r="165" spans="23:23" x14ac:dyDescent="0.15">
      <c r="W165" s="206">
        <f>Admin!B165</f>
        <v>45916</v>
      </c>
    </row>
    <row r="166" spans="23:23" x14ac:dyDescent="0.15">
      <c r="W166" s="206">
        <f>Admin!B166</f>
        <v>45917</v>
      </c>
    </row>
    <row r="167" spans="23:23" x14ac:dyDescent="0.15">
      <c r="W167" s="206">
        <f>Admin!B167</f>
        <v>45918</v>
      </c>
    </row>
    <row r="168" spans="23:23" x14ac:dyDescent="0.15">
      <c r="W168" s="206">
        <f>Admin!B168</f>
        <v>45919</v>
      </c>
    </row>
    <row r="169" spans="23:23" x14ac:dyDescent="0.15">
      <c r="W169" s="206">
        <f>Admin!B169</f>
        <v>45920</v>
      </c>
    </row>
    <row r="170" spans="23:23" x14ac:dyDescent="0.15">
      <c r="W170" s="206">
        <f>Admin!B170</f>
        <v>45921</v>
      </c>
    </row>
    <row r="171" spans="23:23" x14ac:dyDescent="0.15">
      <c r="W171" s="206">
        <f>Admin!B171</f>
        <v>45922</v>
      </c>
    </row>
    <row r="172" spans="23:23" x14ac:dyDescent="0.15">
      <c r="W172" s="206">
        <f>Admin!B172</f>
        <v>45923</v>
      </c>
    </row>
    <row r="173" spans="23:23" x14ac:dyDescent="0.15">
      <c r="W173" s="206">
        <f>Admin!B173</f>
        <v>45924</v>
      </c>
    </row>
    <row r="174" spans="23:23" x14ac:dyDescent="0.15">
      <c r="W174" s="206">
        <f>Admin!B174</f>
        <v>45925</v>
      </c>
    </row>
    <row r="175" spans="23:23" x14ac:dyDescent="0.15">
      <c r="W175" s="206">
        <f>Admin!B175</f>
        <v>45926</v>
      </c>
    </row>
    <row r="176" spans="23:23" x14ac:dyDescent="0.15">
      <c r="W176" s="206">
        <f>Admin!B176</f>
        <v>45927</v>
      </c>
    </row>
    <row r="177" spans="23:23" x14ac:dyDescent="0.15">
      <c r="W177" s="206">
        <f>Admin!B177</f>
        <v>45928</v>
      </c>
    </row>
    <row r="178" spans="23:23" x14ac:dyDescent="0.15">
      <c r="W178" s="206">
        <f>Admin!B178</f>
        <v>45929</v>
      </c>
    </row>
    <row r="179" spans="23:23" x14ac:dyDescent="0.15">
      <c r="W179" s="206">
        <f>Admin!B179</f>
        <v>45930</v>
      </c>
    </row>
    <row r="180" spans="23:23" x14ac:dyDescent="0.15">
      <c r="W180" s="206">
        <f>Admin!B180</f>
        <v>45931</v>
      </c>
    </row>
    <row r="181" spans="23:23" x14ac:dyDescent="0.15">
      <c r="W181" s="206">
        <f>Admin!B181</f>
        <v>45932</v>
      </c>
    </row>
    <row r="182" spans="23:23" x14ac:dyDescent="0.15">
      <c r="W182" s="206">
        <f>Admin!B182</f>
        <v>45933</v>
      </c>
    </row>
    <row r="183" spans="23:23" x14ac:dyDescent="0.15">
      <c r="W183" s="206">
        <f>Admin!B183</f>
        <v>45934</v>
      </c>
    </row>
    <row r="184" spans="23:23" x14ac:dyDescent="0.15">
      <c r="W184" s="206">
        <f>Admin!B184</f>
        <v>45935</v>
      </c>
    </row>
    <row r="185" spans="23:23" x14ac:dyDescent="0.15">
      <c r="W185" s="206">
        <f>Admin!B185</f>
        <v>45936</v>
      </c>
    </row>
    <row r="186" spans="23:23" x14ac:dyDescent="0.15">
      <c r="W186" s="206">
        <f>Admin!B186</f>
        <v>45937</v>
      </c>
    </row>
    <row r="187" spans="23:23" x14ac:dyDescent="0.15">
      <c r="W187" s="206">
        <f>Admin!B187</f>
        <v>45938</v>
      </c>
    </row>
    <row r="188" spans="23:23" x14ac:dyDescent="0.15">
      <c r="W188" s="206">
        <f>Admin!B188</f>
        <v>45939</v>
      </c>
    </row>
    <row r="189" spans="23:23" x14ac:dyDescent="0.15">
      <c r="W189" s="206">
        <f>Admin!B189</f>
        <v>45940</v>
      </c>
    </row>
    <row r="190" spans="23:23" x14ac:dyDescent="0.15">
      <c r="W190" s="206">
        <f>Admin!B190</f>
        <v>45941</v>
      </c>
    </row>
    <row r="191" spans="23:23" x14ac:dyDescent="0.15">
      <c r="W191" s="206">
        <f>Admin!B191</f>
        <v>45942</v>
      </c>
    </row>
    <row r="192" spans="23:23" x14ac:dyDescent="0.15">
      <c r="W192" s="206">
        <f>Admin!B192</f>
        <v>45943</v>
      </c>
    </row>
    <row r="193" spans="23:23" x14ac:dyDescent="0.15">
      <c r="W193" s="206">
        <f>Admin!B193</f>
        <v>45944</v>
      </c>
    </row>
    <row r="194" spans="23:23" x14ac:dyDescent="0.15">
      <c r="W194" s="206">
        <f>Admin!B194</f>
        <v>45945</v>
      </c>
    </row>
    <row r="195" spans="23:23" x14ac:dyDescent="0.15">
      <c r="W195" s="206">
        <f>Admin!B195</f>
        <v>45946</v>
      </c>
    </row>
    <row r="196" spans="23:23" x14ac:dyDescent="0.15">
      <c r="W196" s="206">
        <f>Admin!B196</f>
        <v>45947</v>
      </c>
    </row>
    <row r="197" spans="23:23" x14ac:dyDescent="0.15">
      <c r="W197" s="206">
        <f>Admin!B197</f>
        <v>45948</v>
      </c>
    </row>
    <row r="198" spans="23:23" x14ac:dyDescent="0.15">
      <c r="W198" s="206">
        <f>Admin!B198</f>
        <v>45949</v>
      </c>
    </row>
    <row r="199" spans="23:23" x14ac:dyDescent="0.15">
      <c r="W199" s="206">
        <f>Admin!B199</f>
        <v>45950</v>
      </c>
    </row>
    <row r="200" spans="23:23" x14ac:dyDescent="0.15">
      <c r="W200" s="206">
        <f>Admin!B200</f>
        <v>45951</v>
      </c>
    </row>
    <row r="201" spans="23:23" x14ac:dyDescent="0.15">
      <c r="W201" s="206">
        <f>Admin!B201</f>
        <v>45952</v>
      </c>
    </row>
    <row r="202" spans="23:23" x14ac:dyDescent="0.15">
      <c r="W202" s="206">
        <f>Admin!B202</f>
        <v>45953</v>
      </c>
    </row>
    <row r="203" spans="23:23" x14ac:dyDescent="0.15">
      <c r="W203" s="206">
        <f>Admin!B203</f>
        <v>45954</v>
      </c>
    </row>
    <row r="204" spans="23:23" x14ac:dyDescent="0.15">
      <c r="W204" s="206">
        <f>Admin!B204</f>
        <v>45955</v>
      </c>
    </row>
    <row r="205" spans="23:23" x14ac:dyDescent="0.15">
      <c r="W205" s="206">
        <f>Admin!B205</f>
        <v>45956</v>
      </c>
    </row>
    <row r="206" spans="23:23" x14ac:dyDescent="0.15">
      <c r="W206" s="206">
        <f>Admin!B206</f>
        <v>45957</v>
      </c>
    </row>
    <row r="207" spans="23:23" x14ac:dyDescent="0.15">
      <c r="W207" s="206">
        <f>Admin!B207</f>
        <v>45958</v>
      </c>
    </row>
    <row r="208" spans="23:23" x14ac:dyDescent="0.15">
      <c r="W208" s="206">
        <f>Admin!B208</f>
        <v>45959</v>
      </c>
    </row>
    <row r="209" spans="23:23" x14ac:dyDescent="0.15">
      <c r="W209" s="206">
        <f>Admin!B209</f>
        <v>45960</v>
      </c>
    </row>
    <row r="210" spans="23:23" x14ac:dyDescent="0.15">
      <c r="W210" s="206">
        <f>Admin!B210</f>
        <v>45961</v>
      </c>
    </row>
    <row r="211" spans="23:23" x14ac:dyDescent="0.15">
      <c r="W211" s="206">
        <f>Admin!B211</f>
        <v>45962</v>
      </c>
    </row>
    <row r="212" spans="23:23" x14ac:dyDescent="0.15">
      <c r="W212" s="206">
        <f>Admin!B212</f>
        <v>45963</v>
      </c>
    </row>
    <row r="213" spans="23:23" x14ac:dyDescent="0.15">
      <c r="W213" s="206">
        <f>Admin!B213</f>
        <v>45964</v>
      </c>
    </row>
    <row r="214" spans="23:23" x14ac:dyDescent="0.15">
      <c r="W214" s="206">
        <f>Admin!B214</f>
        <v>45965</v>
      </c>
    </row>
    <row r="215" spans="23:23" x14ac:dyDescent="0.15">
      <c r="W215" s="206">
        <f>Admin!B215</f>
        <v>45966</v>
      </c>
    </row>
    <row r="216" spans="23:23" x14ac:dyDescent="0.15">
      <c r="W216" s="206">
        <f>Admin!B216</f>
        <v>45967</v>
      </c>
    </row>
    <row r="217" spans="23:23" x14ac:dyDescent="0.15">
      <c r="W217" s="206">
        <f>Admin!B217</f>
        <v>45968</v>
      </c>
    </row>
    <row r="218" spans="23:23" x14ac:dyDescent="0.15">
      <c r="W218" s="206">
        <f>Admin!B218</f>
        <v>45969</v>
      </c>
    </row>
    <row r="219" spans="23:23" x14ac:dyDescent="0.15">
      <c r="W219" s="206">
        <f>Admin!B219</f>
        <v>45970</v>
      </c>
    </row>
    <row r="220" spans="23:23" x14ac:dyDescent="0.15">
      <c r="W220" s="206">
        <f>Admin!B220</f>
        <v>45971</v>
      </c>
    </row>
    <row r="221" spans="23:23" x14ac:dyDescent="0.15">
      <c r="W221" s="206">
        <f>Admin!B221</f>
        <v>45972</v>
      </c>
    </row>
    <row r="222" spans="23:23" x14ac:dyDescent="0.15">
      <c r="W222" s="206">
        <f>Admin!B222</f>
        <v>45973</v>
      </c>
    </row>
    <row r="223" spans="23:23" x14ac:dyDescent="0.15">
      <c r="W223" s="206">
        <f>Admin!B223</f>
        <v>45974</v>
      </c>
    </row>
    <row r="224" spans="23:23" x14ac:dyDescent="0.15">
      <c r="W224" s="206">
        <f>Admin!B224</f>
        <v>45975</v>
      </c>
    </row>
    <row r="225" spans="23:23" x14ac:dyDescent="0.15">
      <c r="W225" s="206">
        <f>Admin!B225</f>
        <v>45976</v>
      </c>
    </row>
    <row r="226" spans="23:23" x14ac:dyDescent="0.15">
      <c r="W226" s="206">
        <f>Admin!B226</f>
        <v>45977</v>
      </c>
    </row>
    <row r="227" spans="23:23" x14ac:dyDescent="0.15">
      <c r="W227" s="206">
        <f>Admin!B227</f>
        <v>45978</v>
      </c>
    </row>
    <row r="228" spans="23:23" x14ac:dyDescent="0.15">
      <c r="W228" s="206">
        <f>Admin!B228</f>
        <v>45979</v>
      </c>
    </row>
    <row r="229" spans="23:23" x14ac:dyDescent="0.15">
      <c r="W229" s="206">
        <f>Admin!B229</f>
        <v>45980</v>
      </c>
    </row>
    <row r="230" spans="23:23" x14ac:dyDescent="0.15">
      <c r="W230" s="206">
        <f>Admin!B230</f>
        <v>45981</v>
      </c>
    </row>
    <row r="231" spans="23:23" x14ac:dyDescent="0.15">
      <c r="W231" s="206">
        <f>Admin!B231</f>
        <v>45982</v>
      </c>
    </row>
    <row r="232" spans="23:23" x14ac:dyDescent="0.15">
      <c r="W232" s="206">
        <f>Admin!B232</f>
        <v>45983</v>
      </c>
    </row>
    <row r="233" spans="23:23" x14ac:dyDescent="0.15">
      <c r="W233" s="206">
        <f>Admin!B233</f>
        <v>45984</v>
      </c>
    </row>
    <row r="234" spans="23:23" x14ac:dyDescent="0.15">
      <c r="W234" s="206">
        <f>Admin!B234</f>
        <v>45985</v>
      </c>
    </row>
    <row r="235" spans="23:23" x14ac:dyDescent="0.15">
      <c r="W235" s="206">
        <f>Admin!B235</f>
        <v>45986</v>
      </c>
    </row>
    <row r="236" spans="23:23" x14ac:dyDescent="0.15">
      <c r="W236" s="206">
        <f>Admin!B236</f>
        <v>45987</v>
      </c>
    </row>
    <row r="237" spans="23:23" x14ac:dyDescent="0.15">
      <c r="W237" s="206">
        <f>Admin!B237</f>
        <v>45988</v>
      </c>
    </row>
    <row r="238" spans="23:23" x14ac:dyDescent="0.15">
      <c r="W238" s="206">
        <f>Admin!B238</f>
        <v>45989</v>
      </c>
    </row>
    <row r="239" spans="23:23" x14ac:dyDescent="0.15">
      <c r="W239" s="206">
        <f>Admin!B239</f>
        <v>45990</v>
      </c>
    </row>
    <row r="240" spans="23:23" x14ac:dyDescent="0.15">
      <c r="W240" s="206">
        <f>Admin!B240</f>
        <v>45991</v>
      </c>
    </row>
    <row r="241" spans="23:23" x14ac:dyDescent="0.15">
      <c r="W241" s="206">
        <f>Admin!B241</f>
        <v>45992</v>
      </c>
    </row>
    <row r="242" spans="23:23" x14ac:dyDescent="0.15">
      <c r="W242" s="206">
        <f>Admin!B242</f>
        <v>45993</v>
      </c>
    </row>
    <row r="243" spans="23:23" x14ac:dyDescent="0.15">
      <c r="W243" s="206">
        <f>Admin!B243</f>
        <v>45994</v>
      </c>
    </row>
    <row r="244" spans="23:23" x14ac:dyDescent="0.15">
      <c r="W244" s="206">
        <f>Admin!B244</f>
        <v>45995</v>
      </c>
    </row>
    <row r="245" spans="23:23" x14ac:dyDescent="0.15">
      <c r="W245" s="206">
        <f>Admin!B245</f>
        <v>45996</v>
      </c>
    </row>
    <row r="246" spans="23:23" x14ac:dyDescent="0.15">
      <c r="W246" s="206">
        <f>Admin!B246</f>
        <v>45997</v>
      </c>
    </row>
    <row r="247" spans="23:23" x14ac:dyDescent="0.15">
      <c r="W247" s="206">
        <f>Admin!B247</f>
        <v>45998</v>
      </c>
    </row>
    <row r="248" spans="23:23" x14ac:dyDescent="0.15">
      <c r="W248" s="206">
        <f>Admin!B248</f>
        <v>45999</v>
      </c>
    </row>
    <row r="249" spans="23:23" x14ac:dyDescent="0.15">
      <c r="W249" s="206">
        <f>Admin!B249</f>
        <v>46000</v>
      </c>
    </row>
    <row r="250" spans="23:23" x14ac:dyDescent="0.15">
      <c r="W250" s="206">
        <f>Admin!B250</f>
        <v>46001</v>
      </c>
    </row>
    <row r="251" spans="23:23" x14ac:dyDescent="0.15">
      <c r="W251" s="206">
        <f>Admin!B251</f>
        <v>46002</v>
      </c>
    </row>
    <row r="252" spans="23:23" x14ac:dyDescent="0.15">
      <c r="W252" s="206">
        <f>Admin!B252</f>
        <v>46003</v>
      </c>
    </row>
    <row r="253" spans="23:23" x14ac:dyDescent="0.15">
      <c r="W253" s="206">
        <f>Admin!B253</f>
        <v>46004</v>
      </c>
    </row>
    <row r="254" spans="23:23" x14ac:dyDescent="0.15">
      <c r="W254" s="206">
        <f>Admin!B254</f>
        <v>46005</v>
      </c>
    </row>
    <row r="255" spans="23:23" x14ac:dyDescent="0.15">
      <c r="W255" s="206">
        <f>Admin!B255</f>
        <v>46006</v>
      </c>
    </row>
    <row r="256" spans="23:23" x14ac:dyDescent="0.15">
      <c r="W256" s="206">
        <f>Admin!B256</f>
        <v>46007</v>
      </c>
    </row>
    <row r="257" spans="23:23" x14ac:dyDescent="0.15">
      <c r="W257" s="206">
        <f>Admin!B257</f>
        <v>46008</v>
      </c>
    </row>
    <row r="258" spans="23:23" x14ac:dyDescent="0.15">
      <c r="W258" s="206">
        <f>Admin!B258</f>
        <v>46009</v>
      </c>
    </row>
    <row r="259" spans="23:23" x14ac:dyDescent="0.15">
      <c r="W259" s="206">
        <f>Admin!B259</f>
        <v>46010</v>
      </c>
    </row>
    <row r="260" spans="23:23" x14ac:dyDescent="0.15">
      <c r="W260" s="206">
        <f>Admin!B260</f>
        <v>46011</v>
      </c>
    </row>
    <row r="261" spans="23:23" x14ac:dyDescent="0.15">
      <c r="W261" s="206">
        <f>Admin!B261</f>
        <v>46012</v>
      </c>
    </row>
    <row r="262" spans="23:23" x14ac:dyDescent="0.15">
      <c r="W262" s="206">
        <f>Admin!B262</f>
        <v>46013</v>
      </c>
    </row>
    <row r="263" spans="23:23" x14ac:dyDescent="0.15">
      <c r="W263" s="206">
        <f>Admin!B263</f>
        <v>46014</v>
      </c>
    </row>
    <row r="264" spans="23:23" x14ac:dyDescent="0.15">
      <c r="W264" s="206">
        <f>Admin!B264</f>
        <v>46015</v>
      </c>
    </row>
    <row r="265" spans="23:23" x14ac:dyDescent="0.15">
      <c r="W265" s="206">
        <f>Admin!B265</f>
        <v>46016</v>
      </c>
    </row>
    <row r="266" spans="23:23" x14ac:dyDescent="0.15">
      <c r="W266" s="206">
        <f>Admin!B266</f>
        <v>46017</v>
      </c>
    </row>
    <row r="267" spans="23:23" x14ac:dyDescent="0.15">
      <c r="W267" s="206">
        <f>Admin!B267</f>
        <v>46018</v>
      </c>
    </row>
    <row r="268" spans="23:23" x14ac:dyDescent="0.15">
      <c r="W268" s="206">
        <f>Admin!B268</f>
        <v>46019</v>
      </c>
    </row>
    <row r="269" spans="23:23" x14ac:dyDescent="0.15">
      <c r="W269" s="206">
        <f>Admin!B269</f>
        <v>46020</v>
      </c>
    </row>
    <row r="270" spans="23:23" x14ac:dyDescent="0.15">
      <c r="W270" s="206">
        <f>Admin!B270</f>
        <v>46021</v>
      </c>
    </row>
    <row r="271" spans="23:23" x14ac:dyDescent="0.15">
      <c r="W271" s="206">
        <f>Admin!B271</f>
        <v>46022</v>
      </c>
    </row>
    <row r="272" spans="23:23" x14ac:dyDescent="0.15">
      <c r="W272" s="206">
        <f>Admin!B272</f>
        <v>46023</v>
      </c>
    </row>
    <row r="273" spans="23:23" x14ac:dyDescent="0.15">
      <c r="W273" s="206">
        <f>Admin!B273</f>
        <v>46024</v>
      </c>
    </row>
    <row r="274" spans="23:23" x14ac:dyDescent="0.15">
      <c r="W274" s="206">
        <f>Admin!B274</f>
        <v>46025</v>
      </c>
    </row>
    <row r="275" spans="23:23" x14ac:dyDescent="0.15">
      <c r="W275" s="206">
        <f>Admin!B275</f>
        <v>46026</v>
      </c>
    </row>
    <row r="276" spans="23:23" x14ac:dyDescent="0.15">
      <c r="W276" s="206">
        <f>Admin!B276</f>
        <v>46027</v>
      </c>
    </row>
    <row r="277" spans="23:23" x14ac:dyDescent="0.15">
      <c r="W277" s="206">
        <f>Admin!B277</f>
        <v>46028</v>
      </c>
    </row>
    <row r="278" spans="23:23" x14ac:dyDescent="0.15">
      <c r="W278" s="206">
        <f>Admin!B278</f>
        <v>46029</v>
      </c>
    </row>
    <row r="279" spans="23:23" x14ac:dyDescent="0.15">
      <c r="W279" s="206">
        <f>Admin!B279</f>
        <v>46030</v>
      </c>
    </row>
    <row r="280" spans="23:23" x14ac:dyDescent="0.15">
      <c r="W280" s="206">
        <f>Admin!B280</f>
        <v>46031</v>
      </c>
    </row>
    <row r="281" spans="23:23" x14ac:dyDescent="0.15">
      <c r="W281" s="206">
        <f>Admin!B281</f>
        <v>46032</v>
      </c>
    </row>
    <row r="282" spans="23:23" x14ac:dyDescent="0.15">
      <c r="W282" s="206">
        <f>Admin!B282</f>
        <v>46033</v>
      </c>
    </row>
    <row r="283" spans="23:23" x14ac:dyDescent="0.15">
      <c r="W283" s="206">
        <f>Admin!B283</f>
        <v>46034</v>
      </c>
    </row>
    <row r="284" spans="23:23" x14ac:dyDescent="0.15">
      <c r="W284" s="206">
        <f>Admin!B284</f>
        <v>46035</v>
      </c>
    </row>
    <row r="285" spans="23:23" x14ac:dyDescent="0.15">
      <c r="W285" s="206">
        <f>Admin!B285</f>
        <v>46036</v>
      </c>
    </row>
    <row r="286" spans="23:23" x14ac:dyDescent="0.15">
      <c r="W286" s="206">
        <f>Admin!B286</f>
        <v>46037</v>
      </c>
    </row>
    <row r="287" spans="23:23" x14ac:dyDescent="0.15">
      <c r="W287" s="206">
        <f>Admin!B287</f>
        <v>46038</v>
      </c>
    </row>
    <row r="288" spans="23:23" x14ac:dyDescent="0.15">
      <c r="W288" s="206">
        <f>Admin!B288</f>
        <v>46039</v>
      </c>
    </row>
    <row r="289" spans="23:23" x14ac:dyDescent="0.15">
      <c r="W289" s="206">
        <f>Admin!B289</f>
        <v>46040</v>
      </c>
    </row>
    <row r="290" spans="23:23" x14ac:dyDescent="0.15">
      <c r="W290" s="206">
        <f>Admin!B290</f>
        <v>46041</v>
      </c>
    </row>
    <row r="291" spans="23:23" x14ac:dyDescent="0.15">
      <c r="W291" s="206">
        <f>Admin!B291</f>
        <v>46042</v>
      </c>
    </row>
    <row r="292" spans="23:23" x14ac:dyDescent="0.15">
      <c r="W292" s="206">
        <f>Admin!B292</f>
        <v>46043</v>
      </c>
    </row>
    <row r="293" spans="23:23" x14ac:dyDescent="0.15">
      <c r="W293" s="206">
        <f>Admin!B293</f>
        <v>46044</v>
      </c>
    </row>
    <row r="294" spans="23:23" x14ac:dyDescent="0.15">
      <c r="W294" s="206">
        <f>Admin!B294</f>
        <v>46045</v>
      </c>
    </row>
    <row r="295" spans="23:23" x14ac:dyDescent="0.15">
      <c r="W295" s="206">
        <f>Admin!B295</f>
        <v>46046</v>
      </c>
    </row>
    <row r="296" spans="23:23" x14ac:dyDescent="0.15">
      <c r="W296" s="206">
        <f>Admin!B296</f>
        <v>46047</v>
      </c>
    </row>
    <row r="297" spans="23:23" x14ac:dyDescent="0.15">
      <c r="W297" s="206">
        <f>Admin!B297</f>
        <v>46048</v>
      </c>
    </row>
    <row r="298" spans="23:23" x14ac:dyDescent="0.15">
      <c r="W298" s="206">
        <f>Admin!B298</f>
        <v>46049</v>
      </c>
    </row>
    <row r="299" spans="23:23" x14ac:dyDescent="0.15">
      <c r="W299" s="206">
        <f>Admin!B299</f>
        <v>46050</v>
      </c>
    </row>
    <row r="300" spans="23:23" x14ac:dyDescent="0.15">
      <c r="W300" s="206">
        <f>Admin!B300</f>
        <v>46051</v>
      </c>
    </row>
    <row r="301" spans="23:23" x14ac:dyDescent="0.15">
      <c r="W301" s="206">
        <f>Admin!B301</f>
        <v>46052</v>
      </c>
    </row>
    <row r="302" spans="23:23" x14ac:dyDescent="0.15">
      <c r="W302" s="206">
        <f>Admin!B302</f>
        <v>46053</v>
      </c>
    </row>
    <row r="303" spans="23:23" x14ac:dyDescent="0.15">
      <c r="W303" s="206">
        <f>Admin!B303</f>
        <v>46054</v>
      </c>
    </row>
    <row r="304" spans="23:23" x14ac:dyDescent="0.15">
      <c r="W304" s="206">
        <f>Admin!B304</f>
        <v>46055</v>
      </c>
    </row>
    <row r="305" spans="23:23" x14ac:dyDescent="0.15">
      <c r="W305" s="206">
        <f>Admin!B305</f>
        <v>46056</v>
      </c>
    </row>
    <row r="306" spans="23:23" x14ac:dyDescent="0.15">
      <c r="W306" s="206">
        <f>Admin!B306</f>
        <v>46057</v>
      </c>
    </row>
    <row r="307" spans="23:23" x14ac:dyDescent="0.15">
      <c r="W307" s="206">
        <f>Admin!B307</f>
        <v>46058</v>
      </c>
    </row>
    <row r="308" spans="23:23" x14ac:dyDescent="0.15">
      <c r="W308" s="206">
        <f>Admin!B308</f>
        <v>46059</v>
      </c>
    </row>
    <row r="309" spans="23:23" x14ac:dyDescent="0.15">
      <c r="W309" s="206">
        <f>Admin!B309</f>
        <v>46060</v>
      </c>
    </row>
    <row r="310" spans="23:23" x14ac:dyDescent="0.15">
      <c r="W310" s="206">
        <f>Admin!B310</f>
        <v>46061</v>
      </c>
    </row>
    <row r="311" spans="23:23" x14ac:dyDescent="0.15">
      <c r="W311" s="206">
        <f>Admin!B311</f>
        <v>46062</v>
      </c>
    </row>
    <row r="312" spans="23:23" x14ac:dyDescent="0.15">
      <c r="W312" s="206">
        <f>Admin!B312</f>
        <v>46063</v>
      </c>
    </row>
    <row r="313" spans="23:23" x14ac:dyDescent="0.15">
      <c r="W313" s="206">
        <f>Admin!B313</f>
        <v>46064</v>
      </c>
    </row>
    <row r="314" spans="23:23" x14ac:dyDescent="0.15">
      <c r="W314" s="206">
        <f>Admin!B314</f>
        <v>46065</v>
      </c>
    </row>
    <row r="315" spans="23:23" x14ac:dyDescent="0.15">
      <c r="W315" s="206">
        <f>Admin!B315</f>
        <v>46066</v>
      </c>
    </row>
    <row r="316" spans="23:23" x14ac:dyDescent="0.15">
      <c r="W316" s="206">
        <f>Admin!B316</f>
        <v>46067</v>
      </c>
    </row>
    <row r="317" spans="23:23" x14ac:dyDescent="0.15">
      <c r="W317" s="206">
        <f>Admin!B317</f>
        <v>46068</v>
      </c>
    </row>
    <row r="318" spans="23:23" x14ac:dyDescent="0.15">
      <c r="W318" s="206">
        <f>Admin!B318</f>
        <v>46069</v>
      </c>
    </row>
    <row r="319" spans="23:23" x14ac:dyDescent="0.15">
      <c r="W319" s="206">
        <f>Admin!B319</f>
        <v>46070</v>
      </c>
    </row>
    <row r="320" spans="23:23" x14ac:dyDescent="0.15">
      <c r="W320" s="206">
        <f>Admin!B320</f>
        <v>46071</v>
      </c>
    </row>
    <row r="321" spans="23:23" x14ac:dyDescent="0.15">
      <c r="W321" s="206">
        <f>Admin!B321</f>
        <v>46072</v>
      </c>
    </row>
    <row r="322" spans="23:23" x14ac:dyDescent="0.15">
      <c r="W322" s="206">
        <f>Admin!B322</f>
        <v>46073</v>
      </c>
    </row>
    <row r="323" spans="23:23" x14ac:dyDescent="0.15">
      <c r="W323" s="206">
        <f>Admin!B323</f>
        <v>46074</v>
      </c>
    </row>
    <row r="324" spans="23:23" x14ac:dyDescent="0.15">
      <c r="W324" s="206">
        <f>Admin!B324</f>
        <v>46075</v>
      </c>
    </row>
    <row r="325" spans="23:23" x14ac:dyDescent="0.15">
      <c r="W325" s="206">
        <f>Admin!B325</f>
        <v>46076</v>
      </c>
    </row>
    <row r="326" spans="23:23" x14ac:dyDescent="0.15">
      <c r="W326" s="206">
        <f>Admin!B326</f>
        <v>46077</v>
      </c>
    </row>
    <row r="327" spans="23:23" x14ac:dyDescent="0.15">
      <c r="W327" s="206">
        <f>Admin!B327</f>
        <v>46078</v>
      </c>
    </row>
    <row r="328" spans="23:23" x14ac:dyDescent="0.15">
      <c r="W328" s="206">
        <f>Admin!B328</f>
        <v>46079</v>
      </c>
    </row>
    <row r="329" spans="23:23" x14ac:dyDescent="0.15">
      <c r="W329" s="206">
        <f>Admin!B329</f>
        <v>46080</v>
      </c>
    </row>
    <row r="330" spans="23:23" x14ac:dyDescent="0.15">
      <c r="W330" s="206">
        <f>Admin!B330</f>
        <v>46081</v>
      </c>
    </row>
    <row r="331" spans="23:23" x14ac:dyDescent="0.15">
      <c r="W331" s="206">
        <f>Admin!B331</f>
        <v>46082</v>
      </c>
    </row>
    <row r="332" spans="23:23" x14ac:dyDescent="0.15">
      <c r="W332" s="206">
        <f>Admin!B332</f>
        <v>46083</v>
      </c>
    </row>
    <row r="333" spans="23:23" x14ac:dyDescent="0.15">
      <c r="W333" s="206">
        <f>Admin!B333</f>
        <v>46084</v>
      </c>
    </row>
    <row r="334" spans="23:23" x14ac:dyDescent="0.15">
      <c r="W334" s="206">
        <f>Admin!B334</f>
        <v>46085</v>
      </c>
    </row>
    <row r="335" spans="23:23" x14ac:dyDescent="0.15">
      <c r="W335" s="206">
        <f>Admin!B335</f>
        <v>46086</v>
      </c>
    </row>
    <row r="336" spans="23:23" x14ac:dyDescent="0.15">
      <c r="W336" s="206">
        <f>Admin!B336</f>
        <v>46087</v>
      </c>
    </row>
    <row r="337" spans="23:23" x14ac:dyDescent="0.15">
      <c r="W337" s="206">
        <f>Admin!B337</f>
        <v>46088</v>
      </c>
    </row>
    <row r="338" spans="23:23" x14ac:dyDescent="0.15">
      <c r="W338" s="206">
        <f>Admin!B338</f>
        <v>46089</v>
      </c>
    </row>
    <row r="339" spans="23:23" x14ac:dyDescent="0.15">
      <c r="W339" s="206">
        <f>Admin!B339</f>
        <v>46090</v>
      </c>
    </row>
    <row r="340" spans="23:23" x14ac:dyDescent="0.15">
      <c r="W340" s="206">
        <f>Admin!B340</f>
        <v>46091</v>
      </c>
    </row>
    <row r="341" spans="23:23" x14ac:dyDescent="0.15">
      <c r="W341" s="206">
        <f>Admin!B341</f>
        <v>46092</v>
      </c>
    </row>
    <row r="342" spans="23:23" x14ac:dyDescent="0.15">
      <c r="W342" s="206">
        <f>Admin!B342</f>
        <v>46093</v>
      </c>
    </row>
    <row r="343" spans="23:23" x14ac:dyDescent="0.15">
      <c r="W343" s="206">
        <f>Admin!B343</f>
        <v>46094</v>
      </c>
    </row>
    <row r="344" spans="23:23" x14ac:dyDescent="0.15">
      <c r="W344" s="206">
        <f>Admin!B344</f>
        <v>46095</v>
      </c>
    </row>
    <row r="345" spans="23:23" x14ac:dyDescent="0.15">
      <c r="W345" s="206">
        <f>Admin!B345</f>
        <v>46096</v>
      </c>
    </row>
    <row r="346" spans="23:23" x14ac:dyDescent="0.15">
      <c r="W346" s="206">
        <f>Admin!B346</f>
        <v>46097</v>
      </c>
    </row>
    <row r="347" spans="23:23" x14ac:dyDescent="0.15">
      <c r="W347" s="206">
        <f>Admin!B347</f>
        <v>46098</v>
      </c>
    </row>
    <row r="348" spans="23:23" x14ac:dyDescent="0.15">
      <c r="W348" s="206">
        <f>Admin!B348</f>
        <v>46099</v>
      </c>
    </row>
    <row r="349" spans="23:23" x14ac:dyDescent="0.15">
      <c r="W349" s="206">
        <f>Admin!B349</f>
        <v>46100</v>
      </c>
    </row>
    <row r="350" spans="23:23" x14ac:dyDescent="0.15">
      <c r="W350" s="206">
        <f>Admin!B350</f>
        <v>46101</v>
      </c>
    </row>
    <row r="351" spans="23:23" x14ac:dyDescent="0.15">
      <c r="W351" s="206">
        <f>Admin!B351</f>
        <v>46102</v>
      </c>
    </row>
    <row r="352" spans="23:23" x14ac:dyDescent="0.15">
      <c r="W352" s="206">
        <f>Admin!B352</f>
        <v>46103</v>
      </c>
    </row>
    <row r="353" spans="23:23" x14ac:dyDescent="0.15">
      <c r="W353" s="206">
        <f>Admin!B353</f>
        <v>46104</v>
      </c>
    </row>
    <row r="354" spans="23:23" x14ac:dyDescent="0.15">
      <c r="W354" s="206">
        <f>Admin!B354</f>
        <v>46105</v>
      </c>
    </row>
    <row r="355" spans="23:23" x14ac:dyDescent="0.15">
      <c r="W355" s="206">
        <f>Admin!B355</f>
        <v>46106</v>
      </c>
    </row>
    <row r="356" spans="23:23" x14ac:dyDescent="0.15">
      <c r="W356" s="206">
        <f>Admin!B356</f>
        <v>46107</v>
      </c>
    </row>
    <row r="357" spans="23:23" x14ac:dyDescent="0.15">
      <c r="W357" s="206">
        <f>Admin!B357</f>
        <v>46108</v>
      </c>
    </row>
    <row r="358" spans="23:23" x14ac:dyDescent="0.15">
      <c r="W358" s="206">
        <f>Admin!B358</f>
        <v>46109</v>
      </c>
    </row>
    <row r="359" spans="23:23" x14ac:dyDescent="0.15">
      <c r="W359" s="206">
        <f>Admin!B359</f>
        <v>46110</v>
      </c>
    </row>
    <row r="360" spans="23:23" x14ac:dyDescent="0.15">
      <c r="W360" s="206">
        <f>Admin!B360</f>
        <v>46111</v>
      </c>
    </row>
    <row r="361" spans="23:23" x14ac:dyDescent="0.15">
      <c r="W361" s="206">
        <f>Admin!B361</f>
        <v>46112</v>
      </c>
    </row>
    <row r="362" spans="23:23" x14ac:dyDescent="0.15">
      <c r="W362" s="206">
        <f>Admin!B362</f>
        <v>46113</v>
      </c>
    </row>
    <row r="363" spans="23:23" x14ac:dyDescent="0.15">
      <c r="W363" s="206">
        <f>Admin!B363</f>
        <v>46114</v>
      </c>
    </row>
    <row r="364" spans="23:23" x14ac:dyDescent="0.15">
      <c r="W364" s="206">
        <f>Admin!B364</f>
        <v>46115</v>
      </c>
    </row>
    <row r="365" spans="23:23" x14ac:dyDescent="0.15">
      <c r="W365" s="206">
        <f>Admin!B365</f>
        <v>46116</v>
      </c>
    </row>
    <row r="366" spans="23:23" x14ac:dyDescent="0.15">
      <c r="W366" s="206">
        <f>Admin!B366</f>
        <v>46117</v>
      </c>
    </row>
  </sheetData>
  <mergeCells count="51">
    <mergeCell ref="D15:F15"/>
    <mergeCell ref="D16:F16"/>
    <mergeCell ref="M15:O15"/>
    <mergeCell ref="D5:F5"/>
    <mergeCell ref="D6:F6"/>
    <mergeCell ref="O13:P13"/>
    <mergeCell ref="D7:F7"/>
    <mergeCell ref="H13:H14"/>
    <mergeCell ref="H5:O7"/>
    <mergeCell ref="S39:S40"/>
    <mergeCell ref="H39:H40"/>
    <mergeCell ref="S13:S14"/>
    <mergeCell ref="Q3:S3"/>
    <mergeCell ref="H3:M3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S91:S92"/>
    <mergeCell ref="D93:F93"/>
    <mergeCell ref="D67:F67"/>
    <mergeCell ref="D68:F68"/>
    <mergeCell ref="M67:O6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380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380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">
        <v>105</v>
      </c>
      <c r="I3" s="365" t="s">
        <v>43</v>
      </c>
      <c r="J3" s="365" t="s">
        <v>44</v>
      </c>
      <c r="K3" s="382" t="s">
        <v>48</v>
      </c>
      <c r="L3" s="382" t="s">
        <v>31</v>
      </c>
      <c r="M3" s="371" t="s">
        <v>46</v>
      </c>
      <c r="N3" s="365" t="s">
        <v>1</v>
      </c>
      <c r="O3" s="373" t="s">
        <v>26</v>
      </c>
      <c r="P3" s="365" t="s">
        <v>106</v>
      </c>
      <c r="Q3" s="373" t="s">
        <v>2</v>
      </c>
      <c r="R3" s="371" t="s">
        <v>47</v>
      </c>
      <c r="S3" s="42"/>
      <c r="T3" s="373" t="s">
        <v>27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6"/>
      <c r="J4" s="366"/>
      <c r="K4" s="383"/>
      <c r="L4" s="383"/>
      <c r="M4" s="372"/>
      <c r="N4" s="368"/>
      <c r="O4" s="374"/>
      <c r="P4" s="368"/>
      <c r="Q4" s="374"/>
      <c r="R4" s="372"/>
      <c r="S4" s="42"/>
      <c r="T4" s="374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6"/>
      <c r="J5" s="366"/>
      <c r="K5" s="383"/>
      <c r="L5" s="383"/>
      <c r="M5" s="372"/>
      <c r="N5" s="368"/>
      <c r="O5" s="374"/>
      <c r="P5" s="368"/>
      <c r="Q5" s="374"/>
      <c r="R5" s="372"/>
      <c r="S5" s="42"/>
      <c r="T5" s="374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7"/>
      <c r="J6" s="367"/>
      <c r="K6" s="384"/>
      <c r="L6" s="384"/>
      <c r="M6" s="372"/>
      <c r="N6" s="369"/>
      <c r="O6" s="374"/>
      <c r="P6" s="369"/>
      <c r="Q6" s="374"/>
      <c r="R6" s="372"/>
      <c r="S6" s="41"/>
      <c r="T6" s="374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76"/>
      <c r="S8" s="377"/>
      <c r="T8" s="377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</v>
      </c>
      <c r="F9" s="35"/>
      <c r="G9" s="35"/>
      <c r="H9" s="360" t="s">
        <v>57</v>
      </c>
      <c r="I9" s="361"/>
      <c r="J9" s="359"/>
      <c r="K9" s="201">
        <f>Admin!B2</f>
        <v>45753</v>
      </c>
      <c r="L9" s="200" t="s">
        <v>76</v>
      </c>
      <c r="M9" s="202">
        <f>K9+(7-WEEKDAY(K9, 2))</f>
        <v>45753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8" t="s">
        <v>7</v>
      </c>
      <c r="G16" s="379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</v>
      </c>
      <c r="F19" s="35"/>
      <c r="G19" s="35"/>
      <c r="H19" s="360" t="s">
        <v>28</v>
      </c>
      <c r="I19" s="361"/>
      <c r="J19" s="359"/>
      <c r="K19" s="201">
        <f>M9+1</f>
        <v>45754</v>
      </c>
      <c r="L19" s="200" t="s">
        <v>76</v>
      </c>
      <c r="M19" s="202">
        <f>K19+6</f>
        <v>45760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</v>
      </c>
      <c r="F29" s="35"/>
      <c r="G29" s="35"/>
      <c r="H29" s="360" t="s">
        <v>28</v>
      </c>
      <c r="I29" s="361"/>
      <c r="J29" s="359"/>
      <c r="K29" s="201">
        <f>M19+1</f>
        <v>45761</v>
      </c>
      <c r="L29" s="200" t="s">
        <v>76</v>
      </c>
      <c r="M29" s="202">
        <f>K29+6</f>
        <v>45767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4</v>
      </c>
      <c r="F39" s="35"/>
      <c r="G39" s="35"/>
      <c r="H39" s="360" t="s">
        <v>28</v>
      </c>
      <c r="I39" s="361"/>
      <c r="J39" s="359"/>
      <c r="K39" s="201">
        <f>M29+1</f>
        <v>45768</v>
      </c>
      <c r="L39" s="200" t="s">
        <v>76</v>
      </c>
      <c r="M39" s="202">
        <f>K39+6</f>
        <v>45774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</v>
      </c>
      <c r="F49" s="35"/>
      <c r="G49" s="35"/>
      <c r="H49" s="360" t="s">
        <v>28</v>
      </c>
      <c r="I49" s="361"/>
      <c r="J49" s="359"/>
      <c r="K49" s="204">
        <f>Admin!B2</f>
        <v>45753</v>
      </c>
      <c r="L49" s="203" t="s">
        <v>76</v>
      </c>
      <c r="M49" s="205">
        <f>Admin!B26</f>
        <v>45777</v>
      </c>
      <c r="N49" s="20"/>
      <c r="O49" s="401" t="s">
        <v>49</v>
      </c>
      <c r="P49" s="402"/>
      <c r="Q49" s="402"/>
      <c r="R49" s="403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Jun!H3:H6</f>
        <v>Statutory Pay</v>
      </c>
      <c r="I3" s="365" t="str">
        <f>Jun!I3:I6</f>
        <v>Basic hours</v>
      </c>
      <c r="J3" s="365" t="str">
        <f>Jun!J3:J6</f>
        <v>Hourly rate</v>
      </c>
      <c r="K3" s="365" t="str">
        <f>Jun!K3:K6</f>
        <v>Basic    wages</v>
      </c>
      <c r="L3" s="365" t="str">
        <f>Jun!L3:L6</f>
        <v>Overtime Bonus Gratuities</v>
      </c>
      <c r="M3" s="428" t="str">
        <f>Jun!M3:M6</f>
        <v>GROSS WAGES</v>
      </c>
      <c r="N3" s="365" t="str">
        <f>Jun!N3:N6</f>
        <v>Income Tax</v>
      </c>
      <c r="O3" s="365" t="str">
        <f>Jun!O3:O6</f>
        <v>Employees National Insurance</v>
      </c>
      <c r="P3" s="365" t="str">
        <f>Jun!P3:P6</f>
        <v>Student Loans</v>
      </c>
      <c r="Q3" s="365" t="str">
        <f>Jun!Q3:Q6</f>
        <v>Other Deductions</v>
      </c>
      <c r="R3" s="428" t="str">
        <f>Jun!R3:R6</f>
        <v>NET      PAY</v>
      </c>
      <c r="S3" s="42"/>
      <c r="T3" s="365" t="str">
        <f>Jun!T3:T6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5</v>
      </c>
      <c r="F9" s="35"/>
      <c r="G9" s="35"/>
      <c r="H9" s="360" t="s">
        <v>28</v>
      </c>
      <c r="I9" s="361"/>
      <c r="J9" s="359"/>
      <c r="K9" s="204">
        <f>Jun!M39+1</f>
        <v>45775</v>
      </c>
      <c r="L9" s="203" t="s">
        <v>76</v>
      </c>
      <c r="M9" s="205">
        <f>K9+6</f>
        <v>45781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IF(T$9="Y",Jun!H41,0)</f>
        <v>0</v>
      </c>
      <c r="I11" s="89">
        <f>IF(T$9="Y",Jun!I41,0)</f>
        <v>0</v>
      </c>
      <c r="J11" s="89">
        <f>IF(T$9="Y",Jun!J41,0)</f>
        <v>0</v>
      </c>
      <c r="K11" s="89">
        <f>IF(T$9="Y",Jun!K41,I11*J11)</f>
        <v>0</v>
      </c>
      <c r="L11" s="110">
        <f>IF(T$9="Y",Jun!L41,0)</f>
        <v>0</v>
      </c>
      <c r="M11" s="110" t="str">
        <f>IF(E11=" "," ",IF(T$9="Y",Jun!M41,IF((H11+K11+L11)&gt;0,H11+K11+L11,"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IF(Employee!H$34=E$9,Employee!D$34+SUM(M11)+Jun!V41,SUM(M11)+Jun!V41)</f>
        <v>0</v>
      </c>
      <c r="W11" s="49">
        <f>IF(Employee!H$34=E$9,Employee!D$35+SUM(N11)+Jun!W41,SUM(N11)+Jun!W41)</f>
        <v>0</v>
      </c>
      <c r="X11" s="49">
        <f>IF(O11=" ",Jun!X41,O11+Jun!X41)</f>
        <v>0</v>
      </c>
      <c r="Y11" s="49">
        <f>IF(P11=" ",Jun!Y41,P11+Jun!Y41)</f>
        <v>0</v>
      </c>
      <c r="Z11" s="49">
        <f>IF(Q11=" ",Jun!Z41,Q11+Jun!Z41)</f>
        <v>0</v>
      </c>
      <c r="AA11" s="49">
        <f>IF(R11=" ",Jun!AA41,R11+Jun!AA41)</f>
        <v>0</v>
      </c>
      <c r="AC11" s="49">
        <f>IF(T11=" ",Jun!AC41,T11+Jun!AC41)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IF(T$9="Y",Jun!H42,0)</f>
        <v>0</v>
      </c>
      <c r="I12" s="92">
        <f>IF(T$9="Y",Jun!I42,0)</f>
        <v>0</v>
      </c>
      <c r="J12" s="92">
        <f>IF(T$9="Y",Jun!J42,0)</f>
        <v>0</v>
      </c>
      <c r="K12" s="92">
        <f>IF(T$9="Y",Jun!K42,I12*J12)</f>
        <v>0</v>
      </c>
      <c r="L12" s="111">
        <f>IF(T$9="Y",Jun!L42,0)</f>
        <v>0</v>
      </c>
      <c r="M12" s="111" t="str">
        <f>IF(E12=" "," ",IF(T$9="Y",Jun!M42,IF((H12+K12+L12)&gt;0,H12+K12+L12,"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IF(Employee!H$60=E$9,Employee!D$60+SUM(M12)+Jun!V42,SUM(M12)+Jun!V42)</f>
        <v>0</v>
      </c>
      <c r="W12" s="49">
        <f>IF(Employee!H$60=E$9,Employee!D$61+SUM(N12)+Jun!W42,SUM(N12)+Jun!W42)</f>
        <v>0</v>
      </c>
      <c r="X12" s="49">
        <f>IF(O12=" ",Jun!X42,O12+Jun!X42)</f>
        <v>0</v>
      </c>
      <c r="Y12" s="49">
        <f>IF(P12=" ",Jun!Y42,P12+Jun!Y42)</f>
        <v>0</v>
      </c>
      <c r="Z12" s="49">
        <f>IF(Q12=" ",Jun!Z42,Q12+Jun!Z42)</f>
        <v>0</v>
      </c>
      <c r="AA12" s="49">
        <f>IF(R12=" ",Jun!AA42,R12+Jun!AA42)</f>
        <v>0</v>
      </c>
      <c r="AC12" s="49">
        <f>IF(T12=" ",Jun!AC42,T12+Jun!AC42)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IF(T$9="Y",Jun!H43,0)</f>
        <v>0</v>
      </c>
      <c r="I13" s="92">
        <f>IF(T$9="Y",Jun!I43,0)</f>
        <v>0</v>
      </c>
      <c r="J13" s="92">
        <f>IF(T$9="Y",Jun!J43,0)</f>
        <v>0</v>
      </c>
      <c r="K13" s="92">
        <f>IF(T$9="Y",Jun!K43,I13*J13)</f>
        <v>0</v>
      </c>
      <c r="L13" s="111">
        <f>IF(T$9="Y",Jun!L43,0)</f>
        <v>0</v>
      </c>
      <c r="M13" s="111" t="str">
        <f>IF(E13=" "," ",IF(T$9="Y",Jun!M43,IF((H13+K13+L13)&gt;0,H13+K13+L13,"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IF(Employee!H$86=E$9,Employee!D$86+SUM(M13)+Jun!V43,SUM(M13)+Jun!V43)</f>
        <v>0</v>
      </c>
      <c r="W13" s="49">
        <f>IF(Employee!H$86=E$9,Employee!D$87+SUM(N13)+Jun!W43,SUM(N13)+Jun!W43)</f>
        <v>0</v>
      </c>
      <c r="X13" s="49">
        <f>IF(O13=" ",Jun!X43,O13+Jun!X43)</f>
        <v>0</v>
      </c>
      <c r="Y13" s="49">
        <f>IF(P13=" ",Jun!Y43,P13+Jun!Y43)</f>
        <v>0</v>
      </c>
      <c r="Z13" s="49">
        <f>IF(Q13=" ",Jun!Z43,Q13+Jun!Z43)</f>
        <v>0</v>
      </c>
      <c r="AA13" s="49">
        <f>IF(R13=" ",Jun!AA43,R13+Jun!AA43)</f>
        <v>0</v>
      </c>
      <c r="AC13" s="49">
        <f>IF(T13=" ",Jun!AC43,T13+Jun!AC43)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IF(T$9="Y",Jun!H44,0)</f>
        <v>0</v>
      </c>
      <c r="I14" s="92">
        <f>IF(T$9="Y",Jun!I44,0)</f>
        <v>0</v>
      </c>
      <c r="J14" s="92">
        <f>IF(T$9="Y",Jun!J44,0)</f>
        <v>0</v>
      </c>
      <c r="K14" s="92">
        <f>IF(T$9="Y",Jun!K44,I14*J14)</f>
        <v>0</v>
      </c>
      <c r="L14" s="111">
        <f>IF(T$9="Y",Jun!L44,0)</f>
        <v>0</v>
      </c>
      <c r="M14" s="111" t="str">
        <f>IF(E14=" "," ",IF(T$9="Y",Jun!M44,IF((H14+K14+L14)&gt;0,H14+K14+L14,"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IF(Employee!H$112=E$9,Employee!D$112+SUM(M14)+Jun!V44,SUM(M14)+Jun!V44)</f>
        <v>0</v>
      </c>
      <c r="W14" s="49">
        <f>IF(Employee!H$112=E$9,Employee!D$113+SUM(N14)+Jun!W44,SUM(N14)+Jun!W44)</f>
        <v>0</v>
      </c>
      <c r="X14" s="49">
        <f>IF(O14=" ",Jun!X44,O14+Jun!X44)</f>
        <v>0</v>
      </c>
      <c r="Y14" s="49">
        <f>IF(P14=" ",Jun!Y44,P14+Jun!Y44)</f>
        <v>0</v>
      </c>
      <c r="Z14" s="49">
        <f>IF(Q14=" ",Jun!Z44,Q14+Jun!Z44)</f>
        <v>0</v>
      </c>
      <c r="AA14" s="49">
        <f>IF(R14=" ",Jun!AA44,R14+Jun!AA44)</f>
        <v>0</v>
      </c>
      <c r="AC14" s="49">
        <f>IF(T14=" ",Jun!AC44,T14+Jun!AC44)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IF(T$9="Y",Jun!H45,0)</f>
        <v>0</v>
      </c>
      <c r="I15" s="245">
        <f>IF(T$9="Y",Jun!I45,0)</f>
        <v>0</v>
      </c>
      <c r="J15" s="245">
        <f>IF(T$9="Y",Jun!J45,0)</f>
        <v>0</v>
      </c>
      <c r="K15" s="245">
        <f>IF(T$9="Y",Jun!K45,I15*J15)</f>
        <v>0</v>
      </c>
      <c r="L15" s="246">
        <f>IF(T$9="Y",Jun!L45,0)</f>
        <v>0</v>
      </c>
      <c r="M15" s="111" t="str">
        <f>IF(E15=" "," ",IF(T$9="Y",Jun!M45,IF((H15+K15+L15)&gt;0,H15+K15+L15,"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IF(Employee!H$138=E$9,Employee!D$138+SUM(M15)+Jun!V45,SUM(M15)+Jun!V45)</f>
        <v>0</v>
      </c>
      <c r="W15" s="49">
        <f>IF(Employee!H$138=E$9,Employee!D$139+SUM(N15)+Jun!W45,SUM(N15)+Jun!W45)</f>
        <v>0</v>
      </c>
      <c r="X15" s="49">
        <f>IF(O15=" ",Jun!X45,O15+Jun!X45)</f>
        <v>0</v>
      </c>
      <c r="Y15" s="49">
        <f>IF(P15=" ",Jun!Y45,P15+Jun!Y45)</f>
        <v>0</v>
      </c>
      <c r="Z15" s="49">
        <f>IF(Q15=" ",Jun!Z45,Q15+Jun!Z45)</f>
        <v>0</v>
      </c>
      <c r="AA15" s="49">
        <f>IF(R15=" ",Jun!AA45,R15+Jun!AA45)</f>
        <v>0</v>
      </c>
      <c r="AC15" s="49">
        <f>IF(T15=" ",Jun!AC45,T15+Jun!AC45)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6</v>
      </c>
      <c r="F19" s="35"/>
      <c r="G19" s="35"/>
      <c r="H19" s="360" t="s">
        <v>28</v>
      </c>
      <c r="I19" s="361"/>
      <c r="J19" s="359"/>
      <c r="K19" s="204">
        <f>M9+1</f>
        <v>45782</v>
      </c>
      <c r="L19" s="203" t="s">
        <v>76</v>
      </c>
      <c r="M19" s="205">
        <f>K19+6</f>
        <v>45788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7</v>
      </c>
      <c r="F29" s="35"/>
      <c r="G29" s="35"/>
      <c r="H29" s="360" t="s">
        <v>28</v>
      </c>
      <c r="I29" s="361"/>
      <c r="J29" s="359"/>
      <c r="K29" s="204">
        <f>M19+1</f>
        <v>45789</v>
      </c>
      <c r="L29" s="203" t="s">
        <v>76</v>
      </c>
      <c r="M29" s="205">
        <f>K29+6</f>
        <v>45795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8</v>
      </c>
      <c r="F39" s="35"/>
      <c r="G39" s="35"/>
      <c r="H39" s="360" t="s">
        <v>28</v>
      </c>
      <c r="I39" s="361"/>
      <c r="J39" s="359"/>
      <c r="K39" s="204">
        <f>M29+1</f>
        <v>45796</v>
      </c>
      <c r="L39" s="203" t="s">
        <v>76</v>
      </c>
      <c r="M39" s="205">
        <f>K39+6</f>
        <v>45802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2</v>
      </c>
      <c r="F49" s="35"/>
      <c r="G49" s="35"/>
      <c r="H49" s="360" t="s">
        <v>28</v>
      </c>
      <c r="I49" s="361"/>
      <c r="J49" s="359"/>
      <c r="K49" s="204">
        <f>Admin!B27</f>
        <v>45778</v>
      </c>
      <c r="L49" s="203" t="s">
        <v>76</v>
      </c>
      <c r="M49" s="205">
        <f>Admin!B57</f>
        <v>45808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IF(T$49="Y",Jun!H51,0)</f>
        <v>0</v>
      </c>
      <c r="I51" s="89">
        <f>IF(T$49="Y",Jun!I51,0)</f>
        <v>0</v>
      </c>
      <c r="J51" s="89">
        <f>IF(T$49="Y",Jun!J51,0)</f>
        <v>0</v>
      </c>
      <c r="K51" s="89">
        <f>IF(T$49="Y",Jun!K51,I51*J51)</f>
        <v>0</v>
      </c>
      <c r="L51" s="110">
        <f>IF(T$49="Y",Jun!L51,0)</f>
        <v>0</v>
      </c>
      <c r="M51" s="99" t="str">
        <f>IF(E51=" "," ",IF(T$49="Y",Jun!M51,IF((H51+K51+L51)&gt;0,H51+K51+L51,"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IF(Employee!H$35=E$49,Employee!D$34+SUM(M51)+Jun!V51,SUM(M51)+Jun!V51)</f>
        <v>0</v>
      </c>
      <c r="W51" s="49">
        <f>IF(Employee!H$35=E$49,Employee!D$35+SUM(N51)+Jun!W51,SUM(N51)+Jun!W51)</f>
        <v>0</v>
      </c>
      <c r="X51" s="49">
        <f>IF(O51=" ",Jun!X51,O51+Jun!X51)</f>
        <v>0</v>
      </c>
      <c r="Y51" s="49">
        <f>IF(P51=" ",Jun!Y51,P51+Jun!Y51)</f>
        <v>0</v>
      </c>
      <c r="Z51" s="49">
        <f>IF(Q51=" ",Jun!Z51,Q51+Jun!Z51)</f>
        <v>0</v>
      </c>
      <c r="AA51" s="49">
        <f>IF(R51=" ",Jun!AA51,R51+Jun!AA51)</f>
        <v>0</v>
      </c>
      <c r="AC51" s="49">
        <f>IF(T51=" ",Jun!AC51,T51+Jun!AC51)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IF(T$49="Y",Jun!H52,0)</f>
        <v>0</v>
      </c>
      <c r="I52" s="92">
        <f>IF(T$49="Y",Jun!I52,0)</f>
        <v>0</v>
      </c>
      <c r="J52" s="92">
        <f>IF(T$49="Y",Jun!J52,0)</f>
        <v>0</v>
      </c>
      <c r="K52" s="92">
        <f>IF(T$49="Y",Jun!K52,I52*J52)</f>
        <v>0</v>
      </c>
      <c r="L52" s="111">
        <f>IF(T$49="Y",Jun!L52,0)</f>
        <v>0</v>
      </c>
      <c r="M52" s="100" t="str">
        <f>IF(E52=" "," ",IF(T$49="Y",Jun!M52,IF((H52+K52+L52)&gt;0,H52+K52+L52,"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IF(Employee!H$61=E$49,Employee!D$60+SUM(M52)+Jun!V52,SUM(M52)+Jun!V52)</f>
        <v>0</v>
      </c>
      <c r="W52" s="49">
        <f>IF(Employee!H$61=E$49,Employee!D$61+SUM(N52)+Jun!W52,SUM(N52)+Jun!W52)</f>
        <v>0</v>
      </c>
      <c r="X52" s="49">
        <f>IF(O52=" ",Jun!X52,O52+Jun!X52)</f>
        <v>0</v>
      </c>
      <c r="Y52" s="49">
        <f>IF(P52=" ",Jun!Y52,P52+Jun!Y52)</f>
        <v>0</v>
      </c>
      <c r="Z52" s="49">
        <f>IF(Q52=" ",Jun!Z52,Q52+Jun!Z52)</f>
        <v>0</v>
      </c>
      <c r="AA52" s="49">
        <f>IF(R52=" ",Jun!AA52,R52+Jun!AA52)</f>
        <v>0</v>
      </c>
      <c r="AC52" s="49">
        <f>IF(T52=" ",Jun!AC52,T52+Jun!AC52)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IF(T$49="Y",Jun!H53,0)</f>
        <v>0</v>
      </c>
      <c r="I53" s="92">
        <f>IF(T$49="Y",Jun!I53,0)</f>
        <v>0</v>
      </c>
      <c r="J53" s="92">
        <f>IF(T$49="Y",Jun!J53,0)</f>
        <v>0</v>
      </c>
      <c r="K53" s="92">
        <f>IF(T$49="Y",Jun!K53,I53*J53)</f>
        <v>0</v>
      </c>
      <c r="L53" s="111">
        <f>IF(T$49="Y",Jun!L53,0)</f>
        <v>0</v>
      </c>
      <c r="M53" s="100" t="str">
        <f>IF(E53=" "," ",IF(T$49="Y",Jun!M53,IF((H53+K53+L53)&gt;0,H53+K53+L53,"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IF(Employee!H$87=E$49,Employee!D$86+SUM(M53)+Jun!V53,SUM(M53)+Jun!V53)</f>
        <v>0</v>
      </c>
      <c r="W53" s="49">
        <f>IF(Employee!H$87=E$49,Employee!D$7+SUM(N53)+Jun!W53,SUM(N53)+Jun!W53)</f>
        <v>0</v>
      </c>
      <c r="X53" s="49">
        <f>IF(O53=" ",Jun!X53,O53+Jun!X53)</f>
        <v>0</v>
      </c>
      <c r="Y53" s="49">
        <f>IF(P53=" ",Jun!Y53,P53+Jun!Y53)</f>
        <v>0</v>
      </c>
      <c r="Z53" s="49">
        <f>IF(Q53=" ",Jun!Z53,Q53+Jun!Z53)</f>
        <v>0</v>
      </c>
      <c r="AA53" s="49">
        <f>IF(R53=" ",Jun!AA53,R53+Jun!AA53)</f>
        <v>0</v>
      </c>
      <c r="AC53" s="49">
        <f>IF(T53=" ",Jun!AC53,T53+Jun!AC53)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IF(T$49="Y",Jun!H54,0)</f>
        <v>0</v>
      </c>
      <c r="I54" s="92">
        <f>IF(T$49="Y",Jun!I54,0)</f>
        <v>0</v>
      </c>
      <c r="J54" s="92">
        <f>IF(T$49="Y",Jun!J54,0)</f>
        <v>0</v>
      </c>
      <c r="K54" s="92">
        <f>IF(T$49="Y",Jun!K54,I54*J54)</f>
        <v>0</v>
      </c>
      <c r="L54" s="111">
        <f>IF(T$49="Y",Jun!L54,0)</f>
        <v>0</v>
      </c>
      <c r="M54" s="100" t="str">
        <f>IF(E54=" "," ",IF(T$49="Y",Jun!M54,IF((H54+K54+L54)&gt;0,H54+K54+L54,"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IF(Employee!H$113=E$49,Employee!D$112+SUM(M54)+Jun!V54,SUM(M54)+Jun!V54)</f>
        <v>0</v>
      </c>
      <c r="W54" s="49">
        <f>IF(Employee!H$113=E$49,Employee!D$113+SUM(N54)+Jun!W54,SUM(N54)+Jun!W54)</f>
        <v>0</v>
      </c>
      <c r="X54" s="49">
        <f>IF(O54=" ",Jun!X54,O54+Jun!X54)</f>
        <v>0</v>
      </c>
      <c r="Y54" s="49">
        <f>IF(P54=" ",Jun!Y54,P54+Jun!Y54)</f>
        <v>0</v>
      </c>
      <c r="Z54" s="49">
        <f>IF(Q54=" ",Jun!Z54,Q54+Jun!Z54)</f>
        <v>0</v>
      </c>
      <c r="AA54" s="49">
        <f>IF(R54=" ",Jun!AA54,R54+Jun!AA54)</f>
        <v>0</v>
      </c>
      <c r="AC54" s="49">
        <f>IF(T54=" ",Jun!AC54,T54+Jun!AC54)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IF(T$49="Y",Jun!H55,0)</f>
        <v>0</v>
      </c>
      <c r="I55" s="245">
        <f>IF(T$49="Y",Jun!I55,0)</f>
        <v>0</v>
      </c>
      <c r="J55" s="245">
        <f>IF(T$49="Y",Jun!J55,0)</f>
        <v>0</v>
      </c>
      <c r="K55" s="245">
        <f>IF(T$49="Y",Jun!K55,I55*J55)</f>
        <v>0</v>
      </c>
      <c r="L55" s="246">
        <f>IF(T$49="Y",Jun!L55,0)</f>
        <v>0</v>
      </c>
      <c r="M55" s="100" t="str">
        <f>IF(E55=" "," ",IF(T$49="Y",Jun!M55,IF((H55+K55+L55)&gt;0,H55+K55+L55,"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IF(Employee!H$139=E$49,Employee!D$138+SUM(M55)+Jun!V55,SUM(M55)+Jun!V55)</f>
        <v>0</v>
      </c>
      <c r="W55" s="49">
        <f>IF(Employee!H$139=E$49,Employee!D$139+SUM(N55)+Jun!W55,SUM(N55)+Jun!W55)</f>
        <v>0</v>
      </c>
      <c r="X55" s="49">
        <f>IF(O55=" ",Jun!X55,O55+Jun!X55)</f>
        <v>0</v>
      </c>
      <c r="Y55" s="49">
        <f>IF(P55=" ",Jun!Y55,P55+Jun!Y55)</f>
        <v>0</v>
      </c>
      <c r="Z55" s="49">
        <f>IF(Q55=" ",Jun!Z55,Q55+Jun!Z55)</f>
        <v>0</v>
      </c>
      <c r="AA55" s="49">
        <f>IF(R55=" ",Jun!AA55,R55+Jun!AA55)</f>
        <v>0</v>
      </c>
      <c r="AC55" s="49">
        <f>IF(T55=" ",Jun!AC55,T55+Jun!AC55)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AD60+Jun!AD65</f>
        <v>0</v>
      </c>
      <c r="AE65" s="158">
        <f>AE60+Jun!AE65</f>
        <v>0</v>
      </c>
      <c r="AF65" s="158">
        <f>AF60+Jun!AF65</f>
        <v>0</v>
      </c>
      <c r="AG65" s="158">
        <f>AG60+Jun!AG65</f>
        <v>0</v>
      </c>
    </row>
    <row r="66" spans="6:33" ht="14" thickTop="1" x14ac:dyDescent="0.15"/>
    <row r="67" spans="6:33" x14ac:dyDescent="0.15">
      <c r="AD67" s="162"/>
      <c r="AE67" s="158">
        <f>AE62+Jun!AE67</f>
        <v>0</v>
      </c>
      <c r="AF67" s="158">
        <f>AF62+Jun!AF67</f>
        <v>0</v>
      </c>
      <c r="AG67" s="158">
        <f>AG62+Jun!AG67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2" t="s">
        <v>4</v>
      </c>
      <c r="J1" s="433"/>
      <c r="K1" s="433"/>
      <c r="L1" s="434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Jun!H3:H6</f>
        <v>Statutory Pay</v>
      </c>
      <c r="I3" s="365" t="str">
        <f>Jun!I3:I6</f>
        <v>Basic hours</v>
      </c>
      <c r="J3" s="365" t="str">
        <f>Jun!J3:J6</f>
        <v>Hourly rate</v>
      </c>
      <c r="K3" s="365" t="str">
        <f>Jun!K3:K6</f>
        <v>Basic    wages</v>
      </c>
      <c r="L3" s="365" t="str">
        <f>Jun!L3:L6</f>
        <v>Overtime Bonus Gratuities</v>
      </c>
      <c r="M3" s="428" t="str">
        <f>Jun!M3:M6</f>
        <v>GROSS WAGES</v>
      </c>
      <c r="N3" s="365" t="str">
        <f>Jun!N3:N6</f>
        <v>Income Tax</v>
      </c>
      <c r="O3" s="365" t="str">
        <f>Jun!O3:O6</f>
        <v>Employees National Insurance</v>
      </c>
      <c r="P3" s="365" t="str">
        <f>Jun!P3:P6</f>
        <v>Student Loans</v>
      </c>
      <c r="Q3" s="365" t="str">
        <f>Jun!Q3:Q6</f>
        <v>Other Deductions</v>
      </c>
      <c r="R3" s="428" t="str">
        <f>Jun!R3:R6</f>
        <v>NET      PAY</v>
      </c>
      <c r="S3" s="42"/>
      <c r="T3" s="365" t="str">
        <f>Jun!T3:T6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9</v>
      </c>
      <c r="F9" s="35"/>
      <c r="G9" s="35"/>
      <c r="H9" s="360" t="s">
        <v>28</v>
      </c>
      <c r="I9" s="361"/>
      <c r="J9" s="359"/>
      <c r="K9" s="204">
        <f>Jul!M39+1</f>
        <v>45803</v>
      </c>
      <c r="L9" s="203" t="s">
        <v>76</v>
      </c>
      <c r="M9" s="205">
        <f>K9+6</f>
        <v>45809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IF(T$9="Y",Jul!H41,0)</f>
        <v>0</v>
      </c>
      <c r="I11" s="89">
        <f>IF(T$9="Y",Jul!I41,0)</f>
        <v>0</v>
      </c>
      <c r="J11" s="89">
        <f>IF(T$9="Y",Jul!J41,0)</f>
        <v>0</v>
      </c>
      <c r="K11" s="89">
        <f>IF(T$9="Y",Jul!K41,I11*J11)</f>
        <v>0</v>
      </c>
      <c r="L11" s="110">
        <f>IF(T$9="Y",Jul!L41,0)</f>
        <v>0</v>
      </c>
      <c r="M11" s="110" t="str">
        <f>IF(E11=" "," ",IF(T$9="Y",Jul!M41,IF((H11+K11+L11)&gt;0,H11+K11+L11,"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IF(Employee!H$34=E$9,Employee!D$34+SUM(M11)+Jul!V41,SUM(M11)+Jul!V41)</f>
        <v>0</v>
      </c>
      <c r="W11" s="49">
        <f>IF(Employee!H$34=E$9,Employee!D$35+SUM(N11)+Jul!W41,SUM(N11)+Jul!W41)</f>
        <v>0</v>
      </c>
      <c r="X11" s="49">
        <f>IF(O11=" ",Jul!X41,O11+Jul!X41)</f>
        <v>0</v>
      </c>
      <c r="Y11" s="49">
        <f>IF(P11=" ",Jul!Y41,P11+Jul!Y41)</f>
        <v>0</v>
      </c>
      <c r="Z11" s="49">
        <f>IF(Q11=" ",Jul!Z41,Q11+Jul!Z41)</f>
        <v>0</v>
      </c>
      <c r="AA11" s="49">
        <f>IF(R11=" ",Jul!AA41,R11+Jul!AA41)</f>
        <v>0</v>
      </c>
      <c r="AC11" s="49">
        <f>IF(T11=" ",Jul!AC41,T11+Jul!AC41)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IF(T$9="Y",Jul!H42,0)</f>
        <v>0</v>
      </c>
      <c r="I12" s="92">
        <f>IF(T$9="Y",Jul!I42,0)</f>
        <v>0</v>
      </c>
      <c r="J12" s="92">
        <f>IF(T$9="Y",Jul!J42,0)</f>
        <v>0</v>
      </c>
      <c r="K12" s="92">
        <f>IF(T$9="Y",Jul!K42,I12*J12)</f>
        <v>0</v>
      </c>
      <c r="L12" s="111">
        <f>IF(T$9="Y",Jul!L42,0)</f>
        <v>0</v>
      </c>
      <c r="M12" s="111" t="str">
        <f>IF(E12=" "," ",IF(T$9="Y",Jul!M42,IF((H12+K12+L12)&gt;0,H12+K12+L12,"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IF(Employee!H$60=E$9,Employee!D$60+SUM(M12)+Jul!V42,SUM(M12)+Jul!V42)</f>
        <v>0</v>
      </c>
      <c r="W12" s="49">
        <f>IF(Employee!H$60=E$9,Employee!D$61+SUM(N12)+Jul!W42,SUM(N12)+Jul!W42)</f>
        <v>0</v>
      </c>
      <c r="X12" s="49">
        <f>IF(O12=" ",Jul!X42,O12+Jul!X42)</f>
        <v>0</v>
      </c>
      <c r="Y12" s="49">
        <f>IF(P12=" ",Jul!Y42,P12+Jul!Y42)</f>
        <v>0</v>
      </c>
      <c r="Z12" s="49">
        <f>IF(Q12=" ",Jul!Z42,Q12+Jul!Z42)</f>
        <v>0</v>
      </c>
      <c r="AA12" s="49">
        <f>IF(R12=" ",Jul!AA42,R12+Jul!AA42)</f>
        <v>0</v>
      </c>
      <c r="AC12" s="49">
        <f>IF(T12=" ",Jul!AC42,T12+Jul!AC42)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IF(T$9="Y",Jul!H43,0)</f>
        <v>0</v>
      </c>
      <c r="I13" s="92">
        <f>IF(T$9="Y",Jul!I43,0)</f>
        <v>0</v>
      </c>
      <c r="J13" s="92">
        <f>IF(T$9="Y",Jul!J43,0)</f>
        <v>0</v>
      </c>
      <c r="K13" s="92">
        <f>IF(T$9="Y",Jul!K43,I13*J13)</f>
        <v>0</v>
      </c>
      <c r="L13" s="111">
        <f>IF(T$9="Y",Jul!L43,0)</f>
        <v>0</v>
      </c>
      <c r="M13" s="111" t="str">
        <f>IF(E13=" "," ",IF(T$9="Y",Jul!M43,IF((H13+K13+L13)&gt;0,H13+K13+L13,"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IF(Employee!H$86=E$9,Employee!D$86+SUM(M13)+Jul!V43,SUM(M13)+Jul!V43)</f>
        <v>0</v>
      </c>
      <c r="W13" s="49">
        <f>IF(Employee!H$86=E$9,Employee!D$87+SUM(N13)+Jul!W43,SUM(N13)+Jul!W43)</f>
        <v>0</v>
      </c>
      <c r="X13" s="49">
        <f>IF(O13=" ",Jul!X43,O13+Jul!X43)</f>
        <v>0</v>
      </c>
      <c r="Y13" s="49">
        <f>IF(P13=" ",Jul!Y43,P13+Jul!Y43)</f>
        <v>0</v>
      </c>
      <c r="Z13" s="49">
        <f>IF(Q13=" ",Jul!Z43,Q13+Jul!Z43)</f>
        <v>0</v>
      </c>
      <c r="AA13" s="49">
        <f>IF(R13=" ",Jul!AA43,R13+Jul!AA43)</f>
        <v>0</v>
      </c>
      <c r="AC13" s="49">
        <f>IF(T13=" ",Jul!AC43,T13+Jul!AC43)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IF(T$9="Y",Jul!H44,0)</f>
        <v>0</v>
      </c>
      <c r="I14" s="92">
        <f>IF(T$9="Y",Jul!I44,0)</f>
        <v>0</v>
      </c>
      <c r="J14" s="92">
        <f>IF(T$9="Y",Jul!J44,0)</f>
        <v>0</v>
      </c>
      <c r="K14" s="92">
        <f>IF(T$9="Y",Jul!K44,I14*J14)</f>
        <v>0</v>
      </c>
      <c r="L14" s="111">
        <f>IF(T$9="Y",Jul!L44,0)</f>
        <v>0</v>
      </c>
      <c r="M14" s="111" t="str">
        <f>IF(E14=" "," ",IF(T$9="Y",Jul!M44,IF((H14+K14+L14)&gt;0,H14+K14+L14,"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IF(Employee!H$112=E$9,Employee!D$112+SUM(M14)+Jul!V44,SUM(M14)+Jul!V44)</f>
        <v>0</v>
      </c>
      <c r="W14" s="49">
        <f>IF(Employee!H$112=E$9,Employee!D$113+SUM(N14)+Jul!W44,SUM(N14)+Jul!W44)</f>
        <v>0</v>
      </c>
      <c r="X14" s="49">
        <f>IF(O14=" ",Jul!X44,O14+Jul!X44)</f>
        <v>0</v>
      </c>
      <c r="Y14" s="49">
        <f>IF(P14=" ",Jul!Y44,P14+Jul!Y44)</f>
        <v>0</v>
      </c>
      <c r="Z14" s="49">
        <f>IF(Q14=" ",Jul!Z44,Q14+Jul!Z44)</f>
        <v>0</v>
      </c>
      <c r="AA14" s="49">
        <f>IF(R14=" ",Jul!AA44,R14+Jul!AA44)</f>
        <v>0</v>
      </c>
      <c r="AC14" s="49">
        <f>IF(T14=" ",Jul!AC44,T14+Jul!AC44)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IF(T$9="Y",Jul!H45,0)</f>
        <v>0</v>
      </c>
      <c r="I15" s="245">
        <f>IF(T$9="Y",Jul!I45,0)</f>
        <v>0</v>
      </c>
      <c r="J15" s="245">
        <f>IF(T$9="Y",Jul!J45,0)</f>
        <v>0</v>
      </c>
      <c r="K15" s="245">
        <f>IF(T$9="Y",Jul!K45,I15*J15)</f>
        <v>0</v>
      </c>
      <c r="L15" s="246">
        <f>IF(T$9="Y",Jul!L45,0)</f>
        <v>0</v>
      </c>
      <c r="M15" s="111" t="str">
        <f>IF(E15=" "," ",IF(T$9="Y",Jul!M45,IF((H15+K15+L15)&gt;0,H15+K15+L15,"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IF(Employee!H$138=E$9,Employee!D$138+SUM(M15)+Jul!V45,SUM(M15)+Jul!V45)</f>
        <v>0</v>
      </c>
      <c r="W15" s="49">
        <f>IF(Employee!H$138=E$9,Employee!D$139+SUM(N15)+Jul!W45,SUM(N15)+Jul!W45)</f>
        <v>0</v>
      </c>
      <c r="X15" s="49">
        <f>IF(O15=" ",Jul!X45,O15+Jul!X45)</f>
        <v>0</v>
      </c>
      <c r="Y15" s="49">
        <f>IF(P15=" ",Jul!Y45,P15+Jul!Y45)</f>
        <v>0</v>
      </c>
      <c r="Z15" s="49">
        <f>IF(Q15=" ",Jul!Z45,Q15+Jul!Z45)</f>
        <v>0</v>
      </c>
      <c r="AA15" s="49">
        <f>IF(R15=" ",Jul!AA45,R15+Jul!AA45)</f>
        <v>0</v>
      </c>
      <c r="AC15" s="49">
        <f>IF(T15=" ",Jul!AC45,T15+Jul!AC45)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10</v>
      </c>
      <c r="F19" s="35"/>
      <c r="G19" s="35"/>
      <c r="H19" s="360" t="s">
        <v>28</v>
      </c>
      <c r="I19" s="361"/>
      <c r="J19" s="359"/>
      <c r="K19" s="204">
        <f>M9+1</f>
        <v>45810</v>
      </c>
      <c r="L19" s="203" t="s">
        <v>76</v>
      </c>
      <c r="M19" s="205">
        <f>K19+6</f>
        <v>45816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11</v>
      </c>
      <c r="F29" s="35"/>
      <c r="G29" s="35"/>
      <c r="H29" s="360" t="s">
        <v>28</v>
      </c>
      <c r="I29" s="361"/>
      <c r="J29" s="359"/>
      <c r="K29" s="204">
        <f>M19+1</f>
        <v>45817</v>
      </c>
      <c r="L29" s="203" t="s">
        <v>76</v>
      </c>
      <c r="M29" s="205">
        <f>K29+6</f>
        <v>45823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12</v>
      </c>
      <c r="F39" s="35"/>
      <c r="G39" s="35"/>
      <c r="H39" s="360" t="s">
        <v>28</v>
      </c>
      <c r="I39" s="439"/>
      <c r="J39" s="440"/>
      <c r="K39" s="204">
        <f>M29+1</f>
        <v>45824</v>
      </c>
      <c r="L39" s="203" t="s">
        <v>76</v>
      </c>
      <c r="M39" s="205">
        <f>K39+6</f>
        <v>45830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60" t="s">
        <v>9</v>
      </c>
      <c r="C49" s="439"/>
      <c r="D49" s="440"/>
      <c r="E49" s="156">
        <v>13</v>
      </c>
      <c r="F49" s="35"/>
      <c r="G49" s="35"/>
      <c r="H49" s="360" t="s">
        <v>28</v>
      </c>
      <c r="I49" s="439"/>
      <c r="J49" s="440"/>
      <c r="K49" s="204">
        <f>M39+1</f>
        <v>45831</v>
      </c>
      <c r="L49" s="203" t="s">
        <v>76</v>
      </c>
      <c r="M49" s="205">
        <f>K49+6</f>
        <v>45837</v>
      </c>
      <c r="N49" s="20"/>
      <c r="O49" s="401" t="s">
        <v>63</v>
      </c>
      <c r="P49" s="441"/>
      <c r="Q49" s="441"/>
      <c r="R49" s="442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3</v>
      </c>
      <c r="F59" s="35"/>
      <c r="G59" s="35"/>
      <c r="H59" s="360" t="s">
        <v>28</v>
      </c>
      <c r="I59" s="361"/>
      <c r="J59" s="359"/>
      <c r="K59" s="204">
        <f>Admin!B58</f>
        <v>45809</v>
      </c>
      <c r="L59" s="203" t="s">
        <v>76</v>
      </c>
      <c r="M59" s="205">
        <f>Admin!B87</f>
        <v>45838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IF(T$59="Y",Jul!H51,0)</f>
        <v>0</v>
      </c>
      <c r="I61" s="89">
        <f>IF(T$59="Y",Jul!I51,0)</f>
        <v>0</v>
      </c>
      <c r="J61" s="89">
        <f>IF(T$59="Y",Jul!J51,0)</f>
        <v>0</v>
      </c>
      <c r="K61" s="89">
        <f>IF(T$59="Y",Jul!K51,I61*J61)</f>
        <v>0</v>
      </c>
      <c r="L61" s="110">
        <f>IF(T$59="Y",Jul!L51,0)</f>
        <v>0</v>
      </c>
      <c r="M61" s="99" t="str">
        <f>IF(E61=" "," ",IF(T$59="Y",Jul!M51,IF((H61+K61+L61)&gt;0,H61+K61+L61,"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IF(Employee!H$35=E$59,Employee!D$34+SUM(M61)+Jul!V51,SUM(M61)+Jul!V51)</f>
        <v>0</v>
      </c>
      <c r="W61" s="49">
        <f>IF(Employee!H$35=E$59,Employee!D$35+SUM(N61)+Jul!W51,SUM(N61)+Jul!W51)</f>
        <v>0</v>
      </c>
      <c r="X61" s="49">
        <f>IF(O61=" ",Jul!X51,O61+Jul!X51)</f>
        <v>0</v>
      </c>
      <c r="Y61" s="49">
        <f>IF(P61=" ",Jul!Y51,P61+Jul!Y51)</f>
        <v>0</v>
      </c>
      <c r="Z61" s="49">
        <f>IF(Q61=" ",Jul!Z51,Q61+Jul!Z51)</f>
        <v>0</v>
      </c>
      <c r="AA61" s="49">
        <f>IF(R61=" ",Jul!AA51,R61+Jul!AA51)</f>
        <v>0</v>
      </c>
      <c r="AC61" s="49">
        <f>IF(T61=" ",Jul!AC51,T61+Jul!AC51)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IF(T$59="Y",Jul!H52,0)</f>
        <v>0</v>
      </c>
      <c r="I62" s="92">
        <f>IF(T$59="Y",Jul!I52,0)</f>
        <v>0</v>
      </c>
      <c r="J62" s="92">
        <f>IF(T$59="Y",Jul!J52,0)</f>
        <v>0</v>
      </c>
      <c r="K62" s="92">
        <f>IF(T$59="Y",Jul!K52,I62*J62)</f>
        <v>0</v>
      </c>
      <c r="L62" s="111">
        <f>IF(T$59="Y",Jul!L52,0)</f>
        <v>0</v>
      </c>
      <c r="M62" s="100" t="str">
        <f>IF(E62=" "," ",IF(T$59="Y",Jul!M52,IF((H62+K62+L62)&gt;0,H62+K62+L62,"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IF(Employee!H$61=E$59,Employee!D$60+SUM(M62)+Jul!V52,SUM(M62)+Jul!V52)</f>
        <v>0</v>
      </c>
      <c r="W62" s="49">
        <f>IF(Employee!H$61=E$59,Employee!D$61+SUM(N62)+Jul!W52,SUM(N62)+Jul!W52)</f>
        <v>0</v>
      </c>
      <c r="X62" s="49">
        <f>IF(O62=" ",Jul!X52,O62+Jul!X52)</f>
        <v>0</v>
      </c>
      <c r="Y62" s="49">
        <f>IF(P62=" ",Jul!Y52,P62+Jul!Y52)</f>
        <v>0</v>
      </c>
      <c r="Z62" s="49">
        <f>IF(Q62=" ",Jul!Z52,Q62+Jul!Z52)</f>
        <v>0</v>
      </c>
      <c r="AA62" s="49">
        <f>IF(R62=" ",Jul!AA52,R62+Jul!AA52)</f>
        <v>0</v>
      </c>
      <c r="AC62" s="49">
        <f>IF(T62=" ",Jul!AC52,T62+Jul!AC52)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IF(T$59="Y",Jul!H53,0)</f>
        <v>0</v>
      </c>
      <c r="I63" s="92">
        <f>IF(T$59="Y",Jul!I53,0)</f>
        <v>0</v>
      </c>
      <c r="J63" s="92">
        <f>IF(T$59="Y",Jul!J53,0)</f>
        <v>0</v>
      </c>
      <c r="K63" s="92">
        <f>IF(T$59="Y",Jul!K53,I63*J63)</f>
        <v>0</v>
      </c>
      <c r="L63" s="111">
        <f>IF(T$59="Y",Jul!L53,0)</f>
        <v>0</v>
      </c>
      <c r="M63" s="100" t="str">
        <f>IF(E63=" "," ",IF(T$59="Y",Jul!M53,IF((H63+K63+L63)&gt;0,H63+K63+L63,"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IF(Employee!H$87=E$59,Employee!D$86+SUM(M63)+Jul!V53,SUM(M63)+Jul!V53)</f>
        <v>0</v>
      </c>
      <c r="W63" s="49">
        <f>IF(Employee!H$87=E$59,Employee!D$87+SUM(N63)+Jul!W53,SUM(N63)+Jul!W53)</f>
        <v>0</v>
      </c>
      <c r="X63" s="49">
        <f>IF(O63=" ",Jul!X53,O63+Jul!X53)</f>
        <v>0</v>
      </c>
      <c r="Y63" s="49">
        <f>IF(P63=" ",Jul!Y53,P63+Jul!Y53)</f>
        <v>0</v>
      </c>
      <c r="Z63" s="49">
        <f>IF(Q63=" ",Jul!Z53,Q63+Jul!Z53)</f>
        <v>0</v>
      </c>
      <c r="AA63" s="49">
        <f>IF(R63=" ",Jul!AA53,R63+Jul!AA53)</f>
        <v>0</v>
      </c>
      <c r="AC63" s="49">
        <f>IF(T63=" ",Jul!AC53,T63+Jul!AC53)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IF(T$59="Y",Jul!H54,0)</f>
        <v>0</v>
      </c>
      <c r="I64" s="92">
        <f>IF(T$59="Y",Jul!I54,0)</f>
        <v>0</v>
      </c>
      <c r="J64" s="92">
        <f>IF(T$59="Y",Jul!J54,0)</f>
        <v>0</v>
      </c>
      <c r="K64" s="92">
        <f>IF(T$59="Y",Jul!K54,I64*J64)</f>
        <v>0</v>
      </c>
      <c r="L64" s="111">
        <f>IF(T$59="Y",Jul!L54,0)</f>
        <v>0</v>
      </c>
      <c r="M64" s="100" t="str">
        <f>IF(E64=" "," ",IF(T$59="Y",Jul!M54,IF((H64+K64+L64)&gt;0,H64+K64+L64,"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IF(Employee!H$113=E$59,Employee!D$112+SUM(M64)+Jul!V54,SUM(M64)+Jul!V54)</f>
        <v>0</v>
      </c>
      <c r="W64" s="49">
        <f>IF(Employee!H$113=E$59,Employee!D$113+SUM(N64)+Jul!W54,SUM(N64)+Jul!W54)</f>
        <v>0</v>
      </c>
      <c r="X64" s="49">
        <f>IF(O64=" ",Jul!X54,O64+Jul!X54)</f>
        <v>0</v>
      </c>
      <c r="Y64" s="49">
        <f>IF(P64=" ",Jul!Y54,P64+Jul!Y54)</f>
        <v>0</v>
      </c>
      <c r="Z64" s="49">
        <f>IF(Q64=" ",Jul!Z54,Q64+Jul!Z54)</f>
        <v>0</v>
      </c>
      <c r="AA64" s="49">
        <f>IF(R64=" ",Jul!AA54,R64+Jul!AA54)</f>
        <v>0</v>
      </c>
      <c r="AC64" s="49">
        <f>IF(T64=" ",Jul!AC54,T64+Jul!AC54)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IF(T$59="Y",Jul!H55,0)</f>
        <v>0</v>
      </c>
      <c r="I65" s="245">
        <f>IF(T$59="Y",Jul!I55,0)</f>
        <v>0</v>
      </c>
      <c r="J65" s="245">
        <f>IF(T$59="Y",Jul!J55,0)</f>
        <v>0</v>
      </c>
      <c r="K65" s="245">
        <f>IF(T$59="Y",Jul!K55,I65*J65)</f>
        <v>0</v>
      </c>
      <c r="L65" s="246">
        <f>IF(T$59="Y",Jul!L55,0)</f>
        <v>0</v>
      </c>
      <c r="M65" s="100" t="str">
        <f>IF(E65=" "," ",IF(T$59="Y",Jul!M55,IF((H65+K65+L65)&gt;0,H65+K65+L65,"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IF(Employee!H$139=E$59,Employee!D$138+SUM(M65)+Jul!V55,SUM(M65)+Jul!V55)</f>
        <v>0</v>
      </c>
      <c r="W65" s="49">
        <f>IF(Employee!H$139=E$59,Employee!D$139+SUM(N65)+Jul!W55,SUM(N65)+Jul!W55)</f>
        <v>0</v>
      </c>
      <c r="X65" s="49">
        <f>IF(O65=" ",Jul!X55,O65+Jul!X55)</f>
        <v>0</v>
      </c>
      <c r="Y65" s="49">
        <f>IF(P65=" ",Jul!Y55,P65+Jul!Y55)</f>
        <v>0</v>
      </c>
      <c r="Z65" s="49">
        <f>IF(Q65=" ",Jul!Z55,Q65+Jul!Z55)</f>
        <v>0</v>
      </c>
      <c r="AA65" s="49">
        <f>IF(R65=" ",Jul!AA55,R65+Jul!AA55)</f>
        <v>0</v>
      </c>
      <c r="AC65" s="49">
        <f>IF(T65=" ",Jul!AC55,T65+Jul!AC55)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AD70+Jul!AD65</f>
        <v>0</v>
      </c>
      <c r="AE75" s="158">
        <f>AE70+Jul!AE65</f>
        <v>0</v>
      </c>
      <c r="AF75" s="158">
        <f>AF70+Jul!AF65</f>
        <v>0</v>
      </c>
      <c r="AG75" s="158">
        <f>AG70+Jul!AG65</f>
        <v>0</v>
      </c>
    </row>
    <row r="76" spans="1:34" ht="14" thickTop="1" x14ac:dyDescent="0.15"/>
    <row r="77" spans="1:34" x14ac:dyDescent="0.15">
      <c r="AD77" s="162"/>
      <c r="AE77" s="158">
        <f>AE72+Jul!AE67</f>
        <v>0</v>
      </c>
      <c r="AF77" s="158">
        <f>AF72+Jul!AF67</f>
        <v>0</v>
      </c>
      <c r="AG77" s="158">
        <f>AG72+Jul!AG67</f>
        <v>0</v>
      </c>
    </row>
  </sheetData>
  <mergeCells count="86">
    <mergeCell ref="R48:T48"/>
    <mergeCell ref="B49:D49"/>
    <mergeCell ref="H49:J49"/>
    <mergeCell ref="O49:R49"/>
    <mergeCell ref="B47:T47"/>
    <mergeCell ref="B48:E48"/>
    <mergeCell ref="O48:Q48"/>
    <mergeCell ref="F56:G56"/>
    <mergeCell ref="B28:E28"/>
    <mergeCell ref="B29:D29"/>
    <mergeCell ref="H29:J29"/>
    <mergeCell ref="F46:G46"/>
    <mergeCell ref="R38:T38"/>
    <mergeCell ref="F36:G36"/>
    <mergeCell ref="B37:T37"/>
    <mergeCell ref="B38:E38"/>
    <mergeCell ref="B39:D39"/>
    <mergeCell ref="H39:J39"/>
    <mergeCell ref="O39:R39"/>
    <mergeCell ref="O38:Q38"/>
    <mergeCell ref="X3:X6"/>
    <mergeCell ref="G1:H1"/>
    <mergeCell ref="L3:L6"/>
    <mergeCell ref="M3:M6"/>
    <mergeCell ref="R3:R6"/>
    <mergeCell ref="H3:H6"/>
    <mergeCell ref="B7:T7"/>
    <mergeCell ref="B8:E8"/>
    <mergeCell ref="O8:Q8"/>
    <mergeCell ref="T3:T6"/>
    <mergeCell ref="V3:V6"/>
    <mergeCell ref="U1:U6"/>
    <mergeCell ref="R8:T8"/>
    <mergeCell ref="AD1:AG2"/>
    <mergeCell ref="AD3:AD6"/>
    <mergeCell ref="AE3:AE6"/>
    <mergeCell ref="AF3:AF6"/>
    <mergeCell ref="AG3:AG6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A1:A6"/>
    <mergeCell ref="B3:B6"/>
    <mergeCell ref="C3:C6"/>
    <mergeCell ref="D3:D6"/>
    <mergeCell ref="E3:E6"/>
    <mergeCell ref="B1:F2"/>
    <mergeCell ref="F3:F6"/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Jun!H3:H6</f>
        <v>Statutory Pay</v>
      </c>
      <c r="I3" s="365" t="str">
        <f>Jun!I3:I6</f>
        <v>Basic hours</v>
      </c>
      <c r="J3" s="365" t="str">
        <f>Jun!J3:J6</f>
        <v>Hourly rate</v>
      </c>
      <c r="K3" s="365" t="str">
        <f>Jun!K3:K6</f>
        <v>Basic    wages</v>
      </c>
      <c r="L3" s="365" t="str">
        <f>Jun!L3:L6</f>
        <v>Overtime Bonus Gratuities</v>
      </c>
      <c r="M3" s="428" t="str">
        <f>Jun!M3:M6</f>
        <v>GROSS WAGES</v>
      </c>
      <c r="N3" s="365" t="str">
        <f>Jun!N3:N6</f>
        <v>Income Tax</v>
      </c>
      <c r="O3" s="365" t="str">
        <f>Jun!O3:O6</f>
        <v>Employees National Insurance</v>
      </c>
      <c r="P3" s="365" t="str">
        <f>Jun!P3:P6</f>
        <v>Student Loans</v>
      </c>
      <c r="Q3" s="365" t="str">
        <f>Jun!Q3:Q6</f>
        <v>Other Deductions</v>
      </c>
      <c r="R3" s="428" t="str">
        <f>Jun!R3:R6</f>
        <v>NET      PAY</v>
      </c>
      <c r="S3" s="42"/>
      <c r="T3" s="365" t="str">
        <f>Jun!T3:T6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14</v>
      </c>
      <c r="F9" s="35"/>
      <c r="G9" s="35"/>
      <c r="H9" s="360" t="s">
        <v>28</v>
      </c>
      <c r="I9" s="439"/>
      <c r="J9" s="440"/>
      <c r="K9" s="204">
        <f>Admin!B91</f>
        <v>45842</v>
      </c>
      <c r="L9" s="203" t="s">
        <v>76</v>
      </c>
      <c r="M9" s="205">
        <f>K9+6</f>
        <v>45848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",IF(Employee!F$24&gt;#REF!," ",IF(Employee!F$26&lt;#REF!," ",Employee!D$15)))</f>
        <v xml:space="preserve"> </v>
      </c>
      <c r="G11" s="130"/>
      <c r="H11" s="95">
        <f>IF(T$9="Y",Aug!H41,0)</f>
        <v>0</v>
      </c>
      <c r="I11" s="89">
        <f>IF(T$9="Y",Aug!I41,0)</f>
        <v>0</v>
      </c>
      <c r="J11" s="89">
        <f>IF(T$9="Y",Aug!J41,0)</f>
        <v>0</v>
      </c>
      <c r="K11" s="89">
        <f>IF(T$9="Y",Aug!K41,I11*J11)</f>
        <v>0</v>
      </c>
      <c r="L11" s="89">
        <f>IF(T$9="Y",Aug!L41,0)</f>
        <v>0</v>
      </c>
      <c r="M11" s="99" t="str">
        <f>IF(E11=" "," ",IF(T$9="Y",Aug!M41,IF((H11+K11+L11)&gt;0,H11+K11+L11,"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IF(Employee!H$34=E$9,Employee!D$34+SUM(M11)+Aug!V51,SUM(M11)+Aug!V51)</f>
        <v>0</v>
      </c>
      <c r="W11" s="49">
        <f>IF(Employee!H$34=E$9,Employee!D$35+SUM(N11)+Aug!W51,SUM(N11)+Aug!W51)</f>
        <v>0</v>
      </c>
      <c r="X11" s="49">
        <f>IF(O11=" ",Aug!X51,O11+Aug!X51)</f>
        <v>0</v>
      </c>
      <c r="Y11" s="49">
        <f>IF(P11=" ",Aug!Y51,P11+Aug!Y51)</f>
        <v>0</v>
      </c>
      <c r="Z11" s="49">
        <f>IF(Q11=" ",Aug!Z51,Q11+Aug!Z51)</f>
        <v>0</v>
      </c>
      <c r="AA11" s="49">
        <f>IF(R11=" ",Aug!AA51,R11+Aug!AA51)</f>
        <v>0</v>
      </c>
      <c r="AC11" s="49">
        <f>IF(T11=" ",Aug!AC51,T11+Aug!AC51)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",IF(Employee!F$50&gt;#REF!," ",IF(Employee!F$52&lt;#REF!," ",Employee!D$41)))</f>
        <v xml:space="preserve"> </v>
      </c>
      <c r="G12" s="130"/>
      <c r="H12" s="96">
        <f>IF(T$9="Y",Aug!H42,0)</f>
        <v>0</v>
      </c>
      <c r="I12" s="92">
        <f>IF(T$9="Y",Aug!I42,0)</f>
        <v>0</v>
      </c>
      <c r="J12" s="92">
        <f>IF(T$9="Y",Aug!J42,0)</f>
        <v>0</v>
      </c>
      <c r="K12" s="92">
        <f>IF(T$9="Y",Aug!K42,I12*J12)</f>
        <v>0</v>
      </c>
      <c r="L12" s="92">
        <f>IF(T$9="Y",Aug!L42,0)</f>
        <v>0</v>
      </c>
      <c r="M12" s="100" t="str">
        <f>IF(E12=" "," ",IF(T$9="Y",Aug!M42,IF((H12+K12+L12)&gt;0,H12+K12+L12,"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IF(Employee!H$60=E$9,Employee!D$60+SUM(M12)+Aug!V52,SUM(M12)+Aug!V52)</f>
        <v>0</v>
      </c>
      <c r="W12" s="49">
        <f>IF(Employee!H$60=E$9,Employee!D$61+SUM(N12)+Aug!W52,SUM(N12)+Aug!W52)</f>
        <v>0</v>
      </c>
      <c r="X12" s="49">
        <f>IF(O12=" ",Aug!X52,O12+Aug!X52)</f>
        <v>0</v>
      </c>
      <c r="Y12" s="49">
        <f>IF(P12=" ",Aug!Y52,P12+Aug!Y52)</f>
        <v>0</v>
      </c>
      <c r="Z12" s="49">
        <f>IF(Q12=" ",Aug!Z52,Q12+Aug!Z52)</f>
        <v>0</v>
      </c>
      <c r="AA12" s="49">
        <f>IF(R12=" ",Aug!AA52,R12+Aug!AA52)</f>
        <v>0</v>
      </c>
      <c r="AC12" s="49">
        <f>IF(T12=" ",Aug!AC52,T12+Aug!AC52)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",IF(Employee!F$76&gt;#REF!," ",IF(Employee!F$78&lt;#REF!," ",Employee!D$67)))</f>
        <v xml:space="preserve"> </v>
      </c>
      <c r="G13" s="130"/>
      <c r="H13" s="96">
        <f>IF(T$9="Y",Aug!H43,0)</f>
        <v>0</v>
      </c>
      <c r="I13" s="92">
        <f>IF(T$9="Y",Aug!I43,0)</f>
        <v>0</v>
      </c>
      <c r="J13" s="92">
        <f>IF(T$9="Y",Aug!J43,0)</f>
        <v>0</v>
      </c>
      <c r="K13" s="92">
        <f>IF(T$9="Y",Aug!K43,I13*J13)</f>
        <v>0</v>
      </c>
      <c r="L13" s="92">
        <f>IF(T$9="Y",Aug!L43,0)</f>
        <v>0</v>
      </c>
      <c r="M13" s="100" t="str">
        <f>IF(E13=" "," ",IF(T$9="Y",Aug!M43,IF((H13+K13+L13)&gt;0,H13+K13+L13,"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IF(Employee!H$86=E$9,Employee!D$86+SUM(M13)+Aug!V53,SUM(M13)+Aug!V53)</f>
        <v>0</v>
      </c>
      <c r="W13" s="49">
        <f>IF(Employee!H$86=E$9,Employee!D$87+SUM(N13)+Aug!W53,SUM(N13)+Aug!W53)</f>
        <v>0</v>
      </c>
      <c r="X13" s="49">
        <f>IF(O13=" ",Aug!X53,O13+Aug!X53)</f>
        <v>0</v>
      </c>
      <c r="Y13" s="49">
        <f>IF(P13=" ",Aug!Y53,P13+Aug!Y53)</f>
        <v>0</v>
      </c>
      <c r="Z13" s="49">
        <f>IF(Q13=" ",Aug!Z53,Q13+Aug!Z53)</f>
        <v>0</v>
      </c>
      <c r="AA13" s="49">
        <f>IF(R13=" ",Aug!AA53,R13+Aug!AA53)</f>
        <v>0</v>
      </c>
      <c r="AC13" s="49">
        <f>IF(T13=" ",Aug!AC53,T13+Aug!AC53)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",IF(Employee!F$102&gt;#REF!," ",IF(Employee!F$104&lt;#REF!," ",Employee!D$93)))</f>
        <v xml:space="preserve"> </v>
      </c>
      <c r="G14" s="130"/>
      <c r="H14" s="96">
        <f>IF(T$9="Y",Aug!H44,0)</f>
        <v>0</v>
      </c>
      <c r="I14" s="92">
        <f>IF(T$9="Y",Aug!I44,0)</f>
        <v>0</v>
      </c>
      <c r="J14" s="92">
        <f>IF(T$9="Y",Aug!J44,0)</f>
        <v>0</v>
      </c>
      <c r="K14" s="92">
        <f>IF(T$9="Y",Aug!K44,I14*J14)</f>
        <v>0</v>
      </c>
      <c r="L14" s="92">
        <f>IF(T$9="Y",Aug!L44,0)</f>
        <v>0</v>
      </c>
      <c r="M14" s="100" t="str">
        <f>IF(E14=" "," ",IF(T$9="Y",Aug!M44,IF((H14+K14+L14)&gt;0,H14+K14+L14,"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IF(Employee!H$112=E$9,Employee!D$112+SUM(M14)+Aug!V54,SUM(M14)+Aug!V54)</f>
        <v>0</v>
      </c>
      <c r="W14" s="49">
        <f>IF(Employee!H$112=E$9,Employee!D$113+SUM(N14)+Aug!W54,SUM(N14)+Aug!W54)</f>
        <v>0</v>
      </c>
      <c r="X14" s="49">
        <f>IF(O14=" ",Aug!X54,O14+Aug!X54)</f>
        <v>0</v>
      </c>
      <c r="Y14" s="49">
        <f>IF(P14=" ",Aug!Y54,P14+Aug!Y54)</f>
        <v>0</v>
      </c>
      <c r="Z14" s="49">
        <f>IF(Q14=" ",Aug!Z54,Q14+Aug!Z54)</f>
        <v>0</v>
      </c>
      <c r="AA14" s="49">
        <f>IF(R14=" ",Aug!AA54,R14+Aug!AA54)</f>
        <v>0</v>
      </c>
      <c r="AC14" s="49">
        <f>IF(T14=" ",Aug!AC54,T14+Aug!AC54)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",IF(Employee!F$128&gt;#REF!," ",IF(Employee!F$130&lt;#REF!," ",Employee!D$119)))</f>
        <v xml:space="preserve"> </v>
      </c>
      <c r="G15" s="130"/>
      <c r="H15" s="244">
        <f>IF(T$9="Y",Aug!H45,0)</f>
        <v>0</v>
      </c>
      <c r="I15" s="245">
        <f>IF(T$9="Y",Aug!I45,0)</f>
        <v>0</v>
      </c>
      <c r="J15" s="245">
        <f>IF(T$9="Y",Aug!J45,0)</f>
        <v>0</v>
      </c>
      <c r="K15" s="245">
        <f>IF(T$9="Y",Aug!K45,I15*J15)</f>
        <v>0</v>
      </c>
      <c r="L15" s="245">
        <f>IF(T$9="Y",Aug!L45,0)</f>
        <v>0</v>
      </c>
      <c r="M15" s="247" t="str">
        <f>IF(E15=" "," ",IF(T$9="Y",Aug!M45,IF((H15+K15+L15)&gt;0,H15+K15+L15,"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IF(Employee!H$138=E$9,Employee!D$138+SUM(M15)+Aug!V55,SUM(M15)+Aug!V55)</f>
        <v>0</v>
      </c>
      <c r="W15" s="49">
        <f>IF(Employee!H$138=E$9,Employee!D$139+SUM(N15)+Aug!W55,SUM(N15)+Aug!W55)</f>
        <v>0</v>
      </c>
      <c r="X15" s="49">
        <f>IF(O15=" ",Aug!X55,O15+Aug!X55)</f>
        <v>0</v>
      </c>
      <c r="Y15" s="49">
        <f>IF(P15=" ",Aug!Y55,P15+Aug!Y55)</f>
        <v>0</v>
      </c>
      <c r="Z15" s="49">
        <f>IF(Q15=" ",Aug!Z55,Q15+Aug!Z55)</f>
        <v>0</v>
      </c>
      <c r="AA15" s="49">
        <f>IF(R15=" ",Aug!AA55,R15+Aug!AA55)</f>
        <v>0</v>
      </c>
      <c r="AC15" s="49">
        <f>IF(T15=" ",Aug!AC55,T15+Aug!AC55)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15</v>
      </c>
      <c r="F19" s="35"/>
      <c r="G19" s="35"/>
      <c r="H19" s="360" t="s">
        <v>28</v>
      </c>
      <c r="I19" s="361"/>
      <c r="J19" s="359"/>
      <c r="K19" s="204">
        <f>M9+1</f>
        <v>45849</v>
      </c>
      <c r="L19" s="203" t="s">
        <v>76</v>
      </c>
      <c r="M19" s="205">
        <f>K19+6</f>
        <v>45855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16</v>
      </c>
      <c r="F29" s="35"/>
      <c r="G29" s="35"/>
      <c r="H29" s="360" t="s">
        <v>28</v>
      </c>
      <c r="I29" s="361"/>
      <c r="J29" s="359"/>
      <c r="K29" s="204">
        <f>M19+1</f>
        <v>45856</v>
      </c>
      <c r="L29" s="203" t="s">
        <v>76</v>
      </c>
      <c r="M29" s="205">
        <f>K29+6</f>
        <v>45862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17</v>
      </c>
      <c r="F39" s="35"/>
      <c r="G39" s="35"/>
      <c r="H39" s="360" t="s">
        <v>28</v>
      </c>
      <c r="I39" s="361"/>
      <c r="J39" s="359"/>
      <c r="K39" s="204">
        <f>M29+1</f>
        <v>45863</v>
      </c>
      <c r="L39" s="203" t="s">
        <v>76</v>
      </c>
      <c r="M39" s="205">
        <f>K39+6</f>
        <v>45869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1" t="str">
        <f>IF(M41=" "," ",IF(M41=0," ",#REF!))</f>
        <v xml:space="preserve"> 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4</v>
      </c>
      <c r="F49" s="35"/>
      <c r="G49" s="35"/>
      <c r="H49" s="360" t="s">
        <v>28</v>
      </c>
      <c r="I49" s="361"/>
      <c r="J49" s="359"/>
      <c r="K49" s="204">
        <f>Admin!B88</f>
        <v>45839</v>
      </c>
      <c r="L49" s="203" t="s">
        <v>76</v>
      </c>
      <c r="M49" s="205">
        <f>Admin!B118</f>
        <v>45869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IF(T$49="Y",Aug!H61,0)</f>
        <v>0</v>
      </c>
      <c r="I51" s="89">
        <f>IF(T$49="Y",Aug!I61,0)</f>
        <v>0</v>
      </c>
      <c r="J51" s="89">
        <f>IF(T$49="Y",Aug!J61,0)</f>
        <v>0</v>
      </c>
      <c r="K51" s="89">
        <f>IF(T$49="Y",Aug!K61,I51*J51)</f>
        <v>0</v>
      </c>
      <c r="L51" s="110">
        <f>IF(T$49="Y",Aug!L61,0)</f>
        <v>0</v>
      </c>
      <c r="M51" s="99" t="str">
        <f>IF(E51=" "," ",IF(T$49="Y",Aug!M61,IF((H51+K51+L51)&gt;0,H51+K51+L51,"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IF(Employee!H$35=E$49,Employee!D$34+SUM(M51)+Aug!V61,SUM(M51)+Aug!V61)</f>
        <v>0</v>
      </c>
      <c r="W51" s="49">
        <f>IF(Employee!H$35=E$49,Employee!D$35+SUM(N51)+Aug!W61,SUM(N51)+Aug!W61)</f>
        <v>0</v>
      </c>
      <c r="X51" s="49">
        <f>IF(O51=" ",Aug!X61,O51+Aug!X61)</f>
        <v>0</v>
      </c>
      <c r="Y51" s="49">
        <f>IF(P51=" ",Aug!Y61,P51+Aug!Y61)</f>
        <v>0</v>
      </c>
      <c r="Z51" s="49">
        <f>IF(Q51=" ",Aug!Z61,Q51+Aug!Z61)</f>
        <v>0</v>
      </c>
      <c r="AA51" s="49">
        <f>IF(R51=" ",Aug!AA61,R51+Aug!AA61)</f>
        <v>0</v>
      </c>
      <c r="AC51" s="49">
        <f>IF(T51=" ",Aug!AC61,T51+Aug!AC61)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IF(T$49="Y",Aug!H62,0)</f>
        <v>0</v>
      </c>
      <c r="I52" s="92">
        <f>IF(T$49="Y",Aug!I62,0)</f>
        <v>0</v>
      </c>
      <c r="J52" s="92">
        <f>IF(T$49="Y",Aug!J62,0)</f>
        <v>0</v>
      </c>
      <c r="K52" s="92">
        <f>IF(T$49="Y",Aug!K62,I52*J52)</f>
        <v>0</v>
      </c>
      <c r="L52" s="111">
        <f>IF(T$49="Y",Aug!L62,0)</f>
        <v>0</v>
      </c>
      <c r="M52" s="100" t="str">
        <f>IF(E52=" "," ",IF(T$49="Y",Aug!M62,IF((H52+K52+L52)&gt;0,H52+K52+L52,"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IF(Employee!H$61=E$49,Employee!D$60+SUM(M52)+Aug!V62,SUM(M52)+Aug!V62)</f>
        <v>0</v>
      </c>
      <c r="W52" s="49">
        <f>IF(Employee!H$61=E$49,Employee!D$61+SUM(N52)+Aug!W62,SUM(N52)+Aug!W62)</f>
        <v>0</v>
      </c>
      <c r="X52" s="49">
        <f>IF(O52=" ",Aug!X62,O52+Aug!X62)</f>
        <v>0</v>
      </c>
      <c r="Y52" s="49">
        <f>IF(P52=" ",Aug!Y62,P52+Aug!Y62)</f>
        <v>0</v>
      </c>
      <c r="Z52" s="49">
        <f>IF(Q52=" ",Aug!Z62,Q52+Aug!Z62)</f>
        <v>0</v>
      </c>
      <c r="AA52" s="49">
        <f>IF(R52=" ",Aug!AA62,R52+Aug!AA62)</f>
        <v>0</v>
      </c>
      <c r="AC52" s="49">
        <f>IF(T52=" ",Aug!AC62,T52+Aug!AC62)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IF(T$49="Y",Aug!H63,0)</f>
        <v>0</v>
      </c>
      <c r="I53" s="92">
        <f>IF(T$49="Y",Aug!I63,0)</f>
        <v>0</v>
      </c>
      <c r="J53" s="92">
        <f>IF(T$49="Y",Aug!J63,0)</f>
        <v>0</v>
      </c>
      <c r="K53" s="92">
        <f>IF(T$49="Y",Aug!K63,I53*J53)</f>
        <v>0</v>
      </c>
      <c r="L53" s="111">
        <f>IF(T$49="Y",Aug!L63,0)</f>
        <v>0</v>
      </c>
      <c r="M53" s="100" t="str">
        <f>IF(E53=" "," ",IF(T$49="Y",Aug!M63,IF((H53+K53+L53)&gt;0,H53+K53+L53,"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IF(Employee!H$87=E$49,Employee!D$86+SUM(M53)+Aug!V63,SUM(M53)+Aug!V63)</f>
        <v>0</v>
      </c>
      <c r="W53" s="49">
        <f>IF(Employee!H$87=E$49,Employee!D$87+SUM(N53)+Aug!W63,SUM(N53)+Aug!W63)</f>
        <v>0</v>
      </c>
      <c r="X53" s="49">
        <f>IF(O53=" ",Aug!X63,O53+Aug!X63)</f>
        <v>0</v>
      </c>
      <c r="Y53" s="49">
        <f>IF(P53=" ",Aug!Y63,P53+Aug!Y63)</f>
        <v>0</v>
      </c>
      <c r="Z53" s="49">
        <f>IF(Q53=" ",Aug!Z63,Q53+Aug!Z63)</f>
        <v>0</v>
      </c>
      <c r="AA53" s="49">
        <f>IF(R53=" ",Aug!AA63,R53+Aug!AA63)</f>
        <v>0</v>
      </c>
      <c r="AC53" s="49">
        <f>IF(T53=" ",Aug!AC63,T53+Aug!AC63)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IF(T$49="Y",Aug!H64,0)</f>
        <v>0</v>
      </c>
      <c r="I54" s="92">
        <f>IF(T$49="Y",Aug!I64,0)</f>
        <v>0</v>
      </c>
      <c r="J54" s="92">
        <f>IF(T$49="Y",Aug!J64,0)</f>
        <v>0</v>
      </c>
      <c r="K54" s="92">
        <f>IF(T$49="Y",Aug!K64,I54*J54)</f>
        <v>0</v>
      </c>
      <c r="L54" s="111">
        <f>IF(T$49="Y",Aug!L64,0)</f>
        <v>0</v>
      </c>
      <c r="M54" s="100" t="str">
        <f>IF(E54=" "," ",IF(T$49="Y",Aug!M64,IF((H54+K54+L54)&gt;0,H54+K54+L54,"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IF(Employee!H$113=E$49,Employee!D$112+SUM(M54)+Aug!V64,SUM(M54)+Aug!V64)</f>
        <v>0</v>
      </c>
      <c r="W54" s="49">
        <f>IF(Employee!H$113=E$49,Employee!D$113+SUM(N54)+Aug!W64,SUM(N54)+Aug!W64)</f>
        <v>0</v>
      </c>
      <c r="X54" s="49">
        <f>IF(O54=" ",Aug!X64,O54+Aug!X64)</f>
        <v>0</v>
      </c>
      <c r="Y54" s="49">
        <f>IF(P54=" ",Aug!Y64,P54+Aug!Y64)</f>
        <v>0</v>
      </c>
      <c r="Z54" s="49">
        <f>IF(Q54=" ",Aug!Z64,Q54+Aug!Z64)</f>
        <v>0</v>
      </c>
      <c r="AA54" s="49">
        <f>IF(R54=" ",Aug!AA64,R54+Aug!AA64)</f>
        <v>0</v>
      </c>
      <c r="AC54" s="49">
        <f>IF(T54=" ",Aug!AC64,T54+Aug!AC64)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IF(T$49="Y",Aug!H65,0)</f>
        <v>0</v>
      </c>
      <c r="I55" s="245">
        <f>IF(T$49="Y",Aug!I65,0)</f>
        <v>0</v>
      </c>
      <c r="J55" s="245">
        <f>IF(T$49="Y",Aug!J65,0)</f>
        <v>0</v>
      </c>
      <c r="K55" s="245">
        <f>IF(T$49="Y",Aug!K65,I55*J55)</f>
        <v>0</v>
      </c>
      <c r="L55" s="246">
        <f>IF(T$49="Y",Aug!L65,0)</f>
        <v>0</v>
      </c>
      <c r="M55" s="100" t="str">
        <f>IF(E55=" "," ",IF(T$49="Y",Aug!M65,IF((H55+K55+L55)&gt;0,H55+K55+L55,"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IF(Employee!H$139=E$49,Employee!D$138+SUM(M55)+Aug!V65,SUM(M55)+Aug!V65)</f>
        <v>0</v>
      </c>
      <c r="W55" s="49">
        <f>IF(Employee!H$139=E$49,Employee!D$139+SUM(N55)+Aug!W65,SUM(N55)+Aug!W65)</f>
        <v>0</v>
      </c>
      <c r="X55" s="49">
        <f>IF(O55=" ",Aug!X65,O55+Aug!X65)</f>
        <v>0</v>
      </c>
      <c r="Y55" s="49">
        <f>IF(P55=" ",Aug!Y65,P55+Aug!Y65)</f>
        <v>0</v>
      </c>
      <c r="Z55" s="49">
        <f>IF(Q55=" ",Aug!Z65,Q55+Aug!Z65)</f>
        <v>0</v>
      </c>
      <c r="AA55" s="49">
        <f>IF(R55=" ",Aug!AA65,R55+Aug!AA65)</f>
        <v>0</v>
      </c>
      <c r="AC55" s="49">
        <f>IF(T55=" ",Aug!AC65,T55+Aug!AC65)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AD60+Aug!AD75</f>
        <v>0</v>
      </c>
      <c r="AE65" s="158">
        <f>AE60+Aug!AE75</f>
        <v>0</v>
      </c>
      <c r="AF65" s="158">
        <f>AF60+Aug!AF75</f>
        <v>0</v>
      </c>
      <c r="AG65" s="158">
        <f>AG60+Aug!AG75</f>
        <v>0</v>
      </c>
    </row>
    <row r="66" spans="6:33" ht="14" thickTop="1" x14ac:dyDescent="0.15"/>
    <row r="67" spans="6:33" x14ac:dyDescent="0.15">
      <c r="AD67" s="162"/>
      <c r="AE67" s="158">
        <f>AE62+Aug!AE77</f>
        <v>0</v>
      </c>
      <c r="AF67" s="158">
        <f>AF62+Aug!AF77</f>
        <v>0</v>
      </c>
      <c r="AG67" s="158">
        <f>AG62+Aug!AG77</f>
        <v>0</v>
      </c>
    </row>
  </sheetData>
  <mergeCells count="78"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  <mergeCell ref="AD1:AG2"/>
    <mergeCell ref="AE3:AE6"/>
    <mergeCell ref="AF3:AF6"/>
    <mergeCell ref="AG3:AG6"/>
    <mergeCell ref="AD3:AD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B9:D9"/>
    <mergeCell ref="H9:J9"/>
    <mergeCell ref="O9:R9"/>
    <mergeCell ref="H19:J19"/>
    <mergeCell ref="O19:R19"/>
    <mergeCell ref="F16:G16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Jun!H3:H6</f>
        <v>Statutory Pay</v>
      </c>
      <c r="I3" s="365" t="str">
        <f>Jun!I3:I6</f>
        <v>Basic hours</v>
      </c>
      <c r="J3" s="365" t="str">
        <f>Jun!J3:J6</f>
        <v>Hourly rate</v>
      </c>
      <c r="K3" s="365" t="str">
        <f>Jun!K3:K6</f>
        <v>Basic    wages</v>
      </c>
      <c r="L3" s="365" t="str">
        <f>Jun!L3:L6</f>
        <v>Overtime Bonus Gratuities</v>
      </c>
      <c r="M3" s="428" t="str">
        <f>Jun!M3:M6</f>
        <v>GROSS WAGES</v>
      </c>
      <c r="N3" s="365" t="str">
        <f>Jun!N3:N6</f>
        <v>Income Tax</v>
      </c>
      <c r="O3" s="365" t="str">
        <f>Jun!O3:O6</f>
        <v>Employees National Insurance</v>
      </c>
      <c r="P3" s="365" t="str">
        <f>Jun!P3:P6</f>
        <v>Student Loans</v>
      </c>
      <c r="Q3" s="365" t="str">
        <f>Jun!Q3:Q6</f>
        <v>Other Deductions</v>
      </c>
      <c r="R3" s="428" t="str">
        <f>Jun!R3:R6</f>
        <v>NET      PAY</v>
      </c>
      <c r="S3" s="42"/>
      <c r="T3" s="365" t="str">
        <f>Jun!T3:T6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18</v>
      </c>
      <c r="F9" s="35"/>
      <c r="G9" s="35"/>
      <c r="H9" s="360" t="s">
        <v>28</v>
      </c>
      <c r="I9" s="361"/>
      <c r="J9" s="359"/>
      <c r="K9" s="204">
        <f>Admin!B119</f>
        <v>45870</v>
      </c>
      <c r="L9" s="203" t="s">
        <v>76</v>
      </c>
      <c r="M9" s="205">
        <f>K9+6</f>
        <v>45876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IF(T$9="Y",Sep!#REF!,0)</f>
        <v>0</v>
      </c>
      <c r="I11" s="89">
        <f>IF(T$9="Y",Sep!#REF!,0)</f>
        <v>0</v>
      </c>
      <c r="J11" s="89">
        <f>IF(T$9="Y",Sep!#REF!,0)</f>
        <v>0</v>
      </c>
      <c r="K11" s="89">
        <v>0</v>
      </c>
      <c r="L11" s="110">
        <f>IF(T$9="Y",Sep!#REF!,0)</f>
        <v>0</v>
      </c>
      <c r="M11" s="110" t="str">
        <f>IF(E11=" "," ",IF(T$9="Y",Sep!#REF!,IF((H11+K11+L11)&gt;0,H11+K11+L11,"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IF(Employee!H$34=E$9,Employee!D$34+SUM(M11)+Sep!V41,SUM(M11)+Sep!V41)</f>
        <v>0</v>
      </c>
      <c r="W11" s="49">
        <f>IF(Employee!H$34=E$9,Employee!D$35+SUM(N11)+Sep!W41,SUM(N11)+Sep!W41)</f>
        <v>0</v>
      </c>
      <c r="X11" s="49">
        <f>IF(O11=" ",Sep!X41,O11+Sep!X41)</f>
        <v>0</v>
      </c>
      <c r="Y11" s="49">
        <f>IF(P11=" ",Sep!Y41,P11+Sep!Y41)</f>
        <v>0</v>
      </c>
      <c r="Z11" s="49">
        <f>IF(Q11=" ",Sep!Z41,Q11+Sep!Z41)</f>
        <v>0</v>
      </c>
      <c r="AA11" s="49">
        <f>IF(R11=" ",Sep!AA41,R11+Sep!AA41)</f>
        <v>0</v>
      </c>
      <c r="AC11" s="49">
        <f>IF(T11=" ",Sep!AC41,T11+Sep!AC41)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IF(T$9="Y",Sep!#REF!,0)</f>
        <v>0</v>
      </c>
      <c r="I12" s="92">
        <f>IF(T$9="Y",Sep!#REF!,0)</f>
        <v>0</v>
      </c>
      <c r="J12" s="92">
        <f>IF(T$9="Y",Sep!#REF!,0)</f>
        <v>0</v>
      </c>
      <c r="K12" s="92">
        <f>IF(T$9="Y",Sep!#REF!,I12*J12)</f>
        <v>0</v>
      </c>
      <c r="L12" s="111">
        <f>IF(T$9="Y",Sep!#REF!,0)</f>
        <v>0</v>
      </c>
      <c r="M12" s="111" t="str">
        <f>IF(E12=" "," ",IF(T$9="Y",Sep!#REF!,IF((H12+K12+L12)&gt;0,H12+K12+L12,"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IF(Employee!H$60=E$9,Employee!D$60+SUM(M12)+Sep!V42,SUM(M12)+Sep!V42)</f>
        <v>0</v>
      </c>
      <c r="W12" s="49">
        <f>IF(Employee!H$60=E$9,Employee!D$61+SUM(N12)+Sep!W42,SUM(N12)+Sep!W42)</f>
        <v>0</v>
      </c>
      <c r="X12" s="49">
        <f>IF(O12=" ",Sep!X42,O12+Sep!X42)</f>
        <v>0</v>
      </c>
      <c r="Y12" s="49">
        <f>IF(P12=" ",Sep!Y42,P12+Sep!Y42)</f>
        <v>0</v>
      </c>
      <c r="Z12" s="49">
        <f>IF(Q12=" ",Sep!Z42,Q12+Sep!Z42)</f>
        <v>0</v>
      </c>
      <c r="AA12" s="49">
        <f>IF(R12=" ",Sep!AA42,R12+Sep!AA42)</f>
        <v>0</v>
      </c>
      <c r="AC12" s="49">
        <f>IF(T12=" ",Sep!AC42,T12+Sep!AC42)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IF(T$9="Y",Sep!#REF!,0)</f>
        <v>0</v>
      </c>
      <c r="I13" s="92">
        <f>IF(T$9="Y",Sep!#REF!,0)</f>
        <v>0</v>
      </c>
      <c r="J13" s="92">
        <f>IF(T$9="Y",Sep!#REF!,0)</f>
        <v>0</v>
      </c>
      <c r="K13" s="92">
        <f>IF(T$9="Y",Sep!#REF!,I13*J13)</f>
        <v>0</v>
      </c>
      <c r="L13" s="111">
        <f>IF(T$9="Y",Sep!#REF!,0)</f>
        <v>0</v>
      </c>
      <c r="M13" s="111" t="str">
        <f>IF(E13=" "," ",IF(T$9="Y",Sep!#REF!,IF((H13+K13+L13)&gt;0,H13+K13+L13,"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IF(Employee!H$86=E$9,Employee!D$86+SUM(M13)+Sep!V43,SUM(M13)+Sep!V43)</f>
        <v>0</v>
      </c>
      <c r="W13" s="49">
        <f>IF(Employee!H$86=E$9,Employee!D$87+SUM(N13)+Sep!W43,SUM(N13)+Sep!W43)</f>
        <v>0</v>
      </c>
      <c r="X13" s="49">
        <f>IF(O13=" ",Sep!X43,O13+Sep!X43)</f>
        <v>0</v>
      </c>
      <c r="Y13" s="49">
        <f>IF(P13=" ",Sep!Y43,P13+Sep!Y43)</f>
        <v>0</v>
      </c>
      <c r="Z13" s="49">
        <f>IF(Q13=" ",Sep!Z43,Q13+Sep!Z43)</f>
        <v>0</v>
      </c>
      <c r="AA13" s="49">
        <f>IF(R13=" ",Sep!AA43,R13+Sep!AA43)</f>
        <v>0</v>
      </c>
      <c r="AC13" s="49">
        <f>IF(T13=" ",Sep!AC43,T13+Sep!AC43)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IF(T$9="Y",Sep!#REF!,0)</f>
        <v>0</v>
      </c>
      <c r="I14" s="92">
        <f>IF(T$9="Y",Sep!#REF!,0)</f>
        <v>0</v>
      </c>
      <c r="J14" s="92">
        <f>IF(T$9="Y",Sep!#REF!,0)</f>
        <v>0</v>
      </c>
      <c r="K14" s="92">
        <f>IF(T$9="Y",Sep!#REF!,I14*J14)</f>
        <v>0</v>
      </c>
      <c r="L14" s="111">
        <f>IF(T$9="Y",Sep!#REF!,0)</f>
        <v>0</v>
      </c>
      <c r="M14" s="111" t="str">
        <f>IF(E14=" "," ",IF(T$9="Y",Sep!#REF!,IF((H14+K14+L14)&gt;0,H14+K14+L14,"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IF(Employee!H$112=E$9,Employee!D$112+SUM(M14)+Sep!V44,SUM(M14)+Sep!V44)</f>
        <v>0</v>
      </c>
      <c r="W14" s="49">
        <f>IF(Employee!H$112=E$9,Employee!D$113+SUM(N14)+Sep!W44,SUM(N14)+Sep!W44)</f>
        <v>0</v>
      </c>
      <c r="X14" s="49">
        <f>IF(O14=" ",Sep!X44,O14+Sep!X44)</f>
        <v>0</v>
      </c>
      <c r="Y14" s="49">
        <f>IF(P14=" ",Sep!Y44,P14+Sep!Y44)</f>
        <v>0</v>
      </c>
      <c r="Z14" s="49">
        <f>IF(Q14=" ",Sep!Z44,Q14+Sep!Z44)</f>
        <v>0</v>
      </c>
      <c r="AA14" s="49">
        <f>IF(R14=" ",Sep!AA44,R14+Sep!AA44)</f>
        <v>0</v>
      </c>
      <c r="AC14" s="49">
        <f>IF(T14=" ",Sep!AC44,T14+Sep!AC44)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IF(T$9="Y",Sep!#REF!,0)</f>
        <v>0</v>
      </c>
      <c r="I15" s="245">
        <f>IF(T$9="Y",Sep!#REF!,0)</f>
        <v>0</v>
      </c>
      <c r="J15" s="245">
        <f>IF(T$9="Y",Sep!#REF!,0)</f>
        <v>0</v>
      </c>
      <c r="K15" s="245">
        <f>IF(T$9="Y",Sep!#REF!,I15*J15)</f>
        <v>0</v>
      </c>
      <c r="L15" s="246">
        <f>IF(T$9="Y",Sep!#REF!,0)</f>
        <v>0</v>
      </c>
      <c r="M15" s="246" t="str">
        <f>IF(E15=" "," ",IF(T$9="Y",Sep!#REF!,IF((H15+K15+L15)&gt;0,H15+K15+L15,"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IF(Employee!H$138=E$9,Employee!D$138+SUM(M15)+Sep!V45,SUM(M15)+Sep!V45)</f>
        <v>0</v>
      </c>
      <c r="W15" s="49">
        <f>IF(Employee!H$138=E$9,Employee!D$139+SUM(N15)+Sep!W45,SUM(N15)+Sep!W45)</f>
        <v>0</v>
      </c>
      <c r="X15" s="49">
        <f>IF(O15=" ",Sep!X45,O15+Sep!X45)</f>
        <v>0</v>
      </c>
      <c r="Y15" s="49">
        <f>IF(P15=" ",Sep!Y45,P15+Sep!Y45)</f>
        <v>0</v>
      </c>
      <c r="Z15" s="49">
        <f>IF(Q15=" ",Sep!Z45,Q15+Sep!Z45)</f>
        <v>0</v>
      </c>
      <c r="AA15" s="49">
        <f>IF(R15=" ",Sep!AA45,R15+Sep!AA45)</f>
        <v>0</v>
      </c>
      <c r="AC15" s="49">
        <f>IF(T15=" ",Sep!AC45,T15+Sep!AC45)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19</v>
      </c>
      <c r="F19" s="35"/>
      <c r="G19" s="35"/>
      <c r="H19" s="360" t="s">
        <v>28</v>
      </c>
      <c r="I19" s="361"/>
      <c r="J19" s="359"/>
      <c r="K19" s="204">
        <f>M9+1</f>
        <v>45877</v>
      </c>
      <c r="L19" s="203" t="s">
        <v>76</v>
      </c>
      <c r="M19" s="205">
        <f>K19+6</f>
        <v>45883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20</v>
      </c>
      <c r="F29" s="35"/>
      <c r="G29" s="35"/>
      <c r="H29" s="360" t="s">
        <v>28</v>
      </c>
      <c r="I29" s="361"/>
      <c r="J29" s="359"/>
      <c r="K29" s="204">
        <f>M19+1</f>
        <v>45884</v>
      </c>
      <c r="L29" s="203" t="s">
        <v>76</v>
      </c>
      <c r="M29" s="205">
        <f>K29+6</f>
        <v>45890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21</v>
      </c>
      <c r="F39" s="35"/>
      <c r="G39" s="35"/>
      <c r="H39" s="360" t="s">
        <v>28</v>
      </c>
      <c r="I39" s="439"/>
      <c r="J39" s="440"/>
      <c r="K39" s="204">
        <f>M29+1</f>
        <v>45891</v>
      </c>
      <c r="L39" s="203" t="s">
        <v>76</v>
      </c>
      <c r="M39" s="205">
        <f>K39+6</f>
        <v>45897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5</v>
      </c>
      <c r="F49" s="35"/>
      <c r="G49" s="35"/>
      <c r="H49" s="360" t="s">
        <v>28</v>
      </c>
      <c r="I49" s="361"/>
      <c r="J49" s="359"/>
      <c r="K49" s="204">
        <f>Admin!B119</f>
        <v>45870</v>
      </c>
      <c r="L49" s="203" t="s">
        <v>76</v>
      </c>
      <c r="M49" s="205">
        <f>Admin!B149</f>
        <v>45900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IF(T$49="Y",Sep!H51,0)</f>
        <v>0</v>
      </c>
      <c r="I51" s="89">
        <f>IF(T$49="Y",Sep!I51,0)</f>
        <v>0</v>
      </c>
      <c r="J51" s="89">
        <f>IF(T$49="Y",Sep!J51,0)</f>
        <v>0</v>
      </c>
      <c r="K51" s="89">
        <f>IF(T$49="Y",Sep!K51,I51*J51)</f>
        <v>0</v>
      </c>
      <c r="L51" s="89">
        <f>IF(T$49="Y",Sep!L51,0)</f>
        <v>0</v>
      </c>
      <c r="M51" s="99" t="str">
        <f>IF(E51=" "," ",IF(T$49="Y",Sep!M51,IF((H51+K51+L51)&gt;0,H51+K51+L51,"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IF(Employee!H$35=E$49,Employee!D$34+SUM(M51)+Sep!V51,SUM(M51)+Sep!V51)</f>
        <v>0</v>
      </c>
      <c r="W51" s="49">
        <f>IF(Employee!H$35=E$49,Employee!D$35+SUM(N51)+Sep!W51,SUM(N51)+Sep!W51)</f>
        <v>0</v>
      </c>
      <c r="X51" s="49">
        <f>IF(O51=" ",Sep!X51,O51+Sep!X51)</f>
        <v>0</v>
      </c>
      <c r="Y51" s="49">
        <f>IF(P51=" ",Sep!Y51,P51+Sep!Y51)</f>
        <v>0</v>
      </c>
      <c r="Z51" s="49">
        <f>IF(Q51=" ",Sep!Z51,Q51+Sep!Z51)</f>
        <v>0</v>
      </c>
      <c r="AA51" s="49">
        <f>IF(R51=" ",Sep!AA51,R51+Sep!AA51)</f>
        <v>0</v>
      </c>
      <c r="AC51" s="49">
        <f>IF(T51=" ",Sep!AC51,T51+Sep!AC51)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IF(T$49="Y",Sep!H52,0)</f>
        <v>0</v>
      </c>
      <c r="I52" s="92">
        <f>IF(T$49="Y",Sep!I52,0)</f>
        <v>0</v>
      </c>
      <c r="J52" s="92">
        <f>IF(T$49="Y",Sep!J52,0)</f>
        <v>0</v>
      </c>
      <c r="K52" s="92">
        <f>IF(T$49="Y",Sep!K52,I52*J52)</f>
        <v>0</v>
      </c>
      <c r="L52" s="92">
        <f>IF(T$49="Y",Sep!L52,0)</f>
        <v>0</v>
      </c>
      <c r="M52" s="100" t="str">
        <f>IF(E52=" "," ",IF(T$49="Y",Sep!M52,IF((H52+K52+L52)&gt;0,H52+K52+L52,"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IF(Employee!H$61=E$49,Employee!D$60+SUM(M52)+Sep!V52,SUM(M52)+Sep!V52)</f>
        <v>0</v>
      </c>
      <c r="W52" s="49">
        <f>IF(Employee!H$61=E$49,Employee!D$61+SUM(N52)+Sep!W52,SUM(N52)+Sep!W52)</f>
        <v>0</v>
      </c>
      <c r="X52" s="49">
        <f>IF(O52=" ",Sep!X52,O52+Sep!X52)</f>
        <v>0</v>
      </c>
      <c r="Y52" s="49">
        <f>IF(P52=" ",Sep!Y52,P52+Sep!Y52)</f>
        <v>0</v>
      </c>
      <c r="Z52" s="49">
        <f>IF(Q52=" ",Sep!Z52,Q52+Sep!Z52)</f>
        <v>0</v>
      </c>
      <c r="AA52" s="49">
        <f>IF(R52=" ",Sep!AA52,R52+Sep!AA52)</f>
        <v>0</v>
      </c>
      <c r="AC52" s="49">
        <f>IF(T52=" ",Sep!AC52,T52+Sep!AC52)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IF(T$49="Y",Sep!H53,0)</f>
        <v>0</v>
      </c>
      <c r="I53" s="92">
        <f>IF(T$49="Y",Sep!I53,0)</f>
        <v>0</v>
      </c>
      <c r="J53" s="92">
        <f>IF(T$49="Y",Sep!J53,0)</f>
        <v>0</v>
      </c>
      <c r="K53" s="92">
        <f>IF(T$49="Y",Sep!K53,I53*J53)</f>
        <v>0</v>
      </c>
      <c r="L53" s="92">
        <f>IF(T$49="Y",Sep!L53,0)</f>
        <v>0</v>
      </c>
      <c r="M53" s="100" t="str">
        <f>IF(E53=" "," ",IF(T$49="Y",Sep!M53,IF((H53+K53+L53)&gt;0,H53+K53+L53,"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IF(Employee!H$87=E$49,Employee!D$86+SUM(M53)+Sep!V53,SUM(M53)+Sep!V53)</f>
        <v>0</v>
      </c>
      <c r="W53" s="49">
        <f>IF(Employee!H$87=E$49,Employee!D$87+SUM(N53)+Sep!W53,SUM(N53)+Sep!W53)</f>
        <v>0</v>
      </c>
      <c r="X53" s="49">
        <f>IF(O53=" ",Sep!X53,O53+Sep!X53)</f>
        <v>0</v>
      </c>
      <c r="Y53" s="49">
        <f>IF(P53=" ",Sep!Y53,P53+Sep!Y53)</f>
        <v>0</v>
      </c>
      <c r="Z53" s="49">
        <f>IF(Q53=" ",Sep!Z53,Q53+Sep!Z53)</f>
        <v>0</v>
      </c>
      <c r="AA53" s="49">
        <f>IF(R53=" ",Sep!AA53,R53+Sep!AA53)</f>
        <v>0</v>
      </c>
      <c r="AC53" s="49">
        <f>IF(T53=" ",Sep!AC53,T53+Sep!AC53)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IF(T$49="Y",Sep!H54,0)</f>
        <v>0</v>
      </c>
      <c r="I54" s="92">
        <f>IF(T$49="Y",Sep!I54,0)</f>
        <v>0</v>
      </c>
      <c r="J54" s="92">
        <f>IF(T$49="Y",Sep!J54,0)</f>
        <v>0</v>
      </c>
      <c r="K54" s="92">
        <f>IF(T$49="Y",Sep!K54,I54*J54)</f>
        <v>0</v>
      </c>
      <c r="L54" s="92">
        <f>IF(T$49="Y",Sep!L54,0)</f>
        <v>0</v>
      </c>
      <c r="M54" s="100" t="str">
        <f>IF(E54=" "," ",IF(T$49="Y",Sep!M54,IF((H54+K54+L54)&gt;0,H54+K54+L54,"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IF(Employee!H$113=E$49,Employee!D$112+SUM(M54)+Sep!V54,SUM(M54)+Sep!V54)</f>
        <v>0</v>
      </c>
      <c r="W54" s="49">
        <f>IF(Employee!H$113=E$49,Employee!D$113+SUM(N54)+Sep!W54,SUM(N54)+Sep!W54)</f>
        <v>0</v>
      </c>
      <c r="X54" s="49">
        <f>IF(O54=" ",Sep!X54,O54+Sep!X54)</f>
        <v>0</v>
      </c>
      <c r="Y54" s="49">
        <f>IF(P54=" ",Sep!Y54,P54+Sep!Y54)</f>
        <v>0</v>
      </c>
      <c r="Z54" s="49">
        <f>IF(Q54=" ",Sep!Z54,Q54+Sep!Z54)</f>
        <v>0</v>
      </c>
      <c r="AA54" s="49">
        <f>IF(R54=" ",Sep!AA54,R54+Sep!AA54)</f>
        <v>0</v>
      </c>
      <c r="AC54" s="49">
        <f>IF(T54=" ",Sep!AC54,T54+Sep!AC54)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IF(T$49="Y",Sep!H55,0)</f>
        <v>0</v>
      </c>
      <c r="I55" s="92">
        <f>IF(T$49="Y",Sep!I55,0)</f>
        <v>0</v>
      </c>
      <c r="J55" s="92">
        <f>IF(T$49="Y",Sep!J55,0)</f>
        <v>0</v>
      </c>
      <c r="K55" s="92">
        <f>IF(T$49="Y",Sep!K55,I55*J55)</f>
        <v>0</v>
      </c>
      <c r="L55" s="92">
        <f>IF(T$49="Y",Sep!L55,0)</f>
        <v>0</v>
      </c>
      <c r="M55" s="100" t="str">
        <f>IF(E55=" "," ",IF(T$49="Y",Sep!M55,IF((H55+K55+L55)&gt;0,H55+K55+L55,"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IF(Employee!H$139=E$49,Employee!D$138+SUM(M55)+Sep!V55,SUM(M55)+Sep!V55)</f>
        <v>0</v>
      </c>
      <c r="W55" s="49">
        <f>IF(Employee!H$139=E$49,Employee!D$139+SUM(N55)+Sep!W55,SUM(N55)+Sep!W55)</f>
        <v>0</v>
      </c>
      <c r="X55" s="49">
        <f>IF(O55=" ",Sep!X55,O55+Sep!X55)</f>
        <v>0</v>
      </c>
      <c r="Y55" s="49">
        <f>IF(P55=" ",Sep!Y55,P55+Sep!Y55)</f>
        <v>0</v>
      </c>
      <c r="Z55" s="49">
        <f>IF(Q55=" ",Sep!Z55,Q55+Sep!Z55)</f>
        <v>0</v>
      </c>
      <c r="AA55" s="49">
        <f>IF(R55=" ",Sep!AA55,R55+Sep!AA55)</f>
        <v>0</v>
      </c>
      <c r="AC55" s="49">
        <f>IF(T55=" ",Sep!AC55,T55+Sep!AC55)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AD60+Sep!AD65</f>
        <v>0</v>
      </c>
      <c r="AE65" s="158">
        <f>AE60+Sep!AE65</f>
        <v>0</v>
      </c>
      <c r="AF65" s="158">
        <f>AF60+Sep!AF65</f>
        <v>0</v>
      </c>
      <c r="AG65" s="158">
        <f>AG60+Sep!AG65</f>
        <v>0</v>
      </c>
    </row>
    <row r="66" spans="6:33" ht="14" thickTop="1" x14ac:dyDescent="0.15"/>
    <row r="67" spans="6:33" x14ac:dyDescent="0.15">
      <c r="AD67" s="162"/>
      <c r="AE67" s="158">
        <f>AE62+Sep!AE67</f>
        <v>0</v>
      </c>
      <c r="AF67" s="158">
        <f>AF62+Sep!AF67</f>
        <v>0</v>
      </c>
      <c r="AG67" s="158">
        <f>AG62+Sep!AG67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Jun!H3:H6</f>
        <v>Statutory Pay</v>
      </c>
      <c r="I3" s="365" t="str">
        <f>Jun!I3:I6</f>
        <v>Basic hours</v>
      </c>
      <c r="J3" s="365" t="str">
        <f>Jun!J3:J6</f>
        <v>Hourly rate</v>
      </c>
      <c r="K3" s="365" t="str">
        <f>Jun!K3:K6</f>
        <v>Basic    wages</v>
      </c>
      <c r="L3" s="365" t="str">
        <f>Jun!L3:L6</f>
        <v>Overtime Bonus Gratuities</v>
      </c>
      <c r="M3" s="428" t="str">
        <f>Jun!M3:M6</f>
        <v>GROSS WAGES</v>
      </c>
      <c r="N3" s="365" t="str">
        <f>Jun!N3:N6</f>
        <v>Income Tax</v>
      </c>
      <c r="O3" s="365" t="str">
        <f>Jun!O3:O6</f>
        <v>Employees National Insurance</v>
      </c>
      <c r="P3" s="365" t="str">
        <f>Jun!P3:P6</f>
        <v>Student Loans</v>
      </c>
      <c r="Q3" s="365" t="str">
        <f>Jun!Q3:Q6</f>
        <v>Other Deductions</v>
      </c>
      <c r="R3" s="428" t="str">
        <f>Jun!R3:R6</f>
        <v>NET      PAY</v>
      </c>
      <c r="S3" s="42"/>
      <c r="T3" s="365" t="str">
        <f>Jun!T3:T6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22</v>
      </c>
      <c r="F9" s="35"/>
      <c r="G9" s="35"/>
      <c r="H9" s="360" t="s">
        <v>28</v>
      </c>
      <c r="I9" s="361"/>
      <c r="J9" s="359"/>
      <c r="K9" s="204">
        <f>Oct!M39+1</f>
        <v>45898</v>
      </c>
      <c r="L9" s="203" t="s">
        <v>76</v>
      </c>
      <c r="M9" s="205">
        <f>K9+6</f>
        <v>45904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IF(T$9="Y",Oct!H41,0)</f>
        <v>0</v>
      </c>
      <c r="I11" s="89">
        <f>IF(T$9="Y",Oct!I41,0)</f>
        <v>0</v>
      </c>
      <c r="J11" s="89">
        <f>IF(T$9="Y",Oct!J41,0)</f>
        <v>0</v>
      </c>
      <c r="K11" s="89">
        <f>IF(T$9="Y",Oct!K41,I11*J11)</f>
        <v>0</v>
      </c>
      <c r="L11" s="110">
        <f>IF(T$9="Y",Oct!L41,0)</f>
        <v>0</v>
      </c>
      <c r="M11" s="110" t="str">
        <f>IF(E11=" "," ",IF(T$9="Y",Oct!M41,IF((H11+K11+L11)&gt;0,H11+K11+L11,"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IF(Employee!H$34=E$9,Employee!D$34+SUM(M11)+Oct!V41,SUM(M11)+Oct!V41)</f>
        <v>0</v>
      </c>
      <c r="W11" s="49">
        <f>IF(Employee!H$34=E$9,Employee!D$35+SUM(N11)+Oct!W41,SUM(N11)+Oct!W41)</f>
        <v>0</v>
      </c>
      <c r="X11" s="49">
        <f>IF(O11=" ",Oct!X41,O11+Oct!X41)</f>
        <v>0</v>
      </c>
      <c r="Y11" s="49">
        <f>IF(P11=" ",Oct!Y41,P11+Oct!Y41)</f>
        <v>0</v>
      </c>
      <c r="Z11" s="49">
        <f>IF(Q11=" ",Oct!Z41,Q11+Oct!Z41)</f>
        <v>0</v>
      </c>
      <c r="AA11" s="49">
        <f>IF(R11=" ",Oct!AA41,R11+Oct!AA41)</f>
        <v>0</v>
      </c>
      <c r="AC11" s="49">
        <f>IF(T11=" ",Oct!AC41,T11+Oct!AC41)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IF(T$9="Y",Oct!H42,0)</f>
        <v>0</v>
      </c>
      <c r="I12" s="92">
        <f>IF(T$9="Y",Oct!I42,0)</f>
        <v>0</v>
      </c>
      <c r="J12" s="92">
        <f>IF(T$9="Y",Oct!J42,0)</f>
        <v>0</v>
      </c>
      <c r="K12" s="92">
        <f>IF(T$9="Y",Oct!K42,I12*J12)</f>
        <v>0</v>
      </c>
      <c r="L12" s="111">
        <f>IF(T$9="Y",Oct!L42,0)</f>
        <v>0</v>
      </c>
      <c r="M12" s="111" t="str">
        <f>IF(E12=" "," ",IF(T$9="Y",Oct!M42,IF((H12+K12+L12)&gt;0,H12+K12+L12,"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IF(Employee!H$60=E$9,Employee!D$60+SUM(M12)+Oct!V42,SUM(M12)+Oct!V42)</f>
        <v>0</v>
      </c>
      <c r="W12" s="49">
        <f>IF(Employee!H$60=E$9,Employee!D$61+SUM(N12)+Oct!W42,SUM(N12)+Oct!W42)</f>
        <v>0</v>
      </c>
      <c r="X12" s="49">
        <f>IF(O12=" ",Oct!X42,O12+Oct!X42)</f>
        <v>0</v>
      </c>
      <c r="Y12" s="49">
        <f>IF(P12=" ",Oct!Y42,P12+Oct!Y42)</f>
        <v>0</v>
      </c>
      <c r="Z12" s="49">
        <f>IF(Q12=" ",Oct!Z42,Q12+Oct!Z42)</f>
        <v>0</v>
      </c>
      <c r="AA12" s="49">
        <f>IF(R12=" ",Oct!AA42,R12+Oct!AA42)</f>
        <v>0</v>
      </c>
      <c r="AC12" s="49">
        <f>IF(T12=" ",Oct!AC42,T12+Oct!AC42)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IF(T$9="Y",Oct!H43,0)</f>
        <v>0</v>
      </c>
      <c r="I13" s="92">
        <f>IF(T$9="Y",Oct!I43,0)</f>
        <v>0</v>
      </c>
      <c r="J13" s="92">
        <f>IF(T$9="Y",Oct!J43,0)</f>
        <v>0</v>
      </c>
      <c r="K13" s="92">
        <f>IF(T$9="Y",Oct!K43,I13*J13)</f>
        <v>0</v>
      </c>
      <c r="L13" s="111">
        <f>IF(T$9="Y",Oct!L43,0)</f>
        <v>0</v>
      </c>
      <c r="M13" s="111" t="str">
        <f>IF(E13=" "," ",IF(T$9="Y",Oct!M43,IF((H13+K13+L13)&gt;0,H13+K13+L13,"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IF(Employee!H$86=E$9,Employee!D$86+SUM(M13)+Oct!V43,SUM(M13)+Oct!V43)</f>
        <v>0</v>
      </c>
      <c r="W13" s="49">
        <f>IF(Employee!H$86=E$9,Employee!D$87+SUM(N13)+Oct!W43,SUM(N13)+Oct!W43)</f>
        <v>0</v>
      </c>
      <c r="X13" s="49">
        <f>IF(O13=" ",Oct!X43,O13+Oct!X43)</f>
        <v>0</v>
      </c>
      <c r="Y13" s="49">
        <f>IF(P13=" ",Oct!Y43,P13+Oct!Y43)</f>
        <v>0</v>
      </c>
      <c r="Z13" s="49">
        <f>IF(Q13=" ",Oct!Z43,Q13+Oct!Z43)</f>
        <v>0</v>
      </c>
      <c r="AA13" s="49">
        <f>IF(R13=" ",Oct!AA43,R13+Oct!AA43)</f>
        <v>0</v>
      </c>
      <c r="AC13" s="49">
        <f>IF(T13=" ",Oct!AC43,T13+Oct!AC43)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IF(T$9="Y",Oct!H44,0)</f>
        <v>0</v>
      </c>
      <c r="I14" s="92">
        <f>IF(T$9="Y",Oct!I44,0)</f>
        <v>0</v>
      </c>
      <c r="J14" s="92">
        <f>IF(T$9="Y",Oct!J44,0)</f>
        <v>0</v>
      </c>
      <c r="K14" s="92">
        <f>IF(T$9="Y",Oct!K44,I14*J14)</f>
        <v>0</v>
      </c>
      <c r="L14" s="111">
        <f>IF(T$9="Y",Oct!L44,0)</f>
        <v>0</v>
      </c>
      <c r="M14" s="111" t="str">
        <f>IF(E14=" "," ",IF(T$9="Y",Oct!M44,IF((H14+K14+L14)&gt;0,H14+K14+L14,"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IF(Employee!H$112=E$9,Employee!D$112+SUM(M14)+Oct!V44,SUM(M14)+Oct!V44)</f>
        <v>0</v>
      </c>
      <c r="W14" s="49">
        <f>IF(Employee!H$112=E$9,Employee!D$113+SUM(N14)+Oct!W44,SUM(N14)+Oct!W44)</f>
        <v>0</v>
      </c>
      <c r="X14" s="49">
        <f>IF(O14=" ",Oct!X44,O14+Oct!X44)</f>
        <v>0</v>
      </c>
      <c r="Y14" s="49">
        <f>IF(P14=" ",Oct!Y44,P14+Oct!Y44)</f>
        <v>0</v>
      </c>
      <c r="Z14" s="49">
        <f>IF(Q14=" ",Oct!Z44,Q14+Oct!Z44)</f>
        <v>0</v>
      </c>
      <c r="AA14" s="49">
        <f>IF(R14=" ",Oct!AA44,R14+Oct!AA44)</f>
        <v>0</v>
      </c>
      <c r="AC14" s="49">
        <f>IF(T14=" ",Oct!AC44,T14+Oct!AC44)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IF(T$9="Y",Oct!H45,0)</f>
        <v>0</v>
      </c>
      <c r="I15" s="245">
        <f>IF(T$9="Y",Oct!I45,0)</f>
        <v>0</v>
      </c>
      <c r="J15" s="245">
        <f>IF(T$9="Y",Oct!J45,0)</f>
        <v>0</v>
      </c>
      <c r="K15" s="245">
        <f>IF(T$9="Y",Oct!K45,I15*J15)</f>
        <v>0</v>
      </c>
      <c r="L15" s="246">
        <f>IF(T$9="Y",Oct!L45,0)</f>
        <v>0</v>
      </c>
      <c r="M15" s="111" t="str">
        <f>IF(E15=" "," ",IF(T$9="Y",Oct!M45,IF((H15+K15+L15)&gt;0,H15+K15+L15,"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IF(Employee!H$138=E$9,Employee!D$138+SUM(M15)+Oct!V45,SUM(M15)+Oct!V45)</f>
        <v>0</v>
      </c>
      <c r="W15" s="49">
        <f>IF(Employee!H$138=E$9,Employee!D$139+SUM(N15)+Oct!W45,SUM(N15)+Oct!W45)</f>
        <v>0</v>
      </c>
      <c r="X15" s="49">
        <f>IF(O15=" ",Oct!X45,O15+Oct!X45)</f>
        <v>0</v>
      </c>
      <c r="Y15" s="49">
        <f>IF(P15=" ",Oct!Y45,P15+Oct!Y45)</f>
        <v>0</v>
      </c>
      <c r="Z15" s="49">
        <f>IF(Q15=" ",Oct!Z45,Q15+Oct!Z45)</f>
        <v>0</v>
      </c>
      <c r="AA15" s="49">
        <f>IF(R15=" ",Oct!AA45,R15+Oct!AA45)</f>
        <v>0</v>
      </c>
      <c r="AC15" s="49">
        <f>IF(T15=" ",Oct!AC45,T15+Oct!AC45)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23</v>
      </c>
      <c r="F19" s="35"/>
      <c r="G19" s="35"/>
      <c r="H19" s="360" t="s">
        <v>28</v>
      </c>
      <c r="I19" s="361"/>
      <c r="J19" s="359"/>
      <c r="K19" s="204">
        <f>M9+1</f>
        <v>45905</v>
      </c>
      <c r="L19" s="203" t="s">
        <v>76</v>
      </c>
      <c r="M19" s="205">
        <f>K19+6</f>
        <v>45911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24</v>
      </c>
      <c r="F29" s="35"/>
      <c r="G29" s="35"/>
      <c r="H29" s="360" t="s">
        <v>28</v>
      </c>
      <c r="I29" s="361"/>
      <c r="J29" s="359"/>
      <c r="K29" s="204">
        <f>M19+1</f>
        <v>45912</v>
      </c>
      <c r="L29" s="203" t="s">
        <v>76</v>
      </c>
      <c r="M29" s="205">
        <f>K29+6</f>
        <v>45918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25</v>
      </c>
      <c r="F39" s="35"/>
      <c r="G39" s="35"/>
      <c r="H39" s="360" t="s">
        <v>28</v>
      </c>
      <c r="I39" s="439"/>
      <c r="J39" s="440"/>
      <c r="K39" s="204">
        <f>M29+1</f>
        <v>45919</v>
      </c>
      <c r="L39" s="203" t="s">
        <v>76</v>
      </c>
      <c r="M39" s="205">
        <f>K39+6</f>
        <v>45925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26</v>
      </c>
      <c r="F49" s="35"/>
      <c r="G49" s="35"/>
      <c r="H49" s="360" t="s">
        <v>28</v>
      </c>
      <c r="I49" s="439"/>
      <c r="J49" s="440"/>
      <c r="K49" s="204">
        <f>Admin!B175</f>
        <v>45926</v>
      </c>
      <c r="L49" s="203" t="s">
        <v>76</v>
      </c>
      <c r="M49" s="205">
        <f>K49+6</f>
        <v>45932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6</v>
      </c>
      <c r="F59" s="35"/>
      <c r="G59" s="35"/>
      <c r="H59" s="360" t="s">
        <v>28</v>
      </c>
      <c r="I59" s="361"/>
      <c r="J59" s="359"/>
      <c r="K59" s="204">
        <f>Admin!B150</f>
        <v>45901</v>
      </c>
      <c r="L59" s="203" t="s">
        <v>76</v>
      </c>
      <c r="M59" s="205">
        <f>Admin!B179</f>
        <v>45930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IF(T$59="Y",Oct!H51,0)</f>
        <v>0</v>
      </c>
      <c r="I61" s="89">
        <f>IF(T$59="Y",Oct!I51,0)</f>
        <v>0</v>
      </c>
      <c r="J61" s="89">
        <f>IF(T$59="Y",Oct!J51,0)</f>
        <v>0</v>
      </c>
      <c r="K61" s="89">
        <f>IF(T$59="Y",Oct!K51,I61*J61)</f>
        <v>0</v>
      </c>
      <c r="L61" s="110">
        <f>IF(T$59="Y",Oct!L51,0)</f>
        <v>0</v>
      </c>
      <c r="M61" s="99" t="str">
        <f>IF(E61=" "," ",IF(T$59="Y",Oct!M51,IF((H61+K61+L61)&gt;0,H61+K61+L61,"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IF(Employee!H$35=E$59,Employee!D$34+SUM(M61)+Oct!V51,SUM(M61)+Oct!V51)</f>
        <v>0</v>
      </c>
      <c r="W61" s="49">
        <f>IF(Employee!H$35=E$59,Employee!D$35+SUM(N61)+Oct!W51,SUM(N61)+Oct!W51)</f>
        <v>0</v>
      </c>
      <c r="X61" s="49">
        <f>IF(O61=" ",Oct!X51,O61+Oct!X51)</f>
        <v>0</v>
      </c>
      <c r="Y61" s="49">
        <f>IF(P61=" ",Oct!Y51,P61+Oct!Y51)</f>
        <v>0</v>
      </c>
      <c r="Z61" s="49">
        <f>IF(Q61=" ",Oct!Z51,Q61+Oct!Z51)</f>
        <v>0</v>
      </c>
      <c r="AA61" s="49">
        <f>IF(R61=" ",Oct!AA51,R61+Oct!AA51)</f>
        <v>0</v>
      </c>
      <c r="AC61" s="49">
        <f>IF(T61=" ",Oct!AC51,T61+Oct!AC51)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IF(T$59="Y",Oct!H52,0)</f>
        <v>0</v>
      </c>
      <c r="I62" s="92">
        <f>IF(T$59="Y",Oct!I52,0)</f>
        <v>0</v>
      </c>
      <c r="J62" s="92">
        <f>IF(T$59="Y",Oct!J52,0)</f>
        <v>0</v>
      </c>
      <c r="K62" s="92">
        <f>IF(T$59="Y",Oct!K52,I62*J62)</f>
        <v>0</v>
      </c>
      <c r="L62" s="111">
        <f>IF(T$59="Y",Oct!L52,0)</f>
        <v>0</v>
      </c>
      <c r="M62" s="100" t="str">
        <f>IF(E62=" "," ",IF(T$59="Y",Oct!M52,IF((H62+K62+L62)&gt;0,H62+K62+L62,"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IF(Employee!H$61=E$59,Employee!D$60+SUM(M62)+Oct!V52,SUM(M62)+Oct!V52)</f>
        <v>0</v>
      </c>
      <c r="W62" s="49">
        <f>IF(Employee!H$61=E$59,Employee!D$61+SUM(N62)+Oct!W52,SUM(N62)+Oct!W52)</f>
        <v>0</v>
      </c>
      <c r="X62" s="49">
        <f>IF(O62=" ",Oct!X52,O62+Oct!X52)</f>
        <v>0</v>
      </c>
      <c r="Y62" s="49">
        <f>IF(P62=" ",Oct!Y52,P62+Oct!Y52)</f>
        <v>0</v>
      </c>
      <c r="Z62" s="49">
        <f>IF(Q62=" ",Oct!Z52,Q62+Oct!Z52)</f>
        <v>0</v>
      </c>
      <c r="AA62" s="49">
        <f>IF(R62=" ",Oct!AA52,R62+Oct!AA52)</f>
        <v>0</v>
      </c>
      <c r="AC62" s="49">
        <f>IF(T62=" ",Oct!AC52,T62+Oct!AC52)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IF(T$59="Y",Oct!H53,0)</f>
        <v>0</v>
      </c>
      <c r="I63" s="92">
        <f>IF(T$59="Y",Oct!I53,0)</f>
        <v>0</v>
      </c>
      <c r="J63" s="92">
        <f>IF(T$59="Y",Oct!J53,0)</f>
        <v>0</v>
      </c>
      <c r="K63" s="92">
        <f>IF(T$59="Y",Oct!K53,I63*J63)</f>
        <v>0</v>
      </c>
      <c r="L63" s="111">
        <f>IF(T$59="Y",Oct!L53,0)</f>
        <v>0</v>
      </c>
      <c r="M63" s="100" t="str">
        <f>IF(E63=" "," ",IF(T$59="Y",Oct!M53,IF((H63+K63+L63)&gt;0,H63+K63+L63,"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IF(Employee!H$87=E$59,Employee!D$86+SUM(M63)+Oct!V53,SUM(M63)+Oct!V53)</f>
        <v>0</v>
      </c>
      <c r="W63" s="49">
        <f>IF(Employee!H$87=E$59,Employee!D$87+SUM(N63)+Oct!W53,SUM(N63)+Oct!W53)</f>
        <v>0</v>
      </c>
      <c r="X63" s="49">
        <f>IF(O63=" ",Oct!X53,O63+Oct!X53)</f>
        <v>0</v>
      </c>
      <c r="Y63" s="49">
        <f>IF(P63=" ",Oct!Y53,P63+Oct!Y53)</f>
        <v>0</v>
      </c>
      <c r="Z63" s="49">
        <f>IF(Q63=" ",Oct!Z53,Q63+Oct!Z53)</f>
        <v>0</v>
      </c>
      <c r="AA63" s="49">
        <f>IF(R63=" ",Oct!AA53,R63+Oct!AA53)</f>
        <v>0</v>
      </c>
      <c r="AC63" s="49">
        <f>IF(T63=" ",Oct!AC53,T63+Oct!AC53)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IF(T$59="Y",Oct!H54,0)</f>
        <v>0</v>
      </c>
      <c r="I64" s="92">
        <f>IF(T$59="Y",Oct!I54,0)</f>
        <v>0</v>
      </c>
      <c r="J64" s="92">
        <f>IF(T$59="Y",Oct!J54,0)</f>
        <v>0</v>
      </c>
      <c r="K64" s="92">
        <f>IF(T$59="Y",Oct!K54,I64*J64)</f>
        <v>0</v>
      </c>
      <c r="L64" s="111">
        <f>IF(T$59="Y",Oct!L54,0)</f>
        <v>0</v>
      </c>
      <c r="M64" s="100" t="str">
        <f>IF(E64=" "," ",IF(T$59="Y",Oct!M54,IF((H64+K64+L64)&gt;0,H64+K64+L64,"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IF(Employee!H$113=E$59,Employee!D$112+SUM(M64)+Oct!V54,SUM(M64)+Oct!V54)</f>
        <v>0</v>
      </c>
      <c r="W64" s="49">
        <f>IF(Employee!H$113=E$59,Employee!D$113+SUM(N64)+Oct!W54,SUM(N64)+Oct!W54)</f>
        <v>0</v>
      </c>
      <c r="X64" s="49">
        <f>IF(O64=" ",Oct!X54,O64+Oct!X54)</f>
        <v>0</v>
      </c>
      <c r="Y64" s="49">
        <f>IF(P64=" ",Oct!Y54,P64+Oct!Y54)</f>
        <v>0</v>
      </c>
      <c r="Z64" s="49">
        <f>IF(Q64=" ",Oct!Z54,Q64+Oct!Z54)</f>
        <v>0</v>
      </c>
      <c r="AA64" s="49">
        <f>IF(R64=" ",Oct!AA54,R64+Oct!AA54)</f>
        <v>0</v>
      </c>
      <c r="AC64" s="49">
        <f>IF(T64=" ",Oct!AC54,T64+Oct!AC54)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IF(T$59="Y",Oct!H55,0)</f>
        <v>0</v>
      </c>
      <c r="I65" s="245">
        <f>IF(T$59="Y",Oct!I55,0)</f>
        <v>0</v>
      </c>
      <c r="J65" s="245">
        <f>IF(T$59="Y",Oct!J55,0)</f>
        <v>0</v>
      </c>
      <c r="K65" s="245">
        <f>IF(T$59="Y",Oct!K55,I65*J65)</f>
        <v>0</v>
      </c>
      <c r="L65" s="246">
        <f>IF(T$59="Y",Oct!L55,0)</f>
        <v>0</v>
      </c>
      <c r="M65" s="100" t="str">
        <f>IF(E65=" "," ",IF(T$59="Y",Oct!M55,IF((H65+K65+L65)&gt;0,H65+K65+L65,"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IF(Employee!H$139=E$59,Employee!D$138+SUM(M65)+Oct!V55,SUM(M65)+Oct!V55)</f>
        <v>0</v>
      </c>
      <c r="W65" s="49">
        <f>IF(Employee!H$139=E$59,Employee!D$139+SUM(N65)+Oct!W55,SUM(N65)+Oct!W55)</f>
        <v>0</v>
      </c>
      <c r="X65" s="49">
        <f>IF(O65=" ",Oct!X55,O65+Oct!X55)</f>
        <v>0</v>
      </c>
      <c r="Y65" s="49">
        <f>IF(P65=" ",Oct!Y55,P65+Oct!Y55)</f>
        <v>0</v>
      </c>
      <c r="Z65" s="49">
        <f>IF(Q65=" ",Oct!Z55,Q65+Oct!Z55)</f>
        <v>0</v>
      </c>
      <c r="AA65" s="49">
        <f>IF(R65=" ",Oct!AA55,R65+Oct!AA55)</f>
        <v>0</v>
      </c>
      <c r="AC65" s="49">
        <f>IF(T65=" ",Oct!AC55,T65+Oct!AC55)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AD70+Oct!AD65</f>
        <v>0</v>
      </c>
      <c r="AE75" s="158">
        <f>AE70+Oct!AE65</f>
        <v>0</v>
      </c>
      <c r="AF75" s="158">
        <f>AF70+Oct!AF65</f>
        <v>0</v>
      </c>
      <c r="AG75" s="158">
        <f>AG70+Oct!AG65</f>
        <v>0</v>
      </c>
    </row>
    <row r="76" spans="1:34" ht="14" thickTop="1" x14ac:dyDescent="0.15"/>
    <row r="77" spans="1:34" x14ac:dyDescent="0.15">
      <c r="AD77" s="162"/>
      <c r="AE77" s="158">
        <f>AE72+Oct!AE67</f>
        <v>0</v>
      </c>
      <c r="AF77" s="158">
        <f>AF72+Oct!AF67</f>
        <v>0</v>
      </c>
      <c r="AG77" s="158">
        <f>AG72+Oct!AG67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Jun!H3:H6</f>
        <v>Statutory Pay</v>
      </c>
      <c r="I3" s="365" t="str">
        <f>Jun!I3:I6</f>
        <v>Basic hours</v>
      </c>
      <c r="J3" s="365" t="str">
        <f>Jun!J3:J6</f>
        <v>Hourly rate</v>
      </c>
      <c r="K3" s="365" t="str">
        <f>Jun!K3:K6</f>
        <v>Basic    wages</v>
      </c>
      <c r="L3" s="365" t="str">
        <f>Jun!L3:L6</f>
        <v>Overtime Bonus Gratuities</v>
      </c>
      <c r="M3" s="428" t="str">
        <f>Jun!M3:M6</f>
        <v>GROSS WAGES</v>
      </c>
      <c r="N3" s="365" t="str">
        <f>Jun!N3:N6</f>
        <v>Income Tax</v>
      </c>
      <c r="O3" s="365" t="str">
        <f>Jun!O3:O6</f>
        <v>Employees National Insurance</v>
      </c>
      <c r="P3" s="365" t="str">
        <f>Jun!P3:P6</f>
        <v>Student Loans</v>
      </c>
      <c r="Q3" s="365" t="str">
        <f>Jun!Q3:Q6</f>
        <v>Other Deductions</v>
      </c>
      <c r="R3" s="428" t="str">
        <f>Jun!R3:R6</f>
        <v>NET      PAY</v>
      </c>
      <c r="S3" s="42"/>
      <c r="T3" s="365" t="str">
        <f>Jun!T3:T6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0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27</v>
      </c>
      <c r="F9" s="35"/>
      <c r="G9" s="35"/>
      <c r="H9" s="360" t="s">
        <v>28</v>
      </c>
      <c r="I9" s="439"/>
      <c r="J9" s="440"/>
      <c r="K9" s="204">
        <f>Admin!B182</f>
        <v>45933</v>
      </c>
      <c r="L9" s="203" t="s">
        <v>76</v>
      </c>
      <c r="M9" s="205">
        <f>Admin!B188</f>
        <v>45939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IF(T$9="Y",Nov!H51,0)</f>
        <v>0</v>
      </c>
      <c r="I11" s="89">
        <f>IF(T$9="Y",Nov!I51,0)</f>
        <v>0</v>
      </c>
      <c r="J11" s="89">
        <f>IF(T$9="Y",Nov!J51,0)</f>
        <v>0</v>
      </c>
      <c r="K11" s="89">
        <f>IF(T$9="Y",Nov!K51,I11*J11)</f>
        <v>0</v>
      </c>
      <c r="L11" s="110">
        <f>IF(T$9="Y",Nov!L51,0)</f>
        <v>0</v>
      </c>
      <c r="M11" s="99" t="str">
        <f>IF(E11=" "," ",IF(T$9="Y",Nov!M51,IF((H11+K11+L11)&gt;0,H11+K11+L11,"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IF(Employee!H$34=E$9,Employee!D$34+SUM(M11)+Nov!V51,SUM(M11)+Nov!V51)</f>
        <v>0</v>
      </c>
      <c r="W11" s="49">
        <f>IF(Employee!H$34=E$9,Employee!D$35+SUM(N11)+Nov!W51,SUM(N11)+Nov!W51)</f>
        <v>0</v>
      </c>
      <c r="X11" s="49">
        <f>IF(O11=" ",Nov!X51,O11+Nov!X51)</f>
        <v>0</v>
      </c>
      <c r="Y11" s="49">
        <f>IF(P11=" ",Nov!Y51,P11+Nov!Y51)</f>
        <v>0</v>
      </c>
      <c r="Z11" s="49">
        <f>IF(Q11=" ",Nov!Z51,Q11+Nov!Z51)</f>
        <v>0</v>
      </c>
      <c r="AA11" s="49">
        <f>IF(R11=" ",Nov!AA51,R11+Nov!AA51)</f>
        <v>0</v>
      </c>
      <c r="AC11" s="49">
        <f>IF(T11=" ",Nov!AC51,T11+Nov!AC51)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IF(T$9="Y",Nov!H52,0)</f>
        <v>0</v>
      </c>
      <c r="I12" s="92">
        <f>IF(T$9="Y",Nov!I52,0)</f>
        <v>0</v>
      </c>
      <c r="J12" s="92">
        <f>IF(T$9="Y",Nov!J52,0)</f>
        <v>0</v>
      </c>
      <c r="K12" s="92">
        <f>IF(T$9="Y",Nov!K52,I12*J12)</f>
        <v>0</v>
      </c>
      <c r="L12" s="111">
        <f>IF(T$9="Y",Nov!L52,0)</f>
        <v>0</v>
      </c>
      <c r="M12" s="100" t="str">
        <f>IF(E12=" "," ",IF(T$9="Y",Nov!M52,IF((H12+K12+L12)&gt;0,H12+K12+L12,"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IF(Employee!H$60=E$9,Employee!D$60+SUM(M12)+Nov!V52,SUM(M12)+Nov!V52)</f>
        <v>0</v>
      </c>
      <c r="W12" s="49">
        <f>IF(Employee!H$60=E$9,Employee!D$61+SUM(N12)+Nov!W52,SUM(N12)+Nov!W52)</f>
        <v>0</v>
      </c>
      <c r="X12" s="49">
        <f>IF(O12=" ",Nov!X52,O12+Nov!X52)</f>
        <v>0</v>
      </c>
      <c r="Y12" s="49">
        <f>IF(P12=" ",Nov!Y52,P12+Nov!Y52)</f>
        <v>0</v>
      </c>
      <c r="Z12" s="49">
        <f>IF(Q12=" ",Nov!Z52,Q12+Nov!Z52)</f>
        <v>0</v>
      </c>
      <c r="AA12" s="49">
        <f>IF(R12=" ",Nov!AA52,R12+Nov!AA52)</f>
        <v>0</v>
      </c>
      <c r="AC12" s="49">
        <f>IF(T12=" ",Nov!AC52,T12+Nov!AC52)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IF(T$9="Y",Nov!H53,0)</f>
        <v>0</v>
      </c>
      <c r="I13" s="92">
        <f>IF(T$9="Y",Nov!I53,0)</f>
        <v>0</v>
      </c>
      <c r="J13" s="92">
        <f>IF(T$9="Y",Nov!J53,0)</f>
        <v>0</v>
      </c>
      <c r="K13" s="92">
        <f>IF(T$9="Y",Nov!K53,I13*J13)</f>
        <v>0</v>
      </c>
      <c r="L13" s="111">
        <f>IF(T$9="Y",Nov!L53,0)</f>
        <v>0</v>
      </c>
      <c r="M13" s="100" t="str">
        <f>IF(E13=" "," ",IF(T$9="Y",Nov!M53,IF((H13+K13+L13)&gt;0,H13+K13+L13,"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IF(Employee!H$86=E$9,Employee!D$86+SUM(M13)+Nov!V53,SUM(M13)+Nov!V53)</f>
        <v>0</v>
      </c>
      <c r="W13" s="49">
        <f>IF(Employee!H$86=E$9,Employee!D$87+SUM(N13)+Nov!W53,SUM(N13)+Nov!W53)</f>
        <v>0</v>
      </c>
      <c r="X13" s="49">
        <f>IF(O13=" ",Nov!X53,O13+Nov!X53)</f>
        <v>0</v>
      </c>
      <c r="Y13" s="49">
        <f>IF(P13=" ",Nov!Y53,P13+Nov!Y53)</f>
        <v>0</v>
      </c>
      <c r="Z13" s="49">
        <f>IF(Q13=" ",Nov!Z53,Q13+Nov!Z53)</f>
        <v>0</v>
      </c>
      <c r="AA13" s="49">
        <f>IF(R13=" ",Nov!AA53,R13+Nov!AA53)</f>
        <v>0</v>
      </c>
      <c r="AC13" s="49">
        <f>IF(T13=" ",Nov!AC53,T13+Nov!AC53)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IF(T$9="Y",Nov!H54,0)</f>
        <v>0</v>
      </c>
      <c r="I14" s="92">
        <f>IF(T$9="Y",Nov!I54,0)</f>
        <v>0</v>
      </c>
      <c r="J14" s="92">
        <f>IF(T$9="Y",Nov!J54,0)</f>
        <v>0</v>
      </c>
      <c r="K14" s="92">
        <f>IF(T$9="Y",Nov!K54,I14*J14)</f>
        <v>0</v>
      </c>
      <c r="L14" s="111">
        <f>IF(T$9="Y",Nov!L54,0)</f>
        <v>0</v>
      </c>
      <c r="M14" s="100" t="str">
        <f>IF(E14=" "," ",IF(T$9="Y",Nov!M54,IF((H14+K14+L14)&gt;0,H14+K14+L14,"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IF(Employee!H$112=E$9,Employee!D$112+SUM(M14)+Nov!V54,SUM(M14)+Nov!V54)</f>
        <v>0</v>
      </c>
      <c r="W14" s="49">
        <f>IF(Employee!H$112=E$9,Employee!D$113+SUM(N14)+Nov!W54,SUM(N14)+Nov!W54)</f>
        <v>0</v>
      </c>
      <c r="X14" s="49">
        <f>IF(O14=" ",Nov!X54,O14+Nov!X54)</f>
        <v>0</v>
      </c>
      <c r="Y14" s="49">
        <f>IF(P14=" ",Nov!Y54,P14+Nov!Y54)</f>
        <v>0</v>
      </c>
      <c r="Z14" s="49">
        <f>IF(Q14=" ",Nov!Z54,Q14+Nov!Z54)</f>
        <v>0</v>
      </c>
      <c r="AA14" s="49">
        <f>IF(R14=" ",Nov!AA54,R14+Nov!AA54)</f>
        <v>0</v>
      </c>
      <c r="AC14" s="49">
        <f>IF(T14=" ",Nov!AC54,T14+Nov!AC54)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IF(T$9="Y",Nov!H55,0)</f>
        <v>0</v>
      </c>
      <c r="I15" s="245">
        <f>IF(T$9="Y",Nov!I55,0)</f>
        <v>0</v>
      </c>
      <c r="J15" s="245">
        <f>IF(T$9="Y",Nov!J55,0)</f>
        <v>0</v>
      </c>
      <c r="K15" s="245">
        <f>IF(T$9="Y",Nov!K55,I15*J15)</f>
        <v>0</v>
      </c>
      <c r="L15" s="246">
        <f>IF(T$9="Y",Nov!L55,0)</f>
        <v>0</v>
      </c>
      <c r="M15" s="247" t="str">
        <f>IF(E15=" "," ",IF(T$9="Y",Nov!M55,IF((H15+K15+L15)&gt;0,H15+K15+L15,"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IF(Employee!H$138=E$9,Employee!D$138+SUM(M15)+Nov!V55,SUM(M15)+Nov!V55)</f>
        <v>0</v>
      </c>
      <c r="W15" s="49">
        <f>IF(Employee!H$138=E$9,Employee!D$139+SUM(N15)+Nov!W55,SUM(N15)+Nov!W55)</f>
        <v>0</v>
      </c>
      <c r="X15" s="49">
        <f>IF(O15=" ",Nov!X55,O15+Nov!X55)</f>
        <v>0</v>
      </c>
      <c r="Y15" s="49">
        <f>IF(P15=" ",Nov!Y55,P15+Nov!Y55)</f>
        <v>0</v>
      </c>
      <c r="Z15" s="49">
        <f>IF(Q15=" ",Nov!Z55,Q15+Nov!Z55)</f>
        <v>0</v>
      </c>
      <c r="AA15" s="49">
        <f>IF(R15=" ",Nov!AA55,R15+Nov!AA55)</f>
        <v>0</v>
      </c>
      <c r="AC15" s="49">
        <f>IF(T15=" ",Nov!AC55,T15+Nov!AC55)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28</v>
      </c>
      <c r="F19" s="35"/>
      <c r="G19" s="35"/>
      <c r="H19" s="360" t="s">
        <v>28</v>
      </c>
      <c r="I19" s="361"/>
      <c r="J19" s="359"/>
      <c r="K19" s="204">
        <f>M9+1</f>
        <v>45940</v>
      </c>
      <c r="L19" s="203" t="s">
        <v>76</v>
      </c>
      <c r="M19" s="205">
        <f>K19+6</f>
        <v>45946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29</v>
      </c>
      <c r="F29" s="35"/>
      <c r="G29" s="35"/>
      <c r="H29" s="360" t="s">
        <v>28</v>
      </c>
      <c r="I29" s="361"/>
      <c r="J29" s="359"/>
      <c r="K29" s="204">
        <f>M19+1</f>
        <v>45947</v>
      </c>
      <c r="L29" s="203" t="s">
        <v>76</v>
      </c>
      <c r="M29" s="205">
        <f>K29+6</f>
        <v>45953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30</v>
      </c>
      <c r="F39" s="35"/>
      <c r="G39" s="35"/>
      <c r="H39" s="360" t="s">
        <v>28</v>
      </c>
      <c r="I39" s="361"/>
      <c r="J39" s="359"/>
      <c r="K39" s="204">
        <f>M29+1</f>
        <v>45954</v>
      </c>
      <c r="L39" s="203" t="s">
        <v>76</v>
      </c>
      <c r="M39" s="205">
        <f>K39+6</f>
        <v>45960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7</v>
      </c>
      <c r="F49" s="35"/>
      <c r="G49" s="35"/>
      <c r="H49" s="360" t="s">
        <v>28</v>
      </c>
      <c r="I49" s="361"/>
      <c r="J49" s="359"/>
      <c r="K49" s="204">
        <f>Admin!B180</f>
        <v>45931</v>
      </c>
      <c r="L49" s="203" t="s">
        <v>76</v>
      </c>
      <c r="M49" s="205">
        <f>Admin!B210</f>
        <v>45961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IF(T$49="Y",Nov!H61,0)</f>
        <v>0</v>
      </c>
      <c r="I51" s="89">
        <f>IF(T$49="Y",Nov!I61,0)</f>
        <v>0</v>
      </c>
      <c r="J51" s="89">
        <f>IF(T$49="Y",Nov!J61,0)</f>
        <v>0</v>
      </c>
      <c r="K51" s="89">
        <f>IF(T$49="Y",Nov!K61,I51*J51)</f>
        <v>0</v>
      </c>
      <c r="L51" s="110">
        <f>IF(T$49="Y",Nov!L61,0)</f>
        <v>0</v>
      </c>
      <c r="M51" s="99" t="str">
        <f>IF(E51=" "," ",IF(T$49="Y",Nov!M61,IF((H51+K51+L51)&gt;0,H51+K51+L51,"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IF(Employee!H$35=E$49,Employee!D$34+SUM(M51)+Nov!V61,SUM(M51)+Nov!V61)</f>
        <v>0</v>
      </c>
      <c r="W51" s="49">
        <f>IF(Employee!H$35=E$49,Employee!D$35+SUM(N51)+Nov!W61,SUM(N51)+Nov!W61)</f>
        <v>0</v>
      </c>
      <c r="X51" s="49">
        <f>IF(O51=" ",Nov!X61,O51+Nov!X61)</f>
        <v>0</v>
      </c>
      <c r="Y51" s="49">
        <f>IF(P51=" ",Nov!Y61,P51+Nov!Y61)</f>
        <v>0</v>
      </c>
      <c r="Z51" s="49">
        <f>IF(Q51=" ",Nov!Z61,Q51+Nov!Z61)</f>
        <v>0</v>
      </c>
      <c r="AA51" s="49">
        <f>IF(R51=" ",Nov!AA61,R51+Nov!AA61)</f>
        <v>0</v>
      </c>
      <c r="AC51" s="49">
        <f>IF(T51=" ",Nov!AC61,T51+Nov!AC61)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IF(T$49="Y",Nov!H62,0)</f>
        <v>0</v>
      </c>
      <c r="I52" s="92">
        <f>IF(T$49="Y",Nov!I62,0)</f>
        <v>0</v>
      </c>
      <c r="J52" s="92">
        <f>IF(T$49="Y",Nov!J62,0)</f>
        <v>0</v>
      </c>
      <c r="K52" s="92">
        <f>IF(T$49="Y",Nov!K62,I52*J52)</f>
        <v>0</v>
      </c>
      <c r="L52" s="111">
        <f>IF(T$49="Y",Nov!L62,0)</f>
        <v>0</v>
      </c>
      <c r="M52" s="100" t="str">
        <f>IF(E52=" "," ",IF(T$49="Y",Nov!M62,IF((H52+K52+L52)&gt;0,H52+K52+L52,"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IF(Employee!H$61=E$49,Employee!D$60+SUM(M52)+Nov!V62,SUM(M52)+Nov!V62)</f>
        <v>0</v>
      </c>
      <c r="W52" s="49">
        <f>IF(Employee!H$61=E$49,Employee!D$61+SUM(N52)+Nov!W62,SUM(N52)+Nov!W62)</f>
        <v>0</v>
      </c>
      <c r="X52" s="49">
        <f>IF(O52=" ",Nov!X62,O52+Nov!X62)</f>
        <v>0</v>
      </c>
      <c r="Y52" s="49">
        <f>IF(P52=" ",Nov!Y62,P52+Nov!Y62)</f>
        <v>0</v>
      </c>
      <c r="Z52" s="49">
        <f>IF(Q52=" ",Nov!Z62,Q52+Nov!Z62)</f>
        <v>0</v>
      </c>
      <c r="AA52" s="49">
        <f>IF(R52=" ",Nov!AA62,R52+Nov!AA62)</f>
        <v>0</v>
      </c>
      <c r="AC52" s="49">
        <f>IF(T52=" ",Nov!AC62,T52+Nov!AC62)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IF(T$49="Y",Nov!H63,0)</f>
        <v>0</v>
      </c>
      <c r="I53" s="92">
        <f>IF(T$49="Y",Nov!I63,0)</f>
        <v>0</v>
      </c>
      <c r="J53" s="92">
        <f>IF(T$49="Y",Nov!J63,0)</f>
        <v>0</v>
      </c>
      <c r="K53" s="92">
        <f>IF(T$49="Y",Nov!K63,I53*J53)</f>
        <v>0</v>
      </c>
      <c r="L53" s="111">
        <f>IF(T$49="Y",Nov!L63,0)</f>
        <v>0</v>
      </c>
      <c r="M53" s="100" t="str">
        <f>IF(E53=" "," ",IF(T$49="Y",Nov!M63,IF((H53+K53+L53)&gt;0,H53+K53+L53,"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IF(Employee!H$87=E$49,Employee!D$86+SUM(M53)+Nov!V63,SUM(M53)+Nov!V63)</f>
        <v>0</v>
      </c>
      <c r="W53" s="49">
        <f>IF(Employee!H$87=E$49,Employee!D$87+SUM(N53)+Nov!W63,SUM(N53)+Nov!W63)</f>
        <v>0</v>
      </c>
      <c r="X53" s="49">
        <f>IF(O53=" ",Nov!X63,O53+Nov!X63)</f>
        <v>0</v>
      </c>
      <c r="Y53" s="49">
        <f>IF(P53=" ",Nov!Y63,P53+Nov!Y63)</f>
        <v>0</v>
      </c>
      <c r="Z53" s="49">
        <f>IF(Q53=" ",Nov!Z63,Q53+Nov!Z63)</f>
        <v>0</v>
      </c>
      <c r="AA53" s="49">
        <f>IF(R53=" ",Nov!AA63,R53+Nov!AA63)</f>
        <v>0</v>
      </c>
      <c r="AC53" s="49">
        <f>IF(T53=" ",Nov!AC63,T53+Nov!AC63)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IF(T$49="Y",Nov!H64,0)</f>
        <v>0</v>
      </c>
      <c r="I54" s="92">
        <f>IF(T$49="Y",Nov!I64,0)</f>
        <v>0</v>
      </c>
      <c r="J54" s="92">
        <f>IF(T$49="Y",Nov!J64,0)</f>
        <v>0</v>
      </c>
      <c r="K54" s="92">
        <f>IF(T$49="Y",Nov!K64,I54*J54)</f>
        <v>0</v>
      </c>
      <c r="L54" s="111">
        <f>IF(T$49="Y",Nov!L64,0)</f>
        <v>0</v>
      </c>
      <c r="M54" s="100" t="str">
        <f>IF(E54=" "," ",IF(T$49="Y",Nov!M64,IF((H54+K54+L54)&gt;0,H54+K54+L54,"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IF(Employee!H$113=E$49,Employee!D$112+SUM(M54)+Nov!V64,SUM(M54)+Nov!V64)</f>
        <v>0</v>
      </c>
      <c r="W54" s="49">
        <f>IF(Employee!H$113=E$49,Employee!D$113+SUM(N54)+Nov!W64,SUM(N54)+Nov!W64)</f>
        <v>0</v>
      </c>
      <c r="X54" s="49">
        <f>IF(O54=" ",Nov!X64,O54+Nov!X64)</f>
        <v>0</v>
      </c>
      <c r="Y54" s="49">
        <f>IF(P54=" ",Nov!Y64,P54+Nov!Y64)</f>
        <v>0</v>
      </c>
      <c r="Z54" s="49">
        <f>IF(Q54=" ",Nov!Z64,Q54+Nov!Z64)</f>
        <v>0</v>
      </c>
      <c r="AA54" s="49">
        <f>IF(R54=" ",Nov!AA64,R54+Nov!AA64)</f>
        <v>0</v>
      </c>
      <c r="AC54" s="49">
        <f>IF(T54=" ",Nov!AC64,T54+Nov!AC64)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IF(T$49="Y",Nov!H65,0)</f>
        <v>0</v>
      </c>
      <c r="I55" s="245">
        <f>IF(T$49="Y",Nov!I65,0)</f>
        <v>0</v>
      </c>
      <c r="J55" s="245">
        <f>IF(T$49="Y",Nov!J65,0)</f>
        <v>0</v>
      </c>
      <c r="K55" s="245">
        <f>IF(T$49="Y",Nov!K65,I55*J55)</f>
        <v>0</v>
      </c>
      <c r="L55" s="246">
        <f>IF(T$49="Y",Nov!L65,0)</f>
        <v>0</v>
      </c>
      <c r="M55" s="100" t="str">
        <f>IF(E55=" "," ",IF(T$49="Y",Nov!M65,IF((H55+K55+L55)&gt;0,H55+K55+L55,"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IF(Employee!H$139=E$49,Employee!D$138+SUM(M55)+Nov!V65,SUM(M55)+Nov!V65)</f>
        <v>0</v>
      </c>
      <c r="W55" s="49">
        <f>IF(Employee!H$139=E$49,Employee!D$139+SUM(N55)+Nov!W65,SUM(N55)+Nov!W65)</f>
        <v>0</v>
      </c>
      <c r="X55" s="49">
        <f>IF(O55=" ",Nov!X65,O55+Nov!X65)</f>
        <v>0</v>
      </c>
      <c r="Y55" s="49">
        <f>IF(P55=" ",Nov!Y65,P55+Nov!Y65)</f>
        <v>0</v>
      </c>
      <c r="Z55" s="49">
        <f>IF(Q55=" ",Nov!Z65,Q55+Nov!Z65)</f>
        <v>0</v>
      </c>
      <c r="AA55" s="49">
        <f>IF(R55=" ",Nov!AA65,R55+Nov!AA65)</f>
        <v>0</v>
      </c>
      <c r="AC55" s="49">
        <f>IF(T55=" ",Nov!AC65,T55+Nov!AC65)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AD60+Nov!AD75</f>
        <v>0</v>
      </c>
      <c r="AE65" s="158">
        <f>AE60+Nov!AE75</f>
        <v>0</v>
      </c>
      <c r="AF65" s="158">
        <f>AF60+Nov!AF75</f>
        <v>0</v>
      </c>
      <c r="AG65" s="158">
        <f>AG60+Nov!AG75</f>
        <v>0</v>
      </c>
    </row>
    <row r="66" spans="6:33" ht="14" thickTop="1" x14ac:dyDescent="0.15"/>
    <row r="67" spans="6:33" x14ac:dyDescent="0.15">
      <c r="AD67" s="162"/>
      <c r="AE67" s="158">
        <f>AE62+Nov!AE77</f>
        <v>0</v>
      </c>
      <c r="AF67" s="158">
        <f>AF62+Nov!AF77</f>
        <v>0</v>
      </c>
      <c r="AG67" s="158">
        <f>AG62+Nov!AG77</f>
        <v>0</v>
      </c>
    </row>
  </sheetData>
  <mergeCells count="79"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  <mergeCell ref="AD1:AG2"/>
    <mergeCell ref="AD3:AD6"/>
    <mergeCell ref="AE3:AE6"/>
    <mergeCell ref="AF3:AF6"/>
    <mergeCell ref="AG3:AG6"/>
    <mergeCell ref="B48:E48"/>
    <mergeCell ref="B49:D49"/>
    <mergeCell ref="H49:J49"/>
    <mergeCell ref="O49:R49"/>
    <mergeCell ref="O48:Q48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16:G16"/>
    <mergeCell ref="B7:T7"/>
    <mergeCell ref="B8:E8"/>
    <mergeCell ref="O8:Q8"/>
    <mergeCell ref="R8:T8"/>
    <mergeCell ref="B9:D9"/>
    <mergeCell ref="H9:J9"/>
    <mergeCell ref="O9:R9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Jun!H3:H6</f>
        <v>Statutory Pay</v>
      </c>
      <c r="I3" s="365" t="str">
        <f>Jun!I3:I6</f>
        <v>Basic hours</v>
      </c>
      <c r="J3" s="365" t="str">
        <f>Jun!J3:J6</f>
        <v>Hourly rate</v>
      </c>
      <c r="K3" s="365" t="str">
        <f>Jun!K3:K6</f>
        <v>Basic    wages</v>
      </c>
      <c r="L3" s="365" t="str">
        <f>Jun!L3:L6</f>
        <v>Overtime Bonus Gratuities</v>
      </c>
      <c r="M3" s="428" t="str">
        <f>Jun!M3:M6</f>
        <v>GROSS WAGES</v>
      </c>
      <c r="N3" s="365" t="str">
        <f>Jun!N3:N6</f>
        <v>Income Tax</v>
      </c>
      <c r="O3" s="365" t="str">
        <f>Jun!O3:O6</f>
        <v>Employees National Insurance</v>
      </c>
      <c r="P3" s="365" t="str">
        <f>Jun!P3:P6</f>
        <v>Student Loans</v>
      </c>
      <c r="Q3" s="365" t="str">
        <f>Jun!Q3:Q6</f>
        <v>Other Deductions</v>
      </c>
      <c r="R3" s="428" t="str">
        <f>Jun!R3:R6</f>
        <v>NET      PAY</v>
      </c>
      <c r="S3" s="42"/>
      <c r="T3" s="365" t="str">
        <f>Jun!T3:T6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31</v>
      </c>
      <c r="F9" s="35"/>
      <c r="G9" s="35"/>
      <c r="H9" s="360" t="s">
        <v>28</v>
      </c>
      <c r="I9" s="361"/>
      <c r="J9" s="359"/>
      <c r="K9" s="204">
        <f>Admin!B210</f>
        <v>45961</v>
      </c>
      <c r="L9" s="203" t="s">
        <v>76</v>
      </c>
      <c r="M9" s="205">
        <f>K9+6</f>
        <v>45967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IF(T$9="Y",Dec!H41,0)</f>
        <v>0</v>
      </c>
      <c r="I11" s="89">
        <f>IF(T$9="Y",Dec!I41,0)</f>
        <v>0</v>
      </c>
      <c r="J11" s="89">
        <f>IF(T$9="Y",Dec!J41,0)</f>
        <v>0</v>
      </c>
      <c r="K11" s="89">
        <f>IF(T$9="Y",Dec!K41,I11*J11)</f>
        <v>0</v>
      </c>
      <c r="L11" s="110">
        <f>IF(T$9="Y",Dec!L41,0)</f>
        <v>0</v>
      </c>
      <c r="M11" s="99" t="str">
        <f>IF(E11=" "," ",IF(T$9="Y",Dec!M41,IF((H11+K11+L11)&gt;0,H11+K11+L11,"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IF(Employee!H$34=E$9,Employee!D$34+SUM(M11)+Dec!V41,SUM(M11)+Dec!V41)</f>
        <v>0</v>
      </c>
      <c r="W11" s="49">
        <f>IF(Employee!H$34=E$9,Employee!D$35+SUM(N11)+Dec!W41,SUM(N11)+Dec!W41)</f>
        <v>0</v>
      </c>
      <c r="X11" s="49">
        <f>IF(O11=" ",Dec!X41,O11+Dec!X41)</f>
        <v>0</v>
      </c>
      <c r="Y11" s="49">
        <f>IF(P11=" ",Dec!Y41,P11+Dec!Y41)</f>
        <v>0</v>
      </c>
      <c r="Z11" s="49">
        <f>IF(Q11=" ",Dec!Z41,Q11+Dec!Z41)</f>
        <v>0</v>
      </c>
      <c r="AA11" s="49">
        <f>IF(R11=" ",Dec!AA41,R11+Dec!AA41)</f>
        <v>0</v>
      </c>
      <c r="AC11" s="49">
        <f>IF(T11=" ",Dec!AC41,T11+Dec!AC41)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IF(T$9="Y",Dec!H42,0)</f>
        <v>0</v>
      </c>
      <c r="I12" s="92">
        <f>IF(T$9="Y",Dec!I42,0)</f>
        <v>0</v>
      </c>
      <c r="J12" s="92">
        <f>IF(T$9="Y",Dec!J42,0)</f>
        <v>0</v>
      </c>
      <c r="K12" s="92">
        <f>IF(T$9="Y",Dec!K42,I12*J12)</f>
        <v>0</v>
      </c>
      <c r="L12" s="111">
        <f>IF(T$9="Y",Dec!L42,0)</f>
        <v>0</v>
      </c>
      <c r="M12" s="100" t="str">
        <f>IF(E12=" "," ",IF(T$9="Y",Dec!M42,IF((H12+K12+L12)&gt;0,H12+K12+L12,"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IF(Employee!H$60=E$9,Employee!D$60+SUM(M12)+Dec!V42,SUM(M12)+Dec!V42)</f>
        <v>0</v>
      </c>
      <c r="W12" s="49">
        <f>IF(Employee!H$60=E$9,Employee!D$61+SUM(N12)+Dec!W42,SUM(N12)+Dec!W42)</f>
        <v>0</v>
      </c>
      <c r="X12" s="49">
        <f>IF(O12=" ",Dec!X42,O12+Dec!X42)</f>
        <v>0</v>
      </c>
      <c r="Y12" s="49">
        <f>IF(P12=" ",Dec!Y42,P12+Dec!Y42)</f>
        <v>0</v>
      </c>
      <c r="Z12" s="49">
        <f>IF(Q12=" ",Dec!Z42,Q12+Dec!Z42)</f>
        <v>0</v>
      </c>
      <c r="AA12" s="49">
        <f>IF(R12=" ",Dec!AA42,R12+Dec!AA42)</f>
        <v>0</v>
      </c>
      <c r="AC12" s="49">
        <f>IF(T12=" ",Dec!AC42,T12+Dec!AC42)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IF(T$9="Y",Dec!H43,0)</f>
        <v>0</v>
      </c>
      <c r="I13" s="92">
        <f>IF(T$9="Y",Dec!I43,0)</f>
        <v>0</v>
      </c>
      <c r="J13" s="92">
        <f>IF(T$9="Y",Dec!J43,0)</f>
        <v>0</v>
      </c>
      <c r="K13" s="92">
        <f>IF(T$9="Y",Dec!K43,I13*J13)</f>
        <v>0</v>
      </c>
      <c r="L13" s="111">
        <f>IF(T$9="Y",Dec!L43,0)</f>
        <v>0</v>
      </c>
      <c r="M13" s="100" t="str">
        <f>IF(E13=" "," ",IF(T$9="Y",Dec!M43,IF((H13+K13+L13)&gt;0,H13+K13+L13,"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IF(Employee!H$86=E$9,Employee!D$86+SUM(M13)+Dec!V43,SUM(M13)+Dec!V43)</f>
        <v>0</v>
      </c>
      <c r="W13" s="49">
        <f>IF(Employee!H$86=E$9,Employee!D$87+SUM(N13)+Dec!W43,SUM(N13)+Dec!W43)</f>
        <v>0</v>
      </c>
      <c r="X13" s="49">
        <f>IF(O13=" ",Dec!X43,O13+Dec!X43)</f>
        <v>0</v>
      </c>
      <c r="Y13" s="49">
        <f>IF(P13=" ",Dec!Y43,P13+Dec!Y43)</f>
        <v>0</v>
      </c>
      <c r="Z13" s="49">
        <f>IF(Q13=" ",Dec!Z43,Q13+Dec!Z43)</f>
        <v>0</v>
      </c>
      <c r="AA13" s="49">
        <f>IF(R13=" ",Dec!AA43,R13+Dec!AA43)</f>
        <v>0</v>
      </c>
      <c r="AC13" s="49">
        <f>IF(T13=" ",Dec!AC43,T13+Dec!AC43)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IF(T$9="Y",Dec!H44,0)</f>
        <v>0</v>
      </c>
      <c r="I14" s="92">
        <f>IF(T$9="Y",Dec!I44,0)</f>
        <v>0</v>
      </c>
      <c r="J14" s="92">
        <f>IF(T$9="Y",Dec!J44,0)</f>
        <v>0</v>
      </c>
      <c r="K14" s="92">
        <f>IF(T$9="Y",Dec!K44,I14*J14)</f>
        <v>0</v>
      </c>
      <c r="L14" s="111">
        <f>IF(T$9="Y",Dec!L44,0)</f>
        <v>0</v>
      </c>
      <c r="M14" s="100" t="str">
        <f>IF(E14=" "," ",IF(T$9="Y",Dec!M44,IF((H14+K14+L14)&gt;0,H14+K14+L14,"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IF(Employee!H$112=E$9,Employee!D$112+SUM(M14)+Dec!V44,SUM(M14)+Dec!V44)</f>
        <v>0</v>
      </c>
      <c r="W14" s="49">
        <f>IF(Employee!H$112=E$9,Employee!D$113+SUM(N14)+Dec!W44,SUM(N14)+Dec!W44)</f>
        <v>0</v>
      </c>
      <c r="X14" s="49">
        <f>IF(O14=" ",Dec!X44,O14+Dec!X44)</f>
        <v>0</v>
      </c>
      <c r="Y14" s="49">
        <f>IF(P14=" ",Dec!Y44,P14+Dec!Y44)</f>
        <v>0</v>
      </c>
      <c r="Z14" s="49">
        <f>IF(Q14=" ",Dec!Z44,Q14+Dec!Z44)</f>
        <v>0</v>
      </c>
      <c r="AA14" s="49">
        <f>IF(R14=" ",Dec!AA44,R14+Dec!AA44)</f>
        <v>0</v>
      </c>
      <c r="AC14" s="49">
        <f>IF(T14=" ",Dec!AC44,T14+Dec!AC44)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IF(T$9="Y",Dec!H45,0)</f>
        <v>0</v>
      </c>
      <c r="I15" s="245">
        <f>IF(T$9="Y",Dec!I45,0)</f>
        <v>0</v>
      </c>
      <c r="J15" s="245">
        <f>IF(T$9="Y",Dec!J45,0)</f>
        <v>0</v>
      </c>
      <c r="K15" s="245">
        <f>IF(T$9="Y",Dec!K45,I15*J15)</f>
        <v>0</v>
      </c>
      <c r="L15" s="246">
        <f>IF(T$9="Y",Dec!L45,0)</f>
        <v>0</v>
      </c>
      <c r="M15" s="247" t="str">
        <f>IF(E15=" "," ",IF(T$9="Y",Dec!M45,IF((H15+K15+L15)&gt;0,H15+K15+L15,"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IF(Employee!H$138=E$9,Employee!D$138+SUM(M15)+Dec!V45,SUM(M15)+Dec!V45)</f>
        <v>0</v>
      </c>
      <c r="W15" s="49">
        <f>IF(Employee!H$138=E$9,Employee!D$139+SUM(N15)+Dec!W45,SUM(N15)+Dec!W45)</f>
        <v>0</v>
      </c>
      <c r="X15" s="49">
        <f>IF(O15=" ",Dec!X45,O15+Dec!X45)</f>
        <v>0</v>
      </c>
      <c r="Y15" s="49">
        <f>IF(P15=" ",Dec!Y45,P15+Dec!Y45)</f>
        <v>0</v>
      </c>
      <c r="Z15" s="49">
        <f>IF(Q15=" ",Dec!Z45,Q15+Dec!Z45)</f>
        <v>0</v>
      </c>
      <c r="AA15" s="49">
        <f>IF(R15=" ",Dec!AA45,R15+Dec!AA45)</f>
        <v>0</v>
      </c>
      <c r="AC15" s="49">
        <f>IF(T15=" ",Dec!AC45,T15+Dec!AC45)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32</v>
      </c>
      <c r="F19" s="35"/>
      <c r="G19" s="35"/>
      <c r="H19" s="360" t="s">
        <v>28</v>
      </c>
      <c r="I19" s="361"/>
      <c r="J19" s="359"/>
      <c r="K19" s="204">
        <f>M9+1</f>
        <v>45968</v>
      </c>
      <c r="L19" s="203" t="s">
        <v>76</v>
      </c>
      <c r="M19" s="205">
        <f>K19+6</f>
        <v>45974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33</v>
      </c>
      <c r="F29" s="35"/>
      <c r="G29" s="35"/>
      <c r="H29" s="360" t="s">
        <v>28</v>
      </c>
      <c r="I29" s="361"/>
      <c r="J29" s="359"/>
      <c r="K29" s="204">
        <f>M19+1</f>
        <v>45975</v>
      </c>
      <c r="L29" s="203" t="s">
        <v>76</v>
      </c>
      <c r="M29" s="205">
        <f>K29+6</f>
        <v>45981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34</v>
      </c>
      <c r="F39" s="35"/>
      <c r="G39" s="35"/>
      <c r="H39" s="360" t="s">
        <v>28</v>
      </c>
      <c r="I39" s="439"/>
      <c r="J39" s="440"/>
      <c r="K39" s="204">
        <f>M29+1</f>
        <v>45982</v>
      </c>
      <c r="L39" s="203" t="s">
        <v>76</v>
      </c>
      <c r="M39" s="205">
        <f>K39+6</f>
        <v>45988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8</v>
      </c>
      <c r="F49" s="35"/>
      <c r="G49" s="35"/>
      <c r="H49" s="360" t="s">
        <v>28</v>
      </c>
      <c r="I49" s="361"/>
      <c r="J49" s="359"/>
      <c r="K49" s="204">
        <f>Admin!B211</f>
        <v>45962</v>
      </c>
      <c r="L49" s="203" t="s">
        <v>76</v>
      </c>
      <c r="M49" s="205">
        <f>Admin!B240</f>
        <v>45991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IF(T$49="Y",Dec!H51,0)</f>
        <v>0</v>
      </c>
      <c r="I51" s="89">
        <f>IF(T$49="Y",Dec!I51,0)</f>
        <v>0</v>
      </c>
      <c r="J51" s="89">
        <f>IF(T$49="Y",Dec!J51,0)</f>
        <v>0</v>
      </c>
      <c r="K51" s="89">
        <f>IF(T$49="Y",Dec!K51,I51*J51)</f>
        <v>0</v>
      </c>
      <c r="L51" s="110">
        <f>IF(T$49="Y",Dec!L51,0)</f>
        <v>0</v>
      </c>
      <c r="M51" s="99" t="str">
        <f>IF(E51=" "," ",IF(T$49="Y",Dec!M51,IF((H51+K51+L51)&gt;0,H51+K51+L51,"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IF(Employee!H$35=E$49,Employee!D$34+SUM(M51)+Dec!V51,SUM(M51)+Dec!V51)</f>
        <v>0</v>
      </c>
      <c r="W51" s="49">
        <f>IF(Employee!H$35=E$49,Employee!D$35+SUM(N51)+Dec!W51,SUM(N51)+Dec!W51)</f>
        <v>0</v>
      </c>
      <c r="X51" s="49">
        <f>IF(O51=" ",Dec!X51,O51+Dec!X51)</f>
        <v>0</v>
      </c>
      <c r="Y51" s="49">
        <f>IF(P51=" ",Dec!Y51,P51+Dec!Y51)</f>
        <v>0</v>
      </c>
      <c r="Z51" s="49">
        <f>IF(Q51=" ",Dec!Z51,Q51+Dec!Z51)</f>
        <v>0</v>
      </c>
      <c r="AA51" s="49">
        <f>IF(R51=" ",Dec!AA51,R51+Dec!AA51)</f>
        <v>0</v>
      </c>
      <c r="AC51" s="49">
        <f>IF(T51=" ",Dec!AC51,T51+Dec!AC51)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IF(T$49="Y",Dec!H52,0)</f>
        <v>0</v>
      </c>
      <c r="I52" s="92">
        <f>IF(T$49="Y",Dec!I52,0)</f>
        <v>0</v>
      </c>
      <c r="J52" s="92">
        <f>IF(T$49="Y",Dec!J52,0)</f>
        <v>0</v>
      </c>
      <c r="K52" s="92">
        <f>IF(T$49="Y",Dec!K52,I52*J52)</f>
        <v>0</v>
      </c>
      <c r="L52" s="111">
        <f>IF(T$49="Y",Dec!L52,0)</f>
        <v>0</v>
      </c>
      <c r="M52" s="100" t="str">
        <f>IF(E52=" "," ",IF(T$49="Y",Dec!M52,IF((H52+K52+L52)&gt;0,H52+K52+L52,"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IF(Employee!H$61=E$49,Employee!D$60+SUM(M52)+Dec!V52,SUM(M52)+Dec!V52)</f>
        <v>0</v>
      </c>
      <c r="W52" s="49">
        <f>IF(Employee!H$61=E$49,Employee!D$61+SUM(N52)+Dec!W52,SUM(N52)+Dec!W52)</f>
        <v>0</v>
      </c>
      <c r="X52" s="49">
        <f>IF(O52=" ",Dec!X52,O52+Dec!X52)</f>
        <v>0</v>
      </c>
      <c r="Y52" s="49">
        <f>IF(P52=" ",Dec!Y52,P52+Dec!Y52)</f>
        <v>0</v>
      </c>
      <c r="Z52" s="49">
        <f>IF(Q52=" ",Dec!Z52,Q52+Dec!Z52)</f>
        <v>0</v>
      </c>
      <c r="AA52" s="49">
        <f>IF(R52=" ",Dec!AA52,R52+Dec!AA52)</f>
        <v>0</v>
      </c>
      <c r="AC52" s="49">
        <f>IF(T52=" ",Dec!AC52,T52+Dec!AC52)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IF(T$49="Y",Dec!H53,0)</f>
        <v>0</v>
      </c>
      <c r="I53" s="92">
        <f>IF(T$49="Y",Dec!I53,0)</f>
        <v>0</v>
      </c>
      <c r="J53" s="92">
        <f>IF(T$49="Y",Dec!J53,0)</f>
        <v>0</v>
      </c>
      <c r="K53" s="92">
        <f>IF(T$49="Y",Dec!K53,I53*J53)</f>
        <v>0</v>
      </c>
      <c r="L53" s="111">
        <f>IF(T$49="Y",Dec!L53,0)</f>
        <v>0</v>
      </c>
      <c r="M53" s="100" t="str">
        <f>IF(E53=" "," ",IF(T$49="Y",Dec!M53,IF((H53+K53+L53)&gt;0,H53+K53+L53,"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IF(Employee!H$87=E$49,Employee!D$86+SUM(M53)+Dec!V53,SUM(M53)+Dec!V53)</f>
        <v>0</v>
      </c>
      <c r="W53" s="49">
        <f>IF(Employee!H$87=E$49,Employee!D$87+SUM(N53)+Dec!W53,SUM(N53)+Dec!W53)</f>
        <v>0</v>
      </c>
      <c r="X53" s="49">
        <f>IF(O53=" ",Dec!X53,O53+Dec!X53)</f>
        <v>0</v>
      </c>
      <c r="Y53" s="49">
        <f>IF(P53=" ",Dec!Y53,P53+Dec!Y53)</f>
        <v>0</v>
      </c>
      <c r="Z53" s="49">
        <f>IF(Q53=" ",Dec!Z53,Q53+Dec!Z53)</f>
        <v>0</v>
      </c>
      <c r="AA53" s="49">
        <f>IF(R53=" ",Dec!AA53,R53+Dec!AA53)</f>
        <v>0</v>
      </c>
      <c r="AC53" s="49">
        <f>IF(T53=" ",Dec!AC53,T53+Dec!AC53)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IF(T$49="Y",Dec!H54,0)</f>
        <v>0</v>
      </c>
      <c r="I54" s="92">
        <f>IF(T$49="Y",Dec!I54,0)</f>
        <v>0</v>
      </c>
      <c r="J54" s="92">
        <f>IF(T$49="Y",Dec!J54,0)</f>
        <v>0</v>
      </c>
      <c r="K54" s="92">
        <f>IF(T$49="Y",Dec!K54,I54*J54)</f>
        <v>0</v>
      </c>
      <c r="L54" s="111">
        <f>IF(T$49="Y",Dec!L54,0)</f>
        <v>0</v>
      </c>
      <c r="M54" s="100" t="str">
        <f>IF(E54=" "," ",IF(T$49="Y",Dec!M54,IF((H54+K54+L54)&gt;0,H54+K54+L54,"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IF(Employee!H$113=E$49,Employee!D$112+SUM(M54)+Dec!V54,SUM(M54)+Dec!V54)</f>
        <v>0</v>
      </c>
      <c r="W54" s="49">
        <f>IF(Employee!H$113=E$49,Employee!D$113+SUM(N54)+Dec!W54,SUM(N54)+Dec!W54)</f>
        <v>0</v>
      </c>
      <c r="X54" s="49">
        <f>IF(O54=" ",Dec!X54,O54+Dec!X54)</f>
        <v>0</v>
      </c>
      <c r="Y54" s="49">
        <f>IF(P54=" ",Dec!Y54,P54+Dec!Y54)</f>
        <v>0</v>
      </c>
      <c r="Z54" s="49">
        <f>IF(Q54=" ",Dec!Z54,Q54+Dec!Z54)</f>
        <v>0</v>
      </c>
      <c r="AA54" s="49">
        <f>IF(R54=" ",Dec!AA54,R54+Dec!AA54)</f>
        <v>0</v>
      </c>
      <c r="AC54" s="49">
        <f>IF(T54=" ",Dec!AC54,T54+Dec!AC54)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IF(T$49="Y",Dec!H55,0)</f>
        <v>0</v>
      </c>
      <c r="I55" s="245">
        <f>IF(T$49="Y",Dec!I55,0)</f>
        <v>0</v>
      </c>
      <c r="J55" s="245">
        <f>IF(T$49="Y",Dec!J55,0)</f>
        <v>0</v>
      </c>
      <c r="K55" s="245">
        <f>IF(T$49="Y",Dec!K55,I55*J55)</f>
        <v>0</v>
      </c>
      <c r="L55" s="246">
        <f>IF(T$49="Y",Dec!L55,0)</f>
        <v>0</v>
      </c>
      <c r="M55" s="100" t="str">
        <f>IF(E55=" "," ",IF(T$49="Y",Dec!M55,IF((H55+K55+L55)&gt;0,H55+K55+L55,"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IF(Employee!H$139=E$49,Employee!D$138+SUM(M55)+Dec!V55,SUM(M55)+Dec!V55)</f>
        <v>0</v>
      </c>
      <c r="W55" s="49">
        <f>IF(Employee!H$139=E$49,Employee!D$139+SUM(N55)+Dec!W55,SUM(N55)+Dec!W55)</f>
        <v>0</v>
      </c>
      <c r="X55" s="49">
        <f>IF(O55=" ",Dec!X55,O55+Dec!X55)</f>
        <v>0</v>
      </c>
      <c r="Y55" s="49">
        <f>IF(P55=" ",Dec!Y55,P55+Dec!Y55)</f>
        <v>0</v>
      </c>
      <c r="Z55" s="49">
        <f>IF(Q55=" ",Dec!Z55,Q55+Dec!Z55)</f>
        <v>0</v>
      </c>
      <c r="AA55" s="49">
        <f>IF(R55=" ",Dec!AA55,R55+Dec!AA55)</f>
        <v>0</v>
      </c>
      <c r="AC55" s="49">
        <f>IF(T55=" ",Dec!AC55,T55+Dec!AC55)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AD60+Dec!AD65</f>
        <v>0</v>
      </c>
      <c r="AE65" s="158">
        <f>AE60+Dec!AE65</f>
        <v>0</v>
      </c>
      <c r="AF65" s="158">
        <f>AF60+Dec!AF65</f>
        <v>0</v>
      </c>
      <c r="AG65" s="158">
        <f>AG60+Dec!AG65</f>
        <v>0</v>
      </c>
    </row>
    <row r="66" spans="6:33" ht="14" thickTop="1" x14ac:dyDescent="0.15"/>
    <row r="67" spans="6:33" x14ac:dyDescent="0.15">
      <c r="AD67" s="162"/>
      <c r="AE67" s="158">
        <f>AE62+Dec!AE67</f>
        <v>0</v>
      </c>
      <c r="AF67" s="158">
        <f>AF62+Dec!AF67</f>
        <v>0</v>
      </c>
      <c r="AG67" s="158">
        <f>AG62+Dec!AG67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Jun!H3:H6</f>
        <v>Statutory Pay</v>
      </c>
      <c r="I3" s="365" t="str">
        <f>Jun!I3:I6</f>
        <v>Basic hours</v>
      </c>
      <c r="J3" s="365" t="str">
        <f>Jun!J3:J6</f>
        <v>Hourly rate</v>
      </c>
      <c r="K3" s="365" t="str">
        <f>Jun!K3:K6</f>
        <v>Basic    wages</v>
      </c>
      <c r="L3" s="365" t="str">
        <f>Jun!L3:L6</f>
        <v>Overtime Bonus Gratuities</v>
      </c>
      <c r="M3" s="428" t="str">
        <f>Jun!M3:M6</f>
        <v>GROSS WAGES</v>
      </c>
      <c r="N3" s="365" t="str">
        <f>Jun!N3:N6</f>
        <v>Income Tax</v>
      </c>
      <c r="O3" s="365" t="str">
        <f>Jun!O3:O6</f>
        <v>Employees National Insurance</v>
      </c>
      <c r="P3" s="365" t="str">
        <f>Jun!P3:P6</f>
        <v>Student Loans</v>
      </c>
      <c r="Q3" s="365" t="str">
        <f>Jun!Q3:Q6</f>
        <v>Other Deductions</v>
      </c>
      <c r="R3" s="428" t="str">
        <f>Jun!R3:R6</f>
        <v>NET      PAY</v>
      </c>
      <c r="S3" s="42"/>
      <c r="T3" s="365" t="str">
        <f>Jun!T3:T6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35</v>
      </c>
      <c r="F9" s="35"/>
      <c r="G9" s="35"/>
      <c r="H9" s="360" t="s">
        <v>28</v>
      </c>
      <c r="I9" s="361"/>
      <c r="J9" s="359"/>
      <c r="K9" s="204">
        <f>Jan!M39+1</f>
        <v>45989</v>
      </c>
      <c r="L9" s="203" t="s">
        <v>76</v>
      </c>
      <c r="M9" s="205">
        <f>K9+6</f>
        <v>45995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IF(T$9="Y",Jan!H41,0)</f>
        <v>0</v>
      </c>
      <c r="I11" s="89">
        <f>IF(T$9="Y",Jan!I41,0)</f>
        <v>0</v>
      </c>
      <c r="J11" s="89">
        <f>IF(T$9="Y",Jan!J41,0)</f>
        <v>0</v>
      </c>
      <c r="K11" s="89">
        <f>IF(T$9="Y",Jan!K41,I11*J11)</f>
        <v>0</v>
      </c>
      <c r="L11" s="110">
        <f>IF(T$9="Y",Jan!L41,0)</f>
        <v>0</v>
      </c>
      <c r="M11" s="110" t="str">
        <f>IF(E11=" "," ",IF(T$9="Y",Jan!M41,IF((H11+K11+L11)&gt;0,H11+K11+L11,"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IF(Employee!H$34=E$9,Employee!D$34+SUM(M11)+Jan!V41,SUM(M11)+Jan!V41)</f>
        <v>0</v>
      </c>
      <c r="W11" s="49">
        <f>IF(Employee!H$34=E$9,Employee!D$35+SUM(N11)+Jan!W41,SUM(N11)+Jan!W41)</f>
        <v>0</v>
      </c>
      <c r="X11" s="49">
        <f>IF(O11=" ",Jan!X41,O11+Jan!X41)</f>
        <v>0</v>
      </c>
      <c r="Y11" s="49">
        <f>IF(P11=" ",Jan!Y41,P11+Jan!Y41)</f>
        <v>0</v>
      </c>
      <c r="Z11" s="49">
        <f>IF(Q11=" ",Jan!Z41,Q11+Jan!Z41)</f>
        <v>0</v>
      </c>
      <c r="AA11" s="49">
        <f>IF(R11=" ",Jan!AA41,R11+Jan!AA41)</f>
        <v>0</v>
      </c>
      <c r="AC11" s="49">
        <f>IF(T11=" ",Jan!AC41,T11+Jan!AC41)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IF(T$9="Y",Jan!H42,0)</f>
        <v>0</v>
      </c>
      <c r="I12" s="92">
        <f>IF(T$9="Y",Jan!I42,0)</f>
        <v>0</v>
      </c>
      <c r="J12" s="92">
        <f>IF(T$9="Y",Jan!J42,0)</f>
        <v>0</v>
      </c>
      <c r="K12" s="92">
        <f>IF(T$9="Y",Jan!K42,I12*J12)</f>
        <v>0</v>
      </c>
      <c r="L12" s="111">
        <f>IF(T$9="Y",Jan!L42,0)</f>
        <v>0</v>
      </c>
      <c r="M12" s="111" t="str">
        <f>IF(E12=" "," ",IF(T$9="Y",Jan!M42,IF((H12+K12+L12)&gt;0,H12+K12+L12,"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IF(Employee!H$60=E$9,Employee!D$60+SUM(M12)+Jan!V42,SUM(M12)+Jan!V42)</f>
        <v>0</v>
      </c>
      <c r="W12" s="49">
        <f>IF(Employee!H$60=E$9,Employee!D$61+SUM(N12)+Jan!W42,SUM(N12)+Jan!W42)</f>
        <v>0</v>
      </c>
      <c r="X12" s="49">
        <f>IF(O12=" ",Jan!X42,O12+Jan!X42)</f>
        <v>0</v>
      </c>
      <c r="Y12" s="49">
        <f>IF(P12=" ",Jan!Y42,P12+Jan!Y42)</f>
        <v>0</v>
      </c>
      <c r="Z12" s="49">
        <f>IF(Q12=" ",Jan!Z42,Q12+Jan!Z42)</f>
        <v>0</v>
      </c>
      <c r="AA12" s="49">
        <f>IF(R12=" ",Jan!AA42,R12+Jan!AA42)</f>
        <v>0</v>
      </c>
      <c r="AC12" s="49">
        <f>IF(T12=" ",Jan!AC42,T12+Jan!AC42)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IF(T$9="Y",Jan!H43,0)</f>
        <v>0</v>
      </c>
      <c r="I13" s="92">
        <f>IF(T$9="Y",Jan!I43,0)</f>
        <v>0</v>
      </c>
      <c r="J13" s="92">
        <f>IF(T$9="Y",Jan!J43,0)</f>
        <v>0</v>
      </c>
      <c r="K13" s="92">
        <f>IF(T$9="Y",Jan!K43,I13*J13)</f>
        <v>0</v>
      </c>
      <c r="L13" s="111">
        <f>IF(T$9="Y",Jan!L43,0)</f>
        <v>0</v>
      </c>
      <c r="M13" s="111" t="str">
        <f>IF(E13=" "," ",IF(T$9="Y",Jan!M43,IF((H13+K13+L13)&gt;0,H13+K13+L13,"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IF(Employee!H$86=E$9,Employee!D$86+SUM(M13)+Jan!V43,SUM(M13)+Jan!V43)</f>
        <v>0</v>
      </c>
      <c r="W13" s="49">
        <f>IF(Employee!H$86=E$9,Employee!D$87+SUM(N13)+Jan!W43,SUM(N13)+Jan!W43)</f>
        <v>0</v>
      </c>
      <c r="X13" s="49">
        <f>IF(O13=" ",Jan!X43,O13+Jan!X43)</f>
        <v>0</v>
      </c>
      <c r="Y13" s="49">
        <f>IF(P13=" ",Jan!Y43,P13+Jan!Y43)</f>
        <v>0</v>
      </c>
      <c r="Z13" s="49">
        <f>IF(Q13=" ",Jan!Z43,Q13+Jan!Z43)</f>
        <v>0</v>
      </c>
      <c r="AA13" s="49">
        <f>IF(R13=" ",Jan!AA43,R13+Jan!AA43)</f>
        <v>0</v>
      </c>
      <c r="AC13" s="49">
        <f>IF(T13=" ",Jan!AC43,T13+Jan!AC43)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IF(T$9="Y",Jan!H44,0)</f>
        <v>0</v>
      </c>
      <c r="I14" s="92">
        <f>IF(T$9="Y",Jan!I44,0)</f>
        <v>0</v>
      </c>
      <c r="J14" s="92">
        <f>IF(T$9="Y",Jan!J44,0)</f>
        <v>0</v>
      </c>
      <c r="K14" s="92">
        <f>IF(T$9="Y",Jan!K44,I14*J14)</f>
        <v>0</v>
      </c>
      <c r="L14" s="111">
        <f>IF(T$9="Y",Jan!L44,0)</f>
        <v>0</v>
      </c>
      <c r="M14" s="111" t="str">
        <f>IF(E14=" "," ",IF(T$9="Y",Jan!M44,IF((H14+K14+L14)&gt;0,H14+K14+L14,"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IF(Employee!H$112=E$9,Employee!D$112+SUM(M14)+Jan!V44,SUM(M14)+Jan!V44)</f>
        <v>0</v>
      </c>
      <c r="W14" s="49">
        <f>IF(Employee!H$112=E$9,Employee!D$113+SUM(N14)+Jan!W44,SUM(N14)+Jan!W44)</f>
        <v>0</v>
      </c>
      <c r="X14" s="49">
        <f>IF(O14=" ",Jan!X44,O14+Jan!X44)</f>
        <v>0</v>
      </c>
      <c r="Y14" s="49">
        <f>IF(P14=" ",Jan!Y44,P14+Jan!Y44)</f>
        <v>0</v>
      </c>
      <c r="Z14" s="49">
        <f>IF(Q14=" ",Jan!Z44,Q14+Jan!Z44)</f>
        <v>0</v>
      </c>
      <c r="AA14" s="49">
        <f>IF(R14=" ",Jan!AA44,R14+Jan!AA44)</f>
        <v>0</v>
      </c>
      <c r="AC14" s="49">
        <f>IF(T14=" ",Jan!AC44,T14+Jan!AC44)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IF(T$9="Y",Jan!H45,0)</f>
        <v>0</v>
      </c>
      <c r="I15" s="245">
        <f>IF(T$9="Y",Jan!I45,0)</f>
        <v>0</v>
      </c>
      <c r="J15" s="245">
        <f>IF(T$9="Y",Jan!J45,0)</f>
        <v>0</v>
      </c>
      <c r="K15" s="245">
        <f>IF(T$9="Y",Jan!K45,I15*J15)</f>
        <v>0</v>
      </c>
      <c r="L15" s="246">
        <f>IF(T$9="Y",Jan!L45,0)</f>
        <v>0</v>
      </c>
      <c r="M15" s="111" t="str">
        <f>IF(E15=" "," ",IF(T$9="Y",Jan!M45,IF((H15+K15+L15)&gt;0,H15+K15+L15,"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IF(Employee!H$138=E$9,Employee!D$138+SUM(M15)+Jan!V45,SUM(M15)+Jan!V45)</f>
        <v>0</v>
      </c>
      <c r="W15" s="49">
        <f>IF(Employee!H$138=E$9,Employee!D$139+SUM(N15)+Jan!W45,SUM(N15)+Jan!W45)</f>
        <v>0</v>
      </c>
      <c r="X15" s="49">
        <f>IF(O15=" ",Jan!X45,O15+Jan!X45)</f>
        <v>0</v>
      </c>
      <c r="Y15" s="49">
        <f>IF(P15=" ",Jan!Y45,P15+Jan!Y45)</f>
        <v>0</v>
      </c>
      <c r="Z15" s="49">
        <f>IF(Q15=" ",Jan!Z45,Q15+Jan!Z45)</f>
        <v>0</v>
      </c>
      <c r="AA15" s="49">
        <f>IF(R15=" ",Jan!AA45,R15+Jan!AA45)</f>
        <v>0</v>
      </c>
      <c r="AC15" s="49">
        <f>IF(T15=" ",Jan!AC45,T15+Jan!AC45)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36</v>
      </c>
      <c r="F19" s="35"/>
      <c r="G19" s="35"/>
      <c r="H19" s="360" t="s">
        <v>28</v>
      </c>
      <c r="I19" s="361"/>
      <c r="J19" s="359"/>
      <c r="K19" s="204">
        <f>M9+1</f>
        <v>45996</v>
      </c>
      <c r="L19" s="203" t="s">
        <v>76</v>
      </c>
      <c r="M19" s="205">
        <f>K19+6</f>
        <v>46002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37</v>
      </c>
      <c r="F29" s="35"/>
      <c r="G29" s="35"/>
      <c r="H29" s="360" t="s">
        <v>28</v>
      </c>
      <c r="I29" s="361"/>
      <c r="J29" s="359"/>
      <c r="K29" s="204">
        <f>M19+1</f>
        <v>46003</v>
      </c>
      <c r="L29" s="203" t="s">
        <v>76</v>
      </c>
      <c r="M29" s="205">
        <f>K29+6</f>
        <v>46009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38</v>
      </c>
      <c r="F39" s="35"/>
      <c r="G39" s="35"/>
      <c r="H39" s="360" t="s">
        <v>28</v>
      </c>
      <c r="I39" s="439"/>
      <c r="J39" s="440"/>
      <c r="K39" s="204">
        <f>M29+1</f>
        <v>46010</v>
      </c>
      <c r="L39" s="203" t="s">
        <v>76</v>
      </c>
      <c r="M39" s="205">
        <f>K39+6</f>
        <v>46016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39</v>
      </c>
      <c r="F49" s="35"/>
      <c r="G49" s="35"/>
      <c r="H49" s="360" t="s">
        <v>28</v>
      </c>
      <c r="I49" s="439"/>
      <c r="J49" s="440"/>
      <c r="K49" s="204">
        <f>M39+1</f>
        <v>46017</v>
      </c>
      <c r="L49" s="203" t="s">
        <v>76</v>
      </c>
      <c r="M49" s="205">
        <f>K49+6</f>
        <v>46023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9</v>
      </c>
      <c r="F59" s="35"/>
      <c r="G59" s="35"/>
      <c r="H59" s="360" t="s">
        <v>28</v>
      </c>
      <c r="I59" s="361"/>
      <c r="J59" s="359"/>
      <c r="K59" s="204">
        <f>Admin!B241</f>
        <v>45992</v>
      </c>
      <c r="L59" s="203" t="s">
        <v>76</v>
      </c>
      <c r="M59" s="205">
        <f>Admin!B271</f>
        <v>46022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IF(T$59="Y",Jan!H51,0)</f>
        <v>0</v>
      </c>
      <c r="I61" s="89">
        <f>IF(T$59="Y",Jan!I51,0)</f>
        <v>0</v>
      </c>
      <c r="J61" s="89">
        <f>IF(T$59="Y",Jan!J51,0)</f>
        <v>0</v>
      </c>
      <c r="K61" s="89">
        <f>IF(T$59="Y",Jan!K51,I61*J61)</f>
        <v>0</v>
      </c>
      <c r="L61" s="110">
        <f>IF(T$59="Y",Jan!L51,0)</f>
        <v>0</v>
      </c>
      <c r="M61" s="99" t="str">
        <f>IF(E61=" "," ",IF(T$59="Y",Jan!M51,IF((H61+K61+L61)&gt;0,H61+K61+L61,"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IF(Employee!H$35=E$59,Employee!D$34+SUM(M61)+Jan!V51,SUM(M61)+Jan!V51)</f>
        <v>0</v>
      </c>
      <c r="W61" s="49">
        <f>IF(Employee!H$35=E$59,Employee!D$35+SUM(N61)+Jan!W51,SUM(N61)+Jan!W51)</f>
        <v>0</v>
      </c>
      <c r="X61" s="49">
        <f>IF(O61=" ",Jan!X51,O61+Jan!X51)</f>
        <v>0</v>
      </c>
      <c r="Y61" s="49">
        <f>IF(P61=" ",Jan!Y51,P61+Jan!Y51)</f>
        <v>0</v>
      </c>
      <c r="Z61" s="49">
        <f>IF(Q61=" ",Jan!Z51,Q61+Jan!Z51)</f>
        <v>0</v>
      </c>
      <c r="AA61" s="49">
        <f>IF(R61=" ",Jan!AA51,R61+Jan!AA51)</f>
        <v>0</v>
      </c>
      <c r="AC61" s="49">
        <f>IF(T61=" ",Jan!AC51,T61+Jan!AC51)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IF(T$59="Y",Jan!H52,0)</f>
        <v>0</v>
      </c>
      <c r="I62" s="92">
        <f>IF(T$59="Y",Jan!I52,0)</f>
        <v>0</v>
      </c>
      <c r="J62" s="92">
        <f>IF(T$59="Y",Jan!J52,0)</f>
        <v>0</v>
      </c>
      <c r="K62" s="92">
        <f>IF(T$59="Y",Jan!K52,I62*J62)</f>
        <v>0</v>
      </c>
      <c r="L62" s="111">
        <f>IF(T$59="Y",Jan!L52,0)</f>
        <v>0</v>
      </c>
      <c r="M62" s="100" t="str">
        <f>IF(E62=" "," ",IF(T$59="Y",Jan!M52,IF((H62+K62+L62)&gt;0,H62+K62+L62,"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IF(Employee!H$61=E$59,Employee!D$60+SUM(M62)+Jan!V52,SUM(M62)+Jan!V52)</f>
        <v>0</v>
      </c>
      <c r="W62" s="49">
        <f>IF(Employee!H$61=E$59,Employee!D$61+SUM(N62)+Jan!W52,SUM(N62)+Jan!W52)</f>
        <v>0</v>
      </c>
      <c r="X62" s="49">
        <f>IF(O62=" ",Jan!X52,O62+Jan!X52)</f>
        <v>0</v>
      </c>
      <c r="Y62" s="49">
        <f>IF(P62=" ",Jan!Y52,P62+Jan!Y52)</f>
        <v>0</v>
      </c>
      <c r="Z62" s="49">
        <f>IF(Q62=" ",Jan!Z52,Q62+Jan!Z52)</f>
        <v>0</v>
      </c>
      <c r="AA62" s="49">
        <f>IF(R62=" ",Jan!AA52,R62+Jan!AA52)</f>
        <v>0</v>
      </c>
      <c r="AC62" s="49">
        <f>IF(T62=" ",Jan!AC52,T62+Jan!AC52)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IF(T$59="Y",Jan!H53,0)</f>
        <v>0</v>
      </c>
      <c r="I63" s="92">
        <f>IF(T$59="Y",Jan!I53,0)</f>
        <v>0</v>
      </c>
      <c r="J63" s="92">
        <f>IF(T$59="Y",Jan!J53,0)</f>
        <v>0</v>
      </c>
      <c r="K63" s="92">
        <f>IF(T$59="Y",Jan!K53,I63*J63)</f>
        <v>0</v>
      </c>
      <c r="L63" s="111">
        <f>IF(T$59="Y",Jan!L53,0)</f>
        <v>0</v>
      </c>
      <c r="M63" s="100" t="str">
        <f>IF(E63=" "," ",IF(T$59="Y",Jan!M53,IF((H63+K63+L63)&gt;0,H63+K63+L63,"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IF(Employee!H$87=E$59,Employee!D$86+SUM(M63)+Jan!V53,SUM(M63)+Jan!V53)</f>
        <v>0</v>
      </c>
      <c r="W63" s="49">
        <f>IF(Employee!H$87=E$59,Employee!D$87+SUM(N63)+Jan!W53,SUM(N63)+Jan!W53)</f>
        <v>0</v>
      </c>
      <c r="X63" s="49">
        <f>IF(O63=" ",Jan!X53,O63+Jan!X53)</f>
        <v>0</v>
      </c>
      <c r="Y63" s="49">
        <f>IF(P63=" ",Jan!Y53,P63+Jan!Y53)</f>
        <v>0</v>
      </c>
      <c r="Z63" s="49">
        <f>IF(Q63=" ",Jan!Z53,Q63+Jan!Z53)</f>
        <v>0</v>
      </c>
      <c r="AA63" s="49">
        <f>IF(R63=" ",Jan!AA53,R63+Jan!AA53)</f>
        <v>0</v>
      </c>
      <c r="AC63" s="49">
        <f>IF(T63=" ",Jan!AC53,T63+Jan!AC53)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IF(T$59="Y",Jan!H54,0)</f>
        <v>0</v>
      </c>
      <c r="I64" s="92">
        <f>IF(T$59="Y",Jan!I54,0)</f>
        <v>0</v>
      </c>
      <c r="J64" s="92">
        <f>IF(T$59="Y",Jan!J54,0)</f>
        <v>0</v>
      </c>
      <c r="K64" s="92">
        <f>IF(T$59="Y",Jan!K54,I64*J64)</f>
        <v>0</v>
      </c>
      <c r="L64" s="111">
        <f>IF(T$59="Y",Jan!L54,0)</f>
        <v>0</v>
      </c>
      <c r="M64" s="100" t="str">
        <f>IF(E64=" "," ",IF(T$59="Y",Jan!M54,IF((H64+K64+L64)&gt;0,H64+K64+L64,"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IF(Employee!H$113=E$59,Employee!D$112+SUM(M64)+Jan!V54,SUM(M64)+Jan!V54)</f>
        <v>0</v>
      </c>
      <c r="W64" s="49">
        <f>IF(Employee!H$113=E$59,Employee!D$113+SUM(N64)+Jan!W54,SUM(N64)+Jan!W54)</f>
        <v>0</v>
      </c>
      <c r="X64" s="49">
        <f>IF(O64=" ",Jan!X54,O64+Jan!X54)</f>
        <v>0</v>
      </c>
      <c r="Y64" s="49">
        <f>IF(P64=" ",Jan!Y54,P64+Jan!Y54)</f>
        <v>0</v>
      </c>
      <c r="Z64" s="49">
        <f>IF(Q64=" ",Jan!Z54,Q64+Jan!Z54)</f>
        <v>0</v>
      </c>
      <c r="AA64" s="49">
        <f>IF(R64=" ",Jan!AA54,R64+Jan!AA54)</f>
        <v>0</v>
      </c>
      <c r="AC64" s="49">
        <f>IF(T64=" ",Jan!AC54,T64+Jan!AC54)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IF(T$59="Y",Jan!H55,0)</f>
        <v>0</v>
      </c>
      <c r="I65" s="245">
        <f>IF(T$59="Y",Jan!I55,0)</f>
        <v>0</v>
      </c>
      <c r="J65" s="245">
        <f>IF(T$59="Y",Jan!J55,0)</f>
        <v>0</v>
      </c>
      <c r="K65" s="245">
        <f>IF(T$59="Y",Jan!K55,I65*J65)</f>
        <v>0</v>
      </c>
      <c r="L65" s="246">
        <f>IF(T$59="Y",Jan!L55,0)</f>
        <v>0</v>
      </c>
      <c r="M65" s="100" t="str">
        <f>IF(E65=" "," ",IF(T$59="Y",Jan!M55,IF((H65+K65+L65)&gt;0,H65+K65+L65,"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IF(Employee!H$139=E$59,Employee!D$138+SUM(M65)+Jan!V55,SUM(M65)+Jan!V55)</f>
        <v>0</v>
      </c>
      <c r="W65" s="49">
        <f>IF(Employee!H$139=E$59,Employee!D$139+SUM(N65)+Jan!W55,SUM(N65)+Jan!W55)</f>
        <v>0</v>
      </c>
      <c r="X65" s="49">
        <f>IF(O65=" ",Jan!X55,O65+Jan!X55)</f>
        <v>0</v>
      </c>
      <c r="Y65" s="49">
        <f>IF(P65=" ",Jan!Y55,P65+Jan!Y55)</f>
        <v>0</v>
      </c>
      <c r="Z65" s="49">
        <f>IF(Q65=" ",Jan!Z55,Q65+Jan!Z55)</f>
        <v>0</v>
      </c>
      <c r="AA65" s="49">
        <f>IF(R65=" ",Jan!AA55,R65+Jan!AA55)</f>
        <v>0</v>
      </c>
      <c r="AC65" s="49">
        <f>IF(T65=" ",Jan!AC55,T65+Jan!AC55)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AD70+Jan!AD65</f>
        <v>0</v>
      </c>
      <c r="AE75" s="158">
        <f>AE70+Jan!AE65</f>
        <v>0</v>
      </c>
      <c r="AF75" s="158">
        <f>AF70+Jan!AF65</f>
        <v>0</v>
      </c>
      <c r="AG75" s="158">
        <f>AG70+Jan!AG65</f>
        <v>0</v>
      </c>
    </row>
    <row r="76" spans="1:34" ht="14" thickTop="1" x14ac:dyDescent="0.15"/>
    <row r="77" spans="1:34" x14ac:dyDescent="0.15">
      <c r="AD77" s="162"/>
      <c r="AE77" s="158">
        <f>AE72+Jan!AE67</f>
        <v>0</v>
      </c>
      <c r="AF77" s="158">
        <f>AF72+Jan!AF67</f>
        <v>0</v>
      </c>
      <c r="AG77" s="158">
        <f>AG72+Jan!AG67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Jun!H3:H6</f>
        <v>Statutory Pay</v>
      </c>
      <c r="I3" s="365" t="str">
        <f>Jun!I3:I6</f>
        <v>Basic hours</v>
      </c>
      <c r="J3" s="365" t="str">
        <f>Jun!J3:J6</f>
        <v>Hourly rate</v>
      </c>
      <c r="K3" s="365" t="str">
        <f>Jun!K3:K6</f>
        <v>Basic    wages</v>
      </c>
      <c r="L3" s="365" t="str">
        <f>Jun!L3:L6</f>
        <v>Overtime Bonus Gratuities</v>
      </c>
      <c r="M3" s="428" t="str">
        <f>Jun!M3:M6</f>
        <v>GROSS WAGES</v>
      </c>
      <c r="N3" s="365" t="str">
        <f>Jun!N3:N6</f>
        <v>Income Tax</v>
      </c>
      <c r="O3" s="365" t="str">
        <f>Jun!O3:O6</f>
        <v>Employees National Insurance</v>
      </c>
      <c r="P3" s="365" t="str">
        <f>Jun!P3:P6</f>
        <v>Student Loans</v>
      </c>
      <c r="Q3" s="365" t="str">
        <f>Jun!Q3:Q6</f>
        <v>Other Deductions</v>
      </c>
      <c r="R3" s="428" t="str">
        <f>Jun!R3:R6</f>
        <v>NET      PAY</v>
      </c>
      <c r="S3" s="42"/>
      <c r="T3" s="365" t="str">
        <f>Jun!T3:T6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40</v>
      </c>
      <c r="F9" s="35"/>
      <c r="G9" s="35"/>
      <c r="H9" s="360" t="s">
        <v>28</v>
      </c>
      <c r="I9" s="361"/>
      <c r="J9" s="359"/>
      <c r="K9" s="204">
        <f>Feb!M49+1</f>
        <v>46024</v>
      </c>
      <c r="L9" s="203" t="s">
        <v>76</v>
      </c>
      <c r="M9" s="205">
        <f>K9+6</f>
        <v>46030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IF(T$9="Y",Feb!H51,0)</f>
        <v>0</v>
      </c>
      <c r="I11" s="89">
        <f>IF(T$9="Y",Feb!I51,0)</f>
        <v>0</v>
      </c>
      <c r="J11" s="89">
        <f>IF(T$9="Y",Feb!J51,0)</f>
        <v>0</v>
      </c>
      <c r="K11" s="89">
        <f>IF(T$9="Y",Feb!K51,I11*J11)</f>
        <v>0</v>
      </c>
      <c r="L11" s="110">
        <f>IF(T$9="Y",Feb!L51,0)</f>
        <v>0</v>
      </c>
      <c r="M11" s="110" t="str">
        <f>IF(E11=" "," ",IF(T$9="Y",Feb!M51,IF((H11+K11+L11)&gt;0,H11+K11+L11,"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IF(Employee!H$34=E$9,Employee!D$34+SUM(M11)+Feb!V51,SUM(M11)+Feb!V51)</f>
        <v>0</v>
      </c>
      <c r="W11" s="49">
        <f>IF(Employee!H$34=E$9,Employee!D$35+SUM(N11)+Feb!W51,SUM(N11)+Feb!W51)</f>
        <v>0</v>
      </c>
      <c r="X11" s="49">
        <f>IF(O11=" ",Feb!X51,O11+Feb!X51)</f>
        <v>0</v>
      </c>
      <c r="Y11" s="49">
        <f>IF(P11=" ",Feb!Y51,P11+Feb!Y51)</f>
        <v>0</v>
      </c>
      <c r="Z11" s="49">
        <f>IF(Q11=" ",Feb!Z51,Q11+Feb!Z51)</f>
        <v>0</v>
      </c>
      <c r="AA11" s="49">
        <f>IF(R11=" ",Feb!AA51,R11+Feb!AA51)</f>
        <v>0</v>
      </c>
      <c r="AC11" s="49">
        <f>IF(T11=" ",Feb!AC51,T11+Feb!AC51)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IF(T$9="Y",Feb!H52,0)</f>
        <v>0</v>
      </c>
      <c r="I12" s="92">
        <f>IF(T$9="Y",Feb!I52,0)</f>
        <v>0</v>
      </c>
      <c r="J12" s="92">
        <f>IF(T$9="Y",Feb!J52,0)</f>
        <v>0</v>
      </c>
      <c r="K12" s="92">
        <f>IF(T$9="Y",Feb!K52,I12*J12)</f>
        <v>0</v>
      </c>
      <c r="L12" s="111">
        <f>IF(T$9="Y",Feb!L52,0)</f>
        <v>0</v>
      </c>
      <c r="M12" s="111" t="str">
        <f>IF(E12=" "," ",IF(T$9="Y",Feb!M52,IF((H12+K12+L12)&gt;0,H12+K12+L12,"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IF(Employee!H$60=E$9,Employee!D$60+SUM(M12)+Feb!V52,SUM(M12)+Feb!V52)</f>
        <v>0</v>
      </c>
      <c r="W12" s="49">
        <f>IF(Employee!H$60=E$9,Employee!D$61+SUM(N12)+Feb!W52,SUM(N12)+Feb!W52)</f>
        <v>0</v>
      </c>
      <c r="X12" s="49">
        <f>IF(O12=" ",Feb!X52,O12+Feb!X52)</f>
        <v>0</v>
      </c>
      <c r="Y12" s="49">
        <f>IF(P12=" ",Feb!Y52,P12+Feb!Y52)</f>
        <v>0</v>
      </c>
      <c r="Z12" s="49">
        <f>IF(Q12=" ",Feb!Z52,Q12+Feb!Z52)</f>
        <v>0</v>
      </c>
      <c r="AA12" s="49">
        <f>IF(R12=" ",Feb!AA52,R12+Feb!AA52)</f>
        <v>0</v>
      </c>
      <c r="AC12" s="49">
        <f>IF(T12=" ",Feb!AC52,T12+Feb!AC52)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IF(T$9="Y",Feb!H53,0)</f>
        <v>0</v>
      </c>
      <c r="I13" s="92">
        <f>IF(T$9="Y",Feb!I53,0)</f>
        <v>0</v>
      </c>
      <c r="J13" s="92">
        <f>IF(T$9="Y",Feb!J53,0)</f>
        <v>0</v>
      </c>
      <c r="K13" s="92">
        <f>IF(T$9="Y",Feb!K53,I13*J13)</f>
        <v>0</v>
      </c>
      <c r="L13" s="111">
        <f>IF(T$9="Y",Feb!L53,0)</f>
        <v>0</v>
      </c>
      <c r="M13" s="111" t="str">
        <f>IF(E13=" "," ",IF(T$9="Y",Feb!M53,IF((H13+K13+L13)&gt;0,H13+K13+L13,"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IF(Employee!H$86=E$9,Employee!D$86+SUM(M13)+Feb!V53,SUM(M13)+Feb!V53)</f>
        <v>0</v>
      </c>
      <c r="W13" s="49">
        <f>IF(Employee!H$86=E$9,Employee!D$87+SUM(N13)+Feb!W53,SUM(N13)+Feb!W53)</f>
        <v>0</v>
      </c>
      <c r="X13" s="49">
        <f>IF(O13=" ",Feb!X53,O13+Feb!X53)</f>
        <v>0</v>
      </c>
      <c r="Y13" s="49">
        <f>IF(P13=" ",Feb!Y53,P13+Feb!Y53)</f>
        <v>0</v>
      </c>
      <c r="Z13" s="49">
        <f>IF(Q13=" ",Feb!Z53,Q13+Feb!Z53)</f>
        <v>0</v>
      </c>
      <c r="AA13" s="49">
        <f>IF(R13=" ",Feb!AA53,R13+Feb!AA53)</f>
        <v>0</v>
      </c>
      <c r="AC13" s="49">
        <f>IF(T13=" ",Feb!AC53,T13+Feb!AC53)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IF(T$9="Y",Feb!H54,0)</f>
        <v>0</v>
      </c>
      <c r="I14" s="92">
        <f>IF(T$9="Y",Feb!I54,0)</f>
        <v>0</v>
      </c>
      <c r="J14" s="92">
        <f>IF(T$9="Y",Feb!J54,0)</f>
        <v>0</v>
      </c>
      <c r="K14" s="92">
        <f>IF(T$9="Y",Feb!K54,I14*J14)</f>
        <v>0</v>
      </c>
      <c r="L14" s="111">
        <f>IF(T$9="Y",Feb!L54,0)</f>
        <v>0</v>
      </c>
      <c r="M14" s="111" t="str">
        <f>IF(E14=" "," ",IF(T$9="Y",Feb!M54,IF((H14+K14+L14)&gt;0,H14+K14+L14,"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IF(Employee!H$112=E$9,Employee!D$112+SUM(M14)+Feb!V54,SUM(M14)+Feb!V54)</f>
        <v>0</v>
      </c>
      <c r="W14" s="49">
        <f>IF(Employee!H$112=E$9,Employee!D$113+SUM(N14)+Feb!W54,SUM(N14)+Feb!W54)</f>
        <v>0</v>
      </c>
      <c r="X14" s="49">
        <f>IF(O14=" ",Feb!X54,O14+Feb!X54)</f>
        <v>0</v>
      </c>
      <c r="Y14" s="49">
        <f>IF(P14=" ",Feb!Y54,P14+Feb!Y54)</f>
        <v>0</v>
      </c>
      <c r="Z14" s="49">
        <f>IF(Q14=" ",Feb!Z54,Q14+Feb!Z54)</f>
        <v>0</v>
      </c>
      <c r="AA14" s="49">
        <f>IF(R14=" ",Feb!AA54,R14+Feb!AA54)</f>
        <v>0</v>
      </c>
      <c r="AC14" s="49">
        <f>IF(T14=" ",Feb!AC54,T14+Feb!AC54)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IF(T$9="Y",Feb!H55,0)</f>
        <v>0</v>
      </c>
      <c r="I15" s="245">
        <f>IF(T$9="Y",Feb!I55,0)</f>
        <v>0</v>
      </c>
      <c r="J15" s="245">
        <f>IF(T$9="Y",Feb!J55,0)</f>
        <v>0</v>
      </c>
      <c r="K15" s="245">
        <f>IF(T$9="Y",Feb!K55,I15*J15)</f>
        <v>0</v>
      </c>
      <c r="L15" s="246">
        <f>IF(T$9="Y",Feb!L55,0)</f>
        <v>0</v>
      </c>
      <c r="M15" s="111" t="str">
        <f>IF(E15=" "," ",IF(T$9="Y",Feb!M55,IF((H15+K15+L15)&gt;0,H15+K15+L15,"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IF(Employee!H$138=E$9,Employee!D$138+SUM(M15)+Feb!V55,SUM(M15)+Feb!V55)</f>
        <v>0</v>
      </c>
      <c r="W15" s="49">
        <f>IF(Employee!H$138=E$9,Employee!D$139+SUM(N15)+Feb!W55,SUM(N15)+Feb!W55)</f>
        <v>0</v>
      </c>
      <c r="X15" s="49">
        <f>IF(O15=" ",Feb!X55,O15+Feb!X55)</f>
        <v>0</v>
      </c>
      <c r="Y15" s="49">
        <f>IF(P15=" ",Feb!Y55,P15+Feb!Y55)</f>
        <v>0</v>
      </c>
      <c r="Z15" s="49">
        <f>IF(Q15=" ",Feb!Z55,Q15+Feb!Z55)</f>
        <v>0</v>
      </c>
      <c r="AA15" s="49">
        <f>IF(R15=" ",Feb!AA55,R15+Feb!AA55)</f>
        <v>0</v>
      </c>
      <c r="AC15" s="49">
        <f>IF(T15=" ",Feb!AC55,T15+Feb!AC55)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41</v>
      </c>
      <c r="F19" s="35"/>
      <c r="G19" s="35"/>
      <c r="H19" s="360" t="s">
        <v>28</v>
      </c>
      <c r="I19" s="361"/>
      <c r="J19" s="359"/>
      <c r="K19" s="204">
        <f>M9+1</f>
        <v>46031</v>
      </c>
      <c r="L19" s="203" t="s">
        <v>76</v>
      </c>
      <c r="M19" s="205">
        <f>K19+6</f>
        <v>46037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42</v>
      </c>
      <c r="F29" s="35"/>
      <c r="G29" s="35"/>
      <c r="H29" s="360" t="s">
        <v>28</v>
      </c>
      <c r="I29" s="361"/>
      <c r="J29" s="359"/>
      <c r="K29" s="204">
        <f>M19+1</f>
        <v>46038</v>
      </c>
      <c r="L29" s="203" t="s">
        <v>76</v>
      </c>
      <c r="M29" s="205">
        <f>K29+6</f>
        <v>46044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43</v>
      </c>
      <c r="F39" s="35"/>
      <c r="G39" s="35"/>
      <c r="H39" s="360" t="s">
        <v>28</v>
      </c>
      <c r="I39" s="439"/>
      <c r="J39" s="440"/>
      <c r="K39" s="204">
        <f>M29+1</f>
        <v>46045</v>
      </c>
      <c r="L39" s="203" t="s">
        <v>76</v>
      </c>
      <c r="M39" s="205">
        <f>K39+6</f>
        <v>46051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10</v>
      </c>
      <c r="F49" s="35"/>
      <c r="G49" s="35"/>
      <c r="H49" s="360" t="s">
        <v>28</v>
      </c>
      <c r="I49" s="361"/>
      <c r="J49" s="359"/>
      <c r="K49" s="204">
        <f>Admin!B272</f>
        <v>46023</v>
      </c>
      <c r="L49" s="203" t="s">
        <v>76</v>
      </c>
      <c r="M49" s="205">
        <f>Admin!B302</f>
        <v>46053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IF(T$49="Y",Feb!H61,0)</f>
        <v>0</v>
      </c>
      <c r="I51" s="89">
        <f>IF(T$49="Y",Feb!I61,0)</f>
        <v>0</v>
      </c>
      <c r="J51" s="89">
        <f>IF(T$49="Y",Feb!J61,0)</f>
        <v>0</v>
      </c>
      <c r="K51" s="89">
        <f>IF(T$49="Y",Feb!K61,I51*J51)</f>
        <v>0</v>
      </c>
      <c r="L51" s="110">
        <f>IF(T$49="Y",Feb!L61,0)</f>
        <v>0</v>
      </c>
      <c r="M51" s="99" t="str">
        <f>IF(E51=" "," ",IF(T$49="Y",Feb!M61,IF((H51+K51+L51)&gt;0,H51+K51+L51,"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IF(Employee!H$35=E$49,Employee!D$34+SUM(M51)+Feb!V61,SUM(M51)+Feb!V61)</f>
        <v>0</v>
      </c>
      <c r="W51" s="49">
        <f>IF(Employee!H$35=E$49,Employee!D$35+SUM(N51)+Feb!W61,SUM(N51)+Feb!W61)</f>
        <v>0</v>
      </c>
      <c r="X51" s="49">
        <f>IF(O51=" ",Feb!X61,O51+Feb!X61)</f>
        <v>0</v>
      </c>
      <c r="Y51" s="49">
        <f>IF(P51=" ",Feb!Y61,P51+Feb!Y61)</f>
        <v>0</v>
      </c>
      <c r="Z51" s="49">
        <f>IF(Q51=" ",Feb!Z61,Q51+Feb!Z61)</f>
        <v>0</v>
      </c>
      <c r="AA51" s="49">
        <f>IF(R51=" ",Feb!AA61,R51+Feb!AA61)</f>
        <v>0</v>
      </c>
      <c r="AC51" s="49">
        <f>IF(T51=" ",Feb!AC61,T51+Feb!AC61)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IF(T$49="Y",Feb!H62,0)</f>
        <v>0</v>
      </c>
      <c r="I52" s="92">
        <f>IF(T$49="Y",Feb!I62,0)</f>
        <v>0</v>
      </c>
      <c r="J52" s="92">
        <f>IF(T$49="Y",Feb!J62,0)</f>
        <v>0</v>
      </c>
      <c r="K52" s="92">
        <f>IF(T$49="Y",Feb!K62,I52*J52)</f>
        <v>0</v>
      </c>
      <c r="L52" s="111">
        <f>IF(T$49="Y",Feb!L62,0)</f>
        <v>0</v>
      </c>
      <c r="M52" s="100" t="str">
        <f>IF(E52=" "," ",IF(T$49="Y",Feb!M62,IF((H52+K52+L52)&gt;0,H52+K52+L52,"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IF(Employee!H$61=E$49,Employee!D$60+SUM(M52)+Feb!V62,SUM(M52)+Feb!V62)</f>
        <v>0</v>
      </c>
      <c r="W52" s="49">
        <f>IF(Employee!H$61=E$49,Employee!D$61+SUM(N52)+Feb!W62,SUM(N52)+Feb!W62)</f>
        <v>0</v>
      </c>
      <c r="X52" s="49">
        <f>IF(O52=" ",Feb!X62,O52+Feb!X62)</f>
        <v>0</v>
      </c>
      <c r="Y52" s="49">
        <f>IF(P52=" ",Feb!Y62,P52+Feb!Y62)</f>
        <v>0</v>
      </c>
      <c r="Z52" s="49">
        <f>IF(Q52=" ",Feb!Z62,Q52+Feb!Z62)</f>
        <v>0</v>
      </c>
      <c r="AA52" s="49">
        <f>IF(R52=" ",Feb!AA62,R52+Feb!AA62)</f>
        <v>0</v>
      </c>
      <c r="AC52" s="49">
        <f>IF(T52=" ",Feb!AC62,T52+Feb!AC62)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IF(T$49="Y",Feb!H63,0)</f>
        <v>0</v>
      </c>
      <c r="I53" s="92">
        <f>IF(T$49="Y",Feb!I63,0)</f>
        <v>0</v>
      </c>
      <c r="J53" s="92">
        <f>IF(T$49="Y",Feb!J63,0)</f>
        <v>0</v>
      </c>
      <c r="K53" s="92">
        <f>IF(T$49="Y",Feb!K63,I53*J53)</f>
        <v>0</v>
      </c>
      <c r="L53" s="111">
        <f>IF(T$49="Y",Feb!L63,0)</f>
        <v>0</v>
      </c>
      <c r="M53" s="100" t="str">
        <f>IF(E53=" "," ",IF(T$49="Y",Feb!M63,IF((H53+K53+L53)&gt;0,H53+K53+L53,"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IF(Employee!H$87=E$49,Employee!D$86+SUM(M53)+Feb!V63,SUM(M53)+Feb!V63)</f>
        <v>0</v>
      </c>
      <c r="W53" s="49">
        <f>IF(Employee!H$87=E$49,Employee!D$87+SUM(N53)+Feb!W63,SUM(N53)+Feb!W63)</f>
        <v>0</v>
      </c>
      <c r="X53" s="49">
        <f>IF(O53=" ",Feb!X63,O53+Feb!X63)</f>
        <v>0</v>
      </c>
      <c r="Y53" s="49">
        <f>IF(P53=" ",Feb!Y63,P53+Feb!Y63)</f>
        <v>0</v>
      </c>
      <c r="Z53" s="49">
        <f>IF(Q53=" ",Feb!Z63,Q53+Feb!Z63)</f>
        <v>0</v>
      </c>
      <c r="AA53" s="49">
        <f>IF(R53=" ",Feb!AA63,R53+Feb!AA63)</f>
        <v>0</v>
      </c>
      <c r="AC53" s="49">
        <f>IF(T53=" ",Feb!AC63,T53+Feb!AC63)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IF(T$49="Y",Feb!H64,0)</f>
        <v>0</v>
      </c>
      <c r="I54" s="92">
        <f>IF(T$49="Y",Feb!I64,0)</f>
        <v>0</v>
      </c>
      <c r="J54" s="92">
        <f>IF(T$49="Y",Feb!J64,0)</f>
        <v>0</v>
      </c>
      <c r="K54" s="92">
        <f>IF(T$49="Y",Feb!K64,I54*J54)</f>
        <v>0</v>
      </c>
      <c r="L54" s="111">
        <f>IF(T$49="Y",Feb!L64,0)</f>
        <v>0</v>
      </c>
      <c r="M54" s="100" t="str">
        <f>IF(E54=" "," ",IF(T$49="Y",Feb!M64,IF((H54+K54+L54)&gt;0,H54+K54+L54,"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IF(Employee!H$113=E$49,Employee!D$112+SUM(M54)+Feb!V64,SUM(M54)+Feb!V64)</f>
        <v>0</v>
      </c>
      <c r="W54" s="49">
        <f>IF(Employee!H$113=E$49,Employee!D$113+SUM(N54)+Feb!W64,SUM(N54)+Feb!W64)</f>
        <v>0</v>
      </c>
      <c r="X54" s="49">
        <f>IF(O54=" ",Feb!X64,O54+Feb!X64)</f>
        <v>0</v>
      </c>
      <c r="Y54" s="49">
        <f>IF(P54=" ",Feb!Y64,P54+Feb!Y64)</f>
        <v>0</v>
      </c>
      <c r="Z54" s="49">
        <f>IF(Q54=" ",Feb!Z64,Q54+Feb!Z64)</f>
        <v>0</v>
      </c>
      <c r="AA54" s="49">
        <f>IF(R54=" ",Feb!AA64,R54+Feb!AA64)</f>
        <v>0</v>
      </c>
      <c r="AC54" s="49">
        <f>IF(T54=" ",Feb!AC64,T54+Feb!AC64)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IF(T$49="Y",Feb!H65,0)</f>
        <v>0</v>
      </c>
      <c r="I55" s="245">
        <f>IF(T$49="Y",Feb!I65,0)</f>
        <v>0</v>
      </c>
      <c r="J55" s="245">
        <f>IF(T$49="Y",Feb!J65,0)</f>
        <v>0</v>
      </c>
      <c r="K55" s="245">
        <f>IF(T$49="Y",Feb!K65,I55*J55)</f>
        <v>0</v>
      </c>
      <c r="L55" s="246">
        <f>IF(T$49="Y",Feb!L65,0)</f>
        <v>0</v>
      </c>
      <c r="M55" s="100" t="str">
        <f>IF(E55=" "," ",IF(T$49="Y",Feb!M65,IF((H55+K55+L55)&gt;0,H55+K55+L55,"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IF(Employee!H$139=E$49,Employee!D$138+SUM(M55)+Feb!V65,SUM(M55)+Feb!V65)</f>
        <v>0</v>
      </c>
      <c r="W55" s="49">
        <f>IF(Employee!H$139=E$49,Employee!D$139+SUM(N55)+Feb!W65,SUM(N55)+Feb!W65)</f>
        <v>0</v>
      </c>
      <c r="X55" s="49">
        <f>IF(O55=" ",Feb!X65,O55+Feb!X65)</f>
        <v>0</v>
      </c>
      <c r="Y55" s="49">
        <f>IF(P55=" ",Feb!Y65,P55+Feb!Y65)</f>
        <v>0</v>
      </c>
      <c r="Z55" s="49">
        <f>IF(Q55=" ",Feb!Z65,Q55+Feb!Z65)</f>
        <v>0</v>
      </c>
      <c r="AA55" s="49">
        <f>IF(R55=" ",Feb!AA65,R55+Feb!AA65)</f>
        <v>0</v>
      </c>
      <c r="AC55" s="49">
        <f>IF(T55=" ",Feb!AC65,T55+Feb!AC65)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AD60+Feb!AD75</f>
        <v>0</v>
      </c>
      <c r="AE65" s="158">
        <f>AE60+Feb!AE75</f>
        <v>0</v>
      </c>
      <c r="AF65" s="158">
        <f>AF60+Feb!AF75</f>
        <v>0</v>
      </c>
      <c r="AG65" s="158">
        <f>AG60+Feb!AG75</f>
        <v>0</v>
      </c>
    </row>
    <row r="66" spans="6:33" ht="14" thickTop="1" x14ac:dyDescent="0.15"/>
    <row r="67" spans="6:33" x14ac:dyDescent="0.15">
      <c r="AD67" s="162"/>
      <c r="AE67" s="158">
        <f>AE62+Feb!AE77</f>
        <v>0</v>
      </c>
      <c r="AF67" s="158">
        <f>AF62+Feb!AF77</f>
        <v>0</v>
      </c>
      <c r="AG67" s="158">
        <f>AG62+Feb!AG77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46" t="s">
        <v>66</v>
      </c>
      <c r="C1" s="447"/>
      <c r="D1" s="447"/>
      <c r="E1" s="447"/>
      <c r="F1" s="448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49"/>
      <c r="C2" s="450"/>
      <c r="D2" s="450"/>
      <c r="E2" s="450"/>
      <c r="F2" s="451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Jun!H3:H6</f>
        <v>Statutory Pay</v>
      </c>
      <c r="I3" s="365" t="str">
        <f>Jun!I3:I6</f>
        <v>Basic hours</v>
      </c>
      <c r="J3" s="365" t="str">
        <f>Jun!J3:J6</f>
        <v>Hourly rate</v>
      </c>
      <c r="K3" s="365" t="str">
        <f>Jun!K3:K6</f>
        <v>Basic    wages</v>
      </c>
      <c r="L3" s="365" t="str">
        <f>Jun!L3:L6</f>
        <v>Overtime Bonus Gratuities</v>
      </c>
      <c r="M3" s="428" t="str">
        <f>Jun!M3:M6</f>
        <v>GROSS WAGES</v>
      </c>
      <c r="N3" s="365" t="str">
        <f>Jun!N3:N6</f>
        <v>Income Tax</v>
      </c>
      <c r="O3" s="365" t="str">
        <f>Jun!O3:O6</f>
        <v>Employees National Insurance</v>
      </c>
      <c r="P3" s="365" t="str">
        <f>Jun!P3:P6</f>
        <v>Student Loans</v>
      </c>
      <c r="Q3" s="365" t="str">
        <f>Jun!Q3:Q6</f>
        <v>Other Deductions</v>
      </c>
      <c r="R3" s="428" t="str">
        <f>Jun!R3:R6</f>
        <v>NET      PAY</v>
      </c>
      <c r="S3" s="42"/>
      <c r="T3" s="365" t="str">
        <f>Jun!T3:T6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44</v>
      </c>
      <c r="F9" s="35"/>
      <c r="G9" s="35"/>
      <c r="H9" s="360" t="s">
        <v>28</v>
      </c>
      <c r="I9" s="361"/>
      <c r="J9" s="359"/>
      <c r="K9" s="204">
        <f>Mar!M39+1</f>
        <v>46052</v>
      </c>
      <c r="L9" s="203" t="s">
        <v>76</v>
      </c>
      <c r="M9" s="205">
        <f>K9+6</f>
        <v>46058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IF(T$9="Y",Mar!H41,0)</f>
        <v>0</v>
      </c>
      <c r="I11" s="89">
        <f>IF(T$9="Y",Mar!I41,0)</f>
        <v>0</v>
      </c>
      <c r="J11" s="89">
        <f>IF(T$9="Y",Mar!J41,0)</f>
        <v>0</v>
      </c>
      <c r="K11" s="89">
        <f>IF(T$9="Y",Mar!K41,I11*J11)</f>
        <v>0</v>
      </c>
      <c r="L11" s="110">
        <f>IF(T$9="Y",Mar!L41,0)</f>
        <v>0</v>
      </c>
      <c r="M11" s="110" t="str">
        <f>IF(E11=" "," ",IF(T$9="Y",Mar!M41,IF((H11+K11+L11)&gt;0,H11+K11+L11,"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IF(Employee!H$34=E$9,Employee!D$34+SUM(M11)+Mar!V41,SUM(M11)+Mar!V41)</f>
        <v>0</v>
      </c>
      <c r="W11" s="49">
        <f>IF(Employee!H$34=E$9,Employee!D$35+SUM(N11)+Mar!W41,SUM(N11)+Mar!W41)</f>
        <v>0</v>
      </c>
      <c r="X11" s="49">
        <f>IF(O11=" ",Mar!X41,O11+Mar!X41)</f>
        <v>0</v>
      </c>
      <c r="Y11" s="49">
        <f>IF(P11=" ",Mar!Y41,P11+Mar!Y41)</f>
        <v>0</v>
      </c>
      <c r="Z11" s="49">
        <f>IF(Q11=" ",Mar!Z41,Q11+Mar!Z41)</f>
        <v>0</v>
      </c>
      <c r="AA11" s="49">
        <f>IF(R11=" ",Mar!AA41,R11+Mar!AA41)</f>
        <v>0</v>
      </c>
      <c r="AC11" s="49">
        <f>IF(T11=" ",Mar!AC41,T11+Mar!AC41)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IF(T$9="Y",Mar!H42,0)</f>
        <v>0</v>
      </c>
      <c r="I12" s="92">
        <f>IF(T$9="Y",Mar!I42,0)</f>
        <v>0</v>
      </c>
      <c r="J12" s="92">
        <f>IF(T$9="Y",Mar!J42,0)</f>
        <v>0</v>
      </c>
      <c r="K12" s="92">
        <f>IF(T$9="Y",Mar!K42,I12*J12)</f>
        <v>0</v>
      </c>
      <c r="L12" s="111">
        <f>IF(T$9="Y",Mar!L42,0)</f>
        <v>0</v>
      </c>
      <c r="M12" s="111" t="str">
        <f>IF(E12=" "," ",IF(T$9="Y",Mar!M42,IF((H12+K12+L12)&gt;0,H12+K12+L12,"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IF(Employee!H$60=E$9,Employee!D$60+SUM(M12)+Mar!V42,SUM(M12)+Mar!V42)</f>
        <v>0</v>
      </c>
      <c r="W12" s="49">
        <f>IF(Employee!H$60=E$9,Employee!D$61+SUM(N12)+Mar!W42,SUM(N12)+Mar!W42)</f>
        <v>0</v>
      </c>
      <c r="X12" s="49">
        <f>IF(O12=" ",Mar!X42,O12+Mar!X42)</f>
        <v>0</v>
      </c>
      <c r="Y12" s="49">
        <f>IF(P12=" ",Mar!Y42,P12+Mar!Y42)</f>
        <v>0</v>
      </c>
      <c r="Z12" s="49">
        <f>IF(Q12=" ",Mar!Z42,Q12+Mar!Z42)</f>
        <v>0</v>
      </c>
      <c r="AA12" s="49">
        <f>IF(R12=" ",Mar!AA42,R12+Mar!AA42)</f>
        <v>0</v>
      </c>
      <c r="AC12" s="49">
        <f>IF(T12=" ",Mar!AC42,T12+Mar!AC42)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IF(T$9="Y",Mar!H43,0)</f>
        <v>0</v>
      </c>
      <c r="I13" s="92">
        <f>IF(T$9="Y",Mar!I43,0)</f>
        <v>0</v>
      </c>
      <c r="J13" s="92">
        <f>IF(T$9="Y",Mar!J43,0)</f>
        <v>0</v>
      </c>
      <c r="K13" s="92">
        <f>IF(T$9="Y",Mar!K43,I13*J13)</f>
        <v>0</v>
      </c>
      <c r="L13" s="111">
        <f>IF(T$9="Y",Mar!L43,0)</f>
        <v>0</v>
      </c>
      <c r="M13" s="111" t="str">
        <f>IF(E13=" "," ",IF(T$9="Y",Mar!M43,IF((H13+K13+L13)&gt;0,H13+K13+L13,"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IF(Employee!H$86=E$9,Employee!D$86+SUM(M13)+Mar!V43,SUM(M13)+Mar!V43)</f>
        <v>0</v>
      </c>
      <c r="W13" s="49">
        <f>IF(Employee!H$86=E$9,Employee!D$87+SUM(N13)+Mar!W43,SUM(N13)+Mar!W43)</f>
        <v>0</v>
      </c>
      <c r="X13" s="49">
        <f>IF(O13=" ",Mar!X43,O13+Mar!X43)</f>
        <v>0</v>
      </c>
      <c r="Y13" s="49">
        <f>IF(P13=" ",Mar!Y43,P13+Mar!Y43)</f>
        <v>0</v>
      </c>
      <c r="Z13" s="49">
        <f>IF(Q13=" ",Mar!Z43,Q13+Mar!Z43)</f>
        <v>0</v>
      </c>
      <c r="AA13" s="49">
        <f>IF(R13=" ",Mar!AA43,R13+Mar!AA43)</f>
        <v>0</v>
      </c>
      <c r="AC13" s="49">
        <f>IF(T13=" ",Mar!AC43,T13+Mar!AC43)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IF(T$9="Y",Mar!H44,0)</f>
        <v>0</v>
      </c>
      <c r="I14" s="92">
        <f>IF(T$9="Y",Mar!I44,0)</f>
        <v>0</v>
      </c>
      <c r="J14" s="92">
        <f>IF(T$9="Y",Mar!J44,0)</f>
        <v>0</v>
      </c>
      <c r="K14" s="92">
        <f>IF(T$9="Y",Mar!K44,I14*J14)</f>
        <v>0</v>
      </c>
      <c r="L14" s="111">
        <f>IF(T$9="Y",Mar!L44,0)</f>
        <v>0</v>
      </c>
      <c r="M14" s="111" t="str">
        <f>IF(E14=" "," ",IF(T$9="Y",Mar!M44,IF((H14+K14+L14)&gt;0,H14+K14+L14,"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IF(Employee!H$112=E$9,Employee!D$112+SUM(M14)+Mar!V44,SUM(M14)+Mar!V44)</f>
        <v>0</v>
      </c>
      <c r="W14" s="49">
        <f>IF(Employee!H$112=E$9,Employee!D$113+SUM(N14)+Mar!W44,SUM(N14)+Mar!W44)</f>
        <v>0</v>
      </c>
      <c r="X14" s="49">
        <f>IF(O14=" ",Mar!X44,O14+Mar!X44)</f>
        <v>0</v>
      </c>
      <c r="Y14" s="49">
        <f>IF(P14=" ",Mar!Y44,P14+Mar!Y44)</f>
        <v>0</v>
      </c>
      <c r="Z14" s="49">
        <f>IF(Q14=" ",Mar!Z44,Q14+Mar!Z44)</f>
        <v>0</v>
      </c>
      <c r="AA14" s="49">
        <f>IF(R14=" ",Mar!AA44,R14+Mar!AA44)</f>
        <v>0</v>
      </c>
      <c r="AC14" s="49">
        <f>IF(T14=" ",Mar!AC44,T14+Mar!AC44)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IF(T$9="Y",Mar!H45,0)</f>
        <v>0</v>
      </c>
      <c r="I15" s="245">
        <f>IF(T$9="Y",Mar!I45,0)</f>
        <v>0</v>
      </c>
      <c r="J15" s="245">
        <f>IF(T$9="Y",Mar!J45,0)</f>
        <v>0</v>
      </c>
      <c r="K15" s="245">
        <f>IF(T$9="Y",Mar!K45,I15*J15)</f>
        <v>0</v>
      </c>
      <c r="L15" s="246">
        <f>IF(T$19="Y",Mar!L45,0)</f>
        <v>0</v>
      </c>
      <c r="M15" s="111" t="str">
        <f>IF(E15=" "," ",IF(T$9="Y",Mar!M45,IF((H15+K15+L15)&gt;0,H15+K15+L15,"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IF(Employee!H$138=E$9,Employee!D$138+SUM(M15)+Mar!V45,SUM(M15)+Mar!V45)</f>
        <v>0</v>
      </c>
      <c r="W15" s="49">
        <f>IF(Employee!H$138=E$9,Employee!D$139+SUM(N15)+Mar!W45,SUM(N15)+Mar!W45)</f>
        <v>0</v>
      </c>
      <c r="X15" s="49">
        <f>IF(O15=" ",Mar!X45,O15+Mar!X45)</f>
        <v>0</v>
      </c>
      <c r="Y15" s="49">
        <f>IF(P15=" ",Mar!Y45,P15+Mar!Y45)</f>
        <v>0</v>
      </c>
      <c r="Z15" s="49">
        <f>IF(Q15=" ",Mar!Z45,Q15+Mar!Z45)</f>
        <v>0</v>
      </c>
      <c r="AA15" s="49">
        <f>IF(R15=" ",Mar!AA45,R15+Mar!AA45)</f>
        <v>0</v>
      </c>
      <c r="AC15" s="49">
        <f>IF(T15=" ",Mar!AC45,T15+Mar!AC45)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45</v>
      </c>
      <c r="F19" s="35"/>
      <c r="G19" s="35"/>
      <c r="H19" s="360" t="s">
        <v>28</v>
      </c>
      <c r="I19" s="361"/>
      <c r="J19" s="359"/>
      <c r="K19" s="204">
        <f>M9+1</f>
        <v>46059</v>
      </c>
      <c r="L19" s="203" t="s">
        <v>76</v>
      </c>
      <c r="M19" s="205">
        <f>K19+6</f>
        <v>46065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46</v>
      </c>
      <c r="F29" s="35"/>
      <c r="G29" s="35"/>
      <c r="H29" s="360" t="s">
        <v>28</v>
      </c>
      <c r="I29" s="361"/>
      <c r="J29" s="359"/>
      <c r="K29" s="204">
        <f>M19+1</f>
        <v>46066</v>
      </c>
      <c r="L29" s="203" t="s">
        <v>76</v>
      </c>
      <c r="M29" s="205">
        <f>K29+6</f>
        <v>46072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47</v>
      </c>
      <c r="F39" s="35"/>
      <c r="G39" s="35"/>
      <c r="H39" s="360" t="s">
        <v>28</v>
      </c>
      <c r="I39" s="439"/>
      <c r="J39" s="440"/>
      <c r="K39" s="204">
        <f>M29+1</f>
        <v>46073</v>
      </c>
      <c r="L39" s="203" t="s">
        <v>76</v>
      </c>
      <c r="M39" s="205">
        <f>K39+6</f>
        <v>46079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11</v>
      </c>
      <c r="F49" s="35"/>
      <c r="G49" s="35"/>
      <c r="H49" s="360" t="s">
        <v>28</v>
      </c>
      <c r="I49" s="361"/>
      <c r="J49" s="359"/>
      <c r="K49" s="204">
        <f>Admin!B303</f>
        <v>46054</v>
      </c>
      <c r="L49" s="203" t="s">
        <v>76</v>
      </c>
      <c r="M49" s="205">
        <f>Admin!B330</f>
        <v>46081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IF(T$49="Y",Mar!H51,0)</f>
        <v>0</v>
      </c>
      <c r="I51" s="89">
        <f>IF(T$49="Y",Mar!I51,0)</f>
        <v>0</v>
      </c>
      <c r="J51" s="89">
        <f>IF(T$49="Y",Mar!J51,0)</f>
        <v>0</v>
      </c>
      <c r="K51" s="89">
        <f>IF(T$49="Y",Mar!K51,I51*J51)</f>
        <v>0</v>
      </c>
      <c r="L51" s="110">
        <f>IF(T$49="Y",Mar!L51,0)</f>
        <v>0</v>
      </c>
      <c r="M51" s="99" t="str">
        <f>IF(E51=" "," ",IF(T$49="Y",Mar!M51,IF((H51+K51+L51)&gt;0,H51+K51+L51,"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IF(Employee!H$35=E$49,Employee!D$34+SUM(M51)+Mar!V51,SUM(M51)+Mar!V51)</f>
        <v>0</v>
      </c>
      <c r="W51" s="49">
        <f>IF(Employee!H$35=E$49,Employee!D$35+SUM(N51)+Mar!W51,SUM(N51)+Mar!W51)</f>
        <v>0</v>
      </c>
      <c r="X51" s="49">
        <f>IF(O51=" ",Mar!X51,O51+Mar!X51)</f>
        <v>0</v>
      </c>
      <c r="Y51" s="49">
        <f>IF(P51=" ",Mar!Y51,P51+Mar!Y51)</f>
        <v>0</v>
      </c>
      <c r="Z51" s="49">
        <f>IF(Q51=" ",Mar!Z51,Q51+Mar!Z51)</f>
        <v>0</v>
      </c>
      <c r="AA51" s="49">
        <f>IF(R51=" ",Mar!AA51,R51+Mar!AA51)</f>
        <v>0</v>
      </c>
      <c r="AC51" s="49">
        <f>IF(T51=" ",Mar!AC51,T51+Mar!AC51)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IF(T$49="Y",Mar!H52,0)</f>
        <v>0</v>
      </c>
      <c r="I52" s="92">
        <f>IF(T$49="Y",Mar!I52,0)</f>
        <v>0</v>
      </c>
      <c r="J52" s="92">
        <f>IF(T$49="Y",Mar!J52,0)</f>
        <v>0</v>
      </c>
      <c r="K52" s="92">
        <f>IF(T$49="Y",Mar!K52,I52*J52)</f>
        <v>0</v>
      </c>
      <c r="L52" s="111">
        <f>IF(T$49="Y",Mar!L52,0)</f>
        <v>0</v>
      </c>
      <c r="M52" s="100" t="str">
        <f>IF(E52=" "," ",IF(T$49="Y",Mar!M52,IF((H52+K52+L52)&gt;0,H52+K52+L52,"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IF(Employee!H$61=E$49,Employee!D$60+SUM(M52)+Mar!V52,SUM(M52)+Mar!V52)</f>
        <v>0</v>
      </c>
      <c r="W52" s="49">
        <f>IF(Employee!H$61=E$49,Employee!D$61+SUM(N52)+Mar!W52,SUM(N52)+Mar!W52)</f>
        <v>0</v>
      </c>
      <c r="X52" s="49">
        <f>IF(O52=" ",Mar!X52,O52+Mar!X52)</f>
        <v>0</v>
      </c>
      <c r="Y52" s="49">
        <f>IF(P52=" ",Mar!Y52,P52+Mar!Y52)</f>
        <v>0</v>
      </c>
      <c r="Z52" s="49">
        <f>IF(Q52=" ",Mar!Z52,Q52+Mar!Z52)</f>
        <v>0</v>
      </c>
      <c r="AA52" s="49">
        <f>IF(R52=" ",Mar!AA52,R52+Mar!AA52)</f>
        <v>0</v>
      </c>
      <c r="AC52" s="49">
        <f>IF(T52=" ",Mar!AC52,T52+Mar!AC52)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IF(T$49="Y",Mar!H53,0)</f>
        <v>0</v>
      </c>
      <c r="I53" s="92">
        <f>IF(T$49="Y",Mar!I53,0)</f>
        <v>0</v>
      </c>
      <c r="J53" s="92">
        <f>IF(T$49="Y",Mar!J53,0)</f>
        <v>0</v>
      </c>
      <c r="K53" s="92">
        <f>IF(T$49="Y",Mar!K53,I53*J53)</f>
        <v>0</v>
      </c>
      <c r="L53" s="111">
        <f>IF(T$49="Y",Mar!L53,0)</f>
        <v>0</v>
      </c>
      <c r="M53" s="100" t="str">
        <f>IF(E53=" "," ",IF(T$49="Y",Mar!M53,IF((H53+K53+L53)&gt;0,H53+K53+L53,"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IF(Employee!H$87=E$49,Employee!D$86+SUM(M53)+Mar!V53,SUM(M53)+Mar!V53)</f>
        <v>0</v>
      </c>
      <c r="W53" s="49">
        <f>IF(Employee!H$87=E$49,Employee!D$87+SUM(N53)+Mar!W53,SUM(N53)+Mar!W53)</f>
        <v>0</v>
      </c>
      <c r="X53" s="49">
        <f>IF(O53=" ",Mar!X53,O53+Mar!X53)</f>
        <v>0</v>
      </c>
      <c r="Y53" s="49">
        <f>IF(P53=" ",Mar!Y53,P53+Mar!Y53)</f>
        <v>0</v>
      </c>
      <c r="Z53" s="49">
        <f>IF(Q53=" ",Mar!Z53,Q53+Mar!Z53)</f>
        <v>0</v>
      </c>
      <c r="AA53" s="49">
        <f>IF(R53=" ",Mar!AA53,R53+Mar!AA53)</f>
        <v>0</v>
      </c>
      <c r="AC53" s="49">
        <f>IF(T53=" ",Mar!AC53,T53+Mar!AC53)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IF(T$49="Y",Mar!H54,0)</f>
        <v>0</v>
      </c>
      <c r="I54" s="92">
        <f>IF(T$49="Y",Mar!I54,0)</f>
        <v>0</v>
      </c>
      <c r="J54" s="92">
        <f>IF(T$49="Y",Mar!J54,0)</f>
        <v>0</v>
      </c>
      <c r="K54" s="92">
        <f>IF(T$49="Y",Mar!K54,I54*J54)</f>
        <v>0</v>
      </c>
      <c r="L54" s="111">
        <f>IF(T$49="Y",Mar!L54,0)</f>
        <v>0</v>
      </c>
      <c r="M54" s="100" t="str">
        <f>IF(E54=" "," ",IF(T$49="Y",Mar!M54,IF((H54+K54+L54)&gt;0,H54+K54+L54,"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IF(Employee!H$113=E$49,Employee!D$112+SUM(M54)+Mar!V54,SUM(M54)+Mar!V54)</f>
        <v>0</v>
      </c>
      <c r="W54" s="49">
        <f>IF(Employee!H$113=E$49,Employee!D$113+SUM(N54)+Mar!W54,SUM(N54)+Mar!W54)</f>
        <v>0</v>
      </c>
      <c r="X54" s="49">
        <f>IF(O54=" ",Mar!X54,O54+Mar!X54)</f>
        <v>0</v>
      </c>
      <c r="Y54" s="49">
        <f>IF(P54=" ",Mar!Y54,P54+Mar!Y54)</f>
        <v>0</v>
      </c>
      <c r="Z54" s="49">
        <f>IF(Q54=" ",Mar!Z54,Q54+Mar!Z54)</f>
        <v>0</v>
      </c>
      <c r="AA54" s="49">
        <f>IF(R54=" ",Mar!AA54,R54+Mar!AA54)</f>
        <v>0</v>
      </c>
      <c r="AC54" s="49">
        <f>IF(T54=" ",Mar!AC54,T54+Mar!AC54)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IF(T$49="Y",Mar!H55,0)</f>
        <v>0</v>
      </c>
      <c r="I55" s="245">
        <f>IF(T$49="Y",Mar!I55,0)</f>
        <v>0</v>
      </c>
      <c r="J55" s="245">
        <f>IF(T$49="Y",Mar!J55,0)</f>
        <v>0</v>
      </c>
      <c r="K55" s="245">
        <f>IF(T$49="Y",Mar!K55,I55*J55)</f>
        <v>0</v>
      </c>
      <c r="L55" s="246">
        <f>IF(T$49="Y",Mar!L55,0)</f>
        <v>0</v>
      </c>
      <c r="M55" s="100" t="str">
        <f>IF(E55=" "," ",IF(T$49="Y",Mar!M55,IF((H55+K55+L55)&gt;0,H55+K55+L55,"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IF(Employee!H$139=E$49,Employee!D$138+SUM(M55)+Mar!V55,SUM(M55)+Mar!V55)</f>
        <v>0</v>
      </c>
      <c r="W55" s="49">
        <f>IF(Employee!H$139=E$49,Employee!D$139+SUM(N55)+Mar!W55,SUM(N55)+Mar!W55)</f>
        <v>0</v>
      </c>
      <c r="X55" s="49">
        <f>IF(O55=" ",Mar!X55,O55+Mar!X55)</f>
        <v>0</v>
      </c>
      <c r="Y55" s="49">
        <f>IF(P55=" ",Mar!Y55,P55+Mar!Y55)</f>
        <v>0</v>
      </c>
      <c r="Z55" s="49">
        <f>IF(Q55=" ",Mar!Z55,Q55+Mar!Z55)</f>
        <v>0</v>
      </c>
      <c r="AA55" s="49">
        <f>IF(R55=" ",Mar!AA55,R55+Mar!AA55)</f>
        <v>0</v>
      </c>
      <c r="AC55" s="49">
        <f>IF(T55=" ",Mar!AC55,T55+Mar!AC55)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AD60+Mar!AD65</f>
        <v>0</v>
      </c>
      <c r="AE65" s="158">
        <f>AE60+Mar!AE65</f>
        <v>0</v>
      </c>
      <c r="AF65" s="158">
        <f>AF60+Mar!AF65</f>
        <v>0</v>
      </c>
      <c r="AG65" s="158">
        <f>AG60+Mar!AG65</f>
        <v>0</v>
      </c>
    </row>
    <row r="66" spans="6:33" ht="14" thickTop="1" x14ac:dyDescent="0.15"/>
    <row r="67" spans="6:33" x14ac:dyDescent="0.15">
      <c r="AD67" s="162"/>
      <c r="AE67" s="158">
        <f>AE62+Mar!AE67</f>
        <v>0</v>
      </c>
      <c r="AF67" s="158">
        <f>AF62+Mar!AF67</f>
        <v>0</v>
      </c>
      <c r="AG67" s="158">
        <f>AG62+Mar!AG67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SUM(AD80:AG80)+SUM(AE82:AG82)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Jun!H3:H6</f>
        <v>Statutory Pay</v>
      </c>
      <c r="I3" s="365" t="str">
        <f>Jun!I3:I6</f>
        <v>Basic hours</v>
      </c>
      <c r="J3" s="365" t="str">
        <f>Jun!J3:J6</f>
        <v>Hourly rate</v>
      </c>
      <c r="K3" s="365" t="str">
        <f>Jun!K3:K6</f>
        <v>Basic    wages</v>
      </c>
      <c r="L3" s="365" t="str">
        <f>Jun!L3:L6</f>
        <v>Overtime Bonus Gratuities</v>
      </c>
      <c r="M3" s="428" t="str">
        <f>Jun!M3:M6</f>
        <v>GROSS WAGES</v>
      </c>
      <c r="N3" s="365" t="str">
        <f>Jun!N3:N6</f>
        <v>Income Tax</v>
      </c>
      <c r="O3" s="365" t="str">
        <f>Jun!O3:O6</f>
        <v>Employees National Insurance</v>
      </c>
      <c r="P3" s="365" t="str">
        <f>Jun!P3:P6</f>
        <v>Student Loans</v>
      </c>
      <c r="Q3" s="365" t="str">
        <f>Jun!Q3:Q6</f>
        <v>Other Deductions</v>
      </c>
      <c r="R3" s="428" t="str">
        <f>Jun!R3:R6</f>
        <v>NET      PAY</v>
      </c>
      <c r="S3" s="42"/>
      <c r="T3" s="365" t="str">
        <f>Jun!T3:T6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48</v>
      </c>
      <c r="F9" s="35"/>
      <c r="G9" s="35"/>
      <c r="H9" s="360" t="s">
        <v>28</v>
      </c>
      <c r="I9" s="361"/>
      <c r="J9" s="359"/>
      <c r="K9" s="204">
        <f>Apr!M39+1</f>
        <v>46080</v>
      </c>
      <c r="L9" s="203" t="s">
        <v>76</v>
      </c>
      <c r="M9" s="205">
        <f>K9+6</f>
        <v>46086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IF(T$9="Y",Apr!H41,0)</f>
        <v>0</v>
      </c>
      <c r="I11" s="89">
        <f>IF(T$9="Y",Apr!I41,0)</f>
        <v>0</v>
      </c>
      <c r="J11" s="89">
        <f>IF(T$9="Y",Apr!J41,0)</f>
        <v>0</v>
      </c>
      <c r="K11" s="89">
        <f>IF(T$9="Y",Apr!K41,I11*J11)</f>
        <v>0</v>
      </c>
      <c r="L11" s="110">
        <f>IF(T$9="Y",Apr!L41,0)</f>
        <v>0</v>
      </c>
      <c r="M11" s="110" t="str">
        <f>IF(E11=" "," ",IF(T$9="Y",Apr!M41,IF((H11+K11+L11)&gt;0,H11+K11+L11,"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IF(Employee!H$34=E$9,Employee!D$34+SUM(M11)+Apr!V41,SUM(M11)+Apr!V41)</f>
        <v>0</v>
      </c>
      <c r="W11" s="49">
        <f>IF(Employee!H$34=E$9,Employee!D$35+SUM(N11)+Apr!W41,SUM(N11)+Apr!W41)</f>
        <v>0</v>
      </c>
      <c r="X11" s="49">
        <f>IF(O11=" ",Apr!X41,O11+Apr!X41)</f>
        <v>0</v>
      </c>
      <c r="Y11" s="49">
        <f>IF(P11=" ",Apr!Y41,P11+Apr!Y41)</f>
        <v>0</v>
      </c>
      <c r="Z11" s="49">
        <f>IF(Q11=" ",Apr!Z41,Q11+Apr!Z41)</f>
        <v>0</v>
      </c>
      <c r="AA11" s="49">
        <f>IF(R11=" ",Apr!AA41,R11+Apr!AA41)</f>
        <v>0</v>
      </c>
      <c r="AC11" s="49">
        <f>IF(T11=" ",Apr!AC41,T11+Apr!AC41)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IF(T$9="Y",Apr!H42,0)</f>
        <v>0</v>
      </c>
      <c r="I12" s="92">
        <f>IF(T$9="Y",Apr!I42,0)</f>
        <v>0</v>
      </c>
      <c r="J12" s="92">
        <f>IF(T$9="Y",Apr!J42,0)</f>
        <v>0</v>
      </c>
      <c r="K12" s="92">
        <f>IF(T$9="Y",Apr!K42,I12*J12)</f>
        <v>0</v>
      </c>
      <c r="L12" s="111">
        <f>IF(T$9="Y",Apr!L42,0)</f>
        <v>0</v>
      </c>
      <c r="M12" s="111" t="str">
        <f>IF(E12=" "," ",IF(T$9="Y",Apr!M42,IF((H12+K12+L12)&gt;0,H12+K12+L12,"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IF(Employee!H$60=E$9,Employee!D$60+SUM(M12)+Apr!V42,SUM(M12)+Apr!V42)</f>
        <v>0</v>
      </c>
      <c r="W12" s="49">
        <f>IF(Employee!H$60=E$9,Employee!D$61+SUM(N12)+Apr!W42,SUM(N12)+Apr!W42)</f>
        <v>0</v>
      </c>
      <c r="X12" s="49">
        <f>IF(O12=" ",Apr!X42,O12+Apr!X42)</f>
        <v>0</v>
      </c>
      <c r="Y12" s="49">
        <f>IF(P12=" ",Apr!Y42,P12+Apr!Y42)</f>
        <v>0</v>
      </c>
      <c r="Z12" s="49">
        <f>IF(Q12=" ",Apr!Z42,Q12+Apr!Z42)</f>
        <v>0</v>
      </c>
      <c r="AA12" s="49">
        <f>IF(R12=" ",Apr!AA42,R12+Apr!AA42)</f>
        <v>0</v>
      </c>
      <c r="AC12" s="49">
        <f>IF(T12=" ",Apr!AC42,T12+Apr!AC42)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IF(T$9="Y",Apr!H43,0)</f>
        <v>0</v>
      </c>
      <c r="I13" s="92">
        <f>IF(T$9="Y",Apr!I43,0)</f>
        <v>0</v>
      </c>
      <c r="J13" s="92">
        <f>IF(T$9="Y",Apr!J43,0)</f>
        <v>0</v>
      </c>
      <c r="K13" s="92">
        <f>IF(T$9="Y",Apr!K43,I13*J13)</f>
        <v>0</v>
      </c>
      <c r="L13" s="111">
        <f>IF(T$9="Y",Apr!L43,0)</f>
        <v>0</v>
      </c>
      <c r="M13" s="111" t="str">
        <f>IF(E13=" "," ",IF(T$9="Y",Apr!M43,IF((H13+K13+L13)&gt;0,H13+K13+L13,"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IF(Employee!H$86=E$9,Employee!D$86+SUM(M13)+Apr!V43,SUM(M13)+Apr!V43)</f>
        <v>0</v>
      </c>
      <c r="W13" s="49">
        <f>IF(Employee!H$86=E$9,Employee!D$87+SUM(N13)+Apr!W43,SUM(N13)+Apr!W43)</f>
        <v>0</v>
      </c>
      <c r="X13" s="49">
        <f>IF(O13=" ",Apr!X43,O13+Apr!X43)</f>
        <v>0</v>
      </c>
      <c r="Y13" s="49">
        <f>IF(P13=" ",Apr!Y43,P13+Apr!Y43)</f>
        <v>0</v>
      </c>
      <c r="Z13" s="49">
        <f>IF(Q13=" ",Apr!Z43,Q13+Apr!Z43)</f>
        <v>0</v>
      </c>
      <c r="AA13" s="49">
        <f>IF(R13=" ",Apr!AA43,R13+Apr!AA43)</f>
        <v>0</v>
      </c>
      <c r="AC13" s="49">
        <f>IF(T13=" ",Apr!AC43,T13+Apr!AC43)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IF(T$9="Y",Apr!H44,0)</f>
        <v>0</v>
      </c>
      <c r="I14" s="92">
        <f>IF(T$9="Y",Apr!I44,0)</f>
        <v>0</v>
      </c>
      <c r="J14" s="92">
        <f>IF(T$9="Y",Apr!J44,0)</f>
        <v>0</v>
      </c>
      <c r="K14" s="92">
        <f>IF(T$9="Y",Apr!K44,I14*J14)</f>
        <v>0</v>
      </c>
      <c r="L14" s="111">
        <f>IF(T$9="Y",Apr!L44,0)</f>
        <v>0</v>
      </c>
      <c r="M14" s="111" t="str">
        <f>IF(E14=" "," ",IF(T$9="Y",Apr!M44,IF((H14+K14+L14)&gt;0,H14+K14+L14,"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IF(Employee!H$112=E$9,Employee!D$112+SUM(M14)+Apr!V44,SUM(M14)+Apr!V44)</f>
        <v>0</v>
      </c>
      <c r="W14" s="49">
        <f>IF(Employee!H$112=E$9,Employee!D$113+SUM(N14)+Apr!W44,SUM(N14)+Apr!W44)</f>
        <v>0</v>
      </c>
      <c r="X14" s="49">
        <f>IF(O14=" ",Apr!X44,O14+Apr!X44)</f>
        <v>0</v>
      </c>
      <c r="Y14" s="49">
        <f>IF(P14=" ",Apr!Y44,P14+Apr!Y44)</f>
        <v>0</v>
      </c>
      <c r="Z14" s="49">
        <f>IF(Q14=" ",Apr!Z44,Q14+Apr!Z44)</f>
        <v>0</v>
      </c>
      <c r="AA14" s="49">
        <f>IF(R14=" ",Apr!AA44,R14+Apr!AA44)</f>
        <v>0</v>
      </c>
      <c r="AC14" s="49">
        <f>IF(T14=" ",Apr!AC44,T14+Apr!AC44)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IF(T$9="Y",Apr!H45,0)</f>
        <v>0</v>
      </c>
      <c r="I15" s="245">
        <f>IF(T$9="Y",Apr!I45,0)</f>
        <v>0</v>
      </c>
      <c r="J15" s="245">
        <f>IF(T$9="Y",Apr!J45,0)</f>
        <v>0</v>
      </c>
      <c r="K15" s="245">
        <f>IF(T$9="Y",Apr!K45,I15*J15)</f>
        <v>0</v>
      </c>
      <c r="L15" s="246">
        <f>IF(T$9="Y",Apr!L45,0)</f>
        <v>0</v>
      </c>
      <c r="M15" s="111" t="str">
        <f>IF(E15=" "," ",IF(T$9="Y",Apr!M45,IF((H15+K15+L15)&gt;0,H15+K15+L15,"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IF(Employee!H$138=E$9,Employee!D$138+SUM(M15)+Apr!V45,SUM(M15)+Apr!V45)</f>
        <v>0</v>
      </c>
      <c r="W15" s="49">
        <f>IF(Employee!H$138=E$9,Employee!D$139+SUM(N15)+Apr!W45,SUM(N15)+Apr!W45)</f>
        <v>0</v>
      </c>
      <c r="X15" s="49">
        <f>IF(O15=" ",Apr!X45,O15+Apr!X45)</f>
        <v>0</v>
      </c>
      <c r="Y15" s="49">
        <f>IF(P15=" ",Apr!Y45,P15+Apr!Y45)</f>
        <v>0</v>
      </c>
      <c r="Z15" s="49">
        <f>IF(Q15=" ",Apr!Z45,Q15+Apr!Z45)</f>
        <v>0</v>
      </c>
      <c r="AA15" s="49">
        <f>IF(R15=" ",Apr!AA45,R15+Apr!AA45)</f>
        <v>0</v>
      </c>
      <c r="AC15" s="49">
        <f>IF(T15=" ",Apr!AC45,T15+Apr!AC45)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49</v>
      </c>
      <c r="F19" s="35"/>
      <c r="G19" s="35"/>
      <c r="H19" s="360" t="s">
        <v>28</v>
      </c>
      <c r="I19" s="361"/>
      <c r="J19" s="359"/>
      <c r="K19" s="204">
        <f>M9+1</f>
        <v>46087</v>
      </c>
      <c r="L19" s="203" t="s">
        <v>76</v>
      </c>
      <c r="M19" s="205">
        <f>K19+6</f>
        <v>46093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50</v>
      </c>
      <c r="F29" s="35"/>
      <c r="G29" s="35"/>
      <c r="H29" s="360" t="s">
        <v>28</v>
      </c>
      <c r="I29" s="361"/>
      <c r="J29" s="359"/>
      <c r="K29" s="204">
        <f>M19+1</f>
        <v>46094</v>
      </c>
      <c r="L29" s="203" t="s">
        <v>76</v>
      </c>
      <c r="M29" s="205">
        <f>K29+6</f>
        <v>46100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51</v>
      </c>
      <c r="F39" s="35"/>
      <c r="G39" s="35"/>
      <c r="H39" s="360" t="s">
        <v>28</v>
      </c>
      <c r="I39" s="439"/>
      <c r="J39" s="440"/>
      <c r="K39" s="204">
        <f>M29+1</f>
        <v>46101</v>
      </c>
      <c r="L39" s="203" t="s">
        <v>76</v>
      </c>
      <c r="M39" s="205">
        <f>K39+6</f>
        <v>46107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52</v>
      </c>
      <c r="F49" s="35"/>
      <c r="G49" s="35"/>
      <c r="H49" s="360" t="s">
        <v>28</v>
      </c>
      <c r="I49" s="439"/>
      <c r="J49" s="440"/>
      <c r="K49" s="204">
        <f>M39+1</f>
        <v>46108</v>
      </c>
      <c r="L49" s="203" t="s">
        <v>76</v>
      </c>
      <c r="M49" s="205">
        <f>K49+6</f>
        <v>46114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7"/>
      <c r="D58" s="437"/>
      <c r="E58" s="438"/>
      <c r="F58" s="32"/>
      <c r="G58" s="32"/>
      <c r="H58" s="32"/>
      <c r="I58" s="32"/>
      <c r="J58" s="32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9</v>
      </c>
      <c r="C59" s="439"/>
      <c r="D59" s="440"/>
      <c r="E59" s="156">
        <v>53</v>
      </c>
      <c r="F59" s="35"/>
      <c r="G59" s="35"/>
      <c r="H59" s="360" t="s">
        <v>28</v>
      </c>
      <c r="I59" s="439"/>
      <c r="J59" s="440"/>
      <c r="K59" s="204">
        <f>M49+1</f>
        <v>46115</v>
      </c>
      <c r="L59" s="203" t="s">
        <v>76</v>
      </c>
      <c r="M59" s="205">
        <f>K59+4</f>
        <v>46119</v>
      </c>
      <c r="N59" s="20"/>
      <c r="O59" s="401" t="s">
        <v>63</v>
      </c>
      <c r="P59" s="441"/>
      <c r="Q59" s="441"/>
      <c r="R59" s="442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443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61"/>
      <c r="D68" s="361"/>
      <c r="E68" s="359"/>
      <c r="F68" s="32"/>
      <c r="G68" s="32"/>
      <c r="H68" s="43"/>
      <c r="I68" s="43"/>
      <c r="J68" s="43"/>
      <c r="K68" s="46"/>
      <c r="L68" s="46"/>
      <c r="M68" s="43"/>
      <c r="N68" s="32"/>
      <c r="O68" s="362" t="s">
        <v>28</v>
      </c>
      <c r="P68" s="363"/>
      <c r="Q68" s="364"/>
      <c r="R68" s="399"/>
      <c r="S68" s="400"/>
      <c r="T68" s="400"/>
      <c r="U68" s="33"/>
      <c r="AH68" s="35"/>
    </row>
    <row r="69" spans="1:34" ht="18" customHeight="1" thickTop="1" thickBot="1" x14ac:dyDescent="0.2">
      <c r="A69" s="34"/>
      <c r="B69" s="360" t="s">
        <v>10</v>
      </c>
      <c r="C69" s="361"/>
      <c r="D69" s="359"/>
      <c r="E69" s="156">
        <v>12</v>
      </c>
      <c r="F69" s="35"/>
      <c r="G69" s="35"/>
      <c r="H69" s="360" t="s">
        <v>28</v>
      </c>
      <c r="I69" s="361"/>
      <c r="J69" s="359"/>
      <c r="K69" s="204">
        <f>Admin!B331</f>
        <v>46082</v>
      </c>
      <c r="L69" s="203" t="s">
        <v>76</v>
      </c>
      <c r="M69" s="205">
        <f>Admin!B361</f>
        <v>46112</v>
      </c>
      <c r="N69" s="20"/>
      <c r="O69" s="401" t="s">
        <v>64</v>
      </c>
      <c r="P69" s="402"/>
      <c r="Q69" s="402"/>
      <c r="R69" s="403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IF(T$69="Y",Apr!H51,0)</f>
        <v>0</v>
      </c>
      <c r="I71" s="89">
        <f>IF(T$69="Y",Apr!I51,0)</f>
        <v>0</v>
      </c>
      <c r="J71" s="89">
        <f>IF(T$69="Y",Apr!J51,0)</f>
        <v>0</v>
      </c>
      <c r="K71" s="89">
        <f>IF(T$69="Y",Apr!K51,I71*J71)</f>
        <v>0</v>
      </c>
      <c r="L71" s="110">
        <f>IF(T$69="Y",Apr!L51,0)</f>
        <v>0</v>
      </c>
      <c r="M71" s="99" t="str">
        <f>IF(E71=" "," ",IF(T$69="Y",Apr!M51,IF((H71+K71+L71)&gt;0,H71+K71+L71,"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IF(Employee!H$35=E$69,Employee!D$34+SUM(M71)+Apr!V51,SUM(M71)+Apr!V51)</f>
        <v>0</v>
      </c>
      <c r="W71" s="49">
        <f>IF(Employee!H$35=E$69,Employee!D$35+SUM(N71)+Apr!W51,SUM(N71)+Apr!W51)</f>
        <v>0</v>
      </c>
      <c r="X71" s="49">
        <f>IF(O71=" ",Apr!X51,O71+Apr!X51)</f>
        <v>0</v>
      </c>
      <c r="Y71" s="49">
        <f>IF(P71=" ",Apr!Y51,P71+Apr!Y51)</f>
        <v>0</v>
      </c>
      <c r="Z71" s="49">
        <f>IF(Q71=" ",Apr!Z51,Q71+Apr!Z51)</f>
        <v>0</v>
      </c>
      <c r="AA71" s="49">
        <f>IF(R71=" ",Apr!AA51,R71+Apr!AA51)</f>
        <v>0</v>
      </c>
      <c r="AC71" s="49">
        <f>IF(T71=" ",Apr!AC51,T71+Apr!AC51)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IF(T$69="Y",Apr!H52,0)</f>
        <v>0</v>
      </c>
      <c r="I72" s="92">
        <f>IF(T$69="Y",Apr!I52,0)</f>
        <v>0</v>
      </c>
      <c r="J72" s="92">
        <f>IF(T$69="Y",Apr!J52,0)</f>
        <v>0</v>
      </c>
      <c r="K72" s="92">
        <f>IF(T$69="Y",Apr!K52,I72*J72)</f>
        <v>0</v>
      </c>
      <c r="L72" s="111">
        <f>IF(T$69="Y",Apr!L52,0)</f>
        <v>0</v>
      </c>
      <c r="M72" s="100" t="str">
        <f>IF(E72=" "," ",IF(T$69="Y",Apr!M52,IF((H72+K72+L72)&gt;0,H72+K72+L72,"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IF(Employee!H$61=E$69,Employee!D$60+SUM(M72)+Apr!V52,SUM(M72)+Apr!V52)</f>
        <v>0</v>
      </c>
      <c r="W72" s="49">
        <f>IF(Employee!H$61=E$69,Employee!D$61+SUM(N72)+Apr!W52,SUM(N72)+Apr!W52)</f>
        <v>0</v>
      </c>
      <c r="X72" s="49">
        <f>IF(O72=" ",Apr!X52,O72+Apr!X52)</f>
        <v>0</v>
      </c>
      <c r="Y72" s="49">
        <f>IF(P72=" ",Apr!Y52,P72+Apr!Y52)</f>
        <v>0</v>
      </c>
      <c r="Z72" s="49">
        <f>IF(Q72=" ",Apr!Z52,Q72+Apr!Z52)</f>
        <v>0</v>
      </c>
      <c r="AA72" s="49">
        <f>IF(R72=" ",Apr!AA52,R72+Apr!AA52)</f>
        <v>0</v>
      </c>
      <c r="AC72" s="49">
        <f>IF(T72=" ",Apr!AC52,T72+Apr!AC52)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IF(T$69="Y",Apr!H53,0)</f>
        <v>0</v>
      </c>
      <c r="I73" s="92">
        <f>IF(T$69="Y",Apr!I53,0)</f>
        <v>0</v>
      </c>
      <c r="J73" s="92">
        <f>IF(T$69="Y",Apr!J53,0)</f>
        <v>0</v>
      </c>
      <c r="K73" s="92">
        <f>IF(T$69="Y",Apr!K53,I73*J73)</f>
        <v>0</v>
      </c>
      <c r="L73" s="111">
        <f>IF(T$69="Y",Apr!L53,0)</f>
        <v>0</v>
      </c>
      <c r="M73" s="100" t="str">
        <f>IF(E73=" "," ",IF(T$69="Y",Apr!M53,IF((H73+K73+L73)&gt;0,H73+K73+L73,"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IF(Employee!H$87=E$69,Employee!D$86+SUM(M73)+Apr!V53,SUM(M73)+Apr!V53)</f>
        <v>0</v>
      </c>
      <c r="W73" s="49">
        <f>IF(Employee!H$87=E$69,Employee!D$87+SUM(N73)+Apr!W53,SUM(N73)+Apr!W53)</f>
        <v>0</v>
      </c>
      <c r="X73" s="49">
        <f>IF(O73=" ",Apr!X53,O73+Apr!X53)</f>
        <v>0</v>
      </c>
      <c r="Y73" s="49">
        <f>IF(P73=" ",Apr!Y53,P73+Apr!Y53)</f>
        <v>0</v>
      </c>
      <c r="Z73" s="49">
        <f>IF(Q73=" ",Apr!Z53,Q73+Apr!Z53)</f>
        <v>0</v>
      </c>
      <c r="AA73" s="49">
        <f>IF(R73=" ",Apr!AA53,R73+Apr!AA53)</f>
        <v>0</v>
      </c>
      <c r="AC73" s="49">
        <f>IF(T73=" ",Apr!AC53,T73+Apr!AC53)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IF(T$69="Y",Apr!H54,0)</f>
        <v>0</v>
      </c>
      <c r="I74" s="92">
        <f>IF(T$69="Y",Apr!I54,0)</f>
        <v>0</v>
      </c>
      <c r="J74" s="92">
        <f>IF(T$69="Y",Apr!J54,0)</f>
        <v>0</v>
      </c>
      <c r="K74" s="92">
        <f>IF(T$69="Y",Apr!K54,I74*J74)</f>
        <v>0</v>
      </c>
      <c r="L74" s="111">
        <f>IF(T$69="Y",Apr!L54,0)</f>
        <v>0</v>
      </c>
      <c r="M74" s="100" t="str">
        <f>IF(E74=" "," ",IF(T$69="Y",Apr!M54,IF((H74+K74+L74)&gt;0,H74+K74+L74,"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IF(Employee!H$113=E$69,Employee!D$112+SUM(M74)+Apr!V54,SUM(M74)+Apr!V54)</f>
        <v>0</v>
      </c>
      <c r="W74" s="49">
        <f>IF(Employee!H$113=E$69,Employee!D$113+SUM(N74)+Apr!W54,SUM(N74)+Apr!W54)</f>
        <v>0</v>
      </c>
      <c r="X74" s="49">
        <f>IF(O74=" ",Apr!X54,O74+Apr!X54)</f>
        <v>0</v>
      </c>
      <c r="Y74" s="49">
        <f>IF(P74=" ",Apr!Y54,P74+Apr!Y54)</f>
        <v>0</v>
      </c>
      <c r="Z74" s="49">
        <f>IF(Q74=" ",Apr!Z54,Q74+Apr!Z54)</f>
        <v>0</v>
      </c>
      <c r="AA74" s="49">
        <f>IF(R74=" ",Apr!AA54,R74+Apr!AA54)</f>
        <v>0</v>
      </c>
      <c r="AC74" s="49">
        <f>IF(T74=" ",Apr!AC54,T74+Apr!AC54)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IF(T$69="Y",Apr!H55,0)</f>
        <v>0</v>
      </c>
      <c r="I75" s="245">
        <f>IF(T$69="Y",Apr!I55,0)</f>
        <v>0</v>
      </c>
      <c r="J75" s="245">
        <f>IF(T$69="Y",Apr!J55,0)</f>
        <v>0</v>
      </c>
      <c r="K75" s="245">
        <f>IF(T$69="Y",Apr!K55,I75*J75)</f>
        <v>0</v>
      </c>
      <c r="L75" s="246">
        <f>IF(T$69="Y",Apr!L55,0)</f>
        <v>0</v>
      </c>
      <c r="M75" s="100" t="str">
        <f>IF(E75=" "," ",IF(T$69="Y",Apr!M55,IF((H75+K75+L75)&gt;0,H75+K75+L75,"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IF(Employee!H$139=E$69,Employee!D$138+SUM(M75)+Apr!V55,SUM(M75)+Apr!V55)</f>
        <v>0</v>
      </c>
      <c r="W75" s="49">
        <f>IF(Employee!H$139=E$69,Employee!D$139+SUM(N75)+Apr!W55,SUM(N75)+Apr!W55)</f>
        <v>0</v>
      </c>
      <c r="X75" s="49">
        <f>IF(O75=" ",Apr!X55,O75+Apr!X55)</f>
        <v>0</v>
      </c>
      <c r="Y75" s="49">
        <f>IF(P75=" ",Apr!Y55,P75+Apr!Y55)</f>
        <v>0</v>
      </c>
      <c r="Z75" s="49">
        <f>IF(Q75=" ",Apr!Z55,Q75+Apr!Z55)</f>
        <v>0</v>
      </c>
      <c r="AA75" s="49">
        <f>IF(R75=" ",Apr!AA55,R75+Apr!AA55)</f>
        <v>0</v>
      </c>
      <c r="AC75" s="49">
        <f>IF(T75=" ",Apr!AC55,T75+Apr!AC55)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58" t="s">
        <v>7</v>
      </c>
      <c r="G76" s="359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0"/>
      <c r="C77" s="370"/>
      <c r="D77" s="370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415" t="s">
        <v>74</v>
      </c>
      <c r="N79" s="416"/>
      <c r="O79" s="416"/>
      <c r="P79" s="416"/>
      <c r="Q79" s="416"/>
      <c r="R79" s="416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AD80+Apr!AD65</f>
        <v>0</v>
      </c>
      <c r="AE85" s="158">
        <f>AE80+Apr!AE65</f>
        <v>0</v>
      </c>
      <c r="AF85" s="158">
        <f>AF80+Apr!AF65</f>
        <v>0</v>
      </c>
      <c r="AG85" s="158">
        <f>AG80+Apr!AG65</f>
        <v>0</v>
      </c>
    </row>
    <row r="86" spans="6:33" ht="14" thickTop="1" x14ac:dyDescent="0.15"/>
    <row r="87" spans="6:33" x14ac:dyDescent="0.15">
      <c r="AD87" s="162"/>
      <c r="AE87" s="158">
        <f>AE82+Apr!AE67</f>
        <v>0</v>
      </c>
      <c r="AF87" s="158">
        <f>AF82+Apr!AF67</f>
        <v>0</v>
      </c>
      <c r="AG87" s="158">
        <f>AG82+Apr!AG67</f>
        <v>0</v>
      </c>
    </row>
  </sheetData>
  <mergeCells count="96"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  <mergeCell ref="O18:Q18"/>
    <mergeCell ref="R18:T18"/>
    <mergeCell ref="Q3:Q6"/>
    <mergeCell ref="O8:Q8"/>
    <mergeCell ref="B9:D9"/>
    <mergeCell ref="M3:M6"/>
    <mergeCell ref="P3:P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F56:G56"/>
    <mergeCell ref="B57:T57"/>
    <mergeCell ref="O58:Q58"/>
    <mergeCell ref="R58:T58"/>
    <mergeCell ref="B58:E58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Apr</v>
      </c>
      <c r="I3" s="478" t="str">
        <f>IF(M3="ERROR","Enter W or M in cell F3"," ")</f>
        <v xml:space="preserve"> </v>
      </c>
      <c r="J3" s="478"/>
      <c r="K3" s="478"/>
      <c r="L3" s="47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78" t="str">
        <f>IF(M3="ERROR","Enter 1 to 53 in cell F4"," ")</f>
        <v xml:space="preserve"> </v>
      </c>
      <c r="J4" s="478"/>
      <c r="K4" s="478"/>
      <c r="L4" s="47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54"/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4"/>
    </row>
    <row r="7" spans="1:14" ht="25" customHeight="1" x14ac:dyDescent="0.2">
      <c r="A7" s="256"/>
      <c r="B7" s="472" t="str">
        <f ca="1">IF(M14=" "," ",Employee!$D$5)</f>
        <v xml:space="preserve"> </v>
      </c>
      <c r="C7" s="472"/>
      <c r="D7" s="472"/>
      <c r="E7" s="472"/>
      <c r="F7" s="472"/>
      <c r="G7" s="467" t="str">
        <f ca="1">IF(G14=" "," ",Employee!$D$15)</f>
        <v xml:space="preserve"> </v>
      </c>
      <c r="H7" s="468"/>
      <c r="I7" s="479" t="str">
        <f ca="1">IF(G14=" "," ",Employee!$D$16)</f>
        <v xml:space="preserve"> </v>
      </c>
      <c r="J7" s="480"/>
      <c r="K7" s="480"/>
      <c r="L7" s="459" t="str">
        <f ca="1">INDIRECT($H$3 &amp; "!B" &amp; $H$4)</f>
        <v>WEEKLY PAYROLL</v>
      </c>
      <c r="M7" s="459"/>
      <c r="N7" s="257"/>
    </row>
    <row r="8" spans="1:14" ht="18" customHeight="1" x14ac:dyDescent="0.15">
      <c r="A8" s="258"/>
      <c r="B8" s="463" t="str">
        <f ca="1">IF(M14=" "," ",Employee!$D$6)</f>
        <v xml:space="preserve"> </v>
      </c>
      <c r="C8" s="463"/>
      <c r="D8" s="464"/>
      <c r="E8" s="465"/>
      <c r="F8" s="466"/>
      <c r="G8" s="259"/>
      <c r="H8" s="260"/>
      <c r="I8" s="261"/>
      <c r="J8" s="261"/>
      <c r="K8" s="261"/>
      <c r="L8" s="261"/>
      <c r="M8" s="261" t="str">
        <f ca="1">INDIRECT($H$3 &amp; "!E" &amp; $H$4+2+C10)</f>
        <v xml:space="preserve"> </v>
      </c>
      <c r="N8" s="262"/>
    </row>
    <row r="9" spans="1:14" ht="21" customHeight="1" x14ac:dyDescent="0.15">
      <c r="A9" s="258"/>
      <c r="B9" s="463" t="str">
        <f ca="1">IF(M14=" "," ",Employee!$D$7)</f>
        <v xml:space="preserve"> </v>
      </c>
      <c r="C9" s="463"/>
      <c r="D9" s="463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INDIRECT($H$3 &amp; "!M" &amp; $H$4+1)</f>
        <v>45753</v>
      </c>
      <c r="J9" s="481" t="s">
        <v>6</v>
      </c>
      <c r="K9" s="48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87"/>
      <c r="E10" s="488"/>
      <c r="F10" s="485"/>
      <c r="G10" s="485"/>
      <c r="H10" s="253" t="str">
        <f>"Tax "&amp;IF($F$3="W","Week","Month")</f>
        <v>Tax Week</v>
      </c>
      <c r="I10" s="268">
        <f ca="1">INDIRECT($H$3 &amp; "!E" &amp; $H$4+1)</f>
        <v>1</v>
      </c>
      <c r="J10" s="477" t="str">
        <f ca="1">IF(M8=" "," ",INDIRECT($H$3 &amp; "!D" &amp; $H$4+2+C10))</f>
        <v xml:space="preserve"> </v>
      </c>
      <c r="K10" s="477"/>
      <c r="L10" s="249" t="s">
        <v>123</v>
      </c>
      <c r="M10" s="261" t="str">
        <f ca="1">IF(M8=" "," ",INDIRECT($H$3 &amp; "!C" &amp; $H$4+2+C10))</f>
        <v xml:space="preserve"> </v>
      </c>
      <c r="N10" s="262"/>
    </row>
    <row r="11" spans="1:14" ht="6" customHeight="1" x14ac:dyDescent="0.15">
      <c r="A11" s="258"/>
      <c r="B11" s="458"/>
      <c r="C11" s="458"/>
      <c r="D11" s="458"/>
      <c r="E11" s="458"/>
      <c r="F11" s="458"/>
      <c r="G11" s="458"/>
      <c r="H11" s="458"/>
      <c r="I11" s="458"/>
      <c r="J11" s="458"/>
      <c r="K11" s="458"/>
      <c r="L11" s="458"/>
      <c r="M11" s="458"/>
      <c r="N11" s="262"/>
    </row>
    <row r="12" spans="1:14" ht="21" customHeight="1" x14ac:dyDescent="0.15">
      <c r="A12" s="258"/>
      <c r="B12" s="473" t="s">
        <v>122</v>
      </c>
      <c r="C12" s="474"/>
      <c r="D12" s="474"/>
      <c r="E12" s="474"/>
      <c r="F12" s="474"/>
      <c r="G12" s="475" t="s">
        <v>121</v>
      </c>
      <c r="H12" s="482" t="s">
        <v>120</v>
      </c>
      <c r="I12" s="482"/>
      <c r="J12" s="482"/>
      <c r="K12" s="482"/>
      <c r="L12" s="482"/>
      <c r="M12" s="486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76"/>
      <c r="H13" s="251" t="s">
        <v>128</v>
      </c>
      <c r="I13" s="252" t="s">
        <v>112</v>
      </c>
      <c r="J13" s="462" t="s">
        <v>111</v>
      </c>
      <c r="K13" s="462"/>
      <c r="L13" s="248" t="s">
        <v>2</v>
      </c>
      <c r="M13" s="475"/>
      <c r="N13" s="262"/>
    </row>
    <row r="14" spans="1:14" s="277" customFormat="1" ht="21" customHeight="1" x14ac:dyDescent="0.15">
      <c r="A14" s="270"/>
      <c r="B14" s="271" t="str">
        <f ca="1">IF(M8=" "," ",INDIRECT($H$3 &amp; "!H" &amp; $H$4+2+C10))</f>
        <v xml:space="preserve"> </v>
      </c>
      <c r="C14" s="271" t="str">
        <f ca="1">IF(M8=" "," ",INDIRECT($H$3 &amp; "!I" &amp; $H$4+2+C10))</f>
        <v xml:space="preserve"> </v>
      </c>
      <c r="D14" s="271" t="str">
        <f ca="1">IF(M8=" "," ",INDIRECT($H$3 &amp; "!J" &amp; $H$4+2+C10))</f>
        <v xml:space="preserve"> </v>
      </c>
      <c r="E14" s="271" t="str">
        <f ca="1">IF(M8=" "," ",INDIRECT($H$3 &amp; "!K" &amp; $H$4+2+C10))</f>
        <v xml:space="preserve"> </v>
      </c>
      <c r="F14" s="272" t="str">
        <f ca="1">IF(M8=" "," ",INDIRECT($H$3 &amp; "!L" &amp; $H$4+2+C10))</f>
        <v xml:space="preserve"> </v>
      </c>
      <c r="G14" s="273" t="str">
        <f ca="1">IF(M8=" "," ",INDIRECT($H$3 &amp; "!M" &amp; $H$4+2+C10))</f>
        <v xml:space="preserve"> </v>
      </c>
      <c r="H14" s="274" t="str">
        <f ca="1">IF(M8=" "," ",INDIRECT($H$3 &amp; "!N" &amp; $H$4+2+C10))</f>
        <v xml:space="preserve"> </v>
      </c>
      <c r="I14" s="271" t="str">
        <f ca="1">IF(M8=" "," ",INDIRECT($H$3 &amp; "!O" &amp; $H$4+2+C10))</f>
        <v xml:space="preserve"> </v>
      </c>
      <c r="J14" s="457" t="str">
        <f ca="1">IF(M8=" "," ",INDIRECT($H$3 &amp; "!P" &amp; $H$4+2+C10))</f>
        <v xml:space="preserve"> </v>
      </c>
      <c r="K14" s="457"/>
      <c r="L14" s="272" t="str">
        <f ca="1">IF(M8=" "," ",INDIRECT($H$3 &amp; "!Q" &amp; $H$4+2+C10))</f>
        <v xml:space="preserve"> </v>
      </c>
      <c r="M14" s="275" t="str">
        <f ca="1">IF(M8=" "," ",INDIRECT($H$3 &amp; "!R" &amp; $H$4+2+C10))</f>
        <v xml:space="preserve"> </v>
      </c>
      <c r="N14" s="276"/>
    </row>
    <row r="15" spans="1:14" s="279" customFormat="1" ht="21" customHeight="1" x14ac:dyDescent="0.15">
      <c r="A15" s="258"/>
      <c r="B15" s="471" t="s">
        <v>110</v>
      </c>
      <c r="C15" s="471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55" t="s">
        <v>109</v>
      </c>
      <c r="F16" s="456"/>
      <c r="G16" s="271" t="str">
        <f ca="1">IF(M8=" "," ",INDIRECT($H$3 &amp; "!V" &amp; $H$4+2+C10))</f>
        <v xml:space="preserve"> </v>
      </c>
      <c r="H16" s="271" t="str">
        <f ca="1">IF(M8=" "," ",INDIRECT($H$3 &amp; "!W" &amp; $H$4+2+C10))</f>
        <v xml:space="preserve"> </v>
      </c>
      <c r="I16" s="271" t="str">
        <f ca="1">IF(M8=" "," ",INDIRECT($H$3 &amp; "!X" &amp; $H$4+2+C10))</f>
        <v xml:space="preserve"> </v>
      </c>
      <c r="J16" s="457" t="str">
        <f ca="1">IF(M8=" "," ",INDIRECT($H$3 &amp; "!Y" &amp; $H$4+2+C10))</f>
        <v xml:space="preserve"> </v>
      </c>
      <c r="K16" s="457"/>
      <c r="L16" s="271" t="str">
        <f ca="1">IF(M8=" "," ",INDIRECT($H$3 &amp; "!Z" &amp; $H$4+2+C10))</f>
        <v xml:space="preserve"> </v>
      </c>
      <c r="M16" s="271" t="str">
        <f ca="1">IF(M8=" "," ",INDIRECT($H$3 &amp; "!AA" &amp; $H$4+2+C10))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58"/>
      <c r="K17" s="458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69" t="s">
        <v>108</v>
      </c>
      <c r="K18" s="470"/>
      <c r="L18" s="470"/>
      <c r="M18" s="281" t="str">
        <f ca="1">IF(M8=" "," ",INDIRECT($H$3 &amp; "!R" &amp; $H$4))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54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25" customHeight="1" x14ac:dyDescent="0.2">
      <c r="A21" s="256"/>
      <c r="B21" s="472" t="str">
        <f ca="1">IF(M28=" "," ",Employee!$D$5)</f>
        <v xml:space="preserve"> </v>
      </c>
      <c r="C21" s="472"/>
      <c r="D21" s="472"/>
      <c r="E21" s="472"/>
      <c r="F21" s="472"/>
      <c r="G21" s="467" t="str">
        <f ca="1">IF(G28=" "," ",Employee!$D$41)</f>
        <v xml:space="preserve"> </v>
      </c>
      <c r="H21" s="468"/>
      <c r="I21" s="479" t="str">
        <f ca="1">IF(G28=" "," ",Employee!$D$42)</f>
        <v xml:space="preserve"> </v>
      </c>
      <c r="J21" s="480"/>
      <c r="K21" s="480"/>
      <c r="L21" s="459" t="s">
        <v>23</v>
      </c>
      <c r="M21" s="459"/>
      <c r="N21" s="257"/>
    </row>
    <row r="22" spans="1:14" ht="18" customHeight="1" x14ac:dyDescent="0.15">
      <c r="A22" s="258"/>
      <c r="B22" s="463" t="str">
        <f ca="1">IF(M28=" "," ",Employee!$D$6)</f>
        <v xml:space="preserve"> </v>
      </c>
      <c r="C22" s="463"/>
      <c r="D22" s="464"/>
      <c r="E22" s="465"/>
      <c r="F22" s="466"/>
      <c r="G22" s="259"/>
      <c r="H22" s="260"/>
      <c r="I22" s="261"/>
      <c r="J22" s="261"/>
      <c r="K22" s="261"/>
      <c r="L22" s="261"/>
      <c r="M22" s="261" t="str">
        <f ca="1">INDIRECT($H$3 &amp; "!E" &amp; $H$4+2+C24)</f>
        <v xml:space="preserve"> </v>
      </c>
      <c r="N22" s="262"/>
    </row>
    <row r="23" spans="1:14" ht="21" customHeight="1" x14ac:dyDescent="0.15">
      <c r="A23" s="258"/>
      <c r="B23" s="463" t="str">
        <f ca="1">IF(M28=" "," ",Employee!$D$7)</f>
        <v xml:space="preserve"> </v>
      </c>
      <c r="C23" s="463"/>
      <c r="D23" s="463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45753</v>
      </c>
      <c r="J23" s="481" t="s">
        <v>6</v>
      </c>
      <c r="K23" s="48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58"/>
      <c r="G24" s="458"/>
      <c r="H24" s="253" t="s">
        <v>124</v>
      </c>
      <c r="I24" s="268">
        <f ca="1">I10</f>
        <v>1</v>
      </c>
      <c r="J24" s="477" t="str">
        <f ca="1">IF(M22=" "," ",INDIRECT($H$3 &amp; "!D" &amp; $H$4+2+C24))</f>
        <v xml:space="preserve"> </v>
      </c>
      <c r="K24" s="477"/>
      <c r="L24" s="249" t="s">
        <v>123</v>
      </c>
      <c r="M24" s="261" t="str">
        <f ca="1">IF(M22=" "," ",INDIRECT($H$3 &amp; "!C" &amp; $H$4+2+C24))</f>
        <v xml:space="preserve"> </v>
      </c>
      <c r="N24" s="262"/>
    </row>
    <row r="25" spans="1:14" ht="6" customHeight="1" x14ac:dyDescent="0.15">
      <c r="A25" s="258"/>
      <c r="B25" s="458"/>
      <c r="C25" s="458"/>
      <c r="D25" s="458"/>
      <c r="E25" s="458"/>
      <c r="F25" s="458"/>
      <c r="G25" s="458"/>
      <c r="H25" s="458"/>
      <c r="I25" s="458"/>
      <c r="J25" s="458"/>
      <c r="K25" s="458"/>
      <c r="L25" s="458"/>
      <c r="M25" s="458"/>
      <c r="N25" s="262"/>
    </row>
    <row r="26" spans="1:14" ht="21" customHeight="1" x14ac:dyDescent="0.15">
      <c r="A26" s="258"/>
      <c r="B26" s="473" t="s">
        <v>122</v>
      </c>
      <c r="C26" s="474"/>
      <c r="D26" s="474"/>
      <c r="E26" s="474"/>
      <c r="F26" s="474"/>
      <c r="G26" s="475" t="s">
        <v>121</v>
      </c>
      <c r="H26" s="473" t="s">
        <v>120</v>
      </c>
      <c r="I26" s="482"/>
      <c r="J26" s="482"/>
      <c r="K26" s="482"/>
      <c r="L26" s="482"/>
      <c r="M26" s="460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76"/>
      <c r="H27" s="252" t="s">
        <v>128</v>
      </c>
      <c r="I27" s="252" t="s">
        <v>112</v>
      </c>
      <c r="J27" s="462" t="s">
        <v>111</v>
      </c>
      <c r="K27" s="462"/>
      <c r="L27" s="248" t="s">
        <v>2</v>
      </c>
      <c r="M27" s="461"/>
      <c r="N27" s="262"/>
    </row>
    <row r="28" spans="1:14" s="279" customFormat="1" ht="21" customHeight="1" x14ac:dyDescent="0.15">
      <c r="A28" s="258"/>
      <c r="B28" s="271" t="str">
        <f ca="1">IF(M22=" "," ",INDIRECT($H$3 &amp; "!H" &amp; $H$4+2+C24))</f>
        <v xml:space="preserve"> </v>
      </c>
      <c r="C28" s="271" t="str">
        <f ca="1">IF(M22=" "," ",INDIRECT($H$3 &amp; "!I" &amp; $H$4+2+C24))</f>
        <v xml:space="preserve"> </v>
      </c>
      <c r="D28" s="271" t="str">
        <f ca="1">IF(M22=" "," ",INDIRECT($H$3 &amp; "!J" &amp; $H$4+2+C24))</f>
        <v xml:space="preserve"> </v>
      </c>
      <c r="E28" s="271" t="str">
        <f ca="1">IF(M22=" "," ",INDIRECT($H$3 &amp; "!K" &amp; $H$4+2+C24))</f>
        <v xml:space="preserve"> </v>
      </c>
      <c r="F28" s="272" t="str">
        <f ca="1">IF(M22=" "," ",INDIRECT($H$3 &amp; "!L" &amp; $H$4+2+C24))</f>
        <v xml:space="preserve"> </v>
      </c>
      <c r="G28" s="273" t="str">
        <f ca="1">IF(M22=" "," ",INDIRECT($H$3 &amp; "!M" &amp; $H$4+2+C24))</f>
        <v xml:space="preserve"> </v>
      </c>
      <c r="H28" s="274" t="str">
        <f ca="1">IF(M22=" "," ",INDIRECT($H$3 &amp; "!N" &amp; $H$4+2+C24))</f>
        <v xml:space="preserve"> </v>
      </c>
      <c r="I28" s="271" t="str">
        <f ca="1">IF(M22=" "," ",INDIRECT($H$3 &amp; "!O" &amp; $H$4+2+C24))</f>
        <v xml:space="preserve"> </v>
      </c>
      <c r="J28" s="457" t="str">
        <f ca="1">IF(M22=" "," ",INDIRECT($H$3 &amp; "!P" &amp; $H$4+2+C24))</f>
        <v xml:space="preserve"> </v>
      </c>
      <c r="K28" s="457"/>
      <c r="L28" s="272" t="str">
        <f ca="1">IF(M22=" "," ",INDIRECT($H$3 &amp; "!Q" &amp; $H$4+2+C24))</f>
        <v xml:space="preserve"> </v>
      </c>
      <c r="M28" s="275" t="str">
        <f ca="1">IF(M22=" "," ",INDIRECT($H$3 &amp; "!R" &amp; $H$4+2+C24))</f>
        <v xml:space="preserve"> </v>
      </c>
      <c r="N28" s="262"/>
    </row>
    <row r="29" spans="1:14" s="279" customFormat="1" ht="21" customHeight="1" x14ac:dyDescent="0.15">
      <c r="A29" s="258"/>
      <c r="B29" s="471" t="s">
        <v>110</v>
      </c>
      <c r="C29" s="471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55" t="s">
        <v>109</v>
      </c>
      <c r="F30" s="456"/>
      <c r="G30" s="271" t="str">
        <f ca="1">IF(M22=" "," ",INDIRECT($H$3 &amp; "!V" &amp; $H$4+2+C24))</f>
        <v xml:space="preserve"> </v>
      </c>
      <c r="H30" s="271" t="str">
        <f ca="1">IF(M22=" "," ",INDIRECT($H$3 &amp; "!W" &amp; $H$4+2+C24))</f>
        <v xml:space="preserve"> </v>
      </c>
      <c r="I30" s="271" t="str">
        <f ca="1">IF(M22=" "," ",INDIRECT($H$3 &amp; "!X" &amp; $H$4+2+C24))</f>
        <v xml:space="preserve"> </v>
      </c>
      <c r="J30" s="457" t="str">
        <f ca="1">IF(M22=" "," ",INDIRECT($H$3 &amp; "!Y" &amp; $H$4+2+C24))</f>
        <v xml:space="preserve"> </v>
      </c>
      <c r="K30" s="457"/>
      <c r="L30" s="271" t="str">
        <f ca="1">IF(M22=" "," ",INDIRECT($H$3 &amp; "!Z" &amp; $H$4+2+C24))</f>
        <v xml:space="preserve"> </v>
      </c>
      <c r="M30" s="271" t="str">
        <f ca="1">IF(M22=" "," ",INDIRECT($H$3 &amp; "!AA" &amp; $H$4+2+C24))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58"/>
      <c r="K31" s="458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69" t="s">
        <v>108</v>
      </c>
      <c r="K32" s="470"/>
      <c r="L32" s="470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3"/>
      <c r="B34" s="484"/>
      <c r="C34" s="484"/>
      <c r="D34" s="484"/>
      <c r="E34" s="484"/>
      <c r="F34" s="484"/>
      <c r="G34" s="484"/>
      <c r="H34" s="484"/>
      <c r="I34" s="484"/>
      <c r="J34" s="484"/>
      <c r="K34" s="484"/>
      <c r="L34" s="484"/>
      <c r="M34" s="484"/>
      <c r="N34" s="484"/>
    </row>
    <row r="35" spans="1:14" ht="21" customHeight="1" x14ac:dyDescent="0.15">
      <c r="A35" s="454"/>
      <c r="B35" s="454"/>
      <c r="C35" s="454"/>
      <c r="D35" s="454"/>
      <c r="E35" s="454"/>
      <c r="F35" s="454"/>
      <c r="G35" s="454"/>
      <c r="H35" s="454"/>
      <c r="I35" s="454"/>
      <c r="J35" s="454"/>
      <c r="K35" s="454"/>
      <c r="L35" s="454"/>
      <c r="M35" s="454"/>
      <c r="N35" s="454"/>
    </row>
    <row r="36" spans="1:14" ht="25" customHeight="1" x14ac:dyDescent="0.2">
      <c r="A36" s="256"/>
      <c r="B36" s="472" t="str">
        <f ca="1">IF(M43=" "," ",Employee!$D$5)</f>
        <v xml:space="preserve"> </v>
      </c>
      <c r="C36" s="472"/>
      <c r="D36" s="472"/>
      <c r="E36" s="472"/>
      <c r="F36" s="472"/>
      <c r="G36" s="467" t="str">
        <f ca="1">IF(G43=" "," ",Employee!$D$67)</f>
        <v xml:space="preserve"> </v>
      </c>
      <c r="H36" s="468"/>
      <c r="I36" s="479" t="str">
        <f ca="1">IF(G43=" "," ",Employee!$D$68)</f>
        <v xml:space="preserve"> </v>
      </c>
      <c r="J36" s="480"/>
      <c r="K36" s="480"/>
      <c r="L36" s="459" t="s">
        <v>23</v>
      </c>
      <c r="M36" s="459"/>
      <c r="N36" s="257"/>
    </row>
    <row r="37" spans="1:14" ht="18" customHeight="1" x14ac:dyDescent="0.15">
      <c r="A37" s="258"/>
      <c r="B37" s="463" t="str">
        <f ca="1">IF(M43=" "," ",Employee!$D$6)</f>
        <v xml:space="preserve"> </v>
      </c>
      <c r="C37" s="463"/>
      <c r="D37" s="464"/>
      <c r="E37" s="465"/>
      <c r="F37" s="466"/>
      <c r="G37" s="259"/>
      <c r="H37" s="260"/>
      <c r="I37" s="261"/>
      <c r="J37" s="261"/>
      <c r="K37" s="261"/>
      <c r="L37" s="261"/>
      <c r="M37" s="261" t="str">
        <f ca="1">INDIRECT($H$3 &amp; "!E" &amp; $H$4+2+C39)</f>
        <v xml:space="preserve"> </v>
      </c>
      <c r="N37" s="262"/>
    </row>
    <row r="38" spans="1:14" ht="21" customHeight="1" x14ac:dyDescent="0.15">
      <c r="A38" s="258"/>
      <c r="B38" s="463" t="str">
        <f ca="1">IF(M43=" "," ",Employee!$D$7)</f>
        <v xml:space="preserve"> </v>
      </c>
      <c r="C38" s="463"/>
      <c r="D38" s="463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45753</v>
      </c>
      <c r="J38" s="481" t="s">
        <v>6</v>
      </c>
      <c r="K38" s="48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58"/>
      <c r="G39" s="458"/>
      <c r="H39" s="253" t="s">
        <v>124</v>
      </c>
      <c r="I39" s="268">
        <f ca="1">I24</f>
        <v>1</v>
      </c>
      <c r="J39" s="477" t="str">
        <f ca="1">IF(M37=" "," ",INDIRECT($H$3 &amp; "!D" &amp; $H$4+2+C39))</f>
        <v xml:space="preserve"> </v>
      </c>
      <c r="K39" s="477"/>
      <c r="L39" s="249" t="s">
        <v>123</v>
      </c>
      <c r="M39" s="261" t="str">
        <f ca="1">IF(M37=" "," ",INDIRECT($H$3 &amp; "!C" &amp; $H$4+2+C39))</f>
        <v xml:space="preserve"> </v>
      </c>
      <c r="N39" s="262"/>
    </row>
    <row r="40" spans="1:14" ht="6" customHeight="1" x14ac:dyDescent="0.15">
      <c r="A40" s="258"/>
      <c r="B40" s="458"/>
      <c r="C40" s="458"/>
      <c r="D40" s="458"/>
      <c r="E40" s="458"/>
      <c r="F40" s="458"/>
      <c r="G40" s="458"/>
      <c r="H40" s="458"/>
      <c r="I40" s="458"/>
      <c r="J40" s="458"/>
      <c r="K40" s="458"/>
      <c r="L40" s="458"/>
      <c r="M40" s="458"/>
      <c r="N40" s="262"/>
    </row>
    <row r="41" spans="1:14" ht="21" customHeight="1" x14ac:dyDescent="0.15">
      <c r="A41" s="258"/>
      <c r="B41" s="473" t="s">
        <v>122</v>
      </c>
      <c r="C41" s="474"/>
      <c r="D41" s="474"/>
      <c r="E41" s="474"/>
      <c r="F41" s="474"/>
      <c r="G41" s="475" t="s">
        <v>121</v>
      </c>
      <c r="H41" s="473" t="s">
        <v>120</v>
      </c>
      <c r="I41" s="482"/>
      <c r="J41" s="482"/>
      <c r="K41" s="482"/>
      <c r="L41" s="482"/>
      <c r="M41" s="460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76"/>
      <c r="H42" s="252" t="s">
        <v>128</v>
      </c>
      <c r="I42" s="252" t="s">
        <v>112</v>
      </c>
      <c r="J42" s="462" t="s">
        <v>111</v>
      </c>
      <c r="K42" s="462"/>
      <c r="L42" s="248" t="s">
        <v>2</v>
      </c>
      <c r="M42" s="461"/>
      <c r="N42" s="262"/>
    </row>
    <row r="43" spans="1:14" s="279" customFormat="1" ht="21" customHeight="1" x14ac:dyDescent="0.15">
      <c r="A43" s="258"/>
      <c r="B43" s="271" t="str">
        <f ca="1">IF(M37=" "," ",INDIRECT($H$3 &amp; "!H" &amp; $H$4+2+C39))</f>
        <v xml:space="preserve"> </v>
      </c>
      <c r="C43" s="271" t="str">
        <f ca="1">IF(M37=" "," ",INDIRECT($H$3 &amp; "!I" &amp; $H$4+2+C39))</f>
        <v xml:space="preserve"> </v>
      </c>
      <c r="D43" s="271" t="str">
        <f ca="1">IF(M37=" "," ",INDIRECT($H$3 &amp; "!J" &amp; $H$4+2+C39))</f>
        <v xml:space="preserve"> </v>
      </c>
      <c r="E43" s="271" t="str">
        <f ca="1">IF(M37=" "," ",INDIRECT($H$3 &amp; "!K" &amp; $H$4+2+C39))</f>
        <v xml:space="preserve"> </v>
      </c>
      <c r="F43" s="272" t="str">
        <f ca="1">IF(M37=" "," ",INDIRECT($H$3 &amp; "!L" &amp; $H$4+2+C39))</f>
        <v xml:space="preserve"> </v>
      </c>
      <c r="G43" s="273" t="str">
        <f ca="1">IF(M37=" "," ",INDIRECT($H$3 &amp; "!M" &amp; $H$4+2+C39))</f>
        <v xml:space="preserve"> </v>
      </c>
      <c r="H43" s="274" t="str">
        <f ca="1">IF(M37=" "," ",INDIRECT($H$3 &amp; "!N" &amp; $H$4+2+C39))</f>
        <v xml:space="preserve"> </v>
      </c>
      <c r="I43" s="271" t="str">
        <f ca="1">IF(M37=" "," ",INDIRECT($H$3 &amp; "!O" &amp; $H$4+2+C39))</f>
        <v xml:space="preserve"> </v>
      </c>
      <c r="J43" s="457" t="str">
        <f ca="1">IF(M37=" "," ",INDIRECT($H$3 &amp; "!P" &amp; $H$4+2+C39))</f>
        <v xml:space="preserve"> </v>
      </c>
      <c r="K43" s="457"/>
      <c r="L43" s="272" t="str">
        <f ca="1">IF(M37=" "," ",INDIRECT($H$3 &amp; "!Q" &amp; $H$4+2+C39))</f>
        <v xml:space="preserve"> </v>
      </c>
      <c r="M43" s="275" t="str">
        <f ca="1">IF(M37=" "," ",INDIRECT($H$3 &amp; "!R" &amp; $H$4+2+C39))</f>
        <v xml:space="preserve"> </v>
      </c>
      <c r="N43" s="262"/>
    </row>
    <row r="44" spans="1:14" s="279" customFormat="1" ht="21" customHeight="1" x14ac:dyDescent="0.15">
      <c r="A44" s="258"/>
      <c r="B44" s="471" t="s">
        <v>110</v>
      </c>
      <c r="C44" s="471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55" t="s">
        <v>109</v>
      </c>
      <c r="F45" s="456"/>
      <c r="G45" s="271" t="str">
        <f ca="1">IF(M37=" "," ",INDIRECT($H$3 &amp; "!V" &amp; $H$4+2+C39))</f>
        <v xml:space="preserve"> </v>
      </c>
      <c r="H45" s="271" t="str">
        <f ca="1">IF(M37=" "," ",INDIRECT($H$3 &amp; "!W" &amp; $H$4+2+C39))</f>
        <v xml:space="preserve"> </v>
      </c>
      <c r="I45" s="271" t="str">
        <f ca="1">IF(M37=" "," ",INDIRECT($H$3 &amp; "!X" &amp; $H$4+2+C39))</f>
        <v xml:space="preserve"> </v>
      </c>
      <c r="J45" s="457" t="str">
        <f ca="1">IF(M37=" "," ",INDIRECT($H$3 &amp; "!Y" &amp; $H$4+2+C39))</f>
        <v xml:space="preserve"> </v>
      </c>
      <c r="K45" s="457"/>
      <c r="L45" s="271" t="str">
        <f ca="1">IF(M37=" "," ",INDIRECT($H$3 &amp; "!Z" &amp; $H$4+2+C39))</f>
        <v xml:space="preserve"> </v>
      </c>
      <c r="M45" s="271" t="str">
        <f ca="1">IF(M37=" "," ",INDIRECT($H$3 &amp; "!AA" &amp; $H$4+2+C39))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58"/>
      <c r="K46" s="458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69" t="s">
        <v>108</v>
      </c>
      <c r="K47" s="470"/>
      <c r="L47" s="470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54"/>
      <c r="B49" s="454"/>
      <c r="C49" s="454"/>
      <c r="D49" s="454"/>
      <c r="E49" s="454"/>
      <c r="F49" s="454"/>
      <c r="G49" s="454"/>
      <c r="H49" s="454"/>
      <c r="I49" s="454"/>
      <c r="J49" s="454"/>
      <c r="K49" s="454"/>
      <c r="L49" s="454"/>
      <c r="M49" s="454"/>
      <c r="N49" s="454"/>
    </row>
    <row r="50" spans="1:14" ht="25" customHeight="1" x14ac:dyDescent="0.2">
      <c r="A50" s="256"/>
      <c r="B50" s="472" t="str">
        <f ca="1">IF(M57=" "," ",Employee!$D$5)</f>
        <v xml:space="preserve"> </v>
      </c>
      <c r="C50" s="472"/>
      <c r="D50" s="472"/>
      <c r="E50" s="472"/>
      <c r="F50" s="472"/>
      <c r="G50" s="467" t="str">
        <f ca="1">IF(G57=" "," ",Employee!$D$93)</f>
        <v xml:space="preserve"> </v>
      </c>
      <c r="H50" s="468"/>
      <c r="I50" s="479" t="str">
        <f ca="1">IF(G57=" "," ",Employee!$D$94)</f>
        <v xml:space="preserve"> </v>
      </c>
      <c r="J50" s="480"/>
      <c r="K50" s="480"/>
      <c r="L50" s="459" t="s">
        <v>23</v>
      </c>
      <c r="M50" s="459"/>
      <c r="N50" s="257"/>
    </row>
    <row r="51" spans="1:14" ht="18" customHeight="1" x14ac:dyDescent="0.15">
      <c r="A51" s="258"/>
      <c r="B51" s="463" t="str">
        <f ca="1">IF(M57=" "," ",Employee!$D$6)</f>
        <v xml:space="preserve"> </v>
      </c>
      <c r="C51" s="463"/>
      <c r="D51" s="464"/>
      <c r="E51" s="465"/>
      <c r="F51" s="466"/>
      <c r="G51" s="259"/>
      <c r="H51" s="260"/>
      <c r="I51" s="261"/>
      <c r="J51" s="261"/>
      <c r="K51" s="261"/>
      <c r="L51" s="261"/>
      <c r="M51" s="261" t="str">
        <f ca="1">INDIRECT($H$3 &amp; "!E" &amp; $H$4+2+C53)</f>
        <v xml:space="preserve"> </v>
      </c>
      <c r="N51" s="262"/>
    </row>
    <row r="52" spans="1:14" ht="21" customHeight="1" x14ac:dyDescent="0.15">
      <c r="A52" s="258"/>
      <c r="B52" s="463" t="str">
        <f ca="1">IF(M57=" "," ",Employee!$D$7)</f>
        <v xml:space="preserve"> </v>
      </c>
      <c r="C52" s="463"/>
      <c r="D52" s="463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45753</v>
      </c>
      <c r="J52" s="481" t="s">
        <v>6</v>
      </c>
      <c r="K52" s="48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58"/>
      <c r="G53" s="458"/>
      <c r="H53" s="253" t="s">
        <v>124</v>
      </c>
      <c r="I53" s="268">
        <f ca="1">I39</f>
        <v>1</v>
      </c>
      <c r="J53" s="477" t="str">
        <f ca="1">IF(M51=" "," ",INDIRECT($H$3 &amp; "!D" &amp; $H$4+2+C53))</f>
        <v xml:space="preserve"> </v>
      </c>
      <c r="K53" s="477"/>
      <c r="L53" s="249" t="s">
        <v>123</v>
      </c>
      <c r="M53" s="261" t="str">
        <f ca="1">IF(M51=" "," ",INDIRECT($H$3 &amp; "!C" &amp; $H$4+2+C53))</f>
        <v xml:space="preserve"> </v>
      </c>
      <c r="N53" s="262"/>
    </row>
    <row r="54" spans="1:14" ht="6" customHeight="1" x14ac:dyDescent="0.15">
      <c r="A54" s="258"/>
      <c r="B54" s="458"/>
      <c r="C54" s="458"/>
      <c r="D54" s="458"/>
      <c r="E54" s="458"/>
      <c r="F54" s="458"/>
      <c r="G54" s="458"/>
      <c r="H54" s="458"/>
      <c r="I54" s="458"/>
      <c r="J54" s="458"/>
      <c r="K54" s="458"/>
      <c r="L54" s="458"/>
      <c r="M54" s="458"/>
      <c r="N54" s="262"/>
    </row>
    <row r="55" spans="1:14" ht="21" customHeight="1" x14ac:dyDescent="0.15">
      <c r="A55" s="258"/>
      <c r="B55" s="473" t="s">
        <v>122</v>
      </c>
      <c r="C55" s="474"/>
      <c r="D55" s="474"/>
      <c r="E55" s="474"/>
      <c r="F55" s="474"/>
      <c r="G55" s="475" t="s">
        <v>121</v>
      </c>
      <c r="H55" s="473" t="s">
        <v>120</v>
      </c>
      <c r="I55" s="482"/>
      <c r="J55" s="482"/>
      <c r="K55" s="482"/>
      <c r="L55" s="482"/>
      <c r="M55" s="460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76"/>
      <c r="H56" s="252" t="s">
        <v>128</v>
      </c>
      <c r="I56" s="252" t="s">
        <v>112</v>
      </c>
      <c r="J56" s="462" t="s">
        <v>111</v>
      </c>
      <c r="K56" s="462"/>
      <c r="L56" s="248" t="s">
        <v>2</v>
      </c>
      <c r="M56" s="461"/>
      <c r="N56" s="262"/>
    </row>
    <row r="57" spans="1:14" s="279" customFormat="1" ht="21" customHeight="1" x14ac:dyDescent="0.15">
      <c r="A57" s="258"/>
      <c r="B57" s="271" t="str">
        <f ca="1">IF(M51=" "," ",INDIRECT($H$3 &amp; "!H" &amp; $H$4+2+C53))</f>
        <v xml:space="preserve"> </v>
      </c>
      <c r="C57" s="271" t="str">
        <f ca="1">IF(M51=" "," ",INDIRECT($H$3 &amp; "!I" &amp; $H$4+2+C53))</f>
        <v xml:space="preserve"> </v>
      </c>
      <c r="D57" s="271" t="str">
        <f ca="1">IF(M51=" "," ",INDIRECT($H$3 &amp; "!J" &amp; $H$4+2+C53))</f>
        <v xml:space="preserve"> </v>
      </c>
      <c r="E57" s="271" t="str">
        <f ca="1">IF(M51=" "," ",INDIRECT($H$3 &amp; "!K" &amp; $H$4+2+C53))</f>
        <v xml:space="preserve"> </v>
      </c>
      <c r="F57" s="272" t="str">
        <f ca="1">IF(M51=" "," ",INDIRECT($H$3 &amp; "!L" &amp; $H$4+2+C53))</f>
        <v xml:space="preserve"> </v>
      </c>
      <c r="G57" s="273" t="str">
        <f ca="1">IF(M51=" "," ",INDIRECT($H$3 &amp; "!M" &amp; $H$4+2+C53))</f>
        <v xml:space="preserve"> </v>
      </c>
      <c r="H57" s="274" t="str">
        <f ca="1">IF(M51=" "," ",INDIRECT($H$3 &amp; "!N" &amp; $H$4+2+C53))</f>
        <v xml:space="preserve"> </v>
      </c>
      <c r="I57" s="271" t="str">
        <f ca="1">IF(M51=" "," ",INDIRECT($H$3 &amp; "!O" &amp; $H$4+2+C53))</f>
        <v xml:space="preserve"> </v>
      </c>
      <c r="J57" s="457" t="str">
        <f ca="1">IF(M51=" "," ",INDIRECT($H$3 &amp; "!P" &amp; $H$4+2+C53))</f>
        <v xml:space="preserve"> </v>
      </c>
      <c r="K57" s="457"/>
      <c r="L57" s="272" t="str">
        <f ca="1">IF(M51=" "," ",INDIRECT($H$3 &amp; "!Q" &amp; $H$4+2+C53))</f>
        <v xml:space="preserve"> </v>
      </c>
      <c r="M57" s="275" t="str">
        <f ca="1">IF(M51=" "," ",INDIRECT($H$3 &amp; "!R" &amp; $H$4+2+C53))</f>
        <v xml:space="preserve"> </v>
      </c>
      <c r="N57" s="262"/>
    </row>
    <row r="58" spans="1:14" s="279" customFormat="1" ht="21" customHeight="1" x14ac:dyDescent="0.15">
      <c r="A58" s="258"/>
      <c r="B58" s="471" t="s">
        <v>110</v>
      </c>
      <c r="C58" s="471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55" t="s">
        <v>109</v>
      </c>
      <c r="F59" s="456"/>
      <c r="G59" s="271" t="str">
        <f ca="1">IF(M51=" "," ",INDIRECT($H$3 &amp; "!V" &amp; $H$4+2+C53))</f>
        <v xml:space="preserve"> </v>
      </c>
      <c r="H59" s="271" t="str">
        <f ca="1">IF(M51=" "," ",INDIRECT($H$3 &amp; "!W" &amp; $H$4+2+C53))</f>
        <v xml:space="preserve"> </v>
      </c>
      <c r="I59" s="271" t="str">
        <f ca="1">IF(M51=" "," ",INDIRECT($H$3 &amp; "!X" &amp; $H$4+2+C53))</f>
        <v xml:space="preserve"> </v>
      </c>
      <c r="J59" s="457" t="str">
        <f ca="1">IF(M51=" "," ",INDIRECT($H$3 &amp; "!Y" &amp; $H$4+2+C53))</f>
        <v xml:space="preserve"> </v>
      </c>
      <c r="K59" s="457"/>
      <c r="L59" s="271" t="str">
        <f ca="1">IF(M51=" "," ",INDIRECT($H$3 &amp; "!Z" &amp; $H$4+2+C53))</f>
        <v xml:space="preserve"> </v>
      </c>
      <c r="M59" s="271" t="str">
        <f ca="1">IF(M51=" "," ",INDIRECT($H$3 &amp; "!AA" &amp; $H$4+2+C53))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58"/>
      <c r="K60" s="458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69" t="s">
        <v>108</v>
      </c>
      <c r="K61" s="470"/>
      <c r="L61" s="470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3"/>
      <c r="B63" s="484"/>
      <c r="C63" s="484"/>
      <c r="D63" s="484"/>
      <c r="E63" s="484"/>
      <c r="F63" s="484"/>
      <c r="G63" s="484"/>
      <c r="H63" s="484"/>
      <c r="I63" s="484"/>
      <c r="J63" s="484"/>
      <c r="K63" s="484"/>
      <c r="L63" s="484"/>
      <c r="M63" s="484"/>
      <c r="N63" s="484"/>
    </row>
    <row r="64" spans="1:14" ht="21" customHeight="1" x14ac:dyDescent="0.15">
      <c r="A64" s="454"/>
      <c r="B64" s="454"/>
      <c r="C64" s="454"/>
      <c r="D64" s="454"/>
      <c r="E64" s="454"/>
      <c r="F64" s="454"/>
      <c r="G64" s="454"/>
      <c r="H64" s="454"/>
      <c r="I64" s="454"/>
      <c r="J64" s="454"/>
      <c r="K64" s="454"/>
      <c r="L64" s="454"/>
      <c r="M64" s="454"/>
      <c r="N64" s="454"/>
    </row>
    <row r="65" spans="1:14" ht="25" customHeight="1" x14ac:dyDescent="0.2">
      <c r="A65" s="256"/>
      <c r="B65" s="472" t="str">
        <f ca="1">IF(M72=" "," ",Employee!$D$5)</f>
        <v xml:space="preserve"> </v>
      </c>
      <c r="C65" s="472"/>
      <c r="D65" s="472"/>
      <c r="E65" s="472"/>
      <c r="F65" s="472"/>
      <c r="G65" s="467" t="str">
        <f ca="1">IF(G72=" "," ",Employee!$D$119)</f>
        <v xml:space="preserve"> </v>
      </c>
      <c r="H65" s="468"/>
      <c r="I65" s="479" t="str">
        <f ca="1">IF(G72=" "," ",Employee!$D$120)</f>
        <v xml:space="preserve"> </v>
      </c>
      <c r="J65" s="480"/>
      <c r="K65" s="480"/>
      <c r="L65" s="459" t="s">
        <v>23</v>
      </c>
      <c r="M65" s="459"/>
      <c r="N65" s="257"/>
    </row>
    <row r="66" spans="1:14" ht="18" customHeight="1" x14ac:dyDescent="0.15">
      <c r="A66" s="258"/>
      <c r="B66" s="463" t="str">
        <f ca="1">IF(M72=" "," ",Employee!$D$6)</f>
        <v xml:space="preserve"> </v>
      </c>
      <c r="C66" s="463"/>
      <c r="D66" s="464"/>
      <c r="E66" s="465"/>
      <c r="F66" s="466"/>
      <c r="G66" s="259"/>
      <c r="H66" s="260"/>
      <c r="I66" s="261"/>
      <c r="J66" s="261"/>
      <c r="K66" s="261"/>
      <c r="L66" s="261"/>
      <c r="M66" s="261" t="str">
        <f ca="1">INDIRECT($H$3 &amp; "!E" &amp; $H$4+2+C68)</f>
        <v xml:space="preserve"> </v>
      </c>
      <c r="N66" s="262"/>
    </row>
    <row r="67" spans="1:14" ht="21" customHeight="1" x14ac:dyDescent="0.15">
      <c r="A67" s="258"/>
      <c r="B67" s="463" t="str">
        <f ca="1">IF(M72=" "," ",Employee!$D$7)</f>
        <v xml:space="preserve"> </v>
      </c>
      <c r="C67" s="463"/>
      <c r="D67" s="463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45753</v>
      </c>
      <c r="J67" s="481" t="s">
        <v>6</v>
      </c>
      <c r="K67" s="48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58"/>
      <c r="G68" s="458"/>
      <c r="H68" s="253" t="s">
        <v>124</v>
      </c>
      <c r="I68" s="268">
        <f ca="1">I53</f>
        <v>1</v>
      </c>
      <c r="J68" s="477" t="str">
        <f ca="1">IF(M66=" "," ",INDIRECT($H$3 &amp; "!D" &amp; $H$4+2+C68))</f>
        <v xml:space="preserve"> </v>
      </c>
      <c r="K68" s="477"/>
      <c r="L68" s="249" t="s">
        <v>123</v>
      </c>
      <c r="M68" s="261" t="str">
        <f ca="1">IF(M66=" "," ",INDIRECT($H$3 &amp; "!C" &amp; $H$4+2+C68))</f>
        <v xml:space="preserve"> </v>
      </c>
      <c r="N68" s="262"/>
    </row>
    <row r="69" spans="1:14" ht="6" customHeight="1" x14ac:dyDescent="0.15">
      <c r="A69" s="258"/>
      <c r="B69" s="458"/>
      <c r="C69" s="458"/>
      <c r="D69" s="458"/>
      <c r="E69" s="458"/>
      <c r="F69" s="458"/>
      <c r="G69" s="458"/>
      <c r="H69" s="458"/>
      <c r="I69" s="458"/>
      <c r="J69" s="458"/>
      <c r="K69" s="458"/>
      <c r="L69" s="458"/>
      <c r="M69" s="458"/>
      <c r="N69" s="262"/>
    </row>
    <row r="70" spans="1:14" ht="21" customHeight="1" x14ac:dyDescent="0.15">
      <c r="A70" s="258"/>
      <c r="B70" s="473" t="s">
        <v>122</v>
      </c>
      <c r="C70" s="474"/>
      <c r="D70" s="474"/>
      <c r="E70" s="474"/>
      <c r="F70" s="474"/>
      <c r="G70" s="475" t="s">
        <v>121</v>
      </c>
      <c r="H70" s="473" t="s">
        <v>120</v>
      </c>
      <c r="I70" s="482"/>
      <c r="J70" s="482"/>
      <c r="K70" s="482"/>
      <c r="L70" s="482"/>
      <c r="M70" s="460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76"/>
      <c r="H71" s="252" t="s">
        <v>113</v>
      </c>
      <c r="I71" s="252" t="s">
        <v>112</v>
      </c>
      <c r="J71" s="462" t="s">
        <v>111</v>
      </c>
      <c r="K71" s="462"/>
      <c r="L71" s="248" t="s">
        <v>2</v>
      </c>
      <c r="M71" s="461"/>
      <c r="N71" s="262"/>
    </row>
    <row r="72" spans="1:14" s="279" customFormat="1" ht="21" customHeight="1" x14ac:dyDescent="0.15">
      <c r="A72" s="258"/>
      <c r="B72" s="271" t="str">
        <f ca="1">IF(M66=" "," ",INDIRECT($H$3 &amp; "!H" &amp; $H$4+2+C68))</f>
        <v xml:space="preserve"> </v>
      </c>
      <c r="C72" s="271" t="str">
        <f ca="1">IF(M66=" "," ",INDIRECT($H$3 &amp; "!I" &amp; $H$4+2+C68))</f>
        <v xml:space="preserve"> </v>
      </c>
      <c r="D72" s="271" t="str">
        <f ca="1">IF(M66=" "," ",INDIRECT($H$3 &amp; "!J" &amp; $H$4+2+C68))</f>
        <v xml:space="preserve"> </v>
      </c>
      <c r="E72" s="271" t="str">
        <f ca="1">IF(M66=" "," ",INDIRECT($H$3 &amp; "!K" &amp; $H$4+2+C68))</f>
        <v xml:space="preserve"> </v>
      </c>
      <c r="F72" s="272" t="str">
        <f ca="1">IF(M66=" "," ",INDIRECT($H$3 &amp; "!L" &amp; $H$4+2+C68))</f>
        <v xml:space="preserve"> </v>
      </c>
      <c r="G72" s="273" t="str">
        <f ca="1">IF(M66=" "," ",INDIRECT($H$3 &amp; "!M" &amp; $H$4+2+C68))</f>
        <v xml:space="preserve"> </v>
      </c>
      <c r="H72" s="274" t="str">
        <f ca="1">IF(M66=" "," ",INDIRECT($H$3 &amp; "!N" &amp; $H$4+2+C68))</f>
        <v xml:space="preserve"> </v>
      </c>
      <c r="I72" s="271" t="str">
        <f ca="1">IF(M66=" "," ",INDIRECT($H$3 &amp; "!O" &amp; $H$4+2+C68))</f>
        <v xml:space="preserve"> </v>
      </c>
      <c r="J72" s="457" t="str">
        <f ca="1">IF(M66=" "," ",INDIRECT($H$3 &amp; "!P" &amp; $H$4+2+C68))</f>
        <v xml:space="preserve"> </v>
      </c>
      <c r="K72" s="457"/>
      <c r="L72" s="272" t="str">
        <f ca="1">IF(M66=" "," ",INDIRECT($H$3 &amp; "!Q" &amp; $H$4+2+C68))</f>
        <v xml:space="preserve"> </v>
      </c>
      <c r="M72" s="275" t="str">
        <f ca="1">IF(M66=" "," ",INDIRECT($H$3 &amp; "!R" &amp; $H$4+2+C68))</f>
        <v xml:space="preserve"> </v>
      </c>
      <c r="N72" s="262"/>
    </row>
    <row r="73" spans="1:14" s="279" customFormat="1" ht="21" customHeight="1" x14ac:dyDescent="0.15">
      <c r="A73" s="258"/>
      <c r="B73" s="471" t="s">
        <v>110</v>
      </c>
      <c r="C73" s="471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55" t="s">
        <v>109</v>
      </c>
      <c r="F74" s="456"/>
      <c r="G74" s="271" t="str">
        <f ca="1">IF(M66=" "," ",INDIRECT($H$3 &amp; "!V" &amp; $H$4+2+C68))</f>
        <v xml:space="preserve"> </v>
      </c>
      <c r="H74" s="271" t="str">
        <f ca="1">IF(M66=" "," ",INDIRECT($H$3 &amp; "!W" &amp; $H$4+2+C68))</f>
        <v xml:space="preserve"> </v>
      </c>
      <c r="I74" s="271" t="str">
        <f ca="1">IF(M66=" "," ",INDIRECT($H$3 &amp; "!X" &amp; $H$4+2+C68))</f>
        <v xml:space="preserve"> </v>
      </c>
      <c r="J74" s="457" t="str">
        <f ca="1">IF(M66=" "," ",INDIRECT($H$3 &amp; "!Y" &amp; $H$4+2+C68))</f>
        <v xml:space="preserve"> </v>
      </c>
      <c r="K74" s="457"/>
      <c r="L74" s="271" t="str">
        <f ca="1">IF(M66=" "," ",INDIRECT($H$3 &amp; "!Z" &amp; $H$4+2+C68))</f>
        <v xml:space="preserve"> </v>
      </c>
      <c r="M74" s="271" t="str">
        <f ca="1">IF(M66=" "," ",INDIRECT($H$3 &amp; "!AA" &amp; $H$4+2+C68))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58"/>
      <c r="K75" s="458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69" t="s">
        <v>108</v>
      </c>
      <c r="K76" s="470"/>
      <c r="L76" s="470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54"/>
      <c r="B78" s="454"/>
      <c r="C78" s="454"/>
      <c r="D78" s="454"/>
      <c r="E78" s="454"/>
      <c r="F78" s="454"/>
      <c r="G78" s="454"/>
      <c r="H78" s="454"/>
      <c r="I78" s="454"/>
      <c r="J78" s="454"/>
      <c r="K78" s="454"/>
      <c r="L78" s="454"/>
      <c r="M78" s="454"/>
      <c r="N78" s="454"/>
    </row>
  </sheetData>
  <mergeCells count="121"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Admin!$B$26</f>
        <v>45777</v>
      </c>
      <c r="C4" s="229">
        <f>Admin!$B$45</f>
        <v>45796</v>
      </c>
      <c r="D4" s="227">
        <f>Jun!T1+Jun!O1</f>
        <v>0</v>
      </c>
      <c r="E4" s="228">
        <f>Jun!N1</f>
        <v>0</v>
      </c>
      <c r="F4" s="228">
        <f>Jun!AD60+Jun!AE60+Jun!AF60+Jun!AG60</f>
        <v>0</v>
      </c>
      <c r="G4" s="228">
        <f>Jun!AE62+Jun!AF62+Jun!AG62</f>
        <v>0</v>
      </c>
      <c r="H4" s="228">
        <f>Jun!P1</f>
        <v>0</v>
      </c>
      <c r="I4" s="227">
        <f t="shared" ref="I4:I15" si="0">D4+E4-F4-G4+H4</f>
        <v>0</v>
      </c>
      <c r="M4" s="212">
        <f>(YEAR(Admin!B2)-1999)*100+1</f>
        <v>2601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Admin!$B$57</f>
        <v>45808</v>
      </c>
      <c r="C5" s="229">
        <f>Admin!$B$76</f>
        <v>45827</v>
      </c>
      <c r="D5" s="227">
        <f>Jul!T1+Jul!O1</f>
        <v>0</v>
      </c>
      <c r="E5" s="228">
        <f>Jul!N1</f>
        <v>0</v>
      </c>
      <c r="F5" s="228">
        <f>Jul!AD60+Jul!AE60+Jul!AF60+Jul!AG60</f>
        <v>0</v>
      </c>
      <c r="G5" s="228">
        <f>Jul!AE62+Jul!AF62+Jul!AG62</f>
        <v>0</v>
      </c>
      <c r="H5" s="228">
        <f>Jul!P1</f>
        <v>0</v>
      </c>
      <c r="I5" s="227">
        <f t="shared" si="0"/>
        <v>0</v>
      </c>
      <c r="M5" s="212">
        <f>M4+1</f>
        <v>2602</v>
      </c>
      <c r="N5" s="226">
        <f t="shared" si="1"/>
        <v>0</v>
      </c>
      <c r="O5" s="225"/>
    </row>
    <row r="6" spans="1:15" ht="15" customHeight="1" x14ac:dyDescent="0.15">
      <c r="A6" s="231"/>
      <c r="B6" s="230">
        <f>Admin!$B$87</f>
        <v>45838</v>
      </c>
      <c r="C6" s="229">
        <f>Admin!$B$106</f>
        <v>45857</v>
      </c>
      <c r="D6" s="227">
        <f>Aug!T1+Aug!O1</f>
        <v>0</v>
      </c>
      <c r="E6" s="228">
        <f>Aug!N1</f>
        <v>0</v>
      </c>
      <c r="F6" s="228">
        <f>Aug!AD70+Aug!AE70+Aug!AF70+Aug!AG70</f>
        <v>0</v>
      </c>
      <c r="G6" s="228">
        <f>Aug!AE72+Aug!AF72+Aug!AG72</f>
        <v>0</v>
      </c>
      <c r="H6" s="228">
        <f>Aug!P1</f>
        <v>0</v>
      </c>
      <c r="I6" s="227">
        <f t="shared" si="0"/>
        <v>0</v>
      </c>
      <c r="M6" s="212">
        <f t="shared" ref="M6:M15" si="2">M5+1</f>
        <v>2603</v>
      </c>
      <c r="N6" s="226">
        <f t="shared" si="1"/>
        <v>0</v>
      </c>
      <c r="O6" s="225"/>
    </row>
    <row r="7" spans="1:15" ht="15" customHeight="1" x14ac:dyDescent="0.15">
      <c r="A7" s="231"/>
      <c r="B7" s="230">
        <f>Admin!$B$118</f>
        <v>45869</v>
      </c>
      <c r="C7" s="229">
        <f>Admin!$B$137</f>
        <v>45888</v>
      </c>
      <c r="D7" s="227">
        <f>Sep!T1+Sep!O1</f>
        <v>0</v>
      </c>
      <c r="E7" s="228">
        <f>Sep!N1</f>
        <v>0</v>
      </c>
      <c r="F7" s="228">
        <f>Sep!AD60+Sep!AE60+Sep!AF60+Sep!AG60</f>
        <v>0</v>
      </c>
      <c r="G7" s="228">
        <f>Sep!AE62+Sep!AF62+Sep!AG62</f>
        <v>0</v>
      </c>
      <c r="H7" s="228">
        <f>Sep!P1</f>
        <v>0</v>
      </c>
      <c r="I7" s="227">
        <f t="shared" si="0"/>
        <v>0</v>
      </c>
      <c r="M7" s="212">
        <f t="shared" si="2"/>
        <v>2604</v>
      </c>
      <c r="N7" s="226">
        <f t="shared" si="1"/>
        <v>0</v>
      </c>
      <c r="O7" s="225"/>
    </row>
    <row r="8" spans="1:15" ht="15" customHeight="1" x14ac:dyDescent="0.15">
      <c r="A8" s="231"/>
      <c r="B8" s="230">
        <f>Admin!$B$149</f>
        <v>45900</v>
      </c>
      <c r="C8" s="229">
        <f>Admin!$B$168</f>
        <v>45919</v>
      </c>
      <c r="D8" s="227">
        <f>Oct!T1+Oct!O1</f>
        <v>0</v>
      </c>
      <c r="E8" s="228">
        <f>Oct!N1</f>
        <v>0</v>
      </c>
      <c r="F8" s="228">
        <f>Oct!AD60+Oct!AE60+Oct!AF60+Oct!AG60</f>
        <v>0</v>
      </c>
      <c r="G8" s="228">
        <f>Oct!AE62+Oct!AF62+Oct!AG62</f>
        <v>0</v>
      </c>
      <c r="H8" s="228">
        <f>Oct!P1</f>
        <v>0</v>
      </c>
      <c r="I8" s="227">
        <f t="shared" si="0"/>
        <v>0</v>
      </c>
      <c r="M8" s="212">
        <f t="shared" si="2"/>
        <v>2605</v>
      </c>
      <c r="N8" s="226">
        <f t="shared" si="1"/>
        <v>0</v>
      </c>
      <c r="O8" s="225"/>
    </row>
    <row r="9" spans="1:15" ht="15" customHeight="1" x14ac:dyDescent="0.15">
      <c r="A9" s="231"/>
      <c r="B9" s="230">
        <f>Admin!$B$179</f>
        <v>45930</v>
      </c>
      <c r="C9" s="229">
        <f>Admin!$B$198</f>
        <v>45949</v>
      </c>
      <c r="D9" s="227">
        <f>Nov!T1+Nov!O1</f>
        <v>0</v>
      </c>
      <c r="E9" s="228">
        <f>Nov!N1</f>
        <v>0</v>
      </c>
      <c r="F9" s="228">
        <f>Nov!AD70+Nov!AE70+Nov!AF70+Nov!AG70</f>
        <v>0</v>
      </c>
      <c r="G9" s="228">
        <f>Nov!AE72+Nov!AF72+Nov!AG72</f>
        <v>0</v>
      </c>
      <c r="H9" s="228">
        <f>Nov!P1</f>
        <v>0</v>
      </c>
      <c r="I9" s="227">
        <f t="shared" si="0"/>
        <v>0</v>
      </c>
      <c r="M9" s="212">
        <f t="shared" si="2"/>
        <v>2606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Admin!$B$210</f>
        <v>45961</v>
      </c>
      <c r="C10" s="229">
        <f>Admin!$B$229</f>
        <v>45980</v>
      </c>
      <c r="D10" s="227">
        <f>Dec!T1+Dec!O1</f>
        <v>0</v>
      </c>
      <c r="E10" s="228">
        <f>Dec!N1</f>
        <v>0</v>
      </c>
      <c r="F10" s="228">
        <f>Dec!AD60+Dec!AE60+Dec!AF60+Dec!AG60</f>
        <v>0</v>
      </c>
      <c r="G10" s="228">
        <f>Dec!AE62+Dec!AF62+Dec!AG62</f>
        <v>0</v>
      </c>
      <c r="H10" s="228">
        <f>Dec!P1</f>
        <v>0</v>
      </c>
      <c r="I10" s="227">
        <f t="shared" si="0"/>
        <v>0</v>
      </c>
      <c r="M10" s="212">
        <f t="shared" si="2"/>
        <v>2607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Admin!$B$240</f>
        <v>45991</v>
      </c>
      <c r="C11" s="229">
        <f>Admin!$B$259</f>
        <v>46010</v>
      </c>
      <c r="D11" s="227">
        <f>Jan!T1+Jan!O1</f>
        <v>0</v>
      </c>
      <c r="E11" s="228">
        <f>Jan!N1</f>
        <v>0</v>
      </c>
      <c r="F11" s="228">
        <f>Jan!AD60+Jan!AE60+Jan!AF60+Jan!AG60</f>
        <v>0</v>
      </c>
      <c r="G11" s="228">
        <f>Jan!AE62+Jan!AF62+Jan!AG62</f>
        <v>0</v>
      </c>
      <c r="H11" s="228">
        <f>Jan!P1</f>
        <v>0</v>
      </c>
      <c r="I11" s="227">
        <f t="shared" si="0"/>
        <v>0</v>
      </c>
      <c r="M11" s="212">
        <f t="shared" si="2"/>
        <v>2608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Admin!$B$271</f>
        <v>46022</v>
      </c>
      <c r="C12" s="229">
        <f>Admin!$B$290</f>
        <v>46041</v>
      </c>
      <c r="D12" s="227">
        <f>Feb!T1+Feb!O1</f>
        <v>0</v>
      </c>
      <c r="E12" s="228">
        <f>Feb!N1</f>
        <v>0</v>
      </c>
      <c r="F12" s="228">
        <f>Feb!AD70+Feb!AE70+Feb!AF70+Feb!AG70</f>
        <v>0</v>
      </c>
      <c r="G12" s="228">
        <f>Feb!AE72+Feb!AF72+Feb!AG72</f>
        <v>0</v>
      </c>
      <c r="H12" s="228">
        <f>Feb!P1</f>
        <v>0</v>
      </c>
      <c r="I12" s="227">
        <f t="shared" si="0"/>
        <v>0</v>
      </c>
      <c r="M12" s="212">
        <f t="shared" si="2"/>
        <v>2609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Admin!$B$302</f>
        <v>46053</v>
      </c>
      <c r="C13" s="229">
        <f>Admin!$B$321</f>
        <v>46072</v>
      </c>
      <c r="D13" s="227">
        <f>Mar!T1+Mar!O1</f>
        <v>0</v>
      </c>
      <c r="E13" s="228">
        <f>Mar!N1</f>
        <v>0</v>
      </c>
      <c r="F13" s="228">
        <f>Mar!AD60+Mar!AE60+Mar!AF60+Mar!AG60</f>
        <v>0</v>
      </c>
      <c r="G13" s="228">
        <f>Mar!AE62+Mar!AF62+Mar!AG62</f>
        <v>0</v>
      </c>
      <c r="H13" s="228">
        <f>Mar!P1</f>
        <v>0</v>
      </c>
      <c r="I13" s="227">
        <f t="shared" si="0"/>
        <v>0</v>
      </c>
      <c r="M13" s="212">
        <f t="shared" si="2"/>
        <v>2610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Admin!$B$330</f>
        <v>46081</v>
      </c>
      <c r="C14" s="229">
        <f>Admin!$B$350</f>
        <v>46101</v>
      </c>
      <c r="D14" s="227">
        <f>Apr!T1+Apr!O1</f>
        <v>0</v>
      </c>
      <c r="E14" s="228">
        <f>Apr!N1</f>
        <v>0</v>
      </c>
      <c r="F14" s="228">
        <f>Apr!AD60+Apr!AE60+Apr!AF60+Apr!AG60</f>
        <v>0</v>
      </c>
      <c r="G14" s="228">
        <f>Apr!AE62+Apr!AF62+Apr!AG62</f>
        <v>0</v>
      </c>
      <c r="H14" s="228">
        <f>Apr!P1</f>
        <v>0</v>
      </c>
      <c r="I14" s="227">
        <f t="shared" si="0"/>
        <v>0</v>
      </c>
      <c r="M14" s="212">
        <f t="shared" si="2"/>
        <v>2611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Admin!$B$361</f>
        <v>46112</v>
      </c>
      <c r="C15" s="229">
        <f>Admin!$B$381</f>
        <v>46132</v>
      </c>
      <c r="D15" s="227">
        <f>May!T1+May!O1</f>
        <v>0</v>
      </c>
      <c r="E15" s="228">
        <f>May!N1</f>
        <v>0</v>
      </c>
      <c r="F15" s="228">
        <f>May!AD80+May!AE80+May!AF80+May!AG80</f>
        <v>0</v>
      </c>
      <c r="G15" s="228">
        <f>May!AE82+May!AF82+May!AG82</f>
        <v>0</v>
      </c>
      <c r="H15" s="228">
        <f>May!P1</f>
        <v>0</v>
      </c>
      <c r="I15" s="227">
        <f t="shared" si="0"/>
        <v>0</v>
      </c>
      <c r="M15" s="212">
        <f t="shared" si="2"/>
        <v>2612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B366</f>
        <v>46117</v>
      </c>
      <c r="J1" s="493"/>
      <c r="K1" s="303"/>
      <c r="L1" s="303"/>
      <c r="M1" s="304"/>
      <c r="N1" s="305" t="str">
        <f>TEXT(YEAR(I1)-1,"0") &amp; "-" &amp; TEXT(YEAR(I1)-2000,"0")</f>
        <v>2025-26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TEXT(DATE(YEAR(B$2),MONTH(B$2)+(D2-1),1),"Mmm")</f>
        <v>Apr</v>
      </c>
      <c r="B2" s="308">
        <v>46118</v>
      </c>
      <c r="C2" s="309">
        <v>1</v>
      </c>
      <c r="D2" s="309">
        <v>1</v>
      </c>
      <c r="E2" s="310">
        <f>B2</f>
        <v>45753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TEXT(DATE(YEAR(B$2),MONTH(B$2)+(D3-1),1),"Mmm")</f>
        <v>Apr</v>
      </c>
      <c r="B3" s="308">
        <f>B2+1</f>
        <v>45754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Apr</v>
      </c>
      <c r="B4" s="308">
        <f t="shared" ref="B4:B67" si="1">B3+1</f>
        <v>45755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Apr</v>
      </c>
      <c r="B5" s="308">
        <f t="shared" si="1"/>
        <v>45756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Apr</v>
      </c>
      <c r="B6" s="308">
        <f t="shared" si="1"/>
        <v>45757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Apr</v>
      </c>
      <c r="B7" s="308">
        <f t="shared" si="1"/>
        <v>45758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Apr</v>
      </c>
      <c r="B8" s="308">
        <f t="shared" si="1"/>
        <v>45759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Apr</v>
      </c>
      <c r="B9" s="308">
        <f t="shared" si="1"/>
        <v>45760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Apr</v>
      </c>
      <c r="B10" s="308">
        <f t="shared" si="1"/>
        <v>45761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Apr</v>
      </c>
      <c r="B11" s="308">
        <f t="shared" si="1"/>
        <v>45762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Apr</v>
      </c>
      <c r="B12" s="308">
        <f t="shared" si="1"/>
        <v>45763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Apr</v>
      </c>
      <c r="B13" s="308">
        <f t="shared" si="1"/>
        <v>45764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Apr</v>
      </c>
      <c r="B14" s="308">
        <f t="shared" si="1"/>
        <v>45765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Apr</v>
      </c>
      <c r="B15" s="308">
        <f t="shared" si="1"/>
        <v>45766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Apr</v>
      </c>
      <c r="B16" s="308">
        <f t="shared" si="1"/>
        <v>45767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Apr</v>
      </c>
      <c r="B17" s="308">
        <f t="shared" si="1"/>
        <v>45768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Apr</v>
      </c>
      <c r="B18" s="308">
        <f t="shared" si="1"/>
        <v>45769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Apr</v>
      </c>
      <c r="B19" s="308">
        <f t="shared" si="1"/>
        <v>45770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Apr</v>
      </c>
      <c r="B20" s="308">
        <f t="shared" si="1"/>
        <v>45771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Apr</v>
      </c>
      <c r="B21" s="308">
        <f t="shared" si="1"/>
        <v>45772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Apr</v>
      </c>
      <c r="B22" s="308">
        <f t="shared" si="1"/>
        <v>45773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Apr</v>
      </c>
      <c r="B23" s="308">
        <f t="shared" si="1"/>
        <v>45774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Apr</v>
      </c>
      <c r="B24" s="308">
        <f t="shared" si="1"/>
        <v>45775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Apr</v>
      </c>
      <c r="B25" s="308">
        <f t="shared" si="1"/>
        <v>45776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Apr</v>
      </c>
      <c r="B26" s="308">
        <f t="shared" si="1"/>
        <v>45777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Apr</v>
      </c>
      <c r="B27" s="308">
        <f t="shared" si="1"/>
        <v>45778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May</v>
      </c>
      <c r="B28" s="308">
        <f t="shared" si="1"/>
        <v>45779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May</v>
      </c>
      <c r="B29" s="308">
        <f t="shared" si="1"/>
        <v>45780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May</v>
      </c>
      <c r="B30" s="308">
        <f t="shared" si="1"/>
        <v>45781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May</v>
      </c>
      <c r="B31" s="308">
        <f t="shared" si="1"/>
        <v>45782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May</v>
      </c>
      <c r="B32" s="308">
        <f t="shared" si="1"/>
        <v>45783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May</v>
      </c>
      <c r="B33" s="308">
        <f t="shared" si="1"/>
        <v>45784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May</v>
      </c>
      <c r="B34" s="308">
        <f t="shared" si="1"/>
        <v>45785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May</v>
      </c>
      <c r="B35" s="308">
        <f t="shared" si="1"/>
        <v>45786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May</v>
      </c>
      <c r="B36" s="308">
        <f t="shared" si="1"/>
        <v>45787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May</v>
      </c>
      <c r="B37" s="308">
        <f t="shared" si="1"/>
        <v>45788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May</v>
      </c>
      <c r="B38" s="308">
        <f t="shared" si="1"/>
        <v>45789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May</v>
      </c>
      <c r="B39" s="308">
        <f t="shared" si="1"/>
        <v>45790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May</v>
      </c>
      <c r="B40" s="308">
        <f t="shared" si="1"/>
        <v>45791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May</v>
      </c>
      <c r="B41" s="308">
        <f t="shared" si="1"/>
        <v>45792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May</v>
      </c>
      <c r="B42" s="308">
        <f t="shared" si="1"/>
        <v>45793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May</v>
      </c>
      <c r="B43" s="308">
        <f t="shared" si="1"/>
        <v>45794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May</v>
      </c>
      <c r="B44" s="308">
        <f t="shared" si="1"/>
        <v>45795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May</v>
      </c>
      <c r="B45" s="308">
        <f t="shared" si="1"/>
        <v>45796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May</v>
      </c>
      <c r="B46" s="308">
        <f t="shared" si="1"/>
        <v>45797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May</v>
      </c>
      <c r="B47" s="308">
        <f t="shared" si="1"/>
        <v>45798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May</v>
      </c>
      <c r="B48" s="308">
        <f t="shared" si="1"/>
        <v>45799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May</v>
      </c>
      <c r="B49" s="308">
        <f t="shared" si="1"/>
        <v>45800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May</v>
      </c>
      <c r="B50" s="308">
        <f t="shared" si="1"/>
        <v>45801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May</v>
      </c>
      <c r="B51" s="308">
        <f t="shared" si="1"/>
        <v>45802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May</v>
      </c>
      <c r="B52" s="308">
        <f t="shared" si="1"/>
        <v>45803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May</v>
      </c>
      <c r="B53" s="308">
        <f t="shared" si="1"/>
        <v>45804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May</v>
      </c>
      <c r="B54" s="308">
        <f t="shared" si="1"/>
        <v>45805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May</v>
      </c>
      <c r="B55" s="308">
        <f t="shared" si="1"/>
        <v>45806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Jun</v>
      </c>
      <c r="B56" s="308">
        <f t="shared" si="1"/>
        <v>45807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Jun</v>
      </c>
      <c r="B57" s="308">
        <f t="shared" si="1"/>
        <v>45808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Jun</v>
      </c>
      <c r="B58" s="308">
        <f t="shared" si="1"/>
        <v>45809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Jun</v>
      </c>
      <c r="B59" s="308">
        <f t="shared" si="1"/>
        <v>45810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Jun</v>
      </c>
      <c r="B60" s="308">
        <f t="shared" si="1"/>
        <v>45811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Jun</v>
      </c>
      <c r="B61" s="308">
        <f t="shared" si="1"/>
        <v>45812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Jun</v>
      </c>
      <c r="B62" s="308">
        <f t="shared" si="1"/>
        <v>45813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Jun</v>
      </c>
      <c r="B63" s="308">
        <f t="shared" si="1"/>
        <v>45814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Jun</v>
      </c>
      <c r="B64" s="308">
        <f t="shared" si="1"/>
        <v>45815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Jun</v>
      </c>
      <c r="B65" s="308">
        <f t="shared" si="1"/>
        <v>45816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Jun</v>
      </c>
      <c r="B66" s="308">
        <f t="shared" si="1"/>
        <v>45817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TEXT(DATE(YEAR(B$2),MONTH(B$2)+(D67-1),1),"Mmm")</f>
        <v>Jun</v>
      </c>
      <c r="B67" s="308">
        <f t="shared" si="1"/>
        <v>45818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Jun</v>
      </c>
      <c r="B68" s="308">
        <f t="shared" ref="B68:B131" si="3">B67+1</f>
        <v>45819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Jun</v>
      </c>
      <c r="B69" s="308">
        <f t="shared" si="3"/>
        <v>45820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Jun</v>
      </c>
      <c r="B70" s="308">
        <f t="shared" si="3"/>
        <v>45821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Jun</v>
      </c>
      <c r="B71" s="308">
        <f t="shared" si="3"/>
        <v>45822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Jun</v>
      </c>
      <c r="B72" s="308">
        <f t="shared" si="3"/>
        <v>45823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Jun</v>
      </c>
      <c r="B73" s="308">
        <f t="shared" si="3"/>
        <v>45824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Jun</v>
      </c>
      <c r="B74" s="308">
        <f t="shared" si="3"/>
        <v>45825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Jun</v>
      </c>
      <c r="B75" s="308">
        <f t="shared" si="3"/>
        <v>45826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Jun</v>
      </c>
      <c r="B76" s="308">
        <f t="shared" si="3"/>
        <v>45827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Jun</v>
      </c>
      <c r="B77" s="308">
        <f t="shared" si="3"/>
        <v>45828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Jun</v>
      </c>
      <c r="B78" s="308">
        <f t="shared" si="3"/>
        <v>45829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Jun</v>
      </c>
      <c r="B79" s="308">
        <f t="shared" si="3"/>
        <v>45830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Jun</v>
      </c>
      <c r="B80" s="308">
        <f t="shared" si="3"/>
        <v>45831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Jun</v>
      </c>
      <c r="B81" s="308">
        <f t="shared" si="3"/>
        <v>45832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Jun</v>
      </c>
      <c r="B82" s="308">
        <f t="shared" si="3"/>
        <v>45833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Jun</v>
      </c>
      <c r="B83" s="308">
        <f t="shared" si="3"/>
        <v>45834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Jun</v>
      </c>
      <c r="B84" s="308">
        <f t="shared" si="3"/>
        <v>45835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Jun</v>
      </c>
      <c r="B85" s="308">
        <f t="shared" si="3"/>
        <v>45836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Jun</v>
      </c>
      <c r="B86" s="308">
        <f t="shared" si="3"/>
        <v>45837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Jun</v>
      </c>
      <c r="B87" s="308">
        <f t="shared" si="3"/>
        <v>45838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Jun</v>
      </c>
      <c r="B88" s="308">
        <f t="shared" si="3"/>
        <v>45839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Jun</v>
      </c>
      <c r="B89" s="308">
        <f t="shared" si="3"/>
        <v>45840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Jun</v>
      </c>
      <c r="B90" s="308">
        <f t="shared" si="3"/>
        <v>45841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Jul</v>
      </c>
      <c r="B91" s="308">
        <f t="shared" si="3"/>
        <v>45842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Jul</v>
      </c>
      <c r="B92" s="308">
        <f t="shared" si="3"/>
        <v>45843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Jul</v>
      </c>
      <c r="B93" s="308">
        <f t="shared" si="3"/>
        <v>45844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Jul</v>
      </c>
      <c r="B94" s="308">
        <f t="shared" si="3"/>
        <v>45845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Jul</v>
      </c>
      <c r="B95" s="308">
        <f t="shared" si="3"/>
        <v>45846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Jul</v>
      </c>
      <c r="B96" s="308">
        <f t="shared" si="3"/>
        <v>45847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Jul</v>
      </c>
      <c r="B97" s="308">
        <f t="shared" si="3"/>
        <v>45848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Jul</v>
      </c>
      <c r="B98" s="308">
        <f t="shared" si="3"/>
        <v>45849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Jul</v>
      </c>
      <c r="B99" s="308">
        <f t="shared" si="3"/>
        <v>45850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Jul</v>
      </c>
      <c r="B100" s="308">
        <f t="shared" si="3"/>
        <v>45851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Jul</v>
      </c>
      <c r="B101" s="308">
        <f t="shared" si="3"/>
        <v>45852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Jul</v>
      </c>
      <c r="B102" s="308">
        <f t="shared" si="3"/>
        <v>45853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Jul</v>
      </c>
      <c r="B103" s="308">
        <f t="shared" si="3"/>
        <v>45854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Jul</v>
      </c>
      <c r="B104" s="308">
        <f t="shared" si="3"/>
        <v>45855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Jul</v>
      </c>
      <c r="B105" s="308">
        <f t="shared" si="3"/>
        <v>45856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Jul</v>
      </c>
      <c r="B106" s="308">
        <f t="shared" si="3"/>
        <v>45857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Jul</v>
      </c>
      <c r="B107" s="308">
        <f t="shared" si="3"/>
        <v>45858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Jul</v>
      </c>
      <c r="B108" s="308">
        <f t="shared" si="3"/>
        <v>45859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Jul</v>
      </c>
      <c r="B109" s="308">
        <f t="shared" si="3"/>
        <v>45860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Jul</v>
      </c>
      <c r="B110" s="308">
        <f t="shared" si="3"/>
        <v>45861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Jul</v>
      </c>
      <c r="B111" s="308">
        <f t="shared" si="3"/>
        <v>45862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Jul</v>
      </c>
      <c r="B112" s="308">
        <f t="shared" si="3"/>
        <v>45863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Jul</v>
      </c>
      <c r="B113" s="308">
        <f t="shared" si="3"/>
        <v>45864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Jul</v>
      </c>
      <c r="B114" s="308">
        <f t="shared" si="3"/>
        <v>45865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Jul</v>
      </c>
      <c r="B115" s="308">
        <f t="shared" si="3"/>
        <v>45866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Jul</v>
      </c>
      <c r="B116" s="308">
        <f t="shared" si="3"/>
        <v>45867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Jul</v>
      </c>
      <c r="B117" s="308">
        <f t="shared" si="3"/>
        <v>45868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Jul</v>
      </c>
      <c r="B118" s="308">
        <f t="shared" si="3"/>
        <v>45869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Aug</v>
      </c>
      <c r="B119" s="308">
        <f t="shared" si="3"/>
        <v>45870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Aug</v>
      </c>
      <c r="B120" s="308">
        <f t="shared" si="3"/>
        <v>45871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Aug</v>
      </c>
      <c r="B121" s="308">
        <f t="shared" si="3"/>
        <v>45872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Aug</v>
      </c>
      <c r="B122" s="308">
        <f t="shared" si="3"/>
        <v>45873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Aug</v>
      </c>
      <c r="B123" s="308">
        <f t="shared" si="3"/>
        <v>45874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Aug</v>
      </c>
      <c r="B124" s="308">
        <f t="shared" si="3"/>
        <v>45875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Aug</v>
      </c>
      <c r="B125" s="308">
        <f t="shared" si="3"/>
        <v>45876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Aug</v>
      </c>
      <c r="B126" s="308">
        <f t="shared" si="3"/>
        <v>45877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Aug</v>
      </c>
      <c r="B127" s="308">
        <f t="shared" si="3"/>
        <v>45878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Aug</v>
      </c>
      <c r="B128" s="308">
        <f t="shared" si="3"/>
        <v>45879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Aug</v>
      </c>
      <c r="B129" s="308">
        <f t="shared" si="3"/>
        <v>45880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Aug</v>
      </c>
      <c r="B130" s="308">
        <f t="shared" si="3"/>
        <v>45881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TEXT(DATE(YEAR(B$2),MONTH(B$2)+(D131-1),1),"Mmm")</f>
        <v>Aug</v>
      </c>
      <c r="B131" s="308">
        <f t="shared" si="3"/>
        <v>45882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Aug</v>
      </c>
      <c r="B132" s="308">
        <f t="shared" ref="B132:B195" si="5">B131+1</f>
        <v>45883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Aug</v>
      </c>
      <c r="B133" s="308">
        <f t="shared" si="5"/>
        <v>45884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Aug</v>
      </c>
      <c r="B134" s="308">
        <f t="shared" si="5"/>
        <v>45885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Aug</v>
      </c>
      <c r="B135" s="308">
        <f t="shared" si="5"/>
        <v>45886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Aug</v>
      </c>
      <c r="B136" s="308">
        <f t="shared" si="5"/>
        <v>45887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Aug</v>
      </c>
      <c r="B137" s="308">
        <f t="shared" si="5"/>
        <v>45888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Aug</v>
      </c>
      <c r="B138" s="308">
        <f t="shared" si="5"/>
        <v>45889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Aug</v>
      </c>
      <c r="B139" s="308">
        <f t="shared" si="5"/>
        <v>45890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Aug</v>
      </c>
      <c r="B140" s="308">
        <f t="shared" si="5"/>
        <v>45891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Aug</v>
      </c>
      <c r="B141" s="308">
        <f t="shared" si="5"/>
        <v>45892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Aug</v>
      </c>
      <c r="B142" s="308">
        <f t="shared" si="5"/>
        <v>45893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Aug</v>
      </c>
      <c r="B143" s="308">
        <f t="shared" si="5"/>
        <v>45894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Aug</v>
      </c>
      <c r="B144" s="308">
        <f t="shared" si="5"/>
        <v>45895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Aug</v>
      </c>
      <c r="B145" s="308">
        <f t="shared" si="5"/>
        <v>45896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Aug</v>
      </c>
      <c r="B146" s="308">
        <f t="shared" si="5"/>
        <v>45897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Sep</v>
      </c>
      <c r="B147" s="308">
        <f t="shared" si="5"/>
        <v>45898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Sep</v>
      </c>
      <c r="B148" s="308">
        <f t="shared" si="5"/>
        <v>45899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Sep</v>
      </c>
      <c r="B149" s="308">
        <f t="shared" si="5"/>
        <v>45900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Sep</v>
      </c>
      <c r="B150" s="308">
        <f t="shared" si="5"/>
        <v>45901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Sep</v>
      </c>
      <c r="B151" s="308">
        <f t="shared" si="5"/>
        <v>45902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Sep</v>
      </c>
      <c r="B152" s="308">
        <f t="shared" si="5"/>
        <v>45903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Sep</v>
      </c>
      <c r="B153" s="308">
        <f t="shared" si="5"/>
        <v>45904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Sep</v>
      </c>
      <c r="B154" s="308">
        <f t="shared" si="5"/>
        <v>45905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Sep</v>
      </c>
      <c r="B155" s="321">
        <f t="shared" si="5"/>
        <v>45906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Sep</v>
      </c>
      <c r="B156" s="308">
        <f t="shared" si="5"/>
        <v>45907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Sep</v>
      </c>
      <c r="B157" s="308">
        <f t="shared" si="5"/>
        <v>45908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Sep</v>
      </c>
      <c r="B158" s="308">
        <f t="shared" si="5"/>
        <v>45909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Sep</v>
      </c>
      <c r="B159" s="308">
        <f t="shared" si="5"/>
        <v>45910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Sep</v>
      </c>
      <c r="B160" s="308">
        <f t="shared" si="5"/>
        <v>45911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Sep</v>
      </c>
      <c r="B161" s="308">
        <f t="shared" si="5"/>
        <v>45912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Sep</v>
      </c>
      <c r="B162" s="308">
        <f t="shared" si="5"/>
        <v>45913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Sep</v>
      </c>
      <c r="B163" s="308">
        <f t="shared" si="5"/>
        <v>45914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Sep</v>
      </c>
      <c r="B164" s="308">
        <f t="shared" si="5"/>
        <v>45915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Sep</v>
      </c>
      <c r="B165" s="308">
        <f t="shared" si="5"/>
        <v>45916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Sep</v>
      </c>
      <c r="B166" s="308">
        <f t="shared" si="5"/>
        <v>45917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Sep</v>
      </c>
      <c r="B167" s="308">
        <f t="shared" si="5"/>
        <v>45918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Sep</v>
      </c>
      <c r="B168" s="308">
        <f t="shared" si="5"/>
        <v>45919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Sep</v>
      </c>
      <c r="B169" s="308">
        <f t="shared" si="5"/>
        <v>45920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Sep</v>
      </c>
      <c r="B170" s="308">
        <f t="shared" si="5"/>
        <v>45921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Sep</v>
      </c>
      <c r="B171" s="308">
        <f t="shared" si="5"/>
        <v>45922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Sep</v>
      </c>
      <c r="B172" s="308">
        <f t="shared" si="5"/>
        <v>45923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Sep</v>
      </c>
      <c r="B173" s="308">
        <f t="shared" si="5"/>
        <v>45924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Sep</v>
      </c>
      <c r="B174" s="308">
        <f t="shared" si="5"/>
        <v>45925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Sep</v>
      </c>
      <c r="B175" s="308">
        <f t="shared" si="5"/>
        <v>45926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Sep</v>
      </c>
      <c r="B176" s="308">
        <f t="shared" si="5"/>
        <v>45927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Sep</v>
      </c>
      <c r="B177" s="308">
        <f t="shared" si="5"/>
        <v>45928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Sep</v>
      </c>
      <c r="B178" s="308">
        <f t="shared" si="5"/>
        <v>45929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Sep</v>
      </c>
      <c r="B179" s="308">
        <f t="shared" si="5"/>
        <v>45930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Sep</v>
      </c>
      <c r="B180" s="308">
        <f t="shared" si="5"/>
        <v>45931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Sep</v>
      </c>
      <c r="B181" s="308">
        <f t="shared" si="5"/>
        <v>45932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Oct</v>
      </c>
      <c r="B182" s="308">
        <f t="shared" si="5"/>
        <v>45933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Oct</v>
      </c>
      <c r="B183" s="308">
        <f t="shared" si="5"/>
        <v>45934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Oct</v>
      </c>
      <c r="B184" s="308">
        <f t="shared" si="5"/>
        <v>45935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Oct</v>
      </c>
      <c r="B185" s="321">
        <f t="shared" si="5"/>
        <v>45936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Oct</v>
      </c>
      <c r="B186" s="308">
        <f t="shared" si="5"/>
        <v>45937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Oct</v>
      </c>
      <c r="B187" s="308">
        <f t="shared" si="5"/>
        <v>45938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Oct</v>
      </c>
      <c r="B188" s="308">
        <f t="shared" si="5"/>
        <v>45939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Oct</v>
      </c>
      <c r="B189" s="308">
        <f t="shared" si="5"/>
        <v>45940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Oct</v>
      </c>
      <c r="B190" s="308">
        <f t="shared" si="5"/>
        <v>45941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Oct</v>
      </c>
      <c r="B191" s="308">
        <f t="shared" si="5"/>
        <v>45942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Oct</v>
      </c>
      <c r="B192" s="308">
        <f t="shared" si="5"/>
        <v>45943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Oct</v>
      </c>
      <c r="B193" s="308">
        <f t="shared" si="5"/>
        <v>45944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Oct</v>
      </c>
      <c r="B194" s="308">
        <f t="shared" si="5"/>
        <v>45945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TEXT(DATE(YEAR(B$2),MONTH(B$2)+(D195-1),1),"Mmm")</f>
        <v>Oct</v>
      </c>
      <c r="B195" s="308">
        <f t="shared" si="5"/>
        <v>45946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Oct</v>
      </c>
      <c r="B196" s="308">
        <f t="shared" ref="B196:B259" si="7">B195+1</f>
        <v>45947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Oct</v>
      </c>
      <c r="B197" s="308">
        <f t="shared" si="7"/>
        <v>45948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Oct</v>
      </c>
      <c r="B198" s="308">
        <f t="shared" si="7"/>
        <v>45949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Oct</v>
      </c>
      <c r="B199" s="308">
        <f t="shared" si="7"/>
        <v>45950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Oct</v>
      </c>
      <c r="B200" s="308">
        <f t="shared" si="7"/>
        <v>45951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Oct</v>
      </c>
      <c r="B201" s="308">
        <f t="shared" si="7"/>
        <v>45952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Oct</v>
      </c>
      <c r="B202" s="308">
        <f t="shared" si="7"/>
        <v>45953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Oct</v>
      </c>
      <c r="B203" s="308">
        <f t="shared" si="7"/>
        <v>45954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Oct</v>
      </c>
      <c r="B204" s="308">
        <f t="shared" si="7"/>
        <v>45955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Oct</v>
      </c>
      <c r="B205" s="308">
        <f t="shared" si="7"/>
        <v>45956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Oct</v>
      </c>
      <c r="B206" s="308">
        <f t="shared" si="7"/>
        <v>45957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Oct</v>
      </c>
      <c r="B207" s="308">
        <f t="shared" si="7"/>
        <v>45958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Oct</v>
      </c>
      <c r="B208" s="308">
        <f t="shared" si="7"/>
        <v>45959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Oct</v>
      </c>
      <c r="B209" s="308">
        <f t="shared" si="7"/>
        <v>45960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Nov</v>
      </c>
      <c r="B210" s="308">
        <f t="shared" si="7"/>
        <v>45961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Nov</v>
      </c>
      <c r="B211" s="308">
        <f t="shared" si="7"/>
        <v>45962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Nov</v>
      </c>
      <c r="B212" s="308">
        <f t="shared" si="7"/>
        <v>45963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Nov</v>
      </c>
      <c r="B213" s="308">
        <f t="shared" si="7"/>
        <v>45964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Nov</v>
      </c>
      <c r="B214" s="308">
        <f t="shared" si="7"/>
        <v>45965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Nov</v>
      </c>
      <c r="B215" s="308">
        <f t="shared" si="7"/>
        <v>45966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Nov</v>
      </c>
      <c r="B216" s="321">
        <f t="shared" si="7"/>
        <v>45967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Nov</v>
      </c>
      <c r="B217" s="308">
        <f t="shared" si="7"/>
        <v>45968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Nov</v>
      </c>
      <c r="B218" s="308">
        <f t="shared" si="7"/>
        <v>45969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Nov</v>
      </c>
      <c r="B219" s="308">
        <f t="shared" si="7"/>
        <v>45970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Nov</v>
      </c>
      <c r="B220" s="308">
        <f t="shared" si="7"/>
        <v>45971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Nov</v>
      </c>
      <c r="B221" s="308">
        <f t="shared" si="7"/>
        <v>45972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Nov</v>
      </c>
      <c r="B222" s="308">
        <f t="shared" si="7"/>
        <v>45973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Nov</v>
      </c>
      <c r="B223" s="308">
        <f t="shared" si="7"/>
        <v>45974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Nov</v>
      </c>
      <c r="B224" s="308">
        <f t="shared" si="7"/>
        <v>45975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Nov</v>
      </c>
      <c r="B225" s="308">
        <f t="shared" si="7"/>
        <v>45976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Nov</v>
      </c>
      <c r="B226" s="308">
        <f t="shared" si="7"/>
        <v>45977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Nov</v>
      </c>
      <c r="B227" s="308">
        <f t="shared" si="7"/>
        <v>45978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Nov</v>
      </c>
      <c r="B228" s="308">
        <f t="shared" si="7"/>
        <v>45979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Nov</v>
      </c>
      <c r="B229" s="308">
        <f t="shared" si="7"/>
        <v>45980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Nov</v>
      </c>
      <c r="B230" s="308">
        <f t="shared" si="7"/>
        <v>45981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Nov</v>
      </c>
      <c r="B231" s="308">
        <f t="shared" si="7"/>
        <v>45982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Nov</v>
      </c>
      <c r="B232" s="308">
        <f t="shared" si="7"/>
        <v>45983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Nov</v>
      </c>
      <c r="B233" s="308">
        <f t="shared" si="7"/>
        <v>45984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Nov</v>
      </c>
      <c r="B234" s="308">
        <f t="shared" si="7"/>
        <v>45985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Nov</v>
      </c>
      <c r="B235" s="308">
        <f t="shared" si="7"/>
        <v>45986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Nov</v>
      </c>
      <c r="B236" s="308">
        <f t="shared" si="7"/>
        <v>45987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Nov</v>
      </c>
      <c r="B237" s="308">
        <f t="shared" si="7"/>
        <v>45988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Dec</v>
      </c>
      <c r="B238" s="308">
        <f t="shared" si="7"/>
        <v>45989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Dec</v>
      </c>
      <c r="B239" s="308">
        <f t="shared" si="7"/>
        <v>45990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Dec</v>
      </c>
      <c r="B240" s="308">
        <f t="shared" si="7"/>
        <v>45991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Dec</v>
      </c>
      <c r="B241" s="308">
        <f t="shared" si="7"/>
        <v>45992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Dec</v>
      </c>
      <c r="B242" s="308">
        <f t="shared" si="7"/>
        <v>45993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Dec</v>
      </c>
      <c r="B243" s="308">
        <f t="shared" si="7"/>
        <v>45994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Dec</v>
      </c>
      <c r="B244" s="308">
        <f t="shared" si="7"/>
        <v>45995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Dec</v>
      </c>
      <c r="B245" s="308">
        <f t="shared" si="7"/>
        <v>45996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Dec</v>
      </c>
      <c r="B246" s="321">
        <f t="shared" si="7"/>
        <v>45997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Dec</v>
      </c>
      <c r="B247" s="308">
        <f t="shared" si="7"/>
        <v>45998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Dec</v>
      </c>
      <c r="B248" s="308">
        <f t="shared" si="7"/>
        <v>45999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Dec</v>
      </c>
      <c r="B249" s="308">
        <f t="shared" si="7"/>
        <v>46000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Dec</v>
      </c>
      <c r="B250" s="308">
        <f t="shared" si="7"/>
        <v>46001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Dec</v>
      </c>
      <c r="B251" s="308">
        <f t="shared" si="7"/>
        <v>46002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Dec</v>
      </c>
      <c r="B252" s="308">
        <f t="shared" si="7"/>
        <v>46003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Dec</v>
      </c>
      <c r="B253" s="308">
        <f t="shared" si="7"/>
        <v>46004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Dec</v>
      </c>
      <c r="B254" s="308">
        <f t="shared" si="7"/>
        <v>46005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Dec</v>
      </c>
      <c r="B255" s="308">
        <f t="shared" si="7"/>
        <v>46006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Dec</v>
      </c>
      <c r="B256" s="308">
        <f t="shared" si="7"/>
        <v>46007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Dec</v>
      </c>
      <c r="B257" s="308">
        <f t="shared" si="7"/>
        <v>46008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Dec</v>
      </c>
      <c r="B258" s="308">
        <f t="shared" si="7"/>
        <v>46009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TEXT(DATE(YEAR(B$2),MONTH(B$2)+(D259-1),1),"Mmm")</f>
        <v>Dec</v>
      </c>
      <c r="B259" s="308">
        <f t="shared" si="7"/>
        <v>46010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Dec</v>
      </c>
      <c r="B260" s="308">
        <f t="shared" ref="B260:B323" si="9">B259+1</f>
        <v>46011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Dec</v>
      </c>
      <c r="B261" s="308">
        <f t="shared" si="9"/>
        <v>46012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Dec</v>
      </c>
      <c r="B262" s="308">
        <f t="shared" si="9"/>
        <v>46013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Dec</v>
      </c>
      <c r="B263" s="308">
        <f t="shared" si="9"/>
        <v>46014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Dec</v>
      </c>
      <c r="B264" s="308">
        <f t="shared" si="9"/>
        <v>46015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Dec</v>
      </c>
      <c r="B265" s="308">
        <f t="shared" si="9"/>
        <v>46016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Dec</v>
      </c>
      <c r="B266" s="308">
        <f t="shared" si="9"/>
        <v>46017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Dec</v>
      </c>
      <c r="B267" s="308">
        <f t="shared" si="9"/>
        <v>46018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Dec</v>
      </c>
      <c r="B268" s="308">
        <f t="shared" si="9"/>
        <v>46019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Dec</v>
      </c>
      <c r="B269" s="308">
        <f t="shared" si="9"/>
        <v>46020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Dec</v>
      </c>
      <c r="B270" s="308">
        <f t="shared" si="9"/>
        <v>46021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Dec</v>
      </c>
      <c r="B271" s="308">
        <f t="shared" si="9"/>
        <v>46022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Dec</v>
      </c>
      <c r="B272" s="308">
        <f t="shared" si="9"/>
        <v>46023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Jan</v>
      </c>
      <c r="B273" s="308">
        <f t="shared" si="9"/>
        <v>46024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Jan</v>
      </c>
      <c r="B274" s="308">
        <f t="shared" si="9"/>
        <v>46025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Jan</v>
      </c>
      <c r="B275" s="308">
        <f t="shared" si="9"/>
        <v>46026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Jan</v>
      </c>
      <c r="B276" s="321">
        <f t="shared" si="9"/>
        <v>46027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Jan</v>
      </c>
      <c r="B277" s="321">
        <f t="shared" si="9"/>
        <v>46028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Jan</v>
      </c>
      <c r="B278" s="308">
        <f t="shared" si="9"/>
        <v>46029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Jan</v>
      </c>
      <c r="B279" s="308">
        <f t="shared" si="9"/>
        <v>46030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Jan</v>
      </c>
      <c r="B280" s="308">
        <f t="shared" si="9"/>
        <v>46031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Jan</v>
      </c>
      <c r="B281" s="308">
        <f t="shared" si="9"/>
        <v>46032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Jan</v>
      </c>
      <c r="B282" s="308">
        <f t="shared" si="9"/>
        <v>46033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Jan</v>
      </c>
      <c r="B283" s="308">
        <f t="shared" si="9"/>
        <v>46034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Jan</v>
      </c>
      <c r="B284" s="308">
        <f t="shared" si="9"/>
        <v>46035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Jan</v>
      </c>
      <c r="B285" s="308">
        <f t="shared" si="9"/>
        <v>46036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Jan</v>
      </c>
      <c r="B286" s="308">
        <f t="shared" si="9"/>
        <v>46037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Jan</v>
      </c>
      <c r="B287" s="308">
        <f t="shared" si="9"/>
        <v>46038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Jan</v>
      </c>
      <c r="B288" s="308">
        <f t="shared" si="9"/>
        <v>46039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Jan</v>
      </c>
      <c r="B289" s="308">
        <f t="shared" si="9"/>
        <v>46040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Jan</v>
      </c>
      <c r="B290" s="308">
        <f t="shared" si="9"/>
        <v>46041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Jan</v>
      </c>
      <c r="B291" s="308">
        <f t="shared" si="9"/>
        <v>46042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Jan</v>
      </c>
      <c r="B292" s="308">
        <f t="shared" si="9"/>
        <v>46043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Jan</v>
      </c>
      <c r="B293" s="308">
        <f t="shared" si="9"/>
        <v>46044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Jan</v>
      </c>
      <c r="B294" s="308">
        <f t="shared" si="9"/>
        <v>46045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Jan</v>
      </c>
      <c r="B295" s="308">
        <f t="shared" si="9"/>
        <v>46046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Jan</v>
      </c>
      <c r="B296" s="308">
        <f t="shared" si="9"/>
        <v>46047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Jan</v>
      </c>
      <c r="B297" s="308">
        <f t="shared" si="9"/>
        <v>46048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Jan</v>
      </c>
      <c r="B298" s="308">
        <f t="shared" si="9"/>
        <v>46049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Jan</v>
      </c>
      <c r="B299" s="308">
        <f t="shared" si="9"/>
        <v>46050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Jan</v>
      </c>
      <c r="B300" s="308">
        <f t="shared" si="9"/>
        <v>46051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Feb</v>
      </c>
      <c r="B301" s="308">
        <f t="shared" si="9"/>
        <v>46052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Feb</v>
      </c>
      <c r="B302" s="308">
        <f t="shared" si="9"/>
        <v>46053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Feb</v>
      </c>
      <c r="B303" s="308">
        <f t="shared" si="9"/>
        <v>46054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Feb</v>
      </c>
      <c r="B304" s="308">
        <f t="shared" si="9"/>
        <v>46055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Feb</v>
      </c>
      <c r="B305" s="308">
        <f t="shared" si="9"/>
        <v>46056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Feb</v>
      </c>
      <c r="B306" s="308">
        <f t="shared" si="9"/>
        <v>46057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Feb</v>
      </c>
      <c r="B307" s="308">
        <f t="shared" si="9"/>
        <v>46058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Feb</v>
      </c>
      <c r="B308" s="321">
        <f t="shared" si="9"/>
        <v>46059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Feb</v>
      </c>
      <c r="B309" s="308">
        <f t="shared" si="9"/>
        <v>46060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Feb</v>
      </c>
      <c r="B310" s="308">
        <f t="shared" si="9"/>
        <v>46061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Feb</v>
      </c>
      <c r="B311" s="308">
        <f t="shared" si="9"/>
        <v>46062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Feb</v>
      </c>
      <c r="B312" s="308">
        <f t="shared" si="9"/>
        <v>46063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Feb</v>
      </c>
      <c r="B313" s="308">
        <f t="shared" si="9"/>
        <v>46064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Feb</v>
      </c>
      <c r="B314" s="308">
        <f t="shared" si="9"/>
        <v>46065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Feb</v>
      </c>
      <c r="B315" s="308">
        <f t="shared" si="9"/>
        <v>46066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Feb</v>
      </c>
      <c r="B316" s="308">
        <f t="shared" si="9"/>
        <v>46067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Feb</v>
      </c>
      <c r="B317" s="308">
        <f t="shared" si="9"/>
        <v>46068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Feb</v>
      </c>
      <c r="B318" s="308">
        <f t="shared" si="9"/>
        <v>46069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Feb</v>
      </c>
      <c r="B319" s="308">
        <f t="shared" si="9"/>
        <v>46070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Feb</v>
      </c>
      <c r="B320" s="308">
        <f t="shared" si="9"/>
        <v>46071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Feb</v>
      </c>
      <c r="B321" s="308">
        <f t="shared" si="9"/>
        <v>46072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Feb</v>
      </c>
      <c r="B322" s="308">
        <f t="shared" si="9"/>
        <v>46073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TEXT(DATE(YEAR(B$2),MONTH(B$2)+(D323-1),1),"Mmm")</f>
        <v>Feb</v>
      </c>
      <c r="B323" s="308">
        <f t="shared" si="9"/>
        <v>46074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Feb</v>
      </c>
      <c r="B324" s="308">
        <f t="shared" ref="B324:B381" si="11">B323+1</f>
        <v>46075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Feb</v>
      </c>
      <c r="B325" s="308">
        <f t="shared" si="11"/>
        <v>46076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Feb</v>
      </c>
      <c r="B326" s="308">
        <f t="shared" si="11"/>
        <v>46077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Feb</v>
      </c>
      <c r="B327" s="308">
        <f t="shared" si="11"/>
        <v>46078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Feb</v>
      </c>
      <c r="B328" s="308">
        <f t="shared" si="11"/>
        <v>46079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Mar</v>
      </c>
      <c r="B329" s="308">
        <f t="shared" si="11"/>
        <v>46080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Mar</v>
      </c>
      <c r="B330" s="308">
        <f t="shared" si="11"/>
        <v>46081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Mar</v>
      </c>
      <c r="B331" s="308">
        <f t="shared" si="11"/>
        <v>46082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Mar</v>
      </c>
      <c r="B332" s="308">
        <f t="shared" si="11"/>
        <v>46083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Mar</v>
      </c>
      <c r="B333" s="308">
        <f t="shared" si="11"/>
        <v>46084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Mar</v>
      </c>
      <c r="B334" s="308">
        <f t="shared" si="11"/>
        <v>46085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Mar</v>
      </c>
      <c r="B335" s="308">
        <f t="shared" si="11"/>
        <v>46086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Mar</v>
      </c>
      <c r="B336" s="321">
        <f t="shared" si="11"/>
        <v>46087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Mar</v>
      </c>
      <c r="B337" s="308">
        <f t="shared" si="11"/>
        <v>46088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Mar</v>
      </c>
      <c r="B338" s="308">
        <f t="shared" si="11"/>
        <v>46089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Mar</v>
      </c>
      <c r="B339" s="308">
        <f t="shared" si="11"/>
        <v>46090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Mar</v>
      </c>
      <c r="B340" s="308">
        <f t="shared" si="11"/>
        <v>46091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Mar</v>
      </c>
      <c r="B341" s="308">
        <f t="shared" si="11"/>
        <v>46092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Mar</v>
      </c>
      <c r="B342" s="308">
        <f t="shared" si="11"/>
        <v>46093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Mar</v>
      </c>
      <c r="B343" s="308">
        <f t="shared" si="11"/>
        <v>46094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Mar</v>
      </c>
      <c r="B344" s="308">
        <f t="shared" si="11"/>
        <v>46095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Mar</v>
      </c>
      <c r="B345" s="308">
        <f t="shared" si="11"/>
        <v>46096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Mar</v>
      </c>
      <c r="B346" s="308">
        <f t="shared" si="11"/>
        <v>46097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Mar</v>
      </c>
      <c r="B347" s="308">
        <f t="shared" si="11"/>
        <v>46098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Mar</v>
      </c>
      <c r="B348" s="308">
        <f t="shared" si="11"/>
        <v>46099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Mar</v>
      </c>
      <c r="B349" s="308">
        <f t="shared" si="11"/>
        <v>46100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Mar</v>
      </c>
      <c r="B350" s="308">
        <f t="shared" si="11"/>
        <v>46101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Mar</v>
      </c>
      <c r="B351" s="308">
        <f t="shared" si="11"/>
        <v>46102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Mar</v>
      </c>
      <c r="B352" s="308">
        <f t="shared" si="11"/>
        <v>46103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Mar</v>
      </c>
      <c r="B353" s="308">
        <f t="shared" si="11"/>
        <v>46104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Mar</v>
      </c>
      <c r="B354" s="308">
        <f t="shared" si="11"/>
        <v>46105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Mar</v>
      </c>
      <c r="B355" s="308">
        <f t="shared" si="11"/>
        <v>46106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Mar</v>
      </c>
      <c r="B356" s="308">
        <f t="shared" si="11"/>
        <v>46107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Mar</v>
      </c>
      <c r="B357" s="308">
        <f t="shared" si="11"/>
        <v>46108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Mar</v>
      </c>
      <c r="B358" s="308">
        <f t="shared" si="11"/>
        <v>46109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Mar</v>
      </c>
      <c r="B359" s="308">
        <f t="shared" si="11"/>
        <v>46110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Mar</v>
      </c>
      <c r="B360" s="308">
        <f t="shared" si="11"/>
        <v>46111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Mar</v>
      </c>
      <c r="B361" s="308">
        <f t="shared" si="11"/>
        <v>46112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Mar</v>
      </c>
      <c r="B362" s="308">
        <f t="shared" si="11"/>
        <v>46113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Mar</v>
      </c>
      <c r="B363" s="308">
        <f t="shared" si="11"/>
        <v>46114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Mar</v>
      </c>
      <c r="B364" s="308">
        <f t="shared" si="11"/>
        <v>46115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Mar</v>
      </c>
      <c r="B365" s="308">
        <f t="shared" si="11"/>
        <v>46116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Mar</v>
      </c>
      <c r="B366" s="308">
        <f t="shared" si="11"/>
        <v>46117</v>
      </c>
      <c r="C366" s="309">
        <v>53</v>
      </c>
      <c r="D366" s="309">
        <v>12</v>
      </c>
      <c r="E366" s="310">
        <f>B366</f>
        <v>46117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Mar</v>
      </c>
      <c r="B367" s="308">
        <f t="shared" si="11"/>
        <v>46118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Mar</v>
      </c>
      <c r="B368" s="308">
        <f t="shared" si="11"/>
        <v>46119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Mar</v>
      </c>
      <c r="B369" s="308">
        <f t="shared" si="11"/>
        <v>46120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Mar</v>
      </c>
      <c r="B370" s="308">
        <f t="shared" si="11"/>
        <v>46121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Mar</v>
      </c>
      <c r="B371" s="308">
        <f t="shared" si="11"/>
        <v>46122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Mar</v>
      </c>
      <c r="B372" s="308">
        <f t="shared" si="11"/>
        <v>46123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Mar</v>
      </c>
      <c r="B373" s="308">
        <f t="shared" si="11"/>
        <v>46124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Mar</v>
      </c>
      <c r="B374" s="308">
        <f t="shared" si="11"/>
        <v>46125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Mar</v>
      </c>
      <c r="B375" s="308">
        <f t="shared" si="11"/>
        <v>46126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Mar</v>
      </c>
      <c r="B376" s="308">
        <f t="shared" si="11"/>
        <v>46127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Mar</v>
      </c>
      <c r="B377" s="308">
        <f t="shared" si="11"/>
        <v>46128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Mar</v>
      </c>
      <c r="B378" s="308">
        <f t="shared" si="11"/>
        <v>46129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Mar</v>
      </c>
      <c r="B379" s="308">
        <f t="shared" si="11"/>
        <v>46130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Mar</v>
      </c>
      <c r="B380" s="308">
        <f t="shared" si="11"/>
        <v>46131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Mar</v>
      </c>
      <c r="B381" s="308">
        <f t="shared" si="11"/>
        <v>46132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Terry Cartwright</dc:creator>
  <cp:lastModifiedBy>Cartwright, Antony</cp:lastModifiedBy>
  <cp:lastPrinted>2006-09-19T02:28:04Z</cp:lastPrinted>
  <dcterms:created xsi:type="dcterms:W3CDTF">2006-03-29T22:56:21Z</dcterms:created>
  <dcterms:modified xsi:type="dcterms:W3CDTF">2025-04-03T23:04:59Z</dcterms:modified>
</cp:coreProperties>
</file>