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<sst xmlns="http://schemas.openxmlformats.org/spreadsheetml/2006/main" count="1383" uniqueCount="138">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</sst>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45813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45839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45865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45891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DATE(2025,4,6)</f>
        <v>45753</v>
      </c>
      <c r="L49" s="203" t="s">
        <v>76</v>
      </c>
      <c r="M49" s="205">
        <f>DATE(2025,4,30)</f>
        <v>45777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DATE(2025,5,1)</f>
        <v>45778</v>
      </c>
      <c r="L49" s="203" t="s">
        <v>76</v>
      </c>
      <c r="M49" s="205">
        <f>DATE(2025,5,31)</f>
        <v>45808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DATE(2025,6,1)</f>
        <v>45809</v>
      </c>
      <c r="L59" s="203" t="s">
        <v>76</v>
      </c>
      <c r="M59" s="205">
        <f>DATE(2025,6,30)</f>
        <v>45838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45842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DATE(2025,7,1)</f>
        <v>45839</v>
      </c>
      <c r="L49" s="203" t="s">
        <v>76</v>
      </c>
      <c r="M49" s="205">
        <f>DATE(2025,7,31)</f>
        <v>45869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45870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DATE(2025,8,1)</f>
        <v>45870</v>
      </c>
      <c r="L49" s="203" t="s">
        <v>76</v>
      </c>
      <c r="M49" s="205">
        <f>DATE(2025,8,31)</f>
        <v>45900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45926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DATE(2025,9,1)</f>
        <v>45901</v>
      </c>
      <c r="L59" s="203" t="s">
        <v>76</v>
      </c>
      <c r="M59" s="205">
        <f>DATE(2025,9,30)</f>
        <v>45930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45933</v>
      </c>
      <c r="L9" s="203" t="s">
        <v>76</v>
      </c>
      <c r="M9" s="205">
        <f>Admin!B188</f>
        <v>45939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DATE(2025,10,1)</f>
        <v>45931</v>
      </c>
      <c r="L49" s="203" t="s">
        <v>76</v>
      </c>
      <c r="M49" s="205">
        <f>DATE(2025,10,31)</f>
        <v>45961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45961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DATE(2025,11,1)</f>
        <v>45962</v>
      </c>
      <c r="L49" s="203" t="s">
        <v>76</v>
      </c>
      <c r="M49" s="205">
        <f>DATE(2025,11,30)</f>
        <v>45991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DATE(2025,12,1)</f>
        <v>45992</v>
      </c>
      <c r="L59" s="203" t="s">
        <v>76</v>
      </c>
      <c r="M59" s="205">
        <f>DATE(2025,12,31)</f>
        <v>46022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DATE(2026,1,1)</f>
        <v>46023</v>
      </c>
      <c r="L49" s="203" t="s">
        <v>76</v>
      </c>
      <c r="M49" s="205">
        <f>DATE(2026,1,31)</f>
        <v>46053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DATE(2026,2,1)</f>
        <v>46054</v>
      </c>
      <c r="L49" s="203" t="s">
        <v>76</v>
      </c>
      <c r="M49" s="205">
        <f>DATE(2026,2,28)</f>
        <v>46081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DATE(2026,3,1)</f>
        <v>46082</v>
      </c>
      <c r="L69" s="203" t="s">
        <v>76</v>
      </c>
      <c r="M69" s="205">
        <f>DATE(2026,3,31)</f>
        <v>46112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INDIRECT(ADDRESS($H$4,2,1,TRUE,$H$3))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INDIRECT(ADDRESS($H$4+1,5,1,TRUE,$H$3))</f>
        <v>1</v>
      </c>
      <c r="J10" s="467" t="str">
        <f ca="1">IF(M8=" "," ",INDIRECT(ADDRESS($H$4+2+C10,4,1,TRUE,$H$3)))</f>
        <v xml:space="preserve"> </v>
      </c>
      <c r="K10" s="46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75" t="str">
        <f ca="1">IF(M8=" "," ",INDIRECT(ADDRESS($H$4+2+C10,16,1,TRUE,$H$3)))</f>
        <v xml:space="preserve"> </v>
      </c>
      <c r="K14" s="475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75" t="str">
        <f ca="1">IF(M8=" "," ",INDIRECT(ADDRESS($H$4+2+C10,25,1,TRUE,$H$3)))</f>
        <v xml:space="preserve"> </v>
      </c>
      <c r="K16" s="475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",INDIRECT(ADDRESS($H$4+2+C24,4,1,TRUE,$H$3)))</f>
        <v xml:space="preserve"> </v>
      </c>
      <c r="K24" s="46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75" t="str">
        <f ca="1">IF(M22=" "," ",INDIRECT(ADDRESS($H$4+2+C24,16,1,TRUE,$H$3)))</f>
        <v xml:space="preserve"> </v>
      </c>
      <c r="K28" s="475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75" t="str">
        <f ca="1">IF(M22=" "," ",INDIRECT(ADDRESS($H$4+2+C24,25,1,TRUE,$H$3)))</f>
        <v xml:space="preserve"> </v>
      </c>
      <c r="K30" s="475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",INDIRECT(ADDRESS($H$4+2+C39,4,1,TRUE,$H$3)))</f>
        <v xml:space="preserve"> </v>
      </c>
      <c r="K39" s="46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75" t="str">
        <f ca="1">IF(M37=" "," ",INDIRECT(ADDRESS($H$4+2+C39,16,1,TRUE,$H$3)))</f>
        <v xml:space="preserve"> </v>
      </c>
      <c r="K43" s="475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75" t="str">
        <f ca="1">IF(M37=" "," ",INDIRECT(ADDRESS($H$4+2+C39,25,1,TRUE,$H$3)))</f>
        <v xml:space="preserve"> </v>
      </c>
      <c r="K45" s="475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",INDIRECT(ADDRESS($H$4+2+C53,4,1,TRUE,$H$3)))</f>
        <v xml:space="preserve"> </v>
      </c>
      <c r="K53" s="46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75" t="str">
        <f ca="1">IF(M51=" "," ",INDIRECT(ADDRESS($H$4+2+C53,16,1,TRUE,$H$3)))</f>
        <v xml:space="preserve"> </v>
      </c>
      <c r="K57" s="475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75" t="str">
        <f ca="1">IF(M51=" "," ",INDIRECT(ADDRESS($H$4+2+C53,25,1,TRUE,$H$3)))</f>
        <v xml:space="preserve"> </v>
      </c>
      <c r="K59" s="475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",INDIRECT(ADDRESS($H$4+2+C68,4,1,TRUE,$H$3)))</f>
        <v xml:space="preserve"> </v>
      </c>
      <c r="K68" s="46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75" t="str">
        <f ca="1">IF(M66=" "," ",INDIRECT(ADDRESS($H$4+2+C68,16,1,TRUE,$H$3)))</f>
        <v xml:space="preserve"> </v>
      </c>
      <c r="K72" s="475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75" t="str">
        <f ca="1">IF(M66=" "," ",INDIRECT(ADDRESS($H$4+2+C68,25,1,TRUE,$H$3)))</f>
        <v xml:space="preserve"> </v>
      </c>
      <c r="K74" s="475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DATE(2025,4,30)</f>
        <v>45777</v>
      </c>
      <c r="C4" s="229">
        <f>DATE(2025,5,19)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DATE(2025,5,31)</f>
        <v>45808</v>
      </c>
      <c r="C5" s="229">
        <f>DATE(2025,6,19)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DATE(2025,6,30)</f>
        <v>45838</v>
      </c>
      <c r="C6" s="229">
        <f>DATE(2025,7,19)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DATE(2025,7,31)</f>
        <v>45869</v>
      </c>
      <c r="C7" s="229">
        <f>DATE(2025,8,19)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DATE(2025,8,31)</f>
        <v>45900</v>
      </c>
      <c r="C8" s="229">
        <f>DATE(2025,9,19)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DATE(2025,9,30)</f>
        <v>45930</v>
      </c>
      <c r="C9" s="229">
        <f>DATE(2025,10,19)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DATE(2025,10,31)</f>
        <v>45961</v>
      </c>
      <c r="C10" s="229">
        <f>DATE(2025,11,19)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DATE(2025,11,30)</f>
        <v>45991</v>
      </c>
      <c r="C11" s="229">
        <f>DATE(2025,12,19)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DATE(2025,12,31)</f>
        <v>46022</v>
      </c>
      <c r="C12" s="229">
        <f>DATE(2026,1,19)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DATE(2026,1,31)</f>
        <v>46053</v>
      </c>
      <c r="C13" s="229">
        <f>DATE(2026,2,19)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DATE(2026,2,28)</f>
        <v>46081</v>
      </c>
      <c r="C14" s="229">
        <f>DATE(2026,3,19)</f>
        <v>46100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DATE(2026,3,31)</f>
        <v>46112</v>
      </c>
      <c r="C15" s="229">
        <f>DATE(2026,4,19)</f>
        <v>46131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