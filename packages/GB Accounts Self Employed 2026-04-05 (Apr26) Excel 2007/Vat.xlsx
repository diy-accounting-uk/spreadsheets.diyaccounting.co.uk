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<sst xmlns="http://schemas.openxmlformats.org/spreadsheetml/2006/main" count="168" uniqueCount="42">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</sst>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45716</v>
          </cell>
        </row>
        <row r="3">
          <cell r="B3">
            <v>45747</v>
          </cell>
        </row>
        <row r="5">
          <cell r="B5">
            <v>45777</v>
          </cell>
        </row>
        <row r="6">
          <cell r="B6">
            <v>45808</v>
          </cell>
        </row>
        <row r="7">
          <cell r="B7">
            <v>45838</v>
          </cell>
        </row>
        <row r="8">
          <cell r="B8">
            <v>45869</v>
          </cell>
        </row>
        <row r="9">
          <cell r="B9">
            <v>45900</v>
          </cell>
        </row>
        <row r="10">
          <cell r="B10">
            <v>45930</v>
          </cell>
        </row>
        <row r="11">
          <cell r="B11">
            <v>45961</v>
          </cell>
        </row>
        <row r="12">
          <cell r="B12">
            <v>45991</v>
          </cell>
        </row>
        <row r="13">
          <cell r="B13">
            <v>46022</v>
          </cell>
        </row>
        <row r="14">
          <cell r="B14">
            <v>46053</v>
          </cell>
        </row>
        <row r="15">
          <cell r="B15">
            <v>46081</v>
          </cell>
        </row>
        <row r="16">
          <cell r="B16">
            <v>46112</v>
          </cell>
        </row>
        <row r="18">
          <cell r="B18">
            <v>46142</v>
          </cell>
        </row>
        <row r="19">
          <cell r="B19">
            <v>46173</v>
          </cell>
        </row>
        <row r="20">
          <cell r="B20">
            <v>46203</v>
          </cell>
        </row>
        <row r="25">
          <cell r="B25">
            <v>46234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45838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45869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46203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45930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45961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46203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46022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46053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46203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46112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46142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46203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46203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46234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46203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45716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45747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45777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45808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45838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45869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45900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45930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45961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45991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46022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46053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46081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46112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46142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46173</v>
      </c>
      <c r="C19" s="62">
        <f>[1]Admin!$B$20</f>
        <v>46203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x14ac:dyDescent="0.15">
      <c r="A20" s="56"/>
      <c r="B20" s="62">
        <f>[1]Admin!$B$20</f>
        <v>46203</v>
      </c>
      <c r="C20" s="63">
        <f>[1]Admin!$B$25</f>
        <v>46234</v>
      </c>
      <c r="D20" s="107">
        <f>S06Y2!$G$1</f>
        <v>0</v>
      </c>
      <c r="E20" s="108">
        <f>SUM(D18:D20)</f>
        <v>0</v>
      </c>
      <c r="F20" s="108">
        <f>S06Y2!$F$1</f>
        <v>0</v>
      </c>
      <c r="G20" s="108">
        <f>SUM(F18:F20)</f>
        <v>0</v>
      </c>
      <c r="H20" s="108">
        <f>P06Y2!$I$1</f>
        <v>0</v>
      </c>
      <c r="I20" s="108">
        <f>SUM(H18:H20)</f>
        <v>0</v>
      </c>
      <c r="J20" s="108">
        <f>P06Y2!$H$1</f>
        <v>0</v>
      </c>
      <c r="K20" s="108">
        <f>SUM(J18:J20)</f>
        <v>0</v>
      </c>
      <c r="L20" s="121"/>
      <c r="M20" s="122">
        <f>IF([2]Mar!$H$4&gt;0,[2]Mar!$H$4,0)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23"/>
      <c r="M21" s="124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