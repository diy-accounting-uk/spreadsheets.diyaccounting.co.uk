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  <sheet name="Schedule" sheetId="20" r:id="rId21"/>
    <sheet name="FAreconciliation" sheetId="21" r:id="rId22"/>
    <sheet name="HPfinance" sheetId="22" r:id="rId23"/>
    <sheet name="VATQtr1" sheetId="23" r:id="rId24"/>
    <sheet name="VATQtr2" sheetId="24" r:id="rId25"/>
    <sheet name="VATQtr3" sheetId="25" r:id="rId26"/>
    <sheet name="VATQtr4" sheetId="26" r:id="rId27"/>
    <sheet name="VATQtr5" sheetId="27" r:id="rId28"/>
    <sheet name="Vatinterface" sheetId="28" r:id="rId29"/>
    <sheet name="S02Y1" sheetId="29" r:id="rId30"/>
    <sheet name="S03Y1" sheetId="30" r:id="rId31"/>
    <sheet name="S04Y2" sheetId="31" r:id="rId32"/>
    <sheet name="S05Y2" sheetId="32" r:id="rId33"/>
    <sheet name="P02Y1" sheetId="33" r:id="rId34"/>
    <sheet name="P03Y1" sheetId="34" r:id="rId35"/>
    <sheet name="P04Y2" sheetId="35" r:id="rId36"/>
    <sheet name="P05Y2" sheetId="36" r:id="rId37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  <definedName name="_xlnm.Print_Area" localSheetId="13">VATQtr1!$A$1:$I$32</definedName>
    <definedName name="_xlnm.Print_Area" localSheetId="14">VATQtr2!$A$1:$I$31</definedName>
    <definedName name="_xlnm.Print_Area" localSheetId="15">VATQtr3!$A$1:$I$31</definedName>
    <definedName name="_xlnm.Print_Area" localSheetId="16">VATQtr4!$A$1:$I$31</definedName>
    <definedName name="_xlnm.Print_Area" localSheetId="17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<sst xmlns="http://schemas.openxmlformats.org/spreadsheetml/2006/main" count="554" uniqueCount="554">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</sst>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1" Type="http://schemas.openxmlformats.org/officeDocument/2006/relationships/worksheet" Target="worksheets/sheet11.xml"/><Relationship Id="rId22" Type="http://schemas.openxmlformats.org/officeDocument/2006/relationships/worksheet" Target="worksheets/sheet12.xml"/><Relationship Id="rId23" Type="http://schemas.openxmlformats.org/officeDocument/2006/relationships/worksheet" Target="worksheets/sheet13.xml"/><Relationship Id="rId24" Type="http://schemas.openxmlformats.org/officeDocument/2006/relationships/worksheet" Target="worksheets/sheet14.xml"/><Relationship Id="rId25" Type="http://schemas.openxmlformats.org/officeDocument/2006/relationships/worksheet" Target="worksheets/sheet15.xml"/><Relationship Id="rId26" Type="http://schemas.openxmlformats.org/officeDocument/2006/relationships/worksheet" Target="worksheets/sheet16.xml"/><Relationship Id="rId27" Type="http://schemas.openxmlformats.org/officeDocument/2006/relationships/worksheet" Target="worksheets/sheet17.xml"/><Relationship Id="rId28" Type="http://schemas.openxmlformats.org/officeDocument/2006/relationships/worksheet" Target="worksheets/sheet18.xml"/><Relationship Id="rId29" Type="http://schemas.openxmlformats.org/officeDocument/2006/relationships/worksheet" Target="worksheets/sheet19.xml"/><Relationship Id="rId30" Type="http://schemas.openxmlformats.org/officeDocument/2006/relationships/worksheet" Target="worksheets/sheet20.xml"/><Relationship Id="rId31" Type="http://schemas.openxmlformats.org/officeDocument/2006/relationships/worksheet" Target="worksheets/sheet21.xml"/><Relationship Id="rId32" Type="http://schemas.openxmlformats.org/officeDocument/2006/relationships/worksheet" Target="worksheets/sheet22.xml"/><Relationship Id="rId33" Type="http://schemas.openxmlformats.org/officeDocument/2006/relationships/worksheet" Target="worksheets/sheet23.xml"/><Relationship Id="rId34" Type="http://schemas.openxmlformats.org/officeDocument/2006/relationships/worksheet" Target="worksheets/sheet24.xml"/><Relationship Id="rId35" Type="http://schemas.openxmlformats.org/officeDocument/2006/relationships/worksheet" Target="worksheets/sheet25.xml"/><Relationship Id="rId36" Type="http://schemas.openxmlformats.org/officeDocument/2006/relationships/worksheet" Target="worksheets/sheet26.xml"/><Relationship Id="rId37" Type="http://schemas.openxmlformats.org/officeDocument/2006/relationships/worksheet" Target="worksheets/sheet27.xm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IF((Schedule!$Q$1)&gt;0,Schedule!$Q$1,0)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IF((Schedule!$R$1+Schedule!$Y$1)&gt;0,Schedule!$R$1+Schedule!$Y$1,0)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IF((Schedule!$R$1+Schedule!$S$1)&lt;1000,Schedule!$S$1,0)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IF(Schedule!$Z$1&gt;0,Schedule!$Z$1,0)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IF(Schedule!$Q$1&gt;0,Schedule!$Q$1,0)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IF((Schedule!$R$1+Schedule!$S$1)&lt;1000,Schedule!$S$1,0)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SUM(Schedule!$R$38:$R$42)+SUM(Schedule!$R$91:$R$95)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-(Schedule!$V$1-Schedule!$W$1+Schedule!$X$1)/12</f>
        <v>0</v>
      </c>
      <c r="D33" s="75">
        <f>-(Schedule!$V$1-Schedule!$W$1+Schedule!$X$1)/12</f>
        <v>0</v>
      </c>
      <c r="E33" s="78">
        <f>-(Schedule!$V$1-Schedule!$W$1+Schedule!$X$1)/12</f>
        <v>0</v>
      </c>
      <c r="F33" s="75">
        <f>-(Schedule!$V$1-Schedule!$W$1+Schedule!$X$1)/12</f>
        <v>0</v>
      </c>
      <c r="G33" s="75">
        <f>-(Schedule!$V$1-Schedule!$W$1+Schedule!$X$1)/12</f>
        <v>0</v>
      </c>
      <c r="H33" s="78">
        <f>-(Schedule!$V$1-Schedule!$W$1+Schedule!$X$1)/12</f>
        <v>0</v>
      </c>
      <c r="I33" s="75">
        <f>-(Schedule!$V$1-Schedule!$W$1+Schedule!$X$1)/12</f>
        <v>0</v>
      </c>
      <c r="J33" s="75">
        <f>-(Schedule!$V$1-Schedule!$W$1+Schedule!$X$1)/12</f>
        <v>0</v>
      </c>
      <c r="K33" s="78">
        <f>-(Schedule!$V$1-Schedule!$W$1+Schedule!$X$1)/12</f>
        <v>0</v>
      </c>
      <c r="L33" s="75">
        <f>-(Schedule!$V$1-Schedule!$W$1+Schedule!$X$1)/12</f>
        <v>0</v>
      </c>
      <c r="M33" s="75">
        <f>-(Schedule!$V$1-Schedule!$W$1+Schedule!$X$1)/12</f>
        <v>0</v>
      </c>
      <c r="N33" s="75">
        <f>-(Schedule!$V$1-Schedule!$W$1+Schedule!$X$1)/12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(Schedule!$I$1)/12</f>
        <v>0</v>
      </c>
      <c r="D34" s="75">
        <f>(Schedule!$I$1)/12</f>
        <v>0</v>
      </c>
      <c r="E34" s="78">
        <f>(Schedule!$I$1)/12</f>
        <v>0</v>
      </c>
      <c r="F34" s="75">
        <f>(Schedule!$I$1)/12</f>
        <v>0</v>
      </c>
      <c r="G34" s="75">
        <f>(Schedule!$I$1)/12</f>
        <v>0</v>
      </c>
      <c r="H34" s="78">
        <f>(Schedule!$I$1)/12</f>
        <v>0</v>
      </c>
      <c r="I34" s="75">
        <f>(Schedule!$I$1)/12</f>
        <v>0</v>
      </c>
      <c r="J34" s="75">
        <f>(Schedule!$I$1)/12</f>
        <v>0</v>
      </c>
      <c r="K34" s="78">
        <f>(Schedule!$I$1)/12</f>
        <v>0</v>
      </c>
      <c r="L34" s="75">
        <f>(Schedule!$I$1)/12</f>
        <v>0</v>
      </c>
      <c r="M34" s="75">
        <f>(Schedule!$I$1)/12</f>
        <v>0</v>
      </c>
      <c r="N34" s="75">
        <f>(Schedule!$I$1)/12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Schedule!$Q$1+Schedule!$R$1+Schedule!$Y$1-Schedule!$Z$1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439</v>
      </c>
      <c r="C1" s="145" t="s">
        <v>447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450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445</v>
      </c>
      <c r="N1" s="142"/>
      <c r="O1" s="20">
        <f>O57+O110</f>
        <v>0</v>
      </c>
      <c r="P1" s="138" t="s">
        <v>511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470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440</v>
      </c>
      <c r="D2" s="137" t="s">
        <v>441</v>
      </c>
      <c r="E2" s="132" t="s">
        <v>442</v>
      </c>
      <c r="F2" s="128" t="s">
        <v>495</v>
      </c>
      <c r="G2" s="130" t="s">
        <v>496</v>
      </c>
      <c r="H2" s="127"/>
      <c r="I2" s="147" t="s">
        <v>456</v>
      </c>
      <c r="J2" s="128" t="s">
        <v>495</v>
      </c>
      <c r="K2" s="130" t="s">
        <v>497</v>
      </c>
      <c r="L2" s="148"/>
      <c r="M2" s="126"/>
      <c r="N2" s="148"/>
      <c r="O2" s="130" t="s">
        <v>498</v>
      </c>
      <c r="P2" s="139"/>
      <c r="Q2" s="130" t="s">
        <v>443</v>
      </c>
      <c r="R2" s="132" t="s">
        <v>444</v>
      </c>
      <c r="S2" s="130" t="s">
        <v>499</v>
      </c>
      <c r="T2" s="143"/>
      <c r="U2" s="134"/>
      <c r="V2" s="144" t="s">
        <v>468</v>
      </c>
      <c r="W2" s="144" t="s">
        <v>469</v>
      </c>
      <c r="X2" s="144" t="s">
        <v>471</v>
      </c>
      <c r="Y2" s="132" t="s">
        <v>489</v>
      </c>
      <c r="Z2" s="132" t="s">
        <v>490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Admin!$B$4</f>
        <v>45753</v>
      </c>
      <c r="G4" s="112">
        <f>Admin!$B$4</f>
        <v>45753</v>
      </c>
      <c r="H4" s="127"/>
      <c r="I4" s="147"/>
      <c r="J4" s="112">
        <f>Admin!$B$17</f>
        <v>46117</v>
      </c>
      <c r="K4" s="112">
        <f>Admin!$B$17</f>
        <v>46117</v>
      </c>
      <c r="L4" s="149"/>
      <c r="M4" s="126"/>
      <c r="N4" s="149"/>
      <c r="O4" s="112">
        <f>Admin!$B$4</f>
        <v>45753</v>
      </c>
      <c r="P4" s="116">
        <f>Admin!$G$4</f>
        <v>1</v>
      </c>
      <c r="Q4" s="151"/>
      <c r="R4" s="15">
        <f>Admin!$G$5</f>
        <v>0.18</v>
      </c>
      <c r="S4" s="112">
        <f>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500</v>
      </c>
      <c r="C6" s="154"/>
      <c r="D6" s="113">
        <f>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449</v>
      </c>
      <c r="C7" s="122"/>
      <c r="D7" s="30"/>
      <c r="E7" s="8"/>
      <c r="F7" s="8"/>
      <c r="G7" s="8"/>
      <c r="H7" s="40">
        <f>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IF(E8&gt;0,E8-J8,"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IF(E9&gt;0,E9-J9,"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IF(E10&gt;0,E10-J10,"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506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448</v>
      </c>
      <c r="C13" s="122"/>
      <c r="D13" s="32"/>
      <c r="E13" s="7"/>
      <c r="F13" s="7"/>
      <c r="G13" s="7"/>
      <c r="H13" s="29">
        <f>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IF(E14&gt;0,E14-J14,"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IF(E15&gt;0,E15-J15,"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IF(E16&gt;0,E16-J16,"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IF(E17&gt;0,E17-J17,"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IF(E18&gt;0,E18-J18,"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507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494</v>
      </c>
      <c r="C21" s="122"/>
      <c r="D21" s="32"/>
      <c r="E21" s="7"/>
      <c r="F21" s="7"/>
      <c r="G21" s="7"/>
      <c r="H21" s="29">
        <f>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IF(E22&gt;0,E22-J22,"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IF(E23&gt;0,E23-J23,"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IF(E24&gt;0,E24-J24,"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IF(E25&gt;0,E25-J25,"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IF(E26&gt;0,E26-J26,"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508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446</v>
      </c>
      <c r="C29" s="122"/>
      <c r="D29" s="33"/>
      <c r="E29" s="7"/>
      <c r="F29" s="7"/>
      <c r="G29" s="7"/>
      <c r="H29" s="29">
        <f>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IF(E30&gt;0,E30-J30,"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IF(E31&gt;0,E31-J31,"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IF(E32&gt;0,E32-J32,"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IF(E33&gt;0,E33-J33,"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IF(E34&gt;0,E34-J34,"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509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502</v>
      </c>
      <c r="C37" s="121"/>
      <c r="D37" s="114">
        <f>Admin!$E$8</f>
        <v>12000</v>
      </c>
      <c r="E37" s="7"/>
      <c r="F37" s="7"/>
      <c r="G37" s="7"/>
      <c r="H37" s="29">
        <f>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IF(E38&gt;0,E38-J38,"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IF(O38&gt;0,MIN(O38*R$4*(1-M38),Admin!$G$8*(1-M38)),"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IF(E39&gt;0,E39-J39,"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IF(O39&gt;0,MIN(O39*R$4*(1-M39),Admin!$G$8*(1-M39)),"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IF(E40&gt;0,E40-J40,"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IF(O40&gt;0,MIN(O40*R$4*(1-M40),Admin!$G$8*(1-M40)),"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IF(E41&gt;0,E41-J41,"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IF(O41&gt;0,MIN(O41*R$4*(1-M41),Admin!$G$8*(1-M41)),"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IF(E42&gt;0,E42-J42,"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IF(O42&gt;0,MIN(O42*R$4*(1-M42),Admin!$G$8*(1-M42)),"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503</v>
      </c>
      <c r="C43" s="121"/>
      <c r="D43" s="114">
        <f>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IF(E44&gt;0,E44-J44,"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IF(O44&gt;0,MIN(O44*R$4*(1-M44),Admin!$G$8*(1-M44)),"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IF(O45&gt;0,MIN(O45*R$4*(1-M45),Admin!$G$8*(1-M45)),"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IF(E46&gt;0,E46-J46,"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IF(O46&gt;0,MIN(O46*R$4*(1-M46),Admin!$G$8*(1-M46)),"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IF(E47&gt;0,E47-J47,"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IF(O47&gt;0,MIN(O47*R$4*(1-M47),Admin!$G$8*(1-M47)),"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IF(E48&gt;0,E48-J48,"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IF(O48&gt;0,MIN(O48*R$4*(1-M48),Admin!$G$8*(1-M48)),"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493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510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501</v>
      </c>
      <c r="C59" s="153"/>
      <c r="D59" s="113">
        <f>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449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IF(E61&gt;0,E61-J61,"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IF(E62&gt;0,E62-J62,"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IF(E63&gt;0,E63-J63,"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451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448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IF(E67&gt;0,E67-J67,"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IF(E68&gt;0,E68-J68,"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IF(E69&gt;0,E69-J69,"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IF(E70&gt;0,E70-J70,"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IF(E71&gt;0,E71-J71,"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452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494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IF(E75&gt;0,E75-J75,"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IF(E76&gt;0,E76-J76,"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IF(E77&gt;0,E77-J77,"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IF(E78&gt;0,E78-J78,"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IF(E79&gt;0,E79-J79,"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453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446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IF(E83&gt;0,E83-J83,"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IF(E84&gt;0,E84-J84,"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IF(E85&gt;0,E85-J85,"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IF(E86&gt;0,E86-J86,"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IF(E87&gt;0,E87-J87,"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454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IF(E91&gt;0,E91-J91,"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IF(E91&gt;0,MIN(E91*R$4*(1-M91),Admin!$G$8*(1-M91)),"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IF(E92&gt;0,E92-J92,"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IF(E92&gt;0,MIN(E92*R$4*(1-M92),Admin!$G$8*(1-M92)),"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IF(E93&gt;0,E93-J93,"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IF(E93&gt;0,MIN(E93*R$4*(1-M93),Admin!$G$8*(1-M93)),"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IF(E94&gt;0,E94-J94,"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IF(E94&gt;0,MIN(E94*R$4*(1-M94),Admin!$G$8*(1-M94)),"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IF(E95&gt;0,E95-J95,"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IF(E95&gt;0,MIN(E95*R$4*(1-M95),Admin!$G$8*(1-M95)),"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IF(E97&gt;0,E97-J97,"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IF(E97&gt;0,MIN(E97*R$4*(1-M97),Admin!$G$8*(1-M97)),"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IF(E98&gt;0,MIN(E98*R$4*(1-M98),Admin!$G$8*(1-M98)),"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IF(E99&gt;0,E99-J99,"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IF(E99&gt;0,MIN(E99*R$4*(1-M99),Admin!$G$8*(1-M99)),"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IF(E100&gt;0,E100-J100,"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IF(E100&gt;0,MIN(E100*R$4*(1-M100),Admin!$G$8*(1-M100)),"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IF(E101&gt;0,E101-J101,"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IF(E101&gt;0,MIN(E101*R$4*(1-M101),Admin!$G$8*(1-M101)),"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493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455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457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504</v>
      </c>
      <c r="C4" s="48"/>
      <c r="D4" s="49"/>
      <c r="E4" s="107" t="s">
        <v>442</v>
      </c>
      <c r="F4" s="50"/>
      <c r="G4" s="176" t="s">
        <v>491</v>
      </c>
      <c r="H4" s="177"/>
      <c r="I4" s="178"/>
      <c r="J4" s="50"/>
      <c r="K4" s="107" t="s">
        <v>466</v>
      </c>
      <c r="L4" s="50"/>
      <c r="M4" s="173" t="s">
        <v>492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458</v>
      </c>
      <c r="C5" s="48"/>
      <c r="D5" s="49"/>
      <c r="E5" s="50"/>
      <c r="F5" s="50"/>
      <c r="G5" s="47" t="s">
        <v>460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451</v>
      </c>
      <c r="C6" s="159"/>
      <c r="D6" s="172"/>
      <c r="E6" s="53">
        <f>Schedule!E64</f>
        <v>0</v>
      </c>
      <c r="F6" s="50"/>
      <c r="G6" s="158" t="s">
        <v>461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452</v>
      </c>
      <c r="C7" s="159"/>
      <c r="D7" s="172"/>
      <c r="E7" s="53">
        <f>Schedule!E72</f>
        <v>0</v>
      </c>
      <c r="F7" s="50"/>
      <c r="G7" s="158" t="s">
        <v>462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453</v>
      </c>
      <c r="C8" s="159"/>
      <c r="D8" s="172"/>
      <c r="E8" s="53">
        <f>Schedule!E80</f>
        <v>0</v>
      </c>
      <c r="F8" s="50"/>
      <c r="G8" s="158" t="s">
        <v>463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454</v>
      </c>
      <c r="C9" s="159"/>
      <c r="D9" s="172"/>
      <c r="E9" s="53">
        <f>Schedule!E88</f>
        <v>0</v>
      </c>
      <c r="F9" s="50"/>
      <c r="G9" s="158" t="s">
        <v>464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455</v>
      </c>
      <c r="C10" s="159"/>
      <c r="D10" s="172"/>
      <c r="E10" s="53">
        <f>Schedule!E108</f>
        <v>0</v>
      </c>
      <c r="F10" s="50"/>
      <c r="G10" s="158" t="s">
        <v>465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459</v>
      </c>
      <c r="C11" s="170"/>
      <c r="D11" s="171"/>
      <c r="E11" s="54">
        <f>SUM(E6:E10)</f>
        <v>0</v>
      </c>
      <c r="F11" s="50"/>
      <c r="G11" s="164" t="s">
        <v>459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505</v>
      </c>
      <c r="C13" s="170"/>
      <c r="D13" s="171"/>
      <c r="E13" s="115">
        <f>[3]Mar!$AB$2</f>
        <v>0</v>
      </c>
      <c r="F13" s="50"/>
      <c r="G13" s="164" t="s">
        <v>467</v>
      </c>
      <c r="H13" s="164"/>
      <c r="I13" s="164"/>
      <c r="J13" s="165"/>
      <c r="K13" s="115">
        <f>[2]Mar!$V$2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487</v>
      </c>
      <c r="D2" s="184"/>
      <c r="E2" s="84">
        <f>SUM(E8:E14)</f>
        <v>0</v>
      </c>
      <c r="F2" s="82"/>
      <c r="G2" s="179" t="s">
        <v>488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479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478</v>
      </c>
      <c r="C5" s="137" t="s">
        <v>472</v>
      </c>
      <c r="D5" s="137" t="s">
        <v>476</v>
      </c>
      <c r="E5" s="181" t="s">
        <v>484</v>
      </c>
      <c r="F5" s="181" t="s">
        <v>483</v>
      </c>
      <c r="G5" s="181" t="s">
        <v>477</v>
      </c>
      <c r="H5" s="137" t="s">
        <v>474</v>
      </c>
      <c r="I5" s="181" t="s">
        <v>486</v>
      </c>
      <c r="J5" s="182"/>
      <c r="K5" s="182"/>
      <c r="L5" s="137" t="s">
        <v>485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473</v>
      </c>
      <c r="J6" s="85" t="s">
        <v>481</v>
      </c>
      <c r="K6" s="85" t="s">
        <v>475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IF(H10&gt;0,#REF!/H10,"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IF(H12&gt;0,#REF!/H12,"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IF(H14&gt;0,#REF!/H14,"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480</v>
      </c>
      <c r="C17" s="32"/>
      <c r="D17" s="96"/>
      <c r="E17" s="81"/>
      <c r="F17" s="81"/>
      <c r="G17" s="81"/>
      <c r="H17" s="32" t="s">
        <v>482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478</v>
      </c>
      <c r="C19" s="137" t="s">
        <v>472</v>
      </c>
      <c r="D19" s="137" t="s">
        <v>476</v>
      </c>
      <c r="E19" s="181" t="s">
        <v>484</v>
      </c>
      <c r="F19" s="181" t="s">
        <v>483</v>
      </c>
      <c r="G19" s="181" t="s">
        <v>477</v>
      </c>
      <c r="H19" s="137" t="s">
        <v>474</v>
      </c>
      <c r="I19" s="181" t="s">
        <v>486</v>
      </c>
      <c r="J19" s="182"/>
      <c r="K19" s="182"/>
      <c r="L19" s="137" t="s">
        <v>485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473</v>
      </c>
      <c r="J20" s="85" t="s">
        <v>481</v>
      </c>
      <c r="K20" s="85" t="s">
        <v>475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IF(H24&gt;0,#REF!/H24,"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IF(H26&gt;0,#REF!/H26,"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IF(H28&gt;0,#REF!/H28,"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45869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45869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45961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45961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46053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46053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46142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46142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46173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46173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527</v>
      </c>
      <c r="C2" s="48" t="s">
        <v>552</v>
      </c>
      <c r="D2" s="49" t="s">
        <v>535</v>
      </c>
      <c r="E2" s="49" t="s">
        <v>532</v>
      </c>
      <c r="F2" s="49" t="s">
        <v>529</v>
      </c>
      <c r="G2" s="74" t="s">
        <v>534</v>
      </c>
      <c r="H2" s="49" t="s">
        <v>528</v>
      </c>
      <c r="I2" s="49" t="s">
        <v>531</v>
      </c>
      <c r="J2" s="49" t="s">
        <v>530</v>
      </c>
      <c r="K2" s="74" t="s">
        <v>533</v>
      </c>
      <c r="L2" s="119"/>
      <c r="M2" s="120" t="s">
        <v>553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Admin!$B$19</f>
        <v>46173</v>
      </c>
      <c r="C19" s="63">
        <f>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