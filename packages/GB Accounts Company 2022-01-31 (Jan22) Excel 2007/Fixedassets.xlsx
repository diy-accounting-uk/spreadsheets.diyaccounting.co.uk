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B501CB52-CA9F-CA42-AF49-DDACD2F95A6B}" xr6:coauthVersionLast="47" xr6:coauthVersionMax="47" xr10:uidLastSave="{00000000-0000-0000-0000-000000000000}"/>
  <bookViews>
    <workbookView xWindow="0" yWindow="500" windowWidth="24560" windowHeight="16980" tabRatio="724" xr2:uid="{00000000-000D-0000-FFFF-FFFF00000000}"/>
  </bookViews>
  <sheets>
    <sheet name="Schedule" sheetId="11" r:id="rId1"/>
    <sheet name="FAreconciliation" sheetId="12" r:id="rId2"/>
    <sheet name="HPfinance" sheetId="13" r:id="rId3"/>
  </sheets>
  <externalReferences>
    <externalReference r:id="rId4"/>
  </externalReferences>
  <definedNames>
    <definedName name="_xlnm.Print_Titles" localSheetId="0">Schedule!$A:$G,Schedule!$1:$4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K13" i="12" l="1"/>
  <c r="E13" i="12"/>
  <c r="P107" i="11" l="1"/>
  <c r="P106" i="11"/>
  <c r="P105" i="11"/>
  <c r="P104" i="11"/>
  <c r="P103" i="11"/>
  <c r="R101" i="11"/>
  <c r="R100" i="11"/>
  <c r="R99" i="11"/>
  <c r="R98" i="11"/>
  <c r="R97" i="11"/>
  <c r="P93" i="11"/>
  <c r="P92" i="11"/>
  <c r="P91" i="11"/>
  <c r="P90" i="11"/>
  <c r="P89" i="11"/>
  <c r="P88" i="11"/>
  <c r="P87" i="11"/>
  <c r="P86" i="11"/>
  <c r="P82" i="11"/>
  <c r="P81" i="11"/>
  <c r="P80" i="11"/>
  <c r="P79" i="11"/>
  <c r="P78" i="11"/>
  <c r="P74" i="11"/>
  <c r="P73" i="11"/>
  <c r="P72" i="11"/>
  <c r="P71" i="11"/>
  <c r="P70" i="11"/>
  <c r="P69" i="11"/>
  <c r="P68" i="11"/>
  <c r="P67" i="11"/>
  <c r="R54" i="11"/>
  <c r="R53" i="11"/>
  <c r="R52" i="11"/>
  <c r="R51" i="11"/>
  <c r="R50" i="11"/>
  <c r="R45" i="11" l="1"/>
  <c r="R46" i="11"/>
  <c r="R47" i="11"/>
  <c r="R48" i="11"/>
  <c r="R44" i="11"/>
  <c r="Q67" i="11" l="1"/>
  <c r="Q68" i="11"/>
  <c r="Q69" i="11"/>
  <c r="Q70" i="11"/>
  <c r="Q71" i="11"/>
  <c r="Q72" i="11"/>
  <c r="Q73" i="11"/>
  <c r="Q74" i="11"/>
  <c r="Q78" i="11"/>
  <c r="Q79" i="11"/>
  <c r="Q80" i="11"/>
  <c r="Q81" i="11"/>
  <c r="Q82" i="11"/>
  <c r="Q86" i="11"/>
  <c r="Q87" i="11"/>
  <c r="Q88" i="11"/>
  <c r="Q89" i="11"/>
  <c r="Q90" i="11"/>
  <c r="Q91" i="11"/>
  <c r="Q92" i="11"/>
  <c r="Q93" i="11"/>
  <c r="Q103" i="11"/>
  <c r="Q104" i="11"/>
  <c r="Q105" i="11"/>
  <c r="Q106" i="11"/>
  <c r="Q107" i="11"/>
  <c r="R40" i="11"/>
  <c r="R39" i="11"/>
  <c r="R38" i="11"/>
  <c r="R37" i="11"/>
  <c r="R36" i="11"/>
  <c r="R35" i="11"/>
  <c r="R34" i="11"/>
  <c r="R33" i="11"/>
  <c r="R29" i="11"/>
  <c r="R28" i="11"/>
  <c r="R27" i="11"/>
  <c r="R26" i="11"/>
  <c r="R25" i="11"/>
  <c r="R21" i="11"/>
  <c r="R20" i="11"/>
  <c r="R19" i="11"/>
  <c r="R18" i="11"/>
  <c r="R17" i="11"/>
  <c r="R16" i="11"/>
  <c r="R15" i="11"/>
  <c r="R14" i="11"/>
  <c r="W14" i="11"/>
  <c r="W25" i="11"/>
  <c r="W33" i="11"/>
  <c r="W44" i="11"/>
  <c r="W50" i="11"/>
  <c r="W61" i="11"/>
  <c r="W62" i="11"/>
  <c r="W63" i="11"/>
  <c r="W67" i="11"/>
  <c r="W68" i="11"/>
  <c r="W69" i="11"/>
  <c r="W70" i="11"/>
  <c r="W71" i="11"/>
  <c r="W72" i="11"/>
  <c r="W73" i="11"/>
  <c r="W74" i="11"/>
  <c r="W78" i="11"/>
  <c r="W79" i="11"/>
  <c r="W80" i="11"/>
  <c r="W81" i="11"/>
  <c r="W82" i="11"/>
  <c r="W86" i="11"/>
  <c r="W87" i="11"/>
  <c r="W88" i="11"/>
  <c r="W89" i="11"/>
  <c r="W90" i="11"/>
  <c r="W91" i="11"/>
  <c r="W92" i="11"/>
  <c r="W93" i="11"/>
  <c r="W97" i="11"/>
  <c r="W103" i="11"/>
  <c r="W98" i="11"/>
  <c r="W99" i="11"/>
  <c r="W100" i="11"/>
  <c r="W101" i="11"/>
  <c r="W104" i="11"/>
  <c r="W105" i="11"/>
  <c r="W106" i="11"/>
  <c r="W107" i="11"/>
  <c r="X14" i="11"/>
  <c r="X25" i="11"/>
  <c r="X33" i="11"/>
  <c r="X44" i="11"/>
  <c r="X50" i="11"/>
  <c r="X61" i="11"/>
  <c r="X62" i="11"/>
  <c r="X63" i="11"/>
  <c r="X67" i="11"/>
  <c r="X68" i="11"/>
  <c r="X69" i="11"/>
  <c r="X70" i="11"/>
  <c r="X71" i="11"/>
  <c r="X72" i="11"/>
  <c r="X73" i="11"/>
  <c r="X74" i="11"/>
  <c r="X78" i="11"/>
  <c r="X79" i="11"/>
  <c r="X80" i="11"/>
  <c r="X81" i="11"/>
  <c r="X82" i="11"/>
  <c r="X86" i="11"/>
  <c r="X87" i="11"/>
  <c r="X88" i="11"/>
  <c r="X89" i="11"/>
  <c r="X90" i="11"/>
  <c r="X91" i="11"/>
  <c r="X92" i="11"/>
  <c r="X93" i="11"/>
  <c r="J97" i="11"/>
  <c r="X97" i="11"/>
  <c r="X103" i="11"/>
  <c r="X98" i="11"/>
  <c r="X99" i="11"/>
  <c r="X100" i="11"/>
  <c r="X101" i="11"/>
  <c r="X104" i="11"/>
  <c r="X105" i="11"/>
  <c r="X106" i="11"/>
  <c r="X107" i="11"/>
  <c r="V108" i="11"/>
  <c r="G14" i="11"/>
  <c r="I14" i="11"/>
  <c r="G25" i="11"/>
  <c r="I25" i="11"/>
  <c r="G33" i="11"/>
  <c r="I33" i="11"/>
  <c r="G44" i="11"/>
  <c r="I44" i="11"/>
  <c r="G50" i="11"/>
  <c r="I50" i="11"/>
  <c r="I61" i="11"/>
  <c r="I62" i="11"/>
  <c r="I63" i="11"/>
  <c r="I64" i="11" s="1"/>
  <c r="I67" i="11"/>
  <c r="I68" i="11"/>
  <c r="I69" i="11"/>
  <c r="I70" i="11"/>
  <c r="I71" i="11"/>
  <c r="I72" i="11"/>
  <c r="I73" i="11"/>
  <c r="I74" i="11"/>
  <c r="I78" i="11"/>
  <c r="I79" i="11"/>
  <c r="I80" i="11"/>
  <c r="I81" i="11"/>
  <c r="I82" i="11"/>
  <c r="I86" i="11"/>
  <c r="I87" i="11"/>
  <c r="I88" i="11"/>
  <c r="I89" i="11"/>
  <c r="I90" i="11"/>
  <c r="I91" i="11"/>
  <c r="I92" i="11"/>
  <c r="I93" i="11"/>
  <c r="I97" i="11"/>
  <c r="I103" i="11"/>
  <c r="I98" i="11"/>
  <c r="I99" i="11"/>
  <c r="I100" i="11"/>
  <c r="I101" i="11"/>
  <c r="I104" i="11"/>
  <c r="I105" i="11"/>
  <c r="I106" i="11"/>
  <c r="I107" i="11"/>
  <c r="Z67" i="11"/>
  <c r="Z68" i="11"/>
  <c r="Z69" i="11"/>
  <c r="Z70" i="11"/>
  <c r="Z71" i="11"/>
  <c r="Z72" i="11"/>
  <c r="Z73" i="11"/>
  <c r="Z74" i="11"/>
  <c r="Z78" i="11"/>
  <c r="Z79" i="11"/>
  <c r="Z80" i="11"/>
  <c r="Z81" i="11"/>
  <c r="Z82" i="11"/>
  <c r="Z86" i="11"/>
  <c r="Z87" i="11"/>
  <c r="Z88" i="11"/>
  <c r="Z89" i="11"/>
  <c r="Z90" i="11"/>
  <c r="Z91" i="11"/>
  <c r="Z92" i="11"/>
  <c r="Z93" i="11"/>
  <c r="Z103" i="11"/>
  <c r="Z104" i="11"/>
  <c r="Z105" i="11"/>
  <c r="Z106" i="11"/>
  <c r="Z107" i="11"/>
  <c r="S97" i="11"/>
  <c r="Z97" i="11"/>
  <c r="Z98" i="11"/>
  <c r="Z99" i="11"/>
  <c r="Z100" i="11"/>
  <c r="Z101" i="11"/>
  <c r="Z14" i="11"/>
  <c r="Z15" i="11"/>
  <c r="Z16" i="11"/>
  <c r="Z17" i="11"/>
  <c r="Z18" i="11"/>
  <c r="Z19" i="11"/>
  <c r="Z20" i="11"/>
  <c r="Z21" i="11"/>
  <c r="Z25" i="11"/>
  <c r="Z26" i="11"/>
  <c r="Z27" i="11"/>
  <c r="Z28" i="11"/>
  <c r="Z29" i="11"/>
  <c r="Z33" i="11"/>
  <c r="Z34" i="11"/>
  <c r="Z35" i="11"/>
  <c r="Z36" i="11"/>
  <c r="Z37" i="11"/>
  <c r="Z38" i="11"/>
  <c r="Z39" i="11"/>
  <c r="Z40" i="11"/>
  <c r="Z44" i="11"/>
  <c r="Z50" i="11"/>
  <c r="Z45" i="11"/>
  <c r="Z46" i="11"/>
  <c r="Z47" i="11"/>
  <c r="Z48" i="11"/>
  <c r="Z51" i="11"/>
  <c r="Z52" i="11"/>
  <c r="Z53" i="11"/>
  <c r="Z54" i="11"/>
  <c r="Y67" i="11"/>
  <c r="Y68" i="11"/>
  <c r="Y69" i="11"/>
  <c r="Y70" i="11"/>
  <c r="Y71" i="11"/>
  <c r="Y72" i="11"/>
  <c r="Y73" i="11"/>
  <c r="Y74" i="11"/>
  <c r="Y78" i="11"/>
  <c r="Y79" i="11"/>
  <c r="Y80" i="11"/>
  <c r="Y81" i="11"/>
  <c r="Y82" i="11"/>
  <c r="Y86" i="11"/>
  <c r="Y87" i="11"/>
  <c r="Y88" i="11"/>
  <c r="Y89" i="11"/>
  <c r="Y90" i="11"/>
  <c r="Y91" i="11"/>
  <c r="Y92" i="11"/>
  <c r="Y93" i="11"/>
  <c r="Y103" i="11"/>
  <c r="Y104" i="11"/>
  <c r="Y105" i="11"/>
  <c r="Y106" i="11"/>
  <c r="Y107" i="11"/>
  <c r="Y97" i="11"/>
  <c r="Y98" i="11"/>
  <c r="Y99" i="11"/>
  <c r="Y100" i="11"/>
  <c r="Y101" i="11"/>
  <c r="Y14" i="11"/>
  <c r="Y15" i="11"/>
  <c r="Y16" i="11"/>
  <c r="Y17" i="11"/>
  <c r="Y18" i="11"/>
  <c r="Y19" i="11"/>
  <c r="Y20" i="11"/>
  <c r="Y21" i="11"/>
  <c r="Y25" i="11"/>
  <c r="Y26" i="11"/>
  <c r="Y27" i="11"/>
  <c r="Y28" i="11"/>
  <c r="Y29" i="11"/>
  <c r="Y33" i="11"/>
  <c r="Y34" i="11"/>
  <c r="Y35" i="11"/>
  <c r="Y36" i="11"/>
  <c r="Y37" i="11"/>
  <c r="Y38" i="11"/>
  <c r="Y39" i="11"/>
  <c r="Y40" i="11"/>
  <c r="Y44" i="11"/>
  <c r="Y50" i="11"/>
  <c r="Y45" i="11"/>
  <c r="Y46" i="11"/>
  <c r="Y47" i="11"/>
  <c r="Y48" i="11"/>
  <c r="Y51" i="11"/>
  <c r="Y52" i="11"/>
  <c r="Y53" i="11"/>
  <c r="Y54" i="11"/>
  <c r="S107" i="11"/>
  <c r="S106" i="11"/>
  <c r="S105" i="11"/>
  <c r="S104" i="11"/>
  <c r="S103" i="11"/>
  <c r="S98" i="11"/>
  <c r="S99" i="11"/>
  <c r="S100" i="11"/>
  <c r="S101" i="11"/>
  <c r="S87" i="11"/>
  <c r="S88" i="11"/>
  <c r="S89" i="11"/>
  <c r="S90" i="11"/>
  <c r="S91" i="11"/>
  <c r="S92" i="11"/>
  <c r="S93" i="11"/>
  <c r="E108" i="11"/>
  <c r="E10" i="12" s="1"/>
  <c r="E75" i="11"/>
  <c r="E7" i="12" s="1"/>
  <c r="E83" i="11"/>
  <c r="E64" i="11"/>
  <c r="E6" i="12" s="1"/>
  <c r="E94" i="11"/>
  <c r="E9" i="12" s="1"/>
  <c r="S48" i="11"/>
  <c r="S47" i="11"/>
  <c r="S46" i="11"/>
  <c r="S45" i="11"/>
  <c r="S44" i="11"/>
  <c r="S54" i="11"/>
  <c r="S53" i="11"/>
  <c r="S52" i="11"/>
  <c r="S51" i="11"/>
  <c r="S50" i="11"/>
  <c r="J101" i="11"/>
  <c r="K101" i="11"/>
  <c r="J100" i="11"/>
  <c r="K100" i="11"/>
  <c r="J99" i="11"/>
  <c r="K99" i="11"/>
  <c r="X48" i="11"/>
  <c r="W48" i="11"/>
  <c r="K48" i="11"/>
  <c r="J48" i="11"/>
  <c r="I48" i="11"/>
  <c r="H48" i="11"/>
  <c r="G48" i="11"/>
  <c r="X47" i="11"/>
  <c r="W47" i="11"/>
  <c r="K47" i="11"/>
  <c r="J47" i="11"/>
  <c r="I47" i="11"/>
  <c r="H47" i="11"/>
  <c r="G47" i="11"/>
  <c r="X46" i="11"/>
  <c r="W46" i="11"/>
  <c r="K46" i="11"/>
  <c r="J46" i="11"/>
  <c r="I46" i="11"/>
  <c r="H46" i="11"/>
  <c r="G46" i="11"/>
  <c r="W45" i="11"/>
  <c r="W51" i="11"/>
  <c r="W52" i="11"/>
  <c r="W53" i="11"/>
  <c r="W54" i="11"/>
  <c r="X45" i="11"/>
  <c r="X51" i="11"/>
  <c r="X52" i="11"/>
  <c r="X53" i="11"/>
  <c r="X54" i="11"/>
  <c r="V55" i="11"/>
  <c r="I45" i="11"/>
  <c r="I51" i="11"/>
  <c r="I52" i="11"/>
  <c r="I53" i="11"/>
  <c r="I54" i="11"/>
  <c r="E55" i="11"/>
  <c r="F55" i="11"/>
  <c r="K52" i="13"/>
  <c r="J52" i="13"/>
  <c r="I52" i="13"/>
  <c r="K50" i="13"/>
  <c r="J50" i="13"/>
  <c r="I50" i="13"/>
  <c r="K48" i="13"/>
  <c r="J48" i="13"/>
  <c r="I48" i="13"/>
  <c r="K46" i="13"/>
  <c r="J46" i="13"/>
  <c r="I46" i="13"/>
  <c r="K44" i="13"/>
  <c r="J44" i="13"/>
  <c r="I44" i="13"/>
  <c r="K42" i="13"/>
  <c r="J42" i="13"/>
  <c r="I42" i="13"/>
  <c r="K40" i="13"/>
  <c r="J40" i="13"/>
  <c r="I40" i="13"/>
  <c r="K38" i="13"/>
  <c r="J38" i="13"/>
  <c r="I38" i="13"/>
  <c r="K36" i="13"/>
  <c r="J36" i="13"/>
  <c r="I36" i="13"/>
  <c r="K34" i="13"/>
  <c r="J34" i="13"/>
  <c r="I34" i="13"/>
  <c r="I8" i="13"/>
  <c r="E2" i="13"/>
  <c r="J26" i="13"/>
  <c r="J24" i="13"/>
  <c r="J22" i="13"/>
  <c r="J20" i="13"/>
  <c r="J18" i="13"/>
  <c r="J16" i="13"/>
  <c r="J14" i="13"/>
  <c r="J12" i="13"/>
  <c r="J10" i="13"/>
  <c r="K8" i="13"/>
  <c r="J8" i="13"/>
  <c r="K26" i="13"/>
  <c r="I26" i="13"/>
  <c r="K24" i="13"/>
  <c r="I24" i="13"/>
  <c r="K22" i="13"/>
  <c r="I22" i="13"/>
  <c r="K20" i="13"/>
  <c r="I20" i="13"/>
  <c r="K18" i="13"/>
  <c r="I18" i="13"/>
  <c r="K16" i="13"/>
  <c r="I16" i="13"/>
  <c r="K14" i="13"/>
  <c r="I14" i="13"/>
  <c r="K12" i="13"/>
  <c r="I12" i="13"/>
  <c r="K10" i="13"/>
  <c r="I10" i="13"/>
  <c r="B57" i="11"/>
  <c r="E41" i="11"/>
  <c r="E30" i="11"/>
  <c r="B30" i="11" s="1"/>
  <c r="E22" i="11"/>
  <c r="E11" i="11"/>
  <c r="X40" i="11"/>
  <c r="W40" i="11"/>
  <c r="X39" i="11"/>
  <c r="W39" i="11"/>
  <c r="X38" i="11"/>
  <c r="W38" i="11"/>
  <c r="X37" i="11"/>
  <c r="W37" i="11"/>
  <c r="X36" i="11"/>
  <c r="W36" i="11"/>
  <c r="X35" i="11"/>
  <c r="W35" i="11"/>
  <c r="X34" i="11"/>
  <c r="W34" i="11"/>
  <c r="W41" i="11" s="1"/>
  <c r="X29" i="11"/>
  <c r="W29" i="11"/>
  <c r="X28" i="11"/>
  <c r="W28" i="11"/>
  <c r="X27" i="11"/>
  <c r="W27" i="11"/>
  <c r="X26" i="11"/>
  <c r="W26" i="11"/>
  <c r="X21" i="11"/>
  <c r="W21" i="11"/>
  <c r="X20" i="11"/>
  <c r="W20" i="11"/>
  <c r="X19" i="11"/>
  <c r="W19" i="11"/>
  <c r="X18" i="11"/>
  <c r="W18" i="11"/>
  <c r="X17" i="11"/>
  <c r="W17" i="11"/>
  <c r="X16" i="11"/>
  <c r="W16" i="11"/>
  <c r="X15" i="11"/>
  <c r="W15" i="11"/>
  <c r="W9" i="11"/>
  <c r="X9" i="11"/>
  <c r="X11" i="11" s="1"/>
  <c r="W10" i="11"/>
  <c r="X10" i="11"/>
  <c r="X8" i="11"/>
  <c r="W8" i="11"/>
  <c r="V11" i="11"/>
  <c r="V64" i="11"/>
  <c r="V22" i="11"/>
  <c r="V75" i="11"/>
  <c r="V30" i="11"/>
  <c r="V83" i="11"/>
  <c r="V41" i="11"/>
  <c r="V94" i="11"/>
  <c r="Z11" i="11"/>
  <c r="Z64" i="11"/>
  <c r="Y11" i="11"/>
  <c r="Y64" i="11"/>
  <c r="G51" i="11"/>
  <c r="I40" i="11"/>
  <c r="I39" i="11"/>
  <c r="I38" i="11"/>
  <c r="G37" i="11"/>
  <c r="I37" i="11"/>
  <c r="I36" i="11"/>
  <c r="I35" i="11"/>
  <c r="I34" i="11"/>
  <c r="I29" i="11"/>
  <c r="I28" i="11"/>
  <c r="I27" i="11"/>
  <c r="G26" i="11"/>
  <c r="I26" i="11"/>
  <c r="I21" i="11"/>
  <c r="I20" i="11"/>
  <c r="I19" i="11"/>
  <c r="G18" i="11"/>
  <c r="I18" i="11"/>
  <c r="G17" i="11"/>
  <c r="I17" i="11"/>
  <c r="I16" i="11"/>
  <c r="I15" i="11"/>
  <c r="G10" i="11"/>
  <c r="I10" i="11"/>
  <c r="I9" i="11"/>
  <c r="G8" i="11"/>
  <c r="H8" i="11"/>
  <c r="I8" i="11"/>
  <c r="H96" i="11"/>
  <c r="H105" i="11" s="1"/>
  <c r="H103" i="11"/>
  <c r="H85" i="11"/>
  <c r="H90" i="11" s="1"/>
  <c r="H77" i="11"/>
  <c r="H81" i="11" s="1"/>
  <c r="H79" i="11"/>
  <c r="H78" i="11"/>
  <c r="H66" i="11"/>
  <c r="H70" i="11" s="1"/>
  <c r="H60" i="11"/>
  <c r="H62" i="11" s="1"/>
  <c r="H45" i="11"/>
  <c r="H50" i="11"/>
  <c r="H51" i="11"/>
  <c r="H52" i="11"/>
  <c r="H53" i="11"/>
  <c r="H54" i="11"/>
  <c r="H44" i="11"/>
  <c r="H34" i="11"/>
  <c r="H35" i="11"/>
  <c r="H36" i="11"/>
  <c r="H37" i="11"/>
  <c r="H38" i="11"/>
  <c r="H39" i="11"/>
  <c r="H40" i="11"/>
  <c r="H33" i="11"/>
  <c r="H26" i="11"/>
  <c r="H27" i="11"/>
  <c r="H28" i="11"/>
  <c r="H29" i="11"/>
  <c r="H25" i="11"/>
  <c r="H15" i="11"/>
  <c r="H16" i="11"/>
  <c r="H17" i="11"/>
  <c r="H18" i="11"/>
  <c r="H19" i="11"/>
  <c r="H20" i="11"/>
  <c r="H21" i="11"/>
  <c r="H14" i="11"/>
  <c r="H9" i="11"/>
  <c r="H10" i="11"/>
  <c r="J107" i="11"/>
  <c r="K107" i="11"/>
  <c r="J106" i="11"/>
  <c r="K106" i="11"/>
  <c r="J105" i="11"/>
  <c r="K105" i="11"/>
  <c r="J104" i="11"/>
  <c r="K104" i="11"/>
  <c r="J103" i="11"/>
  <c r="K103" i="11"/>
  <c r="J98" i="11"/>
  <c r="K98" i="11"/>
  <c r="K97" i="11"/>
  <c r="J93" i="11"/>
  <c r="K93" i="11"/>
  <c r="J92" i="11"/>
  <c r="K92" i="11"/>
  <c r="J91" i="11"/>
  <c r="K91" i="11"/>
  <c r="J90" i="11"/>
  <c r="K90" i="11"/>
  <c r="J89" i="11"/>
  <c r="K89" i="11"/>
  <c r="J88" i="11"/>
  <c r="K88" i="11"/>
  <c r="J87" i="11"/>
  <c r="K87" i="11"/>
  <c r="J86" i="11"/>
  <c r="K86" i="11"/>
  <c r="J82" i="11"/>
  <c r="K82" i="11"/>
  <c r="J81" i="11"/>
  <c r="K81" i="11"/>
  <c r="J80" i="11"/>
  <c r="K80" i="11"/>
  <c r="J79" i="11"/>
  <c r="K79" i="11"/>
  <c r="J78" i="11"/>
  <c r="K78" i="11"/>
  <c r="J74" i="11"/>
  <c r="K74" i="11"/>
  <c r="J73" i="11"/>
  <c r="K73" i="11"/>
  <c r="J72" i="11"/>
  <c r="K72" i="11"/>
  <c r="J71" i="11"/>
  <c r="K71" i="11"/>
  <c r="J70" i="11"/>
  <c r="K70" i="11"/>
  <c r="J69" i="11"/>
  <c r="K69" i="11"/>
  <c r="J68" i="11"/>
  <c r="K68" i="11"/>
  <c r="J67" i="11"/>
  <c r="K67" i="11"/>
  <c r="J63" i="11"/>
  <c r="K63" i="11"/>
  <c r="J62" i="11"/>
  <c r="K62" i="11"/>
  <c r="J61" i="11"/>
  <c r="K61" i="11"/>
  <c r="K54" i="11"/>
  <c r="J54" i="11"/>
  <c r="K53" i="11"/>
  <c r="J53" i="11"/>
  <c r="K52" i="11"/>
  <c r="J52" i="11"/>
  <c r="J51" i="11"/>
  <c r="K51" i="11"/>
  <c r="J50" i="11"/>
  <c r="K50" i="11"/>
  <c r="K45" i="11"/>
  <c r="J45" i="11"/>
  <c r="J44" i="11"/>
  <c r="K44" i="11"/>
  <c r="K40" i="11"/>
  <c r="J40" i="11"/>
  <c r="K39" i="11"/>
  <c r="J39" i="11"/>
  <c r="K38" i="11"/>
  <c r="J38" i="11"/>
  <c r="J37" i="11"/>
  <c r="K37" i="11"/>
  <c r="K36" i="11"/>
  <c r="J36" i="11"/>
  <c r="K35" i="11"/>
  <c r="J35" i="11"/>
  <c r="K34" i="11"/>
  <c r="J34" i="11"/>
  <c r="J33" i="11"/>
  <c r="K33" i="11"/>
  <c r="K29" i="11"/>
  <c r="J29" i="11"/>
  <c r="K28" i="11"/>
  <c r="J28" i="11"/>
  <c r="K27" i="11"/>
  <c r="J27" i="11"/>
  <c r="J26" i="11"/>
  <c r="K26" i="11"/>
  <c r="J25" i="11"/>
  <c r="K25" i="11"/>
  <c r="K21" i="11"/>
  <c r="J21" i="11"/>
  <c r="K20" i="11"/>
  <c r="J20" i="11"/>
  <c r="K19" i="11"/>
  <c r="J19" i="11"/>
  <c r="J18" i="11"/>
  <c r="K18" i="11"/>
  <c r="J17" i="11"/>
  <c r="K17" i="11"/>
  <c r="K16" i="11"/>
  <c r="J16" i="11"/>
  <c r="K15" i="11"/>
  <c r="J15" i="11"/>
  <c r="J14" i="11"/>
  <c r="K14" i="11"/>
  <c r="J9" i="11"/>
  <c r="K9" i="11"/>
  <c r="J10" i="11"/>
  <c r="K10" i="11"/>
  <c r="J8" i="11"/>
  <c r="K8" i="11"/>
  <c r="G54" i="11"/>
  <c r="G53" i="11"/>
  <c r="G52" i="11"/>
  <c r="G45" i="11"/>
  <c r="G40" i="11"/>
  <c r="G39" i="11"/>
  <c r="G38" i="11"/>
  <c r="G36" i="11"/>
  <c r="G35" i="11"/>
  <c r="G34" i="11"/>
  <c r="G29" i="11"/>
  <c r="G28" i="11"/>
  <c r="G27" i="11"/>
  <c r="G21" i="11"/>
  <c r="G20" i="11"/>
  <c r="G19" i="11"/>
  <c r="G16" i="11"/>
  <c r="G15" i="11"/>
  <c r="G9" i="11"/>
  <c r="S11" i="11"/>
  <c r="S14" i="11"/>
  <c r="S15" i="11"/>
  <c r="S16" i="11"/>
  <c r="S17" i="11"/>
  <c r="S18" i="11"/>
  <c r="S19" i="11"/>
  <c r="S20" i="11"/>
  <c r="S21" i="11"/>
  <c r="S25" i="11"/>
  <c r="S26" i="11"/>
  <c r="S27" i="11"/>
  <c r="S28" i="11"/>
  <c r="S29" i="11"/>
  <c r="S33" i="11"/>
  <c r="S34" i="11"/>
  <c r="S35" i="11"/>
  <c r="S36" i="11"/>
  <c r="S37" i="11"/>
  <c r="S38" i="11"/>
  <c r="S39" i="11"/>
  <c r="S40" i="11"/>
  <c r="S64" i="11"/>
  <c r="S71" i="11"/>
  <c r="S72" i="11"/>
  <c r="S73" i="11"/>
  <c r="S74" i="11"/>
  <c r="S79" i="11"/>
  <c r="S80" i="11"/>
  <c r="S81" i="11"/>
  <c r="S82" i="11"/>
  <c r="R11" i="11"/>
  <c r="R64" i="11"/>
  <c r="R75" i="11"/>
  <c r="R83" i="11"/>
  <c r="R94" i="11"/>
  <c r="Q11" i="11"/>
  <c r="Q22" i="11"/>
  <c r="Q30" i="11"/>
  <c r="Q41" i="11"/>
  <c r="Q55" i="11"/>
  <c r="Q64" i="11"/>
  <c r="O11" i="11"/>
  <c r="O22" i="11"/>
  <c r="O30" i="11"/>
  <c r="O41" i="11"/>
  <c r="O55" i="11"/>
  <c r="O64" i="11"/>
  <c r="O75" i="11"/>
  <c r="O83" i="11"/>
  <c r="O94" i="11"/>
  <c r="O108" i="11"/>
  <c r="G64" i="11"/>
  <c r="G75" i="11"/>
  <c r="G83" i="11"/>
  <c r="G94" i="11"/>
  <c r="G108" i="11"/>
  <c r="F11" i="11"/>
  <c r="F22" i="11"/>
  <c r="F30" i="11"/>
  <c r="F41" i="11"/>
  <c r="F64" i="11"/>
  <c r="F75" i="11"/>
  <c r="F83" i="11"/>
  <c r="F94" i="11"/>
  <c r="F108" i="11"/>
  <c r="S69" i="11"/>
  <c r="S68" i="11"/>
  <c r="S70" i="11"/>
  <c r="S78" i="11"/>
  <c r="S67" i="11"/>
  <c r="S86" i="11"/>
  <c r="K30" i="11" l="1"/>
  <c r="B55" i="11"/>
  <c r="B11" i="11"/>
  <c r="B41" i="11"/>
  <c r="B22" i="11"/>
  <c r="K10" i="12"/>
  <c r="I83" i="11"/>
  <c r="J64" i="11"/>
  <c r="K11" i="11"/>
  <c r="G11" i="11"/>
  <c r="G41" i="11"/>
  <c r="J30" i="11"/>
  <c r="J83" i="11"/>
  <c r="K108" i="11"/>
  <c r="H107" i="11"/>
  <c r="W11" i="11"/>
  <c r="K9" i="12"/>
  <c r="K22" i="11"/>
  <c r="J41" i="11"/>
  <c r="J55" i="11"/>
  <c r="K83" i="11"/>
  <c r="K8" i="12"/>
  <c r="E110" i="11"/>
  <c r="J75" i="11"/>
  <c r="W22" i="11"/>
  <c r="O57" i="11"/>
  <c r="G55" i="11"/>
  <c r="Z30" i="11"/>
  <c r="G110" i="11"/>
  <c r="H86" i="11"/>
  <c r="W30" i="11"/>
  <c r="H92" i="11"/>
  <c r="H63" i="11"/>
  <c r="H88" i="11"/>
  <c r="E8" i="12"/>
  <c r="E11" i="12" s="1"/>
  <c r="W64" i="11"/>
  <c r="S30" i="11"/>
  <c r="K94" i="11"/>
  <c r="V110" i="11"/>
  <c r="H100" i="11"/>
  <c r="Y41" i="11"/>
  <c r="Y83" i="11"/>
  <c r="G30" i="11"/>
  <c r="X108" i="11"/>
  <c r="X83" i="11"/>
  <c r="X64" i="11"/>
  <c r="W83" i="11"/>
  <c r="R22" i="11"/>
  <c r="R41" i="11"/>
  <c r="S41" i="11"/>
  <c r="J11" i="11"/>
  <c r="J22" i="11"/>
  <c r="J94" i="11"/>
  <c r="H61" i="11"/>
  <c r="H93" i="11"/>
  <c r="H89" i="11"/>
  <c r="H87" i="11"/>
  <c r="H97" i="11"/>
  <c r="H104" i="11"/>
  <c r="H98" i="11"/>
  <c r="I11" i="11"/>
  <c r="K7" i="12"/>
  <c r="J108" i="11"/>
  <c r="Z22" i="11"/>
  <c r="I108" i="11"/>
  <c r="I75" i="11"/>
  <c r="I22" i="11"/>
  <c r="X41" i="11"/>
  <c r="W75" i="11"/>
  <c r="W55" i="11"/>
  <c r="Y94" i="11"/>
  <c r="S94" i="11"/>
  <c r="S108" i="11"/>
  <c r="Z75" i="11"/>
  <c r="Q75" i="11"/>
  <c r="Z83" i="11"/>
  <c r="Q83" i="11"/>
  <c r="R108" i="11"/>
  <c r="R110" i="11" s="1"/>
  <c r="Z55" i="11"/>
  <c r="Y55" i="11"/>
  <c r="Z108" i="11"/>
  <c r="W108" i="11"/>
  <c r="R30" i="11"/>
  <c r="Q108" i="11"/>
  <c r="Y108" i="11"/>
  <c r="S75" i="11"/>
  <c r="S22" i="11"/>
  <c r="I55" i="11"/>
  <c r="I94" i="11"/>
  <c r="K6" i="12"/>
  <c r="V57" i="11"/>
  <c r="V1" i="11" s="1"/>
  <c r="X55" i="11"/>
  <c r="X75" i="11"/>
  <c r="F57" i="11"/>
  <c r="Q57" i="11"/>
  <c r="O110" i="11"/>
  <c r="H72" i="11"/>
  <c r="H73" i="11"/>
  <c r="H68" i="11"/>
  <c r="H69" i="11"/>
  <c r="H71" i="11"/>
  <c r="I30" i="11"/>
  <c r="E57" i="11"/>
  <c r="E1" i="11" s="1"/>
  <c r="S55" i="11"/>
  <c r="Z41" i="11"/>
  <c r="Z94" i="11"/>
  <c r="F110" i="11"/>
  <c r="K75" i="11"/>
  <c r="X30" i="11"/>
  <c r="G22" i="11"/>
  <c r="K41" i="11"/>
  <c r="H67" i="11"/>
  <c r="I41" i="11"/>
  <c r="Y30" i="11"/>
  <c r="Y22" i="11"/>
  <c r="Y75" i="11"/>
  <c r="X22" i="11"/>
  <c r="W94" i="11"/>
  <c r="S83" i="11"/>
  <c r="K55" i="11"/>
  <c r="K64" i="11"/>
  <c r="H74" i="11"/>
  <c r="X94" i="11"/>
  <c r="R55" i="11"/>
  <c r="Q94" i="11"/>
  <c r="H80" i="11"/>
  <c r="H101" i="11"/>
  <c r="H99" i="11"/>
  <c r="H82" i="11"/>
  <c r="H91" i="11"/>
  <c r="H106" i="11"/>
  <c r="K11" i="12" l="1"/>
  <c r="I110" i="11"/>
  <c r="J110" i="11"/>
  <c r="W57" i="11"/>
  <c r="J57" i="11"/>
  <c r="K110" i="11"/>
  <c r="Z110" i="11"/>
  <c r="G57" i="11"/>
  <c r="G1" i="11" s="1"/>
  <c r="O1" i="11"/>
  <c r="Z57" i="11"/>
  <c r="Y110" i="11"/>
  <c r="K57" i="11"/>
  <c r="I57" i="11"/>
  <c r="X110" i="11"/>
  <c r="Q110" i="11"/>
  <c r="Q1" i="11" s="1"/>
  <c r="S57" i="11"/>
  <c r="S110" i="11"/>
  <c r="X57" i="11"/>
  <c r="X1" i="11" s="1"/>
  <c r="W110" i="11"/>
  <c r="F1" i="11"/>
  <c r="Y57" i="11"/>
  <c r="R57" i="11"/>
  <c r="R1" i="11" s="1"/>
  <c r="W1" i="11" l="1"/>
  <c r="I1" i="11"/>
  <c r="J1" i="11"/>
  <c r="Z1" i="11"/>
  <c r="K1" i="11"/>
  <c r="Y1" i="11"/>
  <c r="S1" i="11"/>
  <c r="E15" i="12" l="1"/>
  <c r="B15" i="12" s="1"/>
  <c r="K15" i="12" l="1"/>
  <c r="G15" i="12" s="1"/>
  <c r="J4" i="11" l="1"/>
  <c r="F59" i="11" l="1"/>
  <c r="D110" i="11" s="1"/>
  <c r="S4" i="11"/>
  <c r="K4" i="11"/>
  <c r="D6" i="11" l="1"/>
  <c r="G4" i="11" l="1"/>
  <c r="O4" i="11"/>
  <c r="F4" i="11"/>
  <c r="D57" i="11"/>
  <c r="D59" i="11" s="1"/>
</calcChain>
</file>

<file path=xl/sharedStrings.xml><?xml version="1.0" encoding="utf-8"?>
<sst xmlns="http://schemas.openxmlformats.org/spreadsheetml/2006/main" count="95" uniqueCount="67">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</sst>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_ ;[Red]\-#,##0.00\ "/>
    <numFmt numFmtId="165" formatCode="[$-F800]dddd\,\ mmmm\ dd\,\ yyyy"/>
  </numFmts>
  <fonts count="18" x14ac:knownFonts="1">
    <font>
      <sz val="10"/>
      <name val="Arial"/>
    </font>
    <font>
      <sz val="8"/>
      <name val="Arial"/>
      <family val="2"/>
    </font>
    <font>
      <sz val="9"/>
      <name val="Times New Roman"/>
      <family val="1"/>
    </font>
    <font>
      <b/>
      <sz val="9"/>
      <name val="Times New Roman"/>
      <family val="1"/>
    </font>
    <font>
      <sz val="8"/>
      <name val="Times New Roman"/>
      <family val="1"/>
    </font>
    <font>
      <sz val="10"/>
      <color indexed="18"/>
      <name val="Arial"/>
      <family val="2"/>
    </font>
    <font>
      <sz val="10"/>
      <color indexed="10"/>
      <name val="Arial"/>
      <family val="2"/>
    </font>
    <font>
      <b/>
      <i/>
      <sz val="8"/>
      <name val="Times New Roman"/>
      <family val="1"/>
    </font>
    <font>
      <sz val="10"/>
      <name val="Times New Roman"/>
      <family val="1"/>
    </font>
    <font>
      <b/>
      <sz val="11"/>
      <name val="Times New Roman"/>
      <family val="1"/>
    </font>
    <font>
      <b/>
      <sz val="8"/>
      <name val="Times New Roman"/>
      <family val="1"/>
    </font>
    <font>
      <sz val="9"/>
      <name val="Arial"/>
      <family val="2"/>
    </font>
    <font>
      <b/>
      <sz val="10"/>
      <name val="Arial"/>
      <family val="2"/>
    </font>
    <font>
      <sz val="10"/>
      <name val="Arial"/>
      <family val="2"/>
    </font>
    <font>
      <sz val="10"/>
      <color indexed="18"/>
      <name val="Times New Roman"/>
      <family val="1"/>
    </font>
    <font>
      <sz val="10"/>
      <name val="Arial"/>
      <family val="2"/>
    </font>
    <font>
      <b/>
      <sz val="10"/>
      <name val="Arial"/>
      <family val="2"/>
    </font>
    <font>
      <b/>
      <sz val="9"/>
      <color indexed="8"/>
      <name val="Times New Roman"/>
      <family val="1"/>
    </font>
  </fonts>
  <fills count="4">
    <fill>
      <patternFill patternType="none"/>
    </fill>
    <fill>
      <patternFill patternType="gray125"/>
    </fill>
    <fill>
      <patternFill patternType="solid">
        <fgColor indexed="26"/>
        <bgColor indexed="64"/>
      </patternFill>
    </fill>
    <fill>
      <patternFill patternType="solid">
        <fgColor indexed="42"/>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top/>
      <bottom/>
      <diagonal/>
    </border>
    <border>
      <left style="thin">
        <color indexed="64"/>
      </left>
      <right/>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style="thin">
        <color indexed="64"/>
      </right>
      <top style="medium">
        <color indexed="64"/>
      </top>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medium">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s>
  <cellStyleXfs count="1">
    <xf numFmtId="0" fontId="0" fillId="0" borderId="0"/>
  </cellStyleXfs>
  <cellXfs count="187">
    <xf numFmtId="0" fontId="0" fillId="0" borderId="0" xfId="0"/>
    <xf numFmtId="9" fontId="2" fillId="0" borderId="0" xfId="0" applyNumberFormat="1" applyFont="1" applyAlignment="1">
      <alignment horizontal="center"/>
    </xf>
    <xf numFmtId="164" fontId="2" fillId="0" borderId="0" xfId="0" applyNumberFormat="1" applyFont="1" applyAlignment="1">
      <alignment horizontal="center"/>
    </xf>
    <xf numFmtId="164" fontId="2" fillId="0" borderId="0" xfId="0" applyNumberFormat="1" applyFont="1"/>
    <xf numFmtId="15" fontId="2" fillId="0" borderId="0" xfId="0" applyNumberFormat="1" applyFont="1"/>
    <xf numFmtId="0" fontId="2" fillId="0" borderId="0" xfId="0" applyFont="1"/>
    <xf numFmtId="0" fontId="3" fillId="0" borderId="0" xfId="0" applyFont="1"/>
    <xf numFmtId="164" fontId="2" fillId="2" borderId="0" xfId="0" applyNumberFormat="1" applyFont="1" applyFill="1"/>
    <xf numFmtId="164" fontId="2" fillId="2" borderId="0" xfId="0" applyNumberFormat="1" applyFont="1" applyFill="1" applyAlignment="1">
      <alignment horizontal="left" vertical="center" indent="2"/>
    </xf>
    <xf numFmtId="9" fontId="2" fillId="2" borderId="0" xfId="0" applyNumberFormat="1" applyFont="1" applyFill="1" applyAlignment="1">
      <alignment horizontal="center" vertical="center"/>
    </xf>
    <xf numFmtId="0" fontId="2" fillId="2" borderId="0" xfId="0" applyFont="1" applyFill="1"/>
    <xf numFmtId="164" fontId="2" fillId="2" borderId="0" xfId="0" applyNumberFormat="1" applyFont="1" applyFill="1" applyAlignment="1">
      <alignment horizontal="center"/>
    </xf>
    <xf numFmtId="15" fontId="2" fillId="2" borderId="0" xfId="0" applyNumberFormat="1" applyFont="1" applyFill="1"/>
    <xf numFmtId="9" fontId="2" fillId="2" borderId="0" xfId="0" applyNumberFormat="1" applyFont="1" applyFill="1" applyAlignment="1">
      <alignment horizontal="center"/>
    </xf>
    <xf numFmtId="15" fontId="3" fillId="2" borderId="0" xfId="0" applyNumberFormat="1" applyFont="1" applyFill="1" applyAlignment="1">
      <alignment wrapText="1"/>
    </xf>
    <xf numFmtId="14" fontId="2" fillId="0" borderId="0" xfId="0" applyNumberFormat="1" applyFont="1"/>
    <xf numFmtId="164" fontId="2" fillId="2" borderId="1" xfId="0" applyNumberFormat="1" applyFont="1" applyFill="1" applyBorder="1"/>
    <xf numFmtId="9" fontId="2" fillId="2" borderId="0" xfId="0" applyNumberFormat="1" applyFont="1" applyFill="1"/>
    <xf numFmtId="164" fontId="2" fillId="2" borderId="2" xfId="0" applyNumberFormat="1" applyFont="1" applyFill="1" applyBorder="1"/>
    <xf numFmtId="164" fontId="3" fillId="2" borderId="3" xfId="0" applyNumberFormat="1" applyFont="1" applyFill="1" applyBorder="1" applyAlignment="1">
      <alignment horizontal="center"/>
    </xf>
    <xf numFmtId="0" fontId="3" fillId="2" borderId="4" xfId="0" applyFont="1" applyFill="1" applyBorder="1"/>
    <xf numFmtId="0" fontId="2" fillId="2" borderId="5" xfId="0" applyFont="1" applyFill="1" applyBorder="1"/>
    <xf numFmtId="14" fontId="2" fillId="2" borderId="5" xfId="0" applyNumberFormat="1" applyFont="1" applyFill="1" applyBorder="1"/>
    <xf numFmtId="15" fontId="2" fillId="2" borderId="6" xfId="0" applyNumberFormat="1" applyFont="1" applyFill="1" applyBorder="1"/>
    <xf numFmtId="164" fontId="2" fillId="2" borderId="6" xfId="0" applyNumberFormat="1" applyFont="1" applyFill="1" applyBorder="1"/>
    <xf numFmtId="9" fontId="2" fillId="2" borderId="6" xfId="0" applyNumberFormat="1" applyFont="1" applyFill="1" applyBorder="1" applyAlignment="1">
      <alignment horizontal="center"/>
    </xf>
    <xf numFmtId="164" fontId="2" fillId="2" borderId="6" xfId="0" applyNumberFormat="1" applyFont="1" applyFill="1" applyBorder="1" applyAlignment="1">
      <alignment horizontal="center"/>
    </xf>
    <xf numFmtId="0" fontId="2" fillId="2" borderId="7" xfId="0" applyFont="1" applyFill="1" applyBorder="1"/>
    <xf numFmtId="9" fontId="2" fillId="0" borderId="1" xfId="0" applyNumberFormat="1" applyFont="1" applyBorder="1" applyAlignment="1">
      <alignment horizontal="center"/>
    </xf>
    <xf numFmtId="1" fontId="2" fillId="2" borderId="0" xfId="0" applyNumberFormat="1" applyFont="1" applyFill="1" applyAlignment="1">
      <alignment vertical="center"/>
    </xf>
    <xf numFmtId="1" fontId="2" fillId="0" borderId="0" xfId="0" applyNumberFormat="1" applyFont="1"/>
    <xf numFmtId="1" fontId="2" fillId="2" borderId="0" xfId="0" applyNumberFormat="1" applyFont="1" applyFill="1"/>
    <xf numFmtId="1" fontId="3" fillId="2" borderId="0" xfId="0" applyNumberFormat="1" applyFont="1" applyFill="1"/>
    <xf numFmtId="1" fontId="3" fillId="2" borderId="0" xfId="0" applyNumberFormat="1" applyFont="1" applyFill="1" applyAlignment="1">
      <alignment wrapText="1"/>
    </xf>
    <xf numFmtId="1" fontId="2" fillId="2" borderId="6" xfId="0" applyNumberFormat="1" applyFont="1" applyFill="1" applyBorder="1"/>
    <xf numFmtId="9" fontId="2" fillId="2" borderId="1" xfId="0" applyNumberFormat="1" applyFont="1" applyFill="1" applyBorder="1" applyAlignment="1">
      <alignment horizontal="center"/>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9" fontId="2" fillId="2" borderId="1" xfId="0" applyNumberFormat="1" applyFont="1" applyFill="1" applyBorder="1" applyAlignment="1">
      <alignment horizontal="center" vertical="center"/>
    </xf>
    <xf numFmtId="9" fontId="2" fillId="0" borderId="1" xfId="0" applyNumberFormat="1" applyFont="1" applyBorder="1" applyAlignment="1">
      <alignment horizontal="center" vertical="center"/>
    </xf>
    <xf numFmtId="164" fontId="2" fillId="2" borderId="8" xfId="0" applyNumberFormat="1" applyFont="1" applyFill="1" applyBorder="1"/>
    <xf numFmtId="15" fontId="2" fillId="0" borderId="1" xfId="0" applyNumberFormat="1" applyFont="1" applyBorder="1"/>
    <xf numFmtId="1" fontId="2" fillId="0" borderId="1" xfId="0" applyNumberFormat="1" applyFont="1" applyBorder="1"/>
    <xf numFmtId="164" fontId="2" fillId="0" borderId="1" xfId="0" applyNumberFormat="1" applyFont="1" applyBorder="1"/>
    <xf numFmtId="164" fontId="2" fillId="0" borderId="1" xfId="0" applyNumberFormat="1" applyFont="1" applyBorder="1" applyAlignment="1">
      <alignment horizontal="center"/>
    </xf>
    <xf numFmtId="1" fontId="3" fillId="0" borderId="1" xfId="0" applyNumberFormat="1" applyFont="1" applyBorder="1"/>
    <xf numFmtId="15" fontId="2" fillId="3" borderId="0" xfId="0" applyNumberFormat="1" applyFont="1" applyFill="1"/>
    <xf numFmtId="0" fontId="2" fillId="3" borderId="0" xfId="0" applyFont="1" applyFill="1"/>
    <xf numFmtId="1" fontId="2" fillId="3" borderId="0" xfId="0" applyNumberFormat="1" applyFont="1" applyFill="1"/>
    <xf numFmtId="164" fontId="2" fillId="3" borderId="0" xfId="0" applyNumberFormat="1" applyFont="1" applyFill="1"/>
    <xf numFmtId="9" fontId="2" fillId="3" borderId="0" xfId="0" applyNumberFormat="1" applyFont="1" applyFill="1" applyAlignment="1">
      <alignment horizontal="center"/>
    </xf>
    <xf numFmtId="0" fontId="3" fillId="3" borderId="0" xfId="0" applyFont="1" applyFill="1" applyAlignment="1">
      <alignment horizontal="center" wrapText="1"/>
    </xf>
    <xf numFmtId="164" fontId="2" fillId="3" borderId="1" xfId="0" applyNumberFormat="1" applyFont="1" applyFill="1" applyBorder="1"/>
    <xf numFmtId="164" fontId="2" fillId="3" borderId="2" xfId="0" applyNumberFormat="1" applyFont="1" applyFill="1" applyBorder="1"/>
    <xf numFmtId="15" fontId="2" fillId="2" borderId="0" xfId="0" applyNumberFormat="1" applyFont="1" applyFill="1" applyAlignment="1">
      <alignment horizontal="center" vertical="center" wrapText="1"/>
    </xf>
    <xf numFmtId="1" fontId="2" fillId="2" borderId="0" xfId="0" applyNumberFormat="1" applyFont="1" applyFill="1" applyAlignment="1">
      <alignment horizontal="center" vertical="center" wrapText="1"/>
    </xf>
    <xf numFmtId="164" fontId="2" fillId="2" borderId="0" xfId="0" applyNumberFormat="1" applyFont="1" applyFill="1" applyAlignment="1">
      <alignment horizontal="center" vertical="center" wrapText="1"/>
    </xf>
    <xf numFmtId="164" fontId="4" fillId="2" borderId="0" xfId="0" applyNumberFormat="1" applyFont="1" applyFill="1" applyAlignment="1">
      <alignment horizontal="center" vertical="center" wrapText="1"/>
    </xf>
    <xf numFmtId="0" fontId="0" fillId="2" borderId="0" xfId="0" applyFill="1" applyAlignment="1">
      <alignment horizontal="center"/>
    </xf>
    <xf numFmtId="9" fontId="2" fillId="2" borderId="0" xfId="0" applyNumberFormat="1" applyFont="1" applyFill="1" applyAlignment="1">
      <alignment horizontal="center" vertical="center" wrapText="1"/>
    </xf>
    <xf numFmtId="9" fontId="3" fillId="2" borderId="0" xfId="0" applyNumberFormat="1" applyFont="1" applyFill="1" applyAlignment="1">
      <alignment horizontal="center"/>
    </xf>
    <xf numFmtId="164" fontId="3" fillId="2" borderId="1" xfId="0" applyNumberFormat="1" applyFont="1" applyFill="1" applyBorder="1" applyAlignment="1">
      <alignment horizontal="center"/>
    </xf>
    <xf numFmtId="9" fontId="0" fillId="2" borderId="0" xfId="0" applyNumberFormat="1" applyFill="1" applyAlignment="1">
      <alignment horizontal="center" wrapText="1"/>
    </xf>
    <xf numFmtId="0" fontId="2" fillId="3" borderId="9" xfId="0" applyFont="1" applyFill="1" applyBorder="1"/>
    <xf numFmtId="0" fontId="2" fillId="3" borderId="10" xfId="0" applyFont="1" applyFill="1" applyBorder="1"/>
    <xf numFmtId="15" fontId="2" fillId="3" borderId="6" xfId="0" applyNumberFormat="1" applyFont="1" applyFill="1" applyBorder="1"/>
    <xf numFmtId="0" fontId="2" fillId="3" borderId="6" xfId="0" applyFont="1" applyFill="1" applyBorder="1"/>
    <xf numFmtId="1" fontId="2" fillId="3" borderId="6" xfId="0" applyNumberFormat="1" applyFont="1" applyFill="1" applyBorder="1"/>
    <xf numFmtId="164" fontId="2" fillId="3" borderId="6" xfId="0" applyNumberFormat="1" applyFont="1" applyFill="1" applyBorder="1"/>
    <xf numFmtId="9" fontId="2" fillId="3" borderId="6" xfId="0" applyNumberFormat="1" applyFont="1" applyFill="1" applyBorder="1" applyAlignment="1">
      <alignment horizontal="center"/>
    </xf>
    <xf numFmtId="164" fontId="2" fillId="3" borderId="4" xfId="0" applyNumberFormat="1" applyFont="1" applyFill="1" applyBorder="1" applyAlignment="1">
      <alignment horizontal="center"/>
    </xf>
    <xf numFmtId="164" fontId="2" fillId="3" borderId="5" xfId="0" applyNumberFormat="1" applyFont="1" applyFill="1" applyBorder="1" applyAlignment="1">
      <alignment horizontal="center"/>
    </xf>
    <xf numFmtId="164" fontId="2" fillId="3" borderId="7" xfId="0" applyNumberFormat="1" applyFont="1" applyFill="1" applyBorder="1" applyAlignment="1">
      <alignment horizontal="center"/>
    </xf>
    <xf numFmtId="0" fontId="4" fillId="2" borderId="0" xfId="0" applyFont="1" applyFill="1" applyAlignment="1">
      <alignment horizontal="center" vertical="center" wrapText="1"/>
    </xf>
    <xf numFmtId="0" fontId="4" fillId="0" borderId="1" xfId="0" applyFont="1" applyBorder="1"/>
    <xf numFmtId="0" fontId="4" fillId="2" borderId="0" xfId="0" applyFont="1" applyFill="1" applyAlignment="1">
      <alignment horizontal="left" wrapText="1" indent="6"/>
    </xf>
    <xf numFmtId="0" fontId="4" fillId="2" borderId="0" xfId="0" applyFont="1" applyFill="1"/>
    <xf numFmtId="0" fontId="7" fillId="2" borderId="0" xfId="0" applyFont="1" applyFill="1" applyAlignment="1">
      <alignment wrapText="1"/>
    </xf>
    <xf numFmtId="0" fontId="4" fillId="2" borderId="6" xfId="0" applyFont="1" applyFill="1" applyBorder="1"/>
    <xf numFmtId="0" fontId="4" fillId="0" borderId="0" xfId="0" applyFont="1"/>
    <xf numFmtId="4" fontId="2" fillId="2" borderId="0" xfId="0" applyNumberFormat="1" applyFont="1" applyFill="1"/>
    <xf numFmtId="4" fontId="2" fillId="2" borderId="0" xfId="0" applyNumberFormat="1" applyFont="1" applyFill="1" applyAlignment="1">
      <alignment horizontal="center"/>
    </xf>
    <xf numFmtId="4" fontId="2" fillId="0" borderId="0" xfId="0" applyNumberFormat="1" applyFont="1"/>
    <xf numFmtId="4" fontId="2" fillId="0" borderId="1" xfId="0" applyNumberFormat="1" applyFont="1" applyBorder="1"/>
    <xf numFmtId="4" fontId="2" fillId="2" borderId="1" xfId="0" applyNumberFormat="1" applyFont="1" applyFill="1" applyBorder="1" applyAlignment="1">
      <alignment horizontal="center" vertical="center" wrapText="1"/>
    </xf>
    <xf numFmtId="4" fontId="2" fillId="0" borderId="0" xfId="0" applyNumberFormat="1" applyFont="1" applyAlignment="1">
      <alignment horizontal="center" vertical="center"/>
    </xf>
    <xf numFmtId="4" fontId="2" fillId="0" borderId="0" xfId="0" applyNumberFormat="1" applyFont="1" applyAlignment="1">
      <alignment horizontal="center"/>
    </xf>
    <xf numFmtId="1" fontId="2" fillId="2" borderId="0" xfId="0" applyNumberFormat="1" applyFont="1" applyFill="1" applyAlignment="1">
      <alignment horizontal="center"/>
    </xf>
    <xf numFmtId="1" fontId="2" fillId="0" borderId="0" xfId="0" applyNumberFormat="1" applyFont="1" applyAlignment="1">
      <alignment horizontal="center"/>
    </xf>
    <xf numFmtId="1" fontId="2" fillId="0" borderId="1" xfId="0" applyNumberFormat="1" applyFont="1" applyBorder="1" applyAlignment="1">
      <alignment horizontal="center"/>
    </xf>
    <xf numFmtId="4" fontId="2" fillId="3" borderId="0" xfId="0" applyNumberFormat="1" applyFont="1" applyFill="1"/>
    <xf numFmtId="4" fontId="2" fillId="3" borderId="0" xfId="0" applyNumberFormat="1" applyFont="1" applyFill="1" applyAlignment="1">
      <alignment horizontal="center"/>
    </xf>
    <xf numFmtId="1" fontId="2" fillId="3" borderId="0" xfId="0" applyNumberFormat="1" applyFont="1" applyFill="1" applyAlignment="1">
      <alignment horizontal="center"/>
    </xf>
    <xf numFmtId="4" fontId="2" fillId="3" borderId="0" xfId="0" applyNumberFormat="1" applyFont="1" applyFill="1" applyAlignment="1">
      <alignment horizontal="center" vertical="center"/>
    </xf>
    <xf numFmtId="1" fontId="9" fillId="2" borderId="0" xfId="0" applyNumberFormat="1" applyFont="1" applyFill="1"/>
    <xf numFmtId="1" fontId="8" fillId="2" borderId="0" xfId="0" applyNumberFormat="1" applyFont="1" applyFill="1"/>
    <xf numFmtId="4" fontId="10" fillId="2" borderId="0" xfId="0" applyNumberFormat="1" applyFont="1" applyFill="1" applyAlignment="1">
      <alignment wrapText="1"/>
    </xf>
    <xf numFmtId="4" fontId="2" fillId="2" borderId="0" xfId="0" applyNumberFormat="1" applyFont="1" applyFill="1" applyAlignment="1">
      <alignment horizontal="center" vertical="center" wrapText="1"/>
    </xf>
    <xf numFmtId="0" fontId="0" fillId="2" borderId="0" xfId="0" applyFill="1" applyAlignment="1">
      <alignment horizontal="center" vertical="center" wrapText="1"/>
    </xf>
    <xf numFmtId="14" fontId="2" fillId="2" borderId="11" xfId="0" applyNumberFormat="1" applyFont="1" applyFill="1" applyBorder="1"/>
    <xf numFmtId="0" fontId="2" fillId="2" borderId="11" xfId="0" applyFont="1" applyFill="1" applyBorder="1"/>
    <xf numFmtId="0" fontId="2" fillId="2" borderId="12" xfId="0" applyFont="1" applyFill="1" applyBorder="1"/>
    <xf numFmtId="0" fontId="11" fillId="3" borderId="0" xfId="0" applyFont="1" applyFill="1" applyAlignment="1">
      <alignment horizontal="center" wrapText="1"/>
    </xf>
    <xf numFmtId="0" fontId="11" fillId="0" borderId="0" xfId="0" applyFont="1"/>
    <xf numFmtId="164" fontId="3" fillId="3" borderId="2" xfId="0" applyNumberFormat="1" applyFont="1" applyFill="1" applyBorder="1" applyAlignment="1">
      <alignment vertical="center"/>
    </xf>
    <xf numFmtId="15" fontId="3" fillId="3" borderId="1" xfId="0" applyNumberFormat="1" applyFont="1" applyFill="1" applyBorder="1" applyAlignment="1">
      <alignment horizontal="left" vertical="center" indent="1"/>
    </xf>
    <xf numFmtId="164" fontId="2" fillId="3" borderId="0" xfId="0" applyNumberFormat="1" applyFont="1" applyFill="1" applyAlignment="1">
      <alignment horizontal="center"/>
    </xf>
    <xf numFmtId="164" fontId="2" fillId="2" borderId="0" xfId="0" applyNumberFormat="1" applyFont="1" applyFill="1" applyAlignment="1">
      <alignment horizontal="center" vertical="center"/>
    </xf>
    <xf numFmtId="1" fontId="2" fillId="2" borderId="1" xfId="0" applyNumberFormat="1" applyFont="1" applyFill="1" applyBorder="1"/>
    <xf numFmtId="1" fontId="2" fillId="2" borderId="6" xfId="0" applyNumberFormat="1" applyFont="1" applyFill="1" applyBorder="1" applyAlignment="1">
      <alignment horizontal="center"/>
    </xf>
    <xf numFmtId="15" fontId="2" fillId="2" borderId="1" xfId="0" applyNumberFormat="1" applyFont="1" applyFill="1" applyBorder="1" applyAlignment="1">
      <alignment horizontal="center" vertical="center" wrapText="1"/>
    </xf>
    <xf numFmtId="15" fontId="4" fillId="2" borderId="1" xfId="0" applyNumberFormat="1" applyFont="1" applyFill="1" applyBorder="1" applyAlignment="1">
      <alignment horizontal="center" vertical="center" wrapText="1"/>
    </xf>
    <xf numFmtId="15" fontId="3" fillId="2" borderId="13" xfId="0" applyNumberFormat="1" applyFont="1" applyFill="1" applyBorder="1" applyAlignment="1">
      <alignment horizontal="left" vertical="center"/>
    </xf>
    <xf numFmtId="164" fontId="3" fillId="2" borderId="14" xfId="0" applyNumberFormat="1" applyFont="1" applyFill="1" applyBorder="1" applyAlignment="1">
      <alignment horizontal="center"/>
    </xf>
    <xf numFmtId="0" fontId="6" fillId="2" borderId="0" xfId="0" applyFont="1" applyFill="1" applyAlignment="1">
      <alignment horizontal="left" vertical="center" indent="1"/>
    </xf>
    <xf numFmtId="15" fontId="3" fillId="2" borderId="13" xfId="0" applyNumberFormat="1" applyFont="1" applyFill="1" applyBorder="1" applyAlignment="1">
      <alignment horizontal="center" vertical="center"/>
    </xf>
    <xf numFmtId="15" fontId="3" fillId="2" borderId="14" xfId="0" applyNumberFormat="1" applyFont="1" applyFill="1" applyBorder="1" applyAlignment="1">
      <alignment horizontal="center" vertical="center"/>
    </xf>
    <xf numFmtId="15" fontId="17" fillId="2" borderId="13" xfId="0" applyNumberFormat="1" applyFont="1" applyFill="1" applyBorder="1" applyAlignment="1">
      <alignment horizontal="center" vertical="center"/>
    </xf>
    <xf numFmtId="1" fontId="3" fillId="2" borderId="1" xfId="0" applyNumberFormat="1" applyFont="1" applyFill="1" applyBorder="1" applyAlignment="1">
      <alignment horizontal="center"/>
    </xf>
    <xf numFmtId="1" fontId="3" fillId="2" borderId="1" xfId="0" applyNumberFormat="1" applyFont="1" applyFill="1" applyBorder="1" applyAlignment="1">
      <alignment horizontal="center" wrapText="1"/>
    </xf>
    <xf numFmtId="0" fontId="3" fillId="2" borderId="16" xfId="0" applyFont="1" applyFill="1" applyBorder="1" applyAlignment="1">
      <alignment horizontal="center" vertical="center"/>
    </xf>
    <xf numFmtId="0" fontId="0" fillId="0" borderId="14" xfId="0" applyBorder="1" applyAlignment="1">
      <alignment horizontal="center" vertical="center"/>
    </xf>
    <xf numFmtId="9" fontId="2" fillId="2" borderId="3" xfId="0" applyNumberFormat="1" applyFont="1" applyFill="1" applyBorder="1" applyAlignment="1">
      <alignment horizontal="center" vertical="center" wrapText="1"/>
    </xf>
    <xf numFmtId="9" fontId="2" fillId="2" borderId="1" xfId="0" applyNumberFormat="1" applyFont="1" applyFill="1" applyBorder="1" applyAlignment="1">
      <alignment horizontal="center" vertical="center" wrapText="1"/>
    </xf>
    <xf numFmtId="9" fontId="0" fillId="0" borderId="1" xfId="0" applyNumberFormat="1" applyBorder="1" applyAlignment="1">
      <alignment horizontal="center" wrapText="1"/>
    </xf>
    <xf numFmtId="164" fontId="4" fillId="2" borderId="17" xfId="0" applyNumberFormat="1" applyFont="1" applyFill="1" applyBorder="1" applyAlignment="1">
      <alignment horizontal="center" vertical="center" wrapText="1"/>
    </xf>
    <xf numFmtId="164" fontId="4" fillId="2" borderId="8" xfId="0" applyNumberFormat="1" applyFont="1" applyFill="1" applyBorder="1" applyAlignment="1">
      <alignment horizontal="center" vertical="center" wrapText="1"/>
    </xf>
    <xf numFmtId="164" fontId="2" fillId="2" borderId="17" xfId="0" applyNumberFormat="1" applyFont="1" applyFill="1" applyBorder="1" applyAlignment="1">
      <alignment horizontal="center" vertical="center" wrapText="1"/>
    </xf>
    <xf numFmtId="164" fontId="2" fillId="2" borderId="8" xfId="0" applyNumberFormat="1" applyFont="1" applyFill="1" applyBorder="1" applyAlignment="1">
      <alignment horizontal="center" vertical="center" wrapText="1"/>
    </xf>
    <xf numFmtId="0" fontId="3" fillId="2" borderId="0" xfId="0" applyFont="1" applyFill="1" applyAlignment="1">
      <alignment vertical="center" wrapText="1"/>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0" fontId="2" fillId="2" borderId="18" xfId="0" applyFont="1" applyFill="1" applyBorder="1" applyAlignment="1">
      <alignment horizontal="left" wrapText="1" indent="6"/>
    </xf>
    <xf numFmtId="0" fontId="3" fillId="2" borderId="1" xfId="0" applyFont="1" applyFill="1" applyBorder="1"/>
    <xf numFmtId="0" fontId="0" fillId="0" borderId="1" xfId="0" applyBorder="1"/>
    <xf numFmtId="0" fontId="3" fillId="2" borderId="1" xfId="0" applyFont="1" applyFill="1" applyBorder="1" applyAlignment="1">
      <alignment horizontal="center" vertical="center"/>
    </xf>
    <xf numFmtId="0" fontId="2" fillId="2" borderId="1" xfId="0" applyFont="1" applyFill="1" applyBorder="1" applyAlignment="1">
      <alignment horizontal="center" vertical="center"/>
    </xf>
    <xf numFmtId="164" fontId="4" fillId="2" borderId="1" xfId="0" applyNumberFormat="1" applyFont="1" applyFill="1" applyBorder="1" applyAlignment="1">
      <alignment horizontal="center" vertical="center" wrapText="1"/>
    </xf>
    <xf numFmtId="15" fontId="2" fillId="2" borderId="1" xfId="0" applyNumberFormat="1" applyFont="1" applyFill="1" applyBorder="1" applyAlignment="1">
      <alignment horizontal="center" vertical="center" wrapText="1"/>
    </xf>
    <xf numFmtId="165" fontId="3" fillId="2" borderId="14" xfId="0" applyNumberFormat="1" applyFont="1" applyFill="1" applyBorder="1" applyAlignment="1">
      <alignment horizontal="left" vertical="center"/>
    </xf>
    <xf numFmtId="165" fontId="16" fillId="0" borderId="13" xfId="0" applyNumberFormat="1" applyFont="1" applyBorder="1" applyAlignment="1">
      <alignment horizontal="left" vertical="center"/>
    </xf>
    <xf numFmtId="0" fontId="3" fillId="2" borderId="16" xfId="0" applyFont="1" applyFill="1" applyBorder="1" applyAlignment="1">
      <alignment vertical="center"/>
    </xf>
    <xf numFmtId="0" fontId="0" fillId="0" borderId="14" xfId="0" applyBorder="1" applyAlignment="1">
      <alignment vertical="center"/>
    </xf>
    <xf numFmtId="164" fontId="3" fillId="2" borderId="1" xfId="0" applyNumberFormat="1" applyFont="1" applyFill="1" applyBorder="1" applyAlignment="1">
      <alignment horizontal="center" vertical="center" wrapText="1"/>
    </xf>
    <xf numFmtId="164" fontId="2" fillId="2" borderId="1" xfId="0" applyNumberFormat="1" applyFont="1" applyFill="1" applyBorder="1" applyAlignment="1">
      <alignment horizontal="center" vertical="center" wrapText="1"/>
    </xf>
    <xf numFmtId="15" fontId="2" fillId="2" borderId="3" xfId="0" applyNumberFormat="1" applyFont="1" applyFill="1" applyBorder="1" applyAlignment="1">
      <alignment horizontal="center" vertical="center" wrapText="1"/>
    </xf>
    <xf numFmtId="14" fontId="2" fillId="2" borderId="1" xfId="0"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1" fontId="2" fillId="2" borderId="1" xfId="0" applyNumberFormat="1" applyFont="1" applyFill="1" applyBorder="1" applyAlignment="1">
      <alignment horizontal="center" vertical="center" wrapText="1"/>
    </xf>
    <xf numFmtId="164" fontId="3" fillId="2" borderId="19" xfId="0" applyNumberFormat="1" applyFont="1" applyFill="1" applyBorder="1" applyAlignment="1">
      <alignment horizontal="center"/>
    </xf>
    <xf numFmtId="0" fontId="0" fillId="2" borderId="15" xfId="0" applyFill="1" applyBorder="1" applyAlignment="1">
      <alignment horizontal="center"/>
    </xf>
    <xf numFmtId="0" fontId="0" fillId="2" borderId="8" xfId="0" applyFill="1" applyBorder="1" applyAlignment="1">
      <alignment horizontal="center"/>
    </xf>
    <xf numFmtId="0" fontId="0" fillId="0" borderId="15" xfId="0" applyBorder="1" applyAlignment="1">
      <alignment horizontal="center" vertical="center" wrapText="1"/>
    </xf>
    <xf numFmtId="0" fontId="0" fillId="0" borderId="8" xfId="0" applyBorder="1" applyAlignment="1">
      <alignment horizontal="center" vertical="center" wrapText="1"/>
    </xf>
    <xf numFmtId="1" fontId="2" fillId="2" borderId="19" xfId="0" applyNumberFormat="1" applyFont="1" applyFill="1" applyBorder="1" applyAlignment="1">
      <alignment horizontal="center" vertical="center" wrapText="1"/>
    </xf>
    <xf numFmtId="0" fontId="0" fillId="0" borderId="15" xfId="0" applyBorder="1" applyAlignment="1">
      <alignment horizontal="center" wrapText="1"/>
    </xf>
    <xf numFmtId="0" fontId="0" fillId="0" borderId="15" xfId="0" applyBorder="1" applyAlignment="1">
      <alignment horizontal="center"/>
    </xf>
    <xf numFmtId="15" fontId="2" fillId="3" borderId="0" xfId="0" applyNumberFormat="1" applyFont="1" applyFill="1" applyAlignment="1">
      <alignment horizontal="left" wrapText="1" indent="6"/>
    </xf>
    <xf numFmtId="0" fontId="2" fillId="3" borderId="0" xfId="0" applyFont="1" applyFill="1" applyAlignment="1">
      <alignment horizontal="left" wrapText="1" indent="6"/>
    </xf>
    <xf numFmtId="0" fontId="2" fillId="3" borderId="18" xfId="0" applyFont="1" applyFill="1" applyBorder="1" applyAlignment="1">
      <alignment horizontal="left" wrapText="1" indent="6"/>
    </xf>
    <xf numFmtId="9" fontId="14" fillId="3" borderId="1" xfId="0" applyNumberFormat="1" applyFont="1" applyFill="1" applyBorder="1" applyAlignment="1">
      <alignment horizontal="left" vertical="center" wrapText="1" indent="1"/>
    </xf>
    <xf numFmtId="0" fontId="5" fillId="0" borderId="1" xfId="0" applyFont="1" applyBorder="1" applyAlignment="1">
      <alignment horizontal="left" vertical="center" wrapText="1" indent="1"/>
    </xf>
    <xf numFmtId="0" fontId="15" fillId="0" borderId="1" xfId="0" applyFont="1" applyBorder="1" applyAlignment="1">
      <alignment horizontal="left" vertical="center" wrapText="1" indent="1"/>
    </xf>
    <xf numFmtId="164" fontId="3" fillId="3" borderId="23" xfId="0" applyNumberFormat="1" applyFont="1" applyFill="1" applyBorder="1" applyAlignment="1">
      <alignment horizontal="left" vertical="center" wrapText="1" indent="1"/>
    </xf>
    <xf numFmtId="0" fontId="0" fillId="0" borderId="24" xfId="0" applyBorder="1" applyAlignment="1">
      <alignment horizontal="left" vertical="center" wrapText="1" indent="1"/>
    </xf>
    <xf numFmtId="0" fontId="0" fillId="0" borderId="25" xfId="0" applyBorder="1" applyAlignment="1">
      <alignment horizontal="left" vertical="center" wrapText="1" indent="1"/>
    </xf>
    <xf numFmtId="0" fontId="2" fillId="3" borderId="26" xfId="0" applyFont="1" applyFill="1" applyBorder="1"/>
    <xf numFmtId="0" fontId="11" fillId="3" borderId="27" xfId="0" applyFont="1" applyFill="1" applyBorder="1"/>
    <xf numFmtId="0" fontId="11" fillId="3" borderId="18" xfId="0" applyFont="1" applyFill="1" applyBorder="1" applyAlignment="1">
      <alignment horizontal="left" wrapText="1" indent="6"/>
    </xf>
    <xf numFmtId="0" fontId="12" fillId="3" borderId="20" xfId="0" applyFont="1" applyFill="1" applyBorder="1" applyAlignment="1">
      <alignment horizontal="left" vertical="center" wrapText="1" indent="1"/>
    </xf>
    <xf numFmtId="0" fontId="13" fillId="3" borderId="21" xfId="0" applyFont="1" applyFill="1" applyBorder="1" applyAlignment="1">
      <alignment horizontal="left" vertical="center" wrapText="1" indent="1"/>
    </xf>
    <xf numFmtId="0" fontId="13" fillId="3" borderId="22" xfId="0" applyFont="1" applyFill="1" applyBorder="1" applyAlignment="1">
      <alignment horizontal="left" vertical="center" wrapText="1" indent="1"/>
    </xf>
    <xf numFmtId="0" fontId="2" fillId="3" borderId="1" xfId="0" applyFont="1" applyFill="1" applyBorder="1" applyAlignment="1">
      <alignment vertical="center" wrapText="1"/>
    </xf>
    <xf numFmtId="0" fontId="11" fillId="3" borderId="23" xfId="0" applyFont="1" applyFill="1" applyBorder="1" applyAlignment="1">
      <alignment wrapText="1"/>
    </xf>
    <xf numFmtId="0" fontId="3" fillId="3" borderId="2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11" fillId="3" borderId="24" xfId="0" applyFont="1" applyFill="1" applyBorder="1" applyAlignment="1">
      <alignment horizontal="center" vertical="center" wrapText="1"/>
    </xf>
    <xf numFmtId="0" fontId="11" fillId="3" borderId="25" xfId="0" applyFont="1" applyFill="1" applyBorder="1" applyAlignment="1">
      <alignment horizontal="center" vertical="center" wrapText="1"/>
    </xf>
    <xf numFmtId="0" fontId="2" fillId="3" borderId="1" xfId="0" applyFont="1" applyFill="1" applyBorder="1" applyAlignment="1">
      <alignment vertical="center"/>
    </xf>
    <xf numFmtId="0" fontId="2" fillId="3" borderId="23" xfId="0" applyFont="1" applyFill="1" applyBorder="1" applyAlignment="1">
      <alignment vertical="center"/>
    </xf>
    <xf numFmtId="4" fontId="2" fillId="2" borderId="1" xfId="0" applyNumberFormat="1" applyFont="1" applyFill="1" applyBorder="1" applyAlignment="1">
      <alignment horizontal="left" vertical="center" wrapText="1" indent="2"/>
    </xf>
    <xf numFmtId="0" fontId="0" fillId="0" borderId="1" xfId="0" applyBorder="1" applyAlignment="1">
      <alignment horizontal="left" vertical="center" wrapText="1" indent="2"/>
    </xf>
    <xf numFmtId="4" fontId="2" fillId="2" borderId="1" xfId="0" applyNumberFormat="1" applyFont="1" applyFill="1" applyBorder="1" applyAlignment="1">
      <alignment horizontal="center" vertical="center" wrapText="1"/>
    </xf>
    <xf numFmtId="0" fontId="0" fillId="2" borderId="1" xfId="0" applyFill="1" applyBorder="1" applyAlignment="1">
      <alignment horizontal="center" vertical="center" wrapText="1"/>
    </xf>
    <xf numFmtId="1" fontId="2" fillId="2" borderId="1" xfId="0" applyNumberFormat="1" applyFont="1" applyFill="1" applyBorder="1" applyAlignment="1">
      <alignment horizontal="center" wrapText="1"/>
    </xf>
    <xf numFmtId="0" fontId="0" fillId="0" borderId="1" xfId="0" applyBorder="1" applyAlignment="1">
      <alignment horizontal="center" wrapText="1"/>
    </xf>
    <xf numFmtId="0" fontId="0" fillId="0" borderId="1" xfId="0"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Financialaccounts.xlsx" TargetMode="External"/><Relationship Id="rId1" Type="http://schemas.openxmlformats.org/officeDocument/2006/relationships/externalLinkPath" Target="Financialaccount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Accounts"/>
      <sheetName val="TrialBalance"/>
      <sheetName val="MnthP&amp;L"/>
      <sheetName val="PubP&amp;L"/>
      <sheetName val="PubBalSht"/>
      <sheetName val="PubNotes"/>
      <sheetName val="Report"/>
      <sheetName val="CorporationTax"/>
      <sheetName val="CT600"/>
      <sheetName val="WagesInterface"/>
      <sheetName val="Stock"/>
      <sheetName val="Admin"/>
    </sheetNames>
    <sheetDataSet>
      <sheetData sheetId="0"/>
      <sheetData sheetId="1"/>
      <sheetData sheetId="2"/>
      <sheetData sheetId="3"/>
      <sheetData sheetId="4"/>
      <sheetData sheetId="5"/>
      <sheetData sheetId="6"/>
      <sheetData sheetId="7"/>
      <sheetData sheetId="8"/>
      <sheetData sheetId="9"/>
      <sheetData sheetId="10"/>
      <sheetData sheetId="11">
        <row r="5">
          <cell r="G5">
            <v>100</v>
          </cell>
        </row>
        <row r="6">
          <cell r="L6">
            <v>44228</v>
          </cell>
        </row>
        <row r="7">
          <cell r="G7">
            <v>100</v>
          </cell>
          <cell r="N7">
            <v>44592</v>
          </cell>
        </row>
        <row r="11">
          <cell r="E11">
            <v>12000</v>
          </cell>
          <cell r="G11">
            <v>3000</v>
          </cell>
          <cell r="N11">
            <v>44592</v>
          </cell>
        </row>
      </sheetData>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0</v>
      </c>
      <c r="C1" s="135" t="s">
        <v>7</v>
      </c>
      <c r="D1" s="136"/>
      <c r="E1" s="61">
        <f>E57+E110</f>
        <v>0</v>
      </c>
      <c r="F1" s="19">
        <f>F57+F110</f>
        <v>0</v>
      </c>
      <c r="G1" s="19">
        <f>G57+G110</f>
        <v>0</v>
      </c>
      <c r="H1" s="122" t="s">
        <v>10</v>
      </c>
      <c r="I1" s="19">
        <f>I57+I110</f>
        <v>0</v>
      </c>
      <c r="J1" s="19">
        <f>J57+J110</f>
        <v>0</v>
      </c>
      <c r="K1" s="19">
        <f>K57+K110</f>
        <v>0</v>
      </c>
      <c r="L1" s="149"/>
      <c r="M1" s="122" t="s">
        <v>5</v>
      </c>
      <c r="N1" s="149"/>
      <c r="O1" s="19">
        <f>O57+O110</f>
        <v>0</v>
      </c>
      <c r="P1" s="154" t="s">
        <v>63</v>
      </c>
      <c r="Q1" s="19">
        <f>Q57+Q110</f>
        <v>0</v>
      </c>
      <c r="R1" s="19">
        <f>R57+R110</f>
        <v>0</v>
      </c>
      <c r="S1" s="19">
        <f>S57+S110</f>
        <v>0</v>
      </c>
      <c r="T1" s="149"/>
      <c r="U1" s="145" t="s">
        <v>31</v>
      </c>
      <c r="V1" s="19">
        <f>V57+V110</f>
        <v>0</v>
      </c>
      <c r="W1" s="19">
        <f>W57+W110</f>
        <v>0</v>
      </c>
      <c r="X1" s="19">
        <f>X57+X110</f>
        <v>0</v>
      </c>
      <c r="Y1" s="19">
        <f>Y57+Y110</f>
        <v>0</v>
      </c>
      <c r="Z1" s="19">
        <f>Z57+Z110</f>
        <v>0</v>
      </c>
      <c r="AA1" s="20"/>
    </row>
    <row r="2" spans="1:27" ht="12" customHeight="1" x14ac:dyDescent="0.15">
      <c r="A2" s="134"/>
      <c r="B2" s="138"/>
      <c r="C2" s="146" t="s">
        <v>1</v>
      </c>
      <c r="D2" s="148" t="s">
        <v>2</v>
      </c>
      <c r="E2" s="144" t="s">
        <v>3</v>
      </c>
      <c r="F2" s="125" t="s">
        <v>56</v>
      </c>
      <c r="G2" s="127" t="s">
        <v>62</v>
      </c>
      <c r="H2" s="124"/>
      <c r="I2" s="137" t="s">
        <v>16</v>
      </c>
      <c r="J2" s="125" t="s">
        <v>56</v>
      </c>
      <c r="K2" s="127" t="s">
        <v>62</v>
      </c>
      <c r="L2" s="150"/>
      <c r="M2" s="123"/>
      <c r="N2" s="150"/>
      <c r="O2" s="127" t="s">
        <v>61</v>
      </c>
      <c r="P2" s="155"/>
      <c r="Q2" s="127" t="s">
        <v>64</v>
      </c>
      <c r="R2" s="127" t="s">
        <v>4</v>
      </c>
      <c r="S2" s="127" t="s">
        <v>61</v>
      </c>
      <c r="T2" s="156"/>
      <c r="U2" s="138"/>
      <c r="V2" s="143" t="s">
        <v>29</v>
      </c>
      <c r="W2" s="143" t="s">
        <v>30</v>
      </c>
      <c r="X2" s="143" t="s">
        <v>32</v>
      </c>
      <c r="Y2" s="144" t="s">
        <v>49</v>
      </c>
      <c r="Z2" s="144" t="s">
        <v>50</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[1]Admin!$N$7</f>
        <v>46477</v>
      </c>
      <c r="K4" s="111">
        <f>J4</f>
        <v>46477</v>
      </c>
      <c r="L4" s="151"/>
      <c r="M4" s="123"/>
      <c r="N4" s="151"/>
      <c r="O4" s="110">
        <f>D6</f>
        <v>45748</v>
      </c>
      <c r="P4" s="119">
        <v>100</v>
      </c>
      <c r="Q4" s="153"/>
      <c r="R4" s="118">
        <v>20</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57</v>
      </c>
      <c r="C6" s="121"/>
      <c r="D6" s="139">
        <f>[1]Admin!$L$6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9</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IF(E8&gt;0,IF(V8&gt;0,0,E8-J8),"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IF(E9&gt;0,IF(V9&gt;0,0,E9-J9),"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IF(E10&gt;0,IF(V10&gt;0,0,E10-J10),"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IF((E11-F11)=([1]OpenAccounts!$G$13-[1]OpenAccounts!$M$13),"Existing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8</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IF(E14&gt;0,IF(V14&gt;0,0,E14-J14),"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IF((E22-F22)=([1]OpenAccounts!$H$13-[1]OpenAccounts!$N$13),"Existing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55</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IF(E25&gt;0,IF(V25&gt;0,0,E25-J25),"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IF(E26&gt;0,IF(V26&gt;0,0,E26-J26),"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IF(E27&gt;0,IF(V27&gt;0,0,E27-J27),"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IF(E28&gt;0,IF(V28&gt;0,0,E28-J28),"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IF(E29&gt;0,IF(V29&gt;0,0,E29-J29),"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IF((E30-F30)=([1]OpenAccounts!$I$13-[1]OpenAccounts!$O$13),"Existing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IF(E33&gt;0,IF(V33&gt;0,0,E33-J33),"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IF((E41-F41)=([1]OpenAccounts!$J$13-[1]OpenAccounts!$P$13),"Existing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53</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IF(E44&gt;0,IF(V44&gt;0,0,E44-J44)," ")</f>
        <v xml:space="preserve"> </v>
      </c>
      <c r="L44" s="7"/>
      <c r="M44" s="28">
        <v>0</v>
      </c>
      <c r="N44" s="7"/>
      <c r="O44" s="44"/>
      <c r="P44" s="87"/>
      <c r="Q44" s="11"/>
      <c r="R44" s="11" t="str">
        <f>IF(O44&gt;0,MIN(O44*R$4/100*(1-M44),3000*(1-M44)),"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IF(O45&gt;0,MIN(O45*R$4/100*(1-M45),3000*(1-M45)),"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IF(E46&gt;0,IF(V46&gt;0,0,E46-J46),"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IF(E47&gt;0,IF(V47&gt;0,0,E47-J47),"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IF(E48&gt;0,IF(V48&gt;0,0,E48-J48),"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54</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IF(O50&gt;0,IF(O50&gt;[1]Admin!$E$11,[1]Admin!$G$11*(1-M50),O50*R$4/100)*(1-M50),"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IF(O51&gt;0,IF(O51&gt;[1]Admin!$E$11,[1]Admin!$G$11*(1-M51),O51*R$4/100)*(1-M51),"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IF(O52&gt;0,IF(O52&gt;[1]Admin!$E$11,[1]Admin!$G$11*(1-M52),O52*R$4/100)*(1-M52),"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IF(O53&gt;0,IF(O53&gt;[1]Admin!$E$11,[1]Admin!$G$11*(1-M53),O53*R$4/100)*(1-M53),"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IF(O54&gt;0,IF(O54&gt;[1]Admin!$E$11,[1]Admin!$G$11*(1-M54),O54*R$4/100)*(1-M54),"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IF((E55-F55)=([1]OpenAccounts!$K$13-[1]OpenAccounts!$Q$13),"Existing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58</v>
      </c>
      <c r="C59" s="142"/>
      <c r="D59" s="116">
        <f>D57</f>
        <v>45748</v>
      </c>
      <c r="E59" s="113" t="s">
        <v>59</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9</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IF(E61&gt;0,IF(V61&gt;0,0,E61-J61),"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IF(E62&gt;0,IF(V62&gt;0,0,E62-J62),"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IF(E63&gt;0,IF(V63&gt;0,0,E63-J63),"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11</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8</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IF(E67&gt;0,IF(V67&gt;0,0,E67-J67)," ")</f>
        <v xml:space="preserve"> </v>
      </c>
      <c r="L67" s="7"/>
      <c r="M67" s="13"/>
      <c r="N67" s="7"/>
      <c r="O67" s="11"/>
      <c r="P67" s="87">
        <f>IF(B67&gt;0,IF(B67&gt;[1]Admin!$N$11,[1]Admin!$G$7,[1]Admin!$G$5),[1]Admin!$G$5)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IF(B68&gt;0,IF(B68&gt;[1]Admin!$N$11,[1]Admin!$G$7,[1]Admin!$G$5),[1]Admin!$G$5)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IF(B69&gt;0,IF(B69&gt;[1]Admin!$N$11,[1]Admin!$G$7,[1]Admin!$G$5),[1]Admin!$G$5)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IF(B70&gt;0,IF(B70&gt;[1]Admin!$N$11,[1]Admin!$G$7,[1]Admin!$G$5),[1]Admin!$G$5)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IF(B71&gt;0,IF(B71&gt;[1]Admin!$N$11,[1]Admin!$G$7,[1]Admin!$G$5),[1]Admin!$G$5)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IF(B72&gt;0,IF(B72&gt;[1]Admin!$N$11,[1]Admin!$G$7,[1]Admin!$G$5),[1]Admin!$G$5)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IF(B73&gt;0,IF(B73&gt;[1]Admin!$N$11,[1]Admin!$G$7,[1]Admin!$G$5),[1]Admin!$G$5)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IF(B74&gt;0,IF(B74&gt;[1]Admin!$N$11,[1]Admin!$G$7,[1]Admin!$G$5),[1]Admin!$G$5)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12</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55</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IF(E78&gt;0,IF(V78&gt;0,0,E78-J78)," ")</f>
        <v xml:space="preserve"> </v>
      </c>
      <c r="L78" s="7"/>
      <c r="M78" s="13"/>
      <c r="N78" s="7"/>
      <c r="O78" s="11"/>
      <c r="P78" s="87">
        <f>IF(B78&gt;0,IF(B78&gt;[1]Admin!$N$11,[1]Admin!$G$7,[1]Admin!$G$5),[1]Admin!$G$5)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IF(E79&gt;0,IF(V79&gt;0,0,E79-J79)," ")</f>
        <v xml:space="preserve"> </v>
      </c>
      <c r="L79" s="7"/>
      <c r="M79" s="13"/>
      <c r="N79" s="7"/>
      <c r="O79" s="11"/>
      <c r="P79" s="87">
        <f>IF(B79&gt;0,IF(B79&gt;[1]Admin!$N$11,[1]Admin!$G$7,[1]Admin!$G$5),[1]Admin!$G$5)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IF(E80&gt;0,IF(V80&gt;0,0,E80-J80)," ")</f>
        <v xml:space="preserve"> </v>
      </c>
      <c r="L80" s="7"/>
      <c r="M80" s="13"/>
      <c r="N80" s="7"/>
      <c r="O80" s="11"/>
      <c r="P80" s="87">
        <f>IF(B80&gt;0,IF(B80&gt;[1]Admin!$N$11,[1]Admin!$G$7,[1]Admin!$G$5),[1]Admin!$G$5)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IF(E81&gt;0,IF(V81&gt;0,0,E81-J81)," ")</f>
        <v xml:space="preserve"> </v>
      </c>
      <c r="L81" s="7"/>
      <c r="M81" s="13"/>
      <c r="N81" s="7"/>
      <c r="O81" s="11"/>
      <c r="P81" s="87">
        <f>IF(B81&gt;0,IF(B81&gt;[1]Admin!$N$11,[1]Admin!$G$7,[1]Admin!$G$5),[1]Admin!$G$5)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IF(E82&gt;0,IF(V82&gt;0,0,E82-J82)," ")</f>
        <v xml:space="preserve"> </v>
      </c>
      <c r="L82" s="7"/>
      <c r="M82" s="13"/>
      <c r="N82" s="7"/>
      <c r="O82" s="11"/>
      <c r="P82" s="87">
        <f>IF(B82&gt;0,IF(B82&gt;[1]Admin!$N$11,[1]Admin!$G$7,[1]Admin!$G$5),[1]Admin!$G$5)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13</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IF(E86&gt;0,IF(V86&gt;0,0,E86-J86)," ")</f>
        <v xml:space="preserve"> </v>
      </c>
      <c r="L86" s="7"/>
      <c r="M86" s="13"/>
      <c r="N86" s="7"/>
      <c r="O86" s="11"/>
      <c r="P86" s="87">
        <f>IF(B86&gt;0,IF(B86&gt;[1]Admin!$N$11,[1]Admin!$G$7,[1]Admin!$G$5),[1]Admin!$G$5)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IF(B87&gt;0,IF(B87&gt;[1]Admin!$N$11,[1]Admin!$G$7,[1]Admin!$G$5),[1]Admin!$G$5)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IF(B88&gt;0,IF(B88&gt;[1]Admin!$N$11,[1]Admin!$G$7,[1]Admin!$G$5),[1]Admin!$G$5)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IF(B89&gt;0,IF(B89&gt;[1]Admin!$N$11,[1]Admin!$G$7,[1]Admin!$G$5),[1]Admin!$G$5)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IF(B90&gt;0,IF(B90&gt;[1]Admin!$N$11,[1]Admin!$G$7,[1]Admin!$G$5),[1]Admin!$G$5)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IF(B91&gt;0,IF(B91&gt;[1]Admin!$N$11,[1]Admin!$G$7,[1]Admin!$G$5),[1]Admin!$G$5)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IF(B92&gt;0,IF(B92&gt;[1]Admin!$N$11,[1]Admin!$G$7,[1]Admin!$G$5),[1]Admin!$G$5)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IF(B93&gt;0,IF(B93&gt;[1]Admin!$N$11,[1]Admin!$G$7,[1]Admin!$G$5),[1]Admin!$G$5)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14</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53</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IF(E97&gt;0,IF(V97&gt;0,0,E97-J97)," ")</f>
        <v xml:space="preserve"> </v>
      </c>
      <c r="L97" s="7"/>
      <c r="M97" s="28">
        <v>0</v>
      </c>
      <c r="N97" s="7"/>
      <c r="O97" s="11"/>
      <c r="P97" s="87"/>
      <c r="Q97" s="11"/>
      <c r="R97" s="11" t="str">
        <f>IF(E97&gt;0,IF(E97&gt;[1]Admin!$E$11,[1]Admin!$G$11*(1-M97),E97*R$4/100)*(1-M97),"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IF(E98&gt;0,IF(E98&gt;[1]Admin!$E$11,[1]Admin!$G$11*(1-M98),E98*R$4/100)*(1-M98),"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IF(E99&gt;0,IF(V99&gt;0,0,E99-J99)," ")</f>
        <v xml:space="preserve"> </v>
      </c>
      <c r="L99" s="7"/>
      <c r="M99" s="28">
        <v>0</v>
      </c>
      <c r="N99" s="7"/>
      <c r="O99" s="11"/>
      <c r="P99" s="87"/>
      <c r="Q99" s="11"/>
      <c r="R99" s="11" t="str">
        <f>IF(E99&gt;0,IF(E99&gt;[1]Admin!$E$11,[1]Admin!$G$11*(1-M99),E99*R$4/100)*(1-M99),"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IF(E100&gt;0,IF(V100&gt;0,0,E100-J100)," ")</f>
        <v xml:space="preserve"> </v>
      </c>
      <c r="L100" s="7"/>
      <c r="M100" s="28">
        <v>0</v>
      </c>
      <c r="N100" s="7"/>
      <c r="O100" s="11"/>
      <c r="P100" s="87"/>
      <c r="Q100" s="11"/>
      <c r="R100" s="11" t="str">
        <f>IF(E100&gt;0,IF(E100&gt;[1]Admin!$E$11,[1]Admin!$G$11*(1-M100),E100*R$4/100)*(1-M100),"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IF(E101&gt;0,IF(V101&gt;0,0,E101-J101)," ")</f>
        <v xml:space="preserve"> </v>
      </c>
      <c r="L101" s="7"/>
      <c r="M101" s="28">
        <v>0</v>
      </c>
      <c r="N101" s="7"/>
      <c r="O101" s="11"/>
      <c r="P101" s="87"/>
      <c r="Q101" s="11"/>
      <c r="R101" s="11" t="str">
        <f>IF(E101&gt;0,IF(E101&gt;[1]Admin!$E$11,[1]Admin!$G$11*(1-M101),E101*R$4/100)*(1-M101),"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54</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IF(B103&gt;0,IF(B103&gt;[1]Admin!$N$11,[1]Admin!$G$7,[1]Admin!$G$5),[1]Admin!$G$5)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IF(B104&gt;0,IF(B104&gt;[1]Admin!$N$11,[1]Admin!$G$7,[1]Admin!$G$5),[1]Admin!$G$5)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IF(B105&gt;0,IF(B105&gt;[1]Admin!$N$11,[1]Admin!$G$7,[1]Admin!$G$5),[1]Admin!$G$5)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IF(B106&gt;0,IF(B106&gt;[1]Admin!$N$11,[1]Admin!$G$7,[1]Admin!$G$5),[1]Admin!$G$5)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IF(B107&gt;0,IF(B107&gt;[1]Admin!$N$11,[1]Admin!$G$7,[1]Admin!$G$5),[1]Admin!$G$5)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15</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60</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17</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51</v>
      </c>
      <c r="C4" s="47"/>
      <c r="D4" s="48"/>
      <c r="E4" s="106" t="s">
        <v>3</v>
      </c>
      <c r="F4" s="49"/>
      <c r="G4" s="163" t="s">
        <v>52</v>
      </c>
      <c r="H4" s="164"/>
      <c r="I4" s="165"/>
      <c r="J4" s="49"/>
      <c r="K4" s="106" t="s">
        <v>26</v>
      </c>
      <c r="L4" s="49"/>
      <c r="M4" s="160" t="s">
        <v>65</v>
      </c>
      <c r="N4" s="161"/>
      <c r="O4" s="71"/>
      <c r="P4" s="2"/>
      <c r="Q4" s="2"/>
      <c r="R4" s="2"/>
      <c r="S4" s="2"/>
      <c r="T4" s="4"/>
      <c r="U4" s="3"/>
      <c r="V4" s="3"/>
      <c r="W4" s="2"/>
      <c r="X4" s="2"/>
    </row>
    <row r="5" spans="1:24" s="5" customFormat="1" ht="15" customHeight="1" x14ac:dyDescent="0.15">
      <c r="A5" s="63"/>
      <c r="B5" s="46" t="s">
        <v>18</v>
      </c>
      <c r="C5" s="47"/>
      <c r="D5" s="48"/>
      <c r="E5" s="49"/>
      <c r="F5" s="49"/>
      <c r="G5" s="46" t="s">
        <v>20</v>
      </c>
      <c r="H5" s="47"/>
      <c r="I5" s="48"/>
      <c r="J5" s="49"/>
      <c r="K5" s="49"/>
      <c r="L5" s="49"/>
      <c r="M5" s="161"/>
      <c r="N5" s="161"/>
      <c r="O5" s="71"/>
      <c r="P5" s="2"/>
      <c r="Q5" s="2"/>
      <c r="R5" s="2"/>
      <c r="S5" s="2"/>
      <c r="T5" s="4"/>
      <c r="U5" s="3"/>
      <c r="V5" s="3"/>
      <c r="W5" s="2"/>
      <c r="X5" s="2"/>
    </row>
    <row r="6" spans="1:24" s="5" customFormat="1" ht="15" customHeight="1" x14ac:dyDescent="0.15">
      <c r="A6" s="63"/>
      <c r="B6" s="157" t="s">
        <v>11</v>
      </c>
      <c r="C6" s="158"/>
      <c r="D6" s="159"/>
      <c r="E6" s="52">
        <f>Schedule!E64</f>
        <v>0</v>
      </c>
      <c r="F6" s="49"/>
      <c r="G6" s="157" t="s">
        <v>21</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12</v>
      </c>
      <c r="C7" s="158"/>
      <c r="D7" s="159"/>
      <c r="E7" s="52">
        <f>Schedule!E75</f>
        <v>0</v>
      </c>
      <c r="F7" s="49"/>
      <c r="G7" s="157" t="s">
        <v>22</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13</v>
      </c>
      <c r="C8" s="158"/>
      <c r="D8" s="159"/>
      <c r="E8" s="52">
        <f>Schedule!E83</f>
        <v>0</v>
      </c>
      <c r="F8" s="49"/>
      <c r="G8" s="157" t="s">
        <v>23</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14</v>
      </c>
      <c r="C9" s="158"/>
      <c r="D9" s="159"/>
      <c r="E9" s="52">
        <f>Schedule!E94</f>
        <v>0</v>
      </c>
      <c r="F9" s="49"/>
      <c r="G9" s="157" t="s">
        <v>24</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15</v>
      </c>
      <c r="C10" s="158"/>
      <c r="D10" s="159"/>
      <c r="E10" s="52">
        <f>Schedule!E108</f>
        <v>0</v>
      </c>
      <c r="F10" s="49"/>
      <c r="G10" s="157" t="s">
        <v>25</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19</v>
      </c>
      <c r="C11" s="178"/>
      <c r="D11" s="179"/>
      <c r="E11" s="53">
        <f>SUM(E6:E10)</f>
        <v>0</v>
      </c>
      <c r="F11" s="49"/>
      <c r="G11" s="172" t="s">
        <v>19</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28</v>
      </c>
      <c r="C13" s="178"/>
      <c r="D13" s="179"/>
      <c r="E13" s="53" t="e">
        <f>#REF!</f>
        <v>#REF!</v>
      </c>
      <c r="F13" s="49"/>
      <c r="G13" s="172" t="s">
        <v>27</v>
      </c>
      <c r="H13" s="172"/>
      <c r="I13" s="172"/>
      <c r="J13" s="173"/>
      <c r="K13" s="53" t="e">
        <f>#REF!</f>
        <v>#REF!</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e">
        <f>IF(E15&gt;0,"Purchases exceed Assets listed on Schedule",IF(E15&lt;0,"Assets listed on Schedule exceed Purchase values","Purchases reconcile with Fixed asset Schedule"))</f>
        <v>#REF!</v>
      </c>
      <c r="C15" s="170"/>
      <c r="D15" s="171"/>
      <c r="E15" s="104" t="e">
        <f>E13-E11</f>
        <v>#REF!</v>
      </c>
      <c r="F15" s="49"/>
      <c r="G15" s="169" t="e">
        <f>IF(K15&gt;0,"Sales exceed Assets listed on Schedule",IF(K15&lt;0,"Assets listed on Schedule exceed Sales values","Sales reconcile with Fixed asset Schedule"))</f>
        <v>#REF!</v>
      </c>
      <c r="H15" s="170"/>
      <c r="I15" s="170"/>
      <c r="J15" s="171"/>
      <c r="K15" s="104" t="e">
        <f>K13-K11</f>
        <v>#REF!</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47</v>
      </c>
      <c r="D2" s="185"/>
      <c r="E2" s="83">
        <f>SUM(E8:E26)</f>
        <v>0</v>
      </c>
      <c r="F2" s="81"/>
      <c r="G2" s="180" t="s">
        <v>48</v>
      </c>
      <c r="H2" s="181"/>
      <c r="I2" s="181"/>
      <c r="J2" s="181"/>
      <c r="K2" s="181"/>
      <c r="L2" s="87"/>
      <c r="M2" s="90"/>
    </row>
    <row r="3" spans="1:13" ht="18" customHeight="1" x14ac:dyDescent="0.15">
      <c r="A3" s="90"/>
      <c r="B3" s="94" t="s">
        <v>39</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38</v>
      </c>
      <c r="C5" s="148" t="s">
        <v>33</v>
      </c>
      <c r="D5" s="148" t="s">
        <v>66</v>
      </c>
      <c r="E5" s="182" t="s">
        <v>44</v>
      </c>
      <c r="F5" s="182" t="s">
        <v>43</v>
      </c>
      <c r="G5" s="182" t="s">
        <v>37</v>
      </c>
      <c r="H5" s="148" t="s">
        <v>35</v>
      </c>
      <c r="I5" s="182" t="s">
        <v>46</v>
      </c>
      <c r="J5" s="183"/>
      <c r="K5" s="183"/>
      <c r="L5" s="148" t="s">
        <v>45</v>
      </c>
      <c r="M5" s="93"/>
    </row>
    <row r="6" spans="1:13" s="85" customFormat="1" ht="30.75" customHeight="1" x14ac:dyDescent="0.15">
      <c r="A6" s="93"/>
      <c r="B6" s="186"/>
      <c r="C6" s="186"/>
      <c r="D6" s="186"/>
      <c r="E6" s="186"/>
      <c r="F6" s="186"/>
      <c r="G6" s="186"/>
      <c r="H6" s="186"/>
      <c r="I6" s="84" t="s">
        <v>34</v>
      </c>
      <c r="J6" s="84" t="s">
        <v>41</v>
      </c>
      <c r="K6" s="84" t="s">
        <v>36</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IF(E10&gt;0,(E10+F10+G10)/H10,"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IF(E12&gt;0,(E12+F12+G12)/H12,"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IF(E14&gt;0,(E14+F14+G14)/H14,"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IF(E16&gt;0,(E16+F16+G16)/H16,"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IF(E18&gt;0,(E18+F18+G18)/H18,"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IF(E20&gt;0,(E20+F20+G20)/H20,"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IF(E22&gt;0,(E22+F22+G22)/H22,"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IF(E24&gt;0,(E24+F24+G24)/H24,"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IF(E26&gt;0,(E26+F26+G26)/H26,"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40</v>
      </c>
      <c r="C29" s="31"/>
      <c r="D29" s="95"/>
      <c r="E29" s="80"/>
      <c r="F29" s="80"/>
      <c r="G29" s="80"/>
      <c r="H29" s="31" t="s">
        <v>42</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38</v>
      </c>
      <c r="C31" s="148" t="s">
        <v>33</v>
      </c>
      <c r="D31" s="148" t="s">
        <v>66</v>
      </c>
      <c r="E31" s="182" t="s">
        <v>44</v>
      </c>
      <c r="F31" s="182" t="s">
        <v>43</v>
      </c>
      <c r="G31" s="182" t="s">
        <v>37</v>
      </c>
      <c r="H31" s="148" t="s">
        <v>35</v>
      </c>
      <c r="I31" s="182" t="s">
        <v>46</v>
      </c>
      <c r="J31" s="183"/>
      <c r="K31" s="183"/>
      <c r="L31" s="148" t="s">
        <v>45</v>
      </c>
      <c r="M31" s="93"/>
    </row>
    <row r="32" spans="1:13" s="85" customFormat="1" ht="30.75" customHeight="1" x14ac:dyDescent="0.15">
      <c r="A32" s="93"/>
      <c r="B32" s="186"/>
      <c r="C32" s="186"/>
      <c r="D32" s="186"/>
      <c r="E32" s="186"/>
      <c r="F32" s="186"/>
      <c r="G32" s="186"/>
      <c r="H32" s="186"/>
      <c r="I32" s="84" t="s">
        <v>34</v>
      </c>
      <c r="J32" s="84" t="s">
        <v>41</v>
      </c>
      <c r="K32" s="84" t="s">
        <v>36</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IF(E36&gt;0,(E36+F36+G36)/H36,"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IF(E38&gt;0,(E38+F38+G38)/H38,"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IF(E40&gt;0,(E40+F40+G40)/H40,"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IF(E42&gt;0,(E42+F42+G42)/H42,"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IF(E44&gt;0,(E44+F44+G44)/H44,"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IF(E46&gt;0,(E46+F46+G46)/H46,"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IF(E48&gt;0,(E48+F48+G48)/H48,"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IF(E50&gt;0,(E50+F50+G50)/H50,"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IF(E52&gt;0,(E52+F52+G52)/H52,"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Schedule</vt:lpstr>
      <vt:lpstr>FAreconciliation</vt:lpstr>
      <vt:lpstr>HPfinance</vt:lpstr>
      <vt:lpstr>Schedule!Print_Titles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2007-03-03T22:52:10Z</cp:lastPrinted>
  <dcterms:created xsi:type="dcterms:W3CDTF">2002-12-30T15:31:19Z</dcterms:created>
  <dcterms:modified xsi:type="dcterms:W3CDTF">2025-04-03T23:05:48Z</dcterms:modified>
</cp:coreProperties>
</file>