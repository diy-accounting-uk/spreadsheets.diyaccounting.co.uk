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<sst xmlns="http://schemas.openxmlformats.org/spreadsheetml/2006/main" count="182" uniqueCount="45">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</sst>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44377</v>
          </cell>
        </row>
        <row r="8">
          <cell r="B8">
            <v>44408</v>
          </cell>
        </row>
        <row r="10">
          <cell r="B10">
            <v>44439</v>
          </cell>
        </row>
        <row r="12">
          <cell r="B12">
            <v>44469</v>
          </cell>
        </row>
        <row r="14">
          <cell r="B14">
            <v>44500</v>
          </cell>
        </row>
        <row r="16">
          <cell r="B16">
            <v>44530</v>
          </cell>
        </row>
        <row r="18">
          <cell r="B18">
            <v>44561</v>
          </cell>
        </row>
        <row r="20">
          <cell r="B20">
            <v>44592</v>
          </cell>
        </row>
        <row r="22">
          <cell r="B22">
            <v>44620</v>
          </cell>
        </row>
        <row r="24">
          <cell r="B24">
            <v>44651</v>
          </cell>
        </row>
        <row r="26">
          <cell r="B26">
            <v>44681</v>
          </cell>
        </row>
        <row r="28">
          <cell r="B28">
            <v>44712</v>
          </cell>
        </row>
        <row r="30">
          <cell r="B30">
            <v>44742</v>
          </cell>
        </row>
        <row r="32">
          <cell r="B32">
            <v>44773</v>
          </cell>
        </row>
        <row r="34">
          <cell r="B34">
            <v>44804</v>
          </cell>
        </row>
        <row r="36">
          <cell r="B36">
            <v>44834</v>
          </cell>
        </row>
        <row r="38">
          <cell r="B38">
            <v>44865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44439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44500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44500</v>
      </c>
      <c r="H5" s="10"/>
      <c r="I5" s="13"/>
      <c r="K5" s="69">
        <f>Vatinterface!B9</f>
        <v>44530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44592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44620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44681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44742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44834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44439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44500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44592</v>
      </c>
      <c r="H5" s="10"/>
      <c r="I5" s="13"/>
      <c r="K5" s="69">
        <f>Vatinterface!B9</f>
        <v>44530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44592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44620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44681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44742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44834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44439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44500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44681</v>
      </c>
      <c r="H5" s="10"/>
      <c r="I5" s="13"/>
      <c r="K5" s="69">
        <f>Vatinterface!B9</f>
        <v>44530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44592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44620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44681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44742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44834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44439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44500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44773</v>
      </c>
      <c r="H5" s="10"/>
      <c r="I5" s="13"/>
      <c r="K5" s="69">
        <f>Vatinterface!B9</f>
        <v>44530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44592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44620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44681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44742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44834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44439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44500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44804</v>
      </c>
      <c r="H5" s="10"/>
      <c r="I5" s="13"/>
      <c r="K5" s="69">
        <f>Vatinterface!B9</f>
        <v>44530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44592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44620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44681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44742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44834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44377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44408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44439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44469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[1]Admin!$B$14</f>
        <v>44500</v>
      </c>
      <c r="C8" s="62">
        <f t="shared" si="0"/>
        <v>45869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[1]Admin!$B$16</f>
        <v>44530</v>
      </c>
      <c r="C9" s="62">
        <f t="shared" si="0"/>
        <v>45900</v>
      </c>
      <c r="D9" s="104">
        <f>[2]Jul!$H$1</f>
        <v>0</v>
      </c>
      <c r="E9" s="105">
        <f t="shared" si="3"/>
        <v>0</v>
      </c>
      <c r="F9" s="105">
        <f>[2]Jul!$G$1</f>
        <v>0</v>
      </c>
      <c r="G9" s="105">
        <f t="shared" si="3"/>
        <v>0</v>
      </c>
      <c r="H9" s="105">
        <f>[3]Jul!$H$1</f>
        <v>0</v>
      </c>
      <c r="I9" s="105">
        <f t="shared" si="1"/>
        <v>0</v>
      </c>
      <c r="J9" s="105">
        <f>[3]Jul!$G$1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[1]Admin!$B$18</f>
        <v>44561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IF([2]Jul!$G$4&gt;0,[2]Jul!$G$4,0)</f>
        <v>0</v>
      </c>
      <c r="N10" s="57"/>
    </row>
    <row r="11" spans="1:14" x14ac:dyDescent="0.15">
      <c r="A11" s="56"/>
      <c r="B11" s="62">
        <f>[1]Admin!$B$20</f>
        <v>44592</v>
      </c>
      <c r="C11" s="62">
        <f t="shared" si="0"/>
        <v>45961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[1]Admin!$B$22</f>
        <v>44620</v>
      </c>
      <c r="C12" s="62">
        <f t="shared" si="0"/>
        <v>45991</v>
      </c>
      <c r="D12" s="104">
        <f>[2]Jun!$H$1</f>
        <v>0</v>
      </c>
      <c r="E12" s="105">
        <f t="shared" si="3"/>
        <v>0</v>
      </c>
      <c r="F12" s="105">
        <f>[2]Jun!$G$1</f>
        <v>0</v>
      </c>
      <c r="G12" s="105">
        <f t="shared" si="3"/>
        <v>0</v>
      </c>
      <c r="H12" s="105">
        <f>[3]Jun!$H$1</f>
        <v>0</v>
      </c>
      <c r="I12" s="105">
        <f t="shared" si="1"/>
        <v>0</v>
      </c>
      <c r="J12" s="105">
        <f>[3]Jun!$G$1</f>
        <v>0</v>
      </c>
      <c r="K12" s="105">
        <f t="shared" si="2"/>
        <v>0</v>
      </c>
      <c r="L12" s="115"/>
      <c r="M12" s="116">
        <f>IF([2]Jul!$G$4&gt;0,[2]Jul!$G$4,0)</f>
        <v>0</v>
      </c>
      <c r="N12" s="57"/>
    </row>
    <row r="13" spans="1:14" x14ac:dyDescent="0.15">
      <c r="A13" s="56"/>
      <c r="B13" s="62">
        <f>[1]Admin!$B$24</f>
        <v>44651</v>
      </c>
      <c r="C13" s="62">
        <f t="shared" si="0"/>
        <v>46022</v>
      </c>
      <c r="D13" s="104">
        <f>[2]Jul!$H$1</f>
        <v>0</v>
      </c>
      <c r="E13" s="105">
        <f t="shared" si="3"/>
        <v>0</v>
      </c>
      <c r="F13" s="105">
        <f>[2]Jul!$G$1</f>
        <v>0</v>
      </c>
      <c r="G13" s="105">
        <f t="shared" si="3"/>
        <v>0</v>
      </c>
      <c r="H13" s="105">
        <f>[3]Jul!$H$1</f>
        <v>0</v>
      </c>
      <c r="I13" s="105">
        <f t="shared" si="1"/>
        <v>0</v>
      </c>
      <c r="J13" s="105">
        <f>[3]Jul!$G$1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[1]Admin!$B$26</f>
        <v>44681</v>
      </c>
      <c r="C14" s="62">
        <f t="shared" si="0"/>
        <v>46053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[1]Admin!$B$28</f>
        <v>44712</v>
      </c>
      <c r="C15" s="62">
        <f t="shared" si="0"/>
        <v>46081</v>
      </c>
      <c r="D15" s="104">
        <f>[2]May!$H$1</f>
        <v>0</v>
      </c>
      <c r="E15" s="105">
        <f t="shared" si="3"/>
        <v>0</v>
      </c>
      <c r="F15" s="105">
        <f>[2]May!$G$1</f>
        <v>0</v>
      </c>
      <c r="G15" s="105">
        <f t="shared" si="3"/>
        <v>0</v>
      </c>
      <c r="H15" s="105">
        <f>[3]May!$H$1</f>
        <v>0</v>
      </c>
      <c r="I15" s="105">
        <f t="shared" si="1"/>
        <v>0</v>
      </c>
      <c r="J15" s="105">
        <f>[3]May!$G$1</f>
        <v>0</v>
      </c>
      <c r="K15" s="105">
        <f t="shared" si="2"/>
        <v>0</v>
      </c>
      <c r="L15" s="115"/>
      <c r="M15" s="116">
        <f>IF([2]Jul!$G$4&gt;0,[2]Jul!$G$4,0)</f>
        <v>0</v>
      </c>
      <c r="N15" s="57"/>
    </row>
    <row r="16" spans="1:14" x14ac:dyDescent="0.15">
      <c r="A16" s="56"/>
      <c r="B16" s="62">
        <f>[1]Admin!$B$30</f>
        <v>44742</v>
      </c>
      <c r="C16" s="62">
        <f t="shared" si="0"/>
        <v>46112</v>
      </c>
      <c r="D16" s="104">
        <f>[2]Jun!$H$1</f>
        <v>0</v>
      </c>
      <c r="E16" s="105">
        <f t="shared" si="3"/>
        <v>0</v>
      </c>
      <c r="F16" s="105">
        <f>[2]Jun!$G$1</f>
        <v>0</v>
      </c>
      <c r="G16" s="105">
        <f t="shared" si="3"/>
        <v>0</v>
      </c>
      <c r="H16" s="105">
        <f>[3]Jun!$H$1</f>
        <v>0</v>
      </c>
      <c r="I16" s="105">
        <f t="shared" si="1"/>
        <v>0</v>
      </c>
      <c r="J16" s="105">
        <f>[3]Jun!$G$1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[1]Admin!$B$32</f>
        <v>44773</v>
      </c>
      <c r="C17" s="62">
        <f t="shared" si="0"/>
        <v>46142</v>
      </c>
      <c r="D17" s="104">
        <f>[2]Jul!$H$1</f>
        <v>0</v>
      </c>
      <c r="E17" s="105">
        <f t="shared" si="3"/>
        <v>0</v>
      </c>
      <c r="F17" s="105">
        <f>[2]Jul!$G$1</f>
        <v>0</v>
      </c>
      <c r="G17" s="105">
        <f t="shared" si="3"/>
        <v>0</v>
      </c>
      <c r="H17" s="105">
        <f>[3]Jul!$H$1</f>
        <v>0</v>
      </c>
      <c r="I17" s="105">
        <f t="shared" si="1"/>
        <v>0</v>
      </c>
      <c r="J17" s="105">
        <f>[3]Jul!$G$1</f>
        <v>0</v>
      </c>
      <c r="K17" s="105">
        <f t="shared" si="2"/>
        <v>0</v>
      </c>
      <c r="L17" s="115"/>
      <c r="M17" s="116">
        <f>IF([2]Jul!$G$4&gt;0,[2]Jul!$G$4,0)</f>
        <v>0</v>
      </c>
      <c r="N17" s="57"/>
    </row>
    <row r="18" spans="1:14" x14ac:dyDescent="0.15">
      <c r="A18" s="56"/>
      <c r="B18" s="62">
        <f>[1]Admin!$B$34</f>
        <v>44804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IF([2]Jul!$G$4&gt;0,[2]Jul!$G$4,0)</f>
        <v>0</v>
      </c>
      <c r="N18" s="57"/>
    </row>
    <row r="19" spans="1:14" x14ac:dyDescent="0.15">
      <c r="A19" s="56"/>
      <c r="B19" s="62">
        <f>[1]Admin!$B$36</f>
        <v>44834</v>
      </c>
      <c r="C19" s="63">
        <f>[1]Admin!$B$38</f>
        <v>44865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IF([2]Jul!$G$4&gt;0,[2]Jul!$G$4,0)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