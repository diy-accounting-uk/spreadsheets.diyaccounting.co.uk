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<sst xmlns="http://schemas.openxmlformats.org/spreadsheetml/2006/main" count="182" uniqueCount="45">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</sst>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44286</v>
          </cell>
        </row>
        <row r="8">
          <cell r="B8">
            <v>44316</v>
          </cell>
        </row>
        <row r="10">
          <cell r="B10">
            <v>44347</v>
          </cell>
        </row>
        <row r="12">
          <cell r="B12">
            <v>44377</v>
          </cell>
        </row>
        <row r="14">
          <cell r="B14">
            <v>44408</v>
          </cell>
        </row>
        <row r="16">
          <cell r="B16">
            <v>44439</v>
          </cell>
        </row>
        <row r="18">
          <cell r="B18">
            <v>44469</v>
          </cell>
        </row>
        <row r="20">
          <cell r="B20">
            <v>44500</v>
          </cell>
        </row>
        <row r="22">
          <cell r="B22">
            <v>44530</v>
          </cell>
        </row>
        <row r="24">
          <cell r="B24">
            <v>44561</v>
          </cell>
        </row>
        <row r="26">
          <cell r="B26">
            <v>44592</v>
          </cell>
        </row>
        <row r="28">
          <cell r="B28">
            <v>44620</v>
          </cell>
        </row>
        <row r="30">
          <cell r="B30">
            <v>44651</v>
          </cell>
        </row>
        <row r="32">
          <cell r="B32">
            <v>44681</v>
          </cell>
        </row>
        <row r="34">
          <cell r="B34">
            <v>44712</v>
          </cell>
        </row>
        <row r="36">
          <cell r="B36">
            <v>44742</v>
          </cell>
        </row>
        <row r="38">
          <cell r="B38">
            <v>44773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44408</v>
      </c>
      <c r="H5" s="10"/>
      <c r="I5" s="13"/>
      <c r="K5" s="69">
        <f>Vatinterface!B9</f>
        <v>44439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44500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44592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44620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44500</v>
      </c>
      <c r="H5" s="10"/>
      <c r="I5" s="13"/>
      <c r="K5" s="69">
        <f>Vatinterface!B9</f>
        <v>44439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44500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44592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44620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44592</v>
      </c>
      <c r="H5" s="10"/>
      <c r="I5" s="13"/>
      <c r="K5" s="69">
        <f>Vatinterface!B9</f>
        <v>44439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44500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44592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44620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44681</v>
      </c>
      <c r="H5" s="10"/>
      <c r="I5" s="13"/>
      <c r="K5" s="69">
        <f>Vatinterface!B9</f>
        <v>44439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44500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44592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44620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44712</v>
      </c>
      <c r="H5" s="10"/>
      <c r="I5" s="13"/>
      <c r="K5" s="69">
        <f>Vatinterface!B9</f>
        <v>44439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44500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44592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44620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44286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44316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44347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44377</v>
      </c>
      <c r="C7" s="62">
        <f t="shared" si="0"/>
        <v>45838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[1]Admin!$B$14</f>
        <v>44408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[1]Admin!$B$16</f>
        <v>44439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[1]Admin!$B$18</f>
        <v>44469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IF([2]Apr!$G$4&gt;0,[2]Apr!$G$4,0)</f>
        <v>0</v>
      </c>
      <c r="N10" s="57"/>
    </row>
    <row r="11" spans="1:14" x14ac:dyDescent="0.15">
      <c r="A11" s="56"/>
      <c r="B11" s="62">
        <f>[1]Admin!$B$20</f>
        <v>44500</v>
      </c>
      <c r="C11" s="62">
        <f t="shared" si="0"/>
        <v>45961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44530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[1]Admin!$B$24</f>
        <v>44561</v>
      </c>
      <c r="C13" s="62">
        <f t="shared" si="0"/>
        <v>46022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44592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44620</v>
      </c>
      <c r="C15" s="62">
        <f t="shared" si="0"/>
        <v>46081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[1]Admin!$B$30</f>
        <v>44651</v>
      </c>
      <c r="C16" s="62">
        <f t="shared" si="0"/>
        <v>46112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44681</v>
      </c>
      <c r="C17" s="62">
        <f t="shared" si="0"/>
        <v>46142</v>
      </c>
      <c r="D17" s="104">
        <f>[2]Apr!$H$1</f>
        <v>0</v>
      </c>
      <c r="E17" s="105">
        <f t="shared" si="3"/>
        <v>0</v>
      </c>
      <c r="F17" s="105">
        <f>[2]Apr!$G$1</f>
        <v>0</v>
      </c>
      <c r="G17" s="105">
        <f t="shared" si="3"/>
        <v>0</v>
      </c>
      <c r="H17" s="105">
        <f>[3]Apr!$H$1</f>
        <v>0</v>
      </c>
      <c r="I17" s="105">
        <f t="shared" si="1"/>
        <v>0</v>
      </c>
      <c r="J17" s="105">
        <f>[3]Apr!$G$1</f>
        <v>0</v>
      </c>
      <c r="K17" s="105">
        <f t="shared" si="2"/>
        <v>0</v>
      </c>
      <c r="L17" s="115"/>
      <c r="M17" s="116">
        <f>IF([2]Apr!$G$4&gt;0,[2]Apr!$G$4,0)</f>
        <v>0</v>
      </c>
      <c r="N17" s="57"/>
    </row>
    <row r="18" spans="1:14" x14ac:dyDescent="0.15">
      <c r="A18" s="56"/>
      <c r="B18" s="62">
        <f>[1]Admin!$B$34</f>
        <v>44712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IF([2]Apr!$G$4&gt;0,[2]Apr!$G$4,0)</f>
        <v>0</v>
      </c>
      <c r="N18" s="57"/>
    </row>
    <row r="19" spans="1:14" x14ac:dyDescent="0.15">
      <c r="A19" s="56"/>
      <c r="B19" s="62">
        <f>[1]Admin!$B$36</f>
        <v>44742</v>
      </c>
      <c r="C19" s="63">
        <f>[1]Admin!$B$38</f>
        <v>44773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IF([2]Apr!$G$4&gt;0,[2]Apr!$G$4,0)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