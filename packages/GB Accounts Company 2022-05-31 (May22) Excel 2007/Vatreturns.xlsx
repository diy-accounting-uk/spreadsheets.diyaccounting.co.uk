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<sst xmlns="http://schemas.openxmlformats.org/spreadsheetml/2006/main" count="182" uniqueCount="45">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</sst>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44316</v>
          </cell>
        </row>
        <row r="8">
          <cell r="B8">
            <v>44347</v>
          </cell>
        </row>
        <row r="10">
          <cell r="B10">
            <v>44377</v>
          </cell>
        </row>
        <row r="12">
          <cell r="B12">
            <v>44408</v>
          </cell>
        </row>
        <row r="14">
          <cell r="B14">
            <v>44439</v>
          </cell>
        </row>
        <row r="16">
          <cell r="B16">
            <v>44469</v>
          </cell>
        </row>
        <row r="18">
          <cell r="B18">
            <v>44500</v>
          </cell>
        </row>
        <row r="20">
          <cell r="B20">
            <v>44530</v>
          </cell>
        </row>
        <row r="22">
          <cell r="B22">
            <v>44561</v>
          </cell>
        </row>
        <row r="24">
          <cell r="B24">
            <v>44592</v>
          </cell>
        </row>
        <row r="26">
          <cell r="B26">
            <v>44620</v>
          </cell>
        </row>
        <row r="28">
          <cell r="B28">
            <v>44651</v>
          </cell>
        </row>
        <row r="30">
          <cell r="B30">
            <v>44681</v>
          </cell>
        </row>
        <row r="32">
          <cell r="B32">
            <v>44712</v>
          </cell>
        </row>
        <row r="34">
          <cell r="B34">
            <v>44742</v>
          </cell>
        </row>
        <row r="36">
          <cell r="B36">
            <v>44773</v>
          </cell>
        </row>
        <row r="38">
          <cell r="B38">
            <v>44804</v>
          </cell>
        </row>
        <row r="40">
          <cell r="B40">
            <v>44834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44439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44439</v>
      </c>
      <c r="H5" s="10"/>
      <c r="I5" s="13"/>
      <c r="K5" s="69">
        <f>Vatinterface!B9</f>
        <v>44469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44469</v>
      </c>
      <c r="H7" s="10"/>
      <c r="I7" s="13"/>
      <c r="K7" s="69">
        <f>Vatinterface!B11</f>
        <v>44530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44592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44620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44804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44439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44530</v>
      </c>
      <c r="H5" s="10"/>
      <c r="I5" s="13"/>
      <c r="K5" s="69">
        <f>Vatinterface!B9</f>
        <v>44469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44561</v>
      </c>
      <c r="H7" s="10"/>
      <c r="I7" s="13"/>
      <c r="K7" s="69">
        <f>Vatinterface!B11</f>
        <v>44530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44592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44620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44804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44439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44620</v>
      </c>
      <c r="H5" s="10"/>
      <c r="I5" s="13"/>
      <c r="K5" s="69">
        <f>Vatinterface!B9</f>
        <v>44469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44651</v>
      </c>
      <c r="H7" s="10"/>
      <c r="I7" s="13"/>
      <c r="K7" s="69">
        <f>Vatinterface!B11</f>
        <v>44530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44592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44620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44804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44439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44712</v>
      </c>
      <c r="H5" s="10"/>
      <c r="I5" s="13"/>
      <c r="K5" s="69">
        <f>Vatinterface!B9</f>
        <v>44469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44742</v>
      </c>
      <c r="H7" s="10"/>
      <c r="I7" s="13"/>
      <c r="K7" s="69">
        <f>Vatinterface!B11</f>
        <v>44530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44592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44620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44804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44439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44804</v>
      </c>
      <c r="H5" s="10"/>
      <c r="I5" s="13"/>
      <c r="K5" s="69">
        <f>Vatinterface!B9</f>
        <v>44469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44834</v>
      </c>
      <c r="H7" s="10"/>
      <c r="I7" s="13"/>
      <c r="K7" s="69">
        <f>Vatinterface!B11</f>
        <v>44530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44592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44620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44804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44316</v>
      </c>
      <c r="C4" s="62">
        <f>B5</f>
        <v>44347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44347</v>
      </c>
      <c r="C5" s="62">
        <f t="shared" ref="C5:C18" si="0">B6</f>
        <v>44377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44377</v>
      </c>
      <c r="C6" s="62">
        <f t="shared" si="0"/>
        <v>44408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44408</v>
      </c>
      <c r="C7" s="62">
        <f t="shared" si="0"/>
        <v>44439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44439</v>
      </c>
      <c r="C8" s="62">
        <f t="shared" si="0"/>
        <v>44469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44469</v>
      </c>
      <c r="C9" s="62">
        <f t="shared" si="0"/>
        <v>44500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44500</v>
      </c>
      <c r="C10" s="62">
        <f t="shared" si="0"/>
        <v>44530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44530</v>
      </c>
      <c r="C11" s="62">
        <f t="shared" si="0"/>
        <v>44561</v>
      </c>
      <c r="D11" s="104">
        <f>[2]Nov!$H$1</f>
        <v>0</v>
      </c>
      <c r="E11" s="105">
        <f t="shared" si="3"/>
        <v>0</v>
      </c>
      <c r="F11" s="105">
        <f>[2]Nov!$G$1</f>
        <v>0</v>
      </c>
      <c r="G11" s="105">
        <f t="shared" si="3"/>
        <v>0</v>
      </c>
      <c r="H11" s="105">
        <f>[3]Nov!$H$1</f>
        <v>0</v>
      </c>
      <c r="I11" s="105">
        <f t="shared" si="1"/>
        <v>0</v>
      </c>
      <c r="J11" s="105">
        <f>[3]Nov!$G$1</f>
        <v>0</v>
      </c>
      <c r="K11" s="105">
        <f t="shared" si="2"/>
        <v>0</v>
      </c>
      <c r="L11" s="115"/>
      <c r="M11" s="116">
        <f>IF([2]Nov!$G$4&gt;0,[2]Nov!$G$4,0)</f>
        <v>0</v>
      </c>
      <c r="N11" s="57"/>
    </row>
    <row r="12" spans="1:14" x14ac:dyDescent="0.15">
      <c r="A12" s="56"/>
      <c r="B12" s="62">
        <f>[1]Admin!$B$22</f>
        <v>44561</v>
      </c>
      <c r="C12" s="62">
        <f t="shared" si="0"/>
        <v>44592</v>
      </c>
      <c r="D12" s="104">
        <f>[2]Dec!$H$1</f>
        <v>0</v>
      </c>
      <c r="E12" s="105">
        <f t="shared" si="3"/>
        <v>0</v>
      </c>
      <c r="F12" s="105">
        <f>[2]Dec!$G$1</f>
        <v>0</v>
      </c>
      <c r="G12" s="105">
        <f t="shared" si="3"/>
        <v>0</v>
      </c>
      <c r="H12" s="105">
        <f>[3]Dec!$H$1</f>
        <v>0</v>
      </c>
      <c r="I12" s="105">
        <f t="shared" si="1"/>
        <v>0</v>
      </c>
      <c r="J12" s="105">
        <f>[3]Dec!$G$1</f>
        <v>0</v>
      </c>
      <c r="K12" s="105">
        <f t="shared" si="2"/>
        <v>0</v>
      </c>
      <c r="L12" s="115"/>
      <c r="M12" s="116">
        <f>IF([2]Dec!$G$4&gt;0,[2]Dec!$G$4,0)</f>
        <v>0</v>
      </c>
      <c r="N12" s="57"/>
    </row>
    <row r="13" spans="1:14" x14ac:dyDescent="0.15">
      <c r="A13" s="56"/>
      <c r="B13" s="62">
        <f>[1]Admin!$B$24</f>
        <v>44592</v>
      </c>
      <c r="C13" s="62">
        <f t="shared" si="0"/>
        <v>44620</v>
      </c>
      <c r="D13" s="104">
        <f>[2]Jan!$H$1</f>
        <v>0</v>
      </c>
      <c r="E13" s="105">
        <f t="shared" si="3"/>
        <v>0</v>
      </c>
      <c r="F13" s="105">
        <f>[2]Jan!$G$1</f>
        <v>0</v>
      </c>
      <c r="G13" s="105">
        <f t="shared" si="3"/>
        <v>0</v>
      </c>
      <c r="H13" s="105">
        <f>[3]Jan!$H$1</f>
        <v>0</v>
      </c>
      <c r="I13" s="105">
        <f t="shared" si="1"/>
        <v>0</v>
      </c>
      <c r="J13" s="105">
        <f>[3]Jan!$G$1</f>
        <v>0</v>
      </c>
      <c r="K13" s="105">
        <f t="shared" si="2"/>
        <v>0</v>
      </c>
      <c r="L13" s="115"/>
      <c r="M13" s="116">
        <f>IF([2]Jan!$G$4&gt;0,[2]Jan!$G$4,0)</f>
        <v>0</v>
      </c>
      <c r="N13" s="57"/>
    </row>
    <row r="14" spans="1:14" x14ac:dyDescent="0.15">
      <c r="A14" s="56"/>
      <c r="B14" s="62">
        <f>[1]Admin!$B$26</f>
        <v>44620</v>
      </c>
      <c r="C14" s="62">
        <f t="shared" si="0"/>
        <v>44651</v>
      </c>
      <c r="D14" s="104">
        <f>[2]Feb!$H$1</f>
        <v>0</v>
      </c>
      <c r="E14" s="105">
        <f t="shared" si="3"/>
        <v>0</v>
      </c>
      <c r="F14" s="105">
        <f>[2]Feb!$G$1</f>
        <v>0</v>
      </c>
      <c r="G14" s="105">
        <f t="shared" si="3"/>
        <v>0</v>
      </c>
      <c r="H14" s="105">
        <f>[3]Feb!$H$1</f>
        <v>0</v>
      </c>
      <c r="I14" s="105">
        <f t="shared" si="1"/>
        <v>0</v>
      </c>
      <c r="J14" s="105">
        <f>[3]Feb!$G$1</f>
        <v>0</v>
      </c>
      <c r="K14" s="105">
        <f t="shared" si="2"/>
        <v>0</v>
      </c>
      <c r="L14" s="115"/>
      <c r="M14" s="116">
        <f>IF([2]Feb!$G$4&gt;0,[2]Feb!$G$4,0)</f>
        <v>0</v>
      </c>
      <c r="N14" s="57"/>
    </row>
    <row r="15" spans="1:14" x14ac:dyDescent="0.15">
      <c r="A15" s="56"/>
      <c r="B15" s="62">
        <f>[1]Admin!$B$28</f>
        <v>44651</v>
      </c>
      <c r="C15" s="62">
        <f t="shared" si="0"/>
        <v>44681</v>
      </c>
      <c r="D15" s="104">
        <f>[2]Mar!$H$1</f>
        <v>0</v>
      </c>
      <c r="E15" s="105">
        <f t="shared" si="3"/>
        <v>0</v>
      </c>
      <c r="F15" s="105">
        <f>[2]Mar!$G$1</f>
        <v>0</v>
      </c>
      <c r="G15" s="105">
        <f t="shared" si="3"/>
        <v>0</v>
      </c>
      <c r="H15" s="105">
        <f>[3]Mar!$H$1</f>
        <v>0</v>
      </c>
      <c r="I15" s="105">
        <f t="shared" si="1"/>
        <v>0</v>
      </c>
      <c r="J15" s="105">
        <f>[3]Mar!$G$1</f>
        <v>0</v>
      </c>
      <c r="K15" s="105">
        <f t="shared" si="2"/>
        <v>0</v>
      </c>
      <c r="L15" s="115"/>
      <c r="M15" s="116">
        <f>IF([2]Mar!$G$4&gt;0,[2]Mar!$G$4,0)</f>
        <v>0</v>
      </c>
      <c r="N15" s="57"/>
    </row>
    <row r="16" spans="1:14" x14ac:dyDescent="0.15">
      <c r="A16" s="56"/>
      <c r="B16" s="62">
        <f>[1]Admin!$B$30</f>
        <v>44681</v>
      </c>
      <c r="C16" s="62">
        <f t="shared" si="0"/>
        <v>44712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44712</v>
      </c>
      <c r="C17" s="62">
        <f t="shared" si="0"/>
        <v>44742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44742</v>
      </c>
      <c r="C18" s="62">
        <f t="shared" si="0"/>
        <v>44773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44773</v>
      </c>
      <c r="C19" s="62">
        <f>[1]Admin!$B$38</f>
        <v>44804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x14ac:dyDescent="0.15">
      <c r="A20" s="56"/>
      <c r="B20" s="62">
        <f>[1]Admin!$B$38</f>
        <v>44804</v>
      </c>
      <c r="C20" s="63">
        <f>[1]Admin!$B$40</f>
        <v>44834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IF([2]May!$G$4&gt;0,[2]May!$G$4,0)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