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<sst xmlns="http://schemas.openxmlformats.org/spreadsheetml/2006/main" count="1383" uniqueCount="138">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</sst>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5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44717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44743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44769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44795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44662</v>
      </c>
      <c r="L19" s="200" t="s">
        <v>76</v>
      </c>
      <c r="M19" s="202">
        <f>K19+6</f>
        <v>44668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44669</v>
      </c>
      <c r="L29" s="200" t="s">
        <v>76</v>
      </c>
      <c r="M29" s="202">
        <f>K29+6</f>
        <v>44675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44676</v>
      </c>
      <c r="L39" s="200" t="s">
        <v>76</v>
      </c>
      <c r="M39" s="202">
        <f>K39+6</f>
        <v>44682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DATE(2021,6,1)</f>
        <v>44348</v>
      </c>
      <c r="L49" s="203" t="s">
        <v>76</v>
      </c>
      <c r="M49" s="205">
        <f>DATE(2021,6,30)</f>
        <v>44377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44683</v>
      </c>
      <c r="L9" s="203" t="s">
        <v>76</v>
      </c>
      <c r="M9" s="205">
        <f>K9+6</f>
        <v>44689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44690</v>
      </c>
      <c r="L19" s="203" t="s">
        <v>76</v>
      </c>
      <c r="M19" s="205">
        <f>K19+6</f>
        <v>44696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44697</v>
      </c>
      <c r="L29" s="203" t="s">
        <v>76</v>
      </c>
      <c r="M29" s="205">
        <f>K29+6</f>
        <v>44703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44704</v>
      </c>
      <c r="L39" s="203" t="s">
        <v>76</v>
      </c>
      <c r="M39" s="205">
        <f>K39+6</f>
        <v>44710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DATE(2021,7,1)</f>
        <v>44378</v>
      </c>
      <c r="L49" s="203" t="s">
        <v>76</v>
      </c>
      <c r="M49" s="205">
        <f>DATE(2021,7,31)</f>
        <v>44408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44711</v>
      </c>
      <c r="L9" s="203" t="s">
        <v>76</v>
      </c>
      <c r="M9" s="205">
        <f>K9+6</f>
        <v>44717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44718</v>
      </c>
      <c r="L19" s="203" t="s">
        <v>76</v>
      </c>
      <c r="M19" s="205">
        <f>K19+6</f>
        <v>44724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44725</v>
      </c>
      <c r="L29" s="203" t="s">
        <v>76</v>
      </c>
      <c r="M29" s="205">
        <f>K29+6</f>
        <v>44731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44732</v>
      </c>
      <c r="L39" s="203" t="s">
        <v>76</v>
      </c>
      <c r="M39" s="205">
        <f>K39+6</f>
        <v>44738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44739</v>
      </c>
      <c r="L49" s="203" t="s">
        <v>76</v>
      </c>
      <c r="M49" s="205">
        <f>K49+6</f>
        <v>44745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DATE(2021,8,1)</f>
        <v>44409</v>
      </c>
      <c r="L59" s="203" t="s">
        <v>76</v>
      </c>
      <c r="M59" s="205">
        <f>DATE(2021,8,31)</f>
        <v>44439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44746</v>
      </c>
      <c r="L9" s="203" t="s">
        <v>76</v>
      </c>
      <c r="M9" s="205">
        <f>K9+6</f>
        <v>44752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44753</v>
      </c>
      <c r="L19" s="203" t="s">
        <v>76</v>
      </c>
      <c r="M19" s="205">
        <f>K19+6</f>
        <v>44759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44760</v>
      </c>
      <c r="L29" s="203" t="s">
        <v>76</v>
      </c>
      <c r="M29" s="205">
        <f>K29+6</f>
        <v>44766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44767</v>
      </c>
      <c r="L39" s="203" t="s">
        <v>76</v>
      </c>
      <c r="M39" s="205">
        <f>K39+6</f>
        <v>44773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DATE(2021,9,1)</f>
        <v>44440</v>
      </c>
      <c r="L49" s="203" t="s">
        <v>76</v>
      </c>
      <c r="M49" s="205">
        <f>DATE(2021,9,30)</f>
        <v>44469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44774</v>
      </c>
      <c r="L9" s="203" t="s">
        <v>76</v>
      </c>
      <c r="M9" s="205">
        <f>K9+6</f>
        <v>44780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IF(T$9="Y",Sep!H41,0)</f>
        <v>0</v>
      </c>
      <c r="I12" s="92">
        <f>IF(T$9="Y",Sep!I41,0)</f>
        <v>0</v>
      </c>
      <c r="J12" s="92">
        <f>IF(T$9="Y",Sep!J41,0)</f>
        <v>0</v>
      </c>
      <c r="K12" s="92">
        <f>IF(T$9="Y",Sep!K41,I12*J12)</f>
        <v>0</v>
      </c>
      <c r="L12" s="111">
        <f>IF(T$9="Y",Sep!L41,0)</f>
        <v>0</v>
      </c>
      <c r="M12" s="111" t="str">
        <f>IF(E12=" "," ",IF(T$9="Y",Sep!M41,IF((H12+K12+L12)&gt;0,H12+K12+L12,"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IF(T$9="Y",Sep!H41,0)</f>
        <v>0</v>
      </c>
      <c r="I13" s="92">
        <f>IF(T$9="Y",Sep!I41,0)</f>
        <v>0</v>
      </c>
      <c r="J13" s="92">
        <f>IF(T$9="Y",Sep!J41,0)</f>
        <v>0</v>
      </c>
      <c r="K13" s="92">
        <f>IF(T$9="Y",Sep!K41,I13*J13)</f>
        <v>0</v>
      </c>
      <c r="L13" s="111">
        <f>IF(T$9="Y",Sep!L41,0)</f>
        <v>0</v>
      </c>
      <c r="M13" s="111" t="str">
        <f>IF(E13=" "," ",IF(T$9="Y",Sep!M41,IF((H13+K13+L13)&gt;0,H13+K13+L13,"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IF(T$9="Y",Sep!H41,0)</f>
        <v>0</v>
      </c>
      <c r="I14" s="92">
        <f>IF(T$9="Y",Sep!I41,0)</f>
        <v>0</v>
      </c>
      <c r="J14" s="92">
        <f>IF(T$9="Y",Sep!J41,0)</f>
        <v>0</v>
      </c>
      <c r="K14" s="92">
        <f>IF(T$9="Y",Sep!K41,I14*J14)</f>
        <v>0</v>
      </c>
      <c r="L14" s="111">
        <f>IF(T$9="Y",Sep!L41,0)</f>
        <v>0</v>
      </c>
      <c r="M14" s="111" t="str">
        <f>IF(E14=" "," ",IF(T$9="Y",Sep!M41,IF((H14+K14+L14)&gt;0,H14+K14+L14,"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IF(T$9="Y",Sep!H41,0)</f>
        <v>0</v>
      </c>
      <c r="I15" s="245">
        <f>IF(T$9="Y",Sep!I41,0)</f>
        <v>0</v>
      </c>
      <c r="J15" s="245">
        <f>IF(T$9="Y",Sep!J41,0)</f>
        <v>0</v>
      </c>
      <c r="K15" s="245">
        <f>IF(T$9="Y",Sep!K41,I15*J15)</f>
        <v>0</v>
      </c>
      <c r="L15" s="246">
        <f>IF(T$9="Y",Sep!L41,0)</f>
        <v>0</v>
      </c>
      <c r="M15" s="246" t="str">
        <f>IF(E15=" "," ",IF(T$9="Y",Sep!M41,IF((H15+K15+L15)&gt;0,H15+K15+L15,"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44781</v>
      </c>
      <c r="L19" s="203" t="s">
        <v>76</v>
      </c>
      <c r="M19" s="205">
        <f>K19+6</f>
        <v>44787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44788</v>
      </c>
      <c r="L29" s="203" t="s">
        <v>76</v>
      </c>
      <c r="M29" s="205">
        <f>K29+6</f>
        <v>44794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44795</v>
      </c>
      <c r="L39" s="203" t="s">
        <v>76</v>
      </c>
      <c r="M39" s="205">
        <f>K39+6</f>
        <v>44801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DATE(2021,10,1)</f>
        <v>44470</v>
      </c>
      <c r="L49" s="203" t="s">
        <v>76</v>
      </c>
      <c r="M49" s="205">
        <f>DATE(2021,10,31)</f>
        <v>44500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44802</v>
      </c>
      <c r="L9" s="203" t="s">
        <v>76</v>
      </c>
      <c r="M9" s="205">
        <f>K9+6</f>
        <v>44808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44809</v>
      </c>
      <c r="L19" s="203" t="s">
        <v>76</v>
      </c>
      <c r="M19" s="205">
        <f>K19+6</f>
        <v>44815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44816</v>
      </c>
      <c r="L29" s="203" t="s">
        <v>76</v>
      </c>
      <c r="M29" s="205">
        <f>K29+6</f>
        <v>44822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44823</v>
      </c>
      <c r="L39" s="203" t="s">
        <v>76</v>
      </c>
      <c r="M39" s="205">
        <f>K39+6</f>
        <v>44829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44830</v>
      </c>
      <c r="L49" s="203" t="s">
        <v>76</v>
      </c>
      <c r="M49" s="205">
        <f>K49+6</f>
        <v>44836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DATE(2021,11,1)</f>
        <v>44501</v>
      </c>
      <c r="L59" s="203" t="s">
        <v>76</v>
      </c>
      <c r="M59" s="205">
        <f>DATE(2021,11,30)</f>
        <v>44530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44837</v>
      </c>
      <c r="L9" s="203" t="s">
        <v>76</v>
      </c>
      <c r="M9" s="205">
        <f>Admin!B188</f>
        <v>44843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44844</v>
      </c>
      <c r="L19" s="203" t="s">
        <v>76</v>
      </c>
      <c r="M19" s="205">
        <f>K19+6</f>
        <v>44850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44851</v>
      </c>
      <c r="L29" s="203" t="s">
        <v>76</v>
      </c>
      <c r="M29" s="205">
        <f>K29+6</f>
        <v>44857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44858</v>
      </c>
      <c r="L39" s="203" t="s">
        <v>76</v>
      </c>
      <c r="M39" s="205">
        <f>K39+6</f>
        <v>44864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DATE(2021,12,1)</f>
        <v>44531</v>
      </c>
      <c r="L49" s="203" t="s">
        <v>76</v>
      </c>
      <c r="M49" s="205">
        <f>DATE(2021,12,31)</f>
        <v>44561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44865</v>
      </c>
      <c r="L9" s="203" t="s">
        <v>76</v>
      </c>
      <c r="M9" s="205">
        <f>K9+6</f>
        <v>44871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44872</v>
      </c>
      <c r="L19" s="203" t="s">
        <v>76</v>
      </c>
      <c r="M19" s="205">
        <f>K19+6</f>
        <v>44878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44879</v>
      </c>
      <c r="L29" s="203" t="s">
        <v>76</v>
      </c>
      <c r="M29" s="205">
        <f>K29+6</f>
        <v>44885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44886</v>
      </c>
      <c r="L39" s="203" t="s">
        <v>76</v>
      </c>
      <c r="M39" s="205">
        <f>K39+6</f>
        <v>44892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DATE(2022,1,1)</f>
        <v>44562</v>
      </c>
      <c r="L49" s="203" t="s">
        <v>76</v>
      </c>
      <c r="M49" s="205">
        <f>DATE(2022,1,31)</f>
        <v>44592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44893</v>
      </c>
      <c r="L9" s="203" t="s">
        <v>76</v>
      </c>
      <c r="M9" s="205">
        <f>K9+6</f>
        <v>44899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44900</v>
      </c>
      <c r="L19" s="203" t="s">
        <v>76</v>
      </c>
      <c r="M19" s="205">
        <f>K19+6</f>
        <v>44906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44907</v>
      </c>
      <c r="L29" s="203" t="s">
        <v>76</v>
      </c>
      <c r="M29" s="205">
        <f>K29+6</f>
        <v>44913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44914</v>
      </c>
      <c r="L39" s="203" t="s">
        <v>76</v>
      </c>
      <c r="M39" s="205">
        <f>K39+6</f>
        <v>44920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44921</v>
      </c>
      <c r="L49" s="203" t="s">
        <v>76</v>
      </c>
      <c r="M49" s="205">
        <f>K49+6</f>
        <v>44927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DATE(2022,2,1)</f>
        <v>44593</v>
      </c>
      <c r="L59" s="203" t="s">
        <v>76</v>
      </c>
      <c r="M59" s="205">
        <f>DATE(2022,2,28)</f>
        <v>44620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44928</v>
      </c>
      <c r="L9" s="203" t="s">
        <v>76</v>
      </c>
      <c r="M9" s="205">
        <f>K9+6</f>
        <v>44934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44935</v>
      </c>
      <c r="L19" s="203" t="s">
        <v>76</v>
      </c>
      <c r="M19" s="205">
        <f>K19+6</f>
        <v>44941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44942</v>
      </c>
      <c r="L29" s="203" t="s">
        <v>76</v>
      </c>
      <c r="M29" s="205">
        <f>K29+6</f>
        <v>44948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44949</v>
      </c>
      <c r="L39" s="203" t="s">
        <v>76</v>
      </c>
      <c r="M39" s="205">
        <f>K39+6</f>
        <v>44955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DATE(2022,3,1)</f>
        <v>44621</v>
      </c>
      <c r="L49" s="203" t="s">
        <v>76</v>
      </c>
      <c r="M49" s="205">
        <f>DATE(2022,3,31)</f>
        <v>44651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44956</v>
      </c>
      <c r="L9" s="203" t="s">
        <v>76</v>
      </c>
      <c r="M9" s="205">
        <f>K9+6</f>
        <v>44962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44963</v>
      </c>
      <c r="L19" s="203" t="s">
        <v>76</v>
      </c>
      <c r="M19" s="205">
        <f>K19+6</f>
        <v>44969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44970</v>
      </c>
      <c r="L29" s="203" t="s">
        <v>76</v>
      </c>
      <c r="M29" s="205">
        <f>K29+6</f>
        <v>44976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44977</v>
      </c>
      <c r="L39" s="203" t="s">
        <v>76</v>
      </c>
      <c r="M39" s="205">
        <f>K39+6</f>
        <v>44983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DATE(2022,4,1)</f>
        <v>44652</v>
      </c>
      <c r="L49" s="203" t="s">
        <v>76</v>
      </c>
      <c r="M49" s="205">
        <f>DATE(2022,4,30)</f>
        <v>44681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44984</v>
      </c>
      <c r="L9" s="203" t="s">
        <v>76</v>
      </c>
      <c r="M9" s="205">
        <f>K9+6</f>
        <v>44990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44991</v>
      </c>
      <c r="L19" s="203" t="s">
        <v>76</v>
      </c>
      <c r="M19" s="205">
        <f>K19+6</f>
        <v>44997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44998</v>
      </c>
      <c r="L29" s="203" t="s">
        <v>76</v>
      </c>
      <c r="M29" s="205">
        <f>K29+6</f>
        <v>45004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45005</v>
      </c>
      <c r="L39" s="203" t="s">
        <v>76</v>
      </c>
      <c r="M39" s="205">
        <f>K39+6</f>
        <v>45011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45012</v>
      </c>
      <c r="L49" s="203" t="s">
        <v>76</v>
      </c>
      <c r="M49" s="205">
        <f>K49+6</f>
        <v>45018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45019</v>
      </c>
      <c r="L59" s="203" t="s">
        <v>76</v>
      </c>
      <c r="M59" s="205">
        <f>K59+4</f>
        <v>45023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DATE(2022,5,1)</f>
        <v>44682</v>
      </c>
      <c r="L69" s="203" t="s">
        <v>76</v>
      </c>
      <c r="M69" s="205">
        <f>DATE(2022,5,31)</f>
        <v>44712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May!AD80+May!AE80+May!AF80+May!AG80</f>
        <v>0</v>
      </c>
      <c r="G5" s="228">
        <f>May!AE82+May!AF82+May!AG82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TEXT(DATE(YEAR(B$2),MONTH(B$2)+(D2-1)+2,1),"Mmm")</f>
        <v>Jun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TEXT(DATE(YEAR(B$2),MONTH(B$2)+(D3-1)+2,1),"Mmm")</f>
        <v>Jun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Jun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Jun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Jun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Jun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Jun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Jun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Jun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Jun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Jun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Jun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Jun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Jun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Jun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Jun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Jun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Jun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Jun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Jun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Jun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Jun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Jun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Jun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Jun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Jun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Jul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Jul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Jul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Jul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Jul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Jul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Jul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Jul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Jul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Jul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Jul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Jul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Jul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Jul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Jul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Jul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Jul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Jul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Jul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Jul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Jul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Jul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Jul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Jul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Jul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Jul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Jul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Jul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Aug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Aug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Aug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Aug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Aug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Aug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Aug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Aug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Aug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Aug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Aug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TEXT(DATE(YEAR(B$2),MONTH(B$2)+(D67-1)+2,1),"Mmm")</f>
        <v>Aug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Aug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Aug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Aug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Aug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Aug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Aug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Aug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Aug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Aug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Aug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Aug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Aug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Aug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Aug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Aug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Aug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Aug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Aug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Aug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Aug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Aug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Aug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Aug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Sep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Sep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Sep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Sep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Sep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Sep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Sep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Sep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Sep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Sep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Sep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Sep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Sep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Sep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Sep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Sep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Sep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Sep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Sep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Sep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Sep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Sep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Sep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Sep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Sep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Sep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Sep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Sep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Oct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Oct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Oct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Oct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Oct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Oct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Oct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Oct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Oct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Oct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Oct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Oct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TEXT(DATE(YEAR(B$2),MONTH(B$2)+(D131-1)+2,1),"Mmm")</f>
        <v>Oct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Oct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Oct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Oct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Oct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Oct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Oct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Oct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Oct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Oct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Oct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Oct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Oct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Oct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Oct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Oct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Nov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Nov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Nov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Nov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Nov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Nov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Nov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Nov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Nov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Nov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Nov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Nov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Nov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Nov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Nov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Nov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Nov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Nov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Nov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Nov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Nov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Nov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Nov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Nov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Nov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Nov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Nov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Nov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Nov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Nov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Nov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Nov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Nov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Nov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Nov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Dec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Dec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Dec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Dec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Dec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Dec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Dec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Dec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Dec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Dec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Dec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Dec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Dec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TEXT(DATE(YEAR(B$2),MONTH(B$2)+(D195-1)+2,1),"Mmm")</f>
        <v>Dec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Dec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Dec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Dec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Dec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Dec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Dec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Dec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Dec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Dec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Dec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Dec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Dec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Dec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Dec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Jan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Jan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Jan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Jan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Jan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Jan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Jan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Jan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Jan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Jan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Jan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Jan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Jan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Jan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Jan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Jan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Jan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Jan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Jan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Jan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Jan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Jan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Jan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Jan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Jan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Jan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Jan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Jan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Feb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Feb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Feb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Feb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Feb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Feb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Feb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Feb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Feb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Feb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Feb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Feb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Feb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Feb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Feb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Feb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Feb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Feb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Feb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Feb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Feb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TEXT(DATE(YEAR(B$2),MONTH(B$2)+(D259-1)+2,1),"Mmm")</f>
        <v>Feb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Feb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Feb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Feb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Feb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Feb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Feb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Feb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Feb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Feb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Feb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Feb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Feb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Feb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Mar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Mar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Mar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Mar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Mar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Mar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Mar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Mar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Mar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Mar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Mar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Mar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Mar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Mar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Mar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Mar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Mar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Mar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Mar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Mar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Mar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Mar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Mar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Mar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Mar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Mar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Mar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Mar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Apr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Apr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Apr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Apr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Apr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Apr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Apr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Apr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Apr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Apr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Apr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Apr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Apr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Apr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Apr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Apr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Apr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Apr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Apr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Apr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Apr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Apr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TEXT(DATE(YEAR(B$2),MONTH(B$2)+(D323-1)+2,1),"Mmm")</f>
        <v>Apr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Apr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Apr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Apr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Apr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Apr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May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May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May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May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May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May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May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May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May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May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May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May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May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May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May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May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May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May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May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May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May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May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May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May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May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May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May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May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May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May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May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May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May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May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May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May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May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May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May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May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May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May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May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May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May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May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May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May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May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May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May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May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May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