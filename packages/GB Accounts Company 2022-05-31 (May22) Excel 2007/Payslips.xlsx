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Jun" sheetId="12" r:id="rId2"/>
    <sheet name="Jul" sheetId="11" r:id="rId3"/>
    <sheet name="Aug" sheetId="10" r:id="rId4"/>
    <sheet name="Sep" sheetId="9" r:id="rId5"/>
    <sheet name="Oct" sheetId="8" r:id="rId6"/>
    <sheet name="Nov" sheetId="17" r:id="rId7"/>
    <sheet name="Dec" sheetId="16" r:id="rId8"/>
    <sheet name="Jan" sheetId="15" r:id="rId9"/>
    <sheet name="Feb" sheetId="14" r:id="rId10"/>
    <sheet name="Mar" sheetId="13" r:id="rId11"/>
    <sheet name="Apr" sheetId="19" r:id="rId12"/>
    <sheet name="May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<sst xmlns="http://schemas.openxmlformats.org/spreadsheetml/2006/main" count="1383" uniqueCount="138">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</sst>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44657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44658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44659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44660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44661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44662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44663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44657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44664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44665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44666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44667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44668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44669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44670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44671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44672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44673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44674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44675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44676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44677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44678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44679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44680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44681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44682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44683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44684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44685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44686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44687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44688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44689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44690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44691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44692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44693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44694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44695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44696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44697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44698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44699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44700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44701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44702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44703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44704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44705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44706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44707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44708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44709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44710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44711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44712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44713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44714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44715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44716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44717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44718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44719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44720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44721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44722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44723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44724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44725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44726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44727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44728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44729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44730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44731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44732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44733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44734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44735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44736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44737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44738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44739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44740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44741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44742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44743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44744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44745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44746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44747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44748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44749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44750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44751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44752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44753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44754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44755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44756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44757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44758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44759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44760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44761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44762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44763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44764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44765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44766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44767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44768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44769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44770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44771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44772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44773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44774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44775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44776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44777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44778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44779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44780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44781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44782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44783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44784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44785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44786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44787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44788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44789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44790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44791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44792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44793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44794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44795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44796</v>
      </c>
    </row>
    <row r="142" spans="1:23" x14ac:dyDescent="0.15">
      <c r="W142" s="206">
        <f>Admin!B142</f>
        <v>44797</v>
      </c>
    </row>
    <row r="143" spans="1:23" x14ac:dyDescent="0.15">
      <c r="W143" s="206">
        <f>Admin!B143</f>
        <v>44798</v>
      </c>
    </row>
    <row r="144" spans="1:23" x14ac:dyDescent="0.15">
      <c r="W144" s="206">
        <f>Admin!B144</f>
        <v>44799</v>
      </c>
    </row>
    <row r="145" spans="23:23" x14ac:dyDescent="0.15">
      <c r="W145" s="206">
        <f>Admin!B145</f>
        <v>44800</v>
      </c>
    </row>
    <row r="146" spans="23:23" x14ac:dyDescent="0.15">
      <c r="W146" s="206">
        <f>Admin!B146</f>
        <v>44801</v>
      </c>
    </row>
    <row r="147" spans="23:23" x14ac:dyDescent="0.15">
      <c r="W147" s="206">
        <f>Admin!B147</f>
        <v>44802</v>
      </c>
    </row>
    <row r="148" spans="23:23" x14ac:dyDescent="0.15">
      <c r="W148" s="206">
        <f>Admin!B148</f>
        <v>44803</v>
      </c>
    </row>
    <row r="149" spans="23:23" x14ac:dyDescent="0.15">
      <c r="W149" s="206">
        <f>Admin!B149</f>
        <v>44804</v>
      </c>
    </row>
    <row r="150" spans="23:23" x14ac:dyDescent="0.15">
      <c r="W150" s="206">
        <f>Admin!B150</f>
        <v>44805</v>
      </c>
    </row>
    <row r="151" spans="23:23" x14ac:dyDescent="0.15">
      <c r="W151" s="206">
        <f>Admin!B151</f>
        <v>44806</v>
      </c>
    </row>
    <row r="152" spans="23:23" x14ac:dyDescent="0.15">
      <c r="W152" s="206">
        <f>Admin!B152</f>
        <v>44807</v>
      </c>
    </row>
    <row r="153" spans="23:23" x14ac:dyDescent="0.15">
      <c r="W153" s="206">
        <f>Admin!B153</f>
        <v>44808</v>
      </c>
    </row>
    <row r="154" spans="23:23" x14ac:dyDescent="0.15">
      <c r="W154" s="206">
        <f>Admin!B154</f>
        <v>44809</v>
      </c>
    </row>
    <row r="155" spans="23:23" x14ac:dyDescent="0.15">
      <c r="W155" s="206">
        <f>Admin!B155</f>
        <v>44810</v>
      </c>
    </row>
    <row r="156" spans="23:23" x14ac:dyDescent="0.15">
      <c r="W156" s="206">
        <f>Admin!B156</f>
        <v>44811</v>
      </c>
    </row>
    <row r="157" spans="23:23" x14ac:dyDescent="0.15">
      <c r="W157" s="206">
        <f>Admin!B157</f>
        <v>44812</v>
      </c>
    </row>
    <row r="158" spans="23:23" x14ac:dyDescent="0.15">
      <c r="W158" s="206">
        <f>Admin!B158</f>
        <v>44813</v>
      </c>
    </row>
    <row r="159" spans="23:23" x14ac:dyDescent="0.15">
      <c r="W159" s="206">
        <f>Admin!B159</f>
        <v>44814</v>
      </c>
    </row>
    <row r="160" spans="23:23" x14ac:dyDescent="0.15">
      <c r="W160" s="206">
        <f>Admin!B160</f>
        <v>44815</v>
      </c>
    </row>
    <row r="161" spans="23:23" x14ac:dyDescent="0.15">
      <c r="W161" s="206">
        <f>Admin!B161</f>
        <v>44816</v>
      </c>
    </row>
    <row r="162" spans="23:23" x14ac:dyDescent="0.15">
      <c r="W162" s="206">
        <f>Admin!B162</f>
        <v>44817</v>
      </c>
    </row>
    <row r="163" spans="23:23" x14ac:dyDescent="0.15">
      <c r="W163" s="206">
        <f>Admin!B163</f>
        <v>44818</v>
      </c>
    </row>
    <row r="164" spans="23:23" x14ac:dyDescent="0.15">
      <c r="W164" s="206">
        <f>Admin!B164</f>
        <v>44819</v>
      </c>
    </row>
    <row r="165" spans="23:23" x14ac:dyDescent="0.15">
      <c r="W165" s="206">
        <f>Admin!B165</f>
        <v>44820</v>
      </c>
    </row>
    <row r="166" spans="23:23" x14ac:dyDescent="0.15">
      <c r="W166" s="206">
        <f>Admin!B166</f>
        <v>44821</v>
      </c>
    </row>
    <row r="167" spans="23:23" x14ac:dyDescent="0.15">
      <c r="W167" s="206">
        <f>Admin!B167</f>
        <v>44822</v>
      </c>
    </row>
    <row r="168" spans="23:23" x14ac:dyDescent="0.15">
      <c r="W168" s="206">
        <f>Admin!B168</f>
        <v>44823</v>
      </c>
    </row>
    <row r="169" spans="23:23" x14ac:dyDescent="0.15">
      <c r="W169" s="206">
        <f>Admin!B169</f>
        <v>44824</v>
      </c>
    </row>
    <row r="170" spans="23:23" x14ac:dyDescent="0.15">
      <c r="W170" s="206">
        <f>Admin!B170</f>
        <v>44825</v>
      </c>
    </row>
    <row r="171" spans="23:23" x14ac:dyDescent="0.15">
      <c r="W171" s="206">
        <f>Admin!B171</f>
        <v>44826</v>
      </c>
    </row>
    <row r="172" spans="23:23" x14ac:dyDescent="0.15">
      <c r="W172" s="206">
        <f>Admin!B172</f>
        <v>44827</v>
      </c>
    </row>
    <row r="173" spans="23:23" x14ac:dyDescent="0.15">
      <c r="W173" s="206">
        <f>Admin!B173</f>
        <v>44828</v>
      </c>
    </row>
    <row r="174" spans="23:23" x14ac:dyDescent="0.15">
      <c r="W174" s="206">
        <f>Admin!B174</f>
        <v>44829</v>
      </c>
    </row>
    <row r="175" spans="23:23" x14ac:dyDescent="0.15">
      <c r="W175" s="206">
        <f>Admin!B175</f>
        <v>44830</v>
      </c>
    </row>
    <row r="176" spans="23:23" x14ac:dyDescent="0.15">
      <c r="W176" s="206">
        <f>Admin!B176</f>
        <v>44831</v>
      </c>
    </row>
    <row r="177" spans="23:23" x14ac:dyDescent="0.15">
      <c r="W177" s="206">
        <f>Admin!B177</f>
        <v>44832</v>
      </c>
    </row>
    <row r="178" spans="23:23" x14ac:dyDescent="0.15">
      <c r="W178" s="206">
        <f>Admin!B178</f>
        <v>44833</v>
      </c>
    </row>
    <row r="179" spans="23:23" x14ac:dyDescent="0.15">
      <c r="W179" s="206">
        <f>Admin!B179</f>
        <v>44834</v>
      </c>
    </row>
    <row r="180" spans="23:23" x14ac:dyDescent="0.15">
      <c r="W180" s="206">
        <f>Admin!B180</f>
        <v>44835</v>
      </c>
    </row>
    <row r="181" spans="23:23" x14ac:dyDescent="0.15">
      <c r="W181" s="206">
        <f>Admin!B181</f>
        <v>44836</v>
      </c>
    </row>
    <row r="182" spans="23:23" x14ac:dyDescent="0.15">
      <c r="W182" s="206">
        <f>Admin!B182</f>
        <v>44837</v>
      </c>
    </row>
    <row r="183" spans="23:23" x14ac:dyDescent="0.15">
      <c r="W183" s="206">
        <f>Admin!B183</f>
        <v>44838</v>
      </c>
    </row>
    <row r="184" spans="23:23" x14ac:dyDescent="0.15">
      <c r="W184" s="206">
        <f>Admin!B184</f>
        <v>44839</v>
      </c>
    </row>
    <row r="185" spans="23:23" x14ac:dyDescent="0.15">
      <c r="W185" s="206">
        <f>Admin!B185</f>
        <v>44840</v>
      </c>
    </row>
    <row r="186" spans="23:23" x14ac:dyDescent="0.15">
      <c r="W186" s="206">
        <f>Admin!B186</f>
        <v>44841</v>
      </c>
    </row>
    <row r="187" spans="23:23" x14ac:dyDescent="0.15">
      <c r="W187" s="206">
        <f>Admin!B187</f>
        <v>44842</v>
      </c>
    </row>
    <row r="188" spans="23:23" x14ac:dyDescent="0.15">
      <c r="W188" s="206">
        <f>Admin!B188</f>
        <v>44843</v>
      </c>
    </row>
    <row r="189" spans="23:23" x14ac:dyDescent="0.15">
      <c r="W189" s="206">
        <f>Admin!B189</f>
        <v>44844</v>
      </c>
    </row>
    <row r="190" spans="23:23" x14ac:dyDescent="0.15">
      <c r="W190" s="206">
        <f>Admin!B190</f>
        <v>44845</v>
      </c>
    </row>
    <row r="191" spans="23:23" x14ac:dyDescent="0.15">
      <c r="W191" s="206">
        <f>Admin!B191</f>
        <v>44846</v>
      </c>
    </row>
    <row r="192" spans="23:23" x14ac:dyDescent="0.15">
      <c r="W192" s="206">
        <f>Admin!B192</f>
        <v>44847</v>
      </c>
    </row>
    <row r="193" spans="23:23" x14ac:dyDescent="0.15">
      <c r="W193" s="206">
        <f>Admin!B193</f>
        <v>44848</v>
      </c>
    </row>
    <row r="194" spans="23:23" x14ac:dyDescent="0.15">
      <c r="W194" s="206">
        <f>Admin!B194</f>
        <v>44849</v>
      </c>
    </row>
    <row r="195" spans="23:23" x14ac:dyDescent="0.15">
      <c r="W195" s="206">
        <f>Admin!B195</f>
        <v>44850</v>
      </c>
    </row>
    <row r="196" spans="23:23" x14ac:dyDescent="0.15">
      <c r="W196" s="206">
        <f>Admin!B196</f>
        <v>44851</v>
      </c>
    </row>
    <row r="197" spans="23:23" x14ac:dyDescent="0.15">
      <c r="W197" s="206">
        <f>Admin!B197</f>
        <v>44852</v>
      </c>
    </row>
    <row r="198" spans="23:23" x14ac:dyDescent="0.15">
      <c r="W198" s="206">
        <f>Admin!B198</f>
        <v>44853</v>
      </c>
    </row>
    <row r="199" spans="23:23" x14ac:dyDescent="0.15">
      <c r="W199" s="206">
        <f>Admin!B199</f>
        <v>44854</v>
      </c>
    </row>
    <row r="200" spans="23:23" x14ac:dyDescent="0.15">
      <c r="W200" s="206">
        <f>Admin!B200</f>
        <v>44855</v>
      </c>
    </row>
    <row r="201" spans="23:23" x14ac:dyDescent="0.15">
      <c r="W201" s="206">
        <f>Admin!B201</f>
        <v>44856</v>
      </c>
    </row>
    <row r="202" spans="23:23" x14ac:dyDescent="0.15">
      <c r="W202" s="206">
        <f>Admin!B202</f>
        <v>44857</v>
      </c>
    </row>
    <row r="203" spans="23:23" x14ac:dyDescent="0.15">
      <c r="W203" s="206">
        <f>Admin!B203</f>
        <v>44858</v>
      </c>
    </row>
    <row r="204" spans="23:23" x14ac:dyDescent="0.15">
      <c r="W204" s="206">
        <f>Admin!B204</f>
        <v>44859</v>
      </c>
    </row>
    <row r="205" spans="23:23" x14ac:dyDescent="0.15">
      <c r="W205" s="206">
        <f>Admin!B205</f>
        <v>44860</v>
      </c>
    </row>
    <row r="206" spans="23:23" x14ac:dyDescent="0.15">
      <c r="W206" s="206">
        <f>Admin!B206</f>
        <v>44861</v>
      </c>
    </row>
    <row r="207" spans="23:23" x14ac:dyDescent="0.15">
      <c r="W207" s="206">
        <f>Admin!B207</f>
        <v>44862</v>
      </c>
    </row>
    <row r="208" spans="23:23" x14ac:dyDescent="0.15">
      <c r="W208" s="206">
        <f>Admin!B208</f>
        <v>44863</v>
      </c>
    </row>
    <row r="209" spans="23:23" x14ac:dyDescent="0.15">
      <c r="W209" s="206">
        <f>Admin!B209</f>
        <v>44864</v>
      </c>
    </row>
    <row r="210" spans="23:23" x14ac:dyDescent="0.15">
      <c r="W210" s="206">
        <f>Admin!B210</f>
        <v>44865</v>
      </c>
    </row>
    <row r="211" spans="23:23" x14ac:dyDescent="0.15">
      <c r="W211" s="206">
        <f>Admin!B211</f>
        <v>44866</v>
      </c>
    </row>
    <row r="212" spans="23:23" x14ac:dyDescent="0.15">
      <c r="W212" s="206">
        <f>Admin!B212</f>
        <v>44867</v>
      </c>
    </row>
    <row r="213" spans="23:23" x14ac:dyDescent="0.15">
      <c r="W213" s="206">
        <f>Admin!B213</f>
        <v>44868</v>
      </c>
    </row>
    <row r="214" spans="23:23" x14ac:dyDescent="0.15">
      <c r="W214" s="206">
        <f>Admin!B214</f>
        <v>44869</v>
      </c>
    </row>
    <row r="215" spans="23:23" x14ac:dyDescent="0.15">
      <c r="W215" s="206">
        <f>Admin!B215</f>
        <v>44870</v>
      </c>
    </row>
    <row r="216" spans="23:23" x14ac:dyDescent="0.15">
      <c r="W216" s="206">
        <f>Admin!B216</f>
        <v>44871</v>
      </c>
    </row>
    <row r="217" spans="23:23" x14ac:dyDescent="0.15">
      <c r="W217" s="206">
        <f>Admin!B217</f>
        <v>44872</v>
      </c>
    </row>
    <row r="218" spans="23:23" x14ac:dyDescent="0.15">
      <c r="W218" s="206">
        <f>Admin!B218</f>
        <v>44873</v>
      </c>
    </row>
    <row r="219" spans="23:23" x14ac:dyDescent="0.15">
      <c r="W219" s="206">
        <f>Admin!B219</f>
        <v>44874</v>
      </c>
    </row>
    <row r="220" spans="23:23" x14ac:dyDescent="0.15">
      <c r="W220" s="206">
        <f>Admin!B220</f>
        <v>44875</v>
      </c>
    </row>
    <row r="221" spans="23:23" x14ac:dyDescent="0.15">
      <c r="W221" s="206">
        <f>Admin!B221</f>
        <v>44876</v>
      </c>
    </row>
    <row r="222" spans="23:23" x14ac:dyDescent="0.15">
      <c r="W222" s="206">
        <f>Admin!B222</f>
        <v>44877</v>
      </c>
    </row>
    <row r="223" spans="23:23" x14ac:dyDescent="0.15">
      <c r="W223" s="206">
        <f>Admin!B223</f>
        <v>44878</v>
      </c>
    </row>
    <row r="224" spans="23:23" x14ac:dyDescent="0.15">
      <c r="W224" s="206">
        <f>Admin!B224</f>
        <v>44879</v>
      </c>
    </row>
    <row r="225" spans="23:23" x14ac:dyDescent="0.15">
      <c r="W225" s="206">
        <f>Admin!B225</f>
        <v>44880</v>
      </c>
    </row>
    <row r="226" spans="23:23" x14ac:dyDescent="0.15">
      <c r="W226" s="206">
        <f>Admin!B226</f>
        <v>44881</v>
      </c>
    </row>
    <row r="227" spans="23:23" x14ac:dyDescent="0.15">
      <c r="W227" s="206">
        <f>Admin!B227</f>
        <v>44882</v>
      </c>
    </row>
    <row r="228" spans="23:23" x14ac:dyDescent="0.15">
      <c r="W228" s="206">
        <f>Admin!B228</f>
        <v>44883</v>
      </c>
    </row>
    <row r="229" spans="23:23" x14ac:dyDescent="0.15">
      <c r="W229" s="206">
        <f>Admin!B229</f>
        <v>44884</v>
      </c>
    </row>
    <row r="230" spans="23:23" x14ac:dyDescent="0.15">
      <c r="W230" s="206">
        <f>Admin!B230</f>
        <v>44885</v>
      </c>
    </row>
    <row r="231" spans="23:23" x14ac:dyDescent="0.15">
      <c r="W231" s="206">
        <f>Admin!B231</f>
        <v>44886</v>
      </c>
    </row>
    <row r="232" spans="23:23" x14ac:dyDescent="0.15">
      <c r="W232" s="206">
        <f>Admin!B232</f>
        <v>44887</v>
      </c>
    </row>
    <row r="233" spans="23:23" x14ac:dyDescent="0.15">
      <c r="W233" s="206">
        <f>Admin!B233</f>
        <v>44888</v>
      </c>
    </row>
    <row r="234" spans="23:23" x14ac:dyDescent="0.15">
      <c r="W234" s="206">
        <f>Admin!B234</f>
        <v>44889</v>
      </c>
    </row>
    <row r="235" spans="23:23" x14ac:dyDescent="0.15">
      <c r="W235" s="206">
        <f>Admin!B235</f>
        <v>44890</v>
      </c>
    </row>
    <row r="236" spans="23:23" x14ac:dyDescent="0.15">
      <c r="W236" s="206">
        <f>Admin!B236</f>
        <v>44891</v>
      </c>
    </row>
    <row r="237" spans="23:23" x14ac:dyDescent="0.15">
      <c r="W237" s="206">
        <f>Admin!B237</f>
        <v>44892</v>
      </c>
    </row>
    <row r="238" spans="23:23" x14ac:dyDescent="0.15">
      <c r="W238" s="206">
        <f>Admin!B238</f>
        <v>44893</v>
      </c>
    </row>
    <row r="239" spans="23:23" x14ac:dyDescent="0.15">
      <c r="W239" s="206">
        <f>Admin!B239</f>
        <v>44894</v>
      </c>
    </row>
    <row r="240" spans="23:23" x14ac:dyDescent="0.15">
      <c r="W240" s="206">
        <f>Admin!B240</f>
        <v>44895</v>
      </c>
    </row>
    <row r="241" spans="23:23" x14ac:dyDescent="0.15">
      <c r="W241" s="206">
        <f>Admin!B241</f>
        <v>44896</v>
      </c>
    </row>
    <row r="242" spans="23:23" x14ac:dyDescent="0.15">
      <c r="W242" s="206">
        <f>Admin!B242</f>
        <v>44897</v>
      </c>
    </row>
    <row r="243" spans="23:23" x14ac:dyDescent="0.15">
      <c r="W243" s="206">
        <f>Admin!B243</f>
        <v>44898</v>
      </c>
    </row>
    <row r="244" spans="23:23" x14ac:dyDescent="0.15">
      <c r="W244" s="206">
        <f>Admin!B244</f>
        <v>44899</v>
      </c>
    </row>
    <row r="245" spans="23:23" x14ac:dyDescent="0.15">
      <c r="W245" s="206">
        <f>Admin!B245</f>
        <v>44900</v>
      </c>
    </row>
    <row r="246" spans="23:23" x14ac:dyDescent="0.15">
      <c r="W246" s="206">
        <f>Admin!B246</f>
        <v>44901</v>
      </c>
    </row>
    <row r="247" spans="23:23" x14ac:dyDescent="0.15">
      <c r="W247" s="206">
        <f>Admin!B247</f>
        <v>44902</v>
      </c>
    </row>
    <row r="248" spans="23:23" x14ac:dyDescent="0.15">
      <c r="W248" s="206">
        <f>Admin!B248</f>
        <v>44903</v>
      </c>
    </row>
    <row r="249" spans="23:23" x14ac:dyDescent="0.15">
      <c r="W249" s="206">
        <f>Admin!B249</f>
        <v>44904</v>
      </c>
    </row>
    <row r="250" spans="23:23" x14ac:dyDescent="0.15">
      <c r="W250" s="206">
        <f>Admin!B250</f>
        <v>44905</v>
      </c>
    </row>
    <row r="251" spans="23:23" x14ac:dyDescent="0.15">
      <c r="W251" s="206">
        <f>Admin!B251</f>
        <v>44906</v>
      </c>
    </row>
    <row r="252" spans="23:23" x14ac:dyDescent="0.15">
      <c r="W252" s="206">
        <f>Admin!B252</f>
        <v>44907</v>
      </c>
    </row>
    <row r="253" spans="23:23" x14ac:dyDescent="0.15">
      <c r="W253" s="206">
        <f>Admin!B253</f>
        <v>44908</v>
      </c>
    </row>
    <row r="254" spans="23:23" x14ac:dyDescent="0.15">
      <c r="W254" s="206">
        <f>Admin!B254</f>
        <v>44909</v>
      </c>
    </row>
    <row r="255" spans="23:23" x14ac:dyDescent="0.15">
      <c r="W255" s="206">
        <f>Admin!B255</f>
        <v>44910</v>
      </c>
    </row>
    <row r="256" spans="23:23" x14ac:dyDescent="0.15">
      <c r="W256" s="206">
        <f>Admin!B256</f>
        <v>44911</v>
      </c>
    </row>
    <row r="257" spans="23:23" x14ac:dyDescent="0.15">
      <c r="W257" s="206">
        <f>Admin!B257</f>
        <v>44912</v>
      </c>
    </row>
    <row r="258" spans="23:23" x14ac:dyDescent="0.15">
      <c r="W258" s="206">
        <f>Admin!B258</f>
        <v>44913</v>
      </c>
    </row>
    <row r="259" spans="23:23" x14ac:dyDescent="0.15">
      <c r="W259" s="206">
        <f>Admin!B259</f>
        <v>44914</v>
      </c>
    </row>
    <row r="260" spans="23:23" x14ac:dyDescent="0.15">
      <c r="W260" s="206">
        <f>Admin!B260</f>
        <v>44915</v>
      </c>
    </row>
    <row r="261" spans="23:23" x14ac:dyDescent="0.15">
      <c r="W261" s="206">
        <f>Admin!B261</f>
        <v>44916</v>
      </c>
    </row>
    <row r="262" spans="23:23" x14ac:dyDescent="0.15">
      <c r="W262" s="206">
        <f>Admin!B262</f>
        <v>44917</v>
      </c>
    </row>
    <row r="263" spans="23:23" x14ac:dyDescent="0.15">
      <c r="W263" s="206">
        <f>Admin!B263</f>
        <v>44918</v>
      </c>
    </row>
    <row r="264" spans="23:23" x14ac:dyDescent="0.15">
      <c r="W264" s="206">
        <f>Admin!B264</f>
        <v>44919</v>
      </c>
    </row>
    <row r="265" spans="23:23" x14ac:dyDescent="0.15">
      <c r="W265" s="206">
        <f>Admin!B265</f>
        <v>44920</v>
      </c>
    </row>
    <row r="266" spans="23:23" x14ac:dyDescent="0.15">
      <c r="W266" s="206">
        <f>Admin!B266</f>
        <v>44921</v>
      </c>
    </row>
    <row r="267" spans="23:23" x14ac:dyDescent="0.15">
      <c r="W267" s="206">
        <f>Admin!B267</f>
        <v>44922</v>
      </c>
    </row>
    <row r="268" spans="23:23" x14ac:dyDescent="0.15">
      <c r="W268" s="206">
        <f>Admin!B268</f>
        <v>44923</v>
      </c>
    </row>
    <row r="269" spans="23:23" x14ac:dyDescent="0.15">
      <c r="W269" s="206">
        <f>Admin!B269</f>
        <v>44924</v>
      </c>
    </row>
    <row r="270" spans="23:23" x14ac:dyDescent="0.15">
      <c r="W270" s="206">
        <f>Admin!B270</f>
        <v>44925</v>
      </c>
    </row>
    <row r="271" spans="23:23" x14ac:dyDescent="0.15">
      <c r="W271" s="206">
        <f>Admin!B271</f>
        <v>44926</v>
      </c>
    </row>
    <row r="272" spans="23:23" x14ac:dyDescent="0.15">
      <c r="W272" s="206">
        <f>Admin!B272</f>
        <v>44927</v>
      </c>
    </row>
    <row r="273" spans="23:23" x14ac:dyDescent="0.15">
      <c r="W273" s="206">
        <f>Admin!B273</f>
        <v>44928</v>
      </c>
    </row>
    <row r="274" spans="23:23" x14ac:dyDescent="0.15">
      <c r="W274" s="206">
        <f>Admin!B274</f>
        <v>44929</v>
      </c>
    </row>
    <row r="275" spans="23:23" x14ac:dyDescent="0.15">
      <c r="W275" s="206">
        <f>Admin!B275</f>
        <v>44930</v>
      </c>
    </row>
    <row r="276" spans="23:23" x14ac:dyDescent="0.15">
      <c r="W276" s="206">
        <f>Admin!B276</f>
        <v>44931</v>
      </c>
    </row>
    <row r="277" spans="23:23" x14ac:dyDescent="0.15">
      <c r="W277" s="206">
        <f>Admin!B277</f>
        <v>44932</v>
      </c>
    </row>
    <row r="278" spans="23:23" x14ac:dyDescent="0.15">
      <c r="W278" s="206">
        <f>Admin!B278</f>
        <v>44933</v>
      </c>
    </row>
    <row r="279" spans="23:23" x14ac:dyDescent="0.15">
      <c r="W279" s="206">
        <f>Admin!B279</f>
        <v>44934</v>
      </c>
    </row>
    <row r="280" spans="23:23" x14ac:dyDescent="0.15">
      <c r="W280" s="206">
        <f>Admin!B280</f>
        <v>44935</v>
      </c>
    </row>
    <row r="281" spans="23:23" x14ac:dyDescent="0.15">
      <c r="W281" s="206">
        <f>Admin!B281</f>
        <v>44936</v>
      </c>
    </row>
    <row r="282" spans="23:23" x14ac:dyDescent="0.15">
      <c r="W282" s="206">
        <f>Admin!B282</f>
        <v>44937</v>
      </c>
    </row>
    <row r="283" spans="23:23" x14ac:dyDescent="0.15">
      <c r="W283" s="206">
        <f>Admin!B283</f>
        <v>44938</v>
      </c>
    </row>
    <row r="284" spans="23:23" x14ac:dyDescent="0.15">
      <c r="W284" s="206">
        <f>Admin!B284</f>
        <v>44939</v>
      </c>
    </row>
    <row r="285" spans="23:23" x14ac:dyDescent="0.15">
      <c r="W285" s="206">
        <f>Admin!B285</f>
        <v>44940</v>
      </c>
    </row>
    <row r="286" spans="23:23" x14ac:dyDescent="0.15">
      <c r="W286" s="206">
        <f>Admin!B286</f>
        <v>44941</v>
      </c>
    </row>
    <row r="287" spans="23:23" x14ac:dyDescent="0.15">
      <c r="W287" s="206">
        <f>Admin!B287</f>
        <v>44942</v>
      </c>
    </row>
    <row r="288" spans="23:23" x14ac:dyDescent="0.15">
      <c r="W288" s="206">
        <f>Admin!B288</f>
        <v>44943</v>
      </c>
    </row>
    <row r="289" spans="23:23" x14ac:dyDescent="0.15">
      <c r="W289" s="206">
        <f>Admin!B289</f>
        <v>44944</v>
      </c>
    </row>
    <row r="290" spans="23:23" x14ac:dyDescent="0.15">
      <c r="W290" s="206">
        <f>Admin!B290</f>
        <v>44945</v>
      </c>
    </row>
    <row r="291" spans="23:23" x14ac:dyDescent="0.15">
      <c r="W291" s="206">
        <f>Admin!B291</f>
        <v>44946</v>
      </c>
    </row>
    <row r="292" spans="23:23" x14ac:dyDescent="0.15">
      <c r="W292" s="206">
        <f>Admin!B292</f>
        <v>44947</v>
      </c>
    </row>
    <row r="293" spans="23:23" x14ac:dyDescent="0.15">
      <c r="W293" s="206">
        <f>Admin!B293</f>
        <v>44948</v>
      </c>
    </row>
    <row r="294" spans="23:23" x14ac:dyDescent="0.15">
      <c r="W294" s="206">
        <f>Admin!B294</f>
        <v>44949</v>
      </c>
    </row>
    <row r="295" spans="23:23" x14ac:dyDescent="0.15">
      <c r="W295" s="206">
        <f>Admin!B295</f>
        <v>44950</v>
      </c>
    </row>
    <row r="296" spans="23:23" x14ac:dyDescent="0.15">
      <c r="W296" s="206">
        <f>Admin!B296</f>
        <v>44951</v>
      </c>
    </row>
    <row r="297" spans="23:23" x14ac:dyDescent="0.15">
      <c r="W297" s="206">
        <f>Admin!B297</f>
        <v>44952</v>
      </c>
    </row>
    <row r="298" spans="23:23" x14ac:dyDescent="0.15">
      <c r="W298" s="206">
        <f>Admin!B298</f>
        <v>44953</v>
      </c>
    </row>
    <row r="299" spans="23:23" x14ac:dyDescent="0.15">
      <c r="W299" s="206">
        <f>Admin!B299</f>
        <v>44954</v>
      </c>
    </row>
    <row r="300" spans="23:23" x14ac:dyDescent="0.15">
      <c r="W300" s="206">
        <f>Admin!B300</f>
        <v>44955</v>
      </c>
    </row>
    <row r="301" spans="23:23" x14ac:dyDescent="0.15">
      <c r="W301" s="206">
        <f>Admin!B301</f>
        <v>44956</v>
      </c>
    </row>
    <row r="302" spans="23:23" x14ac:dyDescent="0.15">
      <c r="W302" s="206">
        <f>Admin!B302</f>
        <v>44957</v>
      </c>
    </row>
    <row r="303" spans="23:23" x14ac:dyDescent="0.15">
      <c r="W303" s="206">
        <f>Admin!B303</f>
        <v>44958</v>
      </c>
    </row>
    <row r="304" spans="23:23" x14ac:dyDescent="0.15">
      <c r="W304" s="206">
        <f>Admin!B304</f>
        <v>44959</v>
      </c>
    </row>
    <row r="305" spans="23:23" x14ac:dyDescent="0.15">
      <c r="W305" s="206">
        <f>Admin!B305</f>
        <v>44960</v>
      </c>
    </row>
    <row r="306" spans="23:23" x14ac:dyDescent="0.15">
      <c r="W306" s="206">
        <f>Admin!B306</f>
        <v>44961</v>
      </c>
    </row>
    <row r="307" spans="23:23" x14ac:dyDescent="0.15">
      <c r="W307" s="206">
        <f>Admin!B307</f>
        <v>44962</v>
      </c>
    </row>
    <row r="308" spans="23:23" x14ac:dyDescent="0.15">
      <c r="W308" s="206">
        <f>Admin!B308</f>
        <v>44963</v>
      </c>
    </row>
    <row r="309" spans="23:23" x14ac:dyDescent="0.15">
      <c r="W309" s="206">
        <f>Admin!B309</f>
        <v>44964</v>
      </c>
    </row>
    <row r="310" spans="23:23" x14ac:dyDescent="0.15">
      <c r="W310" s="206">
        <f>Admin!B310</f>
        <v>44965</v>
      </c>
    </row>
    <row r="311" spans="23:23" x14ac:dyDescent="0.15">
      <c r="W311" s="206">
        <f>Admin!B311</f>
        <v>44966</v>
      </c>
    </row>
    <row r="312" spans="23:23" x14ac:dyDescent="0.15">
      <c r="W312" s="206">
        <f>Admin!B312</f>
        <v>44967</v>
      </c>
    </row>
    <row r="313" spans="23:23" x14ac:dyDescent="0.15">
      <c r="W313" s="206">
        <f>Admin!B313</f>
        <v>44968</v>
      </c>
    </row>
    <row r="314" spans="23:23" x14ac:dyDescent="0.15">
      <c r="W314" s="206">
        <f>Admin!B314</f>
        <v>44969</v>
      </c>
    </row>
    <row r="315" spans="23:23" x14ac:dyDescent="0.15">
      <c r="W315" s="206">
        <f>Admin!B315</f>
        <v>44970</v>
      </c>
    </row>
    <row r="316" spans="23:23" x14ac:dyDescent="0.15">
      <c r="W316" s="206">
        <f>Admin!B316</f>
        <v>44971</v>
      </c>
    </row>
    <row r="317" spans="23:23" x14ac:dyDescent="0.15">
      <c r="W317" s="206">
        <f>Admin!B317</f>
        <v>44972</v>
      </c>
    </row>
    <row r="318" spans="23:23" x14ac:dyDescent="0.15">
      <c r="W318" s="206">
        <f>Admin!B318</f>
        <v>44973</v>
      </c>
    </row>
    <row r="319" spans="23:23" x14ac:dyDescent="0.15">
      <c r="W319" s="206">
        <f>Admin!B319</f>
        <v>44974</v>
      </c>
    </row>
    <row r="320" spans="23:23" x14ac:dyDescent="0.15">
      <c r="W320" s="206">
        <f>Admin!B320</f>
        <v>44975</v>
      </c>
    </row>
    <row r="321" spans="23:23" x14ac:dyDescent="0.15">
      <c r="W321" s="206">
        <f>Admin!B321</f>
        <v>44976</v>
      </c>
    </row>
    <row r="322" spans="23:23" x14ac:dyDescent="0.15">
      <c r="W322" s="206">
        <f>Admin!B322</f>
        <v>44977</v>
      </c>
    </row>
    <row r="323" spans="23:23" x14ac:dyDescent="0.15">
      <c r="W323" s="206">
        <f>Admin!B323</f>
        <v>44978</v>
      </c>
    </row>
    <row r="324" spans="23:23" x14ac:dyDescent="0.15">
      <c r="W324" s="206">
        <f>Admin!B324</f>
        <v>44979</v>
      </c>
    </row>
    <row r="325" spans="23:23" x14ac:dyDescent="0.15">
      <c r="W325" s="206">
        <f>Admin!B325</f>
        <v>44980</v>
      </c>
    </row>
    <row r="326" spans="23:23" x14ac:dyDescent="0.15">
      <c r="W326" s="206">
        <f>Admin!B326</f>
        <v>44981</v>
      </c>
    </row>
    <row r="327" spans="23:23" x14ac:dyDescent="0.15">
      <c r="W327" s="206">
        <f>Admin!B327</f>
        <v>44982</v>
      </c>
    </row>
    <row r="328" spans="23:23" x14ac:dyDescent="0.15">
      <c r="W328" s="206">
        <f>Admin!B328</f>
        <v>44983</v>
      </c>
    </row>
    <row r="329" spans="23:23" x14ac:dyDescent="0.15">
      <c r="W329" s="206">
        <f>Admin!B329</f>
        <v>44984</v>
      </c>
    </row>
    <row r="330" spans="23:23" x14ac:dyDescent="0.15">
      <c r="W330" s="206">
        <f>Admin!B330</f>
        <v>44985</v>
      </c>
    </row>
    <row r="331" spans="23:23" x14ac:dyDescent="0.15">
      <c r="W331" s="206">
        <f>Admin!B331</f>
        <v>44986</v>
      </c>
    </row>
    <row r="332" spans="23:23" x14ac:dyDescent="0.15">
      <c r="W332" s="206">
        <f>Admin!B332</f>
        <v>44987</v>
      </c>
    </row>
    <row r="333" spans="23:23" x14ac:dyDescent="0.15">
      <c r="W333" s="206">
        <f>Admin!B333</f>
        <v>44988</v>
      </c>
    </row>
    <row r="334" spans="23:23" x14ac:dyDescent="0.15">
      <c r="W334" s="206">
        <f>Admin!B334</f>
        <v>44989</v>
      </c>
    </row>
    <row r="335" spans="23:23" x14ac:dyDescent="0.15">
      <c r="W335" s="206">
        <f>Admin!B335</f>
        <v>44990</v>
      </c>
    </row>
    <row r="336" spans="23:23" x14ac:dyDescent="0.15">
      <c r="W336" s="206">
        <f>Admin!B336</f>
        <v>44991</v>
      </c>
    </row>
    <row r="337" spans="23:23" x14ac:dyDescent="0.15">
      <c r="W337" s="206">
        <f>Admin!B337</f>
        <v>44992</v>
      </c>
    </row>
    <row r="338" spans="23:23" x14ac:dyDescent="0.15">
      <c r="W338" s="206">
        <f>Admin!B338</f>
        <v>44993</v>
      </c>
    </row>
    <row r="339" spans="23:23" x14ac:dyDescent="0.15">
      <c r="W339" s="206">
        <f>Admin!B339</f>
        <v>44994</v>
      </c>
    </row>
    <row r="340" spans="23:23" x14ac:dyDescent="0.15">
      <c r="W340" s="206">
        <f>Admin!B340</f>
        <v>44995</v>
      </c>
    </row>
    <row r="341" spans="23:23" x14ac:dyDescent="0.15">
      <c r="W341" s="206">
        <f>Admin!B341</f>
        <v>44996</v>
      </c>
    </row>
    <row r="342" spans="23:23" x14ac:dyDescent="0.15">
      <c r="W342" s="206">
        <f>Admin!B342</f>
        <v>44997</v>
      </c>
    </row>
    <row r="343" spans="23:23" x14ac:dyDescent="0.15">
      <c r="W343" s="206">
        <f>Admin!B343</f>
        <v>44998</v>
      </c>
    </row>
    <row r="344" spans="23:23" x14ac:dyDescent="0.15">
      <c r="W344" s="206">
        <f>Admin!B344</f>
        <v>44999</v>
      </c>
    </row>
    <row r="345" spans="23:23" x14ac:dyDescent="0.15">
      <c r="W345" s="206">
        <f>Admin!B345</f>
        <v>45000</v>
      </c>
    </row>
    <row r="346" spans="23:23" x14ac:dyDescent="0.15">
      <c r="W346" s="206">
        <f>Admin!B346</f>
        <v>45001</v>
      </c>
    </row>
    <row r="347" spans="23:23" x14ac:dyDescent="0.15">
      <c r="W347" s="206">
        <f>Admin!B347</f>
        <v>45002</v>
      </c>
    </row>
    <row r="348" spans="23:23" x14ac:dyDescent="0.15">
      <c r="W348" s="206">
        <f>Admin!B348</f>
        <v>45003</v>
      </c>
    </row>
    <row r="349" spans="23:23" x14ac:dyDescent="0.15">
      <c r="W349" s="206">
        <f>Admin!B349</f>
        <v>45004</v>
      </c>
    </row>
    <row r="350" spans="23:23" x14ac:dyDescent="0.15">
      <c r="W350" s="206">
        <f>Admin!B350</f>
        <v>45005</v>
      </c>
    </row>
    <row r="351" spans="23:23" x14ac:dyDescent="0.15">
      <c r="W351" s="206">
        <f>Admin!B351</f>
        <v>45006</v>
      </c>
    </row>
    <row r="352" spans="23:23" x14ac:dyDescent="0.15">
      <c r="W352" s="206">
        <f>Admin!B352</f>
        <v>45007</v>
      </c>
    </row>
    <row r="353" spans="23:23" x14ac:dyDescent="0.15">
      <c r="W353" s="206">
        <f>Admin!B353</f>
        <v>45008</v>
      </c>
    </row>
    <row r="354" spans="23:23" x14ac:dyDescent="0.15">
      <c r="W354" s="206">
        <f>Admin!B354</f>
        <v>45009</v>
      </c>
    </row>
    <row r="355" spans="23:23" x14ac:dyDescent="0.15">
      <c r="W355" s="206">
        <f>Admin!B355</f>
        <v>45010</v>
      </c>
    </row>
    <row r="356" spans="23:23" x14ac:dyDescent="0.15">
      <c r="W356" s="206">
        <f>Admin!B356</f>
        <v>45011</v>
      </c>
    </row>
    <row r="357" spans="23:23" x14ac:dyDescent="0.15">
      <c r="W357" s="206">
        <f>Admin!B357</f>
        <v>45012</v>
      </c>
    </row>
    <row r="358" spans="23:23" x14ac:dyDescent="0.15">
      <c r="W358" s="206">
        <f>Admin!B358</f>
        <v>45013</v>
      </c>
    </row>
    <row r="359" spans="23:23" x14ac:dyDescent="0.15">
      <c r="W359" s="206">
        <f>Admin!B359</f>
        <v>45014</v>
      </c>
    </row>
    <row r="360" spans="23:23" x14ac:dyDescent="0.15">
      <c r="W360" s="206">
        <f>Admin!B360</f>
        <v>45015</v>
      </c>
    </row>
    <row r="361" spans="23:23" x14ac:dyDescent="0.15">
      <c r="W361" s="206">
        <f>Admin!B361</f>
        <v>45016</v>
      </c>
    </row>
    <row r="362" spans="23:23" x14ac:dyDescent="0.15">
      <c r="W362" s="206">
        <f>Admin!B362</f>
        <v>45017</v>
      </c>
    </row>
    <row r="363" spans="23:23" x14ac:dyDescent="0.15">
      <c r="W363" s="206">
        <f>Admin!B363</f>
        <v>45018</v>
      </c>
    </row>
    <row r="364" spans="23:23" x14ac:dyDescent="0.15">
      <c r="W364" s="206">
        <f>Admin!B364</f>
        <v>45019</v>
      </c>
    </row>
    <row r="365" spans="23:23" x14ac:dyDescent="0.15">
      <c r="W365" s="206">
        <f>Admin!B365</f>
        <v>45020</v>
      </c>
    </row>
    <row r="366" spans="23:23" x14ac:dyDescent="0.15">
      <c r="W366" s="206">
        <f>Admin!B366</f>
        <v>45021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44657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44657</v>
      </c>
      <c r="L49" s="203" t="s">
        <v>76</v>
      </c>
      <c r="M49" s="205">
        <f>Admin!B26</f>
        <v>44681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Jun!M39+1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44682</v>
      </c>
      <c r="L49" s="203" t="s">
        <v>76</v>
      </c>
      <c r="M49" s="205">
        <f>Admin!B57</f>
        <v>44712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110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111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111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111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IF(T$49="Y",Jun!H55,0)</f>
        <v>0</v>
      </c>
      <c r="I55" s="245">
        <f>IF(T$49="Y",Jun!I55,0)</f>
        <v>0</v>
      </c>
      <c r="J55" s="245">
        <f>IF(T$49="Y",Jun!J55,0)</f>
        <v>0</v>
      </c>
      <c r="K55" s="245">
        <f>IF(T$49="Y",Jun!K55,I55*J55)</f>
        <v>0</v>
      </c>
      <c r="L55" s="246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Jul!M39+1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44713</v>
      </c>
      <c r="L59" s="203" t="s">
        <v>76</v>
      </c>
      <c r="M59" s="205">
        <f>Admin!B87</f>
        <v>44742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IF(T$59="Y",Jul!H51,0)</f>
        <v>0</v>
      </c>
      <c r="I61" s="89">
        <f>IF(T$59="Y",Jul!I51,0)</f>
        <v>0</v>
      </c>
      <c r="J61" s="89">
        <f>IF(T$59="Y",Jul!J51,0)</f>
        <v>0</v>
      </c>
      <c r="K61" s="89">
        <f>IF(T$59="Y",Jul!K51,I61*J61)</f>
        <v>0</v>
      </c>
      <c r="L61" s="110">
        <f>IF(T$59="Y",Jul!L51,0)</f>
        <v>0</v>
      </c>
      <c r="M61" s="99" t="str">
        <f>IF(E61=" "," ",IF(T$59="Y",Jul!M51,IF((H61+K61+L61)&gt;0,H61+K61+L61,"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IF(Employee!H$35=E$59,Employee!D$34+SUM(M61)+Jul!V51,SUM(M61)+Jul!V51)</f>
        <v>0</v>
      </c>
      <c r="W61" s="49">
        <f>IF(Employee!H$35=E$59,Employee!D$35+SUM(N61)+Jul!W51,SUM(N61)+Jul!W51)</f>
        <v>0</v>
      </c>
      <c r="X61" s="49">
        <f>IF(O61=" ",Jul!X51,O61+Jul!X51)</f>
        <v>0</v>
      </c>
      <c r="Y61" s="49">
        <f>IF(P61=" ",Jul!Y51,P61+Jul!Y51)</f>
        <v>0</v>
      </c>
      <c r="Z61" s="49">
        <f>IF(Q61=" ",Jul!Z51,Q61+Jul!Z51)</f>
        <v>0</v>
      </c>
      <c r="AA61" s="49">
        <f>IF(R61=" ",Jul!AA51,R61+Jul!AA51)</f>
        <v>0</v>
      </c>
      <c r="AC61" s="49">
        <f>IF(T61=" ",Jul!AC51,T61+Jul!AC51)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IF(T$59="Y",Jul!H52,0)</f>
        <v>0</v>
      </c>
      <c r="I62" s="92">
        <f>IF(T$59="Y",Jul!I52,0)</f>
        <v>0</v>
      </c>
      <c r="J62" s="92">
        <f>IF(T$59="Y",Jul!J52,0)</f>
        <v>0</v>
      </c>
      <c r="K62" s="92">
        <f>IF(T$59="Y",Jul!K52,I62*J62)</f>
        <v>0</v>
      </c>
      <c r="L62" s="111">
        <f>IF(T$59="Y",Jul!L52,0)</f>
        <v>0</v>
      </c>
      <c r="M62" s="100" t="str">
        <f>IF(E62=" "," ",IF(T$59="Y",Jul!M52,IF((H62+K62+L62)&gt;0,H62+K62+L62,"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IF(Employee!H$61=E$59,Employee!D$60+SUM(M62)+Jul!V52,SUM(M62)+Jul!V52)</f>
        <v>0</v>
      </c>
      <c r="W62" s="49">
        <f>IF(Employee!H$61=E$59,Employee!D$61+SUM(N62)+Jul!W52,SUM(N62)+Jul!W52)</f>
        <v>0</v>
      </c>
      <c r="X62" s="49">
        <f>IF(O62=" ",Jul!X52,O62+Jul!X52)</f>
        <v>0</v>
      </c>
      <c r="Y62" s="49">
        <f>IF(P62=" ",Jul!Y52,P62+Jul!Y52)</f>
        <v>0</v>
      </c>
      <c r="Z62" s="49">
        <f>IF(Q62=" ",Jul!Z52,Q62+Jul!Z52)</f>
        <v>0</v>
      </c>
      <c r="AA62" s="49">
        <f>IF(R62=" ",Jul!AA52,R62+Jul!AA52)</f>
        <v>0</v>
      </c>
      <c r="AC62" s="49">
        <f>IF(T62=" ",Jul!AC52,T62+Jul!AC52)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IF(T$59="Y",Jul!H53,0)</f>
        <v>0</v>
      </c>
      <c r="I63" s="92">
        <f>IF(T$59="Y",Jul!I53,0)</f>
        <v>0</v>
      </c>
      <c r="J63" s="92">
        <f>IF(T$59="Y",Jul!J53,0)</f>
        <v>0</v>
      </c>
      <c r="K63" s="92">
        <f>IF(T$59="Y",Jul!K53,I63*J63)</f>
        <v>0</v>
      </c>
      <c r="L63" s="111">
        <f>IF(T$59="Y",Jul!L53,0)</f>
        <v>0</v>
      </c>
      <c r="M63" s="100" t="str">
        <f>IF(E63=" "," ",IF(T$59="Y",Jul!M53,IF((H63+K63+L63)&gt;0,H63+K63+L63,"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IF(Employee!H$87=E$59,Employee!D$86+SUM(M63)+Jul!V53,SUM(M63)+Jul!V53)</f>
        <v>0</v>
      </c>
      <c r="W63" s="49">
        <f>IF(Employee!H$87=E$59,Employee!D$87+SUM(N63)+Jul!W53,SUM(N63)+Jul!W53)</f>
        <v>0</v>
      </c>
      <c r="X63" s="49">
        <f>IF(O63=" ",Jul!X53,O63+Jul!X53)</f>
        <v>0</v>
      </c>
      <c r="Y63" s="49">
        <f>IF(P63=" ",Jul!Y53,P63+Jul!Y53)</f>
        <v>0</v>
      </c>
      <c r="Z63" s="49">
        <f>IF(Q63=" ",Jul!Z53,Q63+Jul!Z53)</f>
        <v>0</v>
      </c>
      <c r="AA63" s="49">
        <f>IF(R63=" ",Jul!AA53,R63+Jul!AA53)</f>
        <v>0</v>
      </c>
      <c r="AC63" s="49">
        <f>IF(T63=" ",Jul!AC53,T63+Jul!AC53)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IF(T$59="Y",Jul!H54,0)</f>
        <v>0</v>
      </c>
      <c r="I64" s="92">
        <f>IF(T$59="Y",Jul!I54,0)</f>
        <v>0</v>
      </c>
      <c r="J64" s="92">
        <f>IF(T$59="Y",Jul!J54,0)</f>
        <v>0</v>
      </c>
      <c r="K64" s="92">
        <f>IF(T$59="Y",Jul!K54,I64*J64)</f>
        <v>0</v>
      </c>
      <c r="L64" s="111">
        <f>IF(T$59="Y",Jul!L54,0)</f>
        <v>0</v>
      </c>
      <c r="M64" s="100" t="str">
        <f>IF(E64=" "," ",IF(T$59="Y",Jul!M54,IF((H64+K64+L64)&gt;0,H64+K64+L64,"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IF(Employee!H$113=E$59,Employee!D$112+SUM(M64)+Jul!V54,SUM(M64)+Jul!V54)</f>
        <v>0</v>
      </c>
      <c r="W64" s="49">
        <f>IF(Employee!H$113=E$59,Employee!D$113+SUM(N64)+Jul!W54,SUM(N64)+Jul!W54)</f>
        <v>0</v>
      </c>
      <c r="X64" s="49">
        <f>IF(O64=" ",Jul!X54,O64+Jul!X54)</f>
        <v>0</v>
      </c>
      <c r="Y64" s="49">
        <f>IF(P64=" ",Jul!Y54,P64+Jul!Y54)</f>
        <v>0</v>
      </c>
      <c r="Z64" s="49">
        <f>IF(Q64=" ",Jul!Z54,Q64+Jul!Z54)</f>
        <v>0</v>
      </c>
      <c r="AA64" s="49">
        <f>IF(R64=" ",Jul!AA54,R64+Jul!AA54)</f>
        <v>0</v>
      </c>
      <c r="AC64" s="49">
        <f>IF(T64=" ",Jul!AC54,T64+Jul!AC54)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IF(T$59="Y",Jul!H55,0)</f>
        <v>0</v>
      </c>
      <c r="I65" s="245">
        <f>IF(T$59="Y",Jul!I55,0)</f>
        <v>0</v>
      </c>
      <c r="J65" s="245">
        <f>IF(T$59="Y",Jul!J55,0)</f>
        <v>0</v>
      </c>
      <c r="K65" s="245">
        <f>IF(T$59="Y",Jul!K55,I65*J65)</f>
        <v>0</v>
      </c>
      <c r="L65" s="246">
        <f>IF(T$59="Y",Jul!L55,0)</f>
        <v>0</v>
      </c>
      <c r="M65" s="100" t="str">
        <f>IF(E65=" "," ",IF(T$59="Y",Jul!M55,IF((H65+K65+L65)&gt;0,H65+K65+L65,"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IF(Employee!H$139=E$59,Employee!D$138+SUM(M65)+Jul!V55,SUM(M65)+Jul!V55)</f>
        <v>0</v>
      </c>
      <c r="W65" s="49">
        <f>IF(Employee!H$139=E$59,Employee!D$139+SUM(N65)+Jul!W55,SUM(N65)+Jul!W55)</f>
        <v>0</v>
      </c>
      <c r="X65" s="49">
        <f>IF(O65=" ",Jul!X55,O65+Jul!X55)</f>
        <v>0</v>
      </c>
      <c r="Y65" s="49">
        <f>IF(P65=" ",Jul!Y55,P65+Jul!Y55)</f>
        <v>0</v>
      </c>
      <c r="Z65" s="49">
        <f>IF(Q65=" ",Jul!Z55,Q65+Jul!Z55)</f>
        <v>0</v>
      </c>
      <c r="AA65" s="49">
        <f>IF(R65=" ",Jul!AA55,R65+Jul!AA55)</f>
        <v>0</v>
      </c>
      <c r="AC65" s="49">
        <f>IF(T65=" ",Jul!AC55,T65+Jul!AC55)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AD70+Jul!AD65</f>
        <v>0</v>
      </c>
      <c r="AE75" s="158">
        <f>AE70+Jul!AE65</f>
        <v>0</v>
      </c>
      <c r="AF75" s="158">
        <f>AF70+Jul!AF65</f>
        <v>0</v>
      </c>
      <c r="AG75" s="158">
        <f>AG70+Jul!AG65</f>
        <v>0</v>
      </c>
    </row>
    <row r="76" spans="1:34" ht="14" thickTop="1" x14ac:dyDescent="0.15"/>
    <row r="77" spans="1:34" x14ac:dyDescent="0.15">
      <c r="AD77" s="162"/>
      <c r="AE77" s="158">
        <f>AE72+Jul!AE67</f>
        <v>0</v>
      </c>
      <c r="AF77" s="158">
        <f>AF72+Jul!AF67</f>
        <v>0</v>
      </c>
      <c r="AG77" s="158">
        <f>AG72+Jul!AG67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44746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89">
        <f>IF(T$9="Y",Aug!L41,0)</f>
        <v>0</v>
      </c>
      <c r="M11" s="99" t="str">
        <f>IF(E11=" "," ",IF(T$9="Y",Aug!M41,IF((H11+K11+L11)&gt;0,H11+K11+L11,"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IF(Employee!H$34=E$9,Employee!D$34+SUM(M11)+Aug!V51,SUM(M11)+Aug!V51)</f>
        <v>0</v>
      </c>
      <c r="W11" s="49">
        <f>IF(Employee!H$34=E$9,Employee!D$35+SUM(N11)+Aug!W51,SUM(N11)+Aug!W51)</f>
        <v>0</v>
      </c>
      <c r="X11" s="49">
        <f>IF(O11=" ",Aug!X51,O11+Aug!X51)</f>
        <v>0</v>
      </c>
      <c r="Y11" s="49">
        <f>IF(P11=" ",Aug!Y51,P11+Aug!Y51)</f>
        <v>0</v>
      </c>
      <c r="Z11" s="49">
        <f>IF(Q11=" ",Aug!Z51,Q11+Aug!Z51)</f>
        <v>0</v>
      </c>
      <c r="AA11" s="49">
        <f>IF(R11=" ",Aug!AA51,R11+Aug!AA51)</f>
        <v>0</v>
      </c>
      <c r="AC11" s="49">
        <f>IF(T11=" ",Aug!AC51,T11+Aug!AC51)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92">
        <f>IF(T$9="Y",Aug!L42,0)</f>
        <v>0</v>
      </c>
      <c r="M12" s="100" t="str">
        <f>IF(E12=" "," ",IF(T$9="Y",Aug!M42,IF((H12+K12+L12)&gt;0,H12+K12+L12,"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IF(Employee!H$60=E$9,Employee!D$60+SUM(M12)+Aug!V52,SUM(M12)+Aug!V52)</f>
        <v>0</v>
      </c>
      <c r="W12" s="49">
        <f>IF(Employee!H$60=E$9,Employee!D$61+SUM(N12)+Aug!W52,SUM(N12)+Aug!W52)</f>
        <v>0</v>
      </c>
      <c r="X12" s="49">
        <f>IF(O12=" ",Aug!X52,O12+Aug!X52)</f>
        <v>0</v>
      </c>
      <c r="Y12" s="49">
        <f>IF(P12=" ",Aug!Y52,P12+Aug!Y52)</f>
        <v>0</v>
      </c>
      <c r="Z12" s="49">
        <f>IF(Q12=" ",Aug!Z52,Q12+Aug!Z52)</f>
        <v>0</v>
      </c>
      <c r="AA12" s="49">
        <f>IF(R12=" ",Aug!AA52,R12+Aug!AA52)</f>
        <v>0</v>
      </c>
      <c r="AC12" s="49">
        <f>IF(T12=" ",Aug!AC52,T12+Aug!AC52)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92">
        <f>IF(T$9="Y",Aug!L43,0)</f>
        <v>0</v>
      </c>
      <c r="M13" s="100" t="str">
        <f>IF(E13=" "," ",IF(T$9="Y",Aug!M43,IF((H13+K13+L13)&gt;0,H13+K13+L13,"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IF(Employee!H$86=E$9,Employee!D$86+SUM(M13)+Aug!V53,SUM(M13)+Aug!V53)</f>
        <v>0</v>
      </c>
      <c r="W13" s="49">
        <f>IF(Employee!H$86=E$9,Employee!D$87+SUM(N13)+Aug!W53,SUM(N13)+Aug!W53)</f>
        <v>0</v>
      </c>
      <c r="X13" s="49">
        <f>IF(O13=" ",Aug!X53,O13+Aug!X53)</f>
        <v>0</v>
      </c>
      <c r="Y13" s="49">
        <f>IF(P13=" ",Aug!Y53,P13+Aug!Y53)</f>
        <v>0</v>
      </c>
      <c r="Z13" s="49">
        <f>IF(Q13=" ",Aug!Z53,Q13+Aug!Z53)</f>
        <v>0</v>
      </c>
      <c r="AA13" s="49">
        <f>IF(R13=" ",Aug!AA53,R13+Aug!AA53)</f>
        <v>0</v>
      </c>
      <c r="AC13" s="49">
        <f>IF(T13=" ",Aug!AC53,T13+Aug!AC53)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92">
        <f>IF(T$9="Y",Aug!L44,0)</f>
        <v>0</v>
      </c>
      <c r="M14" s="100" t="str">
        <f>IF(E14=" "," ",IF(T$9="Y",Aug!M44,IF((H14+K14+L14)&gt;0,H14+K14+L14,"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IF(Employee!H$112=E$9,Employee!D$112+SUM(M14)+Aug!V54,SUM(M14)+Aug!V54)</f>
        <v>0</v>
      </c>
      <c r="W14" s="49">
        <f>IF(Employee!H$112=E$9,Employee!D$113+SUM(N14)+Aug!W54,SUM(N14)+Aug!W54)</f>
        <v>0</v>
      </c>
      <c r="X14" s="49">
        <f>IF(O14=" ",Aug!X54,O14+Aug!X54)</f>
        <v>0</v>
      </c>
      <c r="Y14" s="49">
        <f>IF(P14=" ",Aug!Y54,P14+Aug!Y54)</f>
        <v>0</v>
      </c>
      <c r="Z14" s="49">
        <f>IF(Q14=" ",Aug!Z54,Q14+Aug!Z54)</f>
        <v>0</v>
      </c>
      <c r="AA14" s="49">
        <f>IF(R14=" ",Aug!AA54,R14+Aug!AA54)</f>
        <v>0</v>
      </c>
      <c r="AC14" s="49">
        <f>IF(T14=" ",Aug!AC54,T14+Aug!AC54)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5">
        <f>IF(T$9="Y",Aug!L45,0)</f>
        <v>0</v>
      </c>
      <c r="M15" s="247" t="str">
        <f>IF(E15=" "," ",IF(T$9="Y",Aug!M45,IF((H15+K15+L15)&gt;0,H15+K15+L15,"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IF(Employee!H$138=E$9,Employee!D$138+SUM(M15)+Aug!V55,SUM(M15)+Aug!V55)</f>
        <v>0</v>
      </c>
      <c r="W15" s="49">
        <f>IF(Employee!H$138=E$9,Employee!D$139+SUM(N15)+Aug!W55,SUM(N15)+Aug!W55)</f>
        <v>0</v>
      </c>
      <c r="X15" s="49">
        <f>IF(O15=" ",Aug!X55,O15+Aug!X55)</f>
        <v>0</v>
      </c>
      <c r="Y15" s="49">
        <f>IF(P15=" ",Aug!Y55,P15+Aug!Y55)</f>
        <v>0</v>
      </c>
      <c r="Z15" s="49">
        <f>IF(Q15=" ",Aug!Z55,Q15+Aug!Z55)</f>
        <v>0</v>
      </c>
      <c r="AA15" s="49">
        <f>IF(R15=" ",Aug!AA55,R15+Aug!AA55)</f>
        <v>0</v>
      </c>
      <c r="AC15" s="49">
        <f>IF(T15=" ",Aug!AC55,T15+Aug!AC55)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44743</v>
      </c>
      <c r="L49" s="203" t="s">
        <v>76</v>
      </c>
      <c r="M49" s="205">
        <f>Admin!B118</f>
        <v>44773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IF(T$49="Y",Aug!H61,0)</f>
        <v>0</v>
      </c>
      <c r="I51" s="89">
        <f>IF(T$49="Y",Aug!I61,0)</f>
        <v>0</v>
      </c>
      <c r="J51" s="89">
        <f>IF(T$49="Y",Aug!J61,0)</f>
        <v>0</v>
      </c>
      <c r="K51" s="89">
        <f>IF(T$49="Y",Aug!K61,I51*J51)</f>
        <v>0</v>
      </c>
      <c r="L51" s="110">
        <f>IF(T$49="Y",Aug!L61,0)</f>
        <v>0</v>
      </c>
      <c r="M51" s="99" t="str">
        <f>IF(E51=" "," ",IF(T$49="Y",Aug!M61,IF((H51+K51+L51)&gt;0,H51+K51+L51,"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IF(Employee!H$35=E$49,Employee!D$34+SUM(M51)+Aug!V61,SUM(M51)+Aug!V61)</f>
        <v>0</v>
      </c>
      <c r="W51" s="49">
        <f>IF(Employee!H$35=E$49,Employee!D$35+SUM(N51)+Aug!W61,SUM(N51)+Aug!W61)</f>
        <v>0</v>
      </c>
      <c r="X51" s="49">
        <f>IF(O51=" ",Aug!X61,O51+Aug!X61)</f>
        <v>0</v>
      </c>
      <c r="Y51" s="49">
        <f>IF(P51=" ",Aug!Y61,P51+Aug!Y61)</f>
        <v>0</v>
      </c>
      <c r="Z51" s="49">
        <f>IF(Q51=" ",Aug!Z61,Q51+Aug!Z61)</f>
        <v>0</v>
      </c>
      <c r="AA51" s="49">
        <f>IF(R51=" ",Aug!AA61,R51+Aug!AA61)</f>
        <v>0</v>
      </c>
      <c r="AC51" s="49">
        <f>IF(T51=" ",Aug!AC61,T51+Aug!AC61)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IF(T$49="Y",Aug!H62,0)</f>
        <v>0</v>
      </c>
      <c r="I52" s="92">
        <f>IF(T$49="Y",Aug!I62,0)</f>
        <v>0</v>
      </c>
      <c r="J52" s="92">
        <f>IF(T$49="Y",Aug!J62,0)</f>
        <v>0</v>
      </c>
      <c r="K52" s="92">
        <f>IF(T$49="Y",Aug!K62,I52*J52)</f>
        <v>0</v>
      </c>
      <c r="L52" s="111">
        <f>IF(T$49="Y",Aug!L62,0)</f>
        <v>0</v>
      </c>
      <c r="M52" s="100" t="str">
        <f>IF(E52=" "," ",IF(T$49="Y",Aug!M62,IF((H52+K52+L52)&gt;0,H52+K52+L52,"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IF(Employee!H$61=E$49,Employee!D$60+SUM(M52)+Aug!V62,SUM(M52)+Aug!V62)</f>
        <v>0</v>
      </c>
      <c r="W52" s="49">
        <f>IF(Employee!H$61=E$49,Employee!D$61+SUM(N52)+Aug!W62,SUM(N52)+Aug!W62)</f>
        <v>0</v>
      </c>
      <c r="X52" s="49">
        <f>IF(O52=" ",Aug!X62,O52+Aug!X62)</f>
        <v>0</v>
      </c>
      <c r="Y52" s="49">
        <f>IF(P52=" ",Aug!Y62,P52+Aug!Y62)</f>
        <v>0</v>
      </c>
      <c r="Z52" s="49">
        <f>IF(Q52=" ",Aug!Z62,Q52+Aug!Z62)</f>
        <v>0</v>
      </c>
      <c r="AA52" s="49">
        <f>IF(R52=" ",Aug!AA62,R52+Aug!AA62)</f>
        <v>0</v>
      </c>
      <c r="AC52" s="49">
        <f>IF(T52=" ",Aug!AC62,T52+Aug!AC62)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IF(T$49="Y",Aug!H63,0)</f>
        <v>0</v>
      </c>
      <c r="I53" s="92">
        <f>IF(T$49="Y",Aug!I63,0)</f>
        <v>0</v>
      </c>
      <c r="J53" s="92">
        <f>IF(T$49="Y",Aug!J63,0)</f>
        <v>0</v>
      </c>
      <c r="K53" s="92">
        <f>IF(T$49="Y",Aug!K63,I53*J53)</f>
        <v>0</v>
      </c>
      <c r="L53" s="111">
        <f>IF(T$49="Y",Aug!L63,0)</f>
        <v>0</v>
      </c>
      <c r="M53" s="100" t="str">
        <f>IF(E53=" "," ",IF(T$49="Y",Aug!M63,IF((H53+K53+L53)&gt;0,H53+K53+L53,"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IF(Employee!H$87=E$49,Employee!D$86+SUM(M53)+Aug!V63,SUM(M53)+Aug!V63)</f>
        <v>0</v>
      </c>
      <c r="W53" s="49">
        <f>IF(Employee!H$87=E$49,Employee!D$87+SUM(N53)+Aug!W63,SUM(N53)+Aug!W63)</f>
        <v>0</v>
      </c>
      <c r="X53" s="49">
        <f>IF(O53=" ",Aug!X63,O53+Aug!X63)</f>
        <v>0</v>
      </c>
      <c r="Y53" s="49">
        <f>IF(P53=" ",Aug!Y63,P53+Aug!Y63)</f>
        <v>0</v>
      </c>
      <c r="Z53" s="49">
        <f>IF(Q53=" ",Aug!Z63,Q53+Aug!Z63)</f>
        <v>0</v>
      </c>
      <c r="AA53" s="49">
        <f>IF(R53=" ",Aug!AA63,R53+Aug!AA63)</f>
        <v>0</v>
      </c>
      <c r="AC53" s="49">
        <f>IF(T53=" ",Aug!AC63,T53+Aug!AC63)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IF(T$49="Y",Aug!H64,0)</f>
        <v>0</v>
      </c>
      <c r="I54" s="92">
        <f>IF(T$49="Y",Aug!I64,0)</f>
        <v>0</v>
      </c>
      <c r="J54" s="92">
        <f>IF(T$49="Y",Aug!J64,0)</f>
        <v>0</v>
      </c>
      <c r="K54" s="92">
        <f>IF(T$49="Y",Aug!K64,I54*J54)</f>
        <v>0</v>
      </c>
      <c r="L54" s="111">
        <f>IF(T$49="Y",Aug!L64,0)</f>
        <v>0</v>
      </c>
      <c r="M54" s="100" t="str">
        <f>IF(E54=" "," ",IF(T$49="Y",Aug!M64,IF((H54+K54+L54)&gt;0,H54+K54+L54,"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IF(Employee!H$113=E$49,Employee!D$112+SUM(M54)+Aug!V64,SUM(M54)+Aug!V64)</f>
        <v>0</v>
      </c>
      <c r="W54" s="49">
        <f>IF(Employee!H$113=E$49,Employee!D$113+SUM(N54)+Aug!W64,SUM(N54)+Aug!W64)</f>
        <v>0</v>
      </c>
      <c r="X54" s="49">
        <f>IF(O54=" ",Aug!X64,O54+Aug!X64)</f>
        <v>0</v>
      </c>
      <c r="Y54" s="49">
        <f>IF(P54=" ",Aug!Y64,P54+Aug!Y64)</f>
        <v>0</v>
      </c>
      <c r="Z54" s="49">
        <f>IF(Q54=" ",Aug!Z64,Q54+Aug!Z64)</f>
        <v>0</v>
      </c>
      <c r="AA54" s="49">
        <f>IF(R54=" ",Aug!AA64,R54+Aug!AA64)</f>
        <v>0</v>
      </c>
      <c r="AC54" s="49">
        <f>IF(T54=" ",Aug!AC64,T54+Aug!AC64)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IF(T$49="Y",Aug!H65,0)</f>
        <v>0</v>
      </c>
      <c r="I55" s="245">
        <f>IF(T$49="Y",Aug!I65,0)</f>
        <v>0</v>
      </c>
      <c r="J55" s="245">
        <f>IF(T$49="Y",Aug!J65,0)</f>
        <v>0</v>
      </c>
      <c r="K55" s="245">
        <f>IF(T$49="Y",Aug!K65,I55*J55)</f>
        <v>0</v>
      </c>
      <c r="L55" s="246">
        <f>IF(T$49="Y",Aug!L65,0)</f>
        <v>0</v>
      </c>
      <c r="M55" s="100" t="str">
        <f>IF(E55=" "," ",IF(T$49="Y",Aug!M65,IF((H55+K55+L55)&gt;0,H55+K55+L55,"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IF(Employee!H$139=E$49,Employee!D$138+SUM(M55)+Aug!V65,SUM(M55)+Aug!V65)</f>
        <v>0</v>
      </c>
      <c r="W55" s="49">
        <f>IF(Employee!H$139=E$49,Employee!D$139+SUM(N55)+Aug!W65,SUM(N55)+Aug!W65)</f>
        <v>0</v>
      </c>
      <c r="X55" s="49">
        <f>IF(O55=" ",Aug!X65,O55+Aug!X65)</f>
        <v>0</v>
      </c>
      <c r="Y55" s="49">
        <f>IF(P55=" ",Aug!Y65,P55+Aug!Y65)</f>
        <v>0</v>
      </c>
      <c r="Z55" s="49">
        <f>IF(Q55=" ",Aug!Z65,Q55+Aug!Z65)</f>
        <v>0</v>
      </c>
      <c r="AA55" s="49">
        <f>IF(R55=" ",Aug!AA65,R55+Aug!AA65)</f>
        <v>0</v>
      </c>
      <c r="AC55" s="49">
        <f>IF(T55=" ",Aug!AC65,T55+Aug!AC65)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AD60+Aug!AD75</f>
        <v>0</v>
      </c>
      <c r="AE65" s="158">
        <f>AE60+Aug!AE75</f>
        <v>0</v>
      </c>
      <c r="AF65" s="158">
        <f>AF60+Aug!AF75</f>
        <v>0</v>
      </c>
      <c r="AG65" s="158">
        <f>AG60+Aug!AG75</f>
        <v>0</v>
      </c>
    </row>
    <row r="66" spans="6:33" ht="14" thickTop="1" x14ac:dyDescent="0.15"/>
    <row r="67" spans="6:33" x14ac:dyDescent="0.15">
      <c r="AD67" s="162"/>
      <c r="AE67" s="158">
        <f>AE62+Aug!AE77</f>
        <v>0</v>
      </c>
      <c r="AF67" s="158">
        <f>AF62+Aug!AF77</f>
        <v>0</v>
      </c>
      <c r="AG67" s="158">
        <f>AG62+Aug!AG77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44774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IF(T$9="Y",Sep!H41,0)</f>
        <v>0</v>
      </c>
      <c r="I12" s="92">
        <f>IF(T$9="Y",Sep!I41,0)</f>
        <v>0</v>
      </c>
      <c r="J12" s="92">
        <f>IF(T$9="Y",Sep!J41,0)</f>
        <v>0</v>
      </c>
      <c r="K12" s="92">
        <f>IF(T$9="Y",Sep!K41,I12*J12)</f>
        <v>0</v>
      </c>
      <c r="L12" s="111">
        <f>IF(T$9="Y",Sep!L41,0)</f>
        <v>0</v>
      </c>
      <c r="M12" s="111" t="str">
        <f>IF(E12=" "," ",IF(T$9="Y",Sep!M41,IF((H12+K12+L12)&gt;0,H12+K12+L12,"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IF(T$9="Y",Sep!H41,0)</f>
        <v>0</v>
      </c>
      <c r="I13" s="92">
        <f>IF(T$9="Y",Sep!I41,0)</f>
        <v>0</v>
      </c>
      <c r="J13" s="92">
        <f>IF(T$9="Y",Sep!J41,0)</f>
        <v>0</v>
      </c>
      <c r="K13" s="92">
        <f>IF(T$9="Y",Sep!K41,I13*J13)</f>
        <v>0</v>
      </c>
      <c r="L13" s="111">
        <f>IF(T$9="Y",Sep!L41,0)</f>
        <v>0</v>
      </c>
      <c r="M13" s="111" t="str">
        <f>IF(E13=" "," ",IF(T$9="Y",Sep!M41,IF((H13+K13+L13)&gt;0,H13+K13+L13,"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IF(T$9="Y",Sep!H41,0)</f>
        <v>0</v>
      </c>
      <c r="I14" s="92">
        <f>IF(T$9="Y",Sep!I41,0)</f>
        <v>0</v>
      </c>
      <c r="J14" s="92">
        <f>IF(T$9="Y",Sep!J41,0)</f>
        <v>0</v>
      </c>
      <c r="K14" s="92">
        <f>IF(T$9="Y",Sep!K41,I14*J14)</f>
        <v>0</v>
      </c>
      <c r="L14" s="111">
        <f>IF(T$9="Y",Sep!L41,0)</f>
        <v>0</v>
      </c>
      <c r="M14" s="111" t="str">
        <f>IF(E14=" "," ",IF(T$9="Y",Sep!M41,IF((H14+K14+L14)&gt;0,H14+K14+L14,"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IF(T$9="Y",Sep!H41,0)</f>
        <v>0</v>
      </c>
      <c r="I15" s="245">
        <f>IF(T$9="Y",Sep!I41,0)</f>
        <v>0</v>
      </c>
      <c r="J15" s="245">
        <f>IF(T$9="Y",Sep!J41,0)</f>
        <v>0</v>
      </c>
      <c r="K15" s="245">
        <f>IF(T$9="Y",Sep!K41,I15*J15)</f>
        <v>0</v>
      </c>
      <c r="L15" s="246">
        <f>IF(T$9="Y",Sep!L41,0)</f>
        <v>0</v>
      </c>
      <c r="M15" s="246" t="str">
        <f>IF(E15=" "," ",IF(T$9="Y",Sep!M41,IF((H15+K15+L15)&gt;0,H15+K15+L15,"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44774</v>
      </c>
      <c r="L49" s="203" t="s">
        <v>76</v>
      </c>
      <c r="M49" s="205">
        <f>Admin!B149</f>
        <v>44804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89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92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92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IF(Employee!H$87=E$49,Employee!D$87+SUM(N53)+Sep!W53,SUM(N53)+Sep!W53)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92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IF(T$49="Y",Sep!H55,0)</f>
        <v>0</v>
      </c>
      <c r="I55" s="92">
        <f>IF(T$49="Y",Sep!I55,0)</f>
        <v>0</v>
      </c>
      <c r="J55" s="92">
        <f>IF(T$49="Y",Sep!J55,0)</f>
        <v>0</v>
      </c>
      <c r="K55" s="92">
        <f>IF(T$49="Y",Sep!K55,I55*J55)</f>
        <v>0</v>
      </c>
      <c r="L55" s="92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Oct!M39+1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44830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44805</v>
      </c>
      <c r="L59" s="203" t="s">
        <v>76</v>
      </c>
      <c r="M59" s="205">
        <f>Admin!B179</f>
        <v>44834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IF(T$59="Y",Oct!H51,0)</f>
        <v>0</v>
      </c>
      <c r="I61" s="89">
        <f>IF(T$59="Y",Oct!I51,0)</f>
        <v>0</v>
      </c>
      <c r="J61" s="89">
        <f>IF(T$59="Y",Oct!J51,0)</f>
        <v>0</v>
      </c>
      <c r="K61" s="89">
        <f>IF(T$59="Y",Oct!K51,I61*J61)</f>
        <v>0</v>
      </c>
      <c r="L61" s="110">
        <f>IF(T$59="Y",Oct!L51,0)</f>
        <v>0</v>
      </c>
      <c r="M61" s="99" t="str">
        <f>IF(E61=" "," ",IF(T$59="Y",Oct!M51,IF((H61+K61+L61)&gt;0,H61+K61+L61,"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IF(Employee!H$35=E$59,Employee!D$34+SUM(M61)+Oct!V51,SUM(M61)+Oct!V51)</f>
        <v>0</v>
      </c>
      <c r="W61" s="49">
        <f>IF(Employee!H$35=E$59,Employee!D$35+SUM(N61)+Oct!W51,SUM(N61)+Oct!W51)</f>
        <v>0</v>
      </c>
      <c r="X61" s="49">
        <f>IF(O61=" ",Oct!X51,O61+Oct!X51)</f>
        <v>0</v>
      </c>
      <c r="Y61" s="49">
        <f>IF(P61=" ",Oct!Y51,P61+Oct!Y51)</f>
        <v>0</v>
      </c>
      <c r="Z61" s="49">
        <f>IF(Q61=" ",Oct!Z51,Q61+Oct!Z51)</f>
        <v>0</v>
      </c>
      <c r="AA61" s="49">
        <f>IF(R61=" ",Oct!AA51,R61+Oct!AA51)</f>
        <v>0</v>
      </c>
      <c r="AC61" s="49">
        <f>IF(T61=" ",Oct!AC51,T61+Oct!AC51)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IF(T$59="Y",Oct!H52,0)</f>
        <v>0</v>
      </c>
      <c r="I62" s="92">
        <f>IF(T$59="Y",Oct!I52,0)</f>
        <v>0</v>
      </c>
      <c r="J62" s="92">
        <f>IF(T$59="Y",Oct!J52,0)</f>
        <v>0</v>
      </c>
      <c r="K62" s="92">
        <f>IF(T$59="Y",Oct!K52,I62*J62)</f>
        <v>0</v>
      </c>
      <c r="L62" s="111">
        <f>IF(T$59="Y",Oct!L52,0)</f>
        <v>0</v>
      </c>
      <c r="M62" s="100" t="str">
        <f>IF(E62=" "," ",IF(T$59="Y",Oct!M52,IF((H62+K62+L62)&gt;0,H62+K62+L62,"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IF(Employee!H$61=E$59,Employee!D$60+SUM(M62)+Oct!V52,SUM(M62)+Oct!V52)</f>
        <v>0</v>
      </c>
      <c r="W62" s="49">
        <f>IF(Employee!H$61=E$59,Employee!D$61+SUM(N62)+Oct!W52,SUM(N62)+Oct!W52)</f>
        <v>0</v>
      </c>
      <c r="X62" s="49">
        <f>IF(O62=" ",Oct!X52,O62+Oct!X52)</f>
        <v>0</v>
      </c>
      <c r="Y62" s="49">
        <f>IF(P62=" ",Oct!Y52,P62+Oct!Y52)</f>
        <v>0</v>
      </c>
      <c r="Z62" s="49">
        <f>IF(Q62=" ",Oct!Z52,Q62+Oct!Z52)</f>
        <v>0</v>
      </c>
      <c r="AA62" s="49">
        <f>IF(R62=" ",Oct!AA52,R62+Oct!AA52)</f>
        <v>0</v>
      </c>
      <c r="AC62" s="49">
        <f>IF(T62=" ",Oct!AC52,T62+Oct!AC52)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IF(T$59="Y",Oct!H53,0)</f>
        <v>0</v>
      </c>
      <c r="I63" s="92">
        <f>IF(T$59="Y",Oct!I53,0)</f>
        <v>0</v>
      </c>
      <c r="J63" s="92">
        <f>IF(T$59="Y",Oct!J53,0)</f>
        <v>0</v>
      </c>
      <c r="K63" s="92">
        <f>IF(T$59="Y",Oct!K53,I63*J63)</f>
        <v>0</v>
      </c>
      <c r="L63" s="111">
        <f>IF(T$59="Y",Oct!L53,0)</f>
        <v>0</v>
      </c>
      <c r="M63" s="100" t="str">
        <f>IF(E63=" "," ",IF(T$59="Y",Oct!M53,IF((H63+K63+L63)&gt;0,H63+K63+L63,"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IF(Employee!H$87=E$59,Employee!D$86+SUM(M63)+Oct!V53,SUM(M63)+Oct!V53)</f>
        <v>0</v>
      </c>
      <c r="W63" s="49">
        <f>IF(Employee!H$87=E$59,Employee!D$87+SUM(N63)+Oct!W53,SUM(N63)+Oct!W53)</f>
        <v>0</v>
      </c>
      <c r="X63" s="49">
        <f>IF(O63=" ",Oct!X53,O63+Oct!X53)</f>
        <v>0</v>
      </c>
      <c r="Y63" s="49">
        <f>IF(P63=" ",Oct!Y53,P63+Oct!Y53)</f>
        <v>0</v>
      </c>
      <c r="Z63" s="49">
        <f>IF(Q63=" ",Oct!Z53,Q63+Oct!Z53)</f>
        <v>0</v>
      </c>
      <c r="AA63" s="49">
        <f>IF(R63=" ",Oct!AA53,R63+Oct!AA53)</f>
        <v>0</v>
      </c>
      <c r="AC63" s="49">
        <f>IF(T63=" ",Oct!AC53,T63+Oct!AC53)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IF(T$59="Y",Oct!H54,0)</f>
        <v>0</v>
      </c>
      <c r="I64" s="92">
        <f>IF(T$59="Y",Oct!I54,0)</f>
        <v>0</v>
      </c>
      <c r="J64" s="92">
        <f>IF(T$59="Y",Oct!J54,0)</f>
        <v>0</v>
      </c>
      <c r="K64" s="92">
        <f>IF(T$59="Y",Oct!K54,I64*J64)</f>
        <v>0</v>
      </c>
      <c r="L64" s="111">
        <f>IF(T$59="Y",Oct!L54,0)</f>
        <v>0</v>
      </c>
      <c r="M64" s="100" t="str">
        <f>IF(E64=" "," ",IF(T$59="Y",Oct!M54,IF((H64+K64+L64)&gt;0,H64+K64+L64,"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IF(Employee!H$113=E$59,Employee!D$112+SUM(M64)+Oct!V54,SUM(M64)+Oct!V54)</f>
        <v>0</v>
      </c>
      <c r="W64" s="49">
        <f>IF(Employee!H$113=E$59,Employee!D$113+SUM(N64)+Oct!W54,SUM(N64)+Oct!W54)</f>
        <v>0</v>
      </c>
      <c r="X64" s="49">
        <f>IF(O64=" ",Oct!X54,O64+Oct!X54)</f>
        <v>0</v>
      </c>
      <c r="Y64" s="49">
        <f>IF(P64=" ",Oct!Y54,P64+Oct!Y54)</f>
        <v>0</v>
      </c>
      <c r="Z64" s="49">
        <f>IF(Q64=" ",Oct!Z54,Q64+Oct!Z54)</f>
        <v>0</v>
      </c>
      <c r="AA64" s="49">
        <f>IF(R64=" ",Oct!AA54,R64+Oct!AA54)</f>
        <v>0</v>
      </c>
      <c r="AC64" s="49">
        <f>IF(T64=" ",Oct!AC54,T64+Oct!AC54)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IF(T$59="Y",Oct!H55,0)</f>
        <v>0</v>
      </c>
      <c r="I65" s="245">
        <f>IF(T$59="Y",Oct!I55,0)</f>
        <v>0</v>
      </c>
      <c r="J65" s="245">
        <f>IF(T$59="Y",Oct!J55,0)</f>
        <v>0</v>
      </c>
      <c r="K65" s="245">
        <f>IF(T$59="Y",Oct!K55,I65*J65)</f>
        <v>0</v>
      </c>
      <c r="L65" s="246">
        <f>IF(T$59="Y",Oct!L55,0)</f>
        <v>0</v>
      </c>
      <c r="M65" s="100" t="str">
        <f>IF(E65=" "," ",IF(T$59="Y",Oct!M55,IF((H65+K65+L65)&gt;0,H65+K65+L65,"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IF(Employee!H$139=E$59,Employee!D$138+SUM(M65)+Oct!V55,SUM(M65)+Oct!V55)</f>
        <v>0</v>
      </c>
      <c r="W65" s="49">
        <f>IF(Employee!H$139=E$59,Employee!D$139+SUM(N65)+Oct!W55,SUM(N65)+Oct!W55)</f>
        <v>0</v>
      </c>
      <c r="X65" s="49">
        <f>IF(O65=" ",Oct!X55,O65+Oct!X55)</f>
        <v>0</v>
      </c>
      <c r="Y65" s="49">
        <f>IF(P65=" ",Oct!Y55,P65+Oct!Y55)</f>
        <v>0</v>
      </c>
      <c r="Z65" s="49">
        <f>IF(Q65=" ",Oct!Z55,Q65+Oct!Z55)</f>
        <v>0</v>
      </c>
      <c r="AA65" s="49">
        <f>IF(R65=" ",Oct!AA55,R65+Oct!AA55)</f>
        <v>0</v>
      </c>
      <c r="AC65" s="49">
        <f>IF(T65=" ",Oct!AC55,T65+Oct!AC55)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AD70+Oct!AD65</f>
        <v>0</v>
      </c>
      <c r="AE75" s="158">
        <f>AE70+Oct!AE65</f>
        <v>0</v>
      </c>
      <c r="AF75" s="158">
        <f>AF70+Oct!AF65</f>
        <v>0</v>
      </c>
      <c r="AG75" s="158">
        <f>AG70+Oct!AG65</f>
        <v>0</v>
      </c>
    </row>
    <row r="76" spans="1:34" ht="14" thickTop="1" x14ac:dyDescent="0.15"/>
    <row r="77" spans="1:34" x14ac:dyDescent="0.15">
      <c r="AD77" s="162"/>
      <c r="AE77" s="158">
        <f>AE72+Oct!AE67</f>
        <v>0</v>
      </c>
      <c r="AF77" s="158">
        <f>AF72+Oct!AF67</f>
        <v>0</v>
      </c>
      <c r="AG77" s="158">
        <f>AG72+Oct!AG67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44837</v>
      </c>
      <c r="L9" s="203" t="s">
        <v>76</v>
      </c>
      <c r="M9" s="205">
        <f>Admin!B188</f>
        <v>44843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IF(T$9="Y",Nov!H51,0)</f>
        <v>0</v>
      </c>
      <c r="I11" s="89">
        <f>IF(T$9="Y",Nov!I51,0)</f>
        <v>0</v>
      </c>
      <c r="J11" s="89">
        <f>IF(T$9="Y",Nov!J51,0)</f>
        <v>0</v>
      </c>
      <c r="K11" s="89">
        <f>IF(T$9="Y",Nov!K51,I11*J11)</f>
        <v>0</v>
      </c>
      <c r="L11" s="110">
        <f>IF(T$9="Y",Nov!L51,0)</f>
        <v>0</v>
      </c>
      <c r="M11" s="99" t="str">
        <f>IF(E11=" "," ",IF(T$9="Y",Nov!M51,IF((H11+K11+L11)&gt;0,H11+K11+L11,"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IF(Employee!H$34=E$9,Employee!D$34+SUM(M11)+Nov!V51,SUM(M11)+Nov!V51)</f>
        <v>0</v>
      </c>
      <c r="W11" s="49">
        <f>IF(Employee!H$34=E$9,Employee!D$35+SUM(N11)+Nov!W51,SUM(N11)+Nov!W51)</f>
        <v>0</v>
      </c>
      <c r="X11" s="49">
        <f>IF(O11=" ",Nov!X51,O11+Nov!X51)</f>
        <v>0</v>
      </c>
      <c r="Y11" s="49">
        <f>IF(P11=" ",Nov!Y51,P11+Nov!Y51)</f>
        <v>0</v>
      </c>
      <c r="Z11" s="49">
        <f>IF(Q11=" ",Nov!Z51,Q11+Nov!Z51)</f>
        <v>0</v>
      </c>
      <c r="AA11" s="49">
        <f>IF(R11=" ",Nov!AA51,R11+Nov!AA51)</f>
        <v>0</v>
      </c>
      <c r="AC11" s="49">
        <f>IF(T11=" ",Nov!AC51,T11+Nov!AC51)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IF(T$9="Y",Nov!H52,0)</f>
        <v>0</v>
      </c>
      <c r="I12" s="92">
        <f>IF(T$9="Y",Nov!I52,0)</f>
        <v>0</v>
      </c>
      <c r="J12" s="92">
        <f>IF(T$9="Y",Nov!J52,0)</f>
        <v>0</v>
      </c>
      <c r="K12" s="92">
        <f>IF(T$9="Y",Nov!K52,I12*J12)</f>
        <v>0</v>
      </c>
      <c r="L12" s="111">
        <f>IF(T$9="Y",Nov!L52,0)</f>
        <v>0</v>
      </c>
      <c r="M12" s="100" t="str">
        <f>IF(E12=" "," ",IF(T$9="Y",Nov!M52,IF((H12+K12+L12)&gt;0,H12+K12+L12,"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IF(Employee!H$60=E$9,Employee!D$60+SUM(M12)+Nov!V52,SUM(M12)+Nov!V52)</f>
        <v>0</v>
      </c>
      <c r="W12" s="49">
        <f>IF(Employee!H$60=E$9,Employee!D$61+SUM(N12)+Nov!W52,SUM(N12)+Nov!W52)</f>
        <v>0</v>
      </c>
      <c r="X12" s="49">
        <f>IF(O12=" ",Nov!X52,O12+Nov!X52)</f>
        <v>0</v>
      </c>
      <c r="Y12" s="49">
        <f>IF(P12=" ",Nov!Y52,P12+Nov!Y52)</f>
        <v>0</v>
      </c>
      <c r="Z12" s="49">
        <f>IF(Q12=" ",Nov!Z52,Q12+Nov!Z52)</f>
        <v>0</v>
      </c>
      <c r="AA12" s="49">
        <f>IF(R12=" ",Nov!AA52,R12+Nov!AA52)</f>
        <v>0</v>
      </c>
      <c r="AC12" s="49">
        <f>IF(T12=" ",Nov!AC52,T12+Nov!AC52)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IF(T$9="Y",Nov!H53,0)</f>
        <v>0</v>
      </c>
      <c r="I13" s="92">
        <f>IF(T$9="Y",Nov!I53,0)</f>
        <v>0</v>
      </c>
      <c r="J13" s="92">
        <f>IF(T$9="Y",Nov!J53,0)</f>
        <v>0</v>
      </c>
      <c r="K13" s="92">
        <f>IF(T$9="Y",Nov!K53,I13*J13)</f>
        <v>0</v>
      </c>
      <c r="L13" s="111">
        <f>IF(T$9="Y",Nov!L53,0)</f>
        <v>0</v>
      </c>
      <c r="M13" s="100" t="str">
        <f>IF(E13=" "," ",IF(T$9="Y",Nov!M53,IF((H13+K13+L13)&gt;0,H13+K13+L13,"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IF(Employee!H$86=E$9,Employee!D$86+SUM(M13)+Nov!V53,SUM(M13)+Nov!V53)</f>
        <v>0</v>
      </c>
      <c r="W13" s="49">
        <f>IF(Employee!H$86=E$9,Employee!D$87+SUM(N13)+Nov!W53,SUM(N13)+Nov!W53)</f>
        <v>0</v>
      </c>
      <c r="X13" s="49">
        <f>IF(O13=" ",Nov!X53,O13+Nov!X53)</f>
        <v>0</v>
      </c>
      <c r="Y13" s="49">
        <f>IF(P13=" ",Nov!Y53,P13+Nov!Y53)</f>
        <v>0</v>
      </c>
      <c r="Z13" s="49">
        <f>IF(Q13=" ",Nov!Z53,Q13+Nov!Z53)</f>
        <v>0</v>
      </c>
      <c r="AA13" s="49">
        <f>IF(R13=" ",Nov!AA53,R13+Nov!AA53)</f>
        <v>0</v>
      </c>
      <c r="AC13" s="49">
        <f>IF(T13=" ",Nov!AC53,T13+Nov!AC53)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IF(T$9="Y",Nov!H54,0)</f>
        <v>0</v>
      </c>
      <c r="I14" s="92">
        <f>IF(T$9="Y",Nov!I54,0)</f>
        <v>0</v>
      </c>
      <c r="J14" s="92">
        <f>IF(T$9="Y",Nov!J54,0)</f>
        <v>0</v>
      </c>
      <c r="K14" s="92">
        <f>IF(T$9="Y",Nov!K54,I14*J14)</f>
        <v>0</v>
      </c>
      <c r="L14" s="111">
        <f>IF(T$9="Y",Nov!L54,0)</f>
        <v>0</v>
      </c>
      <c r="M14" s="100" t="str">
        <f>IF(E14=" "," ",IF(T$9="Y",Nov!M54,IF((H14+K14+L14)&gt;0,H14+K14+L14,"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IF(Employee!H$112=E$9,Employee!D$112+SUM(M14)+Nov!V54,SUM(M14)+Nov!V54)</f>
        <v>0</v>
      </c>
      <c r="W14" s="49">
        <f>IF(Employee!H$112=E$9,Employee!D$113+SUM(N14)+Nov!W54,SUM(N14)+Nov!W54)</f>
        <v>0</v>
      </c>
      <c r="X14" s="49">
        <f>IF(O14=" ",Nov!X54,O14+Nov!X54)</f>
        <v>0</v>
      </c>
      <c r="Y14" s="49">
        <f>IF(P14=" ",Nov!Y54,P14+Nov!Y54)</f>
        <v>0</v>
      </c>
      <c r="Z14" s="49">
        <f>IF(Q14=" ",Nov!Z54,Q14+Nov!Z54)</f>
        <v>0</v>
      </c>
      <c r="AA14" s="49">
        <f>IF(R14=" ",Nov!AA54,R14+Nov!AA54)</f>
        <v>0</v>
      </c>
      <c r="AC14" s="49">
        <f>IF(T14=" ",Nov!AC54,T14+Nov!AC54)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IF(T$9="Y",Nov!H55,0)</f>
        <v>0</v>
      </c>
      <c r="I15" s="245">
        <f>IF(T$9="Y",Nov!I55,0)</f>
        <v>0</v>
      </c>
      <c r="J15" s="245">
        <f>IF(T$9="Y",Nov!J55,0)</f>
        <v>0</v>
      </c>
      <c r="K15" s="245">
        <f>IF(T$9="Y",Nov!K55,I15*J15)</f>
        <v>0</v>
      </c>
      <c r="L15" s="246">
        <f>IF(T$9="Y",Nov!L55,0)</f>
        <v>0</v>
      </c>
      <c r="M15" s="247" t="str">
        <f>IF(E15=" "," ",IF(T$9="Y",Nov!M55,IF((H15+K15+L15)&gt;0,H15+K15+L15,"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IF(Employee!H$138=E$9,Employee!D$138+SUM(M15)+Nov!V55,SUM(M15)+Nov!V55)</f>
        <v>0</v>
      </c>
      <c r="W15" s="49">
        <f>IF(Employee!H$138=E$9,Employee!D$139+SUM(N15)+Nov!W55,SUM(N15)+Nov!W55)</f>
        <v>0</v>
      </c>
      <c r="X15" s="49">
        <f>IF(O15=" ",Nov!X55,O15+Nov!X55)</f>
        <v>0</v>
      </c>
      <c r="Y15" s="49">
        <f>IF(P15=" ",Nov!Y55,P15+Nov!Y55)</f>
        <v>0</v>
      </c>
      <c r="Z15" s="49">
        <f>IF(Q15=" ",Nov!Z55,Q15+Nov!Z55)</f>
        <v>0</v>
      </c>
      <c r="AA15" s="49">
        <f>IF(R15=" ",Nov!AA55,R15+Nov!AA55)</f>
        <v>0</v>
      </c>
      <c r="AC15" s="49">
        <f>IF(T15=" ",Nov!AC55,T15+Nov!AC55)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44835</v>
      </c>
      <c r="L49" s="203" t="s">
        <v>76</v>
      </c>
      <c r="M49" s="205">
        <f>Admin!B210</f>
        <v>44865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IF(T$49="Y",Nov!H61,0)</f>
        <v>0</v>
      </c>
      <c r="I51" s="89">
        <f>IF(T$49="Y",Nov!I61,0)</f>
        <v>0</v>
      </c>
      <c r="J51" s="89">
        <f>IF(T$49="Y",Nov!J61,0)</f>
        <v>0</v>
      </c>
      <c r="K51" s="89">
        <f>IF(T$49="Y",Nov!K61,I51*J51)</f>
        <v>0</v>
      </c>
      <c r="L51" s="110">
        <f>IF(T$49="Y",Nov!L61,0)</f>
        <v>0</v>
      </c>
      <c r="M51" s="99" t="str">
        <f>IF(E51=" "," ",IF(T$49="Y",Nov!M61,IF((H51+K51+L51)&gt;0,H51+K51+L51,"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IF(Employee!H$35=E$49,Employee!D$34+SUM(M51)+Nov!V61,SUM(M51)+Nov!V61)</f>
        <v>0</v>
      </c>
      <c r="W51" s="49">
        <f>IF(Employee!H$35=E$49,Employee!D$35+SUM(N51)+Nov!W61,SUM(N51)+Nov!W61)</f>
        <v>0</v>
      </c>
      <c r="X51" s="49">
        <f>IF(O51=" ",Nov!X61,O51+Nov!X61)</f>
        <v>0</v>
      </c>
      <c r="Y51" s="49">
        <f>IF(P51=" ",Nov!Y61,P51+Nov!Y61)</f>
        <v>0</v>
      </c>
      <c r="Z51" s="49">
        <f>IF(Q51=" ",Nov!Z61,Q51+Nov!Z61)</f>
        <v>0</v>
      </c>
      <c r="AA51" s="49">
        <f>IF(R51=" ",Nov!AA61,R51+Nov!AA61)</f>
        <v>0</v>
      </c>
      <c r="AC51" s="49">
        <f>IF(T51=" ",Nov!AC61,T51+Nov!AC61)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IF(T$49="Y",Nov!H62,0)</f>
        <v>0</v>
      </c>
      <c r="I52" s="92">
        <f>IF(T$49="Y",Nov!I62,0)</f>
        <v>0</v>
      </c>
      <c r="J52" s="92">
        <f>IF(T$49="Y",Nov!J62,0)</f>
        <v>0</v>
      </c>
      <c r="K52" s="92">
        <f>IF(T$49="Y",Nov!K62,I52*J52)</f>
        <v>0</v>
      </c>
      <c r="L52" s="111">
        <f>IF(T$49="Y",Nov!L62,0)</f>
        <v>0</v>
      </c>
      <c r="M52" s="100" t="str">
        <f>IF(E52=" "," ",IF(T$49="Y",Nov!M62,IF((H52+K52+L52)&gt;0,H52+K52+L52,"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IF(Employee!H$61=E$49,Employee!D$60+SUM(M52)+Nov!V62,SUM(M52)+Nov!V62)</f>
        <v>0</v>
      </c>
      <c r="W52" s="49">
        <f>IF(Employee!H$61=E$49,Employee!D$61+SUM(N52)+Nov!W62,SUM(N52)+Nov!W62)</f>
        <v>0</v>
      </c>
      <c r="X52" s="49">
        <f>IF(O52=" ",Nov!X62,O52+Nov!X62)</f>
        <v>0</v>
      </c>
      <c r="Y52" s="49">
        <f>IF(P52=" ",Nov!Y62,P52+Nov!Y62)</f>
        <v>0</v>
      </c>
      <c r="Z52" s="49">
        <f>IF(Q52=" ",Nov!Z62,Q52+Nov!Z62)</f>
        <v>0</v>
      </c>
      <c r="AA52" s="49">
        <f>IF(R52=" ",Nov!AA62,R52+Nov!AA62)</f>
        <v>0</v>
      </c>
      <c r="AC52" s="49">
        <f>IF(T52=" ",Nov!AC62,T52+Nov!AC62)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IF(T$49="Y",Nov!H63,0)</f>
        <v>0</v>
      </c>
      <c r="I53" s="92">
        <f>IF(T$49="Y",Nov!I63,0)</f>
        <v>0</v>
      </c>
      <c r="J53" s="92">
        <f>IF(T$49="Y",Nov!J63,0)</f>
        <v>0</v>
      </c>
      <c r="K53" s="92">
        <f>IF(T$49="Y",Nov!K63,I53*J53)</f>
        <v>0</v>
      </c>
      <c r="L53" s="111">
        <f>IF(T$49="Y",Nov!L63,0)</f>
        <v>0</v>
      </c>
      <c r="M53" s="100" t="str">
        <f>IF(E53=" "," ",IF(T$49="Y",Nov!M63,IF((H53+K53+L53)&gt;0,H53+K53+L53,"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IF(Employee!H$87=E$49,Employee!D$86+SUM(M53)+Nov!V63,SUM(M53)+Nov!V63)</f>
        <v>0</v>
      </c>
      <c r="W53" s="49">
        <f>IF(Employee!H$87=E$49,Employee!D$87+SUM(N53)+Nov!W63,SUM(N53)+Nov!W63)</f>
        <v>0</v>
      </c>
      <c r="X53" s="49">
        <f>IF(O53=" ",Nov!X63,O53+Nov!X63)</f>
        <v>0</v>
      </c>
      <c r="Y53" s="49">
        <f>IF(P53=" ",Nov!Y63,P53+Nov!Y63)</f>
        <v>0</v>
      </c>
      <c r="Z53" s="49">
        <f>IF(Q53=" ",Nov!Z63,Q53+Nov!Z63)</f>
        <v>0</v>
      </c>
      <c r="AA53" s="49">
        <f>IF(R53=" ",Nov!AA63,R53+Nov!AA63)</f>
        <v>0</v>
      </c>
      <c r="AC53" s="49">
        <f>IF(T53=" ",Nov!AC63,T53+Nov!AC63)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IF(T$49="Y",Nov!H64,0)</f>
        <v>0</v>
      </c>
      <c r="I54" s="92">
        <f>IF(T$49="Y",Nov!I64,0)</f>
        <v>0</v>
      </c>
      <c r="J54" s="92">
        <f>IF(T$49="Y",Nov!J64,0)</f>
        <v>0</v>
      </c>
      <c r="K54" s="92">
        <f>IF(T$49="Y",Nov!K64,I54*J54)</f>
        <v>0</v>
      </c>
      <c r="L54" s="111">
        <f>IF(T$49="Y",Nov!L64,0)</f>
        <v>0</v>
      </c>
      <c r="M54" s="100" t="str">
        <f>IF(E54=" "," ",IF(T$49="Y",Nov!M64,IF((H54+K54+L54)&gt;0,H54+K54+L54,"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IF(Employee!H$113=E$49,Employee!D$112+SUM(M54)+Nov!V64,SUM(M54)+Nov!V64)</f>
        <v>0</v>
      </c>
      <c r="W54" s="49">
        <f>IF(Employee!H$113=E$49,Employee!D$113+SUM(N54)+Nov!W64,SUM(N54)+Nov!W64)</f>
        <v>0</v>
      </c>
      <c r="X54" s="49">
        <f>IF(O54=" ",Nov!X64,O54+Nov!X64)</f>
        <v>0</v>
      </c>
      <c r="Y54" s="49">
        <f>IF(P54=" ",Nov!Y64,P54+Nov!Y64)</f>
        <v>0</v>
      </c>
      <c r="Z54" s="49">
        <f>IF(Q54=" ",Nov!Z64,Q54+Nov!Z64)</f>
        <v>0</v>
      </c>
      <c r="AA54" s="49">
        <f>IF(R54=" ",Nov!AA64,R54+Nov!AA64)</f>
        <v>0</v>
      </c>
      <c r="AC54" s="49">
        <f>IF(T54=" ",Nov!AC64,T54+Nov!AC64)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IF(T$49="Y",Nov!H65,0)</f>
        <v>0</v>
      </c>
      <c r="I55" s="245">
        <f>IF(T$49="Y",Nov!I65,0)</f>
        <v>0</v>
      </c>
      <c r="J55" s="245">
        <f>IF(T$49="Y",Nov!J65,0)</f>
        <v>0</v>
      </c>
      <c r="K55" s="245">
        <f>IF(T$49="Y",Nov!K65,I55*J55)</f>
        <v>0</v>
      </c>
      <c r="L55" s="246">
        <f>IF(T$49="Y",Nov!L65,0)</f>
        <v>0</v>
      </c>
      <c r="M55" s="100" t="str">
        <f>IF(E55=" "," ",IF(T$49="Y",Nov!M65,IF((H55+K55+L55)&gt;0,H55+K55+L55,"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IF(Employee!H$139=E$49,Employee!D$138+SUM(M55)+Nov!V65,SUM(M55)+Nov!V65)</f>
        <v>0</v>
      </c>
      <c r="W55" s="49">
        <f>IF(Employee!H$139=E$49,Employee!D$139+SUM(N55)+Nov!W65,SUM(N55)+Nov!W65)</f>
        <v>0</v>
      </c>
      <c r="X55" s="49">
        <f>IF(O55=" ",Nov!X65,O55+Nov!X65)</f>
        <v>0</v>
      </c>
      <c r="Y55" s="49">
        <f>IF(P55=" ",Nov!Y65,P55+Nov!Y65)</f>
        <v>0</v>
      </c>
      <c r="Z55" s="49">
        <f>IF(Q55=" ",Nov!Z65,Q55+Nov!Z65)</f>
        <v>0</v>
      </c>
      <c r="AA55" s="49">
        <f>IF(R55=" ",Nov!AA65,R55+Nov!AA65)</f>
        <v>0</v>
      </c>
      <c r="AC55" s="49">
        <f>IF(T55=" ",Nov!AC65,T55+Nov!AC65)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AD60+Nov!AD75</f>
        <v>0</v>
      </c>
      <c r="AE65" s="158">
        <f>AE60+Nov!AE75</f>
        <v>0</v>
      </c>
      <c r="AF65" s="158">
        <f>AF60+Nov!AF75</f>
        <v>0</v>
      </c>
      <c r="AG65" s="158">
        <f>AG60+Nov!AG75</f>
        <v>0</v>
      </c>
    </row>
    <row r="66" spans="6:33" ht="14" thickTop="1" x14ac:dyDescent="0.15"/>
    <row r="67" spans="6:33" x14ac:dyDescent="0.15">
      <c r="AD67" s="162"/>
      <c r="AE67" s="158">
        <f>AE62+Nov!AE77</f>
        <v>0</v>
      </c>
      <c r="AF67" s="158">
        <f>AF62+Nov!AF77</f>
        <v>0</v>
      </c>
      <c r="AG67" s="158">
        <f>AG62+Nov!AG77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44865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99" t="str">
        <f>IF(E11=" "," ",IF(T$9="Y",Dec!M41,IF((H11+K11+L11)&gt;0,H11+K11+L11,"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00" t="str">
        <f>IF(E12=" "," ",IF(T$9="Y",Dec!M42,IF((H12+K12+L12)&gt;0,H12+K12+L12,"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00" t="str">
        <f>IF(E13=" "," ",IF(T$9="Y",Dec!M43,IF((H13+K13+L13)&gt;0,H13+K13+L13,"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00" t="str">
        <f>IF(E14=" "," ",IF(T$9="Y",Dec!M44,IF((H14+K14+L14)&gt;0,H14+K14+L14,"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247" t="str">
        <f>IF(E15=" "," ",IF(T$9="Y",Dec!M45,IF((H15+K15+L15)&gt;0,H15+K15+L15,"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44866</v>
      </c>
      <c r="L49" s="203" t="s">
        <v>76</v>
      </c>
      <c r="M49" s="205">
        <f>Admin!B240</f>
        <v>44895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110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111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111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IF(Employee!H$87=E$49,Employee!D$87+SUM(N53)+Dec!W53,SUM(N53)+Dec!W53)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111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IF(T$49="Y",Dec!H55,0)</f>
        <v>0</v>
      </c>
      <c r="I55" s="245">
        <f>IF(T$49="Y",Dec!I55,0)</f>
        <v>0</v>
      </c>
      <c r="J55" s="245">
        <f>IF(T$49="Y",Dec!J55,0)</f>
        <v>0</v>
      </c>
      <c r="K55" s="245">
        <f>IF(T$49="Y",Dec!K55,I55*J55)</f>
        <v>0</v>
      </c>
      <c r="L55" s="246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Jan!M39+1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44896</v>
      </c>
      <c r="L59" s="203" t="s">
        <v>76</v>
      </c>
      <c r="M59" s="205">
        <f>Admin!B271</f>
        <v>44926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IF(T$59="Y",Jan!H51,0)</f>
        <v>0</v>
      </c>
      <c r="I61" s="89">
        <f>IF(T$59="Y",Jan!I51,0)</f>
        <v>0</v>
      </c>
      <c r="J61" s="89">
        <f>IF(T$59="Y",Jan!J51,0)</f>
        <v>0</v>
      </c>
      <c r="K61" s="89">
        <f>IF(T$59="Y",Jan!K51,I61*J61)</f>
        <v>0</v>
      </c>
      <c r="L61" s="110">
        <f>IF(T$59="Y",Jan!L51,0)</f>
        <v>0</v>
      </c>
      <c r="M61" s="99" t="str">
        <f>IF(E61=" "," ",IF(T$59="Y",Jan!M51,IF((H61+K61+L61)&gt;0,H61+K61+L61,"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IF(Employee!H$35=E$59,Employee!D$34+SUM(M61)+Jan!V51,SUM(M61)+Jan!V51)</f>
        <v>0</v>
      </c>
      <c r="W61" s="49">
        <f>IF(Employee!H$35=E$59,Employee!D$35+SUM(N61)+Jan!W51,SUM(N61)+Jan!W51)</f>
        <v>0</v>
      </c>
      <c r="X61" s="49">
        <f>IF(O61=" ",Jan!X51,O61+Jan!X51)</f>
        <v>0</v>
      </c>
      <c r="Y61" s="49">
        <f>IF(P61=" ",Jan!Y51,P61+Jan!Y51)</f>
        <v>0</v>
      </c>
      <c r="Z61" s="49">
        <f>IF(Q61=" ",Jan!Z51,Q61+Jan!Z51)</f>
        <v>0</v>
      </c>
      <c r="AA61" s="49">
        <f>IF(R61=" ",Jan!AA51,R61+Jan!AA51)</f>
        <v>0</v>
      </c>
      <c r="AC61" s="49">
        <f>IF(T61=" ",Jan!AC51,T61+Jan!AC51)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IF(T$59="Y",Jan!H52,0)</f>
        <v>0</v>
      </c>
      <c r="I62" s="92">
        <f>IF(T$59="Y",Jan!I52,0)</f>
        <v>0</v>
      </c>
      <c r="J62" s="92">
        <f>IF(T$59="Y",Jan!J52,0)</f>
        <v>0</v>
      </c>
      <c r="K62" s="92">
        <f>IF(T$59="Y",Jan!K52,I62*J62)</f>
        <v>0</v>
      </c>
      <c r="L62" s="111">
        <f>IF(T$59="Y",Jan!L52,0)</f>
        <v>0</v>
      </c>
      <c r="M62" s="100" t="str">
        <f>IF(E62=" "," ",IF(T$59="Y",Jan!M52,IF((H62+K62+L62)&gt;0,H62+K62+L62,"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IF(Employee!H$61=E$59,Employee!D$60+SUM(M62)+Jan!V52,SUM(M62)+Jan!V52)</f>
        <v>0</v>
      </c>
      <c r="W62" s="49">
        <f>IF(Employee!H$61=E$59,Employee!D$61+SUM(N62)+Jan!W52,SUM(N62)+Jan!W52)</f>
        <v>0</v>
      </c>
      <c r="X62" s="49">
        <f>IF(O62=" ",Jan!X52,O62+Jan!X52)</f>
        <v>0</v>
      </c>
      <c r="Y62" s="49">
        <f>IF(P62=" ",Jan!Y52,P62+Jan!Y52)</f>
        <v>0</v>
      </c>
      <c r="Z62" s="49">
        <f>IF(Q62=" ",Jan!Z52,Q62+Jan!Z52)</f>
        <v>0</v>
      </c>
      <c r="AA62" s="49">
        <f>IF(R62=" ",Jan!AA52,R62+Jan!AA52)</f>
        <v>0</v>
      </c>
      <c r="AC62" s="49">
        <f>IF(T62=" ",Jan!AC52,T62+Jan!AC52)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IF(T$59="Y",Jan!H53,0)</f>
        <v>0</v>
      </c>
      <c r="I63" s="92">
        <f>IF(T$59="Y",Jan!I53,0)</f>
        <v>0</v>
      </c>
      <c r="J63" s="92">
        <f>IF(T$59="Y",Jan!J53,0)</f>
        <v>0</v>
      </c>
      <c r="K63" s="92">
        <f>IF(T$59="Y",Jan!K53,I63*J63)</f>
        <v>0</v>
      </c>
      <c r="L63" s="111">
        <f>IF(T$59="Y",Jan!L53,0)</f>
        <v>0</v>
      </c>
      <c r="M63" s="100" t="str">
        <f>IF(E63=" "," ",IF(T$59="Y",Jan!M53,IF((H63+K63+L63)&gt;0,H63+K63+L63,"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IF(Employee!H$87=E$59,Employee!D$86+SUM(M63)+Jan!V53,SUM(M63)+Jan!V53)</f>
        <v>0</v>
      </c>
      <c r="W63" s="49">
        <f>IF(Employee!H$87=E$59,Employee!D$87+SUM(N63)+Jan!W53,SUM(N63)+Jan!W53)</f>
        <v>0</v>
      </c>
      <c r="X63" s="49">
        <f>IF(O63=" ",Jan!X53,O63+Jan!X53)</f>
        <v>0</v>
      </c>
      <c r="Y63" s="49">
        <f>IF(P63=" ",Jan!Y53,P63+Jan!Y53)</f>
        <v>0</v>
      </c>
      <c r="Z63" s="49">
        <f>IF(Q63=" ",Jan!Z53,Q63+Jan!Z53)</f>
        <v>0</v>
      </c>
      <c r="AA63" s="49">
        <f>IF(R63=" ",Jan!AA53,R63+Jan!AA53)</f>
        <v>0</v>
      </c>
      <c r="AC63" s="49">
        <f>IF(T63=" ",Jan!AC53,T63+Jan!AC53)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IF(T$59="Y",Jan!H54,0)</f>
        <v>0</v>
      </c>
      <c r="I64" s="92">
        <f>IF(T$59="Y",Jan!I54,0)</f>
        <v>0</v>
      </c>
      <c r="J64" s="92">
        <f>IF(T$59="Y",Jan!J54,0)</f>
        <v>0</v>
      </c>
      <c r="K64" s="92">
        <f>IF(T$59="Y",Jan!K54,I64*J64)</f>
        <v>0</v>
      </c>
      <c r="L64" s="111">
        <f>IF(T$59="Y",Jan!L54,0)</f>
        <v>0</v>
      </c>
      <c r="M64" s="100" t="str">
        <f>IF(E64=" "," ",IF(T$59="Y",Jan!M54,IF((H64+K64+L64)&gt;0,H64+K64+L64,"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IF(Employee!H$113=E$59,Employee!D$112+SUM(M64)+Jan!V54,SUM(M64)+Jan!V54)</f>
        <v>0</v>
      </c>
      <c r="W64" s="49">
        <f>IF(Employee!H$113=E$59,Employee!D$113+SUM(N64)+Jan!W54,SUM(N64)+Jan!W54)</f>
        <v>0</v>
      </c>
      <c r="X64" s="49">
        <f>IF(O64=" ",Jan!X54,O64+Jan!X54)</f>
        <v>0</v>
      </c>
      <c r="Y64" s="49">
        <f>IF(P64=" ",Jan!Y54,P64+Jan!Y54)</f>
        <v>0</v>
      </c>
      <c r="Z64" s="49">
        <f>IF(Q64=" ",Jan!Z54,Q64+Jan!Z54)</f>
        <v>0</v>
      </c>
      <c r="AA64" s="49">
        <f>IF(R64=" ",Jan!AA54,R64+Jan!AA54)</f>
        <v>0</v>
      </c>
      <c r="AC64" s="49">
        <f>IF(T64=" ",Jan!AC54,T64+Jan!AC54)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IF(T$59="Y",Jan!H55,0)</f>
        <v>0</v>
      </c>
      <c r="I65" s="245">
        <f>IF(T$59="Y",Jan!I55,0)</f>
        <v>0</v>
      </c>
      <c r="J65" s="245">
        <f>IF(T$59="Y",Jan!J55,0)</f>
        <v>0</v>
      </c>
      <c r="K65" s="245">
        <f>IF(T$59="Y",Jan!K55,I65*J65)</f>
        <v>0</v>
      </c>
      <c r="L65" s="246">
        <f>IF(T$59="Y",Jan!L55,0)</f>
        <v>0</v>
      </c>
      <c r="M65" s="100" t="str">
        <f>IF(E65=" "," ",IF(T$59="Y",Jan!M55,IF((H65+K65+L65)&gt;0,H65+K65+L65,"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IF(Employee!H$139=E$59,Employee!D$138+SUM(M65)+Jan!V55,SUM(M65)+Jan!V55)</f>
        <v>0</v>
      </c>
      <c r="W65" s="49">
        <f>IF(Employee!H$139=E$59,Employee!D$139+SUM(N65)+Jan!W55,SUM(N65)+Jan!W55)</f>
        <v>0</v>
      </c>
      <c r="X65" s="49">
        <f>IF(O65=" ",Jan!X55,O65+Jan!X55)</f>
        <v>0</v>
      </c>
      <c r="Y65" s="49">
        <f>IF(P65=" ",Jan!Y55,P65+Jan!Y55)</f>
        <v>0</v>
      </c>
      <c r="Z65" s="49">
        <f>IF(Q65=" ",Jan!Z55,Q65+Jan!Z55)</f>
        <v>0</v>
      </c>
      <c r="AA65" s="49">
        <f>IF(R65=" ",Jan!AA55,R65+Jan!AA55)</f>
        <v>0</v>
      </c>
      <c r="AC65" s="49">
        <f>IF(T65=" ",Jan!AC55,T65+Jan!AC55)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AD70+Jan!AD65</f>
        <v>0</v>
      </c>
      <c r="AE75" s="158">
        <f>AE70+Jan!AE65</f>
        <v>0</v>
      </c>
      <c r="AF75" s="158">
        <f>AF70+Jan!AF65</f>
        <v>0</v>
      </c>
      <c r="AG75" s="158">
        <f>AG70+Jan!AG65</f>
        <v>0</v>
      </c>
    </row>
    <row r="76" spans="1:34" ht="14" thickTop="1" x14ac:dyDescent="0.15"/>
    <row r="77" spans="1:34" x14ac:dyDescent="0.15">
      <c r="AD77" s="162"/>
      <c r="AE77" s="158">
        <f>AE72+Jan!AE67</f>
        <v>0</v>
      </c>
      <c r="AF77" s="158">
        <f>AF72+Jan!AF67</f>
        <v>0</v>
      </c>
      <c r="AG77" s="158">
        <f>AG72+Jan!AG67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Feb!M49+1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IF(T$9="Y",Feb!H51,0)</f>
        <v>0</v>
      </c>
      <c r="I11" s="89">
        <f>IF(T$9="Y",Feb!I51,0)</f>
        <v>0</v>
      </c>
      <c r="J11" s="89">
        <f>IF(T$9="Y",Feb!J51,0)</f>
        <v>0</v>
      </c>
      <c r="K11" s="89">
        <f>IF(T$9="Y",Feb!K51,I11*J11)</f>
        <v>0</v>
      </c>
      <c r="L11" s="110">
        <f>IF(T$9="Y",Feb!L51,0)</f>
        <v>0</v>
      </c>
      <c r="M11" s="110" t="str">
        <f>IF(E11=" "," ",IF(T$9="Y",Feb!M51,IF((H11+K11+L11)&gt;0,H11+K11+L11,"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IF(Employee!H$34=E$9,Employee!D$34+SUM(M11)+Feb!V51,SUM(M11)+Feb!V51)</f>
        <v>0</v>
      </c>
      <c r="W11" s="49">
        <f>IF(Employee!H$34=E$9,Employee!D$35+SUM(N11)+Feb!W51,SUM(N11)+Feb!W51)</f>
        <v>0</v>
      </c>
      <c r="X11" s="49">
        <f>IF(O11=" ",Feb!X51,O11+Feb!X51)</f>
        <v>0</v>
      </c>
      <c r="Y11" s="49">
        <f>IF(P11=" ",Feb!Y51,P11+Feb!Y51)</f>
        <v>0</v>
      </c>
      <c r="Z11" s="49">
        <f>IF(Q11=" ",Feb!Z51,Q11+Feb!Z51)</f>
        <v>0</v>
      </c>
      <c r="AA11" s="49">
        <f>IF(R11=" ",Feb!AA51,R11+Feb!AA51)</f>
        <v>0</v>
      </c>
      <c r="AC11" s="49">
        <f>IF(T11=" ",Feb!AC51,T11+Feb!AC51)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IF(T$9="Y",Feb!H52,0)</f>
        <v>0</v>
      </c>
      <c r="I12" s="92">
        <f>IF(T$9="Y",Feb!I52,0)</f>
        <v>0</v>
      </c>
      <c r="J12" s="92">
        <f>IF(T$9="Y",Feb!J52,0)</f>
        <v>0</v>
      </c>
      <c r="K12" s="92">
        <f>IF(T$9="Y",Feb!K52,I12*J12)</f>
        <v>0</v>
      </c>
      <c r="L12" s="111">
        <f>IF(T$9="Y",Feb!L52,0)</f>
        <v>0</v>
      </c>
      <c r="M12" s="111" t="str">
        <f>IF(E12=" "," ",IF(T$9="Y",Feb!M52,IF((H12+K12+L12)&gt;0,H12+K12+L12,"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IF(Employee!H$60=E$9,Employee!D$60+SUM(M12)+Feb!V52,SUM(M12)+Feb!V52)</f>
        <v>0</v>
      </c>
      <c r="W12" s="49">
        <f>IF(Employee!H$60=E$9,Employee!D$61+SUM(N12)+Feb!W52,SUM(N12)+Feb!W52)</f>
        <v>0</v>
      </c>
      <c r="X12" s="49">
        <f>IF(O12=" ",Feb!X52,O12+Feb!X52)</f>
        <v>0</v>
      </c>
      <c r="Y12" s="49">
        <f>IF(P12=" ",Feb!Y52,P12+Feb!Y52)</f>
        <v>0</v>
      </c>
      <c r="Z12" s="49">
        <f>IF(Q12=" ",Feb!Z52,Q12+Feb!Z52)</f>
        <v>0</v>
      </c>
      <c r="AA12" s="49">
        <f>IF(R12=" ",Feb!AA52,R12+Feb!AA52)</f>
        <v>0</v>
      </c>
      <c r="AC12" s="49">
        <f>IF(T12=" ",Feb!AC52,T12+Feb!AC52)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IF(T$9="Y",Feb!H53,0)</f>
        <v>0</v>
      </c>
      <c r="I13" s="92">
        <f>IF(T$9="Y",Feb!I53,0)</f>
        <v>0</v>
      </c>
      <c r="J13" s="92">
        <f>IF(T$9="Y",Feb!J53,0)</f>
        <v>0</v>
      </c>
      <c r="K13" s="92">
        <f>IF(T$9="Y",Feb!K53,I13*J13)</f>
        <v>0</v>
      </c>
      <c r="L13" s="111">
        <f>IF(T$9="Y",Feb!L53,0)</f>
        <v>0</v>
      </c>
      <c r="M13" s="111" t="str">
        <f>IF(E13=" "," ",IF(T$9="Y",Feb!M53,IF((H13+K13+L13)&gt;0,H13+K13+L13,"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IF(Employee!H$86=E$9,Employee!D$86+SUM(M13)+Feb!V53,SUM(M13)+Feb!V53)</f>
        <v>0</v>
      </c>
      <c r="W13" s="49">
        <f>IF(Employee!H$86=E$9,Employee!D$87+SUM(N13)+Feb!W53,SUM(N13)+Feb!W53)</f>
        <v>0</v>
      </c>
      <c r="X13" s="49">
        <f>IF(O13=" ",Feb!X53,O13+Feb!X53)</f>
        <v>0</v>
      </c>
      <c r="Y13" s="49">
        <f>IF(P13=" ",Feb!Y53,P13+Feb!Y53)</f>
        <v>0</v>
      </c>
      <c r="Z13" s="49">
        <f>IF(Q13=" ",Feb!Z53,Q13+Feb!Z53)</f>
        <v>0</v>
      </c>
      <c r="AA13" s="49">
        <f>IF(R13=" ",Feb!AA53,R13+Feb!AA53)</f>
        <v>0</v>
      </c>
      <c r="AC13" s="49">
        <f>IF(T13=" ",Feb!AC53,T13+Feb!AC53)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IF(T$9="Y",Feb!H54,0)</f>
        <v>0</v>
      </c>
      <c r="I14" s="92">
        <f>IF(T$9="Y",Feb!I54,0)</f>
        <v>0</v>
      </c>
      <c r="J14" s="92">
        <f>IF(T$9="Y",Feb!J54,0)</f>
        <v>0</v>
      </c>
      <c r="K14" s="92">
        <f>IF(T$9="Y",Feb!K54,I14*J14)</f>
        <v>0</v>
      </c>
      <c r="L14" s="111">
        <f>IF(T$9="Y",Feb!L54,0)</f>
        <v>0</v>
      </c>
      <c r="M14" s="111" t="str">
        <f>IF(E14=" "," ",IF(T$9="Y",Feb!M54,IF((H14+K14+L14)&gt;0,H14+K14+L14,"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IF(Employee!H$112=E$9,Employee!D$112+SUM(M14)+Feb!V54,SUM(M14)+Feb!V54)</f>
        <v>0</v>
      </c>
      <c r="W14" s="49">
        <f>IF(Employee!H$112=E$9,Employee!D$113+SUM(N14)+Feb!W54,SUM(N14)+Feb!W54)</f>
        <v>0</v>
      </c>
      <c r="X14" s="49">
        <f>IF(O14=" ",Feb!X54,O14+Feb!X54)</f>
        <v>0</v>
      </c>
      <c r="Y14" s="49">
        <f>IF(P14=" ",Feb!Y54,P14+Feb!Y54)</f>
        <v>0</v>
      </c>
      <c r="Z14" s="49">
        <f>IF(Q14=" ",Feb!Z54,Q14+Feb!Z54)</f>
        <v>0</v>
      </c>
      <c r="AA14" s="49">
        <f>IF(R14=" ",Feb!AA54,R14+Feb!AA54)</f>
        <v>0</v>
      </c>
      <c r="AC14" s="49">
        <f>IF(T14=" ",Feb!AC54,T14+Feb!AC54)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IF(T$9="Y",Feb!H55,0)</f>
        <v>0</v>
      </c>
      <c r="I15" s="245">
        <f>IF(T$9="Y",Feb!I55,0)</f>
        <v>0</v>
      </c>
      <c r="J15" s="245">
        <f>IF(T$9="Y",Feb!J55,0)</f>
        <v>0</v>
      </c>
      <c r="K15" s="245">
        <f>IF(T$9="Y",Feb!K55,I15*J15)</f>
        <v>0</v>
      </c>
      <c r="L15" s="246">
        <f>IF(T$9="Y",Feb!L55,0)</f>
        <v>0</v>
      </c>
      <c r="M15" s="111" t="str">
        <f>IF(E15=" "," ",IF(T$9="Y",Feb!M55,IF((H15+K15+L15)&gt;0,H15+K15+L15,"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IF(Employee!H$138=E$9,Employee!D$138+SUM(M15)+Feb!V55,SUM(M15)+Feb!V55)</f>
        <v>0</v>
      </c>
      <c r="W15" s="49">
        <f>IF(Employee!H$138=E$9,Employee!D$139+SUM(N15)+Feb!W55,SUM(N15)+Feb!W55)</f>
        <v>0</v>
      </c>
      <c r="X15" s="49">
        <f>IF(O15=" ",Feb!X55,O15+Feb!X55)</f>
        <v>0</v>
      </c>
      <c r="Y15" s="49">
        <f>IF(P15=" ",Feb!Y55,P15+Feb!Y55)</f>
        <v>0</v>
      </c>
      <c r="Z15" s="49">
        <f>IF(Q15=" ",Feb!Z55,Q15+Feb!Z55)</f>
        <v>0</v>
      </c>
      <c r="AA15" s="49">
        <f>IF(R15=" ",Feb!AA55,R15+Feb!AA55)</f>
        <v>0</v>
      </c>
      <c r="AC15" s="49">
        <f>IF(T15=" ",Feb!AC55,T15+Feb!AC55)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44927</v>
      </c>
      <c r="L49" s="203" t="s">
        <v>76</v>
      </c>
      <c r="M49" s="205">
        <f>Admin!B302</f>
        <v>44957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IF(T$49="Y",Feb!H61,0)</f>
        <v>0</v>
      </c>
      <c r="I51" s="89">
        <f>IF(T$49="Y",Feb!I61,0)</f>
        <v>0</v>
      </c>
      <c r="J51" s="89">
        <f>IF(T$49="Y",Feb!J61,0)</f>
        <v>0</v>
      </c>
      <c r="K51" s="89">
        <f>IF(T$49="Y",Feb!K61,I51*J51)</f>
        <v>0</v>
      </c>
      <c r="L51" s="110">
        <f>IF(T$49="Y",Feb!L61,0)</f>
        <v>0</v>
      </c>
      <c r="M51" s="99" t="str">
        <f>IF(E51=" "," ",IF(T$49="Y",Feb!M61,IF((H51+K51+L51)&gt;0,H51+K51+L51,"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IF(Employee!H$35=E$49,Employee!D$34+SUM(M51)+Feb!V61,SUM(M51)+Feb!V61)</f>
        <v>0</v>
      </c>
      <c r="W51" s="49">
        <f>IF(Employee!H$35=E$49,Employee!D$35+SUM(N51)+Feb!W61,SUM(N51)+Feb!W61)</f>
        <v>0</v>
      </c>
      <c r="X51" s="49">
        <f>IF(O51=" ",Feb!X61,O51+Feb!X61)</f>
        <v>0</v>
      </c>
      <c r="Y51" s="49">
        <f>IF(P51=" ",Feb!Y61,P51+Feb!Y61)</f>
        <v>0</v>
      </c>
      <c r="Z51" s="49">
        <f>IF(Q51=" ",Feb!Z61,Q51+Feb!Z61)</f>
        <v>0</v>
      </c>
      <c r="AA51" s="49">
        <f>IF(R51=" ",Feb!AA61,R51+Feb!AA61)</f>
        <v>0</v>
      </c>
      <c r="AC51" s="49">
        <f>IF(T51=" ",Feb!AC61,T51+Feb!AC61)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IF(T$49="Y",Feb!H62,0)</f>
        <v>0</v>
      </c>
      <c r="I52" s="92">
        <f>IF(T$49="Y",Feb!I62,0)</f>
        <v>0</v>
      </c>
      <c r="J52" s="92">
        <f>IF(T$49="Y",Feb!J62,0)</f>
        <v>0</v>
      </c>
      <c r="K52" s="92">
        <f>IF(T$49="Y",Feb!K62,I52*J52)</f>
        <v>0</v>
      </c>
      <c r="L52" s="111">
        <f>IF(T$49="Y",Feb!L62,0)</f>
        <v>0</v>
      </c>
      <c r="M52" s="100" t="str">
        <f>IF(E52=" "," ",IF(T$49="Y",Feb!M62,IF((H52+K52+L52)&gt;0,H52+K52+L52,"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IF(Employee!H$61=E$49,Employee!D$60+SUM(M52)+Feb!V62,SUM(M52)+Feb!V62)</f>
        <v>0</v>
      </c>
      <c r="W52" s="49">
        <f>IF(Employee!H$61=E$49,Employee!D$61+SUM(N52)+Feb!W62,SUM(N52)+Feb!W62)</f>
        <v>0</v>
      </c>
      <c r="X52" s="49">
        <f>IF(O52=" ",Feb!X62,O52+Feb!X62)</f>
        <v>0</v>
      </c>
      <c r="Y52" s="49">
        <f>IF(P52=" ",Feb!Y62,P52+Feb!Y62)</f>
        <v>0</v>
      </c>
      <c r="Z52" s="49">
        <f>IF(Q52=" ",Feb!Z62,Q52+Feb!Z62)</f>
        <v>0</v>
      </c>
      <c r="AA52" s="49">
        <f>IF(R52=" ",Feb!AA62,R52+Feb!AA62)</f>
        <v>0</v>
      </c>
      <c r="AC52" s="49">
        <f>IF(T52=" ",Feb!AC62,T52+Feb!AC62)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IF(T$49="Y",Feb!H63,0)</f>
        <v>0</v>
      </c>
      <c r="I53" s="92">
        <f>IF(T$49="Y",Feb!I63,0)</f>
        <v>0</v>
      </c>
      <c r="J53" s="92">
        <f>IF(T$49="Y",Feb!J63,0)</f>
        <v>0</v>
      </c>
      <c r="K53" s="92">
        <f>IF(T$49="Y",Feb!K63,I53*J53)</f>
        <v>0</v>
      </c>
      <c r="L53" s="111">
        <f>IF(T$49="Y",Feb!L63,0)</f>
        <v>0</v>
      </c>
      <c r="M53" s="100" t="str">
        <f>IF(E53=" "," ",IF(T$49="Y",Feb!M63,IF((H53+K53+L53)&gt;0,H53+K53+L53,"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IF(Employee!H$87=E$49,Employee!D$86+SUM(M53)+Feb!V63,SUM(M53)+Feb!V63)</f>
        <v>0</v>
      </c>
      <c r="W53" s="49">
        <f>IF(Employee!H$87=E$49,Employee!D$87+SUM(N53)+Feb!W63,SUM(N53)+Feb!W63)</f>
        <v>0</v>
      </c>
      <c r="X53" s="49">
        <f>IF(O53=" ",Feb!X63,O53+Feb!X63)</f>
        <v>0</v>
      </c>
      <c r="Y53" s="49">
        <f>IF(P53=" ",Feb!Y63,P53+Feb!Y63)</f>
        <v>0</v>
      </c>
      <c r="Z53" s="49">
        <f>IF(Q53=" ",Feb!Z63,Q53+Feb!Z63)</f>
        <v>0</v>
      </c>
      <c r="AA53" s="49">
        <f>IF(R53=" ",Feb!AA63,R53+Feb!AA63)</f>
        <v>0</v>
      </c>
      <c r="AC53" s="49">
        <f>IF(T53=" ",Feb!AC63,T53+Feb!AC63)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IF(T$49="Y",Feb!H64,0)</f>
        <v>0</v>
      </c>
      <c r="I54" s="92">
        <f>IF(T$49="Y",Feb!I64,0)</f>
        <v>0</v>
      </c>
      <c r="J54" s="92">
        <f>IF(T$49="Y",Feb!J64,0)</f>
        <v>0</v>
      </c>
      <c r="K54" s="92">
        <f>IF(T$49="Y",Feb!K64,I54*J54)</f>
        <v>0</v>
      </c>
      <c r="L54" s="111">
        <f>IF(T$49="Y",Feb!L64,0)</f>
        <v>0</v>
      </c>
      <c r="M54" s="100" t="str">
        <f>IF(E54=" "," ",IF(T$49="Y",Feb!M64,IF((H54+K54+L54)&gt;0,H54+K54+L54,"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IF(Employee!H$113=E$49,Employee!D$112+SUM(M54)+Feb!V64,SUM(M54)+Feb!V64)</f>
        <v>0</v>
      </c>
      <c r="W54" s="49">
        <f>IF(Employee!H$113=E$49,Employee!D$113+SUM(N54)+Feb!W64,SUM(N54)+Feb!W64)</f>
        <v>0</v>
      </c>
      <c r="X54" s="49">
        <f>IF(O54=" ",Feb!X64,O54+Feb!X64)</f>
        <v>0</v>
      </c>
      <c r="Y54" s="49">
        <f>IF(P54=" ",Feb!Y64,P54+Feb!Y64)</f>
        <v>0</v>
      </c>
      <c r="Z54" s="49">
        <f>IF(Q54=" ",Feb!Z64,Q54+Feb!Z64)</f>
        <v>0</v>
      </c>
      <c r="AA54" s="49">
        <f>IF(R54=" ",Feb!AA64,R54+Feb!AA64)</f>
        <v>0</v>
      </c>
      <c r="AC54" s="49">
        <f>IF(T54=" ",Feb!AC64,T54+Feb!AC64)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IF(T$49="Y",Feb!H65,0)</f>
        <v>0</v>
      </c>
      <c r="I55" s="245">
        <f>IF(T$49="Y",Feb!I65,0)</f>
        <v>0</v>
      </c>
      <c r="J55" s="245">
        <f>IF(T$49="Y",Feb!J65,0)</f>
        <v>0</v>
      </c>
      <c r="K55" s="245">
        <f>IF(T$49="Y",Feb!K65,I55*J55)</f>
        <v>0</v>
      </c>
      <c r="L55" s="246">
        <f>IF(T$49="Y",Feb!L65,0)</f>
        <v>0</v>
      </c>
      <c r="M55" s="100" t="str">
        <f>IF(E55=" "," ",IF(T$49="Y",Feb!M65,IF((H55+K55+L55)&gt;0,H55+K55+L55,"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IF(Employee!H$139=E$49,Employee!D$138+SUM(M55)+Feb!V65,SUM(M55)+Feb!V65)</f>
        <v>0</v>
      </c>
      <c r="W55" s="49">
        <f>IF(Employee!H$139=E$49,Employee!D$139+SUM(N55)+Feb!W65,SUM(N55)+Feb!W65)</f>
        <v>0</v>
      </c>
      <c r="X55" s="49">
        <f>IF(O55=" ",Feb!X65,O55+Feb!X65)</f>
        <v>0</v>
      </c>
      <c r="Y55" s="49">
        <f>IF(P55=" ",Feb!Y65,P55+Feb!Y65)</f>
        <v>0</v>
      </c>
      <c r="Z55" s="49">
        <f>IF(Q55=" ",Feb!Z65,Q55+Feb!Z65)</f>
        <v>0</v>
      </c>
      <c r="AA55" s="49">
        <f>IF(R55=" ",Feb!AA65,R55+Feb!AA65)</f>
        <v>0</v>
      </c>
      <c r="AC55" s="49">
        <f>IF(T55=" ",Feb!AC65,T55+Feb!AC65)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AD60+Feb!AD75</f>
        <v>0</v>
      </c>
      <c r="AE65" s="158">
        <f>AE60+Feb!AE75</f>
        <v>0</v>
      </c>
      <c r="AF65" s="158">
        <f>AF60+Feb!AF75</f>
        <v>0</v>
      </c>
      <c r="AG65" s="158">
        <f>AG60+Feb!AG75</f>
        <v>0</v>
      </c>
    </row>
    <row r="66" spans="6:33" ht="14" thickTop="1" x14ac:dyDescent="0.15"/>
    <row r="67" spans="6:33" x14ac:dyDescent="0.15">
      <c r="AD67" s="162"/>
      <c r="AE67" s="158">
        <f>AE62+Feb!AE77</f>
        <v>0</v>
      </c>
      <c r="AF67" s="158">
        <f>AF62+Feb!AF77</f>
        <v>0</v>
      </c>
      <c r="AG67" s="158">
        <f>AG62+Feb!AG77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Mar!M39+1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IF(T$19="Y",Mar!L45,0)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44958</v>
      </c>
      <c r="L49" s="203" t="s">
        <v>76</v>
      </c>
      <c r="M49" s="205">
        <f>Admin!B330</f>
        <v>44985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110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111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111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IF(Employee!H$87=E$49,Employee!D$87+SUM(N53)+Mar!W53,SUM(N53)+Mar!W53)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111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IF(T$49="Y",Mar!H55,0)</f>
        <v>0</v>
      </c>
      <c r="I55" s="245">
        <f>IF(T$49="Y",Mar!I55,0)</f>
        <v>0</v>
      </c>
      <c r="J55" s="245">
        <f>IF(T$49="Y",Mar!J55,0)</f>
        <v>0</v>
      </c>
      <c r="K55" s="245">
        <f>IF(T$49="Y",Mar!K55,I55*J55)</f>
        <v>0</v>
      </c>
      <c r="L55" s="246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Apr!M39+1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44986</v>
      </c>
      <c r="L69" s="203" t="s">
        <v>76</v>
      </c>
      <c r="M69" s="205">
        <f>Admin!B361</f>
        <v>45016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IF(T$69="Y",Apr!H51,0)</f>
        <v>0</v>
      </c>
      <c r="I71" s="89">
        <f>IF(T$69="Y",Apr!I51,0)</f>
        <v>0</v>
      </c>
      <c r="J71" s="89">
        <f>IF(T$69="Y",Apr!J51,0)</f>
        <v>0</v>
      </c>
      <c r="K71" s="89">
        <f>IF(T$69="Y",Apr!K51,I71*J71)</f>
        <v>0</v>
      </c>
      <c r="L71" s="110">
        <f>IF(T$69="Y",Apr!L51,0)</f>
        <v>0</v>
      </c>
      <c r="M71" s="99" t="str">
        <f>IF(E71=" "," ",IF(T$69="Y",Apr!M51,IF((H71+K71+L71)&gt;0,H71+K71+L71,"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IF(Employee!H$35=E$69,Employee!D$34+SUM(M71)+Apr!V51,SUM(M71)+Apr!V51)</f>
        <v>0</v>
      </c>
      <c r="W71" s="49">
        <f>IF(Employee!H$35=E$69,Employee!D$35+SUM(N71)+Apr!W51,SUM(N71)+Apr!W51)</f>
        <v>0</v>
      </c>
      <c r="X71" s="49">
        <f>IF(O71=" ",Apr!X51,O71+Apr!X51)</f>
        <v>0</v>
      </c>
      <c r="Y71" s="49">
        <f>IF(P71=" ",Apr!Y51,P71+Apr!Y51)</f>
        <v>0</v>
      </c>
      <c r="Z71" s="49">
        <f>IF(Q71=" ",Apr!Z51,Q71+Apr!Z51)</f>
        <v>0</v>
      </c>
      <c r="AA71" s="49">
        <f>IF(R71=" ",Apr!AA51,R71+Apr!AA51)</f>
        <v>0</v>
      </c>
      <c r="AC71" s="49">
        <f>IF(T71=" ",Apr!AC51,T71+Apr!AC51)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IF(T$69="Y",Apr!H52,0)</f>
        <v>0</v>
      </c>
      <c r="I72" s="92">
        <f>IF(T$69="Y",Apr!I52,0)</f>
        <v>0</v>
      </c>
      <c r="J72" s="92">
        <f>IF(T$69="Y",Apr!J52,0)</f>
        <v>0</v>
      </c>
      <c r="K72" s="92">
        <f>IF(T$69="Y",Apr!K52,I72*J72)</f>
        <v>0</v>
      </c>
      <c r="L72" s="111">
        <f>IF(T$69="Y",Apr!L52,0)</f>
        <v>0</v>
      </c>
      <c r="M72" s="100" t="str">
        <f>IF(E72=" "," ",IF(T$69="Y",Apr!M52,IF((H72+K72+L72)&gt;0,H72+K72+L72,"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IF(Employee!H$61=E$69,Employee!D$60+SUM(M72)+Apr!V52,SUM(M72)+Apr!V52)</f>
        <v>0</v>
      </c>
      <c r="W72" s="49">
        <f>IF(Employee!H$61=E$69,Employee!D$61+SUM(N72)+Apr!W52,SUM(N72)+Apr!W52)</f>
        <v>0</v>
      </c>
      <c r="X72" s="49">
        <f>IF(O72=" ",Apr!X52,O72+Apr!X52)</f>
        <v>0</v>
      </c>
      <c r="Y72" s="49">
        <f>IF(P72=" ",Apr!Y52,P72+Apr!Y52)</f>
        <v>0</v>
      </c>
      <c r="Z72" s="49">
        <f>IF(Q72=" ",Apr!Z52,Q72+Apr!Z52)</f>
        <v>0</v>
      </c>
      <c r="AA72" s="49">
        <f>IF(R72=" ",Apr!AA52,R72+Apr!AA52)</f>
        <v>0</v>
      </c>
      <c r="AC72" s="49">
        <f>IF(T72=" ",Apr!AC52,T72+Apr!AC52)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IF(T$69="Y",Apr!H53,0)</f>
        <v>0</v>
      </c>
      <c r="I73" s="92">
        <f>IF(T$69="Y",Apr!I53,0)</f>
        <v>0</v>
      </c>
      <c r="J73" s="92">
        <f>IF(T$69="Y",Apr!J53,0)</f>
        <v>0</v>
      </c>
      <c r="K73" s="92">
        <f>IF(T$69="Y",Apr!K53,I73*J73)</f>
        <v>0</v>
      </c>
      <c r="L73" s="111">
        <f>IF(T$69="Y",Apr!L53,0)</f>
        <v>0</v>
      </c>
      <c r="M73" s="100" t="str">
        <f>IF(E73=" "," ",IF(T$69="Y",Apr!M53,IF((H73+K73+L73)&gt;0,H73+K73+L73,"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IF(Employee!H$87=E$69,Employee!D$86+SUM(M73)+Apr!V53,SUM(M73)+Apr!V53)</f>
        <v>0</v>
      </c>
      <c r="W73" s="49">
        <f>IF(Employee!H$87=E$69,Employee!D$87+SUM(N73)+Apr!W53,SUM(N73)+Apr!W53)</f>
        <v>0</v>
      </c>
      <c r="X73" s="49">
        <f>IF(O73=" ",Apr!X53,O73+Apr!X53)</f>
        <v>0</v>
      </c>
      <c r="Y73" s="49">
        <f>IF(P73=" ",Apr!Y53,P73+Apr!Y53)</f>
        <v>0</v>
      </c>
      <c r="Z73" s="49">
        <f>IF(Q73=" ",Apr!Z53,Q73+Apr!Z53)</f>
        <v>0</v>
      </c>
      <c r="AA73" s="49">
        <f>IF(R73=" ",Apr!AA53,R73+Apr!AA53)</f>
        <v>0</v>
      </c>
      <c r="AC73" s="49">
        <f>IF(T73=" ",Apr!AC53,T73+Apr!AC53)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IF(T$69="Y",Apr!H54,0)</f>
        <v>0</v>
      </c>
      <c r="I74" s="92">
        <f>IF(T$69="Y",Apr!I54,0)</f>
        <v>0</v>
      </c>
      <c r="J74" s="92">
        <f>IF(T$69="Y",Apr!J54,0)</f>
        <v>0</v>
      </c>
      <c r="K74" s="92">
        <f>IF(T$69="Y",Apr!K54,I74*J74)</f>
        <v>0</v>
      </c>
      <c r="L74" s="111">
        <f>IF(T$69="Y",Apr!L54,0)</f>
        <v>0</v>
      </c>
      <c r="M74" s="100" t="str">
        <f>IF(E74=" "," ",IF(T$69="Y",Apr!M54,IF((H74+K74+L74)&gt;0,H74+K74+L74,"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IF(Employee!H$113=E$69,Employee!D$112+SUM(M74)+Apr!V54,SUM(M74)+Apr!V54)</f>
        <v>0</v>
      </c>
      <c r="W74" s="49">
        <f>IF(Employee!H$113=E$69,Employee!D$113+SUM(N74)+Apr!W54,SUM(N74)+Apr!W54)</f>
        <v>0</v>
      </c>
      <c r="X74" s="49">
        <f>IF(O74=" ",Apr!X54,O74+Apr!X54)</f>
        <v>0</v>
      </c>
      <c r="Y74" s="49">
        <f>IF(P74=" ",Apr!Y54,P74+Apr!Y54)</f>
        <v>0</v>
      </c>
      <c r="Z74" s="49">
        <f>IF(Q74=" ",Apr!Z54,Q74+Apr!Z54)</f>
        <v>0</v>
      </c>
      <c r="AA74" s="49">
        <f>IF(R74=" ",Apr!AA54,R74+Apr!AA54)</f>
        <v>0</v>
      </c>
      <c r="AC74" s="49">
        <f>IF(T74=" ",Apr!AC54,T74+Apr!AC54)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IF(T$69="Y",Apr!H55,0)</f>
        <v>0</v>
      </c>
      <c r="I75" s="245">
        <f>IF(T$69="Y",Apr!I55,0)</f>
        <v>0</v>
      </c>
      <c r="J75" s="245">
        <f>IF(T$69="Y",Apr!J55,0)</f>
        <v>0</v>
      </c>
      <c r="K75" s="245">
        <f>IF(T$69="Y",Apr!K55,I75*J75)</f>
        <v>0</v>
      </c>
      <c r="L75" s="246">
        <f>IF(T$69="Y",Apr!L55,0)</f>
        <v>0</v>
      </c>
      <c r="M75" s="100" t="str">
        <f>IF(E75=" "," ",IF(T$69="Y",Apr!M55,IF((H75+K75+L75)&gt;0,H75+K75+L75,"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IF(Employee!H$139=E$69,Employee!D$138+SUM(M75)+Apr!V55,SUM(M75)+Apr!V55)</f>
        <v>0</v>
      </c>
      <c r="W75" s="49">
        <f>IF(Employee!H$139=E$69,Employee!D$139+SUM(N75)+Apr!W55,SUM(N75)+Apr!W55)</f>
        <v>0</v>
      </c>
      <c r="X75" s="49">
        <f>IF(O75=" ",Apr!X55,O75+Apr!X55)</f>
        <v>0</v>
      </c>
      <c r="Y75" s="49">
        <f>IF(P75=" ",Apr!Y55,P75+Apr!Y55)</f>
        <v>0</v>
      </c>
      <c r="Z75" s="49">
        <f>IF(Q75=" ",Apr!Z55,Q75+Apr!Z55)</f>
        <v>0</v>
      </c>
      <c r="AA75" s="49">
        <f>IF(R75=" ",Apr!AA55,R75+Apr!AA55)</f>
        <v>0</v>
      </c>
      <c r="AC75" s="49">
        <f>IF(T75=" ",Apr!AC55,T75+Apr!AC55)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AD80+Apr!AD65</f>
        <v>0</v>
      </c>
      <c r="AE85" s="158">
        <f>AE80+Apr!AE65</f>
        <v>0</v>
      </c>
      <c r="AF85" s="158">
        <f>AF80+Apr!AF65</f>
        <v>0</v>
      </c>
      <c r="AG85" s="158">
        <f>AG80+Apr!AG65</f>
        <v>0</v>
      </c>
    </row>
    <row r="86" spans="6:33" ht="14" thickTop="1" x14ac:dyDescent="0.15"/>
    <row r="87" spans="6:33" x14ac:dyDescent="0.15">
      <c r="AD87" s="162"/>
      <c r="AE87" s="158">
        <f>AE82+Apr!AE67</f>
        <v>0</v>
      </c>
      <c r="AF87" s="158">
        <f>AF82+Apr!AF67</f>
        <v>0</v>
      </c>
      <c r="AG87" s="158">
        <f>AG82+Apr!AG67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Jun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",INDIRECT(ADDRESS($H$4,18,1,TRUE,$H$3)))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44681</v>
      </c>
      <c r="C4" s="229">
        <f>Admin!$B$45</f>
        <v>44700</v>
      </c>
      <c r="D4" s="227">
        <f>Jun!T1+Jun!O1</f>
        <v>0</v>
      </c>
      <c r="E4" s="228">
        <f>Jun!N1</f>
        <v>0</v>
      </c>
      <c r="F4" s="228">
        <f>Jun!AD60+Jun!AE60+Jun!AF60+Jun!AG60</f>
        <v>0</v>
      </c>
      <c r="G4" s="228">
        <f>Jun!AE62+Jun!AF62+Jun!AG62</f>
        <v>0</v>
      </c>
      <c r="H4" s="228">
        <f>Jun!P1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44712</v>
      </c>
      <c r="C5" s="229">
        <f>Admin!$B$76</f>
        <v>44731</v>
      </c>
      <c r="D5" s="227">
        <f>Jul!T1+Jul!O1</f>
        <v>0</v>
      </c>
      <c r="E5" s="228">
        <f>Jul!N1</f>
        <v>0</v>
      </c>
      <c r="F5" s="228">
        <f>Jul!AD60+Jul!AE60+Jul!AF60+Jul!AG60</f>
        <v>0</v>
      </c>
      <c r="G5" s="228">
        <f>Jul!AE62+Jul!AF62+Jul!AG62</f>
        <v>0</v>
      </c>
      <c r="H5" s="228">
        <f>Jul!P1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44742</v>
      </c>
      <c r="C6" s="229">
        <f>Admin!$B$106</f>
        <v>44761</v>
      </c>
      <c r="D6" s="227">
        <f>Aug!T1+Aug!O1</f>
        <v>0</v>
      </c>
      <c r="E6" s="228">
        <f>Aug!N1</f>
        <v>0</v>
      </c>
      <c r="F6" s="228">
        <f>Aug!AD70+Aug!AE70+Aug!AF70+Aug!AG70</f>
        <v>0</v>
      </c>
      <c r="G6" s="228">
        <f>Aug!AE72+Aug!AF72+Aug!AG72</f>
        <v>0</v>
      </c>
      <c r="H6" s="228">
        <f>Aug!P1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44773</v>
      </c>
      <c r="C7" s="229">
        <f>Admin!$B$137</f>
        <v>44792</v>
      </c>
      <c r="D7" s="227">
        <f>Sep!T1+Sep!O1</f>
        <v>0</v>
      </c>
      <c r="E7" s="228">
        <f>Sep!N1</f>
        <v>0</v>
      </c>
      <c r="F7" s="228">
        <f>Sep!AD60+Sep!AE60+Sep!AF60+Sep!AG60</f>
        <v>0</v>
      </c>
      <c r="G7" s="228">
        <f>Sep!AE62+Sep!AF62+Sep!AG62</f>
        <v>0</v>
      </c>
      <c r="H7" s="228">
        <f>Sep!P1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44804</v>
      </c>
      <c r="C8" s="229">
        <f>Admin!$B$168</f>
        <v>44823</v>
      </c>
      <c r="D8" s="227">
        <f>Oct!T1+Oct!O1</f>
        <v>0</v>
      </c>
      <c r="E8" s="228">
        <f>Oct!N1</f>
        <v>0</v>
      </c>
      <c r="F8" s="228">
        <f>Oct!AD60+Oct!AE60+Oct!AF60+Oct!AG60</f>
        <v>0</v>
      </c>
      <c r="G8" s="228">
        <f>Oct!AE62+Oct!AF62+Oct!AG62</f>
        <v>0</v>
      </c>
      <c r="H8" s="228">
        <f>Oct!P1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44834</v>
      </c>
      <c r="C9" s="229">
        <f>Admin!$B$198</f>
        <v>44853</v>
      </c>
      <c r="D9" s="227">
        <f>Nov!T1+Nov!O1</f>
        <v>0</v>
      </c>
      <c r="E9" s="228">
        <f>Nov!N1</f>
        <v>0</v>
      </c>
      <c r="F9" s="228">
        <f>Nov!AD70+Nov!AE70+Nov!AF70+Nov!AG70</f>
        <v>0</v>
      </c>
      <c r="G9" s="228">
        <f>Nov!AE72+Nov!AF72+Nov!AG72</f>
        <v>0</v>
      </c>
      <c r="H9" s="228">
        <f>Nov!P1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44865</v>
      </c>
      <c r="C10" s="229">
        <f>Admin!$B$229</f>
        <v>44884</v>
      </c>
      <c r="D10" s="227">
        <f>Dec!T1+Dec!O1</f>
        <v>0</v>
      </c>
      <c r="E10" s="228">
        <f>Dec!N1</f>
        <v>0</v>
      </c>
      <c r="F10" s="228">
        <f>Dec!AD60+Dec!AE60+Dec!AF60+Dec!AG60</f>
        <v>0</v>
      </c>
      <c r="G10" s="228">
        <f>Dec!AE62+Dec!AF62+Dec!AG62</f>
        <v>0</v>
      </c>
      <c r="H10" s="228">
        <f>Dec!P1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44895</v>
      </c>
      <c r="C11" s="229">
        <f>Admin!$B$259</f>
        <v>44914</v>
      </c>
      <c r="D11" s="227">
        <f>Jan!T1+Jan!O1</f>
        <v>0</v>
      </c>
      <c r="E11" s="228">
        <f>Jan!N1</f>
        <v>0</v>
      </c>
      <c r="F11" s="228">
        <f>Jan!AD60+Jan!AE60+Jan!AF60+Jan!AG60</f>
        <v>0</v>
      </c>
      <c r="G11" s="228">
        <f>Jan!AE62+Jan!AF62+Jan!AG62</f>
        <v>0</v>
      </c>
      <c r="H11" s="228">
        <f>Jan!P1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44926</v>
      </c>
      <c r="C12" s="229">
        <f>Admin!$B$290</f>
        <v>44945</v>
      </c>
      <c r="D12" s="227">
        <f>Feb!T1+Feb!O1</f>
        <v>0</v>
      </c>
      <c r="E12" s="228">
        <f>Feb!N1</f>
        <v>0</v>
      </c>
      <c r="F12" s="228">
        <f>Feb!AD70+Feb!AE70+Feb!AF70+Feb!AG70</f>
        <v>0</v>
      </c>
      <c r="G12" s="228">
        <f>Feb!AE72+Feb!AF72+Feb!AG72</f>
        <v>0</v>
      </c>
      <c r="H12" s="228">
        <f>Feb!P1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44957</v>
      </c>
      <c r="C13" s="229">
        <f>Admin!$B$321</f>
        <v>44976</v>
      </c>
      <c r="D13" s="227">
        <f>Mar!T1+Mar!O1</f>
        <v>0</v>
      </c>
      <c r="E13" s="228">
        <f>Mar!N1</f>
        <v>0</v>
      </c>
      <c r="F13" s="228">
        <f>Mar!AD60+Mar!AE60+Mar!AF60+Mar!AG60</f>
        <v>0</v>
      </c>
      <c r="G13" s="228">
        <f>Mar!AE62+Mar!AF62+Mar!AG62</f>
        <v>0</v>
      </c>
      <c r="H13" s="228">
        <f>Mar!P1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44985</v>
      </c>
      <c r="C14" s="229">
        <f>Admin!$B$350</f>
        <v>45005</v>
      </c>
      <c r="D14" s="227">
        <f>Apr!T1+Apr!O1</f>
        <v>0</v>
      </c>
      <c r="E14" s="228">
        <f>Apr!N1</f>
        <v>0</v>
      </c>
      <c r="F14" s="228">
        <f>Apr!AD60+Apr!AE60+Apr!AF60+Apr!AG60</f>
        <v>0</v>
      </c>
      <c r="G14" s="228">
        <f>Apr!AE62+Apr!AF62+Apr!AG62</f>
        <v>0</v>
      </c>
      <c r="H14" s="228">
        <f>Apr!P1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45016</v>
      </c>
      <c r="C15" s="229">
        <f>Admin!$B$381</f>
        <v>45036</v>
      </c>
      <c r="D15" s="227">
        <f>May!T1+May!O1</f>
        <v>0</v>
      </c>
      <c r="E15" s="228">
        <f>May!N1</f>
        <v>0</v>
      </c>
      <c r="F15" s="228">
        <f>May!AD80+May!AE80+May!AF80+May!AG80</f>
        <v>0</v>
      </c>
      <c r="G15" s="228">
        <f>May!AE82+May!AF82+May!AG82</f>
        <v>0</v>
      </c>
      <c r="H15" s="228">
        <f>May!P1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45021</v>
      </c>
      <c r="J1" s="493"/>
      <c r="K1" s="303"/>
      <c r="L1" s="303"/>
      <c r="M1" s="304"/>
      <c r="N1" s="305" t="str">
        <f>TEXT(YEAR(I1)-1,"0") &amp; "-" &amp; TEXT(YEAR(I1)-2000,"0")</f>
        <v>2022-23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TEXT(DATE(YEAR(B$2),MONTH(B$2)+(D2-1)+2,1),"Mmm")</f>
        <v>Jun</v>
      </c>
      <c r="B2" s="308">
        <v>44657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TEXT(DATE(YEAR(B$2),MONTH(B$2)+(D3-1)+2,1),"Mmm")</f>
        <v>Jun</v>
      </c>
      <c r="B3" s="308">
        <f>B2+1</f>
        <v>44658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Jun</v>
      </c>
      <c r="B4" s="308">
        <f t="shared" ref="B4:B67" si="1">B3+1</f>
        <v>44659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Jun</v>
      </c>
      <c r="B5" s="308">
        <f t="shared" si="1"/>
        <v>44660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Jun</v>
      </c>
      <c r="B6" s="308">
        <f t="shared" si="1"/>
        <v>44661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Jun</v>
      </c>
      <c r="B7" s="308">
        <f t="shared" si="1"/>
        <v>44662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Jun</v>
      </c>
      <c r="B8" s="308">
        <f t="shared" si="1"/>
        <v>44663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Jun</v>
      </c>
      <c r="B9" s="308">
        <f t="shared" si="1"/>
        <v>44664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Jun</v>
      </c>
      <c r="B10" s="308">
        <f t="shared" si="1"/>
        <v>44665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Jun</v>
      </c>
      <c r="B11" s="308">
        <f t="shared" si="1"/>
        <v>44666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Jun</v>
      </c>
      <c r="B12" s="308">
        <f t="shared" si="1"/>
        <v>44667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Jun</v>
      </c>
      <c r="B13" s="308">
        <f t="shared" si="1"/>
        <v>44668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Jun</v>
      </c>
      <c r="B14" s="308">
        <f t="shared" si="1"/>
        <v>44669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Jun</v>
      </c>
      <c r="B15" s="308">
        <f t="shared" si="1"/>
        <v>44670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Jun</v>
      </c>
      <c r="B16" s="308">
        <f t="shared" si="1"/>
        <v>44671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Jun</v>
      </c>
      <c r="B17" s="308">
        <f t="shared" si="1"/>
        <v>44672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Jun</v>
      </c>
      <c r="B18" s="308">
        <f t="shared" si="1"/>
        <v>44673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Jun</v>
      </c>
      <c r="B19" s="308">
        <f t="shared" si="1"/>
        <v>44674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Jun</v>
      </c>
      <c r="B20" s="308">
        <f t="shared" si="1"/>
        <v>44675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Jun</v>
      </c>
      <c r="B21" s="308">
        <f t="shared" si="1"/>
        <v>44676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Jun</v>
      </c>
      <c r="B22" s="308">
        <f t="shared" si="1"/>
        <v>44677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Jun</v>
      </c>
      <c r="B23" s="308">
        <f t="shared" si="1"/>
        <v>44678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Jun</v>
      </c>
      <c r="B24" s="308">
        <f t="shared" si="1"/>
        <v>44679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Jun</v>
      </c>
      <c r="B25" s="308">
        <f t="shared" si="1"/>
        <v>44680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Jun</v>
      </c>
      <c r="B26" s="308">
        <f t="shared" si="1"/>
        <v>44681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Jun</v>
      </c>
      <c r="B27" s="308">
        <f t="shared" si="1"/>
        <v>44682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Jul</v>
      </c>
      <c r="B28" s="308">
        <f t="shared" si="1"/>
        <v>44683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Jul</v>
      </c>
      <c r="B29" s="308">
        <f t="shared" si="1"/>
        <v>44684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Jul</v>
      </c>
      <c r="B30" s="308">
        <f t="shared" si="1"/>
        <v>44685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Jul</v>
      </c>
      <c r="B31" s="308">
        <f t="shared" si="1"/>
        <v>44686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Jul</v>
      </c>
      <c r="B32" s="308">
        <f t="shared" si="1"/>
        <v>44687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Jul</v>
      </c>
      <c r="B33" s="308">
        <f t="shared" si="1"/>
        <v>44688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Jul</v>
      </c>
      <c r="B34" s="308">
        <f t="shared" si="1"/>
        <v>44689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Jul</v>
      </c>
      <c r="B35" s="308">
        <f t="shared" si="1"/>
        <v>44690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Jul</v>
      </c>
      <c r="B36" s="308">
        <f t="shared" si="1"/>
        <v>44691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Jul</v>
      </c>
      <c r="B37" s="308">
        <f t="shared" si="1"/>
        <v>44692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Jul</v>
      </c>
      <c r="B38" s="308">
        <f t="shared" si="1"/>
        <v>44693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Jul</v>
      </c>
      <c r="B39" s="308">
        <f t="shared" si="1"/>
        <v>44694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Jul</v>
      </c>
      <c r="B40" s="308">
        <f t="shared" si="1"/>
        <v>44695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Jul</v>
      </c>
      <c r="B41" s="308">
        <f t="shared" si="1"/>
        <v>44696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Jul</v>
      </c>
      <c r="B42" s="308">
        <f t="shared" si="1"/>
        <v>44697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Jul</v>
      </c>
      <c r="B43" s="308">
        <f t="shared" si="1"/>
        <v>44698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Jul</v>
      </c>
      <c r="B44" s="308">
        <f t="shared" si="1"/>
        <v>44699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Jul</v>
      </c>
      <c r="B45" s="308">
        <f t="shared" si="1"/>
        <v>44700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Jul</v>
      </c>
      <c r="B46" s="308">
        <f t="shared" si="1"/>
        <v>44701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Jul</v>
      </c>
      <c r="B47" s="308">
        <f t="shared" si="1"/>
        <v>44702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Jul</v>
      </c>
      <c r="B48" s="308">
        <f t="shared" si="1"/>
        <v>44703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Jul</v>
      </c>
      <c r="B49" s="308">
        <f t="shared" si="1"/>
        <v>44704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Jul</v>
      </c>
      <c r="B50" s="308">
        <f t="shared" si="1"/>
        <v>44705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Jul</v>
      </c>
      <c r="B51" s="308">
        <f t="shared" si="1"/>
        <v>44706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Jul</v>
      </c>
      <c r="B52" s="308">
        <f t="shared" si="1"/>
        <v>44707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Jul</v>
      </c>
      <c r="B53" s="308">
        <f t="shared" si="1"/>
        <v>44708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Jul</v>
      </c>
      <c r="B54" s="308">
        <f t="shared" si="1"/>
        <v>44709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Jul</v>
      </c>
      <c r="B55" s="308">
        <f t="shared" si="1"/>
        <v>44710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Aug</v>
      </c>
      <c r="B56" s="308">
        <f t="shared" si="1"/>
        <v>44711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Aug</v>
      </c>
      <c r="B57" s="308">
        <f t="shared" si="1"/>
        <v>44712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Aug</v>
      </c>
      <c r="B58" s="308">
        <f t="shared" si="1"/>
        <v>44713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Aug</v>
      </c>
      <c r="B59" s="308">
        <f t="shared" si="1"/>
        <v>44714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Aug</v>
      </c>
      <c r="B60" s="308">
        <f t="shared" si="1"/>
        <v>44715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Aug</v>
      </c>
      <c r="B61" s="308">
        <f t="shared" si="1"/>
        <v>44716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Aug</v>
      </c>
      <c r="B62" s="308">
        <f t="shared" si="1"/>
        <v>44717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Aug</v>
      </c>
      <c r="B63" s="308">
        <f t="shared" si="1"/>
        <v>44718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Aug</v>
      </c>
      <c r="B64" s="308">
        <f t="shared" si="1"/>
        <v>44719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Aug</v>
      </c>
      <c r="B65" s="308">
        <f t="shared" si="1"/>
        <v>44720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Aug</v>
      </c>
      <c r="B66" s="308">
        <f t="shared" si="1"/>
        <v>44721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TEXT(DATE(YEAR(B$2),MONTH(B$2)+(D67-1)+2,1),"Mmm")</f>
        <v>Aug</v>
      </c>
      <c r="B67" s="308">
        <f t="shared" si="1"/>
        <v>44722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Aug</v>
      </c>
      <c r="B68" s="308">
        <f t="shared" ref="B68:B131" si="3">B67+1</f>
        <v>44723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Aug</v>
      </c>
      <c r="B69" s="308">
        <f t="shared" si="3"/>
        <v>44724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Aug</v>
      </c>
      <c r="B70" s="308">
        <f t="shared" si="3"/>
        <v>44725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Aug</v>
      </c>
      <c r="B71" s="308">
        <f t="shared" si="3"/>
        <v>44726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Aug</v>
      </c>
      <c r="B72" s="308">
        <f t="shared" si="3"/>
        <v>44727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Aug</v>
      </c>
      <c r="B73" s="308">
        <f t="shared" si="3"/>
        <v>44728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Aug</v>
      </c>
      <c r="B74" s="308">
        <f t="shared" si="3"/>
        <v>44729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Aug</v>
      </c>
      <c r="B75" s="308">
        <f t="shared" si="3"/>
        <v>44730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Aug</v>
      </c>
      <c r="B76" s="308">
        <f t="shared" si="3"/>
        <v>44731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Aug</v>
      </c>
      <c r="B77" s="308">
        <f t="shared" si="3"/>
        <v>44732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Aug</v>
      </c>
      <c r="B78" s="308">
        <f t="shared" si="3"/>
        <v>44733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Aug</v>
      </c>
      <c r="B79" s="308">
        <f t="shared" si="3"/>
        <v>44734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Aug</v>
      </c>
      <c r="B80" s="308">
        <f t="shared" si="3"/>
        <v>44735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Aug</v>
      </c>
      <c r="B81" s="308">
        <f t="shared" si="3"/>
        <v>44736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Aug</v>
      </c>
      <c r="B82" s="308">
        <f t="shared" si="3"/>
        <v>44737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Aug</v>
      </c>
      <c r="B83" s="308">
        <f t="shared" si="3"/>
        <v>44738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Aug</v>
      </c>
      <c r="B84" s="308">
        <f t="shared" si="3"/>
        <v>44739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Aug</v>
      </c>
      <c r="B85" s="308">
        <f t="shared" si="3"/>
        <v>44740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Aug</v>
      </c>
      <c r="B86" s="308">
        <f t="shared" si="3"/>
        <v>44741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Aug</v>
      </c>
      <c r="B87" s="308">
        <f t="shared" si="3"/>
        <v>44742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Aug</v>
      </c>
      <c r="B88" s="308">
        <f t="shared" si="3"/>
        <v>44743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Aug</v>
      </c>
      <c r="B89" s="308">
        <f t="shared" si="3"/>
        <v>44744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Aug</v>
      </c>
      <c r="B90" s="308">
        <f t="shared" si="3"/>
        <v>44745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Sep</v>
      </c>
      <c r="B91" s="308">
        <f t="shared" si="3"/>
        <v>44746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Sep</v>
      </c>
      <c r="B92" s="308">
        <f t="shared" si="3"/>
        <v>44747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Sep</v>
      </c>
      <c r="B93" s="308">
        <f t="shared" si="3"/>
        <v>44748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Sep</v>
      </c>
      <c r="B94" s="308">
        <f t="shared" si="3"/>
        <v>44749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Sep</v>
      </c>
      <c r="B95" s="308">
        <f t="shared" si="3"/>
        <v>44750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Sep</v>
      </c>
      <c r="B96" s="308">
        <f t="shared" si="3"/>
        <v>44751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Sep</v>
      </c>
      <c r="B97" s="308">
        <f t="shared" si="3"/>
        <v>44752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Sep</v>
      </c>
      <c r="B98" s="308">
        <f t="shared" si="3"/>
        <v>44753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Sep</v>
      </c>
      <c r="B99" s="308">
        <f t="shared" si="3"/>
        <v>44754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Sep</v>
      </c>
      <c r="B100" s="308">
        <f t="shared" si="3"/>
        <v>44755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Sep</v>
      </c>
      <c r="B101" s="308">
        <f t="shared" si="3"/>
        <v>44756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Sep</v>
      </c>
      <c r="B102" s="308">
        <f t="shared" si="3"/>
        <v>44757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Sep</v>
      </c>
      <c r="B103" s="308">
        <f t="shared" si="3"/>
        <v>44758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Sep</v>
      </c>
      <c r="B104" s="308">
        <f t="shared" si="3"/>
        <v>44759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Sep</v>
      </c>
      <c r="B105" s="308">
        <f t="shared" si="3"/>
        <v>44760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Sep</v>
      </c>
      <c r="B106" s="308">
        <f t="shared" si="3"/>
        <v>44761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Sep</v>
      </c>
      <c r="B107" s="308">
        <f t="shared" si="3"/>
        <v>44762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Sep</v>
      </c>
      <c r="B108" s="308">
        <f t="shared" si="3"/>
        <v>44763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Sep</v>
      </c>
      <c r="B109" s="308">
        <f t="shared" si="3"/>
        <v>44764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Sep</v>
      </c>
      <c r="B110" s="308">
        <f t="shared" si="3"/>
        <v>44765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Sep</v>
      </c>
      <c r="B111" s="308">
        <f t="shared" si="3"/>
        <v>44766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Sep</v>
      </c>
      <c r="B112" s="308">
        <f t="shared" si="3"/>
        <v>44767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Sep</v>
      </c>
      <c r="B113" s="308">
        <f t="shared" si="3"/>
        <v>44768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Sep</v>
      </c>
      <c r="B114" s="308">
        <f t="shared" si="3"/>
        <v>44769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Sep</v>
      </c>
      <c r="B115" s="308">
        <f t="shared" si="3"/>
        <v>44770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Sep</v>
      </c>
      <c r="B116" s="308">
        <f t="shared" si="3"/>
        <v>44771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Sep</v>
      </c>
      <c r="B117" s="308">
        <f t="shared" si="3"/>
        <v>44772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Sep</v>
      </c>
      <c r="B118" s="308">
        <f t="shared" si="3"/>
        <v>44773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Oct</v>
      </c>
      <c r="B119" s="308">
        <f t="shared" si="3"/>
        <v>44774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Oct</v>
      </c>
      <c r="B120" s="308">
        <f t="shared" si="3"/>
        <v>44775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Oct</v>
      </c>
      <c r="B121" s="308">
        <f t="shared" si="3"/>
        <v>44776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Oct</v>
      </c>
      <c r="B122" s="308">
        <f t="shared" si="3"/>
        <v>44777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Oct</v>
      </c>
      <c r="B123" s="308">
        <f t="shared" si="3"/>
        <v>44778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Oct</v>
      </c>
      <c r="B124" s="308">
        <f t="shared" si="3"/>
        <v>44779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Oct</v>
      </c>
      <c r="B125" s="308">
        <f t="shared" si="3"/>
        <v>44780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Oct</v>
      </c>
      <c r="B126" s="308">
        <f t="shared" si="3"/>
        <v>44781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Oct</v>
      </c>
      <c r="B127" s="308">
        <f t="shared" si="3"/>
        <v>44782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Oct</v>
      </c>
      <c r="B128" s="308">
        <f t="shared" si="3"/>
        <v>44783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Oct</v>
      </c>
      <c r="B129" s="308">
        <f t="shared" si="3"/>
        <v>44784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Oct</v>
      </c>
      <c r="B130" s="308">
        <f t="shared" si="3"/>
        <v>44785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TEXT(DATE(YEAR(B$2),MONTH(B$2)+(D131-1)+2,1),"Mmm")</f>
        <v>Oct</v>
      </c>
      <c r="B131" s="308">
        <f t="shared" si="3"/>
        <v>44786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Oct</v>
      </c>
      <c r="B132" s="308">
        <f t="shared" ref="B132:B195" si="5">B131+1</f>
        <v>44787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Oct</v>
      </c>
      <c r="B133" s="308">
        <f t="shared" si="5"/>
        <v>44788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Oct</v>
      </c>
      <c r="B134" s="308">
        <f t="shared" si="5"/>
        <v>44789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Oct</v>
      </c>
      <c r="B135" s="308">
        <f t="shared" si="5"/>
        <v>44790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Oct</v>
      </c>
      <c r="B136" s="308">
        <f t="shared" si="5"/>
        <v>44791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Oct</v>
      </c>
      <c r="B137" s="308">
        <f t="shared" si="5"/>
        <v>44792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Oct</v>
      </c>
      <c r="B138" s="308">
        <f t="shared" si="5"/>
        <v>44793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Oct</v>
      </c>
      <c r="B139" s="308">
        <f t="shared" si="5"/>
        <v>44794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Oct</v>
      </c>
      <c r="B140" s="308">
        <f t="shared" si="5"/>
        <v>44795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Oct</v>
      </c>
      <c r="B141" s="308">
        <f t="shared" si="5"/>
        <v>44796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Oct</v>
      </c>
      <c r="B142" s="308">
        <f t="shared" si="5"/>
        <v>44797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Oct</v>
      </c>
      <c r="B143" s="308">
        <f t="shared" si="5"/>
        <v>44798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Oct</v>
      </c>
      <c r="B144" s="308">
        <f t="shared" si="5"/>
        <v>44799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Oct</v>
      </c>
      <c r="B145" s="308">
        <f t="shared" si="5"/>
        <v>44800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Oct</v>
      </c>
      <c r="B146" s="308">
        <f t="shared" si="5"/>
        <v>44801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Nov</v>
      </c>
      <c r="B147" s="308">
        <f t="shared" si="5"/>
        <v>44802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Nov</v>
      </c>
      <c r="B148" s="308">
        <f t="shared" si="5"/>
        <v>44803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Nov</v>
      </c>
      <c r="B149" s="308">
        <f t="shared" si="5"/>
        <v>44804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Nov</v>
      </c>
      <c r="B150" s="308">
        <f t="shared" si="5"/>
        <v>44805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Nov</v>
      </c>
      <c r="B151" s="308">
        <f t="shared" si="5"/>
        <v>44806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Nov</v>
      </c>
      <c r="B152" s="308">
        <f t="shared" si="5"/>
        <v>44807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Nov</v>
      </c>
      <c r="B153" s="308">
        <f t="shared" si="5"/>
        <v>44808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Nov</v>
      </c>
      <c r="B154" s="308">
        <f t="shared" si="5"/>
        <v>44809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Nov</v>
      </c>
      <c r="B155" s="321">
        <f t="shared" si="5"/>
        <v>44810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Nov</v>
      </c>
      <c r="B156" s="308">
        <f t="shared" si="5"/>
        <v>44811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Nov</v>
      </c>
      <c r="B157" s="308">
        <f t="shared" si="5"/>
        <v>44812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Nov</v>
      </c>
      <c r="B158" s="308">
        <f t="shared" si="5"/>
        <v>44813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Nov</v>
      </c>
      <c r="B159" s="308">
        <f t="shared" si="5"/>
        <v>44814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Nov</v>
      </c>
      <c r="B160" s="308">
        <f t="shared" si="5"/>
        <v>44815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Nov</v>
      </c>
      <c r="B161" s="308">
        <f t="shared" si="5"/>
        <v>44816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Nov</v>
      </c>
      <c r="B162" s="308">
        <f t="shared" si="5"/>
        <v>44817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Nov</v>
      </c>
      <c r="B163" s="308">
        <f t="shared" si="5"/>
        <v>44818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Nov</v>
      </c>
      <c r="B164" s="308">
        <f t="shared" si="5"/>
        <v>44819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Nov</v>
      </c>
      <c r="B165" s="308">
        <f t="shared" si="5"/>
        <v>44820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Nov</v>
      </c>
      <c r="B166" s="308">
        <f t="shared" si="5"/>
        <v>44821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Nov</v>
      </c>
      <c r="B167" s="308">
        <f t="shared" si="5"/>
        <v>44822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Nov</v>
      </c>
      <c r="B168" s="308">
        <f t="shared" si="5"/>
        <v>44823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Nov</v>
      </c>
      <c r="B169" s="308">
        <f t="shared" si="5"/>
        <v>44824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Nov</v>
      </c>
      <c r="B170" s="308">
        <f t="shared" si="5"/>
        <v>44825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Nov</v>
      </c>
      <c r="B171" s="308">
        <f t="shared" si="5"/>
        <v>44826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Nov</v>
      </c>
      <c r="B172" s="308">
        <f t="shared" si="5"/>
        <v>44827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Nov</v>
      </c>
      <c r="B173" s="308">
        <f t="shared" si="5"/>
        <v>44828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Nov</v>
      </c>
      <c r="B174" s="308">
        <f t="shared" si="5"/>
        <v>44829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Nov</v>
      </c>
      <c r="B175" s="308">
        <f t="shared" si="5"/>
        <v>44830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Nov</v>
      </c>
      <c r="B176" s="308">
        <f t="shared" si="5"/>
        <v>44831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Nov</v>
      </c>
      <c r="B177" s="308">
        <f t="shared" si="5"/>
        <v>44832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Nov</v>
      </c>
      <c r="B178" s="308">
        <f t="shared" si="5"/>
        <v>44833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Nov</v>
      </c>
      <c r="B179" s="308">
        <f t="shared" si="5"/>
        <v>44834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Nov</v>
      </c>
      <c r="B180" s="308">
        <f t="shared" si="5"/>
        <v>44835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Nov</v>
      </c>
      <c r="B181" s="308">
        <f t="shared" si="5"/>
        <v>44836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Dec</v>
      </c>
      <c r="B182" s="308">
        <f t="shared" si="5"/>
        <v>44837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Dec</v>
      </c>
      <c r="B183" s="308">
        <f t="shared" si="5"/>
        <v>44838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Dec</v>
      </c>
      <c r="B184" s="308">
        <f t="shared" si="5"/>
        <v>44839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Dec</v>
      </c>
      <c r="B185" s="321">
        <f t="shared" si="5"/>
        <v>44840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Dec</v>
      </c>
      <c r="B186" s="308">
        <f t="shared" si="5"/>
        <v>44841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Dec</v>
      </c>
      <c r="B187" s="308">
        <f t="shared" si="5"/>
        <v>44842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Dec</v>
      </c>
      <c r="B188" s="308">
        <f t="shared" si="5"/>
        <v>44843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Dec</v>
      </c>
      <c r="B189" s="308">
        <f t="shared" si="5"/>
        <v>44844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Dec</v>
      </c>
      <c r="B190" s="308">
        <f t="shared" si="5"/>
        <v>44845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Dec</v>
      </c>
      <c r="B191" s="308">
        <f t="shared" si="5"/>
        <v>44846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Dec</v>
      </c>
      <c r="B192" s="308">
        <f t="shared" si="5"/>
        <v>44847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Dec</v>
      </c>
      <c r="B193" s="308">
        <f t="shared" si="5"/>
        <v>44848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Dec</v>
      </c>
      <c r="B194" s="308">
        <f t="shared" si="5"/>
        <v>44849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TEXT(DATE(YEAR(B$2),MONTH(B$2)+(D195-1)+2,1),"Mmm")</f>
        <v>Dec</v>
      </c>
      <c r="B195" s="308">
        <f t="shared" si="5"/>
        <v>44850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Dec</v>
      </c>
      <c r="B196" s="308">
        <f t="shared" ref="B196:B259" si="7">B195+1</f>
        <v>44851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Dec</v>
      </c>
      <c r="B197" s="308">
        <f t="shared" si="7"/>
        <v>44852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Dec</v>
      </c>
      <c r="B198" s="308">
        <f t="shared" si="7"/>
        <v>44853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Dec</v>
      </c>
      <c r="B199" s="308">
        <f t="shared" si="7"/>
        <v>44854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Dec</v>
      </c>
      <c r="B200" s="308">
        <f t="shared" si="7"/>
        <v>44855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Dec</v>
      </c>
      <c r="B201" s="308">
        <f t="shared" si="7"/>
        <v>44856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Dec</v>
      </c>
      <c r="B202" s="308">
        <f t="shared" si="7"/>
        <v>44857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Dec</v>
      </c>
      <c r="B203" s="308">
        <f t="shared" si="7"/>
        <v>44858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Dec</v>
      </c>
      <c r="B204" s="308">
        <f t="shared" si="7"/>
        <v>44859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Dec</v>
      </c>
      <c r="B205" s="308">
        <f t="shared" si="7"/>
        <v>44860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Dec</v>
      </c>
      <c r="B206" s="308">
        <f t="shared" si="7"/>
        <v>44861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Dec</v>
      </c>
      <c r="B207" s="308">
        <f t="shared" si="7"/>
        <v>44862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Dec</v>
      </c>
      <c r="B208" s="308">
        <f t="shared" si="7"/>
        <v>44863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Dec</v>
      </c>
      <c r="B209" s="308">
        <f t="shared" si="7"/>
        <v>44864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Jan</v>
      </c>
      <c r="B210" s="308">
        <f t="shared" si="7"/>
        <v>44865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Jan</v>
      </c>
      <c r="B211" s="308">
        <f t="shared" si="7"/>
        <v>44866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Jan</v>
      </c>
      <c r="B212" s="308">
        <f t="shared" si="7"/>
        <v>44867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Jan</v>
      </c>
      <c r="B213" s="308">
        <f t="shared" si="7"/>
        <v>44868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Jan</v>
      </c>
      <c r="B214" s="308">
        <f t="shared" si="7"/>
        <v>44869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Jan</v>
      </c>
      <c r="B215" s="308">
        <f t="shared" si="7"/>
        <v>44870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Jan</v>
      </c>
      <c r="B216" s="321">
        <f t="shared" si="7"/>
        <v>44871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Jan</v>
      </c>
      <c r="B217" s="308">
        <f t="shared" si="7"/>
        <v>44872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Jan</v>
      </c>
      <c r="B218" s="308">
        <f t="shared" si="7"/>
        <v>44873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Jan</v>
      </c>
      <c r="B219" s="308">
        <f t="shared" si="7"/>
        <v>44874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Jan</v>
      </c>
      <c r="B220" s="308">
        <f t="shared" si="7"/>
        <v>44875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Jan</v>
      </c>
      <c r="B221" s="308">
        <f t="shared" si="7"/>
        <v>44876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Jan</v>
      </c>
      <c r="B222" s="308">
        <f t="shared" si="7"/>
        <v>44877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Jan</v>
      </c>
      <c r="B223" s="308">
        <f t="shared" si="7"/>
        <v>44878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Jan</v>
      </c>
      <c r="B224" s="308">
        <f t="shared" si="7"/>
        <v>44879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Jan</v>
      </c>
      <c r="B225" s="308">
        <f t="shared" si="7"/>
        <v>44880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Jan</v>
      </c>
      <c r="B226" s="308">
        <f t="shared" si="7"/>
        <v>44881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Jan</v>
      </c>
      <c r="B227" s="308">
        <f t="shared" si="7"/>
        <v>44882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Jan</v>
      </c>
      <c r="B228" s="308">
        <f t="shared" si="7"/>
        <v>44883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Jan</v>
      </c>
      <c r="B229" s="308">
        <f t="shared" si="7"/>
        <v>44884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Jan</v>
      </c>
      <c r="B230" s="308">
        <f t="shared" si="7"/>
        <v>44885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Jan</v>
      </c>
      <c r="B231" s="308">
        <f t="shared" si="7"/>
        <v>44886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Jan</v>
      </c>
      <c r="B232" s="308">
        <f t="shared" si="7"/>
        <v>44887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Jan</v>
      </c>
      <c r="B233" s="308">
        <f t="shared" si="7"/>
        <v>44888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Jan</v>
      </c>
      <c r="B234" s="308">
        <f t="shared" si="7"/>
        <v>44889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Jan</v>
      </c>
      <c r="B235" s="308">
        <f t="shared" si="7"/>
        <v>44890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Jan</v>
      </c>
      <c r="B236" s="308">
        <f t="shared" si="7"/>
        <v>44891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Jan</v>
      </c>
      <c r="B237" s="308">
        <f t="shared" si="7"/>
        <v>44892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Feb</v>
      </c>
      <c r="B238" s="308">
        <f t="shared" si="7"/>
        <v>44893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Feb</v>
      </c>
      <c r="B239" s="308">
        <f t="shared" si="7"/>
        <v>44894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Feb</v>
      </c>
      <c r="B240" s="308">
        <f t="shared" si="7"/>
        <v>44895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Feb</v>
      </c>
      <c r="B241" s="308">
        <f t="shared" si="7"/>
        <v>44896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Feb</v>
      </c>
      <c r="B242" s="308">
        <f t="shared" si="7"/>
        <v>44897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Feb</v>
      </c>
      <c r="B243" s="308">
        <f t="shared" si="7"/>
        <v>44898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Feb</v>
      </c>
      <c r="B244" s="308">
        <f t="shared" si="7"/>
        <v>44899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Feb</v>
      </c>
      <c r="B245" s="308">
        <f t="shared" si="7"/>
        <v>44900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Feb</v>
      </c>
      <c r="B246" s="321">
        <f t="shared" si="7"/>
        <v>44901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Feb</v>
      </c>
      <c r="B247" s="308">
        <f t="shared" si="7"/>
        <v>44902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Feb</v>
      </c>
      <c r="B248" s="308">
        <f t="shared" si="7"/>
        <v>44903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Feb</v>
      </c>
      <c r="B249" s="308">
        <f t="shared" si="7"/>
        <v>44904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Feb</v>
      </c>
      <c r="B250" s="308">
        <f t="shared" si="7"/>
        <v>44905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Feb</v>
      </c>
      <c r="B251" s="308">
        <f t="shared" si="7"/>
        <v>44906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Feb</v>
      </c>
      <c r="B252" s="308">
        <f t="shared" si="7"/>
        <v>44907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Feb</v>
      </c>
      <c r="B253" s="308">
        <f t="shared" si="7"/>
        <v>44908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Feb</v>
      </c>
      <c r="B254" s="308">
        <f t="shared" si="7"/>
        <v>44909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Feb</v>
      </c>
      <c r="B255" s="308">
        <f t="shared" si="7"/>
        <v>44910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Feb</v>
      </c>
      <c r="B256" s="308">
        <f t="shared" si="7"/>
        <v>44911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Feb</v>
      </c>
      <c r="B257" s="308">
        <f t="shared" si="7"/>
        <v>44912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Feb</v>
      </c>
      <c r="B258" s="308">
        <f t="shared" si="7"/>
        <v>44913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TEXT(DATE(YEAR(B$2),MONTH(B$2)+(D259-1)+2,1),"Mmm")</f>
        <v>Feb</v>
      </c>
      <c r="B259" s="308">
        <f t="shared" si="7"/>
        <v>44914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Feb</v>
      </c>
      <c r="B260" s="308">
        <f t="shared" ref="B260:B323" si="9">B259+1</f>
        <v>44915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Feb</v>
      </c>
      <c r="B261" s="308">
        <f t="shared" si="9"/>
        <v>44916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Feb</v>
      </c>
      <c r="B262" s="308">
        <f t="shared" si="9"/>
        <v>44917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Feb</v>
      </c>
      <c r="B263" s="308">
        <f t="shared" si="9"/>
        <v>44918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Feb</v>
      </c>
      <c r="B264" s="308">
        <f t="shared" si="9"/>
        <v>44919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Feb</v>
      </c>
      <c r="B265" s="308">
        <f t="shared" si="9"/>
        <v>44920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Feb</v>
      </c>
      <c r="B266" s="308">
        <f t="shared" si="9"/>
        <v>44921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Feb</v>
      </c>
      <c r="B267" s="308">
        <f t="shared" si="9"/>
        <v>44922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Feb</v>
      </c>
      <c r="B268" s="308">
        <f t="shared" si="9"/>
        <v>44923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Feb</v>
      </c>
      <c r="B269" s="308">
        <f t="shared" si="9"/>
        <v>44924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Feb</v>
      </c>
      <c r="B270" s="308">
        <f t="shared" si="9"/>
        <v>44925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Feb</v>
      </c>
      <c r="B271" s="308">
        <f t="shared" si="9"/>
        <v>44926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Feb</v>
      </c>
      <c r="B272" s="308">
        <f t="shared" si="9"/>
        <v>44927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Mar</v>
      </c>
      <c r="B273" s="308">
        <f t="shared" si="9"/>
        <v>44928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Mar</v>
      </c>
      <c r="B274" s="308">
        <f t="shared" si="9"/>
        <v>44929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Mar</v>
      </c>
      <c r="B275" s="308">
        <f t="shared" si="9"/>
        <v>44930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Mar</v>
      </c>
      <c r="B276" s="321">
        <f t="shared" si="9"/>
        <v>44931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Mar</v>
      </c>
      <c r="B277" s="321">
        <f t="shared" si="9"/>
        <v>44932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Mar</v>
      </c>
      <c r="B278" s="308">
        <f t="shared" si="9"/>
        <v>44933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Mar</v>
      </c>
      <c r="B279" s="308">
        <f t="shared" si="9"/>
        <v>44934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Mar</v>
      </c>
      <c r="B280" s="308">
        <f t="shared" si="9"/>
        <v>44935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Mar</v>
      </c>
      <c r="B281" s="308">
        <f t="shared" si="9"/>
        <v>44936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Mar</v>
      </c>
      <c r="B282" s="308">
        <f t="shared" si="9"/>
        <v>44937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Mar</v>
      </c>
      <c r="B283" s="308">
        <f t="shared" si="9"/>
        <v>44938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Mar</v>
      </c>
      <c r="B284" s="308">
        <f t="shared" si="9"/>
        <v>44939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Mar</v>
      </c>
      <c r="B285" s="308">
        <f t="shared" si="9"/>
        <v>44940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Mar</v>
      </c>
      <c r="B286" s="308">
        <f t="shared" si="9"/>
        <v>44941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Mar</v>
      </c>
      <c r="B287" s="308">
        <f t="shared" si="9"/>
        <v>44942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Mar</v>
      </c>
      <c r="B288" s="308">
        <f t="shared" si="9"/>
        <v>44943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Mar</v>
      </c>
      <c r="B289" s="308">
        <f t="shared" si="9"/>
        <v>44944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Mar</v>
      </c>
      <c r="B290" s="308">
        <f t="shared" si="9"/>
        <v>44945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Mar</v>
      </c>
      <c r="B291" s="308">
        <f t="shared" si="9"/>
        <v>44946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Mar</v>
      </c>
      <c r="B292" s="308">
        <f t="shared" si="9"/>
        <v>44947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Mar</v>
      </c>
      <c r="B293" s="308">
        <f t="shared" si="9"/>
        <v>44948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Mar</v>
      </c>
      <c r="B294" s="308">
        <f t="shared" si="9"/>
        <v>44949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Mar</v>
      </c>
      <c r="B295" s="308">
        <f t="shared" si="9"/>
        <v>44950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Mar</v>
      </c>
      <c r="B296" s="308">
        <f t="shared" si="9"/>
        <v>44951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Mar</v>
      </c>
      <c r="B297" s="308">
        <f t="shared" si="9"/>
        <v>44952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Mar</v>
      </c>
      <c r="B298" s="308">
        <f t="shared" si="9"/>
        <v>44953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Mar</v>
      </c>
      <c r="B299" s="308">
        <f t="shared" si="9"/>
        <v>44954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Mar</v>
      </c>
      <c r="B300" s="308">
        <f t="shared" si="9"/>
        <v>44955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Apr</v>
      </c>
      <c r="B301" s="308">
        <f t="shared" si="9"/>
        <v>44956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Apr</v>
      </c>
      <c r="B302" s="308">
        <f t="shared" si="9"/>
        <v>44957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Apr</v>
      </c>
      <c r="B303" s="308">
        <f t="shared" si="9"/>
        <v>44958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Apr</v>
      </c>
      <c r="B304" s="308">
        <f t="shared" si="9"/>
        <v>44959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Apr</v>
      </c>
      <c r="B305" s="308">
        <f t="shared" si="9"/>
        <v>44960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Apr</v>
      </c>
      <c r="B306" s="308">
        <f t="shared" si="9"/>
        <v>44961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Apr</v>
      </c>
      <c r="B307" s="308">
        <f t="shared" si="9"/>
        <v>44962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Apr</v>
      </c>
      <c r="B308" s="321">
        <f t="shared" si="9"/>
        <v>44963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Apr</v>
      </c>
      <c r="B309" s="308">
        <f t="shared" si="9"/>
        <v>44964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Apr</v>
      </c>
      <c r="B310" s="308">
        <f t="shared" si="9"/>
        <v>44965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Apr</v>
      </c>
      <c r="B311" s="308">
        <f t="shared" si="9"/>
        <v>44966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Apr</v>
      </c>
      <c r="B312" s="308">
        <f t="shared" si="9"/>
        <v>44967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Apr</v>
      </c>
      <c r="B313" s="308">
        <f t="shared" si="9"/>
        <v>44968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Apr</v>
      </c>
      <c r="B314" s="308">
        <f t="shared" si="9"/>
        <v>44969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Apr</v>
      </c>
      <c r="B315" s="308">
        <f t="shared" si="9"/>
        <v>44970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Apr</v>
      </c>
      <c r="B316" s="308">
        <f t="shared" si="9"/>
        <v>44971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Apr</v>
      </c>
      <c r="B317" s="308">
        <f t="shared" si="9"/>
        <v>44972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Apr</v>
      </c>
      <c r="B318" s="308">
        <f t="shared" si="9"/>
        <v>44973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Apr</v>
      </c>
      <c r="B319" s="308">
        <f t="shared" si="9"/>
        <v>44974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Apr</v>
      </c>
      <c r="B320" s="308">
        <f t="shared" si="9"/>
        <v>44975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Apr</v>
      </c>
      <c r="B321" s="308">
        <f t="shared" si="9"/>
        <v>44976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Apr</v>
      </c>
      <c r="B322" s="308">
        <f t="shared" si="9"/>
        <v>44977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TEXT(DATE(YEAR(B$2),MONTH(B$2)+(D323-1)+2,1),"Mmm")</f>
        <v>Apr</v>
      </c>
      <c r="B323" s="308">
        <f t="shared" si="9"/>
        <v>44978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Apr</v>
      </c>
      <c r="B324" s="308">
        <f t="shared" ref="B324:B381" si="11">B323+1</f>
        <v>44979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Apr</v>
      </c>
      <c r="B325" s="308">
        <f t="shared" si="11"/>
        <v>44980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Apr</v>
      </c>
      <c r="B326" s="308">
        <f t="shared" si="11"/>
        <v>44981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Apr</v>
      </c>
      <c r="B327" s="308">
        <f t="shared" si="11"/>
        <v>44982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Apr</v>
      </c>
      <c r="B328" s="308">
        <f t="shared" si="11"/>
        <v>44983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May</v>
      </c>
      <c r="B329" s="308">
        <f t="shared" si="11"/>
        <v>44984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May</v>
      </c>
      <c r="B330" s="308">
        <f t="shared" si="11"/>
        <v>44985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May</v>
      </c>
      <c r="B331" s="308">
        <f t="shared" si="11"/>
        <v>44986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May</v>
      </c>
      <c r="B332" s="308">
        <f t="shared" si="11"/>
        <v>44987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May</v>
      </c>
      <c r="B333" s="308">
        <f t="shared" si="11"/>
        <v>44988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May</v>
      </c>
      <c r="B334" s="308">
        <f t="shared" si="11"/>
        <v>44989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May</v>
      </c>
      <c r="B335" s="308">
        <f t="shared" si="11"/>
        <v>44990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May</v>
      </c>
      <c r="B336" s="321">
        <f t="shared" si="11"/>
        <v>44991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May</v>
      </c>
      <c r="B337" s="308">
        <f t="shared" si="11"/>
        <v>44992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May</v>
      </c>
      <c r="B338" s="308">
        <f t="shared" si="11"/>
        <v>44993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May</v>
      </c>
      <c r="B339" s="308">
        <f t="shared" si="11"/>
        <v>44994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May</v>
      </c>
      <c r="B340" s="308">
        <f t="shared" si="11"/>
        <v>44995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May</v>
      </c>
      <c r="B341" s="308">
        <f t="shared" si="11"/>
        <v>44996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May</v>
      </c>
      <c r="B342" s="308">
        <f t="shared" si="11"/>
        <v>44997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May</v>
      </c>
      <c r="B343" s="308">
        <f t="shared" si="11"/>
        <v>44998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May</v>
      </c>
      <c r="B344" s="308">
        <f t="shared" si="11"/>
        <v>44999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May</v>
      </c>
      <c r="B345" s="308">
        <f t="shared" si="11"/>
        <v>45000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May</v>
      </c>
      <c r="B346" s="308">
        <f t="shared" si="11"/>
        <v>45001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May</v>
      </c>
      <c r="B347" s="308">
        <f t="shared" si="11"/>
        <v>45002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May</v>
      </c>
      <c r="B348" s="308">
        <f t="shared" si="11"/>
        <v>45003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May</v>
      </c>
      <c r="B349" s="308">
        <f t="shared" si="11"/>
        <v>45004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May</v>
      </c>
      <c r="B350" s="308">
        <f t="shared" si="11"/>
        <v>45005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May</v>
      </c>
      <c r="B351" s="308">
        <f t="shared" si="11"/>
        <v>45006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May</v>
      </c>
      <c r="B352" s="308">
        <f t="shared" si="11"/>
        <v>45007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May</v>
      </c>
      <c r="B353" s="308">
        <f t="shared" si="11"/>
        <v>45008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May</v>
      </c>
      <c r="B354" s="308">
        <f t="shared" si="11"/>
        <v>45009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May</v>
      </c>
      <c r="B355" s="308">
        <f t="shared" si="11"/>
        <v>45010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May</v>
      </c>
      <c r="B356" s="308">
        <f t="shared" si="11"/>
        <v>45011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May</v>
      </c>
      <c r="B357" s="308">
        <f t="shared" si="11"/>
        <v>45012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May</v>
      </c>
      <c r="B358" s="308">
        <f t="shared" si="11"/>
        <v>45013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May</v>
      </c>
      <c r="B359" s="308">
        <f t="shared" si="11"/>
        <v>45014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May</v>
      </c>
      <c r="B360" s="308">
        <f t="shared" si="11"/>
        <v>45015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May</v>
      </c>
      <c r="B361" s="308">
        <f t="shared" si="11"/>
        <v>45016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May</v>
      </c>
      <c r="B362" s="308">
        <f t="shared" si="11"/>
        <v>45017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May</v>
      </c>
      <c r="B363" s="308">
        <f t="shared" si="11"/>
        <v>45018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May</v>
      </c>
      <c r="B364" s="308">
        <f t="shared" si="11"/>
        <v>45019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May</v>
      </c>
      <c r="B365" s="308">
        <f t="shared" si="11"/>
        <v>45020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May</v>
      </c>
      <c r="B366" s="308">
        <f t="shared" si="11"/>
        <v>45021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May</v>
      </c>
      <c r="B367" s="308">
        <f t="shared" si="11"/>
        <v>45022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May</v>
      </c>
      <c r="B368" s="308">
        <f t="shared" si="11"/>
        <v>45023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May</v>
      </c>
      <c r="B369" s="308">
        <f t="shared" si="11"/>
        <v>45024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May</v>
      </c>
      <c r="B370" s="308">
        <f t="shared" si="11"/>
        <v>45025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May</v>
      </c>
      <c r="B371" s="308">
        <f t="shared" si="11"/>
        <v>45026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May</v>
      </c>
      <c r="B372" s="308">
        <f t="shared" si="11"/>
        <v>45027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May</v>
      </c>
      <c r="B373" s="308">
        <f t="shared" si="11"/>
        <v>45028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May</v>
      </c>
      <c r="B374" s="308">
        <f t="shared" si="11"/>
        <v>45029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May</v>
      </c>
      <c r="B375" s="308">
        <f t="shared" si="11"/>
        <v>45030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May</v>
      </c>
      <c r="B376" s="308">
        <f t="shared" si="11"/>
        <v>45031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May</v>
      </c>
      <c r="B377" s="308">
        <f t="shared" si="11"/>
        <v>45032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May</v>
      </c>
      <c r="B378" s="308">
        <f t="shared" si="11"/>
        <v>45033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May</v>
      </c>
      <c r="B379" s="308">
        <f t="shared" si="11"/>
        <v>45034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May</v>
      </c>
      <c r="B380" s="308">
        <f t="shared" si="11"/>
        <v>45035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May</v>
      </c>
      <c r="B381" s="308">
        <f t="shared" si="11"/>
        <v>45036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