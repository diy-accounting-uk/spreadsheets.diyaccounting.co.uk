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Mar" sheetId="12" r:id="rId2"/>
    <sheet name="Apr" sheetId="11" r:id="rId3"/>
    <sheet name="May" sheetId="10" r:id="rId4"/>
    <sheet name="Jun" sheetId="9" r:id="rId5"/>
    <sheet name="Jul" sheetId="8" r:id="rId6"/>
    <sheet name="Aug" sheetId="17" r:id="rId7"/>
    <sheet name="Sep" sheetId="16" r:id="rId8"/>
    <sheet name="Oct" sheetId="15" r:id="rId9"/>
    <sheet name="Nov" sheetId="14" r:id="rId10"/>
    <sheet name="Dec" sheetId="13" r:id="rId11"/>
    <sheet name="Jan" sheetId="19" r:id="rId12"/>
    <sheet name="Feb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<sst xmlns="http://schemas.openxmlformats.org/spreadsheetml/2006/main" count="1383" uniqueCount="138">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</sst>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45022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45023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45024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45025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45026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45027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45028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45022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45029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45030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45031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45032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45033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45034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45035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45036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45037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45038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45039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45040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45041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45042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45043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45044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45045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45046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45047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45048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45049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45050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45051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45052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45053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45054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45055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45056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45057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45058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45059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45060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45061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45062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45063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45064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45065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45066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45067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45068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45069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45070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45071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45072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45073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45074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45075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45076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45077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45078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45079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45080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45081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45082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45083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45084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45085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45086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45087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45088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45089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45090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45091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45092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45093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45094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45095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45096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45097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45098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45099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45100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45101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45102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45103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45104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45105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45106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45107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45108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45109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45110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45111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45112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45113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45114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45115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45116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45117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45118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45119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45120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45121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45122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45123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45124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45125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45126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45127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45128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45129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45130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45131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45132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45133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45134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45135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45136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45137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45138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45139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45140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45141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45142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45143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45144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45145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45146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45147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45148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45149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45150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45151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45152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45153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45154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45155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45156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45157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45158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45159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45160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45161</v>
      </c>
    </row>
    <row r="142" spans="1:23" x14ac:dyDescent="0.15">
      <c r="W142" s="206">
        <f>Admin!B142</f>
        <v>45162</v>
      </c>
    </row>
    <row r="143" spans="1:23" x14ac:dyDescent="0.15">
      <c r="W143" s="206">
        <f>Admin!B143</f>
        <v>45163</v>
      </c>
    </row>
    <row r="144" spans="1:23" x14ac:dyDescent="0.15">
      <c r="W144" s="206">
        <f>Admin!B144</f>
        <v>45164</v>
      </c>
    </row>
    <row r="145" spans="23:23" x14ac:dyDescent="0.15">
      <c r="W145" s="206">
        <f>Admin!B145</f>
        <v>45165</v>
      </c>
    </row>
    <row r="146" spans="23:23" x14ac:dyDescent="0.15">
      <c r="W146" s="206">
        <f>Admin!B146</f>
        <v>45166</v>
      </c>
    </row>
    <row r="147" spans="23:23" x14ac:dyDescent="0.15">
      <c r="W147" s="206">
        <f>Admin!B147</f>
        <v>45167</v>
      </c>
    </row>
    <row r="148" spans="23:23" x14ac:dyDescent="0.15">
      <c r="W148" s="206">
        <f>Admin!B148</f>
        <v>45168</v>
      </c>
    </row>
    <row r="149" spans="23:23" x14ac:dyDescent="0.15">
      <c r="W149" s="206">
        <f>Admin!B149</f>
        <v>45169</v>
      </c>
    </row>
    <row r="150" spans="23:23" x14ac:dyDescent="0.15">
      <c r="W150" s="206">
        <f>Admin!B150</f>
        <v>45170</v>
      </c>
    </row>
    <row r="151" spans="23:23" x14ac:dyDescent="0.15">
      <c r="W151" s="206">
        <f>Admin!B151</f>
        <v>45171</v>
      </c>
    </row>
    <row r="152" spans="23:23" x14ac:dyDescent="0.15">
      <c r="W152" s="206">
        <f>Admin!B152</f>
        <v>45172</v>
      </c>
    </row>
    <row r="153" spans="23:23" x14ac:dyDescent="0.15">
      <c r="W153" s="206">
        <f>Admin!B153</f>
        <v>45173</v>
      </c>
    </row>
    <row r="154" spans="23:23" x14ac:dyDescent="0.15">
      <c r="W154" s="206">
        <f>Admin!B154</f>
        <v>45174</v>
      </c>
    </row>
    <row r="155" spans="23:23" x14ac:dyDescent="0.15">
      <c r="W155" s="206">
        <f>Admin!B155</f>
        <v>45175</v>
      </c>
    </row>
    <row r="156" spans="23:23" x14ac:dyDescent="0.15">
      <c r="W156" s="206">
        <f>Admin!B156</f>
        <v>45176</v>
      </c>
    </row>
    <row r="157" spans="23:23" x14ac:dyDescent="0.15">
      <c r="W157" s="206">
        <f>Admin!B157</f>
        <v>45177</v>
      </c>
    </row>
    <row r="158" spans="23:23" x14ac:dyDescent="0.15">
      <c r="W158" s="206">
        <f>Admin!B158</f>
        <v>45178</v>
      </c>
    </row>
    <row r="159" spans="23:23" x14ac:dyDescent="0.15">
      <c r="W159" s="206">
        <f>Admin!B159</f>
        <v>45179</v>
      </c>
    </row>
    <row r="160" spans="23:23" x14ac:dyDescent="0.15">
      <c r="W160" s="206">
        <f>Admin!B160</f>
        <v>45180</v>
      </c>
    </row>
    <row r="161" spans="23:23" x14ac:dyDescent="0.15">
      <c r="W161" s="206">
        <f>Admin!B161</f>
        <v>45181</v>
      </c>
    </row>
    <row r="162" spans="23:23" x14ac:dyDescent="0.15">
      <c r="W162" s="206">
        <f>Admin!B162</f>
        <v>45182</v>
      </c>
    </row>
    <row r="163" spans="23:23" x14ac:dyDescent="0.15">
      <c r="W163" s="206">
        <f>Admin!B163</f>
        <v>45183</v>
      </c>
    </row>
    <row r="164" spans="23:23" x14ac:dyDescent="0.15">
      <c r="W164" s="206">
        <f>Admin!B164</f>
        <v>45184</v>
      </c>
    </row>
    <row r="165" spans="23:23" x14ac:dyDescent="0.15">
      <c r="W165" s="206">
        <f>Admin!B165</f>
        <v>45185</v>
      </c>
    </row>
    <row r="166" spans="23:23" x14ac:dyDescent="0.15">
      <c r="W166" s="206">
        <f>Admin!B166</f>
        <v>45186</v>
      </c>
    </row>
    <row r="167" spans="23:23" x14ac:dyDescent="0.15">
      <c r="W167" s="206">
        <f>Admin!B167</f>
        <v>45187</v>
      </c>
    </row>
    <row r="168" spans="23:23" x14ac:dyDescent="0.15">
      <c r="W168" s="206">
        <f>Admin!B168</f>
        <v>45188</v>
      </c>
    </row>
    <row r="169" spans="23:23" x14ac:dyDescent="0.15">
      <c r="W169" s="206">
        <f>Admin!B169</f>
        <v>45189</v>
      </c>
    </row>
    <row r="170" spans="23:23" x14ac:dyDescent="0.15">
      <c r="W170" s="206">
        <f>Admin!B170</f>
        <v>45190</v>
      </c>
    </row>
    <row r="171" spans="23:23" x14ac:dyDescent="0.15">
      <c r="W171" s="206">
        <f>Admin!B171</f>
        <v>45191</v>
      </c>
    </row>
    <row r="172" spans="23:23" x14ac:dyDescent="0.15">
      <c r="W172" s="206">
        <f>Admin!B172</f>
        <v>45192</v>
      </c>
    </row>
    <row r="173" spans="23:23" x14ac:dyDescent="0.15">
      <c r="W173" s="206">
        <f>Admin!B173</f>
        <v>45193</v>
      </c>
    </row>
    <row r="174" spans="23:23" x14ac:dyDescent="0.15">
      <c r="W174" s="206">
        <f>Admin!B174</f>
        <v>45194</v>
      </c>
    </row>
    <row r="175" spans="23:23" x14ac:dyDescent="0.15">
      <c r="W175" s="206">
        <f>Admin!B175</f>
        <v>45195</v>
      </c>
    </row>
    <row r="176" spans="23:23" x14ac:dyDescent="0.15">
      <c r="W176" s="206">
        <f>Admin!B176</f>
        <v>45196</v>
      </c>
    </row>
    <row r="177" spans="23:23" x14ac:dyDescent="0.15">
      <c r="W177" s="206">
        <f>Admin!B177</f>
        <v>45197</v>
      </c>
    </row>
    <row r="178" spans="23:23" x14ac:dyDescent="0.15">
      <c r="W178" s="206">
        <f>Admin!B178</f>
        <v>45198</v>
      </c>
    </row>
    <row r="179" spans="23:23" x14ac:dyDescent="0.15">
      <c r="W179" s="206">
        <f>Admin!B179</f>
        <v>45199</v>
      </c>
    </row>
    <row r="180" spans="23:23" x14ac:dyDescent="0.15">
      <c r="W180" s="206">
        <f>Admin!B180</f>
        <v>45200</v>
      </c>
    </row>
    <row r="181" spans="23:23" x14ac:dyDescent="0.15">
      <c r="W181" s="206">
        <f>Admin!B181</f>
        <v>45201</v>
      </c>
    </row>
    <row r="182" spans="23:23" x14ac:dyDescent="0.15">
      <c r="W182" s="206">
        <f>Admin!B182</f>
        <v>45202</v>
      </c>
    </row>
    <row r="183" spans="23:23" x14ac:dyDescent="0.15">
      <c r="W183" s="206">
        <f>Admin!B183</f>
        <v>45203</v>
      </c>
    </row>
    <row r="184" spans="23:23" x14ac:dyDescent="0.15">
      <c r="W184" s="206">
        <f>Admin!B184</f>
        <v>45204</v>
      </c>
    </row>
    <row r="185" spans="23:23" x14ac:dyDescent="0.15">
      <c r="W185" s="206">
        <f>Admin!B185</f>
        <v>45205</v>
      </c>
    </row>
    <row r="186" spans="23:23" x14ac:dyDescent="0.15">
      <c r="W186" s="206">
        <f>Admin!B186</f>
        <v>45206</v>
      </c>
    </row>
    <row r="187" spans="23:23" x14ac:dyDescent="0.15">
      <c r="W187" s="206">
        <f>Admin!B187</f>
        <v>45207</v>
      </c>
    </row>
    <row r="188" spans="23:23" x14ac:dyDescent="0.15">
      <c r="W188" s="206">
        <f>Admin!B188</f>
        <v>45208</v>
      </c>
    </row>
    <row r="189" spans="23:23" x14ac:dyDescent="0.15">
      <c r="W189" s="206">
        <f>Admin!B189</f>
        <v>45209</v>
      </c>
    </row>
    <row r="190" spans="23:23" x14ac:dyDescent="0.15">
      <c r="W190" s="206">
        <f>Admin!B190</f>
        <v>45210</v>
      </c>
    </row>
    <row r="191" spans="23:23" x14ac:dyDescent="0.15">
      <c r="W191" s="206">
        <f>Admin!B191</f>
        <v>45211</v>
      </c>
    </row>
    <row r="192" spans="23:23" x14ac:dyDescent="0.15">
      <c r="W192" s="206">
        <f>Admin!B192</f>
        <v>45212</v>
      </c>
    </row>
    <row r="193" spans="23:23" x14ac:dyDescent="0.15">
      <c r="W193" s="206">
        <f>Admin!B193</f>
        <v>45213</v>
      </c>
    </row>
    <row r="194" spans="23:23" x14ac:dyDescent="0.15">
      <c r="W194" s="206">
        <f>Admin!B194</f>
        <v>45214</v>
      </c>
    </row>
    <row r="195" spans="23:23" x14ac:dyDescent="0.15">
      <c r="W195" s="206">
        <f>Admin!B195</f>
        <v>45215</v>
      </c>
    </row>
    <row r="196" spans="23:23" x14ac:dyDescent="0.15">
      <c r="W196" s="206">
        <f>Admin!B196</f>
        <v>45216</v>
      </c>
    </row>
    <row r="197" spans="23:23" x14ac:dyDescent="0.15">
      <c r="W197" s="206">
        <f>Admin!B197</f>
        <v>45217</v>
      </c>
    </row>
    <row r="198" spans="23:23" x14ac:dyDescent="0.15">
      <c r="W198" s="206">
        <f>Admin!B198</f>
        <v>45218</v>
      </c>
    </row>
    <row r="199" spans="23:23" x14ac:dyDescent="0.15">
      <c r="W199" s="206">
        <f>Admin!B199</f>
        <v>45219</v>
      </c>
    </row>
    <row r="200" spans="23:23" x14ac:dyDescent="0.15">
      <c r="W200" s="206">
        <f>Admin!B200</f>
        <v>45220</v>
      </c>
    </row>
    <row r="201" spans="23:23" x14ac:dyDescent="0.15">
      <c r="W201" s="206">
        <f>Admin!B201</f>
        <v>45221</v>
      </c>
    </row>
    <row r="202" spans="23:23" x14ac:dyDescent="0.15">
      <c r="W202" s="206">
        <f>Admin!B202</f>
        <v>45222</v>
      </c>
    </row>
    <row r="203" spans="23:23" x14ac:dyDescent="0.15">
      <c r="W203" s="206">
        <f>Admin!B203</f>
        <v>45223</v>
      </c>
    </row>
    <row r="204" spans="23:23" x14ac:dyDescent="0.15">
      <c r="W204" s="206">
        <f>Admin!B204</f>
        <v>45224</v>
      </c>
    </row>
    <row r="205" spans="23:23" x14ac:dyDescent="0.15">
      <c r="W205" s="206">
        <f>Admin!B205</f>
        <v>45225</v>
      </c>
    </row>
    <row r="206" spans="23:23" x14ac:dyDescent="0.15">
      <c r="W206" s="206">
        <f>Admin!B206</f>
        <v>45226</v>
      </c>
    </row>
    <row r="207" spans="23:23" x14ac:dyDescent="0.15">
      <c r="W207" s="206">
        <f>Admin!B207</f>
        <v>45227</v>
      </c>
    </row>
    <row r="208" spans="23:23" x14ac:dyDescent="0.15">
      <c r="W208" s="206">
        <f>Admin!B208</f>
        <v>45228</v>
      </c>
    </row>
    <row r="209" spans="23:23" x14ac:dyDescent="0.15">
      <c r="W209" s="206">
        <f>Admin!B209</f>
        <v>45229</v>
      </c>
    </row>
    <row r="210" spans="23:23" x14ac:dyDescent="0.15">
      <c r="W210" s="206">
        <f>Admin!B210</f>
        <v>45230</v>
      </c>
    </row>
    <row r="211" spans="23:23" x14ac:dyDescent="0.15">
      <c r="W211" s="206">
        <f>Admin!B211</f>
        <v>45231</v>
      </c>
    </row>
    <row r="212" spans="23:23" x14ac:dyDescent="0.15">
      <c r="W212" s="206">
        <f>Admin!B212</f>
        <v>45232</v>
      </c>
    </row>
    <row r="213" spans="23:23" x14ac:dyDescent="0.15">
      <c r="W213" s="206">
        <f>Admin!B213</f>
        <v>45233</v>
      </c>
    </row>
    <row r="214" spans="23:23" x14ac:dyDescent="0.15">
      <c r="W214" s="206">
        <f>Admin!B214</f>
        <v>45234</v>
      </c>
    </row>
    <row r="215" spans="23:23" x14ac:dyDescent="0.15">
      <c r="W215" s="206">
        <f>Admin!B215</f>
        <v>45235</v>
      </c>
    </row>
    <row r="216" spans="23:23" x14ac:dyDescent="0.15">
      <c r="W216" s="206">
        <f>Admin!B216</f>
        <v>45236</v>
      </c>
    </row>
    <row r="217" spans="23:23" x14ac:dyDescent="0.15">
      <c r="W217" s="206">
        <f>Admin!B217</f>
        <v>45237</v>
      </c>
    </row>
    <row r="218" spans="23:23" x14ac:dyDescent="0.15">
      <c r="W218" s="206">
        <f>Admin!B218</f>
        <v>45238</v>
      </c>
    </row>
    <row r="219" spans="23:23" x14ac:dyDescent="0.15">
      <c r="W219" s="206">
        <f>Admin!B219</f>
        <v>45239</v>
      </c>
    </row>
    <row r="220" spans="23:23" x14ac:dyDescent="0.15">
      <c r="W220" s="206">
        <f>Admin!B220</f>
        <v>45240</v>
      </c>
    </row>
    <row r="221" spans="23:23" x14ac:dyDescent="0.15">
      <c r="W221" s="206">
        <f>Admin!B221</f>
        <v>45241</v>
      </c>
    </row>
    <row r="222" spans="23:23" x14ac:dyDescent="0.15">
      <c r="W222" s="206">
        <f>Admin!B222</f>
        <v>45242</v>
      </c>
    </row>
    <row r="223" spans="23:23" x14ac:dyDescent="0.15">
      <c r="W223" s="206">
        <f>Admin!B223</f>
        <v>45243</v>
      </c>
    </row>
    <row r="224" spans="23:23" x14ac:dyDescent="0.15">
      <c r="W224" s="206">
        <f>Admin!B224</f>
        <v>45244</v>
      </c>
    </row>
    <row r="225" spans="23:23" x14ac:dyDescent="0.15">
      <c r="W225" s="206">
        <f>Admin!B225</f>
        <v>45245</v>
      </c>
    </row>
    <row r="226" spans="23:23" x14ac:dyDescent="0.15">
      <c r="W226" s="206">
        <f>Admin!B226</f>
        <v>45246</v>
      </c>
    </row>
    <row r="227" spans="23:23" x14ac:dyDescent="0.15">
      <c r="W227" s="206">
        <f>Admin!B227</f>
        <v>45247</v>
      </c>
    </row>
    <row r="228" spans="23:23" x14ac:dyDescent="0.15">
      <c r="W228" s="206">
        <f>Admin!B228</f>
        <v>45248</v>
      </c>
    </row>
    <row r="229" spans="23:23" x14ac:dyDescent="0.15">
      <c r="W229" s="206">
        <f>Admin!B229</f>
        <v>45249</v>
      </c>
    </row>
    <row r="230" spans="23:23" x14ac:dyDescent="0.15">
      <c r="W230" s="206">
        <f>Admin!B230</f>
        <v>45250</v>
      </c>
    </row>
    <row r="231" spans="23:23" x14ac:dyDescent="0.15">
      <c r="W231" s="206">
        <f>Admin!B231</f>
        <v>45251</v>
      </c>
    </row>
    <row r="232" spans="23:23" x14ac:dyDescent="0.15">
      <c r="W232" s="206">
        <f>Admin!B232</f>
        <v>45252</v>
      </c>
    </row>
    <row r="233" spans="23:23" x14ac:dyDescent="0.15">
      <c r="W233" s="206">
        <f>Admin!B233</f>
        <v>45253</v>
      </c>
    </row>
    <row r="234" spans="23:23" x14ac:dyDescent="0.15">
      <c r="W234" s="206">
        <f>Admin!B234</f>
        <v>45254</v>
      </c>
    </row>
    <row r="235" spans="23:23" x14ac:dyDescent="0.15">
      <c r="W235" s="206">
        <f>Admin!B235</f>
        <v>45255</v>
      </c>
    </row>
    <row r="236" spans="23:23" x14ac:dyDescent="0.15">
      <c r="W236" s="206">
        <f>Admin!B236</f>
        <v>45256</v>
      </c>
    </row>
    <row r="237" spans="23:23" x14ac:dyDescent="0.15">
      <c r="W237" s="206">
        <f>Admin!B237</f>
        <v>45257</v>
      </c>
    </row>
    <row r="238" spans="23:23" x14ac:dyDescent="0.15">
      <c r="W238" s="206">
        <f>Admin!B238</f>
        <v>45258</v>
      </c>
    </row>
    <row r="239" spans="23:23" x14ac:dyDescent="0.15">
      <c r="W239" s="206">
        <f>Admin!B239</f>
        <v>45259</v>
      </c>
    </row>
    <row r="240" spans="23:23" x14ac:dyDescent="0.15">
      <c r="W240" s="206">
        <f>Admin!B240</f>
        <v>45260</v>
      </c>
    </row>
    <row r="241" spans="23:23" x14ac:dyDescent="0.15">
      <c r="W241" s="206">
        <f>Admin!B241</f>
        <v>45261</v>
      </c>
    </row>
    <row r="242" spans="23:23" x14ac:dyDescent="0.15">
      <c r="W242" s="206">
        <f>Admin!B242</f>
        <v>45262</v>
      </c>
    </row>
    <row r="243" spans="23:23" x14ac:dyDescent="0.15">
      <c r="W243" s="206">
        <f>Admin!B243</f>
        <v>45263</v>
      </c>
    </row>
    <row r="244" spans="23:23" x14ac:dyDescent="0.15">
      <c r="W244" s="206">
        <f>Admin!B244</f>
        <v>45264</v>
      </c>
    </row>
    <row r="245" spans="23:23" x14ac:dyDescent="0.15">
      <c r="W245" s="206">
        <f>Admin!B245</f>
        <v>45265</v>
      </c>
    </row>
    <row r="246" spans="23:23" x14ac:dyDescent="0.15">
      <c r="W246" s="206">
        <f>Admin!B246</f>
        <v>45266</v>
      </c>
    </row>
    <row r="247" spans="23:23" x14ac:dyDescent="0.15">
      <c r="W247" s="206">
        <f>Admin!B247</f>
        <v>45267</v>
      </c>
    </row>
    <row r="248" spans="23:23" x14ac:dyDescent="0.15">
      <c r="W248" s="206">
        <f>Admin!B248</f>
        <v>45268</v>
      </c>
    </row>
    <row r="249" spans="23:23" x14ac:dyDescent="0.15">
      <c r="W249" s="206">
        <f>Admin!B249</f>
        <v>45269</v>
      </c>
    </row>
    <row r="250" spans="23:23" x14ac:dyDescent="0.15">
      <c r="W250" s="206">
        <f>Admin!B250</f>
        <v>45270</v>
      </c>
    </row>
    <row r="251" spans="23:23" x14ac:dyDescent="0.15">
      <c r="W251" s="206">
        <f>Admin!B251</f>
        <v>45271</v>
      </c>
    </row>
    <row r="252" spans="23:23" x14ac:dyDescent="0.15">
      <c r="W252" s="206">
        <f>Admin!B252</f>
        <v>45272</v>
      </c>
    </row>
    <row r="253" spans="23:23" x14ac:dyDescent="0.15">
      <c r="W253" s="206">
        <f>Admin!B253</f>
        <v>45273</v>
      </c>
    </row>
    <row r="254" spans="23:23" x14ac:dyDescent="0.15">
      <c r="W254" s="206">
        <f>Admin!B254</f>
        <v>45274</v>
      </c>
    </row>
    <row r="255" spans="23:23" x14ac:dyDescent="0.15">
      <c r="W255" s="206">
        <f>Admin!B255</f>
        <v>45275</v>
      </c>
    </row>
    <row r="256" spans="23:23" x14ac:dyDescent="0.15">
      <c r="W256" s="206">
        <f>Admin!B256</f>
        <v>45276</v>
      </c>
    </row>
    <row r="257" spans="23:23" x14ac:dyDescent="0.15">
      <c r="W257" s="206">
        <f>Admin!B257</f>
        <v>45277</v>
      </c>
    </row>
    <row r="258" spans="23:23" x14ac:dyDescent="0.15">
      <c r="W258" s="206">
        <f>Admin!B258</f>
        <v>45278</v>
      </c>
    </row>
    <row r="259" spans="23:23" x14ac:dyDescent="0.15">
      <c r="W259" s="206">
        <f>Admin!B259</f>
        <v>45279</v>
      </c>
    </row>
    <row r="260" spans="23:23" x14ac:dyDescent="0.15">
      <c r="W260" s="206">
        <f>Admin!B260</f>
        <v>45280</v>
      </c>
    </row>
    <row r="261" spans="23:23" x14ac:dyDescent="0.15">
      <c r="W261" s="206">
        <f>Admin!B261</f>
        <v>45281</v>
      </c>
    </row>
    <row r="262" spans="23:23" x14ac:dyDescent="0.15">
      <c r="W262" s="206">
        <f>Admin!B262</f>
        <v>45282</v>
      </c>
    </row>
    <row r="263" spans="23:23" x14ac:dyDescent="0.15">
      <c r="W263" s="206">
        <f>Admin!B263</f>
        <v>45283</v>
      </c>
    </row>
    <row r="264" spans="23:23" x14ac:dyDescent="0.15">
      <c r="W264" s="206">
        <f>Admin!B264</f>
        <v>45284</v>
      </c>
    </row>
    <row r="265" spans="23:23" x14ac:dyDescent="0.15">
      <c r="W265" s="206">
        <f>Admin!B265</f>
        <v>45285</v>
      </c>
    </row>
    <row r="266" spans="23:23" x14ac:dyDescent="0.15">
      <c r="W266" s="206">
        <f>Admin!B266</f>
        <v>45286</v>
      </c>
    </row>
    <row r="267" spans="23:23" x14ac:dyDescent="0.15">
      <c r="W267" s="206">
        <f>Admin!B267</f>
        <v>45287</v>
      </c>
    </row>
    <row r="268" spans="23:23" x14ac:dyDescent="0.15">
      <c r="W268" s="206">
        <f>Admin!B268</f>
        <v>45288</v>
      </c>
    </row>
    <row r="269" spans="23:23" x14ac:dyDescent="0.15">
      <c r="W269" s="206">
        <f>Admin!B269</f>
        <v>45289</v>
      </c>
    </row>
    <row r="270" spans="23:23" x14ac:dyDescent="0.15">
      <c r="W270" s="206">
        <f>Admin!B270</f>
        <v>45290</v>
      </c>
    </row>
    <row r="271" spans="23:23" x14ac:dyDescent="0.15">
      <c r="W271" s="206">
        <f>Admin!B271</f>
        <v>45291</v>
      </c>
    </row>
    <row r="272" spans="23:23" x14ac:dyDescent="0.15">
      <c r="W272" s="206">
        <f>Admin!B272</f>
        <v>45292</v>
      </c>
    </row>
    <row r="273" spans="23:23" x14ac:dyDescent="0.15">
      <c r="W273" s="206">
        <f>Admin!B273</f>
        <v>45293</v>
      </c>
    </row>
    <row r="274" spans="23:23" x14ac:dyDescent="0.15">
      <c r="W274" s="206">
        <f>Admin!B274</f>
        <v>45294</v>
      </c>
    </row>
    <row r="275" spans="23:23" x14ac:dyDescent="0.15">
      <c r="W275" s="206">
        <f>Admin!B275</f>
        <v>45295</v>
      </c>
    </row>
    <row r="276" spans="23:23" x14ac:dyDescent="0.15">
      <c r="W276" s="206">
        <f>Admin!B276</f>
        <v>45296</v>
      </c>
    </row>
    <row r="277" spans="23:23" x14ac:dyDescent="0.15">
      <c r="W277" s="206">
        <f>Admin!B277</f>
        <v>45297</v>
      </c>
    </row>
    <row r="278" spans="23:23" x14ac:dyDescent="0.15">
      <c r="W278" s="206">
        <f>Admin!B278</f>
        <v>45298</v>
      </c>
    </row>
    <row r="279" spans="23:23" x14ac:dyDescent="0.15">
      <c r="W279" s="206">
        <f>Admin!B279</f>
        <v>45299</v>
      </c>
    </row>
    <row r="280" spans="23:23" x14ac:dyDescent="0.15">
      <c r="W280" s="206">
        <f>Admin!B280</f>
        <v>45300</v>
      </c>
    </row>
    <row r="281" spans="23:23" x14ac:dyDescent="0.15">
      <c r="W281" s="206">
        <f>Admin!B281</f>
        <v>45301</v>
      </c>
    </row>
    <row r="282" spans="23:23" x14ac:dyDescent="0.15">
      <c r="W282" s="206">
        <f>Admin!B282</f>
        <v>45302</v>
      </c>
    </row>
    <row r="283" spans="23:23" x14ac:dyDescent="0.15">
      <c r="W283" s="206">
        <f>Admin!B283</f>
        <v>45303</v>
      </c>
    </row>
    <row r="284" spans="23:23" x14ac:dyDescent="0.15">
      <c r="W284" s="206">
        <f>Admin!B284</f>
        <v>45304</v>
      </c>
    </row>
    <row r="285" spans="23:23" x14ac:dyDescent="0.15">
      <c r="W285" s="206">
        <f>Admin!B285</f>
        <v>45305</v>
      </c>
    </row>
    <row r="286" spans="23:23" x14ac:dyDescent="0.15">
      <c r="W286" s="206">
        <f>Admin!B286</f>
        <v>45306</v>
      </c>
    </row>
    <row r="287" spans="23:23" x14ac:dyDescent="0.15">
      <c r="W287" s="206">
        <f>Admin!B287</f>
        <v>45307</v>
      </c>
    </row>
    <row r="288" spans="23:23" x14ac:dyDescent="0.15">
      <c r="W288" s="206">
        <f>Admin!B288</f>
        <v>45308</v>
      </c>
    </row>
    <row r="289" spans="23:23" x14ac:dyDescent="0.15">
      <c r="W289" s="206">
        <f>Admin!B289</f>
        <v>45309</v>
      </c>
    </row>
    <row r="290" spans="23:23" x14ac:dyDescent="0.15">
      <c r="W290" s="206">
        <f>Admin!B290</f>
        <v>45310</v>
      </c>
    </row>
    <row r="291" spans="23:23" x14ac:dyDescent="0.15">
      <c r="W291" s="206">
        <f>Admin!B291</f>
        <v>45311</v>
      </c>
    </row>
    <row r="292" spans="23:23" x14ac:dyDescent="0.15">
      <c r="W292" s="206">
        <f>Admin!B292</f>
        <v>45312</v>
      </c>
    </row>
    <row r="293" spans="23:23" x14ac:dyDescent="0.15">
      <c r="W293" s="206">
        <f>Admin!B293</f>
        <v>45313</v>
      </c>
    </row>
    <row r="294" spans="23:23" x14ac:dyDescent="0.15">
      <c r="W294" s="206">
        <f>Admin!B294</f>
        <v>45314</v>
      </c>
    </row>
    <row r="295" spans="23:23" x14ac:dyDescent="0.15">
      <c r="W295" s="206">
        <f>Admin!B295</f>
        <v>45315</v>
      </c>
    </row>
    <row r="296" spans="23:23" x14ac:dyDescent="0.15">
      <c r="W296" s="206">
        <f>Admin!B296</f>
        <v>45316</v>
      </c>
    </row>
    <row r="297" spans="23:23" x14ac:dyDescent="0.15">
      <c r="W297" s="206">
        <f>Admin!B297</f>
        <v>45317</v>
      </c>
    </row>
    <row r="298" spans="23:23" x14ac:dyDescent="0.15">
      <c r="W298" s="206">
        <f>Admin!B298</f>
        <v>45318</v>
      </c>
    </row>
    <row r="299" spans="23:23" x14ac:dyDescent="0.15">
      <c r="W299" s="206">
        <f>Admin!B299</f>
        <v>45319</v>
      </c>
    </row>
    <row r="300" spans="23:23" x14ac:dyDescent="0.15">
      <c r="W300" s="206">
        <f>Admin!B300</f>
        <v>45320</v>
      </c>
    </row>
    <row r="301" spans="23:23" x14ac:dyDescent="0.15">
      <c r="W301" s="206">
        <f>Admin!B301</f>
        <v>45321</v>
      </c>
    </row>
    <row r="302" spans="23:23" x14ac:dyDescent="0.15">
      <c r="W302" s="206">
        <f>Admin!B302</f>
        <v>45322</v>
      </c>
    </row>
    <row r="303" spans="23:23" x14ac:dyDescent="0.15">
      <c r="W303" s="206">
        <f>Admin!B303</f>
        <v>45323</v>
      </c>
    </row>
    <row r="304" spans="23:23" x14ac:dyDescent="0.15">
      <c r="W304" s="206">
        <f>Admin!B304</f>
        <v>45324</v>
      </c>
    </row>
    <row r="305" spans="23:23" x14ac:dyDescent="0.15">
      <c r="W305" s="206">
        <f>Admin!B305</f>
        <v>45325</v>
      </c>
    </row>
    <row r="306" spans="23:23" x14ac:dyDescent="0.15">
      <c r="W306" s="206">
        <f>Admin!B306</f>
        <v>45326</v>
      </c>
    </row>
    <row r="307" spans="23:23" x14ac:dyDescent="0.15">
      <c r="W307" s="206">
        <f>Admin!B307</f>
        <v>45327</v>
      </c>
    </row>
    <row r="308" spans="23:23" x14ac:dyDescent="0.15">
      <c r="W308" s="206">
        <f>Admin!B308</f>
        <v>45328</v>
      </c>
    </row>
    <row r="309" spans="23:23" x14ac:dyDescent="0.15">
      <c r="W309" s="206">
        <f>Admin!B309</f>
        <v>45329</v>
      </c>
    </row>
    <row r="310" spans="23:23" x14ac:dyDescent="0.15">
      <c r="W310" s="206">
        <f>Admin!B310</f>
        <v>45330</v>
      </c>
    </row>
    <row r="311" spans="23:23" x14ac:dyDescent="0.15">
      <c r="W311" s="206">
        <f>Admin!B311</f>
        <v>45331</v>
      </c>
    </row>
    <row r="312" spans="23:23" x14ac:dyDescent="0.15">
      <c r="W312" s="206">
        <f>Admin!B312</f>
        <v>45332</v>
      </c>
    </row>
    <row r="313" spans="23:23" x14ac:dyDescent="0.15">
      <c r="W313" s="206">
        <f>Admin!B313</f>
        <v>45333</v>
      </c>
    </row>
    <row r="314" spans="23:23" x14ac:dyDescent="0.15">
      <c r="W314" s="206">
        <f>Admin!B314</f>
        <v>45334</v>
      </c>
    </row>
    <row r="315" spans="23:23" x14ac:dyDescent="0.15">
      <c r="W315" s="206">
        <f>Admin!B315</f>
        <v>45335</v>
      </c>
    </row>
    <row r="316" spans="23:23" x14ac:dyDescent="0.15">
      <c r="W316" s="206">
        <f>Admin!B316</f>
        <v>45336</v>
      </c>
    </row>
    <row r="317" spans="23:23" x14ac:dyDescent="0.15">
      <c r="W317" s="206">
        <f>Admin!B317</f>
        <v>45337</v>
      </c>
    </row>
    <row r="318" spans="23:23" x14ac:dyDescent="0.15">
      <c r="W318" s="206">
        <f>Admin!B318</f>
        <v>45338</v>
      </c>
    </row>
    <row r="319" spans="23:23" x14ac:dyDescent="0.15">
      <c r="W319" s="206">
        <f>Admin!B319</f>
        <v>45339</v>
      </c>
    </row>
    <row r="320" spans="23:23" x14ac:dyDescent="0.15">
      <c r="W320" s="206">
        <f>Admin!B320</f>
        <v>45340</v>
      </c>
    </row>
    <row r="321" spans="23:23" x14ac:dyDescent="0.15">
      <c r="W321" s="206">
        <f>Admin!B321</f>
        <v>45341</v>
      </c>
    </row>
    <row r="322" spans="23:23" x14ac:dyDescent="0.15">
      <c r="W322" s="206">
        <f>Admin!B322</f>
        <v>45342</v>
      </c>
    </row>
    <row r="323" spans="23:23" x14ac:dyDescent="0.15">
      <c r="W323" s="206">
        <f>Admin!B323</f>
        <v>45343</v>
      </c>
    </row>
    <row r="324" spans="23:23" x14ac:dyDescent="0.15">
      <c r="W324" s="206">
        <f>Admin!B324</f>
        <v>45344</v>
      </c>
    </row>
    <row r="325" spans="23:23" x14ac:dyDescent="0.15">
      <c r="W325" s="206">
        <f>Admin!B325</f>
        <v>45345</v>
      </c>
    </row>
    <row r="326" spans="23:23" x14ac:dyDescent="0.15">
      <c r="W326" s="206">
        <f>Admin!B326</f>
        <v>45346</v>
      </c>
    </row>
    <row r="327" spans="23:23" x14ac:dyDescent="0.15">
      <c r="W327" s="206">
        <f>Admin!B327</f>
        <v>45347</v>
      </c>
    </row>
    <row r="328" spans="23:23" x14ac:dyDescent="0.15">
      <c r="W328" s="206">
        <f>Admin!B328</f>
        <v>45348</v>
      </c>
    </row>
    <row r="329" spans="23:23" x14ac:dyDescent="0.15">
      <c r="W329" s="206">
        <f>Admin!B329</f>
        <v>45349</v>
      </c>
    </row>
    <row r="330" spans="23:23" x14ac:dyDescent="0.15">
      <c r="W330" s="206">
        <f>Admin!B330</f>
        <v>45350</v>
      </c>
    </row>
    <row r="331" spans="23:23" x14ac:dyDescent="0.15">
      <c r="W331" s="206">
        <f>Admin!B331</f>
        <v>45351</v>
      </c>
    </row>
    <row r="332" spans="23:23" x14ac:dyDescent="0.15">
      <c r="W332" s="206">
        <f>Admin!B332</f>
        <v>45352</v>
      </c>
    </row>
    <row r="333" spans="23:23" x14ac:dyDescent="0.15">
      <c r="W333" s="206">
        <f>Admin!B333</f>
        <v>45353</v>
      </c>
    </row>
    <row r="334" spans="23:23" x14ac:dyDescent="0.15">
      <c r="W334" s="206">
        <f>Admin!B334</f>
        <v>45354</v>
      </c>
    </row>
    <row r="335" spans="23:23" x14ac:dyDescent="0.15">
      <c r="W335" s="206">
        <f>Admin!B335</f>
        <v>45355</v>
      </c>
    </row>
    <row r="336" spans="23:23" x14ac:dyDescent="0.15">
      <c r="W336" s="206">
        <f>Admin!B336</f>
        <v>45356</v>
      </c>
    </row>
    <row r="337" spans="23:23" x14ac:dyDescent="0.15">
      <c r="W337" s="206">
        <f>Admin!B337</f>
        <v>45357</v>
      </c>
    </row>
    <row r="338" spans="23:23" x14ac:dyDescent="0.15">
      <c r="W338" s="206">
        <f>Admin!B338</f>
        <v>45358</v>
      </c>
    </row>
    <row r="339" spans="23:23" x14ac:dyDescent="0.15">
      <c r="W339" s="206">
        <f>Admin!B339</f>
        <v>45359</v>
      </c>
    </row>
    <row r="340" spans="23:23" x14ac:dyDescent="0.15">
      <c r="W340" s="206">
        <f>Admin!B340</f>
        <v>45360</v>
      </c>
    </row>
    <row r="341" spans="23:23" x14ac:dyDescent="0.15">
      <c r="W341" s="206">
        <f>Admin!B341</f>
        <v>45361</v>
      </c>
    </row>
    <row r="342" spans="23:23" x14ac:dyDescent="0.15">
      <c r="W342" s="206">
        <f>Admin!B342</f>
        <v>45362</v>
      </c>
    </row>
    <row r="343" spans="23:23" x14ac:dyDescent="0.15">
      <c r="W343" s="206">
        <f>Admin!B343</f>
        <v>45363</v>
      </c>
    </row>
    <row r="344" spans="23:23" x14ac:dyDescent="0.15">
      <c r="W344" s="206">
        <f>Admin!B344</f>
        <v>45364</v>
      </c>
    </row>
    <row r="345" spans="23:23" x14ac:dyDescent="0.15">
      <c r="W345" s="206">
        <f>Admin!B345</f>
        <v>45365</v>
      </c>
    </row>
    <row r="346" spans="23:23" x14ac:dyDescent="0.15">
      <c r="W346" s="206">
        <f>Admin!B346</f>
        <v>45366</v>
      </c>
    </row>
    <row r="347" spans="23:23" x14ac:dyDescent="0.15">
      <c r="W347" s="206">
        <f>Admin!B347</f>
        <v>45367</v>
      </c>
    </row>
    <row r="348" spans="23:23" x14ac:dyDescent="0.15">
      <c r="W348" s="206">
        <f>Admin!B348</f>
        <v>45368</v>
      </c>
    </row>
    <row r="349" spans="23:23" x14ac:dyDescent="0.15">
      <c r="W349" s="206">
        <f>Admin!B349</f>
        <v>45369</v>
      </c>
    </row>
    <row r="350" spans="23:23" x14ac:dyDescent="0.15">
      <c r="W350" s="206">
        <f>Admin!B350</f>
        <v>45370</v>
      </c>
    </row>
    <row r="351" spans="23:23" x14ac:dyDescent="0.15">
      <c r="W351" s="206">
        <f>Admin!B351</f>
        <v>45371</v>
      </c>
    </row>
    <row r="352" spans="23:23" x14ac:dyDescent="0.15">
      <c r="W352" s="206">
        <f>Admin!B352</f>
        <v>45372</v>
      </c>
    </row>
    <row r="353" spans="23:23" x14ac:dyDescent="0.15">
      <c r="W353" s="206">
        <f>Admin!B353</f>
        <v>45373</v>
      </c>
    </row>
    <row r="354" spans="23:23" x14ac:dyDescent="0.15">
      <c r="W354" s="206">
        <f>Admin!B354</f>
        <v>45374</v>
      </c>
    </row>
    <row r="355" spans="23:23" x14ac:dyDescent="0.15">
      <c r="W355" s="206">
        <f>Admin!B355</f>
        <v>45375</v>
      </c>
    </row>
    <row r="356" spans="23:23" x14ac:dyDescent="0.15">
      <c r="W356" s="206">
        <f>Admin!B356</f>
        <v>45376</v>
      </c>
    </row>
    <row r="357" spans="23:23" x14ac:dyDescent="0.15">
      <c r="W357" s="206">
        <f>Admin!B357</f>
        <v>45377</v>
      </c>
    </row>
    <row r="358" spans="23:23" x14ac:dyDescent="0.15">
      <c r="W358" s="206">
        <f>Admin!B358</f>
        <v>45378</v>
      </c>
    </row>
    <row r="359" spans="23:23" x14ac:dyDescent="0.15">
      <c r="W359" s="206">
        <f>Admin!B359</f>
        <v>45379</v>
      </c>
    </row>
    <row r="360" spans="23:23" x14ac:dyDescent="0.15">
      <c r="W360" s="206">
        <f>Admin!B360</f>
        <v>45380</v>
      </c>
    </row>
    <row r="361" spans="23:23" x14ac:dyDescent="0.15">
      <c r="W361" s="206">
        <f>Admin!B361</f>
        <v>45381</v>
      </c>
    </row>
    <row r="362" spans="23:23" x14ac:dyDescent="0.15">
      <c r="W362" s="206">
        <f>Admin!B362</f>
        <v>45382</v>
      </c>
    </row>
    <row r="363" spans="23:23" x14ac:dyDescent="0.15">
      <c r="W363" s="206">
        <f>Admin!B363</f>
        <v>45383</v>
      </c>
    </row>
    <row r="364" spans="23:23" x14ac:dyDescent="0.15">
      <c r="W364" s="206">
        <f>Admin!B364</f>
        <v>45384</v>
      </c>
    </row>
    <row r="365" spans="23:23" x14ac:dyDescent="0.15">
      <c r="W365" s="206">
        <f>Admin!B365</f>
        <v>45385</v>
      </c>
    </row>
    <row r="366" spans="23:23" x14ac:dyDescent="0.15">
      <c r="W366" s="206">
        <f>Admin!B366</f>
        <v>45386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45022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45022</v>
      </c>
      <c r="L49" s="203" t="s">
        <v>76</v>
      </c>
      <c r="M49" s="205">
        <f>Admin!B26</f>
        <v>45046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Mar!M39+1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45047</v>
      </c>
      <c r="L49" s="203" t="s">
        <v>76</v>
      </c>
      <c r="M49" s="205">
        <f>Admin!B57</f>
        <v>45077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IF(T$49="Y",Mar!H51,0)</f>
        <v>0</v>
      </c>
      <c r="I51" s="89">
        <f>IF(T$49="Y",Mar!I51,0)</f>
        <v>0</v>
      </c>
      <c r="J51" s="89">
        <f>IF(T$49="Y",Mar!J51,0)</f>
        <v>0</v>
      </c>
      <c r="K51" s="89">
        <f>IF(T$49="Y",Mar!K51,I51*J51)</f>
        <v>0</v>
      </c>
      <c r="L51" s="110">
        <f>IF(T$49="Y",Mar!L51,0)</f>
        <v>0</v>
      </c>
      <c r="M51" s="99" t="str">
        <f>IF(E51=" "," ",IF(T$49="Y",Mar!M51,IF((H51+K51+L51)&gt;0,H51+K51+L51,"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IF(Employee!H$35=E$49,Employee!D$34+SUM(M51)+Mar!V51,SUM(M51)+Mar!V51)</f>
        <v>0</v>
      </c>
      <c r="W51" s="49">
        <f>IF(Employee!H$35=E$49,Employee!D$35+SUM(N51)+Mar!W51,SUM(N51)+Mar!W51)</f>
        <v>0</v>
      </c>
      <c r="X51" s="49">
        <f>IF(O51=" ",Mar!X51,O51+Mar!X51)</f>
        <v>0</v>
      </c>
      <c r="Y51" s="49">
        <f>IF(P51=" ",Mar!Y51,P51+Mar!Y51)</f>
        <v>0</v>
      </c>
      <c r="Z51" s="49">
        <f>IF(Q51=" ",Mar!Z51,Q51+Mar!Z51)</f>
        <v>0</v>
      </c>
      <c r="AA51" s="49">
        <f>IF(R51=" ",Mar!AA51,R51+Mar!AA51)</f>
        <v>0</v>
      </c>
      <c r="AC51" s="49">
        <f>IF(T51=" ",Mar!AC51,T51+Mar!AC51)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IF(T$49="Y",Mar!H52,0)</f>
        <v>0</v>
      </c>
      <c r="I52" s="92">
        <f>IF(T$49="Y",Mar!I52,0)</f>
        <v>0</v>
      </c>
      <c r="J52" s="92">
        <f>IF(T$49="Y",Mar!J52,0)</f>
        <v>0</v>
      </c>
      <c r="K52" s="92">
        <f>IF(T$49="Y",Mar!K52,I52*J52)</f>
        <v>0</v>
      </c>
      <c r="L52" s="111">
        <f>IF(T$49="Y",Mar!L52,0)</f>
        <v>0</v>
      </c>
      <c r="M52" s="100" t="str">
        <f>IF(E52=" "," ",IF(T$49="Y",Mar!M52,IF((H52+K52+L52)&gt;0,H52+K52+L52,"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IF(Employee!H$61=E$49,Employee!D$60+SUM(M52)+Mar!V52,SUM(M52)+Mar!V52)</f>
        <v>0</v>
      </c>
      <c r="W52" s="49">
        <f>IF(Employee!H$61=E$49,Employee!D$61+SUM(N52)+Mar!W52,SUM(N52)+Mar!W52)</f>
        <v>0</v>
      </c>
      <c r="X52" s="49">
        <f>IF(O52=" ",Mar!X52,O52+Mar!X52)</f>
        <v>0</v>
      </c>
      <c r="Y52" s="49">
        <f>IF(P52=" ",Mar!Y52,P52+Mar!Y52)</f>
        <v>0</v>
      </c>
      <c r="Z52" s="49">
        <f>IF(Q52=" ",Mar!Z52,Q52+Mar!Z52)</f>
        <v>0</v>
      </c>
      <c r="AA52" s="49">
        <f>IF(R52=" ",Mar!AA52,R52+Mar!AA52)</f>
        <v>0</v>
      </c>
      <c r="AC52" s="49">
        <f>IF(T52=" ",Mar!AC52,T52+Mar!AC52)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IF(T$49="Y",Mar!H53,0)</f>
        <v>0</v>
      </c>
      <c r="I53" s="92">
        <f>IF(T$49="Y",Mar!I53,0)</f>
        <v>0</v>
      </c>
      <c r="J53" s="92">
        <f>IF(T$49="Y",Mar!J53,0)</f>
        <v>0</v>
      </c>
      <c r="K53" s="92">
        <f>IF(T$49="Y",Mar!K53,I53*J53)</f>
        <v>0</v>
      </c>
      <c r="L53" s="111">
        <f>IF(T$49="Y",Mar!L53,0)</f>
        <v>0</v>
      </c>
      <c r="M53" s="100" t="str">
        <f>IF(E53=" "," ",IF(T$49="Y",Mar!M53,IF((H53+K53+L53)&gt;0,H53+K53+L53,"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IF(Employee!H$87=E$49,Employee!D$86+SUM(M53)+Mar!V53,SUM(M53)+Mar!V53)</f>
        <v>0</v>
      </c>
      <c r="W53" s="49">
        <f>IF(Employee!H$87=E$49,Employee!D$7+SUM(N53)+Mar!W53,SUM(N53)+Mar!W53)</f>
        <v>0</v>
      </c>
      <c r="X53" s="49">
        <f>IF(O53=" ",Mar!X53,O53+Mar!X53)</f>
        <v>0</v>
      </c>
      <c r="Y53" s="49">
        <f>IF(P53=" ",Mar!Y53,P53+Mar!Y53)</f>
        <v>0</v>
      </c>
      <c r="Z53" s="49">
        <f>IF(Q53=" ",Mar!Z53,Q53+Mar!Z53)</f>
        <v>0</v>
      </c>
      <c r="AA53" s="49">
        <f>IF(R53=" ",Mar!AA53,R53+Mar!AA53)</f>
        <v>0</v>
      </c>
      <c r="AC53" s="49">
        <f>IF(T53=" ",Mar!AC53,T53+Mar!AC53)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IF(T$49="Y",Mar!H54,0)</f>
        <v>0</v>
      </c>
      <c r="I54" s="92">
        <f>IF(T$49="Y",Mar!I54,0)</f>
        <v>0</v>
      </c>
      <c r="J54" s="92">
        <f>IF(T$49="Y",Mar!J54,0)</f>
        <v>0</v>
      </c>
      <c r="K54" s="92">
        <f>IF(T$49="Y",Mar!K54,I54*J54)</f>
        <v>0</v>
      </c>
      <c r="L54" s="111">
        <f>IF(T$49="Y",Mar!L54,0)</f>
        <v>0</v>
      </c>
      <c r="M54" s="100" t="str">
        <f>IF(E54=" "," ",IF(T$49="Y",Mar!M54,IF((H54+K54+L54)&gt;0,H54+K54+L54,"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IF(Employee!H$113=E$49,Employee!D$112+SUM(M54)+Mar!V54,SUM(M54)+Mar!V54)</f>
        <v>0</v>
      </c>
      <c r="W54" s="49">
        <f>IF(Employee!H$113=E$49,Employee!D$113+SUM(N54)+Mar!W54,SUM(N54)+Mar!W54)</f>
        <v>0</v>
      </c>
      <c r="X54" s="49">
        <f>IF(O54=" ",Mar!X54,O54+Mar!X54)</f>
        <v>0</v>
      </c>
      <c r="Y54" s="49">
        <f>IF(P54=" ",Mar!Y54,P54+Mar!Y54)</f>
        <v>0</v>
      </c>
      <c r="Z54" s="49">
        <f>IF(Q54=" ",Mar!Z54,Q54+Mar!Z54)</f>
        <v>0</v>
      </c>
      <c r="AA54" s="49">
        <f>IF(R54=" ",Mar!AA54,R54+Mar!AA54)</f>
        <v>0</v>
      </c>
      <c r="AC54" s="49">
        <f>IF(T54=" ",Mar!AC54,T54+Mar!AC54)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IF(T$49="Y",Mar!H55,0)</f>
        <v>0</v>
      </c>
      <c r="I55" s="245">
        <f>IF(T$49="Y",Mar!I55,0)</f>
        <v>0</v>
      </c>
      <c r="J55" s="245">
        <f>IF(T$49="Y",Mar!J55,0)</f>
        <v>0</v>
      </c>
      <c r="K55" s="245">
        <f>IF(T$49="Y",Mar!K55,I55*J55)</f>
        <v>0</v>
      </c>
      <c r="L55" s="246">
        <f>IF(T$49="Y",Mar!L55,0)</f>
        <v>0</v>
      </c>
      <c r="M55" s="100" t="str">
        <f>IF(E55=" "," ",IF(T$49="Y",Mar!M55,IF((H55+K55+L55)&gt;0,H55+K55+L55,"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IF(Employee!H$139=E$49,Employee!D$138+SUM(M55)+Mar!V55,SUM(M55)+Mar!V55)</f>
        <v>0</v>
      </c>
      <c r="W55" s="49">
        <f>IF(Employee!H$139=E$49,Employee!D$139+SUM(N55)+Mar!W55,SUM(N55)+Mar!W55)</f>
        <v>0</v>
      </c>
      <c r="X55" s="49">
        <f>IF(O55=" ",Mar!X55,O55+Mar!X55)</f>
        <v>0</v>
      </c>
      <c r="Y55" s="49">
        <f>IF(P55=" ",Mar!Y55,P55+Mar!Y55)</f>
        <v>0</v>
      </c>
      <c r="Z55" s="49">
        <f>IF(Q55=" ",Mar!Z55,Q55+Mar!Z55)</f>
        <v>0</v>
      </c>
      <c r="AA55" s="49">
        <f>IF(R55=" ",Mar!AA55,R55+Mar!AA55)</f>
        <v>0</v>
      </c>
      <c r="AC55" s="49">
        <f>IF(T55=" ",Mar!AC55,T55+Mar!AC55)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AD60+Mar!AD65</f>
        <v>0</v>
      </c>
      <c r="AE65" s="158">
        <f>AE60+Mar!AE65</f>
        <v>0</v>
      </c>
      <c r="AF65" s="158">
        <f>AF60+Mar!AF65</f>
        <v>0</v>
      </c>
      <c r="AG65" s="158">
        <f>AG60+Mar!AG65</f>
        <v>0</v>
      </c>
    </row>
    <row r="66" spans="6:33" ht="14" thickTop="1" x14ac:dyDescent="0.15"/>
    <row r="67" spans="6:33" x14ac:dyDescent="0.15">
      <c r="AD67" s="162"/>
      <c r="AE67" s="158">
        <f>AE62+Mar!AE67</f>
        <v>0</v>
      </c>
      <c r="AF67" s="158">
        <f>AF62+Mar!AF67</f>
        <v>0</v>
      </c>
      <c r="AG67" s="158">
        <f>AG62+Mar!AG67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Apr!M39+1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45078</v>
      </c>
      <c r="L59" s="203" t="s">
        <v>76</v>
      </c>
      <c r="M59" s="205">
        <f>Admin!B87</f>
        <v>45107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IF(T$59="Y",Apr!H51,0)</f>
        <v>0</v>
      </c>
      <c r="I61" s="89">
        <f>IF(T$59="Y",Apr!I51,0)</f>
        <v>0</v>
      </c>
      <c r="J61" s="89">
        <f>IF(T$59="Y",Apr!J51,0)</f>
        <v>0</v>
      </c>
      <c r="K61" s="89">
        <f>IF(T$59="Y",Apr!K51,I61*J61)</f>
        <v>0</v>
      </c>
      <c r="L61" s="110">
        <f>IF(T$59="Y",Apr!L51,0)</f>
        <v>0</v>
      </c>
      <c r="M61" s="99" t="str">
        <f>IF(E61=" "," ",IF(T$59="Y",Apr!M51,IF((H61+K61+L61)&gt;0,H61+K61+L61,"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IF(Employee!H$35=E$59,Employee!D$34+SUM(M61)+Apr!V51,SUM(M61)+Apr!V51)</f>
        <v>0</v>
      </c>
      <c r="W61" s="49">
        <f>IF(Employee!H$35=E$59,Employee!D$35+SUM(N61)+Apr!W51,SUM(N61)+Apr!W51)</f>
        <v>0</v>
      </c>
      <c r="X61" s="49">
        <f>IF(O61=" ",Apr!X51,O61+Apr!X51)</f>
        <v>0</v>
      </c>
      <c r="Y61" s="49">
        <f>IF(P61=" ",Apr!Y51,P61+Apr!Y51)</f>
        <v>0</v>
      </c>
      <c r="Z61" s="49">
        <f>IF(Q61=" ",Apr!Z51,Q61+Apr!Z51)</f>
        <v>0</v>
      </c>
      <c r="AA61" s="49">
        <f>IF(R61=" ",Apr!AA51,R61+Apr!AA51)</f>
        <v>0</v>
      </c>
      <c r="AC61" s="49">
        <f>IF(T61=" ",Apr!AC51,T61+Apr!AC51)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IF(T$59="Y",Apr!H52,0)</f>
        <v>0</v>
      </c>
      <c r="I62" s="92">
        <f>IF(T$59="Y",Apr!I52,0)</f>
        <v>0</v>
      </c>
      <c r="J62" s="92">
        <f>IF(T$59="Y",Apr!J52,0)</f>
        <v>0</v>
      </c>
      <c r="K62" s="92">
        <f>IF(T$59="Y",Apr!K52,I62*J62)</f>
        <v>0</v>
      </c>
      <c r="L62" s="111">
        <f>IF(T$59="Y",Apr!L52,0)</f>
        <v>0</v>
      </c>
      <c r="M62" s="100" t="str">
        <f>IF(E62=" "," ",IF(T$59="Y",Apr!M52,IF((H62+K62+L62)&gt;0,H62+K62+L62,"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IF(Employee!H$61=E$59,Employee!D$60+SUM(M62)+Apr!V52,SUM(M62)+Apr!V52)</f>
        <v>0</v>
      </c>
      <c r="W62" s="49">
        <f>IF(Employee!H$61=E$59,Employee!D$61+SUM(N62)+Apr!W52,SUM(N62)+Apr!W52)</f>
        <v>0</v>
      </c>
      <c r="X62" s="49">
        <f>IF(O62=" ",Apr!X52,O62+Apr!X52)</f>
        <v>0</v>
      </c>
      <c r="Y62" s="49">
        <f>IF(P62=" ",Apr!Y52,P62+Apr!Y52)</f>
        <v>0</v>
      </c>
      <c r="Z62" s="49">
        <f>IF(Q62=" ",Apr!Z52,Q62+Apr!Z52)</f>
        <v>0</v>
      </c>
      <c r="AA62" s="49">
        <f>IF(R62=" ",Apr!AA52,R62+Apr!AA52)</f>
        <v>0</v>
      </c>
      <c r="AC62" s="49">
        <f>IF(T62=" ",Apr!AC52,T62+Apr!AC52)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IF(T$59="Y",Apr!H53,0)</f>
        <v>0</v>
      </c>
      <c r="I63" s="92">
        <f>IF(T$59="Y",Apr!I53,0)</f>
        <v>0</v>
      </c>
      <c r="J63" s="92">
        <f>IF(T$59="Y",Apr!J53,0)</f>
        <v>0</v>
      </c>
      <c r="K63" s="92">
        <f>IF(T$59="Y",Apr!K53,I63*J63)</f>
        <v>0</v>
      </c>
      <c r="L63" s="111">
        <f>IF(T$59="Y",Apr!L53,0)</f>
        <v>0</v>
      </c>
      <c r="M63" s="100" t="str">
        <f>IF(E63=" "," ",IF(T$59="Y",Apr!M53,IF((H63+K63+L63)&gt;0,H63+K63+L63,"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IF(Employee!H$87=E$59,Employee!D$86+SUM(M63)+Apr!V53,SUM(M63)+Apr!V53)</f>
        <v>0</v>
      </c>
      <c r="W63" s="49">
        <f>IF(Employee!H$87=E$59,Employee!D$87+SUM(N63)+Apr!W53,SUM(N63)+Apr!W53)</f>
        <v>0</v>
      </c>
      <c r="X63" s="49">
        <f>IF(O63=" ",Apr!X53,O63+Apr!X53)</f>
        <v>0</v>
      </c>
      <c r="Y63" s="49">
        <f>IF(P63=" ",Apr!Y53,P63+Apr!Y53)</f>
        <v>0</v>
      </c>
      <c r="Z63" s="49">
        <f>IF(Q63=" ",Apr!Z53,Q63+Apr!Z53)</f>
        <v>0</v>
      </c>
      <c r="AA63" s="49">
        <f>IF(R63=" ",Apr!AA53,R63+Apr!AA53)</f>
        <v>0</v>
      </c>
      <c r="AC63" s="49">
        <f>IF(T63=" ",Apr!AC53,T63+Apr!AC53)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IF(T$59="Y",Apr!H54,0)</f>
        <v>0</v>
      </c>
      <c r="I64" s="92">
        <f>IF(T$59="Y",Apr!I54,0)</f>
        <v>0</v>
      </c>
      <c r="J64" s="92">
        <f>IF(T$59="Y",Apr!J54,0)</f>
        <v>0</v>
      </c>
      <c r="K64" s="92">
        <f>IF(T$59="Y",Apr!K54,I64*J64)</f>
        <v>0</v>
      </c>
      <c r="L64" s="111">
        <f>IF(T$59="Y",Apr!L54,0)</f>
        <v>0</v>
      </c>
      <c r="M64" s="100" t="str">
        <f>IF(E64=" "," ",IF(T$59="Y",Apr!M54,IF((H64+K64+L64)&gt;0,H64+K64+L64,"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IF(Employee!H$113=E$59,Employee!D$112+SUM(M64)+Apr!V54,SUM(M64)+Apr!V54)</f>
        <v>0</v>
      </c>
      <c r="W64" s="49">
        <f>IF(Employee!H$113=E$59,Employee!D$113+SUM(N64)+Apr!W54,SUM(N64)+Apr!W54)</f>
        <v>0</v>
      </c>
      <c r="X64" s="49">
        <f>IF(O64=" ",Apr!X54,O64+Apr!X54)</f>
        <v>0</v>
      </c>
      <c r="Y64" s="49">
        <f>IF(P64=" ",Apr!Y54,P64+Apr!Y54)</f>
        <v>0</v>
      </c>
      <c r="Z64" s="49">
        <f>IF(Q64=" ",Apr!Z54,Q64+Apr!Z54)</f>
        <v>0</v>
      </c>
      <c r="AA64" s="49">
        <f>IF(R64=" ",Apr!AA54,R64+Apr!AA54)</f>
        <v>0</v>
      </c>
      <c r="AC64" s="49">
        <f>IF(T64=" ",Apr!AC54,T64+Apr!AC54)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IF(T$59="Y",Apr!H55,0)</f>
        <v>0</v>
      </c>
      <c r="I65" s="245">
        <f>IF(T$59="Y",Apr!I55,0)</f>
        <v>0</v>
      </c>
      <c r="J65" s="245">
        <f>IF(T$59="Y",Apr!J55,0)</f>
        <v>0</v>
      </c>
      <c r="K65" s="245">
        <f>IF(T$59="Y",Apr!K55,I65*J65)</f>
        <v>0</v>
      </c>
      <c r="L65" s="246">
        <f>IF(T$59="Y",Apr!L55,0)</f>
        <v>0</v>
      </c>
      <c r="M65" s="100" t="str">
        <f>IF(E65=" "," ",IF(T$59="Y",Apr!M55,IF((H65+K65+L65)&gt;0,H65+K65+L65,"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IF(Employee!H$139=E$59,Employee!D$138+SUM(M65)+Apr!V55,SUM(M65)+Apr!V55)</f>
        <v>0</v>
      </c>
      <c r="W65" s="49">
        <f>IF(Employee!H$139=E$59,Employee!D$139+SUM(N65)+Apr!W55,SUM(N65)+Apr!W55)</f>
        <v>0</v>
      </c>
      <c r="X65" s="49">
        <f>IF(O65=" ",Apr!X55,O65+Apr!X55)</f>
        <v>0</v>
      </c>
      <c r="Y65" s="49">
        <f>IF(P65=" ",Apr!Y55,P65+Apr!Y55)</f>
        <v>0</v>
      </c>
      <c r="Z65" s="49">
        <f>IF(Q65=" ",Apr!Z55,Q65+Apr!Z55)</f>
        <v>0</v>
      </c>
      <c r="AA65" s="49">
        <f>IF(R65=" ",Apr!AA55,R65+Apr!AA55)</f>
        <v>0</v>
      </c>
      <c r="AC65" s="49">
        <f>IF(T65=" ",Apr!AC55,T65+Apr!AC55)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AD70+Apr!AD65</f>
        <v>0</v>
      </c>
      <c r="AE75" s="158">
        <f>AE70+Apr!AE65</f>
        <v>0</v>
      </c>
      <c r="AF75" s="158">
        <f>AF70+Apr!AF65</f>
        <v>0</v>
      </c>
      <c r="AG75" s="158">
        <f>AG70+Apr!AG65</f>
        <v>0</v>
      </c>
    </row>
    <row r="76" spans="1:34" ht="14" thickTop="1" x14ac:dyDescent="0.15"/>
    <row r="77" spans="1:34" x14ac:dyDescent="0.15">
      <c r="AD77" s="162"/>
      <c r="AE77" s="158">
        <f>AE72+Apr!AE67</f>
        <v>0</v>
      </c>
      <c r="AF77" s="158">
        <f>AF72+Apr!AF67</f>
        <v>0</v>
      </c>
      <c r="AG77" s="158">
        <f>AG72+Apr!AG67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45111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89">
        <f>IF(T$9="Y",May!L41,0)</f>
        <v>0</v>
      </c>
      <c r="M11" s="99" t="str">
        <f>IF(E11=" "," ",IF(T$9="Y",May!M41,IF((H11+K11+L11)&gt;0,H11+K11+L11,"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IF(Employee!H$34=E$9,Employee!D$34+SUM(M11)+May!V51,SUM(M11)+May!V51)</f>
        <v>0</v>
      </c>
      <c r="W11" s="49">
        <f>IF(Employee!H$34=E$9,Employee!D$35+SUM(N11)+May!W51,SUM(N11)+May!W51)</f>
        <v>0</v>
      </c>
      <c r="X11" s="49">
        <f>IF(O11=" ",May!X51,O11+May!X51)</f>
        <v>0</v>
      </c>
      <c r="Y11" s="49">
        <f>IF(P11=" ",May!Y51,P11+May!Y51)</f>
        <v>0</v>
      </c>
      <c r="Z11" s="49">
        <f>IF(Q11=" ",May!Z51,Q11+May!Z51)</f>
        <v>0</v>
      </c>
      <c r="AA11" s="49">
        <f>IF(R11=" ",May!AA51,R11+May!AA51)</f>
        <v>0</v>
      </c>
      <c r="AC11" s="49">
        <f>IF(T11=" ",May!AC51,T11+May!AC51)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92">
        <f>IF(T$9="Y",May!L42,0)</f>
        <v>0</v>
      </c>
      <c r="M12" s="100" t="str">
        <f>IF(E12=" "," ",IF(T$9="Y",May!M42,IF((H12+K12+L12)&gt;0,H12+K12+L12,"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IF(Employee!H$60=E$9,Employee!D$60+SUM(M12)+May!V52,SUM(M12)+May!V52)</f>
        <v>0</v>
      </c>
      <c r="W12" s="49">
        <f>IF(Employee!H$60=E$9,Employee!D$61+SUM(N12)+May!W52,SUM(N12)+May!W52)</f>
        <v>0</v>
      </c>
      <c r="X12" s="49">
        <f>IF(O12=" ",May!X52,O12+May!X52)</f>
        <v>0</v>
      </c>
      <c r="Y12" s="49">
        <f>IF(P12=" ",May!Y52,P12+May!Y52)</f>
        <v>0</v>
      </c>
      <c r="Z12" s="49">
        <f>IF(Q12=" ",May!Z52,Q12+May!Z52)</f>
        <v>0</v>
      </c>
      <c r="AA12" s="49">
        <f>IF(R12=" ",May!AA52,R12+May!AA52)</f>
        <v>0</v>
      </c>
      <c r="AC12" s="49">
        <f>IF(T12=" ",May!AC52,T12+May!AC52)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92">
        <f>IF(T$9="Y",May!L43,0)</f>
        <v>0</v>
      </c>
      <c r="M13" s="100" t="str">
        <f>IF(E13=" "," ",IF(T$9="Y",May!M43,IF((H13+K13+L13)&gt;0,H13+K13+L13,"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IF(Employee!H$86=E$9,Employee!D$86+SUM(M13)+May!V53,SUM(M13)+May!V53)</f>
        <v>0</v>
      </c>
      <c r="W13" s="49">
        <f>IF(Employee!H$86=E$9,Employee!D$87+SUM(N13)+May!W53,SUM(N13)+May!W53)</f>
        <v>0</v>
      </c>
      <c r="X13" s="49">
        <f>IF(O13=" ",May!X53,O13+May!X53)</f>
        <v>0</v>
      </c>
      <c r="Y13" s="49">
        <f>IF(P13=" ",May!Y53,P13+May!Y53)</f>
        <v>0</v>
      </c>
      <c r="Z13" s="49">
        <f>IF(Q13=" ",May!Z53,Q13+May!Z53)</f>
        <v>0</v>
      </c>
      <c r="AA13" s="49">
        <f>IF(R13=" ",May!AA53,R13+May!AA53)</f>
        <v>0</v>
      </c>
      <c r="AC13" s="49">
        <f>IF(T13=" ",May!AC53,T13+May!AC53)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92">
        <f>IF(T$9="Y",May!L44,0)</f>
        <v>0</v>
      </c>
      <c r="M14" s="100" t="str">
        <f>IF(E14=" "," ",IF(T$9="Y",May!M44,IF((H14+K14+L14)&gt;0,H14+K14+L14,"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IF(Employee!H$112=E$9,Employee!D$112+SUM(M14)+May!V54,SUM(M14)+May!V54)</f>
        <v>0</v>
      </c>
      <c r="W14" s="49">
        <f>IF(Employee!H$112=E$9,Employee!D$113+SUM(N14)+May!W54,SUM(N14)+May!W54)</f>
        <v>0</v>
      </c>
      <c r="X14" s="49">
        <f>IF(O14=" ",May!X54,O14+May!X54)</f>
        <v>0</v>
      </c>
      <c r="Y14" s="49">
        <f>IF(P14=" ",May!Y54,P14+May!Y54)</f>
        <v>0</v>
      </c>
      <c r="Z14" s="49">
        <f>IF(Q14=" ",May!Z54,Q14+May!Z54)</f>
        <v>0</v>
      </c>
      <c r="AA14" s="49">
        <f>IF(R14=" ",May!AA54,R14+May!AA54)</f>
        <v>0</v>
      </c>
      <c r="AC14" s="49">
        <f>IF(T14=" ",May!AC54,T14+May!AC54)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5">
        <f>IF(T$9="Y",May!L45,0)</f>
        <v>0</v>
      </c>
      <c r="M15" s="247" t="str">
        <f>IF(E15=" "," ",IF(T$9="Y",May!M45,IF((H15+K15+L15)&gt;0,H15+K15+L15,"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IF(Employee!H$138=E$9,Employee!D$138+SUM(M15)+May!V55,SUM(M15)+May!V55)</f>
        <v>0</v>
      </c>
      <c r="W15" s="49">
        <f>IF(Employee!H$138=E$9,Employee!D$139+SUM(N15)+May!W55,SUM(N15)+May!W55)</f>
        <v>0</v>
      </c>
      <c r="X15" s="49">
        <f>IF(O15=" ",May!X55,O15+May!X55)</f>
        <v>0</v>
      </c>
      <c r="Y15" s="49">
        <f>IF(P15=" ",May!Y55,P15+May!Y55)</f>
        <v>0</v>
      </c>
      <c r="Z15" s="49">
        <f>IF(Q15=" ",May!Z55,Q15+May!Z55)</f>
        <v>0</v>
      </c>
      <c r="AA15" s="49">
        <f>IF(R15=" ",May!AA55,R15+May!AA55)</f>
        <v>0</v>
      </c>
      <c r="AC15" s="49">
        <f>IF(T15=" ",May!AC55,T15+May!AC55)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45108</v>
      </c>
      <c r="L49" s="203" t="s">
        <v>76</v>
      </c>
      <c r="M49" s="205">
        <f>Admin!B118</f>
        <v>45138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IF(T$49="Y",May!H61,0)</f>
        <v>0</v>
      </c>
      <c r="I51" s="89">
        <f>IF(T$49="Y",May!I61,0)</f>
        <v>0</v>
      </c>
      <c r="J51" s="89">
        <f>IF(T$49="Y",May!J61,0)</f>
        <v>0</v>
      </c>
      <c r="K51" s="89">
        <f>IF(T$49="Y",May!K61,I51*J51)</f>
        <v>0</v>
      </c>
      <c r="L51" s="110">
        <f>IF(T$49="Y",May!L61,0)</f>
        <v>0</v>
      </c>
      <c r="M51" s="99" t="str">
        <f>IF(E51=" "," ",IF(T$49="Y",May!M61,IF((H51+K51+L51)&gt;0,H51+K51+L51,"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IF(Employee!H$35=E$49,Employee!D$34+SUM(M51)+May!V61,SUM(M51)+May!V61)</f>
        <v>0</v>
      </c>
      <c r="W51" s="49">
        <f>IF(Employee!H$35=E$49,Employee!D$35+SUM(N51)+May!W61,SUM(N51)+May!W61)</f>
        <v>0</v>
      </c>
      <c r="X51" s="49">
        <f>IF(O51=" ",May!X61,O51+May!X61)</f>
        <v>0</v>
      </c>
      <c r="Y51" s="49">
        <f>IF(P51=" ",May!Y61,P51+May!Y61)</f>
        <v>0</v>
      </c>
      <c r="Z51" s="49">
        <f>IF(Q51=" ",May!Z61,Q51+May!Z61)</f>
        <v>0</v>
      </c>
      <c r="AA51" s="49">
        <f>IF(R51=" ",May!AA61,R51+May!AA61)</f>
        <v>0</v>
      </c>
      <c r="AC51" s="49">
        <f>IF(T51=" ",May!AC61,T51+May!AC61)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IF(T$49="Y",May!H62,0)</f>
        <v>0</v>
      </c>
      <c r="I52" s="92">
        <f>IF(T$49="Y",May!I62,0)</f>
        <v>0</v>
      </c>
      <c r="J52" s="92">
        <f>IF(T$49="Y",May!J62,0)</f>
        <v>0</v>
      </c>
      <c r="K52" s="92">
        <f>IF(T$49="Y",May!K62,I52*J52)</f>
        <v>0</v>
      </c>
      <c r="L52" s="111">
        <f>IF(T$49="Y",May!L62,0)</f>
        <v>0</v>
      </c>
      <c r="M52" s="100" t="str">
        <f>IF(E52=" "," ",IF(T$49="Y",May!M62,IF((H52+K52+L52)&gt;0,H52+K52+L52,"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IF(Employee!H$61=E$49,Employee!D$60+SUM(M52)+May!V62,SUM(M52)+May!V62)</f>
        <v>0</v>
      </c>
      <c r="W52" s="49">
        <f>IF(Employee!H$61=E$49,Employee!D$61+SUM(N52)+May!W62,SUM(N52)+May!W62)</f>
        <v>0</v>
      </c>
      <c r="X52" s="49">
        <f>IF(O52=" ",May!X62,O52+May!X62)</f>
        <v>0</v>
      </c>
      <c r="Y52" s="49">
        <f>IF(P52=" ",May!Y62,P52+May!Y62)</f>
        <v>0</v>
      </c>
      <c r="Z52" s="49">
        <f>IF(Q52=" ",May!Z62,Q52+May!Z62)</f>
        <v>0</v>
      </c>
      <c r="AA52" s="49">
        <f>IF(R52=" ",May!AA62,R52+May!AA62)</f>
        <v>0</v>
      </c>
      <c r="AC52" s="49">
        <f>IF(T52=" ",May!AC62,T52+May!AC62)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IF(T$49="Y",May!H63,0)</f>
        <v>0</v>
      </c>
      <c r="I53" s="92">
        <f>IF(T$49="Y",May!I63,0)</f>
        <v>0</v>
      </c>
      <c r="J53" s="92">
        <f>IF(T$49="Y",May!J63,0)</f>
        <v>0</v>
      </c>
      <c r="K53" s="92">
        <f>IF(T$49="Y",May!K63,I53*J53)</f>
        <v>0</v>
      </c>
      <c r="L53" s="111">
        <f>IF(T$49="Y",May!L63,0)</f>
        <v>0</v>
      </c>
      <c r="M53" s="100" t="str">
        <f>IF(E53=" "," ",IF(T$49="Y",May!M63,IF((H53+K53+L53)&gt;0,H53+K53+L53,"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IF(Employee!H$87=E$49,Employee!D$86+SUM(M53)+May!V63,SUM(M53)+May!V63)</f>
        <v>0</v>
      </c>
      <c r="W53" s="49">
        <f>IF(Employee!H$87=E$49,Employee!D$87+SUM(N53)+May!W63,SUM(N53)+May!W63)</f>
        <v>0</v>
      </c>
      <c r="X53" s="49">
        <f>IF(O53=" ",May!X63,O53+May!X63)</f>
        <v>0</v>
      </c>
      <c r="Y53" s="49">
        <f>IF(P53=" ",May!Y63,P53+May!Y63)</f>
        <v>0</v>
      </c>
      <c r="Z53" s="49">
        <f>IF(Q53=" ",May!Z63,Q53+May!Z63)</f>
        <v>0</v>
      </c>
      <c r="AA53" s="49">
        <f>IF(R53=" ",May!AA63,R53+May!AA63)</f>
        <v>0</v>
      </c>
      <c r="AC53" s="49">
        <f>IF(T53=" ",May!AC63,T53+May!AC63)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IF(T$49="Y",May!H64,0)</f>
        <v>0</v>
      </c>
      <c r="I54" s="92">
        <f>IF(T$49="Y",May!I64,0)</f>
        <v>0</v>
      </c>
      <c r="J54" s="92">
        <f>IF(T$49="Y",May!J64,0)</f>
        <v>0</v>
      </c>
      <c r="K54" s="92">
        <f>IF(T$49="Y",May!K64,I54*J54)</f>
        <v>0</v>
      </c>
      <c r="L54" s="111">
        <f>IF(T$49="Y",May!L64,0)</f>
        <v>0</v>
      </c>
      <c r="M54" s="100" t="str">
        <f>IF(E54=" "," ",IF(T$49="Y",May!M64,IF((H54+K54+L54)&gt;0,H54+K54+L54,"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IF(Employee!H$113=E$49,Employee!D$112+SUM(M54)+May!V64,SUM(M54)+May!V64)</f>
        <v>0</v>
      </c>
      <c r="W54" s="49">
        <f>IF(Employee!H$113=E$49,Employee!D$113+SUM(N54)+May!W64,SUM(N54)+May!W64)</f>
        <v>0</v>
      </c>
      <c r="X54" s="49">
        <f>IF(O54=" ",May!X64,O54+May!X64)</f>
        <v>0</v>
      </c>
      <c r="Y54" s="49">
        <f>IF(P54=" ",May!Y64,P54+May!Y64)</f>
        <v>0</v>
      </c>
      <c r="Z54" s="49">
        <f>IF(Q54=" ",May!Z64,Q54+May!Z64)</f>
        <v>0</v>
      </c>
      <c r="AA54" s="49">
        <f>IF(R54=" ",May!AA64,R54+May!AA64)</f>
        <v>0</v>
      </c>
      <c r="AC54" s="49">
        <f>IF(T54=" ",May!AC64,T54+May!AC64)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IF(T$49="Y",May!H65,0)</f>
        <v>0</v>
      </c>
      <c r="I55" s="245">
        <f>IF(T$49="Y",May!I65,0)</f>
        <v>0</v>
      </c>
      <c r="J55" s="245">
        <f>IF(T$49="Y",May!J65,0)</f>
        <v>0</v>
      </c>
      <c r="K55" s="245">
        <f>IF(T$49="Y",May!K65,I55*J55)</f>
        <v>0</v>
      </c>
      <c r="L55" s="246">
        <f>IF(T$49="Y",May!L65,0)</f>
        <v>0</v>
      </c>
      <c r="M55" s="100" t="str">
        <f>IF(E55=" "," ",IF(T$49="Y",May!M65,IF((H55+K55+L55)&gt;0,H55+K55+L55,"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IF(Employee!H$139=E$49,Employee!D$138+SUM(M55)+May!V65,SUM(M55)+May!V65)</f>
        <v>0</v>
      </c>
      <c r="W55" s="49">
        <f>IF(Employee!H$139=E$49,Employee!D$139+SUM(N55)+May!W65,SUM(N55)+May!W65)</f>
        <v>0</v>
      </c>
      <c r="X55" s="49">
        <f>IF(O55=" ",May!X65,O55+May!X65)</f>
        <v>0</v>
      </c>
      <c r="Y55" s="49">
        <f>IF(P55=" ",May!Y65,P55+May!Y65)</f>
        <v>0</v>
      </c>
      <c r="Z55" s="49">
        <f>IF(Q55=" ",May!Z65,Q55+May!Z65)</f>
        <v>0</v>
      </c>
      <c r="AA55" s="49">
        <f>IF(R55=" ",May!AA65,R55+May!AA65)</f>
        <v>0</v>
      </c>
      <c r="AC55" s="49">
        <f>IF(T55=" ",May!AC65,T55+May!AC65)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AD60+May!AD75</f>
        <v>0</v>
      </c>
      <c r="AE65" s="158">
        <f>AE60+May!AE75</f>
        <v>0</v>
      </c>
      <c r="AF65" s="158">
        <f>AF60+May!AF75</f>
        <v>0</v>
      </c>
      <c r="AG65" s="158">
        <f>AG60+May!AG75</f>
        <v>0</v>
      </c>
    </row>
    <row r="66" spans="6:33" ht="14" thickTop="1" x14ac:dyDescent="0.15"/>
    <row r="67" spans="6:33" x14ac:dyDescent="0.15">
      <c r="AD67" s="162"/>
      <c r="AE67" s="158">
        <f>AE62+May!AE77</f>
        <v>0</v>
      </c>
      <c r="AF67" s="158">
        <f>AF62+May!AF77</f>
        <v>0</v>
      </c>
      <c r="AG67" s="158">
        <f>AG62+May!AG77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45139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IF(T$9="Y",Jun!H41,0)</f>
        <v>0</v>
      </c>
      <c r="I12" s="92">
        <f>IF(T$9="Y",Jun!I41,0)</f>
        <v>0</v>
      </c>
      <c r="J12" s="92">
        <f>IF(T$9="Y",Jun!J41,0)</f>
        <v>0</v>
      </c>
      <c r="K12" s="92">
        <f>IF(T$9="Y",Jun!K41,I12*J12)</f>
        <v>0</v>
      </c>
      <c r="L12" s="111">
        <f>IF(T$9="Y",Jun!L41,0)</f>
        <v>0</v>
      </c>
      <c r="M12" s="111" t="str">
        <f>IF(E12=" "," ",IF(T$9="Y",Jun!M41,IF((H12+K12+L12)&gt;0,H12+K12+L12,"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IF(T$9="Y",Jun!H41,0)</f>
        <v>0</v>
      </c>
      <c r="I13" s="92">
        <f>IF(T$9="Y",Jun!I41,0)</f>
        <v>0</v>
      </c>
      <c r="J13" s="92">
        <f>IF(T$9="Y",Jun!J41,0)</f>
        <v>0</v>
      </c>
      <c r="K13" s="92">
        <f>IF(T$9="Y",Jun!K41,I13*J13)</f>
        <v>0</v>
      </c>
      <c r="L13" s="111">
        <f>IF(T$9="Y",Jun!L41,0)</f>
        <v>0</v>
      </c>
      <c r="M13" s="111" t="str">
        <f>IF(E13=" "," ",IF(T$9="Y",Jun!M41,IF((H13+K13+L13)&gt;0,H13+K13+L13,"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IF(T$9="Y",Jun!H41,0)</f>
        <v>0</v>
      </c>
      <c r="I14" s="92">
        <f>IF(T$9="Y",Jun!I41,0)</f>
        <v>0</v>
      </c>
      <c r="J14" s="92">
        <f>IF(T$9="Y",Jun!J41,0)</f>
        <v>0</v>
      </c>
      <c r="K14" s="92">
        <f>IF(T$9="Y",Jun!K41,I14*J14)</f>
        <v>0</v>
      </c>
      <c r="L14" s="111">
        <f>IF(T$9="Y",Jun!L41,0)</f>
        <v>0</v>
      </c>
      <c r="M14" s="111" t="str">
        <f>IF(E14=" "," ",IF(T$9="Y",Jun!M41,IF((H14+K14+L14)&gt;0,H14+K14+L14,"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IF(T$9="Y",Jun!H41,0)</f>
        <v>0</v>
      </c>
      <c r="I15" s="245">
        <f>IF(T$9="Y",Jun!I41,0)</f>
        <v>0</v>
      </c>
      <c r="J15" s="245">
        <f>IF(T$9="Y",Jun!J41,0)</f>
        <v>0</v>
      </c>
      <c r="K15" s="245">
        <f>IF(T$9="Y",Jun!K41,I15*J15)</f>
        <v>0</v>
      </c>
      <c r="L15" s="246">
        <f>IF(T$9="Y",Jun!L41,0)</f>
        <v>0</v>
      </c>
      <c r="M15" s="246" t="str">
        <f>IF(E15=" "," ",IF(T$9="Y",Jun!M41,IF((H15+K15+L15)&gt;0,H15+K15+L15,"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45139</v>
      </c>
      <c r="L49" s="203" t="s">
        <v>76</v>
      </c>
      <c r="M49" s="205">
        <f>Admin!B149</f>
        <v>45169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IF(T$49="Y",Jun!H51,0)</f>
        <v>0</v>
      </c>
      <c r="I51" s="89">
        <f>IF(T$49="Y",Jun!I51,0)</f>
        <v>0</v>
      </c>
      <c r="J51" s="89">
        <f>IF(T$49="Y",Jun!J51,0)</f>
        <v>0</v>
      </c>
      <c r="K51" s="89">
        <f>IF(T$49="Y",Jun!K51,I51*J51)</f>
        <v>0</v>
      </c>
      <c r="L51" s="89">
        <f>IF(T$49="Y",Jun!L51,0)</f>
        <v>0</v>
      </c>
      <c r="M51" s="99" t="str">
        <f>IF(E51=" "," ",IF(T$49="Y",Jun!M51,IF((H51+K51+L51)&gt;0,H51+K51+L51,"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IF(Employee!H$35=E$49,Employee!D$34+SUM(M51)+Jun!V51,SUM(M51)+Jun!V51)</f>
        <v>0</v>
      </c>
      <c r="W51" s="49">
        <f>IF(Employee!H$35=E$49,Employee!D$35+SUM(N51)+Jun!W51,SUM(N51)+Jun!W51)</f>
        <v>0</v>
      </c>
      <c r="X51" s="49">
        <f>IF(O51=" ",Jun!X51,O51+Jun!X51)</f>
        <v>0</v>
      </c>
      <c r="Y51" s="49">
        <f>IF(P51=" ",Jun!Y51,P51+Jun!Y51)</f>
        <v>0</v>
      </c>
      <c r="Z51" s="49">
        <f>IF(Q51=" ",Jun!Z51,Q51+Jun!Z51)</f>
        <v>0</v>
      </c>
      <c r="AA51" s="49">
        <f>IF(R51=" ",Jun!AA51,R51+Jun!AA51)</f>
        <v>0</v>
      </c>
      <c r="AC51" s="49">
        <f>IF(T51=" ",Jun!AC51,T51+Jun!AC51)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IF(T$49="Y",Jun!H52,0)</f>
        <v>0</v>
      </c>
      <c r="I52" s="92">
        <f>IF(T$49="Y",Jun!I52,0)</f>
        <v>0</v>
      </c>
      <c r="J52" s="92">
        <f>IF(T$49="Y",Jun!J52,0)</f>
        <v>0</v>
      </c>
      <c r="K52" s="92">
        <f>IF(T$49="Y",Jun!K52,I52*J52)</f>
        <v>0</v>
      </c>
      <c r="L52" s="92">
        <f>IF(T$49="Y",Jun!L52,0)</f>
        <v>0</v>
      </c>
      <c r="M52" s="100" t="str">
        <f>IF(E52=" "," ",IF(T$49="Y",Jun!M52,IF((H52+K52+L52)&gt;0,H52+K52+L52,"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IF(Employee!H$61=E$49,Employee!D$60+SUM(M52)+Jun!V52,SUM(M52)+Jun!V52)</f>
        <v>0</v>
      </c>
      <c r="W52" s="49">
        <f>IF(Employee!H$61=E$49,Employee!D$61+SUM(N52)+Jun!W52,SUM(N52)+Jun!W52)</f>
        <v>0</v>
      </c>
      <c r="X52" s="49">
        <f>IF(O52=" ",Jun!X52,O52+Jun!X52)</f>
        <v>0</v>
      </c>
      <c r="Y52" s="49">
        <f>IF(P52=" ",Jun!Y52,P52+Jun!Y52)</f>
        <v>0</v>
      </c>
      <c r="Z52" s="49">
        <f>IF(Q52=" ",Jun!Z52,Q52+Jun!Z52)</f>
        <v>0</v>
      </c>
      <c r="AA52" s="49">
        <f>IF(R52=" ",Jun!AA52,R52+Jun!AA52)</f>
        <v>0</v>
      </c>
      <c r="AC52" s="49">
        <f>IF(T52=" ",Jun!AC52,T52+Jun!AC52)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IF(T$49="Y",Jun!H53,0)</f>
        <v>0</v>
      </c>
      <c r="I53" s="92">
        <f>IF(T$49="Y",Jun!I53,0)</f>
        <v>0</v>
      </c>
      <c r="J53" s="92">
        <f>IF(T$49="Y",Jun!J53,0)</f>
        <v>0</v>
      </c>
      <c r="K53" s="92">
        <f>IF(T$49="Y",Jun!K53,I53*J53)</f>
        <v>0</v>
      </c>
      <c r="L53" s="92">
        <f>IF(T$49="Y",Jun!L53,0)</f>
        <v>0</v>
      </c>
      <c r="M53" s="100" t="str">
        <f>IF(E53=" "," ",IF(T$49="Y",Jun!M53,IF((H53+K53+L53)&gt;0,H53+K53+L53,"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IF(Employee!H$87=E$49,Employee!D$86+SUM(M53)+Jun!V53,SUM(M53)+Jun!V53)</f>
        <v>0</v>
      </c>
      <c r="W53" s="49">
        <f>IF(Employee!H$87=E$49,Employee!D$87+SUM(N53)+Jun!W53,SUM(N53)+Jun!W53)</f>
        <v>0</v>
      </c>
      <c r="X53" s="49">
        <f>IF(O53=" ",Jun!X53,O53+Jun!X53)</f>
        <v>0</v>
      </c>
      <c r="Y53" s="49">
        <f>IF(P53=" ",Jun!Y53,P53+Jun!Y53)</f>
        <v>0</v>
      </c>
      <c r="Z53" s="49">
        <f>IF(Q53=" ",Jun!Z53,Q53+Jun!Z53)</f>
        <v>0</v>
      </c>
      <c r="AA53" s="49">
        <f>IF(R53=" ",Jun!AA53,R53+Jun!AA53)</f>
        <v>0</v>
      </c>
      <c r="AC53" s="49">
        <f>IF(T53=" ",Jun!AC53,T53+Jun!AC53)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IF(T$49="Y",Jun!H54,0)</f>
        <v>0</v>
      </c>
      <c r="I54" s="92">
        <f>IF(T$49="Y",Jun!I54,0)</f>
        <v>0</v>
      </c>
      <c r="J54" s="92">
        <f>IF(T$49="Y",Jun!J54,0)</f>
        <v>0</v>
      </c>
      <c r="K54" s="92">
        <f>IF(T$49="Y",Jun!K54,I54*J54)</f>
        <v>0</v>
      </c>
      <c r="L54" s="92">
        <f>IF(T$49="Y",Jun!L54,0)</f>
        <v>0</v>
      </c>
      <c r="M54" s="100" t="str">
        <f>IF(E54=" "," ",IF(T$49="Y",Jun!M54,IF((H54+K54+L54)&gt;0,H54+K54+L54,"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IF(Employee!H$113=E$49,Employee!D$112+SUM(M54)+Jun!V54,SUM(M54)+Jun!V54)</f>
        <v>0</v>
      </c>
      <c r="W54" s="49">
        <f>IF(Employee!H$113=E$49,Employee!D$113+SUM(N54)+Jun!W54,SUM(N54)+Jun!W54)</f>
        <v>0</v>
      </c>
      <c r="X54" s="49">
        <f>IF(O54=" ",Jun!X54,O54+Jun!X54)</f>
        <v>0</v>
      </c>
      <c r="Y54" s="49">
        <f>IF(P54=" ",Jun!Y54,P54+Jun!Y54)</f>
        <v>0</v>
      </c>
      <c r="Z54" s="49">
        <f>IF(Q54=" ",Jun!Z54,Q54+Jun!Z54)</f>
        <v>0</v>
      </c>
      <c r="AA54" s="49">
        <f>IF(R54=" ",Jun!AA54,R54+Jun!AA54)</f>
        <v>0</v>
      </c>
      <c r="AC54" s="49">
        <f>IF(T54=" ",Jun!AC54,T54+Jun!AC54)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IF(T$49="Y",Jun!H55,0)</f>
        <v>0</v>
      </c>
      <c r="I55" s="92">
        <f>IF(T$49="Y",Jun!I55,0)</f>
        <v>0</v>
      </c>
      <c r="J55" s="92">
        <f>IF(T$49="Y",Jun!J55,0)</f>
        <v>0</v>
      </c>
      <c r="K55" s="92">
        <f>IF(T$49="Y",Jun!K55,I55*J55)</f>
        <v>0</v>
      </c>
      <c r="L55" s="92">
        <f>IF(T$49="Y",Jun!L55,0)</f>
        <v>0</v>
      </c>
      <c r="M55" s="100" t="str">
        <f>IF(E55=" "," ",IF(T$49="Y",Jun!M55,IF((H55+K55+L55)&gt;0,H55+K55+L55,"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IF(Employee!H$139=E$49,Employee!D$138+SUM(M55)+Jun!V55,SUM(M55)+Jun!V55)</f>
        <v>0</v>
      </c>
      <c r="W55" s="49">
        <f>IF(Employee!H$139=E$49,Employee!D$139+SUM(N55)+Jun!W55,SUM(N55)+Jun!W55)</f>
        <v>0</v>
      </c>
      <c r="X55" s="49">
        <f>IF(O55=" ",Jun!X55,O55+Jun!X55)</f>
        <v>0</v>
      </c>
      <c r="Y55" s="49">
        <f>IF(P55=" ",Jun!Y55,P55+Jun!Y55)</f>
        <v>0</v>
      </c>
      <c r="Z55" s="49">
        <f>IF(Q55=" ",Jun!Z55,Q55+Jun!Z55)</f>
        <v>0</v>
      </c>
      <c r="AA55" s="49">
        <f>IF(R55=" ",Jun!AA55,R55+Jun!AA55)</f>
        <v>0</v>
      </c>
      <c r="AC55" s="49">
        <f>IF(T55=" ",Jun!AC55,T55+Jun!AC55)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AD60+Jun!AD65</f>
        <v>0</v>
      </c>
      <c r="AE65" s="158">
        <f>AE60+Jun!AE65</f>
        <v>0</v>
      </c>
      <c r="AF65" s="158">
        <f>AF60+Jun!AF65</f>
        <v>0</v>
      </c>
      <c r="AG65" s="158">
        <f>AG60+Jun!AG65</f>
        <v>0</v>
      </c>
    </row>
    <row r="66" spans="6:33" ht="14" thickTop="1" x14ac:dyDescent="0.15"/>
    <row r="67" spans="6:33" x14ac:dyDescent="0.15">
      <c r="AD67" s="162"/>
      <c r="AE67" s="158">
        <f>AE62+Jun!AE67</f>
        <v>0</v>
      </c>
      <c r="AF67" s="158">
        <f>AF62+Jun!AF67</f>
        <v>0</v>
      </c>
      <c r="AG67" s="158">
        <f>AG62+Jun!AG67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Jul!M39+1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45195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45170</v>
      </c>
      <c r="L59" s="203" t="s">
        <v>76</v>
      </c>
      <c r="M59" s="205">
        <f>Admin!B179</f>
        <v>45199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IF(T$59="Y",Jul!H51,0)</f>
        <v>0</v>
      </c>
      <c r="I61" s="89">
        <f>IF(T$59="Y",Jul!I51,0)</f>
        <v>0</v>
      </c>
      <c r="J61" s="89">
        <f>IF(T$59="Y",Jul!J51,0)</f>
        <v>0</v>
      </c>
      <c r="K61" s="89">
        <f>IF(T$59="Y",Jul!K51,I61*J61)</f>
        <v>0</v>
      </c>
      <c r="L61" s="110">
        <f>IF(T$59="Y",Jul!L51,0)</f>
        <v>0</v>
      </c>
      <c r="M61" s="99" t="str">
        <f>IF(E61=" "," ",IF(T$59="Y",Jul!M51,IF((H61+K61+L61)&gt;0,H61+K61+L61,"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IF(Employee!H$35=E$59,Employee!D$34+SUM(M61)+Jul!V51,SUM(M61)+Jul!V51)</f>
        <v>0</v>
      </c>
      <c r="W61" s="49">
        <f>IF(Employee!H$35=E$59,Employee!D$35+SUM(N61)+Jul!W51,SUM(N61)+Jul!W51)</f>
        <v>0</v>
      </c>
      <c r="X61" s="49">
        <f>IF(O61=" ",Jul!X51,O61+Jul!X51)</f>
        <v>0</v>
      </c>
      <c r="Y61" s="49">
        <f>IF(P61=" ",Jul!Y51,P61+Jul!Y51)</f>
        <v>0</v>
      </c>
      <c r="Z61" s="49">
        <f>IF(Q61=" ",Jul!Z51,Q61+Jul!Z51)</f>
        <v>0</v>
      </c>
      <c r="AA61" s="49">
        <f>IF(R61=" ",Jul!AA51,R61+Jul!AA51)</f>
        <v>0</v>
      </c>
      <c r="AC61" s="49">
        <f>IF(T61=" ",Jul!AC51,T61+Jul!AC51)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IF(T$59="Y",Jul!H52,0)</f>
        <v>0</v>
      </c>
      <c r="I62" s="92">
        <f>IF(T$59="Y",Jul!I52,0)</f>
        <v>0</v>
      </c>
      <c r="J62" s="92">
        <f>IF(T$59="Y",Jul!J52,0)</f>
        <v>0</v>
      </c>
      <c r="K62" s="92">
        <f>IF(T$59="Y",Jul!K52,I62*J62)</f>
        <v>0</v>
      </c>
      <c r="L62" s="111">
        <f>IF(T$59="Y",Jul!L52,0)</f>
        <v>0</v>
      </c>
      <c r="M62" s="100" t="str">
        <f>IF(E62=" "," ",IF(T$59="Y",Jul!M52,IF((H62+K62+L62)&gt;0,H62+K62+L62,"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IF(Employee!H$61=E$59,Employee!D$60+SUM(M62)+Jul!V52,SUM(M62)+Jul!V52)</f>
        <v>0</v>
      </c>
      <c r="W62" s="49">
        <f>IF(Employee!H$61=E$59,Employee!D$61+SUM(N62)+Jul!W52,SUM(N62)+Jul!W52)</f>
        <v>0</v>
      </c>
      <c r="X62" s="49">
        <f>IF(O62=" ",Jul!X52,O62+Jul!X52)</f>
        <v>0</v>
      </c>
      <c r="Y62" s="49">
        <f>IF(P62=" ",Jul!Y52,P62+Jul!Y52)</f>
        <v>0</v>
      </c>
      <c r="Z62" s="49">
        <f>IF(Q62=" ",Jul!Z52,Q62+Jul!Z52)</f>
        <v>0</v>
      </c>
      <c r="AA62" s="49">
        <f>IF(R62=" ",Jul!AA52,R62+Jul!AA52)</f>
        <v>0</v>
      </c>
      <c r="AC62" s="49">
        <f>IF(T62=" ",Jul!AC52,T62+Jul!AC52)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IF(T$59="Y",Jul!H53,0)</f>
        <v>0</v>
      </c>
      <c r="I63" s="92">
        <f>IF(T$59="Y",Jul!I53,0)</f>
        <v>0</v>
      </c>
      <c r="J63" s="92">
        <f>IF(T$59="Y",Jul!J53,0)</f>
        <v>0</v>
      </c>
      <c r="K63" s="92">
        <f>IF(T$59="Y",Jul!K53,I63*J63)</f>
        <v>0</v>
      </c>
      <c r="L63" s="111">
        <f>IF(T$59="Y",Jul!L53,0)</f>
        <v>0</v>
      </c>
      <c r="M63" s="100" t="str">
        <f>IF(E63=" "," ",IF(T$59="Y",Jul!M53,IF((H63+K63+L63)&gt;0,H63+K63+L63,"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IF(Employee!H$87=E$59,Employee!D$86+SUM(M63)+Jul!V53,SUM(M63)+Jul!V53)</f>
        <v>0</v>
      </c>
      <c r="W63" s="49">
        <f>IF(Employee!H$87=E$59,Employee!D$87+SUM(N63)+Jul!W53,SUM(N63)+Jul!W53)</f>
        <v>0</v>
      </c>
      <c r="X63" s="49">
        <f>IF(O63=" ",Jul!X53,O63+Jul!X53)</f>
        <v>0</v>
      </c>
      <c r="Y63" s="49">
        <f>IF(P63=" ",Jul!Y53,P63+Jul!Y53)</f>
        <v>0</v>
      </c>
      <c r="Z63" s="49">
        <f>IF(Q63=" ",Jul!Z53,Q63+Jul!Z53)</f>
        <v>0</v>
      </c>
      <c r="AA63" s="49">
        <f>IF(R63=" ",Jul!AA53,R63+Jul!AA53)</f>
        <v>0</v>
      </c>
      <c r="AC63" s="49">
        <f>IF(T63=" ",Jul!AC53,T63+Jul!AC53)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IF(T$59="Y",Jul!H54,0)</f>
        <v>0</v>
      </c>
      <c r="I64" s="92">
        <f>IF(T$59="Y",Jul!I54,0)</f>
        <v>0</v>
      </c>
      <c r="J64" s="92">
        <f>IF(T$59="Y",Jul!J54,0)</f>
        <v>0</v>
      </c>
      <c r="K64" s="92">
        <f>IF(T$59="Y",Jul!K54,I64*J64)</f>
        <v>0</v>
      </c>
      <c r="L64" s="111">
        <f>IF(T$59="Y",Jul!L54,0)</f>
        <v>0</v>
      </c>
      <c r="M64" s="100" t="str">
        <f>IF(E64=" "," ",IF(T$59="Y",Jul!M54,IF((H64+K64+L64)&gt;0,H64+K64+L64,"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IF(Employee!H$113=E$59,Employee!D$112+SUM(M64)+Jul!V54,SUM(M64)+Jul!V54)</f>
        <v>0</v>
      </c>
      <c r="W64" s="49">
        <f>IF(Employee!H$113=E$59,Employee!D$113+SUM(N64)+Jul!W54,SUM(N64)+Jul!W54)</f>
        <v>0</v>
      </c>
      <c r="X64" s="49">
        <f>IF(O64=" ",Jul!X54,O64+Jul!X54)</f>
        <v>0</v>
      </c>
      <c r="Y64" s="49">
        <f>IF(P64=" ",Jul!Y54,P64+Jul!Y54)</f>
        <v>0</v>
      </c>
      <c r="Z64" s="49">
        <f>IF(Q64=" ",Jul!Z54,Q64+Jul!Z54)</f>
        <v>0</v>
      </c>
      <c r="AA64" s="49">
        <f>IF(R64=" ",Jul!AA54,R64+Jul!AA54)</f>
        <v>0</v>
      </c>
      <c r="AC64" s="49">
        <f>IF(T64=" ",Jul!AC54,T64+Jul!AC54)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IF(T$59="Y",Jul!H55,0)</f>
        <v>0</v>
      </c>
      <c r="I65" s="245">
        <f>IF(T$59="Y",Jul!I55,0)</f>
        <v>0</v>
      </c>
      <c r="J65" s="245">
        <f>IF(T$59="Y",Jul!J55,0)</f>
        <v>0</v>
      </c>
      <c r="K65" s="245">
        <f>IF(T$59="Y",Jul!K55,I65*J65)</f>
        <v>0</v>
      </c>
      <c r="L65" s="246">
        <f>IF(T$59="Y",Jul!L55,0)</f>
        <v>0</v>
      </c>
      <c r="M65" s="100" t="str">
        <f>IF(E65=" "," ",IF(T$59="Y",Jul!M55,IF((H65+K65+L65)&gt;0,H65+K65+L65,"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IF(Employee!H$139=E$59,Employee!D$138+SUM(M65)+Jul!V55,SUM(M65)+Jul!V55)</f>
        <v>0</v>
      </c>
      <c r="W65" s="49">
        <f>IF(Employee!H$139=E$59,Employee!D$139+SUM(N65)+Jul!W55,SUM(N65)+Jul!W55)</f>
        <v>0</v>
      </c>
      <c r="X65" s="49">
        <f>IF(O65=" ",Jul!X55,O65+Jul!X55)</f>
        <v>0</v>
      </c>
      <c r="Y65" s="49">
        <f>IF(P65=" ",Jul!Y55,P65+Jul!Y55)</f>
        <v>0</v>
      </c>
      <c r="Z65" s="49">
        <f>IF(Q65=" ",Jul!Z55,Q65+Jul!Z55)</f>
        <v>0</v>
      </c>
      <c r="AA65" s="49">
        <f>IF(R65=" ",Jul!AA55,R65+Jul!AA55)</f>
        <v>0</v>
      </c>
      <c r="AC65" s="49">
        <f>IF(T65=" ",Jul!AC55,T65+Jul!AC55)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AD70+Jul!AD65</f>
        <v>0</v>
      </c>
      <c r="AE75" s="158">
        <f>AE70+Jul!AE65</f>
        <v>0</v>
      </c>
      <c r="AF75" s="158">
        <f>AF70+Jul!AF65</f>
        <v>0</v>
      </c>
      <c r="AG75" s="158">
        <f>AG70+Jul!AG65</f>
        <v>0</v>
      </c>
    </row>
    <row r="76" spans="1:34" ht="14" thickTop="1" x14ac:dyDescent="0.15"/>
    <row r="77" spans="1:34" x14ac:dyDescent="0.15">
      <c r="AD77" s="162"/>
      <c r="AE77" s="158">
        <f>AE72+Jul!AE67</f>
        <v>0</v>
      </c>
      <c r="AF77" s="158">
        <f>AF72+Jul!AF67</f>
        <v>0</v>
      </c>
      <c r="AG77" s="158">
        <f>AG72+Jul!AG67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45202</v>
      </c>
      <c r="L9" s="203" t="s">
        <v>76</v>
      </c>
      <c r="M9" s="205">
        <f>Admin!B188</f>
        <v>45208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IF(T$9="Y",Aug!H51,0)</f>
        <v>0</v>
      </c>
      <c r="I11" s="89">
        <f>IF(T$9="Y",Aug!I51,0)</f>
        <v>0</v>
      </c>
      <c r="J11" s="89">
        <f>IF(T$9="Y",Aug!J51,0)</f>
        <v>0</v>
      </c>
      <c r="K11" s="89">
        <f>IF(T$9="Y",Aug!K51,I11*J11)</f>
        <v>0</v>
      </c>
      <c r="L11" s="110">
        <f>IF(T$9="Y",Aug!L51,0)</f>
        <v>0</v>
      </c>
      <c r="M11" s="99" t="str">
        <f>IF(E11=" "," ",IF(T$9="Y",Aug!M51,IF((H11+K11+L11)&gt;0,H11+K11+L11,"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IF(Employee!H$34=E$9,Employee!D$34+SUM(M11)+Aug!V51,SUM(M11)+Aug!V51)</f>
        <v>0</v>
      </c>
      <c r="W11" s="49">
        <f>IF(Employee!H$34=E$9,Employee!D$35+SUM(N11)+Aug!W51,SUM(N11)+Aug!W51)</f>
        <v>0</v>
      </c>
      <c r="X11" s="49">
        <f>IF(O11=" ",Aug!X51,O11+Aug!X51)</f>
        <v>0</v>
      </c>
      <c r="Y11" s="49">
        <f>IF(P11=" ",Aug!Y51,P11+Aug!Y51)</f>
        <v>0</v>
      </c>
      <c r="Z11" s="49">
        <f>IF(Q11=" ",Aug!Z51,Q11+Aug!Z51)</f>
        <v>0</v>
      </c>
      <c r="AA11" s="49">
        <f>IF(R11=" ",Aug!AA51,R11+Aug!AA51)</f>
        <v>0</v>
      </c>
      <c r="AC11" s="49">
        <f>IF(T11=" ",Aug!AC51,T11+Aug!AC51)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IF(T$9="Y",Aug!H52,0)</f>
        <v>0</v>
      </c>
      <c r="I12" s="92">
        <f>IF(T$9="Y",Aug!I52,0)</f>
        <v>0</v>
      </c>
      <c r="J12" s="92">
        <f>IF(T$9="Y",Aug!J52,0)</f>
        <v>0</v>
      </c>
      <c r="K12" s="92">
        <f>IF(T$9="Y",Aug!K52,I12*J12)</f>
        <v>0</v>
      </c>
      <c r="L12" s="111">
        <f>IF(T$9="Y",Aug!L52,0)</f>
        <v>0</v>
      </c>
      <c r="M12" s="100" t="str">
        <f>IF(E12=" "," ",IF(T$9="Y",Aug!M52,IF((H12+K12+L12)&gt;0,H12+K12+L12,"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IF(Employee!H$60=E$9,Employee!D$60+SUM(M12)+Aug!V52,SUM(M12)+Aug!V52)</f>
        <v>0</v>
      </c>
      <c r="W12" s="49">
        <f>IF(Employee!H$60=E$9,Employee!D$61+SUM(N12)+Aug!W52,SUM(N12)+Aug!W52)</f>
        <v>0</v>
      </c>
      <c r="X12" s="49">
        <f>IF(O12=" ",Aug!X52,O12+Aug!X52)</f>
        <v>0</v>
      </c>
      <c r="Y12" s="49">
        <f>IF(P12=" ",Aug!Y52,P12+Aug!Y52)</f>
        <v>0</v>
      </c>
      <c r="Z12" s="49">
        <f>IF(Q12=" ",Aug!Z52,Q12+Aug!Z52)</f>
        <v>0</v>
      </c>
      <c r="AA12" s="49">
        <f>IF(R12=" ",Aug!AA52,R12+Aug!AA52)</f>
        <v>0</v>
      </c>
      <c r="AC12" s="49">
        <f>IF(T12=" ",Aug!AC52,T12+Aug!AC52)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IF(T$9="Y",Aug!H53,0)</f>
        <v>0</v>
      </c>
      <c r="I13" s="92">
        <f>IF(T$9="Y",Aug!I53,0)</f>
        <v>0</v>
      </c>
      <c r="J13" s="92">
        <f>IF(T$9="Y",Aug!J53,0)</f>
        <v>0</v>
      </c>
      <c r="K13" s="92">
        <f>IF(T$9="Y",Aug!K53,I13*J13)</f>
        <v>0</v>
      </c>
      <c r="L13" s="111">
        <f>IF(T$9="Y",Aug!L53,0)</f>
        <v>0</v>
      </c>
      <c r="M13" s="100" t="str">
        <f>IF(E13=" "," ",IF(T$9="Y",Aug!M53,IF((H13+K13+L13)&gt;0,H13+K13+L13,"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IF(Employee!H$86=E$9,Employee!D$86+SUM(M13)+Aug!V53,SUM(M13)+Aug!V53)</f>
        <v>0</v>
      </c>
      <c r="W13" s="49">
        <f>IF(Employee!H$86=E$9,Employee!D$87+SUM(N13)+Aug!W53,SUM(N13)+Aug!W53)</f>
        <v>0</v>
      </c>
      <c r="X13" s="49">
        <f>IF(O13=" ",Aug!X53,O13+Aug!X53)</f>
        <v>0</v>
      </c>
      <c r="Y13" s="49">
        <f>IF(P13=" ",Aug!Y53,P13+Aug!Y53)</f>
        <v>0</v>
      </c>
      <c r="Z13" s="49">
        <f>IF(Q13=" ",Aug!Z53,Q13+Aug!Z53)</f>
        <v>0</v>
      </c>
      <c r="AA13" s="49">
        <f>IF(R13=" ",Aug!AA53,R13+Aug!AA53)</f>
        <v>0</v>
      </c>
      <c r="AC13" s="49">
        <f>IF(T13=" ",Aug!AC53,T13+Aug!AC53)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IF(T$9="Y",Aug!H54,0)</f>
        <v>0</v>
      </c>
      <c r="I14" s="92">
        <f>IF(T$9="Y",Aug!I54,0)</f>
        <v>0</v>
      </c>
      <c r="J14" s="92">
        <f>IF(T$9="Y",Aug!J54,0)</f>
        <v>0</v>
      </c>
      <c r="K14" s="92">
        <f>IF(T$9="Y",Aug!K54,I14*J14)</f>
        <v>0</v>
      </c>
      <c r="L14" s="111">
        <f>IF(T$9="Y",Aug!L54,0)</f>
        <v>0</v>
      </c>
      <c r="M14" s="100" t="str">
        <f>IF(E14=" "," ",IF(T$9="Y",Aug!M54,IF((H14+K14+L14)&gt;0,H14+K14+L14,"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IF(Employee!H$112=E$9,Employee!D$112+SUM(M14)+Aug!V54,SUM(M14)+Aug!V54)</f>
        <v>0</v>
      </c>
      <c r="W14" s="49">
        <f>IF(Employee!H$112=E$9,Employee!D$113+SUM(N14)+Aug!W54,SUM(N14)+Aug!W54)</f>
        <v>0</v>
      </c>
      <c r="X14" s="49">
        <f>IF(O14=" ",Aug!X54,O14+Aug!X54)</f>
        <v>0</v>
      </c>
      <c r="Y14" s="49">
        <f>IF(P14=" ",Aug!Y54,P14+Aug!Y54)</f>
        <v>0</v>
      </c>
      <c r="Z14" s="49">
        <f>IF(Q14=" ",Aug!Z54,Q14+Aug!Z54)</f>
        <v>0</v>
      </c>
      <c r="AA14" s="49">
        <f>IF(R14=" ",Aug!AA54,R14+Aug!AA54)</f>
        <v>0</v>
      </c>
      <c r="AC14" s="49">
        <f>IF(T14=" ",Aug!AC54,T14+Aug!AC54)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IF(T$9="Y",Aug!H55,0)</f>
        <v>0</v>
      </c>
      <c r="I15" s="245">
        <f>IF(T$9="Y",Aug!I55,0)</f>
        <v>0</v>
      </c>
      <c r="J15" s="245">
        <f>IF(T$9="Y",Aug!J55,0)</f>
        <v>0</v>
      </c>
      <c r="K15" s="245">
        <f>IF(T$9="Y",Aug!K55,I15*J15)</f>
        <v>0</v>
      </c>
      <c r="L15" s="246">
        <f>IF(T$9="Y",Aug!L55,0)</f>
        <v>0</v>
      </c>
      <c r="M15" s="247" t="str">
        <f>IF(E15=" "," ",IF(T$9="Y",Aug!M55,IF((H15+K15+L15)&gt;0,H15+K15+L15,"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IF(Employee!H$138=E$9,Employee!D$138+SUM(M15)+Aug!V55,SUM(M15)+Aug!V55)</f>
        <v>0</v>
      </c>
      <c r="W15" s="49">
        <f>IF(Employee!H$138=E$9,Employee!D$139+SUM(N15)+Aug!W55,SUM(N15)+Aug!W55)</f>
        <v>0</v>
      </c>
      <c r="X15" s="49">
        <f>IF(O15=" ",Aug!X55,O15+Aug!X55)</f>
        <v>0</v>
      </c>
      <c r="Y15" s="49">
        <f>IF(P15=" ",Aug!Y55,P15+Aug!Y55)</f>
        <v>0</v>
      </c>
      <c r="Z15" s="49">
        <f>IF(Q15=" ",Aug!Z55,Q15+Aug!Z55)</f>
        <v>0</v>
      </c>
      <c r="AA15" s="49">
        <f>IF(R15=" ",Aug!AA55,R15+Aug!AA55)</f>
        <v>0</v>
      </c>
      <c r="AC15" s="49">
        <f>IF(T15=" ",Aug!AC55,T15+Aug!AC55)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45200</v>
      </c>
      <c r="L49" s="203" t="s">
        <v>76</v>
      </c>
      <c r="M49" s="205">
        <f>Admin!B210</f>
        <v>45230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IF(T$49="Y",Aug!H61,0)</f>
        <v>0</v>
      </c>
      <c r="I51" s="89">
        <f>IF(T$49="Y",Aug!I61,0)</f>
        <v>0</v>
      </c>
      <c r="J51" s="89">
        <f>IF(T$49="Y",Aug!J61,0)</f>
        <v>0</v>
      </c>
      <c r="K51" s="89">
        <f>IF(T$49="Y",Aug!K61,I51*J51)</f>
        <v>0</v>
      </c>
      <c r="L51" s="110">
        <f>IF(T$49="Y",Aug!L61,0)</f>
        <v>0</v>
      </c>
      <c r="M51" s="99" t="str">
        <f>IF(E51=" "," ",IF(T$49="Y",Aug!M61,IF((H51+K51+L51)&gt;0,H51+K51+L51,"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IF(Employee!H$35=E$49,Employee!D$34+SUM(M51)+Aug!V61,SUM(M51)+Aug!V61)</f>
        <v>0</v>
      </c>
      <c r="W51" s="49">
        <f>IF(Employee!H$35=E$49,Employee!D$35+SUM(N51)+Aug!W61,SUM(N51)+Aug!W61)</f>
        <v>0</v>
      </c>
      <c r="X51" s="49">
        <f>IF(O51=" ",Aug!X61,O51+Aug!X61)</f>
        <v>0</v>
      </c>
      <c r="Y51" s="49">
        <f>IF(P51=" ",Aug!Y61,P51+Aug!Y61)</f>
        <v>0</v>
      </c>
      <c r="Z51" s="49">
        <f>IF(Q51=" ",Aug!Z61,Q51+Aug!Z61)</f>
        <v>0</v>
      </c>
      <c r="AA51" s="49">
        <f>IF(R51=" ",Aug!AA61,R51+Aug!AA61)</f>
        <v>0</v>
      </c>
      <c r="AC51" s="49">
        <f>IF(T51=" ",Aug!AC61,T51+Aug!AC61)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IF(T$49="Y",Aug!H62,0)</f>
        <v>0</v>
      </c>
      <c r="I52" s="92">
        <f>IF(T$49="Y",Aug!I62,0)</f>
        <v>0</v>
      </c>
      <c r="J52" s="92">
        <f>IF(T$49="Y",Aug!J62,0)</f>
        <v>0</v>
      </c>
      <c r="K52" s="92">
        <f>IF(T$49="Y",Aug!K62,I52*J52)</f>
        <v>0</v>
      </c>
      <c r="L52" s="111">
        <f>IF(T$49="Y",Aug!L62,0)</f>
        <v>0</v>
      </c>
      <c r="M52" s="100" t="str">
        <f>IF(E52=" "," ",IF(T$49="Y",Aug!M62,IF((H52+K52+L52)&gt;0,H52+K52+L52,"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IF(Employee!H$61=E$49,Employee!D$60+SUM(M52)+Aug!V62,SUM(M52)+Aug!V62)</f>
        <v>0</v>
      </c>
      <c r="W52" s="49">
        <f>IF(Employee!H$61=E$49,Employee!D$61+SUM(N52)+Aug!W62,SUM(N52)+Aug!W62)</f>
        <v>0</v>
      </c>
      <c r="X52" s="49">
        <f>IF(O52=" ",Aug!X62,O52+Aug!X62)</f>
        <v>0</v>
      </c>
      <c r="Y52" s="49">
        <f>IF(P52=" ",Aug!Y62,P52+Aug!Y62)</f>
        <v>0</v>
      </c>
      <c r="Z52" s="49">
        <f>IF(Q52=" ",Aug!Z62,Q52+Aug!Z62)</f>
        <v>0</v>
      </c>
      <c r="AA52" s="49">
        <f>IF(R52=" ",Aug!AA62,R52+Aug!AA62)</f>
        <v>0</v>
      </c>
      <c r="AC52" s="49">
        <f>IF(T52=" ",Aug!AC62,T52+Aug!AC62)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IF(T$49="Y",Aug!H63,0)</f>
        <v>0</v>
      </c>
      <c r="I53" s="92">
        <f>IF(T$49="Y",Aug!I63,0)</f>
        <v>0</v>
      </c>
      <c r="J53" s="92">
        <f>IF(T$49="Y",Aug!J63,0)</f>
        <v>0</v>
      </c>
      <c r="K53" s="92">
        <f>IF(T$49="Y",Aug!K63,I53*J53)</f>
        <v>0</v>
      </c>
      <c r="L53" s="111">
        <f>IF(T$49="Y",Aug!L63,0)</f>
        <v>0</v>
      </c>
      <c r="M53" s="100" t="str">
        <f>IF(E53=" "," ",IF(T$49="Y",Aug!M63,IF((H53+K53+L53)&gt;0,H53+K53+L53,"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IF(Employee!H$87=E$49,Employee!D$86+SUM(M53)+Aug!V63,SUM(M53)+Aug!V63)</f>
        <v>0</v>
      </c>
      <c r="W53" s="49">
        <f>IF(Employee!H$87=E$49,Employee!D$87+SUM(N53)+Aug!W63,SUM(N53)+Aug!W63)</f>
        <v>0</v>
      </c>
      <c r="X53" s="49">
        <f>IF(O53=" ",Aug!X63,O53+Aug!X63)</f>
        <v>0</v>
      </c>
      <c r="Y53" s="49">
        <f>IF(P53=" ",Aug!Y63,P53+Aug!Y63)</f>
        <v>0</v>
      </c>
      <c r="Z53" s="49">
        <f>IF(Q53=" ",Aug!Z63,Q53+Aug!Z63)</f>
        <v>0</v>
      </c>
      <c r="AA53" s="49">
        <f>IF(R53=" ",Aug!AA63,R53+Aug!AA63)</f>
        <v>0</v>
      </c>
      <c r="AC53" s="49">
        <f>IF(T53=" ",Aug!AC63,T53+Aug!AC63)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IF(T$49="Y",Aug!H64,0)</f>
        <v>0</v>
      </c>
      <c r="I54" s="92">
        <f>IF(T$49="Y",Aug!I64,0)</f>
        <v>0</v>
      </c>
      <c r="J54" s="92">
        <f>IF(T$49="Y",Aug!J64,0)</f>
        <v>0</v>
      </c>
      <c r="K54" s="92">
        <f>IF(T$49="Y",Aug!K64,I54*J54)</f>
        <v>0</v>
      </c>
      <c r="L54" s="111">
        <f>IF(T$49="Y",Aug!L64,0)</f>
        <v>0</v>
      </c>
      <c r="M54" s="100" t="str">
        <f>IF(E54=" "," ",IF(T$49="Y",Aug!M64,IF((H54+K54+L54)&gt;0,H54+K54+L54,"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IF(Employee!H$113=E$49,Employee!D$112+SUM(M54)+Aug!V64,SUM(M54)+Aug!V64)</f>
        <v>0</v>
      </c>
      <c r="W54" s="49">
        <f>IF(Employee!H$113=E$49,Employee!D$113+SUM(N54)+Aug!W64,SUM(N54)+Aug!W64)</f>
        <v>0</v>
      </c>
      <c r="X54" s="49">
        <f>IF(O54=" ",Aug!X64,O54+Aug!X64)</f>
        <v>0</v>
      </c>
      <c r="Y54" s="49">
        <f>IF(P54=" ",Aug!Y64,P54+Aug!Y64)</f>
        <v>0</v>
      </c>
      <c r="Z54" s="49">
        <f>IF(Q54=" ",Aug!Z64,Q54+Aug!Z64)</f>
        <v>0</v>
      </c>
      <c r="AA54" s="49">
        <f>IF(R54=" ",Aug!AA64,R54+Aug!AA64)</f>
        <v>0</v>
      </c>
      <c r="AC54" s="49">
        <f>IF(T54=" ",Aug!AC64,T54+Aug!AC64)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IF(T$49="Y",Aug!H65,0)</f>
        <v>0</v>
      </c>
      <c r="I55" s="245">
        <f>IF(T$49="Y",Aug!I65,0)</f>
        <v>0</v>
      </c>
      <c r="J55" s="245">
        <f>IF(T$49="Y",Aug!J65,0)</f>
        <v>0</v>
      </c>
      <c r="K55" s="245">
        <f>IF(T$49="Y",Aug!K65,I55*J55)</f>
        <v>0</v>
      </c>
      <c r="L55" s="246">
        <f>IF(T$49="Y",Aug!L65,0)</f>
        <v>0</v>
      </c>
      <c r="M55" s="100" t="str">
        <f>IF(E55=" "," ",IF(T$49="Y",Aug!M65,IF((H55+K55+L55)&gt;0,H55+K55+L55,"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IF(Employee!H$139=E$49,Employee!D$138+SUM(M55)+Aug!V65,SUM(M55)+Aug!V65)</f>
        <v>0</v>
      </c>
      <c r="W55" s="49">
        <f>IF(Employee!H$139=E$49,Employee!D$139+SUM(N55)+Aug!W65,SUM(N55)+Aug!W65)</f>
        <v>0</v>
      </c>
      <c r="X55" s="49">
        <f>IF(O55=" ",Aug!X65,O55+Aug!X65)</f>
        <v>0</v>
      </c>
      <c r="Y55" s="49">
        <f>IF(P55=" ",Aug!Y65,P55+Aug!Y65)</f>
        <v>0</v>
      </c>
      <c r="Z55" s="49">
        <f>IF(Q55=" ",Aug!Z65,Q55+Aug!Z65)</f>
        <v>0</v>
      </c>
      <c r="AA55" s="49">
        <f>IF(R55=" ",Aug!AA65,R55+Aug!AA65)</f>
        <v>0</v>
      </c>
      <c r="AC55" s="49">
        <f>IF(T55=" ",Aug!AC65,T55+Aug!AC65)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AD60+Aug!AD75</f>
        <v>0</v>
      </c>
      <c r="AE65" s="158">
        <f>AE60+Aug!AE75</f>
        <v>0</v>
      </c>
      <c r="AF65" s="158">
        <f>AF60+Aug!AF75</f>
        <v>0</v>
      </c>
      <c r="AG65" s="158">
        <f>AG60+Aug!AG75</f>
        <v>0</v>
      </c>
    </row>
    <row r="66" spans="6:33" ht="14" thickTop="1" x14ac:dyDescent="0.15"/>
    <row r="67" spans="6:33" x14ac:dyDescent="0.15">
      <c r="AD67" s="162"/>
      <c r="AE67" s="158">
        <f>AE62+Aug!AE77</f>
        <v>0</v>
      </c>
      <c r="AF67" s="158">
        <f>AF62+Aug!AF77</f>
        <v>0</v>
      </c>
      <c r="AG67" s="158">
        <f>AG62+Aug!AG77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45230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99" t="str">
        <f>IF(E11=" "," ",IF(T$9="Y",Sep!M41,IF((H11+K11+L11)&gt;0,H11+K11+L11,"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00" t="str">
        <f>IF(E12=" "," ",IF(T$9="Y",Sep!M42,IF((H12+K12+L12)&gt;0,H12+K12+L12,"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00" t="str">
        <f>IF(E13=" "," ",IF(T$9="Y",Sep!M43,IF((H13+K13+L13)&gt;0,H13+K13+L13,"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00" t="str">
        <f>IF(E14=" "," ",IF(T$9="Y",Sep!M44,IF((H14+K14+L14)&gt;0,H14+K14+L14,"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247" t="str">
        <f>IF(E15=" "," ",IF(T$9="Y",Sep!M45,IF((H15+K15+L15)&gt;0,H15+K15+L15,"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45231</v>
      </c>
      <c r="L49" s="203" t="s">
        <v>76</v>
      </c>
      <c r="M49" s="205">
        <f>Admin!B240</f>
        <v>45260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IF(T$49="Y",Sep!H51,0)</f>
        <v>0</v>
      </c>
      <c r="I51" s="89">
        <f>IF(T$49="Y",Sep!I51,0)</f>
        <v>0</v>
      </c>
      <c r="J51" s="89">
        <f>IF(T$49="Y",Sep!J51,0)</f>
        <v>0</v>
      </c>
      <c r="K51" s="89">
        <f>IF(T$49="Y",Sep!K51,I51*J51)</f>
        <v>0</v>
      </c>
      <c r="L51" s="110">
        <f>IF(T$49="Y",Sep!L51,0)</f>
        <v>0</v>
      </c>
      <c r="M51" s="99" t="str">
        <f>IF(E51=" "," ",IF(T$49="Y",Sep!M51,IF((H51+K51+L51)&gt;0,H51+K51+L51,"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IF(Employee!H$35=E$49,Employee!D$34+SUM(M51)+Sep!V51,SUM(M51)+Sep!V51)</f>
        <v>0</v>
      </c>
      <c r="W51" s="49">
        <f>IF(Employee!H$35=E$49,Employee!D$35+SUM(N51)+Sep!W51,SUM(N51)+Sep!W51)</f>
        <v>0</v>
      </c>
      <c r="X51" s="49">
        <f>IF(O51=" ",Sep!X51,O51+Sep!X51)</f>
        <v>0</v>
      </c>
      <c r="Y51" s="49">
        <f>IF(P51=" ",Sep!Y51,P51+Sep!Y51)</f>
        <v>0</v>
      </c>
      <c r="Z51" s="49">
        <f>IF(Q51=" ",Sep!Z51,Q51+Sep!Z51)</f>
        <v>0</v>
      </c>
      <c r="AA51" s="49">
        <f>IF(R51=" ",Sep!AA51,R51+Sep!AA51)</f>
        <v>0</v>
      </c>
      <c r="AC51" s="49">
        <f>IF(T51=" ",Sep!AC51,T51+Sep!AC51)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IF(T$49="Y",Sep!H52,0)</f>
        <v>0</v>
      </c>
      <c r="I52" s="92">
        <f>IF(T$49="Y",Sep!I52,0)</f>
        <v>0</v>
      </c>
      <c r="J52" s="92">
        <f>IF(T$49="Y",Sep!J52,0)</f>
        <v>0</v>
      </c>
      <c r="K52" s="92">
        <f>IF(T$49="Y",Sep!K52,I52*J52)</f>
        <v>0</v>
      </c>
      <c r="L52" s="111">
        <f>IF(T$49="Y",Sep!L52,0)</f>
        <v>0</v>
      </c>
      <c r="M52" s="100" t="str">
        <f>IF(E52=" "," ",IF(T$49="Y",Sep!M52,IF((H52+K52+L52)&gt;0,H52+K52+L52,"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IF(Employee!H$61=E$49,Employee!D$60+SUM(M52)+Sep!V52,SUM(M52)+Sep!V52)</f>
        <v>0</v>
      </c>
      <c r="W52" s="49">
        <f>IF(Employee!H$61=E$49,Employee!D$61+SUM(N52)+Sep!W52,SUM(N52)+Sep!W52)</f>
        <v>0</v>
      </c>
      <c r="X52" s="49">
        <f>IF(O52=" ",Sep!X52,O52+Sep!X52)</f>
        <v>0</v>
      </c>
      <c r="Y52" s="49">
        <f>IF(P52=" ",Sep!Y52,P52+Sep!Y52)</f>
        <v>0</v>
      </c>
      <c r="Z52" s="49">
        <f>IF(Q52=" ",Sep!Z52,Q52+Sep!Z52)</f>
        <v>0</v>
      </c>
      <c r="AA52" s="49">
        <f>IF(R52=" ",Sep!AA52,R52+Sep!AA52)</f>
        <v>0</v>
      </c>
      <c r="AC52" s="49">
        <f>IF(T52=" ",Sep!AC52,T52+Sep!AC52)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IF(T$49="Y",Sep!H53,0)</f>
        <v>0</v>
      </c>
      <c r="I53" s="92">
        <f>IF(T$49="Y",Sep!I53,0)</f>
        <v>0</v>
      </c>
      <c r="J53" s="92">
        <f>IF(T$49="Y",Sep!J53,0)</f>
        <v>0</v>
      </c>
      <c r="K53" s="92">
        <f>IF(T$49="Y",Sep!K53,I53*J53)</f>
        <v>0</v>
      </c>
      <c r="L53" s="111">
        <f>IF(T$49="Y",Sep!L53,0)</f>
        <v>0</v>
      </c>
      <c r="M53" s="100" t="str">
        <f>IF(E53=" "," ",IF(T$49="Y",Sep!M53,IF((H53+K53+L53)&gt;0,H53+K53+L53,"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IF(Employee!H$87=E$49,Employee!D$86+SUM(M53)+Sep!V53,SUM(M53)+Sep!V53)</f>
        <v>0</v>
      </c>
      <c r="W53" s="49">
        <f>IF(Employee!H$87=E$49,Employee!D$87+SUM(N53)+Sep!W53,SUM(N53)+Sep!W53)</f>
        <v>0</v>
      </c>
      <c r="X53" s="49">
        <f>IF(O53=" ",Sep!X53,O53+Sep!X53)</f>
        <v>0</v>
      </c>
      <c r="Y53" s="49">
        <f>IF(P53=" ",Sep!Y53,P53+Sep!Y53)</f>
        <v>0</v>
      </c>
      <c r="Z53" s="49">
        <f>IF(Q53=" ",Sep!Z53,Q53+Sep!Z53)</f>
        <v>0</v>
      </c>
      <c r="AA53" s="49">
        <f>IF(R53=" ",Sep!AA53,R53+Sep!AA53)</f>
        <v>0</v>
      </c>
      <c r="AC53" s="49">
        <f>IF(T53=" ",Sep!AC53,T53+Sep!AC53)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IF(T$49="Y",Sep!H54,0)</f>
        <v>0</v>
      </c>
      <c r="I54" s="92">
        <f>IF(T$49="Y",Sep!I54,0)</f>
        <v>0</v>
      </c>
      <c r="J54" s="92">
        <f>IF(T$49="Y",Sep!J54,0)</f>
        <v>0</v>
      </c>
      <c r="K54" s="92">
        <f>IF(T$49="Y",Sep!K54,I54*J54)</f>
        <v>0</v>
      </c>
      <c r="L54" s="111">
        <f>IF(T$49="Y",Sep!L54,0)</f>
        <v>0</v>
      </c>
      <c r="M54" s="100" t="str">
        <f>IF(E54=" "," ",IF(T$49="Y",Sep!M54,IF((H54+K54+L54)&gt;0,H54+K54+L54,"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IF(Employee!H$113=E$49,Employee!D$112+SUM(M54)+Sep!V54,SUM(M54)+Sep!V54)</f>
        <v>0</v>
      </c>
      <c r="W54" s="49">
        <f>IF(Employee!H$113=E$49,Employee!D$113+SUM(N54)+Sep!W54,SUM(N54)+Sep!W54)</f>
        <v>0</v>
      </c>
      <c r="X54" s="49">
        <f>IF(O54=" ",Sep!X54,O54+Sep!X54)</f>
        <v>0</v>
      </c>
      <c r="Y54" s="49">
        <f>IF(P54=" ",Sep!Y54,P54+Sep!Y54)</f>
        <v>0</v>
      </c>
      <c r="Z54" s="49">
        <f>IF(Q54=" ",Sep!Z54,Q54+Sep!Z54)</f>
        <v>0</v>
      </c>
      <c r="AA54" s="49">
        <f>IF(R54=" ",Sep!AA54,R54+Sep!AA54)</f>
        <v>0</v>
      </c>
      <c r="AC54" s="49">
        <f>IF(T54=" ",Sep!AC54,T54+Sep!AC54)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IF(T$49="Y",Sep!H55,0)</f>
        <v>0</v>
      </c>
      <c r="I55" s="245">
        <f>IF(T$49="Y",Sep!I55,0)</f>
        <v>0</v>
      </c>
      <c r="J55" s="245">
        <f>IF(T$49="Y",Sep!J55,0)</f>
        <v>0</v>
      </c>
      <c r="K55" s="245">
        <f>IF(T$49="Y",Sep!K55,I55*J55)</f>
        <v>0</v>
      </c>
      <c r="L55" s="246">
        <f>IF(T$49="Y",Sep!L55,0)</f>
        <v>0</v>
      </c>
      <c r="M55" s="100" t="str">
        <f>IF(E55=" "," ",IF(T$49="Y",Sep!M55,IF((H55+K55+L55)&gt;0,H55+K55+L55,"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IF(Employee!H$139=E$49,Employee!D$138+SUM(M55)+Sep!V55,SUM(M55)+Sep!V55)</f>
        <v>0</v>
      </c>
      <c r="W55" s="49">
        <f>IF(Employee!H$139=E$49,Employee!D$139+SUM(N55)+Sep!W55,SUM(N55)+Sep!W55)</f>
        <v>0</v>
      </c>
      <c r="X55" s="49">
        <f>IF(O55=" ",Sep!X55,O55+Sep!X55)</f>
        <v>0</v>
      </c>
      <c r="Y55" s="49">
        <f>IF(P55=" ",Sep!Y55,P55+Sep!Y55)</f>
        <v>0</v>
      </c>
      <c r="Z55" s="49">
        <f>IF(Q55=" ",Sep!Z55,Q55+Sep!Z55)</f>
        <v>0</v>
      </c>
      <c r="AA55" s="49">
        <f>IF(R55=" ",Sep!AA55,R55+Sep!AA55)</f>
        <v>0</v>
      </c>
      <c r="AC55" s="49">
        <f>IF(T55=" ",Sep!AC55,T55+Sep!AC55)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AD60+Sep!AD65</f>
        <v>0</v>
      </c>
      <c r="AE65" s="158">
        <f>AE60+Sep!AE65</f>
        <v>0</v>
      </c>
      <c r="AF65" s="158">
        <f>AF60+Sep!AF65</f>
        <v>0</v>
      </c>
      <c r="AG65" s="158">
        <f>AG60+Sep!AG65</f>
        <v>0</v>
      </c>
    </row>
    <row r="66" spans="6:33" ht="14" thickTop="1" x14ac:dyDescent="0.15"/>
    <row r="67" spans="6:33" x14ac:dyDescent="0.15">
      <c r="AD67" s="162"/>
      <c r="AE67" s="158">
        <f>AE62+Sep!AE67</f>
        <v>0</v>
      </c>
      <c r="AF67" s="158">
        <f>AF62+Sep!AF67</f>
        <v>0</v>
      </c>
      <c r="AG67" s="158">
        <f>AG62+Sep!AG67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Oct!M39+1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45261</v>
      </c>
      <c r="L59" s="203" t="s">
        <v>76</v>
      </c>
      <c r="M59" s="205">
        <f>Admin!B271</f>
        <v>45291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IF(T$59="Y",Oct!H51,0)</f>
        <v>0</v>
      </c>
      <c r="I61" s="89">
        <f>IF(T$59="Y",Oct!I51,0)</f>
        <v>0</v>
      </c>
      <c r="J61" s="89">
        <f>IF(T$59="Y",Oct!J51,0)</f>
        <v>0</v>
      </c>
      <c r="K61" s="89">
        <f>IF(T$59="Y",Oct!K51,I61*J61)</f>
        <v>0</v>
      </c>
      <c r="L61" s="110">
        <f>IF(T$59="Y",Oct!L51,0)</f>
        <v>0</v>
      </c>
      <c r="M61" s="99" t="str">
        <f>IF(E61=" "," ",IF(T$59="Y",Oct!M51,IF((H61+K61+L61)&gt;0,H61+K61+L61,"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IF(Employee!H$35=E$59,Employee!D$34+SUM(M61)+Oct!V51,SUM(M61)+Oct!V51)</f>
        <v>0</v>
      </c>
      <c r="W61" s="49">
        <f>IF(Employee!H$35=E$59,Employee!D$35+SUM(N61)+Oct!W51,SUM(N61)+Oct!W51)</f>
        <v>0</v>
      </c>
      <c r="X61" s="49">
        <f>IF(O61=" ",Oct!X51,O61+Oct!X51)</f>
        <v>0</v>
      </c>
      <c r="Y61" s="49">
        <f>IF(P61=" ",Oct!Y51,P61+Oct!Y51)</f>
        <v>0</v>
      </c>
      <c r="Z61" s="49">
        <f>IF(Q61=" ",Oct!Z51,Q61+Oct!Z51)</f>
        <v>0</v>
      </c>
      <c r="AA61" s="49">
        <f>IF(R61=" ",Oct!AA51,R61+Oct!AA51)</f>
        <v>0</v>
      </c>
      <c r="AC61" s="49">
        <f>IF(T61=" ",Oct!AC51,T61+Oct!AC51)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IF(T$59="Y",Oct!H52,0)</f>
        <v>0</v>
      </c>
      <c r="I62" s="92">
        <f>IF(T$59="Y",Oct!I52,0)</f>
        <v>0</v>
      </c>
      <c r="J62" s="92">
        <f>IF(T$59="Y",Oct!J52,0)</f>
        <v>0</v>
      </c>
      <c r="K62" s="92">
        <f>IF(T$59="Y",Oct!K52,I62*J62)</f>
        <v>0</v>
      </c>
      <c r="L62" s="111">
        <f>IF(T$59="Y",Oct!L52,0)</f>
        <v>0</v>
      </c>
      <c r="M62" s="100" t="str">
        <f>IF(E62=" "," ",IF(T$59="Y",Oct!M52,IF((H62+K62+L62)&gt;0,H62+K62+L62,"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IF(Employee!H$61=E$59,Employee!D$60+SUM(M62)+Oct!V52,SUM(M62)+Oct!V52)</f>
        <v>0</v>
      </c>
      <c r="W62" s="49">
        <f>IF(Employee!H$61=E$59,Employee!D$61+SUM(N62)+Oct!W52,SUM(N62)+Oct!W52)</f>
        <v>0</v>
      </c>
      <c r="X62" s="49">
        <f>IF(O62=" ",Oct!X52,O62+Oct!X52)</f>
        <v>0</v>
      </c>
      <c r="Y62" s="49">
        <f>IF(P62=" ",Oct!Y52,P62+Oct!Y52)</f>
        <v>0</v>
      </c>
      <c r="Z62" s="49">
        <f>IF(Q62=" ",Oct!Z52,Q62+Oct!Z52)</f>
        <v>0</v>
      </c>
      <c r="AA62" s="49">
        <f>IF(R62=" ",Oct!AA52,R62+Oct!AA52)</f>
        <v>0</v>
      </c>
      <c r="AC62" s="49">
        <f>IF(T62=" ",Oct!AC52,T62+Oct!AC52)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IF(T$59="Y",Oct!H53,0)</f>
        <v>0</v>
      </c>
      <c r="I63" s="92">
        <f>IF(T$59="Y",Oct!I53,0)</f>
        <v>0</v>
      </c>
      <c r="J63" s="92">
        <f>IF(T$59="Y",Oct!J53,0)</f>
        <v>0</v>
      </c>
      <c r="K63" s="92">
        <f>IF(T$59="Y",Oct!K53,I63*J63)</f>
        <v>0</v>
      </c>
      <c r="L63" s="111">
        <f>IF(T$59="Y",Oct!L53,0)</f>
        <v>0</v>
      </c>
      <c r="M63" s="100" t="str">
        <f>IF(E63=" "," ",IF(T$59="Y",Oct!M53,IF((H63+K63+L63)&gt;0,H63+K63+L63,"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IF(Employee!H$87=E$59,Employee!D$86+SUM(M63)+Oct!V53,SUM(M63)+Oct!V53)</f>
        <v>0</v>
      </c>
      <c r="W63" s="49">
        <f>IF(Employee!H$87=E$59,Employee!D$87+SUM(N63)+Oct!W53,SUM(N63)+Oct!W53)</f>
        <v>0</v>
      </c>
      <c r="X63" s="49">
        <f>IF(O63=" ",Oct!X53,O63+Oct!X53)</f>
        <v>0</v>
      </c>
      <c r="Y63" s="49">
        <f>IF(P63=" ",Oct!Y53,P63+Oct!Y53)</f>
        <v>0</v>
      </c>
      <c r="Z63" s="49">
        <f>IF(Q63=" ",Oct!Z53,Q63+Oct!Z53)</f>
        <v>0</v>
      </c>
      <c r="AA63" s="49">
        <f>IF(R63=" ",Oct!AA53,R63+Oct!AA53)</f>
        <v>0</v>
      </c>
      <c r="AC63" s="49">
        <f>IF(T63=" ",Oct!AC53,T63+Oct!AC53)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IF(T$59="Y",Oct!H54,0)</f>
        <v>0</v>
      </c>
      <c r="I64" s="92">
        <f>IF(T$59="Y",Oct!I54,0)</f>
        <v>0</v>
      </c>
      <c r="J64" s="92">
        <f>IF(T$59="Y",Oct!J54,0)</f>
        <v>0</v>
      </c>
      <c r="K64" s="92">
        <f>IF(T$59="Y",Oct!K54,I64*J64)</f>
        <v>0</v>
      </c>
      <c r="L64" s="111">
        <f>IF(T$59="Y",Oct!L54,0)</f>
        <v>0</v>
      </c>
      <c r="M64" s="100" t="str">
        <f>IF(E64=" "," ",IF(T$59="Y",Oct!M54,IF((H64+K64+L64)&gt;0,H64+K64+L64,"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IF(Employee!H$113=E$59,Employee!D$112+SUM(M64)+Oct!V54,SUM(M64)+Oct!V54)</f>
        <v>0</v>
      </c>
      <c r="W64" s="49">
        <f>IF(Employee!H$113=E$59,Employee!D$113+SUM(N64)+Oct!W54,SUM(N64)+Oct!W54)</f>
        <v>0</v>
      </c>
      <c r="X64" s="49">
        <f>IF(O64=" ",Oct!X54,O64+Oct!X54)</f>
        <v>0</v>
      </c>
      <c r="Y64" s="49">
        <f>IF(P64=" ",Oct!Y54,P64+Oct!Y54)</f>
        <v>0</v>
      </c>
      <c r="Z64" s="49">
        <f>IF(Q64=" ",Oct!Z54,Q64+Oct!Z54)</f>
        <v>0</v>
      </c>
      <c r="AA64" s="49">
        <f>IF(R64=" ",Oct!AA54,R64+Oct!AA54)</f>
        <v>0</v>
      </c>
      <c r="AC64" s="49">
        <f>IF(T64=" ",Oct!AC54,T64+Oct!AC54)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IF(T$59="Y",Oct!H55,0)</f>
        <v>0</v>
      </c>
      <c r="I65" s="245">
        <f>IF(T$59="Y",Oct!I55,0)</f>
        <v>0</v>
      </c>
      <c r="J65" s="245">
        <f>IF(T$59="Y",Oct!J55,0)</f>
        <v>0</v>
      </c>
      <c r="K65" s="245">
        <f>IF(T$59="Y",Oct!K55,I65*J65)</f>
        <v>0</v>
      </c>
      <c r="L65" s="246">
        <f>IF(T$59="Y",Oct!L55,0)</f>
        <v>0</v>
      </c>
      <c r="M65" s="100" t="str">
        <f>IF(E65=" "," ",IF(T$59="Y",Oct!M55,IF((H65+K65+L65)&gt;0,H65+K65+L65,"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IF(Employee!H$139=E$59,Employee!D$138+SUM(M65)+Oct!V55,SUM(M65)+Oct!V55)</f>
        <v>0</v>
      </c>
      <c r="W65" s="49">
        <f>IF(Employee!H$139=E$59,Employee!D$139+SUM(N65)+Oct!W55,SUM(N65)+Oct!W55)</f>
        <v>0</v>
      </c>
      <c r="X65" s="49">
        <f>IF(O65=" ",Oct!X55,O65+Oct!X55)</f>
        <v>0</v>
      </c>
      <c r="Y65" s="49">
        <f>IF(P65=" ",Oct!Y55,P65+Oct!Y55)</f>
        <v>0</v>
      </c>
      <c r="Z65" s="49">
        <f>IF(Q65=" ",Oct!Z55,Q65+Oct!Z55)</f>
        <v>0</v>
      </c>
      <c r="AA65" s="49">
        <f>IF(R65=" ",Oct!AA55,R65+Oct!AA55)</f>
        <v>0</v>
      </c>
      <c r="AC65" s="49">
        <f>IF(T65=" ",Oct!AC55,T65+Oct!AC55)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AD70+Oct!AD65</f>
        <v>0</v>
      </c>
      <c r="AE75" s="158">
        <f>AE70+Oct!AE65</f>
        <v>0</v>
      </c>
      <c r="AF75" s="158">
        <f>AF70+Oct!AF65</f>
        <v>0</v>
      </c>
      <c r="AG75" s="158">
        <f>AG70+Oct!AG65</f>
        <v>0</v>
      </c>
    </row>
    <row r="76" spans="1:34" ht="14" thickTop="1" x14ac:dyDescent="0.15"/>
    <row r="77" spans="1:34" x14ac:dyDescent="0.15">
      <c r="AD77" s="162"/>
      <c r="AE77" s="158">
        <f>AE72+Oct!AE67</f>
        <v>0</v>
      </c>
      <c r="AF77" s="158">
        <f>AF72+Oct!AF67</f>
        <v>0</v>
      </c>
      <c r="AG77" s="158">
        <f>AG72+Oct!AG67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Nov!M49+1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IF(T$9="Y",Nov!H51,0)</f>
        <v>0</v>
      </c>
      <c r="I11" s="89">
        <f>IF(T$9="Y",Nov!I51,0)</f>
        <v>0</v>
      </c>
      <c r="J11" s="89">
        <f>IF(T$9="Y",Nov!J51,0)</f>
        <v>0</v>
      </c>
      <c r="K11" s="89">
        <f>IF(T$9="Y",Nov!K51,I11*J11)</f>
        <v>0</v>
      </c>
      <c r="L11" s="110">
        <f>IF(T$9="Y",Nov!L51,0)</f>
        <v>0</v>
      </c>
      <c r="M11" s="110" t="str">
        <f>IF(E11=" "," ",IF(T$9="Y",Nov!M51,IF((H11+K11+L11)&gt;0,H11+K11+L11,"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IF(Employee!H$34=E$9,Employee!D$34+SUM(M11)+Nov!V51,SUM(M11)+Nov!V51)</f>
        <v>0</v>
      </c>
      <c r="W11" s="49">
        <f>IF(Employee!H$34=E$9,Employee!D$35+SUM(N11)+Nov!W51,SUM(N11)+Nov!W51)</f>
        <v>0</v>
      </c>
      <c r="X11" s="49">
        <f>IF(O11=" ",Nov!X51,O11+Nov!X51)</f>
        <v>0</v>
      </c>
      <c r="Y11" s="49">
        <f>IF(P11=" ",Nov!Y51,P11+Nov!Y51)</f>
        <v>0</v>
      </c>
      <c r="Z11" s="49">
        <f>IF(Q11=" ",Nov!Z51,Q11+Nov!Z51)</f>
        <v>0</v>
      </c>
      <c r="AA11" s="49">
        <f>IF(R11=" ",Nov!AA51,R11+Nov!AA51)</f>
        <v>0</v>
      </c>
      <c r="AC11" s="49">
        <f>IF(T11=" ",Nov!AC51,T11+Nov!AC51)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IF(T$9="Y",Nov!H52,0)</f>
        <v>0</v>
      </c>
      <c r="I12" s="92">
        <f>IF(T$9="Y",Nov!I52,0)</f>
        <v>0</v>
      </c>
      <c r="J12" s="92">
        <f>IF(T$9="Y",Nov!J52,0)</f>
        <v>0</v>
      </c>
      <c r="K12" s="92">
        <f>IF(T$9="Y",Nov!K52,I12*J12)</f>
        <v>0</v>
      </c>
      <c r="L12" s="111">
        <f>IF(T$9="Y",Nov!L52,0)</f>
        <v>0</v>
      </c>
      <c r="M12" s="111" t="str">
        <f>IF(E12=" "," ",IF(T$9="Y",Nov!M52,IF((H12+K12+L12)&gt;0,H12+K12+L12,"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IF(Employee!H$60=E$9,Employee!D$60+SUM(M12)+Nov!V52,SUM(M12)+Nov!V52)</f>
        <v>0</v>
      </c>
      <c r="W12" s="49">
        <f>IF(Employee!H$60=E$9,Employee!D$61+SUM(N12)+Nov!W52,SUM(N12)+Nov!W52)</f>
        <v>0</v>
      </c>
      <c r="X12" s="49">
        <f>IF(O12=" ",Nov!X52,O12+Nov!X52)</f>
        <v>0</v>
      </c>
      <c r="Y12" s="49">
        <f>IF(P12=" ",Nov!Y52,P12+Nov!Y52)</f>
        <v>0</v>
      </c>
      <c r="Z12" s="49">
        <f>IF(Q12=" ",Nov!Z52,Q12+Nov!Z52)</f>
        <v>0</v>
      </c>
      <c r="AA12" s="49">
        <f>IF(R12=" ",Nov!AA52,R12+Nov!AA52)</f>
        <v>0</v>
      </c>
      <c r="AC12" s="49">
        <f>IF(T12=" ",Nov!AC52,T12+Nov!AC52)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IF(T$9="Y",Nov!H53,0)</f>
        <v>0</v>
      </c>
      <c r="I13" s="92">
        <f>IF(T$9="Y",Nov!I53,0)</f>
        <v>0</v>
      </c>
      <c r="J13" s="92">
        <f>IF(T$9="Y",Nov!J53,0)</f>
        <v>0</v>
      </c>
      <c r="K13" s="92">
        <f>IF(T$9="Y",Nov!K53,I13*J13)</f>
        <v>0</v>
      </c>
      <c r="L13" s="111">
        <f>IF(T$9="Y",Nov!L53,0)</f>
        <v>0</v>
      </c>
      <c r="M13" s="111" t="str">
        <f>IF(E13=" "," ",IF(T$9="Y",Nov!M53,IF((H13+K13+L13)&gt;0,H13+K13+L13,"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IF(Employee!H$86=E$9,Employee!D$86+SUM(M13)+Nov!V53,SUM(M13)+Nov!V53)</f>
        <v>0</v>
      </c>
      <c r="W13" s="49">
        <f>IF(Employee!H$86=E$9,Employee!D$87+SUM(N13)+Nov!W53,SUM(N13)+Nov!W53)</f>
        <v>0</v>
      </c>
      <c r="X13" s="49">
        <f>IF(O13=" ",Nov!X53,O13+Nov!X53)</f>
        <v>0</v>
      </c>
      <c r="Y13" s="49">
        <f>IF(P13=" ",Nov!Y53,P13+Nov!Y53)</f>
        <v>0</v>
      </c>
      <c r="Z13" s="49">
        <f>IF(Q13=" ",Nov!Z53,Q13+Nov!Z53)</f>
        <v>0</v>
      </c>
      <c r="AA13" s="49">
        <f>IF(R13=" ",Nov!AA53,R13+Nov!AA53)</f>
        <v>0</v>
      </c>
      <c r="AC13" s="49">
        <f>IF(T13=" ",Nov!AC53,T13+Nov!AC53)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IF(T$9="Y",Nov!H54,0)</f>
        <v>0</v>
      </c>
      <c r="I14" s="92">
        <f>IF(T$9="Y",Nov!I54,0)</f>
        <v>0</v>
      </c>
      <c r="J14" s="92">
        <f>IF(T$9="Y",Nov!J54,0)</f>
        <v>0</v>
      </c>
      <c r="K14" s="92">
        <f>IF(T$9="Y",Nov!K54,I14*J14)</f>
        <v>0</v>
      </c>
      <c r="L14" s="111">
        <f>IF(T$9="Y",Nov!L54,0)</f>
        <v>0</v>
      </c>
      <c r="M14" s="111" t="str">
        <f>IF(E14=" "," ",IF(T$9="Y",Nov!M54,IF((H14+K14+L14)&gt;0,H14+K14+L14,"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IF(Employee!H$112=E$9,Employee!D$112+SUM(M14)+Nov!V54,SUM(M14)+Nov!V54)</f>
        <v>0</v>
      </c>
      <c r="W14" s="49">
        <f>IF(Employee!H$112=E$9,Employee!D$113+SUM(N14)+Nov!W54,SUM(N14)+Nov!W54)</f>
        <v>0</v>
      </c>
      <c r="X14" s="49">
        <f>IF(O14=" ",Nov!X54,O14+Nov!X54)</f>
        <v>0</v>
      </c>
      <c r="Y14" s="49">
        <f>IF(P14=" ",Nov!Y54,P14+Nov!Y54)</f>
        <v>0</v>
      </c>
      <c r="Z14" s="49">
        <f>IF(Q14=" ",Nov!Z54,Q14+Nov!Z54)</f>
        <v>0</v>
      </c>
      <c r="AA14" s="49">
        <f>IF(R14=" ",Nov!AA54,R14+Nov!AA54)</f>
        <v>0</v>
      </c>
      <c r="AC14" s="49">
        <f>IF(T14=" ",Nov!AC54,T14+Nov!AC54)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IF(T$9="Y",Nov!H55,0)</f>
        <v>0</v>
      </c>
      <c r="I15" s="245">
        <f>IF(T$9="Y",Nov!I55,0)</f>
        <v>0</v>
      </c>
      <c r="J15" s="245">
        <f>IF(T$9="Y",Nov!J55,0)</f>
        <v>0</v>
      </c>
      <c r="K15" s="245">
        <f>IF(T$9="Y",Nov!K55,I15*J15)</f>
        <v>0</v>
      </c>
      <c r="L15" s="246">
        <f>IF(T$9="Y",Nov!L55,0)</f>
        <v>0</v>
      </c>
      <c r="M15" s="111" t="str">
        <f>IF(E15=" "," ",IF(T$9="Y",Nov!M55,IF((H15+K15+L15)&gt;0,H15+K15+L15,"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IF(Employee!H$138=E$9,Employee!D$138+SUM(M15)+Nov!V55,SUM(M15)+Nov!V55)</f>
        <v>0</v>
      </c>
      <c r="W15" s="49">
        <f>IF(Employee!H$138=E$9,Employee!D$139+SUM(N15)+Nov!W55,SUM(N15)+Nov!W55)</f>
        <v>0</v>
      </c>
      <c r="X15" s="49">
        <f>IF(O15=" ",Nov!X55,O15+Nov!X55)</f>
        <v>0</v>
      </c>
      <c r="Y15" s="49">
        <f>IF(P15=" ",Nov!Y55,P15+Nov!Y55)</f>
        <v>0</v>
      </c>
      <c r="Z15" s="49">
        <f>IF(Q15=" ",Nov!Z55,Q15+Nov!Z55)</f>
        <v>0</v>
      </c>
      <c r="AA15" s="49">
        <f>IF(R15=" ",Nov!AA55,R15+Nov!AA55)</f>
        <v>0</v>
      </c>
      <c r="AC15" s="49">
        <f>IF(T15=" ",Nov!AC55,T15+Nov!AC55)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45292</v>
      </c>
      <c r="L49" s="203" t="s">
        <v>76</v>
      </c>
      <c r="M49" s="205">
        <f>Admin!B302</f>
        <v>45322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IF(T$49="Y",Nov!H61,0)</f>
        <v>0</v>
      </c>
      <c r="I51" s="89">
        <f>IF(T$49="Y",Nov!I61,0)</f>
        <v>0</v>
      </c>
      <c r="J51" s="89">
        <f>IF(T$49="Y",Nov!J61,0)</f>
        <v>0</v>
      </c>
      <c r="K51" s="89">
        <f>IF(T$49="Y",Nov!K61,I51*J51)</f>
        <v>0</v>
      </c>
      <c r="L51" s="110">
        <f>IF(T$49="Y",Nov!L61,0)</f>
        <v>0</v>
      </c>
      <c r="M51" s="99" t="str">
        <f>IF(E51=" "," ",IF(T$49="Y",Nov!M61,IF((H51+K51+L51)&gt;0,H51+K51+L51,"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IF(Employee!H$35=E$49,Employee!D$34+SUM(M51)+Nov!V61,SUM(M51)+Nov!V61)</f>
        <v>0</v>
      </c>
      <c r="W51" s="49">
        <f>IF(Employee!H$35=E$49,Employee!D$35+SUM(N51)+Nov!W61,SUM(N51)+Nov!W61)</f>
        <v>0</v>
      </c>
      <c r="X51" s="49">
        <f>IF(O51=" ",Nov!X61,O51+Nov!X61)</f>
        <v>0</v>
      </c>
      <c r="Y51" s="49">
        <f>IF(P51=" ",Nov!Y61,P51+Nov!Y61)</f>
        <v>0</v>
      </c>
      <c r="Z51" s="49">
        <f>IF(Q51=" ",Nov!Z61,Q51+Nov!Z61)</f>
        <v>0</v>
      </c>
      <c r="AA51" s="49">
        <f>IF(R51=" ",Nov!AA61,R51+Nov!AA61)</f>
        <v>0</v>
      </c>
      <c r="AC51" s="49">
        <f>IF(T51=" ",Nov!AC61,T51+Nov!AC61)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IF(T$49="Y",Nov!H62,0)</f>
        <v>0</v>
      </c>
      <c r="I52" s="92">
        <f>IF(T$49="Y",Nov!I62,0)</f>
        <v>0</v>
      </c>
      <c r="J52" s="92">
        <f>IF(T$49="Y",Nov!J62,0)</f>
        <v>0</v>
      </c>
      <c r="K52" s="92">
        <f>IF(T$49="Y",Nov!K62,I52*J52)</f>
        <v>0</v>
      </c>
      <c r="L52" s="111">
        <f>IF(T$49="Y",Nov!L62,0)</f>
        <v>0</v>
      </c>
      <c r="M52" s="100" t="str">
        <f>IF(E52=" "," ",IF(T$49="Y",Nov!M62,IF((H52+K52+L52)&gt;0,H52+K52+L52,"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IF(Employee!H$61=E$49,Employee!D$60+SUM(M52)+Nov!V62,SUM(M52)+Nov!V62)</f>
        <v>0</v>
      </c>
      <c r="W52" s="49">
        <f>IF(Employee!H$61=E$49,Employee!D$61+SUM(N52)+Nov!W62,SUM(N52)+Nov!W62)</f>
        <v>0</v>
      </c>
      <c r="X52" s="49">
        <f>IF(O52=" ",Nov!X62,O52+Nov!X62)</f>
        <v>0</v>
      </c>
      <c r="Y52" s="49">
        <f>IF(P52=" ",Nov!Y62,P52+Nov!Y62)</f>
        <v>0</v>
      </c>
      <c r="Z52" s="49">
        <f>IF(Q52=" ",Nov!Z62,Q52+Nov!Z62)</f>
        <v>0</v>
      </c>
      <c r="AA52" s="49">
        <f>IF(R52=" ",Nov!AA62,R52+Nov!AA62)</f>
        <v>0</v>
      </c>
      <c r="AC52" s="49">
        <f>IF(T52=" ",Nov!AC62,T52+Nov!AC62)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IF(T$49="Y",Nov!H63,0)</f>
        <v>0</v>
      </c>
      <c r="I53" s="92">
        <f>IF(T$49="Y",Nov!I63,0)</f>
        <v>0</v>
      </c>
      <c r="J53" s="92">
        <f>IF(T$49="Y",Nov!J63,0)</f>
        <v>0</v>
      </c>
      <c r="K53" s="92">
        <f>IF(T$49="Y",Nov!K63,I53*J53)</f>
        <v>0</v>
      </c>
      <c r="L53" s="111">
        <f>IF(T$49="Y",Nov!L63,0)</f>
        <v>0</v>
      </c>
      <c r="M53" s="100" t="str">
        <f>IF(E53=" "," ",IF(T$49="Y",Nov!M63,IF((H53+K53+L53)&gt;0,H53+K53+L53,"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IF(Employee!H$87=E$49,Employee!D$86+SUM(M53)+Nov!V63,SUM(M53)+Nov!V63)</f>
        <v>0</v>
      </c>
      <c r="W53" s="49">
        <f>IF(Employee!H$87=E$49,Employee!D$87+SUM(N53)+Nov!W63,SUM(N53)+Nov!W63)</f>
        <v>0</v>
      </c>
      <c r="X53" s="49">
        <f>IF(O53=" ",Nov!X63,O53+Nov!X63)</f>
        <v>0</v>
      </c>
      <c r="Y53" s="49">
        <f>IF(P53=" ",Nov!Y63,P53+Nov!Y63)</f>
        <v>0</v>
      </c>
      <c r="Z53" s="49">
        <f>IF(Q53=" ",Nov!Z63,Q53+Nov!Z63)</f>
        <v>0</v>
      </c>
      <c r="AA53" s="49">
        <f>IF(R53=" ",Nov!AA63,R53+Nov!AA63)</f>
        <v>0</v>
      </c>
      <c r="AC53" s="49">
        <f>IF(T53=" ",Nov!AC63,T53+Nov!AC63)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IF(T$49="Y",Nov!H64,0)</f>
        <v>0</v>
      </c>
      <c r="I54" s="92">
        <f>IF(T$49="Y",Nov!I64,0)</f>
        <v>0</v>
      </c>
      <c r="J54" s="92">
        <f>IF(T$49="Y",Nov!J64,0)</f>
        <v>0</v>
      </c>
      <c r="K54" s="92">
        <f>IF(T$49="Y",Nov!K64,I54*J54)</f>
        <v>0</v>
      </c>
      <c r="L54" s="111">
        <f>IF(T$49="Y",Nov!L64,0)</f>
        <v>0</v>
      </c>
      <c r="M54" s="100" t="str">
        <f>IF(E54=" "," ",IF(T$49="Y",Nov!M64,IF((H54+K54+L54)&gt;0,H54+K54+L54,"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IF(Employee!H$113=E$49,Employee!D$112+SUM(M54)+Nov!V64,SUM(M54)+Nov!V64)</f>
        <v>0</v>
      </c>
      <c r="W54" s="49">
        <f>IF(Employee!H$113=E$49,Employee!D$113+SUM(N54)+Nov!W64,SUM(N54)+Nov!W64)</f>
        <v>0</v>
      </c>
      <c r="X54" s="49">
        <f>IF(O54=" ",Nov!X64,O54+Nov!X64)</f>
        <v>0</v>
      </c>
      <c r="Y54" s="49">
        <f>IF(P54=" ",Nov!Y64,P54+Nov!Y64)</f>
        <v>0</v>
      </c>
      <c r="Z54" s="49">
        <f>IF(Q54=" ",Nov!Z64,Q54+Nov!Z64)</f>
        <v>0</v>
      </c>
      <c r="AA54" s="49">
        <f>IF(R54=" ",Nov!AA64,R54+Nov!AA64)</f>
        <v>0</v>
      </c>
      <c r="AC54" s="49">
        <f>IF(T54=" ",Nov!AC64,T54+Nov!AC64)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IF(T$49="Y",Nov!H65,0)</f>
        <v>0</v>
      </c>
      <c r="I55" s="245">
        <f>IF(T$49="Y",Nov!I65,0)</f>
        <v>0</v>
      </c>
      <c r="J55" s="245">
        <f>IF(T$49="Y",Nov!J65,0)</f>
        <v>0</v>
      </c>
      <c r="K55" s="245">
        <f>IF(T$49="Y",Nov!K65,I55*J55)</f>
        <v>0</v>
      </c>
      <c r="L55" s="246">
        <f>IF(T$49="Y",Nov!L65,0)</f>
        <v>0</v>
      </c>
      <c r="M55" s="100" t="str">
        <f>IF(E55=" "," ",IF(T$49="Y",Nov!M65,IF((H55+K55+L55)&gt;0,H55+K55+L55,"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IF(Employee!H$139=E$49,Employee!D$138+SUM(M55)+Nov!V65,SUM(M55)+Nov!V65)</f>
        <v>0</v>
      </c>
      <c r="W55" s="49">
        <f>IF(Employee!H$139=E$49,Employee!D$139+SUM(N55)+Nov!W65,SUM(N55)+Nov!W65)</f>
        <v>0</v>
      </c>
      <c r="X55" s="49">
        <f>IF(O55=" ",Nov!X65,O55+Nov!X65)</f>
        <v>0</v>
      </c>
      <c r="Y55" s="49">
        <f>IF(P55=" ",Nov!Y65,P55+Nov!Y65)</f>
        <v>0</v>
      </c>
      <c r="Z55" s="49">
        <f>IF(Q55=" ",Nov!Z65,Q55+Nov!Z65)</f>
        <v>0</v>
      </c>
      <c r="AA55" s="49">
        <f>IF(R55=" ",Nov!AA65,R55+Nov!AA65)</f>
        <v>0</v>
      </c>
      <c r="AC55" s="49">
        <f>IF(T55=" ",Nov!AC65,T55+Nov!AC65)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AD60+Nov!AD75</f>
        <v>0</v>
      </c>
      <c r="AE65" s="158">
        <f>AE60+Nov!AE75</f>
        <v>0</v>
      </c>
      <c r="AF65" s="158">
        <f>AF60+Nov!AF75</f>
        <v>0</v>
      </c>
      <c r="AG65" s="158">
        <f>AG60+Nov!AG75</f>
        <v>0</v>
      </c>
    </row>
    <row r="66" spans="6:33" ht="14" thickTop="1" x14ac:dyDescent="0.15"/>
    <row r="67" spans="6:33" x14ac:dyDescent="0.15">
      <c r="AD67" s="162"/>
      <c r="AE67" s="158">
        <f>AE62+Nov!AE77</f>
        <v>0</v>
      </c>
      <c r="AF67" s="158">
        <f>AF62+Nov!AF77</f>
        <v>0</v>
      </c>
      <c r="AG67" s="158">
        <f>AG62+Nov!AG77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Dec!M39+1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IF(T$19="Y",Dec!L45,0)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45323</v>
      </c>
      <c r="L49" s="203" t="s">
        <v>76</v>
      </c>
      <c r="M49" s="205">
        <f>Admin!B330</f>
        <v>45350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IF(T$49="Y",Dec!H51,0)</f>
        <v>0</v>
      </c>
      <c r="I51" s="89">
        <f>IF(T$49="Y",Dec!I51,0)</f>
        <v>0</v>
      </c>
      <c r="J51" s="89">
        <f>IF(T$49="Y",Dec!J51,0)</f>
        <v>0</v>
      </c>
      <c r="K51" s="89">
        <f>IF(T$49="Y",Dec!K51,I51*J51)</f>
        <v>0</v>
      </c>
      <c r="L51" s="110">
        <f>IF(T$49="Y",Dec!L51,0)</f>
        <v>0</v>
      </c>
      <c r="M51" s="99" t="str">
        <f>IF(E51=" "," ",IF(T$49="Y",Dec!M51,IF((H51+K51+L51)&gt;0,H51+K51+L51,"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IF(Employee!H$35=E$49,Employee!D$34+SUM(M51)+Dec!V51,SUM(M51)+Dec!V51)</f>
        <v>0</v>
      </c>
      <c r="W51" s="49">
        <f>IF(Employee!H$35=E$49,Employee!D$35+SUM(N51)+Dec!W51,SUM(N51)+Dec!W51)</f>
        <v>0</v>
      </c>
      <c r="X51" s="49">
        <f>IF(O51=" ",Dec!X51,O51+Dec!X51)</f>
        <v>0</v>
      </c>
      <c r="Y51" s="49">
        <f>IF(P51=" ",Dec!Y51,P51+Dec!Y51)</f>
        <v>0</v>
      </c>
      <c r="Z51" s="49">
        <f>IF(Q51=" ",Dec!Z51,Q51+Dec!Z51)</f>
        <v>0</v>
      </c>
      <c r="AA51" s="49">
        <f>IF(R51=" ",Dec!AA51,R51+Dec!AA51)</f>
        <v>0</v>
      </c>
      <c r="AC51" s="49">
        <f>IF(T51=" ",Dec!AC51,T51+Dec!AC51)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IF(T$49="Y",Dec!H52,0)</f>
        <v>0</v>
      </c>
      <c r="I52" s="92">
        <f>IF(T$49="Y",Dec!I52,0)</f>
        <v>0</v>
      </c>
      <c r="J52" s="92">
        <f>IF(T$49="Y",Dec!J52,0)</f>
        <v>0</v>
      </c>
      <c r="K52" s="92">
        <f>IF(T$49="Y",Dec!K52,I52*J52)</f>
        <v>0</v>
      </c>
      <c r="L52" s="111">
        <f>IF(T$49="Y",Dec!L52,0)</f>
        <v>0</v>
      </c>
      <c r="M52" s="100" t="str">
        <f>IF(E52=" "," ",IF(T$49="Y",Dec!M52,IF((H52+K52+L52)&gt;0,H52+K52+L52,"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IF(Employee!H$61=E$49,Employee!D$60+SUM(M52)+Dec!V52,SUM(M52)+Dec!V52)</f>
        <v>0</v>
      </c>
      <c r="W52" s="49">
        <f>IF(Employee!H$61=E$49,Employee!D$61+SUM(N52)+Dec!W52,SUM(N52)+Dec!W52)</f>
        <v>0</v>
      </c>
      <c r="X52" s="49">
        <f>IF(O52=" ",Dec!X52,O52+Dec!X52)</f>
        <v>0</v>
      </c>
      <c r="Y52" s="49">
        <f>IF(P52=" ",Dec!Y52,P52+Dec!Y52)</f>
        <v>0</v>
      </c>
      <c r="Z52" s="49">
        <f>IF(Q52=" ",Dec!Z52,Q52+Dec!Z52)</f>
        <v>0</v>
      </c>
      <c r="AA52" s="49">
        <f>IF(R52=" ",Dec!AA52,R52+Dec!AA52)</f>
        <v>0</v>
      </c>
      <c r="AC52" s="49">
        <f>IF(T52=" ",Dec!AC52,T52+Dec!AC52)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IF(T$49="Y",Dec!H53,0)</f>
        <v>0</v>
      </c>
      <c r="I53" s="92">
        <f>IF(T$49="Y",Dec!I53,0)</f>
        <v>0</v>
      </c>
      <c r="J53" s="92">
        <f>IF(T$49="Y",Dec!J53,0)</f>
        <v>0</v>
      </c>
      <c r="K53" s="92">
        <f>IF(T$49="Y",Dec!K53,I53*J53)</f>
        <v>0</v>
      </c>
      <c r="L53" s="111">
        <f>IF(T$49="Y",Dec!L53,0)</f>
        <v>0</v>
      </c>
      <c r="M53" s="100" t="str">
        <f>IF(E53=" "," ",IF(T$49="Y",Dec!M53,IF((H53+K53+L53)&gt;0,H53+K53+L53,"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IF(Employee!H$87=E$49,Employee!D$86+SUM(M53)+Dec!V53,SUM(M53)+Dec!V53)</f>
        <v>0</v>
      </c>
      <c r="W53" s="49">
        <f>IF(Employee!H$87=E$49,Employee!D$87+SUM(N53)+Dec!W53,SUM(N53)+Dec!W53)</f>
        <v>0</v>
      </c>
      <c r="X53" s="49">
        <f>IF(O53=" ",Dec!X53,O53+Dec!X53)</f>
        <v>0</v>
      </c>
      <c r="Y53" s="49">
        <f>IF(P53=" ",Dec!Y53,P53+Dec!Y53)</f>
        <v>0</v>
      </c>
      <c r="Z53" s="49">
        <f>IF(Q53=" ",Dec!Z53,Q53+Dec!Z53)</f>
        <v>0</v>
      </c>
      <c r="AA53" s="49">
        <f>IF(R53=" ",Dec!AA53,R53+Dec!AA53)</f>
        <v>0</v>
      </c>
      <c r="AC53" s="49">
        <f>IF(T53=" ",Dec!AC53,T53+Dec!AC53)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IF(T$49="Y",Dec!H54,0)</f>
        <v>0</v>
      </c>
      <c r="I54" s="92">
        <f>IF(T$49="Y",Dec!I54,0)</f>
        <v>0</v>
      </c>
      <c r="J54" s="92">
        <f>IF(T$49="Y",Dec!J54,0)</f>
        <v>0</v>
      </c>
      <c r="K54" s="92">
        <f>IF(T$49="Y",Dec!K54,I54*J54)</f>
        <v>0</v>
      </c>
      <c r="L54" s="111">
        <f>IF(T$49="Y",Dec!L54,0)</f>
        <v>0</v>
      </c>
      <c r="M54" s="100" t="str">
        <f>IF(E54=" "," ",IF(T$49="Y",Dec!M54,IF((H54+K54+L54)&gt;0,H54+K54+L54,"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IF(Employee!H$113=E$49,Employee!D$112+SUM(M54)+Dec!V54,SUM(M54)+Dec!V54)</f>
        <v>0</v>
      </c>
      <c r="W54" s="49">
        <f>IF(Employee!H$113=E$49,Employee!D$113+SUM(N54)+Dec!W54,SUM(N54)+Dec!W54)</f>
        <v>0</v>
      </c>
      <c r="X54" s="49">
        <f>IF(O54=" ",Dec!X54,O54+Dec!X54)</f>
        <v>0</v>
      </c>
      <c r="Y54" s="49">
        <f>IF(P54=" ",Dec!Y54,P54+Dec!Y54)</f>
        <v>0</v>
      </c>
      <c r="Z54" s="49">
        <f>IF(Q54=" ",Dec!Z54,Q54+Dec!Z54)</f>
        <v>0</v>
      </c>
      <c r="AA54" s="49">
        <f>IF(R54=" ",Dec!AA54,R54+Dec!AA54)</f>
        <v>0</v>
      </c>
      <c r="AC54" s="49">
        <f>IF(T54=" ",Dec!AC54,T54+Dec!AC54)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IF(T$49="Y",Dec!H55,0)</f>
        <v>0</v>
      </c>
      <c r="I55" s="245">
        <f>IF(T$49="Y",Dec!I55,0)</f>
        <v>0</v>
      </c>
      <c r="J55" s="245">
        <f>IF(T$49="Y",Dec!J55,0)</f>
        <v>0</v>
      </c>
      <c r="K55" s="245">
        <f>IF(T$49="Y",Dec!K55,I55*J55)</f>
        <v>0</v>
      </c>
      <c r="L55" s="246">
        <f>IF(T$49="Y",Dec!L55,0)</f>
        <v>0</v>
      </c>
      <c r="M55" s="100" t="str">
        <f>IF(E55=" "," ",IF(T$49="Y",Dec!M55,IF((H55+K55+L55)&gt;0,H55+K55+L55,"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IF(Employee!H$139=E$49,Employee!D$138+SUM(M55)+Dec!V55,SUM(M55)+Dec!V55)</f>
        <v>0</v>
      </c>
      <c r="W55" s="49">
        <f>IF(Employee!H$139=E$49,Employee!D$139+SUM(N55)+Dec!W55,SUM(N55)+Dec!W55)</f>
        <v>0</v>
      </c>
      <c r="X55" s="49">
        <f>IF(O55=" ",Dec!X55,O55+Dec!X55)</f>
        <v>0</v>
      </c>
      <c r="Y55" s="49">
        <f>IF(P55=" ",Dec!Y55,P55+Dec!Y55)</f>
        <v>0</v>
      </c>
      <c r="Z55" s="49">
        <f>IF(Q55=" ",Dec!Z55,Q55+Dec!Z55)</f>
        <v>0</v>
      </c>
      <c r="AA55" s="49">
        <f>IF(R55=" ",Dec!AA55,R55+Dec!AA55)</f>
        <v>0</v>
      </c>
      <c r="AC55" s="49">
        <f>IF(T55=" ",Dec!AC55,T55+Dec!AC55)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AD60+Dec!AD65</f>
        <v>0</v>
      </c>
      <c r="AE65" s="158">
        <f>AE60+Dec!AE65</f>
        <v>0</v>
      </c>
      <c r="AF65" s="158">
        <f>AF60+Dec!AF65</f>
        <v>0</v>
      </c>
      <c r="AG65" s="158">
        <f>AG60+Dec!AG65</f>
        <v>0</v>
      </c>
    </row>
    <row r="66" spans="6:33" ht="14" thickTop="1" x14ac:dyDescent="0.15"/>
    <row r="67" spans="6:33" x14ac:dyDescent="0.15">
      <c r="AD67" s="162"/>
      <c r="AE67" s="158">
        <f>AE62+Dec!AE67</f>
        <v>0</v>
      </c>
      <c r="AF67" s="158">
        <f>AF62+Dec!AF67</f>
        <v>0</v>
      </c>
      <c r="AG67" s="158">
        <f>AG62+Dec!AG67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Jan!M39+1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45351</v>
      </c>
      <c r="L69" s="203" t="s">
        <v>76</v>
      </c>
      <c r="M69" s="205">
        <f>Admin!B361</f>
        <v>45381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IF(T$69="Y",Jan!H51,0)</f>
        <v>0</v>
      </c>
      <c r="I71" s="89">
        <f>IF(T$69="Y",Jan!I51,0)</f>
        <v>0</v>
      </c>
      <c r="J71" s="89">
        <f>IF(T$69="Y",Jan!J51,0)</f>
        <v>0</v>
      </c>
      <c r="K71" s="89">
        <f>IF(T$69="Y",Jan!K51,I71*J71)</f>
        <v>0</v>
      </c>
      <c r="L71" s="110">
        <f>IF(T$69="Y",Jan!L51,0)</f>
        <v>0</v>
      </c>
      <c r="M71" s="99" t="str">
        <f>IF(E71=" "," ",IF(T$69="Y",Jan!M51,IF((H71+K71+L71)&gt;0,H71+K71+L71,"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IF(Employee!H$35=E$69,Employee!D$34+SUM(M71)+Jan!V51,SUM(M71)+Jan!V51)</f>
        <v>0</v>
      </c>
      <c r="W71" s="49">
        <f>IF(Employee!H$35=E$69,Employee!D$35+SUM(N71)+Jan!W51,SUM(N71)+Jan!W51)</f>
        <v>0</v>
      </c>
      <c r="X71" s="49">
        <f>IF(O71=" ",Jan!X51,O71+Jan!X51)</f>
        <v>0</v>
      </c>
      <c r="Y71" s="49">
        <f>IF(P71=" ",Jan!Y51,P71+Jan!Y51)</f>
        <v>0</v>
      </c>
      <c r="Z71" s="49">
        <f>IF(Q71=" ",Jan!Z51,Q71+Jan!Z51)</f>
        <v>0</v>
      </c>
      <c r="AA71" s="49">
        <f>IF(R71=" ",Jan!AA51,R71+Jan!AA51)</f>
        <v>0</v>
      </c>
      <c r="AC71" s="49">
        <f>IF(T71=" ",Jan!AC51,T71+Jan!AC51)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IF(T$69="Y",Jan!H52,0)</f>
        <v>0</v>
      </c>
      <c r="I72" s="92">
        <f>IF(T$69="Y",Jan!I52,0)</f>
        <v>0</v>
      </c>
      <c r="J72" s="92">
        <f>IF(T$69="Y",Jan!J52,0)</f>
        <v>0</v>
      </c>
      <c r="K72" s="92">
        <f>IF(T$69="Y",Jan!K52,I72*J72)</f>
        <v>0</v>
      </c>
      <c r="L72" s="111">
        <f>IF(T$69="Y",Jan!L52,0)</f>
        <v>0</v>
      </c>
      <c r="M72" s="100" t="str">
        <f>IF(E72=" "," ",IF(T$69="Y",Jan!M52,IF((H72+K72+L72)&gt;0,H72+K72+L72,"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IF(Employee!H$61=E$69,Employee!D$60+SUM(M72)+Jan!V52,SUM(M72)+Jan!V52)</f>
        <v>0</v>
      </c>
      <c r="W72" s="49">
        <f>IF(Employee!H$61=E$69,Employee!D$61+SUM(N72)+Jan!W52,SUM(N72)+Jan!W52)</f>
        <v>0</v>
      </c>
      <c r="X72" s="49">
        <f>IF(O72=" ",Jan!X52,O72+Jan!X52)</f>
        <v>0</v>
      </c>
      <c r="Y72" s="49">
        <f>IF(P72=" ",Jan!Y52,P72+Jan!Y52)</f>
        <v>0</v>
      </c>
      <c r="Z72" s="49">
        <f>IF(Q72=" ",Jan!Z52,Q72+Jan!Z52)</f>
        <v>0</v>
      </c>
      <c r="AA72" s="49">
        <f>IF(R72=" ",Jan!AA52,R72+Jan!AA52)</f>
        <v>0</v>
      </c>
      <c r="AC72" s="49">
        <f>IF(T72=" ",Jan!AC52,T72+Jan!AC52)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IF(T$69="Y",Jan!H53,0)</f>
        <v>0</v>
      </c>
      <c r="I73" s="92">
        <f>IF(T$69="Y",Jan!I53,0)</f>
        <v>0</v>
      </c>
      <c r="J73" s="92">
        <f>IF(T$69="Y",Jan!J53,0)</f>
        <v>0</v>
      </c>
      <c r="K73" s="92">
        <f>IF(T$69="Y",Jan!K53,I73*J73)</f>
        <v>0</v>
      </c>
      <c r="L73" s="111">
        <f>IF(T$69="Y",Jan!L53,0)</f>
        <v>0</v>
      </c>
      <c r="M73" s="100" t="str">
        <f>IF(E73=" "," ",IF(T$69="Y",Jan!M53,IF((H73+K73+L73)&gt;0,H73+K73+L73,"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IF(Employee!H$87=E$69,Employee!D$86+SUM(M73)+Jan!V53,SUM(M73)+Jan!V53)</f>
        <v>0</v>
      </c>
      <c r="W73" s="49">
        <f>IF(Employee!H$87=E$69,Employee!D$87+SUM(N73)+Jan!W53,SUM(N73)+Jan!W53)</f>
        <v>0</v>
      </c>
      <c r="X73" s="49">
        <f>IF(O73=" ",Jan!X53,O73+Jan!X53)</f>
        <v>0</v>
      </c>
      <c r="Y73" s="49">
        <f>IF(P73=" ",Jan!Y53,P73+Jan!Y53)</f>
        <v>0</v>
      </c>
      <c r="Z73" s="49">
        <f>IF(Q73=" ",Jan!Z53,Q73+Jan!Z53)</f>
        <v>0</v>
      </c>
      <c r="AA73" s="49">
        <f>IF(R73=" ",Jan!AA53,R73+Jan!AA53)</f>
        <v>0</v>
      </c>
      <c r="AC73" s="49">
        <f>IF(T73=" ",Jan!AC53,T73+Jan!AC53)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IF(T$69="Y",Jan!H54,0)</f>
        <v>0</v>
      </c>
      <c r="I74" s="92">
        <f>IF(T$69="Y",Jan!I54,0)</f>
        <v>0</v>
      </c>
      <c r="J74" s="92">
        <f>IF(T$69="Y",Jan!J54,0)</f>
        <v>0</v>
      </c>
      <c r="K74" s="92">
        <f>IF(T$69="Y",Jan!K54,I74*J74)</f>
        <v>0</v>
      </c>
      <c r="L74" s="111">
        <f>IF(T$69="Y",Jan!L54,0)</f>
        <v>0</v>
      </c>
      <c r="M74" s="100" t="str">
        <f>IF(E74=" "," ",IF(T$69="Y",Jan!M54,IF((H74+K74+L74)&gt;0,H74+K74+L74,"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IF(Employee!H$113=E$69,Employee!D$112+SUM(M74)+Jan!V54,SUM(M74)+Jan!V54)</f>
        <v>0</v>
      </c>
      <c r="W74" s="49">
        <f>IF(Employee!H$113=E$69,Employee!D$113+SUM(N74)+Jan!W54,SUM(N74)+Jan!W54)</f>
        <v>0</v>
      </c>
      <c r="X74" s="49">
        <f>IF(O74=" ",Jan!X54,O74+Jan!X54)</f>
        <v>0</v>
      </c>
      <c r="Y74" s="49">
        <f>IF(P74=" ",Jan!Y54,P74+Jan!Y54)</f>
        <v>0</v>
      </c>
      <c r="Z74" s="49">
        <f>IF(Q74=" ",Jan!Z54,Q74+Jan!Z54)</f>
        <v>0</v>
      </c>
      <c r="AA74" s="49">
        <f>IF(R74=" ",Jan!AA54,R74+Jan!AA54)</f>
        <v>0</v>
      </c>
      <c r="AC74" s="49">
        <f>IF(T74=" ",Jan!AC54,T74+Jan!AC54)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IF(T$69="Y",Jan!H55,0)</f>
        <v>0</v>
      </c>
      <c r="I75" s="245">
        <f>IF(T$69="Y",Jan!I55,0)</f>
        <v>0</v>
      </c>
      <c r="J75" s="245">
        <f>IF(T$69="Y",Jan!J55,0)</f>
        <v>0</v>
      </c>
      <c r="K75" s="245">
        <f>IF(T$69="Y",Jan!K55,I75*J75)</f>
        <v>0</v>
      </c>
      <c r="L75" s="246">
        <f>IF(T$69="Y",Jan!L55,0)</f>
        <v>0</v>
      </c>
      <c r="M75" s="100" t="str">
        <f>IF(E75=" "," ",IF(T$69="Y",Jan!M55,IF((H75+K75+L75)&gt;0,H75+K75+L75,"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IF(Employee!H$139=E$69,Employee!D$138+SUM(M75)+Jan!V55,SUM(M75)+Jan!V55)</f>
        <v>0</v>
      </c>
      <c r="W75" s="49">
        <f>IF(Employee!H$139=E$69,Employee!D$139+SUM(N75)+Jan!W55,SUM(N75)+Jan!W55)</f>
        <v>0</v>
      </c>
      <c r="X75" s="49">
        <f>IF(O75=" ",Jan!X55,O75+Jan!X55)</f>
        <v>0</v>
      </c>
      <c r="Y75" s="49">
        <f>IF(P75=" ",Jan!Y55,P75+Jan!Y55)</f>
        <v>0</v>
      </c>
      <c r="Z75" s="49">
        <f>IF(Q75=" ",Jan!Z55,Q75+Jan!Z55)</f>
        <v>0</v>
      </c>
      <c r="AA75" s="49">
        <f>IF(R75=" ",Jan!AA55,R75+Jan!AA55)</f>
        <v>0</v>
      </c>
      <c r="AC75" s="49">
        <f>IF(T75=" ",Jan!AC55,T75+Jan!AC55)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AD80+Jan!AD65</f>
        <v>0</v>
      </c>
      <c r="AE85" s="158">
        <f>AE80+Jan!AE65</f>
        <v>0</v>
      </c>
      <c r="AF85" s="158">
        <f>AF80+Jan!AF65</f>
        <v>0</v>
      </c>
      <c r="AG85" s="158">
        <f>AG80+Jan!AG65</f>
        <v>0</v>
      </c>
    </row>
    <row r="86" spans="6:33" ht="14" thickTop="1" x14ac:dyDescent="0.15"/>
    <row r="87" spans="6:33" x14ac:dyDescent="0.15">
      <c r="AD87" s="162"/>
      <c r="AE87" s="158">
        <f>AE82+Jan!AE67</f>
        <v>0</v>
      </c>
      <c r="AF87" s="158">
        <f>AF82+Jan!AF67</f>
        <v>0</v>
      </c>
      <c r="AG87" s="158">
        <f>AG82+Jan!AG67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Mar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",INDIRECT(ADDRESS($H$4,18,1,TRUE,$H$3)))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45046</v>
      </c>
      <c r="C4" s="229">
        <f>Admin!$B$45</f>
        <v>45065</v>
      </c>
      <c r="D4" s="227">
        <f>Mar!T1+Mar!O1</f>
        <v>0</v>
      </c>
      <c r="E4" s="228">
        <f>Mar!N1</f>
        <v>0</v>
      </c>
      <c r="F4" s="228">
        <f>Mar!AD60+Mar!AE60+Mar!AF60+Mar!AG60</f>
        <v>0</v>
      </c>
      <c r="G4" s="228">
        <f>Mar!AE62+Mar!AF62+Mar!AG62</f>
        <v>0</v>
      </c>
      <c r="H4" s="228">
        <f>Mar!P1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45077</v>
      </c>
      <c r="C5" s="229">
        <f>Admin!$B$76</f>
        <v>45096</v>
      </c>
      <c r="D5" s="227">
        <f>Apr!T1+Apr!O1</f>
        <v>0</v>
      </c>
      <c r="E5" s="228">
        <f>Apr!N1</f>
        <v>0</v>
      </c>
      <c r="F5" s="228">
        <f>Apr!AD60+Apr!AE60+Apr!AF60+Apr!AG60</f>
        <v>0</v>
      </c>
      <c r="G5" s="228">
        <f>Apr!AE62+Apr!AF62+Apr!AG62</f>
        <v>0</v>
      </c>
      <c r="H5" s="228">
        <f>Apr!P1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45107</v>
      </c>
      <c r="C6" s="229">
        <f>Admin!$B$106</f>
        <v>45126</v>
      </c>
      <c r="D6" s="227">
        <f>May!T1+May!O1</f>
        <v>0</v>
      </c>
      <c r="E6" s="228">
        <f>May!N1</f>
        <v>0</v>
      </c>
      <c r="F6" s="228">
        <f>May!AD70+May!AE70+May!AF70+May!AG70</f>
        <v>0</v>
      </c>
      <c r="G6" s="228">
        <f>May!AE72+May!AF72+May!AG72</f>
        <v>0</v>
      </c>
      <c r="H6" s="228">
        <f>May!P1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45138</v>
      </c>
      <c r="C7" s="229">
        <f>Admin!$B$137</f>
        <v>45157</v>
      </c>
      <c r="D7" s="227">
        <f>Jun!T1+Jun!O1</f>
        <v>0</v>
      </c>
      <c r="E7" s="228">
        <f>Jun!N1</f>
        <v>0</v>
      </c>
      <c r="F7" s="228">
        <f>Jun!AD60+Jun!AE60+Jun!AF60+Jun!AG60</f>
        <v>0</v>
      </c>
      <c r="G7" s="228">
        <f>Jun!AE62+Jun!AF62+Jun!AG62</f>
        <v>0</v>
      </c>
      <c r="H7" s="228">
        <f>Jun!P1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45169</v>
      </c>
      <c r="C8" s="229">
        <f>Admin!$B$168</f>
        <v>45188</v>
      </c>
      <c r="D8" s="227">
        <f>Jul!T1+Jul!O1</f>
        <v>0</v>
      </c>
      <c r="E8" s="228">
        <f>Jul!N1</f>
        <v>0</v>
      </c>
      <c r="F8" s="228">
        <f>Jul!AD60+Jul!AE60+Jul!AF60+Jul!AG60</f>
        <v>0</v>
      </c>
      <c r="G8" s="228">
        <f>Jul!AE62+Jul!AF62+Jul!AG62</f>
        <v>0</v>
      </c>
      <c r="H8" s="228">
        <f>Jul!P1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45199</v>
      </c>
      <c r="C9" s="229">
        <f>Admin!$B$198</f>
        <v>45218</v>
      </c>
      <c r="D9" s="227">
        <f>Aug!T1+Aug!O1</f>
        <v>0</v>
      </c>
      <c r="E9" s="228">
        <f>Aug!N1</f>
        <v>0</v>
      </c>
      <c r="F9" s="228">
        <f>Aug!AD70+Aug!AE70+Aug!AF70+Aug!AG70</f>
        <v>0</v>
      </c>
      <c r="G9" s="228">
        <f>Aug!AE72+Aug!AF72+Aug!AG72</f>
        <v>0</v>
      </c>
      <c r="H9" s="228">
        <f>Aug!P1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45230</v>
      </c>
      <c r="C10" s="229">
        <f>Admin!$B$229</f>
        <v>45249</v>
      </c>
      <c r="D10" s="227">
        <f>Sep!T1+Sep!O1</f>
        <v>0</v>
      </c>
      <c r="E10" s="228">
        <f>Sep!N1</f>
        <v>0</v>
      </c>
      <c r="F10" s="228">
        <f>Sep!AD60+Sep!AE60+Sep!AF60+Sep!AG60</f>
        <v>0</v>
      </c>
      <c r="G10" s="228">
        <f>Sep!AE62+Sep!AF62+Sep!AG62</f>
        <v>0</v>
      </c>
      <c r="H10" s="228">
        <f>Sep!P1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45260</v>
      </c>
      <c r="C11" s="229">
        <f>Admin!$B$259</f>
        <v>45279</v>
      </c>
      <c r="D11" s="227">
        <f>Oct!T1+Oct!O1</f>
        <v>0</v>
      </c>
      <c r="E11" s="228">
        <f>Oct!N1</f>
        <v>0</v>
      </c>
      <c r="F11" s="228">
        <f>Oct!AD60+Oct!AE60+Oct!AF60+Oct!AG60</f>
        <v>0</v>
      </c>
      <c r="G11" s="228">
        <f>Oct!AE62+Oct!AF62+Oct!AG62</f>
        <v>0</v>
      </c>
      <c r="H11" s="228">
        <f>Oct!P1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45291</v>
      </c>
      <c r="C12" s="229">
        <f>Admin!$B$290</f>
        <v>45310</v>
      </c>
      <c r="D12" s="227">
        <f>Nov!T1+Nov!O1</f>
        <v>0</v>
      </c>
      <c r="E12" s="228">
        <f>Nov!N1</f>
        <v>0</v>
      </c>
      <c r="F12" s="228">
        <f>Nov!AD70+Nov!AE70+Nov!AF70+Nov!AG70</f>
        <v>0</v>
      </c>
      <c r="G12" s="228">
        <f>Nov!AE72+Nov!AF72+Nov!AG72</f>
        <v>0</v>
      </c>
      <c r="H12" s="228">
        <f>Nov!P1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45322</v>
      </c>
      <c r="C13" s="229">
        <f>Admin!$B$321</f>
        <v>45341</v>
      </c>
      <c r="D13" s="227">
        <f>Dec!T1+Dec!O1</f>
        <v>0</v>
      </c>
      <c r="E13" s="228">
        <f>Dec!N1</f>
        <v>0</v>
      </c>
      <c r="F13" s="228">
        <f>Dec!AD60+Dec!AE60+Dec!AF60+Dec!AG60</f>
        <v>0</v>
      </c>
      <c r="G13" s="228">
        <f>Dec!AE62+Dec!AF62+Dec!AG62</f>
        <v>0</v>
      </c>
      <c r="H13" s="228">
        <f>Dec!P1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45350</v>
      </c>
      <c r="C14" s="229">
        <f>Admin!$B$350</f>
        <v>45370</v>
      </c>
      <c r="D14" s="227">
        <f>Jan!T1+Jan!O1</f>
        <v>0</v>
      </c>
      <c r="E14" s="228">
        <f>Jan!N1</f>
        <v>0</v>
      </c>
      <c r="F14" s="228">
        <f>Jan!AD60+Jan!AE60+Jan!AF60+Jan!AG60</f>
        <v>0</v>
      </c>
      <c r="G14" s="228">
        <f>Jan!AE62+Jan!AF62+Jan!AG62</f>
        <v>0</v>
      </c>
      <c r="H14" s="228">
        <f>Jan!P1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45381</v>
      </c>
      <c r="C15" s="229">
        <f>Admin!$B$381</f>
        <v>45401</v>
      </c>
      <c r="D15" s="227">
        <f>Feb!T1+Feb!O1</f>
        <v>0</v>
      </c>
      <c r="E15" s="228">
        <f>Feb!N1</f>
        <v>0</v>
      </c>
      <c r="F15" s="228">
        <f>Feb!AD80+Feb!AE80+Feb!AF80+Feb!AG80</f>
        <v>0</v>
      </c>
      <c r="G15" s="228">
        <f>Feb!AE82+Feb!AF82+Feb!AG82</f>
        <v>0</v>
      </c>
      <c r="H15" s="228">
        <f>Feb!P1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45387</v>
      </c>
      <c r="J1" s="493"/>
      <c r="K1" s="303"/>
      <c r="L1" s="303"/>
      <c r="M1" s="304"/>
      <c r="N1" s="305" t="str">
        <f>TEXT(YEAR(I1)-1,"0") &amp; "-" &amp; TEXT(YEAR(I1)-2000,"0")</f>
        <v>2023-24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TEXT(DATE(YEAR(B$2),MONTH(B$2)+(D2-1)+11,1),"Mmm")</f>
        <v>Mar</v>
      </c>
      <c r="B2" s="308">
        <v>45022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TEXT(DATE(YEAR(B$2),MONTH(B$2)+(D3-1)+11,1),"Mmm")</f>
        <v>Mar</v>
      </c>
      <c r="B3" s="308">
        <f>B2+1</f>
        <v>45023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Mar</v>
      </c>
      <c r="B4" s="308">
        <f t="shared" ref="B4:B67" si="1">B3+1</f>
        <v>45024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Mar</v>
      </c>
      <c r="B5" s="308">
        <f t="shared" si="1"/>
        <v>45025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Mar</v>
      </c>
      <c r="B6" s="308">
        <f t="shared" si="1"/>
        <v>45026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Mar</v>
      </c>
      <c r="B7" s="308">
        <f t="shared" si="1"/>
        <v>45027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Mar</v>
      </c>
      <c r="B8" s="308">
        <f t="shared" si="1"/>
        <v>45028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Mar</v>
      </c>
      <c r="B9" s="308">
        <f t="shared" si="1"/>
        <v>45029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Mar</v>
      </c>
      <c r="B10" s="308">
        <f t="shared" si="1"/>
        <v>45030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Mar</v>
      </c>
      <c r="B11" s="308">
        <f t="shared" si="1"/>
        <v>45031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Mar</v>
      </c>
      <c r="B12" s="308">
        <f t="shared" si="1"/>
        <v>45032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Mar</v>
      </c>
      <c r="B13" s="308">
        <f t="shared" si="1"/>
        <v>45033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Mar</v>
      </c>
      <c r="B14" s="308">
        <f t="shared" si="1"/>
        <v>45034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Mar</v>
      </c>
      <c r="B15" s="308">
        <f t="shared" si="1"/>
        <v>45035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Mar</v>
      </c>
      <c r="B16" s="308">
        <f t="shared" si="1"/>
        <v>45036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Mar</v>
      </c>
      <c r="B17" s="308">
        <f t="shared" si="1"/>
        <v>45037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Mar</v>
      </c>
      <c r="B18" s="308">
        <f t="shared" si="1"/>
        <v>45038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Mar</v>
      </c>
      <c r="B19" s="308">
        <f t="shared" si="1"/>
        <v>45039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Mar</v>
      </c>
      <c r="B20" s="308">
        <f t="shared" si="1"/>
        <v>45040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Mar</v>
      </c>
      <c r="B21" s="308">
        <f t="shared" si="1"/>
        <v>45041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Mar</v>
      </c>
      <c r="B22" s="308">
        <f t="shared" si="1"/>
        <v>45042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Mar</v>
      </c>
      <c r="B23" s="308">
        <f t="shared" si="1"/>
        <v>45043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Mar</v>
      </c>
      <c r="B24" s="308">
        <f t="shared" si="1"/>
        <v>45044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Mar</v>
      </c>
      <c r="B25" s="308">
        <f t="shared" si="1"/>
        <v>45045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Mar</v>
      </c>
      <c r="B26" s="308">
        <f t="shared" si="1"/>
        <v>45046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Mar</v>
      </c>
      <c r="B27" s="308">
        <f t="shared" si="1"/>
        <v>45047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Apr</v>
      </c>
      <c r="B28" s="308">
        <f t="shared" si="1"/>
        <v>45048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Apr</v>
      </c>
      <c r="B29" s="308">
        <f t="shared" si="1"/>
        <v>45049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Apr</v>
      </c>
      <c r="B30" s="308">
        <f t="shared" si="1"/>
        <v>45050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Apr</v>
      </c>
      <c r="B31" s="308">
        <f t="shared" si="1"/>
        <v>45051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Apr</v>
      </c>
      <c r="B32" s="308">
        <f t="shared" si="1"/>
        <v>45052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Apr</v>
      </c>
      <c r="B33" s="308">
        <f t="shared" si="1"/>
        <v>45053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Apr</v>
      </c>
      <c r="B34" s="308">
        <f t="shared" si="1"/>
        <v>45054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Apr</v>
      </c>
      <c r="B35" s="308">
        <f t="shared" si="1"/>
        <v>45055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Apr</v>
      </c>
      <c r="B36" s="308">
        <f t="shared" si="1"/>
        <v>45056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Apr</v>
      </c>
      <c r="B37" s="308">
        <f t="shared" si="1"/>
        <v>45057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Apr</v>
      </c>
      <c r="B38" s="308">
        <f t="shared" si="1"/>
        <v>45058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Apr</v>
      </c>
      <c r="B39" s="308">
        <f t="shared" si="1"/>
        <v>45059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Apr</v>
      </c>
      <c r="B40" s="308">
        <f t="shared" si="1"/>
        <v>45060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Apr</v>
      </c>
      <c r="B41" s="308">
        <f t="shared" si="1"/>
        <v>45061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Apr</v>
      </c>
      <c r="B42" s="308">
        <f t="shared" si="1"/>
        <v>45062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Apr</v>
      </c>
      <c r="B43" s="308">
        <f t="shared" si="1"/>
        <v>45063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Apr</v>
      </c>
      <c r="B44" s="308">
        <f t="shared" si="1"/>
        <v>45064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Apr</v>
      </c>
      <c r="B45" s="308">
        <f t="shared" si="1"/>
        <v>45065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Apr</v>
      </c>
      <c r="B46" s="308">
        <f t="shared" si="1"/>
        <v>45066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Apr</v>
      </c>
      <c r="B47" s="308">
        <f t="shared" si="1"/>
        <v>45067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Apr</v>
      </c>
      <c r="B48" s="308">
        <f t="shared" si="1"/>
        <v>45068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Apr</v>
      </c>
      <c r="B49" s="308">
        <f t="shared" si="1"/>
        <v>45069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Apr</v>
      </c>
      <c r="B50" s="308">
        <f t="shared" si="1"/>
        <v>45070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Apr</v>
      </c>
      <c r="B51" s="308">
        <f t="shared" si="1"/>
        <v>45071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Apr</v>
      </c>
      <c r="B52" s="308">
        <f t="shared" si="1"/>
        <v>45072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Apr</v>
      </c>
      <c r="B53" s="308">
        <f t="shared" si="1"/>
        <v>45073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Apr</v>
      </c>
      <c r="B54" s="308">
        <f t="shared" si="1"/>
        <v>45074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Apr</v>
      </c>
      <c r="B55" s="308">
        <f t="shared" si="1"/>
        <v>45075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May</v>
      </c>
      <c r="B56" s="308">
        <f t="shared" si="1"/>
        <v>45076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May</v>
      </c>
      <c r="B57" s="308">
        <f t="shared" si="1"/>
        <v>45077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May</v>
      </c>
      <c r="B58" s="308">
        <f t="shared" si="1"/>
        <v>45078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May</v>
      </c>
      <c r="B59" s="308">
        <f t="shared" si="1"/>
        <v>45079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May</v>
      </c>
      <c r="B60" s="308">
        <f t="shared" si="1"/>
        <v>45080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May</v>
      </c>
      <c r="B61" s="308">
        <f t="shared" si="1"/>
        <v>45081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May</v>
      </c>
      <c r="B62" s="308">
        <f t="shared" si="1"/>
        <v>45082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May</v>
      </c>
      <c r="B63" s="308">
        <f t="shared" si="1"/>
        <v>45083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May</v>
      </c>
      <c r="B64" s="308">
        <f t="shared" si="1"/>
        <v>45084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May</v>
      </c>
      <c r="B65" s="308">
        <f t="shared" si="1"/>
        <v>45085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May</v>
      </c>
      <c r="B66" s="308">
        <f t="shared" si="1"/>
        <v>45086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TEXT(DATE(YEAR(B$2),MONTH(B$2)+(D67-1)+11,1),"Mmm")</f>
        <v>May</v>
      </c>
      <c r="B67" s="308">
        <f t="shared" si="1"/>
        <v>45087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May</v>
      </c>
      <c r="B68" s="308">
        <f t="shared" ref="B68:B131" si="3">B67+1</f>
        <v>45088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May</v>
      </c>
      <c r="B69" s="308">
        <f t="shared" si="3"/>
        <v>45089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May</v>
      </c>
      <c r="B70" s="308">
        <f t="shared" si="3"/>
        <v>45090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May</v>
      </c>
      <c r="B71" s="308">
        <f t="shared" si="3"/>
        <v>45091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May</v>
      </c>
      <c r="B72" s="308">
        <f t="shared" si="3"/>
        <v>45092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May</v>
      </c>
      <c r="B73" s="308">
        <f t="shared" si="3"/>
        <v>45093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May</v>
      </c>
      <c r="B74" s="308">
        <f t="shared" si="3"/>
        <v>45094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May</v>
      </c>
      <c r="B75" s="308">
        <f t="shared" si="3"/>
        <v>45095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May</v>
      </c>
      <c r="B76" s="308">
        <f t="shared" si="3"/>
        <v>45096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May</v>
      </c>
      <c r="B77" s="308">
        <f t="shared" si="3"/>
        <v>45097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May</v>
      </c>
      <c r="B78" s="308">
        <f t="shared" si="3"/>
        <v>45098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May</v>
      </c>
      <c r="B79" s="308">
        <f t="shared" si="3"/>
        <v>45099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May</v>
      </c>
      <c r="B80" s="308">
        <f t="shared" si="3"/>
        <v>45100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May</v>
      </c>
      <c r="B81" s="308">
        <f t="shared" si="3"/>
        <v>45101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May</v>
      </c>
      <c r="B82" s="308">
        <f t="shared" si="3"/>
        <v>45102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May</v>
      </c>
      <c r="B83" s="308">
        <f t="shared" si="3"/>
        <v>45103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May</v>
      </c>
      <c r="B84" s="308">
        <f t="shared" si="3"/>
        <v>45104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May</v>
      </c>
      <c r="B85" s="308">
        <f t="shared" si="3"/>
        <v>45105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May</v>
      </c>
      <c r="B86" s="308">
        <f t="shared" si="3"/>
        <v>45106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May</v>
      </c>
      <c r="B87" s="308">
        <f t="shared" si="3"/>
        <v>45107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May</v>
      </c>
      <c r="B88" s="308">
        <f t="shared" si="3"/>
        <v>45108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May</v>
      </c>
      <c r="B89" s="308">
        <f t="shared" si="3"/>
        <v>45109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May</v>
      </c>
      <c r="B90" s="308">
        <f t="shared" si="3"/>
        <v>45110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Jun</v>
      </c>
      <c r="B91" s="308">
        <f t="shared" si="3"/>
        <v>45111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Jun</v>
      </c>
      <c r="B92" s="308">
        <f t="shared" si="3"/>
        <v>45112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Jun</v>
      </c>
      <c r="B93" s="308">
        <f t="shared" si="3"/>
        <v>45113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Jun</v>
      </c>
      <c r="B94" s="308">
        <f t="shared" si="3"/>
        <v>45114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Jun</v>
      </c>
      <c r="B95" s="308">
        <f t="shared" si="3"/>
        <v>45115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Jun</v>
      </c>
      <c r="B96" s="308">
        <f t="shared" si="3"/>
        <v>45116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Jun</v>
      </c>
      <c r="B97" s="308">
        <f t="shared" si="3"/>
        <v>45117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Jun</v>
      </c>
      <c r="B98" s="308">
        <f t="shared" si="3"/>
        <v>45118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Jun</v>
      </c>
      <c r="B99" s="308">
        <f t="shared" si="3"/>
        <v>45119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Jun</v>
      </c>
      <c r="B100" s="308">
        <f t="shared" si="3"/>
        <v>45120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Jun</v>
      </c>
      <c r="B101" s="308">
        <f t="shared" si="3"/>
        <v>45121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Jun</v>
      </c>
      <c r="B102" s="308">
        <f t="shared" si="3"/>
        <v>45122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Jun</v>
      </c>
      <c r="B103" s="308">
        <f t="shared" si="3"/>
        <v>45123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Jun</v>
      </c>
      <c r="B104" s="308">
        <f t="shared" si="3"/>
        <v>45124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Jun</v>
      </c>
      <c r="B105" s="308">
        <f t="shared" si="3"/>
        <v>45125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Jun</v>
      </c>
      <c r="B106" s="308">
        <f t="shared" si="3"/>
        <v>45126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Jun</v>
      </c>
      <c r="B107" s="308">
        <f t="shared" si="3"/>
        <v>45127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Jun</v>
      </c>
      <c r="B108" s="308">
        <f t="shared" si="3"/>
        <v>45128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Jun</v>
      </c>
      <c r="B109" s="308">
        <f t="shared" si="3"/>
        <v>45129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Jun</v>
      </c>
      <c r="B110" s="308">
        <f t="shared" si="3"/>
        <v>45130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Jun</v>
      </c>
      <c r="B111" s="308">
        <f t="shared" si="3"/>
        <v>45131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Jun</v>
      </c>
      <c r="B112" s="308">
        <f t="shared" si="3"/>
        <v>45132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Jun</v>
      </c>
      <c r="B113" s="308">
        <f t="shared" si="3"/>
        <v>45133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Jun</v>
      </c>
      <c r="B114" s="308">
        <f t="shared" si="3"/>
        <v>45134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Jun</v>
      </c>
      <c r="B115" s="308">
        <f t="shared" si="3"/>
        <v>45135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Jun</v>
      </c>
      <c r="B116" s="308">
        <f t="shared" si="3"/>
        <v>45136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Jun</v>
      </c>
      <c r="B117" s="308">
        <f t="shared" si="3"/>
        <v>45137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Jun</v>
      </c>
      <c r="B118" s="308">
        <f t="shared" si="3"/>
        <v>45138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Jul</v>
      </c>
      <c r="B119" s="308">
        <f t="shared" si="3"/>
        <v>45139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Jul</v>
      </c>
      <c r="B120" s="308">
        <f t="shared" si="3"/>
        <v>45140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Jul</v>
      </c>
      <c r="B121" s="308">
        <f t="shared" si="3"/>
        <v>45141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Jul</v>
      </c>
      <c r="B122" s="308">
        <f t="shared" si="3"/>
        <v>45142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Jul</v>
      </c>
      <c r="B123" s="308">
        <f t="shared" si="3"/>
        <v>45143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Jul</v>
      </c>
      <c r="B124" s="308">
        <f t="shared" si="3"/>
        <v>45144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Jul</v>
      </c>
      <c r="B125" s="308">
        <f t="shared" si="3"/>
        <v>45145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Jul</v>
      </c>
      <c r="B126" s="308">
        <f t="shared" si="3"/>
        <v>45146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Jul</v>
      </c>
      <c r="B127" s="308">
        <f t="shared" si="3"/>
        <v>45147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Jul</v>
      </c>
      <c r="B128" s="308">
        <f t="shared" si="3"/>
        <v>45148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Jul</v>
      </c>
      <c r="B129" s="308">
        <f t="shared" si="3"/>
        <v>45149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Jul</v>
      </c>
      <c r="B130" s="308">
        <f t="shared" si="3"/>
        <v>45150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TEXT(DATE(YEAR(B$2),MONTH(B$2)+(D131-1)+11,1),"Mmm")</f>
        <v>Jul</v>
      </c>
      <c r="B131" s="308">
        <f t="shared" si="3"/>
        <v>45151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Jul</v>
      </c>
      <c r="B132" s="308">
        <f t="shared" ref="B132:B195" si="5">B131+1</f>
        <v>45152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Jul</v>
      </c>
      <c r="B133" s="308">
        <f t="shared" si="5"/>
        <v>45153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Jul</v>
      </c>
      <c r="B134" s="308">
        <f t="shared" si="5"/>
        <v>45154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Jul</v>
      </c>
      <c r="B135" s="308">
        <f t="shared" si="5"/>
        <v>45155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Jul</v>
      </c>
      <c r="B136" s="308">
        <f t="shared" si="5"/>
        <v>45156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Jul</v>
      </c>
      <c r="B137" s="308">
        <f t="shared" si="5"/>
        <v>45157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Jul</v>
      </c>
      <c r="B138" s="308">
        <f t="shared" si="5"/>
        <v>45158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Jul</v>
      </c>
      <c r="B139" s="308">
        <f t="shared" si="5"/>
        <v>45159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Jul</v>
      </c>
      <c r="B140" s="308">
        <f t="shared" si="5"/>
        <v>45160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Jul</v>
      </c>
      <c r="B141" s="308">
        <f t="shared" si="5"/>
        <v>45161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Jul</v>
      </c>
      <c r="B142" s="308">
        <f t="shared" si="5"/>
        <v>45162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Jul</v>
      </c>
      <c r="B143" s="308">
        <f t="shared" si="5"/>
        <v>45163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Jul</v>
      </c>
      <c r="B144" s="308">
        <f t="shared" si="5"/>
        <v>45164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Jul</v>
      </c>
      <c r="B145" s="308">
        <f t="shared" si="5"/>
        <v>45165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Jul</v>
      </c>
      <c r="B146" s="308">
        <f t="shared" si="5"/>
        <v>45166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Aug</v>
      </c>
      <c r="B147" s="308">
        <f t="shared" si="5"/>
        <v>45167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Aug</v>
      </c>
      <c r="B148" s="308">
        <f t="shared" si="5"/>
        <v>45168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Aug</v>
      </c>
      <c r="B149" s="308">
        <f t="shared" si="5"/>
        <v>45169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Aug</v>
      </c>
      <c r="B150" s="308">
        <f t="shared" si="5"/>
        <v>45170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Aug</v>
      </c>
      <c r="B151" s="308">
        <f t="shared" si="5"/>
        <v>45171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Aug</v>
      </c>
      <c r="B152" s="308">
        <f t="shared" si="5"/>
        <v>45172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Aug</v>
      </c>
      <c r="B153" s="308">
        <f t="shared" si="5"/>
        <v>45173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Aug</v>
      </c>
      <c r="B154" s="308">
        <f t="shared" si="5"/>
        <v>45174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Aug</v>
      </c>
      <c r="B155" s="321">
        <f t="shared" si="5"/>
        <v>45175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Aug</v>
      </c>
      <c r="B156" s="308">
        <f t="shared" si="5"/>
        <v>45176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Aug</v>
      </c>
      <c r="B157" s="308">
        <f t="shared" si="5"/>
        <v>45177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Aug</v>
      </c>
      <c r="B158" s="308">
        <f t="shared" si="5"/>
        <v>45178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Aug</v>
      </c>
      <c r="B159" s="308">
        <f t="shared" si="5"/>
        <v>45179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Aug</v>
      </c>
      <c r="B160" s="308">
        <f t="shared" si="5"/>
        <v>45180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Aug</v>
      </c>
      <c r="B161" s="308">
        <f t="shared" si="5"/>
        <v>45181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Aug</v>
      </c>
      <c r="B162" s="308">
        <f t="shared" si="5"/>
        <v>45182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Aug</v>
      </c>
      <c r="B163" s="308">
        <f t="shared" si="5"/>
        <v>45183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Aug</v>
      </c>
      <c r="B164" s="308">
        <f t="shared" si="5"/>
        <v>45184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Aug</v>
      </c>
      <c r="B165" s="308">
        <f t="shared" si="5"/>
        <v>45185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Aug</v>
      </c>
      <c r="B166" s="308">
        <f t="shared" si="5"/>
        <v>45186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Aug</v>
      </c>
      <c r="B167" s="308">
        <f t="shared" si="5"/>
        <v>45187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Aug</v>
      </c>
      <c r="B168" s="308">
        <f t="shared" si="5"/>
        <v>45188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Aug</v>
      </c>
      <c r="B169" s="308">
        <f t="shared" si="5"/>
        <v>45189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Aug</v>
      </c>
      <c r="B170" s="308">
        <f t="shared" si="5"/>
        <v>45190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Aug</v>
      </c>
      <c r="B171" s="308">
        <f t="shared" si="5"/>
        <v>45191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Aug</v>
      </c>
      <c r="B172" s="308">
        <f t="shared" si="5"/>
        <v>45192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Aug</v>
      </c>
      <c r="B173" s="308">
        <f t="shared" si="5"/>
        <v>45193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Aug</v>
      </c>
      <c r="B174" s="308">
        <f t="shared" si="5"/>
        <v>45194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Aug</v>
      </c>
      <c r="B175" s="308">
        <f t="shared" si="5"/>
        <v>45195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Aug</v>
      </c>
      <c r="B176" s="308">
        <f t="shared" si="5"/>
        <v>45196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Aug</v>
      </c>
      <c r="B177" s="308">
        <f t="shared" si="5"/>
        <v>45197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Aug</v>
      </c>
      <c r="B178" s="308">
        <f t="shared" si="5"/>
        <v>45198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Aug</v>
      </c>
      <c r="B179" s="308">
        <f t="shared" si="5"/>
        <v>45199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Aug</v>
      </c>
      <c r="B180" s="308">
        <f t="shared" si="5"/>
        <v>45200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Aug</v>
      </c>
      <c r="B181" s="308">
        <f t="shared" si="5"/>
        <v>45201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Sep</v>
      </c>
      <c r="B182" s="308">
        <f t="shared" si="5"/>
        <v>45202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Sep</v>
      </c>
      <c r="B183" s="308">
        <f t="shared" si="5"/>
        <v>45203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Sep</v>
      </c>
      <c r="B184" s="308">
        <f t="shared" si="5"/>
        <v>45204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Sep</v>
      </c>
      <c r="B185" s="321">
        <f t="shared" si="5"/>
        <v>45205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Sep</v>
      </c>
      <c r="B186" s="308">
        <f t="shared" si="5"/>
        <v>45206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Sep</v>
      </c>
      <c r="B187" s="308">
        <f t="shared" si="5"/>
        <v>45207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Sep</v>
      </c>
      <c r="B188" s="308">
        <f t="shared" si="5"/>
        <v>45208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Sep</v>
      </c>
      <c r="B189" s="308">
        <f t="shared" si="5"/>
        <v>45209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Sep</v>
      </c>
      <c r="B190" s="308">
        <f t="shared" si="5"/>
        <v>45210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Sep</v>
      </c>
      <c r="B191" s="308">
        <f t="shared" si="5"/>
        <v>45211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Sep</v>
      </c>
      <c r="B192" s="308">
        <f t="shared" si="5"/>
        <v>45212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Sep</v>
      </c>
      <c r="B193" s="308">
        <f t="shared" si="5"/>
        <v>45213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Sep</v>
      </c>
      <c r="B194" s="308">
        <f t="shared" si="5"/>
        <v>45214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TEXT(DATE(YEAR(B$2),MONTH(B$2)+(D195-1)+11,1),"Mmm")</f>
        <v>Sep</v>
      </c>
      <c r="B195" s="308">
        <f t="shared" si="5"/>
        <v>45215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Sep</v>
      </c>
      <c r="B196" s="308">
        <f t="shared" ref="B196:B259" si="7">B195+1</f>
        <v>45216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Sep</v>
      </c>
      <c r="B197" s="308">
        <f t="shared" si="7"/>
        <v>45217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Sep</v>
      </c>
      <c r="B198" s="308">
        <f t="shared" si="7"/>
        <v>45218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Sep</v>
      </c>
      <c r="B199" s="308">
        <f t="shared" si="7"/>
        <v>45219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Sep</v>
      </c>
      <c r="B200" s="308">
        <f t="shared" si="7"/>
        <v>45220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Sep</v>
      </c>
      <c r="B201" s="308">
        <f t="shared" si="7"/>
        <v>45221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Sep</v>
      </c>
      <c r="B202" s="308">
        <f t="shared" si="7"/>
        <v>45222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Sep</v>
      </c>
      <c r="B203" s="308">
        <f t="shared" si="7"/>
        <v>45223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Sep</v>
      </c>
      <c r="B204" s="308">
        <f t="shared" si="7"/>
        <v>45224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Sep</v>
      </c>
      <c r="B205" s="308">
        <f t="shared" si="7"/>
        <v>45225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Sep</v>
      </c>
      <c r="B206" s="308">
        <f t="shared" si="7"/>
        <v>45226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Sep</v>
      </c>
      <c r="B207" s="308">
        <f t="shared" si="7"/>
        <v>45227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Sep</v>
      </c>
      <c r="B208" s="308">
        <f t="shared" si="7"/>
        <v>45228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Sep</v>
      </c>
      <c r="B209" s="308">
        <f t="shared" si="7"/>
        <v>45229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Oct</v>
      </c>
      <c r="B210" s="308">
        <f t="shared" si="7"/>
        <v>45230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Oct</v>
      </c>
      <c r="B211" s="308">
        <f t="shared" si="7"/>
        <v>45231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Oct</v>
      </c>
      <c r="B212" s="308">
        <f t="shared" si="7"/>
        <v>45232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Oct</v>
      </c>
      <c r="B213" s="308">
        <f t="shared" si="7"/>
        <v>45233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Oct</v>
      </c>
      <c r="B214" s="308">
        <f t="shared" si="7"/>
        <v>45234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Oct</v>
      </c>
      <c r="B215" s="308">
        <f t="shared" si="7"/>
        <v>45235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Oct</v>
      </c>
      <c r="B216" s="321">
        <f t="shared" si="7"/>
        <v>45236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Oct</v>
      </c>
      <c r="B217" s="308">
        <f t="shared" si="7"/>
        <v>45237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Oct</v>
      </c>
      <c r="B218" s="308">
        <f t="shared" si="7"/>
        <v>45238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Oct</v>
      </c>
      <c r="B219" s="308">
        <f t="shared" si="7"/>
        <v>45239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Oct</v>
      </c>
      <c r="B220" s="308">
        <f t="shared" si="7"/>
        <v>45240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Oct</v>
      </c>
      <c r="B221" s="308">
        <f t="shared" si="7"/>
        <v>45241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Oct</v>
      </c>
      <c r="B222" s="308">
        <f t="shared" si="7"/>
        <v>45242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Oct</v>
      </c>
      <c r="B223" s="308">
        <f t="shared" si="7"/>
        <v>45243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Oct</v>
      </c>
      <c r="B224" s="308">
        <f t="shared" si="7"/>
        <v>45244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Oct</v>
      </c>
      <c r="B225" s="308">
        <f t="shared" si="7"/>
        <v>45245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Oct</v>
      </c>
      <c r="B226" s="308">
        <f t="shared" si="7"/>
        <v>45246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Oct</v>
      </c>
      <c r="B227" s="308">
        <f t="shared" si="7"/>
        <v>45247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Oct</v>
      </c>
      <c r="B228" s="308">
        <f t="shared" si="7"/>
        <v>45248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Oct</v>
      </c>
      <c r="B229" s="308">
        <f t="shared" si="7"/>
        <v>45249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Oct</v>
      </c>
      <c r="B230" s="308">
        <f t="shared" si="7"/>
        <v>45250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Oct</v>
      </c>
      <c r="B231" s="308">
        <f t="shared" si="7"/>
        <v>45251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Oct</v>
      </c>
      <c r="B232" s="308">
        <f t="shared" si="7"/>
        <v>45252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Oct</v>
      </c>
      <c r="B233" s="308">
        <f t="shared" si="7"/>
        <v>45253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Oct</v>
      </c>
      <c r="B234" s="308">
        <f t="shared" si="7"/>
        <v>45254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Oct</v>
      </c>
      <c r="B235" s="308">
        <f t="shared" si="7"/>
        <v>45255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Oct</v>
      </c>
      <c r="B236" s="308">
        <f t="shared" si="7"/>
        <v>45256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Oct</v>
      </c>
      <c r="B237" s="308">
        <f t="shared" si="7"/>
        <v>45257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Nov</v>
      </c>
      <c r="B238" s="308">
        <f t="shared" si="7"/>
        <v>45258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Nov</v>
      </c>
      <c r="B239" s="308">
        <f t="shared" si="7"/>
        <v>45259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Nov</v>
      </c>
      <c r="B240" s="308">
        <f t="shared" si="7"/>
        <v>45260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Nov</v>
      </c>
      <c r="B241" s="308">
        <f t="shared" si="7"/>
        <v>45261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Nov</v>
      </c>
      <c r="B242" s="308">
        <f t="shared" si="7"/>
        <v>45262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Nov</v>
      </c>
      <c r="B243" s="308">
        <f t="shared" si="7"/>
        <v>45263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Nov</v>
      </c>
      <c r="B244" s="308">
        <f t="shared" si="7"/>
        <v>45264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Nov</v>
      </c>
      <c r="B245" s="308">
        <f t="shared" si="7"/>
        <v>45265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Nov</v>
      </c>
      <c r="B246" s="321">
        <f t="shared" si="7"/>
        <v>45266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Nov</v>
      </c>
      <c r="B247" s="308">
        <f t="shared" si="7"/>
        <v>45267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Nov</v>
      </c>
      <c r="B248" s="308">
        <f t="shared" si="7"/>
        <v>45268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Nov</v>
      </c>
      <c r="B249" s="308">
        <f t="shared" si="7"/>
        <v>45269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Nov</v>
      </c>
      <c r="B250" s="308">
        <f t="shared" si="7"/>
        <v>45270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Nov</v>
      </c>
      <c r="B251" s="308">
        <f t="shared" si="7"/>
        <v>45271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Nov</v>
      </c>
      <c r="B252" s="308">
        <f t="shared" si="7"/>
        <v>45272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Nov</v>
      </c>
      <c r="B253" s="308">
        <f t="shared" si="7"/>
        <v>45273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Nov</v>
      </c>
      <c r="B254" s="308">
        <f t="shared" si="7"/>
        <v>45274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Nov</v>
      </c>
      <c r="B255" s="308">
        <f t="shared" si="7"/>
        <v>45275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Nov</v>
      </c>
      <c r="B256" s="308">
        <f t="shared" si="7"/>
        <v>45276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Nov</v>
      </c>
      <c r="B257" s="308">
        <f t="shared" si="7"/>
        <v>45277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Nov</v>
      </c>
      <c r="B258" s="308">
        <f t="shared" si="7"/>
        <v>45278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TEXT(DATE(YEAR(B$2),MONTH(B$2)+(D259-1)+11,1),"Mmm")</f>
        <v>Nov</v>
      </c>
      <c r="B259" s="308">
        <f t="shared" si="7"/>
        <v>45279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Nov</v>
      </c>
      <c r="B260" s="308">
        <f t="shared" ref="B260:B323" si="9">B259+1</f>
        <v>45280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Nov</v>
      </c>
      <c r="B261" s="308">
        <f t="shared" si="9"/>
        <v>45281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Nov</v>
      </c>
      <c r="B262" s="308">
        <f t="shared" si="9"/>
        <v>45282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Nov</v>
      </c>
      <c r="B263" s="308">
        <f t="shared" si="9"/>
        <v>45283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Nov</v>
      </c>
      <c r="B264" s="308">
        <f t="shared" si="9"/>
        <v>45284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Nov</v>
      </c>
      <c r="B265" s="308">
        <f t="shared" si="9"/>
        <v>45285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Nov</v>
      </c>
      <c r="B266" s="308">
        <f t="shared" si="9"/>
        <v>45286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Nov</v>
      </c>
      <c r="B267" s="308">
        <f t="shared" si="9"/>
        <v>45287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Nov</v>
      </c>
      <c r="B268" s="308">
        <f t="shared" si="9"/>
        <v>45288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Nov</v>
      </c>
      <c r="B269" s="308">
        <f t="shared" si="9"/>
        <v>45289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Nov</v>
      </c>
      <c r="B270" s="308">
        <f t="shared" si="9"/>
        <v>45290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Nov</v>
      </c>
      <c r="B271" s="308">
        <f t="shared" si="9"/>
        <v>45291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Nov</v>
      </c>
      <c r="B272" s="308">
        <f t="shared" si="9"/>
        <v>45292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Dec</v>
      </c>
      <c r="B273" s="308">
        <f t="shared" si="9"/>
        <v>45293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Dec</v>
      </c>
      <c r="B274" s="308">
        <f t="shared" si="9"/>
        <v>45294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Dec</v>
      </c>
      <c r="B275" s="308">
        <f t="shared" si="9"/>
        <v>45295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Dec</v>
      </c>
      <c r="B276" s="321">
        <f t="shared" si="9"/>
        <v>45296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Dec</v>
      </c>
      <c r="B277" s="321">
        <f t="shared" si="9"/>
        <v>45297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Dec</v>
      </c>
      <c r="B278" s="308">
        <f t="shared" si="9"/>
        <v>45298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Dec</v>
      </c>
      <c r="B279" s="308">
        <f t="shared" si="9"/>
        <v>45299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Dec</v>
      </c>
      <c r="B280" s="308">
        <f t="shared" si="9"/>
        <v>45300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Dec</v>
      </c>
      <c r="B281" s="308">
        <f t="shared" si="9"/>
        <v>45301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Dec</v>
      </c>
      <c r="B282" s="308">
        <f t="shared" si="9"/>
        <v>45302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Dec</v>
      </c>
      <c r="B283" s="308">
        <f t="shared" si="9"/>
        <v>45303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Dec</v>
      </c>
      <c r="B284" s="308">
        <f t="shared" si="9"/>
        <v>45304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Dec</v>
      </c>
      <c r="B285" s="308">
        <f t="shared" si="9"/>
        <v>45305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Dec</v>
      </c>
      <c r="B286" s="308">
        <f t="shared" si="9"/>
        <v>45306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Dec</v>
      </c>
      <c r="B287" s="308">
        <f t="shared" si="9"/>
        <v>45307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Dec</v>
      </c>
      <c r="B288" s="308">
        <f t="shared" si="9"/>
        <v>45308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Dec</v>
      </c>
      <c r="B289" s="308">
        <f t="shared" si="9"/>
        <v>45309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Dec</v>
      </c>
      <c r="B290" s="308">
        <f t="shared" si="9"/>
        <v>45310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Dec</v>
      </c>
      <c r="B291" s="308">
        <f t="shared" si="9"/>
        <v>45311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Dec</v>
      </c>
      <c r="B292" s="308">
        <f t="shared" si="9"/>
        <v>45312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Dec</v>
      </c>
      <c r="B293" s="308">
        <f t="shared" si="9"/>
        <v>45313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Dec</v>
      </c>
      <c r="B294" s="308">
        <f t="shared" si="9"/>
        <v>45314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Dec</v>
      </c>
      <c r="B295" s="308">
        <f t="shared" si="9"/>
        <v>45315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Dec</v>
      </c>
      <c r="B296" s="308">
        <f t="shared" si="9"/>
        <v>45316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Dec</v>
      </c>
      <c r="B297" s="308">
        <f t="shared" si="9"/>
        <v>45317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Dec</v>
      </c>
      <c r="B298" s="308">
        <f t="shared" si="9"/>
        <v>45318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Dec</v>
      </c>
      <c r="B299" s="308">
        <f t="shared" si="9"/>
        <v>45319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Dec</v>
      </c>
      <c r="B300" s="308">
        <f t="shared" si="9"/>
        <v>45320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Jan</v>
      </c>
      <c r="B301" s="308">
        <f t="shared" si="9"/>
        <v>45321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Jan</v>
      </c>
      <c r="B302" s="308">
        <f t="shared" si="9"/>
        <v>45322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Jan</v>
      </c>
      <c r="B303" s="308">
        <f t="shared" si="9"/>
        <v>45323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Jan</v>
      </c>
      <c r="B304" s="308">
        <f t="shared" si="9"/>
        <v>45324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Jan</v>
      </c>
      <c r="B305" s="308">
        <f t="shared" si="9"/>
        <v>45325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Jan</v>
      </c>
      <c r="B306" s="308">
        <f t="shared" si="9"/>
        <v>45326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Jan</v>
      </c>
      <c r="B307" s="308">
        <f t="shared" si="9"/>
        <v>45327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Jan</v>
      </c>
      <c r="B308" s="321">
        <f t="shared" si="9"/>
        <v>45328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Jan</v>
      </c>
      <c r="B309" s="308">
        <f t="shared" si="9"/>
        <v>45329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Jan</v>
      </c>
      <c r="B310" s="308">
        <f t="shared" si="9"/>
        <v>45330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Jan</v>
      </c>
      <c r="B311" s="308">
        <f t="shared" si="9"/>
        <v>45331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Jan</v>
      </c>
      <c r="B312" s="308">
        <f t="shared" si="9"/>
        <v>45332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Jan</v>
      </c>
      <c r="B313" s="308">
        <f t="shared" si="9"/>
        <v>45333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Jan</v>
      </c>
      <c r="B314" s="308">
        <f t="shared" si="9"/>
        <v>45334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Jan</v>
      </c>
      <c r="B315" s="308">
        <f t="shared" si="9"/>
        <v>45335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Jan</v>
      </c>
      <c r="B316" s="308">
        <f t="shared" si="9"/>
        <v>45336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Jan</v>
      </c>
      <c r="B317" s="308">
        <f t="shared" si="9"/>
        <v>45337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Jan</v>
      </c>
      <c r="B318" s="308">
        <f t="shared" si="9"/>
        <v>45338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Jan</v>
      </c>
      <c r="B319" s="308">
        <f t="shared" si="9"/>
        <v>45339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Jan</v>
      </c>
      <c r="B320" s="308">
        <f t="shared" si="9"/>
        <v>45340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Jan</v>
      </c>
      <c r="B321" s="308">
        <f t="shared" si="9"/>
        <v>45341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Jan</v>
      </c>
      <c r="B322" s="308">
        <f t="shared" si="9"/>
        <v>45342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TEXT(DATE(YEAR(B$2),MONTH(B$2)+(D323-1)+11,1),"Mmm")</f>
        <v>Jan</v>
      </c>
      <c r="B323" s="308">
        <f t="shared" si="9"/>
        <v>45343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Jan</v>
      </c>
      <c r="B324" s="308">
        <f t="shared" ref="B324:B381" si="11">B323+1</f>
        <v>45344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Jan</v>
      </c>
      <c r="B325" s="308">
        <f t="shared" si="11"/>
        <v>45345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Jan</v>
      </c>
      <c r="B326" s="308">
        <f t="shared" si="11"/>
        <v>45346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Jan</v>
      </c>
      <c r="B327" s="308">
        <f t="shared" si="11"/>
        <v>45347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Jan</v>
      </c>
      <c r="B328" s="308">
        <f t="shared" si="11"/>
        <v>45348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Feb</v>
      </c>
      <c r="B329" s="308">
        <f t="shared" si="11"/>
        <v>45349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Feb</v>
      </c>
      <c r="B330" s="308">
        <f t="shared" si="11"/>
        <v>45350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Feb</v>
      </c>
      <c r="B331" s="308">
        <f t="shared" si="11"/>
        <v>45351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Feb</v>
      </c>
      <c r="B332" s="308">
        <f t="shared" si="11"/>
        <v>45352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Feb</v>
      </c>
      <c r="B333" s="308">
        <f t="shared" si="11"/>
        <v>45353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Feb</v>
      </c>
      <c r="B334" s="308">
        <f t="shared" si="11"/>
        <v>45354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Feb</v>
      </c>
      <c r="B335" s="308">
        <f t="shared" si="11"/>
        <v>45355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Feb</v>
      </c>
      <c r="B336" s="321">
        <f t="shared" si="11"/>
        <v>45356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Feb</v>
      </c>
      <c r="B337" s="308">
        <f t="shared" si="11"/>
        <v>45357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Feb</v>
      </c>
      <c r="B338" s="308">
        <f t="shared" si="11"/>
        <v>45358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Feb</v>
      </c>
      <c r="B339" s="308">
        <f t="shared" si="11"/>
        <v>45359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Feb</v>
      </c>
      <c r="B340" s="308">
        <f t="shared" si="11"/>
        <v>45360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Feb</v>
      </c>
      <c r="B341" s="308">
        <f t="shared" si="11"/>
        <v>45361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Feb</v>
      </c>
      <c r="B342" s="308">
        <f t="shared" si="11"/>
        <v>45362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Feb</v>
      </c>
      <c r="B343" s="308">
        <f t="shared" si="11"/>
        <v>45363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Feb</v>
      </c>
      <c r="B344" s="308">
        <f t="shared" si="11"/>
        <v>45364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Feb</v>
      </c>
      <c r="B345" s="308">
        <f t="shared" si="11"/>
        <v>45365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Feb</v>
      </c>
      <c r="B346" s="308">
        <f t="shared" si="11"/>
        <v>45366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Feb</v>
      </c>
      <c r="B347" s="308">
        <f t="shared" si="11"/>
        <v>45367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Feb</v>
      </c>
      <c r="B348" s="308">
        <f t="shared" si="11"/>
        <v>45368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Feb</v>
      </c>
      <c r="B349" s="308">
        <f t="shared" si="11"/>
        <v>45369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Feb</v>
      </c>
      <c r="B350" s="308">
        <f t="shared" si="11"/>
        <v>45370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Feb</v>
      </c>
      <c r="B351" s="308">
        <f t="shared" si="11"/>
        <v>45371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Feb</v>
      </c>
      <c r="B352" s="308">
        <f t="shared" si="11"/>
        <v>45372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Feb</v>
      </c>
      <c r="B353" s="308">
        <f t="shared" si="11"/>
        <v>45373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Feb</v>
      </c>
      <c r="B354" s="308">
        <f t="shared" si="11"/>
        <v>45374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Feb</v>
      </c>
      <c r="B355" s="308">
        <f t="shared" si="11"/>
        <v>45375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Feb</v>
      </c>
      <c r="B356" s="308">
        <f t="shared" si="11"/>
        <v>45376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Feb</v>
      </c>
      <c r="B357" s="308">
        <f t="shared" si="11"/>
        <v>45377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Feb</v>
      </c>
      <c r="B358" s="308">
        <f t="shared" si="11"/>
        <v>45378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Feb</v>
      </c>
      <c r="B359" s="308">
        <f t="shared" si="11"/>
        <v>45379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Feb</v>
      </c>
      <c r="B360" s="308">
        <f t="shared" si="11"/>
        <v>45380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Feb</v>
      </c>
      <c r="B361" s="308">
        <f t="shared" si="11"/>
        <v>45381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Feb</v>
      </c>
      <c r="B362" s="308">
        <f t="shared" si="11"/>
        <v>45382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Feb</v>
      </c>
      <c r="B363" s="308">
        <f t="shared" si="11"/>
        <v>45383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Feb</v>
      </c>
      <c r="B364" s="308">
        <f t="shared" si="11"/>
        <v>45384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Feb</v>
      </c>
      <c r="B365" s="308">
        <f t="shared" si="11"/>
        <v>45385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Feb</v>
      </c>
      <c r="B366" s="308">
        <f t="shared" si="11"/>
        <v>45386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Feb</v>
      </c>
      <c r="B367" s="308">
        <f t="shared" si="11"/>
        <v>45387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Feb</v>
      </c>
      <c r="B368" s="308">
        <f t="shared" si="11"/>
        <v>45388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Feb</v>
      </c>
      <c r="B369" s="308">
        <f t="shared" si="11"/>
        <v>45389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Feb</v>
      </c>
      <c r="B370" s="308">
        <f t="shared" si="11"/>
        <v>45390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Feb</v>
      </c>
      <c r="B371" s="308">
        <f t="shared" si="11"/>
        <v>45391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Feb</v>
      </c>
      <c r="B372" s="308">
        <f t="shared" si="11"/>
        <v>45392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Feb</v>
      </c>
      <c r="B373" s="308">
        <f t="shared" si="11"/>
        <v>45393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Feb</v>
      </c>
      <c r="B374" s="308">
        <f t="shared" si="11"/>
        <v>45394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Feb</v>
      </c>
      <c r="B375" s="308">
        <f t="shared" si="11"/>
        <v>45395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Feb</v>
      </c>
      <c r="B376" s="308">
        <f t="shared" si="11"/>
        <v>45396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Feb</v>
      </c>
      <c r="B377" s="308">
        <f t="shared" si="11"/>
        <v>45397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Feb</v>
      </c>
      <c r="B378" s="308">
        <f t="shared" si="11"/>
        <v>45398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Feb</v>
      </c>
      <c r="B379" s="308">
        <f t="shared" si="11"/>
        <v>45399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Feb</v>
      </c>
      <c r="B380" s="308">
        <f t="shared" si="11"/>
        <v>45400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Feb</v>
      </c>
      <c r="B381" s="308">
        <f t="shared" si="11"/>
        <v>45401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