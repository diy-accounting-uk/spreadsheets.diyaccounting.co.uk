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E12" i="8"/>
  <c r="C10" i="8"/>
  <c r="D10"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<sst xmlns="http://schemas.openxmlformats.org/spreadsheetml/2006/main" count="1080" uniqueCount="329">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</sst>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Tax'!E11+'Income Tax'!E12</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IF(E5&lt;=0,0,MAX(0,Admin!N$4-MAX(0,E5-Admin!N$5)/2))</f>
        <v>0</v>
      </c>
      <c r="F6" s="48"/>
      <c r="G6" s="51"/>
    </row>
    <row r="7" spans="1:11" x14ac:dyDescent="0.15">
      <c r="A7" s="45"/>
      <c r="B7" s="451" t="s">
        <v>82</v>
      </c>
      <c r="C7" s="451"/>
      <c r="D7" s="452"/>
      <c r="E7" s="166">
        <f>IF((E5&gt;E6),(E5-E6),0)</f>
        <v>0</v>
      </c>
      <c r="F7" s="48"/>
      <c r="G7" s="51"/>
    </row>
    <row r="8" spans="1:11" x14ac:dyDescent="0.15">
      <c r="A8" s="45"/>
      <c r="B8" s="53" t="s">
        <v>83</v>
      </c>
      <c r="C8" s="71">
        <f>Admin!N12</f>
        <v>0</v>
      </c>
      <c r="D8" s="57">
        <f>Admin!N7</f>
        <v>0.2</v>
      </c>
      <c r="E8" s="47">
        <f>IF((E7&gt;0),(IF((E7&lt;C9),E7*D8,C9*D8)),0)</f>
        <v>0</v>
      </c>
      <c r="F8" s="48"/>
      <c r="G8" s="51"/>
      <c r="H8" s="58"/>
    </row>
    <row r="9" spans="1:11" x14ac:dyDescent="0.15">
      <c r="A9" s="45"/>
      <c r="B9" s="53" t="s">
        <v>84</v>
      </c>
      <c r="C9" s="71">
        <f>Admin!M12</f>
        <v>37700</v>
      </c>
      <c r="D9" s="57">
        <f>Admin!N8</f>
        <v>0.4</v>
      </c>
      <c r="E9" s="47">
        <f>IF(E7&gt;C9,(MIN(E7,C10)-C9)*D9,0)</f>
        <v>0</v>
      </c>
      <c r="F9" s="48"/>
      <c r="G9" s="51"/>
    </row>
    <row r="10" spans="1:11" ht="14" thickBot="1" x14ac:dyDescent="0.2">
      <c r="A10" s="45"/>
      <c r="B10" s="53" t="inlineStr">
        <is>
          <t>Income Tax third band</t>
        </is>
      </c>
      <c r="C10" s="71">
        <f>Admin!N14</f>
        <v>125140</v>
      </c>
      <c r="D10" s="57">
        <f>Admin!N9</f>
        <v>0.45</v>
      </c>
      <c r="E10" s="47">
        <f>IF(E7&gt;C10,(E7-C10)*D10,0)</f>
        <v>0</v>
      </c>
      <c r="F10" s="48"/>
      <c r="G10" s="51"/>
    </row>
    <row r="11" spans="1:11" ht="14" thickBot="1" x14ac:dyDescent="0.2">
      <c r="A11" s="45"/>
      <c r="B11" s="59" t="s">
        <v>85</v>
      </c>
      <c r="C11" s="60"/>
      <c r="D11" s="61"/>
      <c r="E11" s="167">
        <f>SUM(E8:E10)</f>
        <v>0</v>
      </c>
      <c r="F11" s="63"/>
      <c r="G11" s="64"/>
    </row>
    <row r="12" spans="1:11" x14ac:dyDescent="0.15">
      <c r="A12" s="45"/>
      <c r="B12" s="53" t="s">
        <v>17</v>
      </c>
      <c r="C12" s="53"/>
      <c r="D12" s="62"/>
      <c r="E12" s="47">
        <f>-SalesMar!$K$1</f>
        <v>0</v>
      </c>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SUM(E11:E17)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46081</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46112</v>
      </c>
      <c r="C3" s="23"/>
      <c r="D3" s="23"/>
      <c r="E3" s="23"/>
      <c r="F3" s="23"/>
      <c r="G3" s="29"/>
      <c r="H3" s="23"/>
      <c r="I3" s="23"/>
      <c r="J3" s="30"/>
      <c r="K3" s="30"/>
      <c r="L3" s="25"/>
      <c r="M3" s="23"/>
      <c r="N3" s="23"/>
      <c r="O3" s="23"/>
    </row>
    <row r="4" spans="1:15" ht="12" customHeight="1" thickBot="1" x14ac:dyDescent="0.2">
      <c r="A4" s="23"/>
      <c r="B4" s="31">
        <v>46118</v>
      </c>
      <c r="C4" s="23"/>
      <c r="D4" s="522" t="s">
        <v>199</v>
      </c>
      <c r="E4" s="522"/>
      <c r="F4" s="522"/>
      <c r="G4" s="32">
        <v>1</v>
      </c>
      <c r="H4" s="23"/>
      <c r="I4" s="522" t="s">
        <v>49</v>
      </c>
      <c r="J4" s="522"/>
      <c r="K4" s="522"/>
      <c r="L4" s="522"/>
      <c r="M4" s="522"/>
      <c r="N4" s="33">
        <v>12570</v>
      </c>
      <c r="O4" s="29" t="s">
        <v>50</v>
      </c>
    </row>
    <row r="5" spans="1:15" ht="12" customHeight="1" x14ac:dyDescent="0.15">
      <c r="A5" s="23"/>
      <c r="B5" s="27">
        <v>46142</v>
      </c>
      <c r="C5" s="23"/>
      <c r="D5" s="522" t="s">
        <v>51</v>
      </c>
      <c r="E5" s="522"/>
      <c r="F5" s="522"/>
      <c r="G5" s="32">
        <v>0.14</v>
      </c>
      <c r="H5" s="23"/>
      <c r="I5" s="522" t="inlineStr">
        <is>
          <t>Personal allowance taper threshold</t>
        </is>
      </c>
      <c r="J5" s="23"/>
      <c r="K5" s="23"/>
      <c r="L5" s="23"/>
      <c r="M5" s="23"/>
      <c r="N5" s="34">
        <v>100000</v>
      </c>
      <c r="O5" s="29" t="s">
        <v>50</v>
      </c>
    </row>
    <row r="6" spans="1:15" ht="12" customHeight="1" x14ac:dyDescent="0.15">
      <c r="A6" s="23"/>
      <c r="B6" s="27">
        <v>46173</v>
      </c>
      <c r="C6" s="23"/>
      <c r="D6" s="23"/>
      <c r="E6" s="23"/>
      <c r="F6" s="23"/>
      <c r="G6" s="29"/>
      <c r="H6" s="23"/>
      <c r="I6" s="23" t="s">
        <v>119</v>
      </c>
      <c r="J6" s="23"/>
      <c r="K6" s="23"/>
      <c r="L6" s="23"/>
      <c r="M6" s="23"/>
      <c r="N6" s="32">
        <v>0</v>
      </c>
      <c r="O6" s="29" t="s">
        <v>53</v>
      </c>
    </row>
    <row r="7" spans="1:15" ht="12" customHeight="1" x14ac:dyDescent="0.15">
      <c r="A7" s="23"/>
      <c r="B7" s="27">
        <v>46203</v>
      </c>
      <c r="C7" s="23"/>
      <c r="D7" s="522" t="s">
        <v>54</v>
      </c>
      <c r="E7" s="522"/>
      <c r="F7" s="522"/>
      <c r="G7" s="29"/>
      <c r="H7" s="23"/>
      <c r="I7" s="522" t="s">
        <v>52</v>
      </c>
      <c r="J7" s="522"/>
      <c r="K7" s="522"/>
      <c r="L7" s="522"/>
      <c r="M7" s="522"/>
      <c r="N7" s="32">
        <v>0.2</v>
      </c>
      <c r="O7" s="29" t="s">
        <v>53</v>
      </c>
    </row>
    <row r="8" spans="1:15" ht="12" customHeight="1" x14ac:dyDescent="0.15">
      <c r="A8" s="23"/>
      <c r="B8" s="27">
        <v>46234</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46265</v>
      </c>
      <c r="C9" s="23"/>
      <c r="D9" s="23"/>
      <c r="E9" s="29"/>
      <c r="F9" s="23"/>
      <c r="G9" s="29"/>
      <c r="H9" s="23"/>
      <c r="I9" s="522" t="inlineStr">
        <is>
          <t>Additional rate applicable above the higher rate limit</t>
        </is>
      </c>
      <c r="J9" s="23"/>
      <c r="K9" s="23"/>
      <c r="L9" s="23"/>
      <c r="M9" s="23"/>
      <c r="N9" s="32">
        <v>0.45</v>
      </c>
      <c r="O9" s="29" t="s">
        <v>53</v>
      </c>
    </row>
    <row r="10" spans="1:15" ht="12" customHeight="1" x14ac:dyDescent="0.15">
      <c r="A10" s="23"/>
      <c r="B10" s="27">
        <v>46295</v>
      </c>
      <c r="C10" s="23"/>
      <c r="D10" s="23"/>
      <c r="E10" s="29"/>
      <c r="F10" s="23"/>
      <c r="G10" s="29"/>
      <c r="H10" s="23"/>
      <c r="I10" s="522" t="s">
        <v>58</v>
      </c>
      <c r="J10" s="523"/>
      <c r="K10" s="523"/>
      <c r="L10" s="35" t="s">
        <v>59</v>
      </c>
      <c r="M10" s="35" t="s">
        <v>60</v>
      </c>
      <c r="N10" s="36" t="s">
        <v>61</v>
      </c>
      <c r="O10" s="29"/>
    </row>
    <row r="11" spans="1:15" ht="12" customHeight="1" x14ac:dyDescent="0.15">
      <c r="A11" s="23"/>
      <c r="B11" s="27">
        <v>46326</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46356</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46387</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46418</v>
      </c>
      <c r="C14" s="23"/>
      <c r="D14" s="522" t="s">
        <v>66</v>
      </c>
      <c r="E14" s="522"/>
      <c r="F14" s="522"/>
      <c r="G14" s="32">
        <v>0.1</v>
      </c>
      <c r="H14" s="23"/>
      <c r="I14" s="23" t="inlineStr">
        <is>
          <t>Additional rate</t>
        </is>
      </c>
      <c r="J14" s="23"/>
      <c r="K14" s="37">
        <v>0.45</v>
      </c>
      <c r="L14" s="29">
        <v>125141</v>
      </c>
      <c r="M14" s="23"/>
      <c r="N14" s="34">
        <v>125140</v>
      </c>
      <c r="O14" s="23"/>
    </row>
    <row r="15" spans="1:15" ht="12" customHeight="1" x14ac:dyDescent="0.15">
      <c r="A15" s="23"/>
      <c r="B15" s="27">
        <v>46446</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46477</v>
      </c>
      <c r="C16" s="23"/>
      <c r="D16" s="522" t="s">
        <v>69</v>
      </c>
      <c r="E16" s="522"/>
      <c r="F16" s="522"/>
      <c r="G16" s="32">
        <v>0.33</v>
      </c>
      <c r="H16" s="23"/>
      <c r="I16" s="23"/>
      <c r="J16" s="23"/>
      <c r="K16" s="23"/>
      <c r="L16" s="23"/>
      <c r="M16" s="23"/>
      <c r="N16" s="23"/>
      <c r="O16" s="23"/>
    </row>
    <row r="17" spans="1:15" ht="12" customHeight="1" thickBot="1" x14ac:dyDescent="0.2">
      <c r="A17" s="23"/>
      <c r="B17" s="31">
        <v>46482</v>
      </c>
      <c r="C17" s="23"/>
      <c r="D17" s="522" t="s">
        <v>71</v>
      </c>
      <c r="E17" s="522"/>
      <c r="F17" s="522"/>
      <c r="G17" s="32">
        <v>0.25</v>
      </c>
      <c r="H17" s="23"/>
      <c r="I17" s="522" t="s">
        <v>70</v>
      </c>
      <c r="J17" s="522"/>
      <c r="K17" s="522"/>
      <c r="L17" s="39">
        <v>0</v>
      </c>
      <c r="M17" s="23" t="s">
        <v>325</v>
      </c>
      <c r="N17" s="23"/>
      <c r="O17" s="23"/>
    </row>
    <row r="18" spans="1:15" ht="12" customHeight="1" x14ac:dyDescent="0.15">
      <c r="A18" s="23"/>
      <c r="B18" s="27">
        <v>46507</v>
      </c>
      <c r="C18" s="23"/>
      <c r="D18" s="23"/>
      <c r="E18" s="23"/>
      <c r="F18" s="23"/>
      <c r="G18" s="29"/>
      <c r="H18" s="23"/>
      <c r="I18" s="23"/>
      <c r="J18" s="23"/>
      <c r="K18" s="23"/>
      <c r="L18" s="23"/>
      <c r="M18" s="23"/>
      <c r="N18" s="23"/>
      <c r="O18" s="23"/>
    </row>
    <row r="19" spans="1:15" ht="12" customHeight="1" x14ac:dyDescent="0.15">
      <c r="A19" s="23"/>
      <c r="B19" s="27">
        <v>46538</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46568</v>
      </c>
      <c r="C20" s="23"/>
      <c r="D20" s="25"/>
      <c r="E20" s="25"/>
      <c r="F20" s="29"/>
      <c r="G20" s="29"/>
      <c r="H20" s="23"/>
      <c r="I20" s="528"/>
      <c r="J20" s="528"/>
      <c r="K20" s="528"/>
      <c r="L20" s="355">
        <v>0.06</v>
      </c>
      <c r="M20" s="527"/>
      <c r="N20" s="34">
        <v>12570</v>
      </c>
      <c r="O20" s="29" t="s">
        <v>50</v>
      </c>
    </row>
    <row r="21" spans="1:15" ht="12" customHeight="1" x14ac:dyDescent="0.15">
      <c r="A21" s="23"/>
      <c r="B21" s="27">
        <v>46783</v>
      </c>
      <c r="C21" s="23"/>
      <c r="D21" s="522" t="s">
        <v>76</v>
      </c>
      <c r="E21" s="522"/>
      <c r="F21" s="34">
        <v>10000</v>
      </c>
      <c r="G21" s="39">
        <v>0.45</v>
      </c>
      <c r="H21" s="23"/>
      <c r="I21" s="40"/>
      <c r="J21" s="40"/>
      <c r="K21" s="40"/>
      <c r="L21" s="37"/>
      <c r="M21" s="23"/>
      <c r="N21" s="23"/>
      <c r="O21" s="23"/>
    </row>
    <row r="22" spans="1:15" ht="12" customHeight="1" thickBot="1" x14ac:dyDescent="0.2">
      <c r="A22" s="23"/>
      <c r="B22" s="27">
        <v>46965</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2026-27</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2027-28</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90000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7">
    <mergeCell ref="I5:M5"/>
    <mergeCell ref="I9:M9"/>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